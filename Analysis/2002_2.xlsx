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165CB31D-8939-E841-A592-ED604404AF8D}" xr6:coauthVersionLast="47" xr6:coauthVersionMax="47" xr10:uidLastSave="{7B124497-C322-1447-ACD3-6993078CB718}"/>
  <bookViews>
    <workbookView xWindow="7940" yWindow="6060" windowWidth="24900" windowHeight="23040" xr2:uid="{77DA73ED-11D6-E140-B5CA-6D0B636B4B8F}"/>
  </bookViews>
  <sheets>
    <sheet name="200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U4" i="1" s="1"/>
  <c r="AN5" i="1"/>
  <c r="AN19" i="1"/>
  <c r="AN20" i="1"/>
  <c r="AN21" i="1"/>
  <c r="AN22" i="1"/>
  <c r="AN23" i="1"/>
  <c r="AN25" i="1"/>
  <c r="AV25" i="1" s="1"/>
  <c r="AN39" i="1"/>
  <c r="AN40" i="1"/>
  <c r="AN43" i="1"/>
  <c r="AN44" i="1"/>
  <c r="AN45" i="1"/>
  <c r="AN60" i="1"/>
  <c r="AN61" i="1"/>
  <c r="AN62" i="1"/>
  <c r="AN63" i="1"/>
  <c r="AN64" i="1"/>
  <c r="AN65" i="1"/>
  <c r="AN79" i="1"/>
  <c r="AN80" i="1"/>
  <c r="AN81" i="1"/>
  <c r="AN82" i="1"/>
  <c r="AN83" i="1"/>
  <c r="AN84" i="1"/>
  <c r="AN85" i="1"/>
  <c r="AN99" i="1"/>
  <c r="AN100" i="1"/>
  <c r="AN101" i="1"/>
  <c r="AN102" i="1"/>
  <c r="AN103" i="1"/>
  <c r="AN119" i="1"/>
  <c r="AN120" i="1"/>
  <c r="AN121" i="1"/>
  <c r="AN124" i="1"/>
  <c r="AN125" i="1"/>
  <c r="AU125" i="1" s="1"/>
  <c r="AN142" i="1"/>
  <c r="AN143" i="1"/>
  <c r="AN144" i="1"/>
  <c r="AN145" i="1"/>
  <c r="AN159" i="1"/>
  <c r="AN160" i="1"/>
  <c r="AN161" i="1"/>
  <c r="AN162" i="1"/>
  <c r="AN163" i="1"/>
  <c r="AN164" i="1"/>
  <c r="AN165" i="1"/>
  <c r="AV165" i="1" s="1"/>
  <c r="AN179" i="1"/>
  <c r="AN180" i="1"/>
  <c r="AN183" i="1"/>
  <c r="AN184" i="1"/>
  <c r="AN200" i="1"/>
  <c r="AN201" i="1"/>
  <c r="AN202" i="1"/>
  <c r="AN203" i="1"/>
  <c r="AN204" i="1"/>
  <c r="AN205" i="1"/>
  <c r="AN219" i="1"/>
  <c r="AN220" i="1"/>
  <c r="AN221" i="1"/>
  <c r="AN222" i="1"/>
  <c r="AN223" i="1"/>
  <c r="AN224" i="1"/>
  <c r="AN225" i="1"/>
  <c r="AN239" i="1"/>
  <c r="AN240" i="1"/>
  <c r="AN241" i="1"/>
  <c r="AN242" i="1"/>
  <c r="AN245" i="1"/>
  <c r="AN259" i="1"/>
  <c r="AN260" i="1"/>
  <c r="AN261" i="1"/>
  <c r="AN263" i="1"/>
  <c r="AN264" i="1"/>
  <c r="AN265" i="1"/>
  <c r="AN282" i="1"/>
  <c r="AN283" i="1"/>
  <c r="AN284" i="1"/>
  <c r="AN285" i="1"/>
  <c r="AN300" i="1"/>
  <c r="AN301" i="1"/>
  <c r="AN302" i="1"/>
  <c r="AN303" i="1"/>
  <c r="AN304" i="1"/>
  <c r="AN305" i="1"/>
  <c r="AN319" i="1"/>
  <c r="AN320" i="1"/>
  <c r="AN322" i="1"/>
  <c r="AN325" i="1"/>
  <c r="AN339" i="1"/>
  <c r="AN342" i="1"/>
  <c r="AN343" i="1"/>
  <c r="AN344" i="1"/>
  <c r="AN345" i="1"/>
  <c r="AN361" i="1"/>
  <c r="AN362" i="1"/>
  <c r="AN363" i="1"/>
  <c r="AN364" i="1"/>
  <c r="AN365" i="1"/>
  <c r="AN379" i="1"/>
  <c r="AN380" i="1"/>
  <c r="AN381" i="1"/>
  <c r="AN382" i="1"/>
  <c r="AN383" i="1"/>
  <c r="AN384" i="1"/>
  <c r="AN385" i="1"/>
  <c r="AN399" i="1"/>
  <c r="AN400" i="1"/>
  <c r="AN401" i="1"/>
  <c r="AN402" i="1"/>
  <c r="AN403" i="1"/>
  <c r="AN405" i="1"/>
  <c r="AN419" i="1"/>
  <c r="AN424" i="1"/>
  <c r="AN425" i="1"/>
  <c r="AN442" i="1"/>
  <c r="AN443" i="1"/>
  <c r="AN444" i="1"/>
  <c r="AN445" i="1"/>
  <c r="AN459" i="1"/>
  <c r="AN460" i="1"/>
  <c r="AN461" i="1"/>
  <c r="AN462" i="1"/>
  <c r="AN463" i="1"/>
  <c r="AN464" i="1"/>
  <c r="AN465" i="1"/>
  <c r="AN479" i="1"/>
  <c r="AN480" i="1"/>
  <c r="AN481" i="1"/>
  <c r="AN482" i="1"/>
  <c r="AN483" i="1"/>
  <c r="AN484" i="1"/>
  <c r="AN499" i="1"/>
  <c r="AN501" i="1"/>
  <c r="AN502" i="1"/>
  <c r="AN505" i="1"/>
  <c r="AN519" i="1"/>
  <c r="AN520" i="1"/>
  <c r="AN521" i="1"/>
  <c r="AN524" i="1"/>
  <c r="AN525" i="1"/>
  <c r="AN542" i="1"/>
  <c r="AN543" i="1"/>
  <c r="AN544" i="1"/>
  <c r="AN545" i="1"/>
  <c r="AN560" i="1"/>
  <c r="AN561" i="1"/>
  <c r="AN562" i="1"/>
  <c r="AN563" i="1"/>
  <c r="AN564" i="1"/>
  <c r="AN565" i="1"/>
  <c r="AW565" i="1" s="1"/>
  <c r="AN579" i="1"/>
  <c r="AN580" i="1"/>
  <c r="AN581" i="1"/>
  <c r="AN582" i="1"/>
  <c r="AN583" i="1"/>
  <c r="AN584" i="1"/>
  <c r="AN599" i="1"/>
  <c r="AN600" i="1"/>
  <c r="AN601" i="1"/>
  <c r="AN602" i="1"/>
  <c r="AN603" i="1"/>
  <c r="AN604" i="1"/>
  <c r="AN605" i="1"/>
  <c r="AN619" i="1"/>
  <c r="AN620" i="1"/>
  <c r="AN624" i="1"/>
  <c r="AN625" i="1"/>
  <c r="AN642" i="1"/>
  <c r="AN643" i="1"/>
  <c r="AN645" i="1"/>
  <c r="AN661" i="1"/>
  <c r="AN662" i="1"/>
  <c r="AN663" i="1"/>
  <c r="AN664" i="1"/>
  <c r="AN665" i="1"/>
  <c r="AN680" i="1"/>
  <c r="AN681" i="1"/>
  <c r="AN682" i="1"/>
  <c r="AN683" i="1"/>
  <c r="AU683" i="1" s="1"/>
  <c r="AN684" i="1"/>
  <c r="AN685" i="1"/>
  <c r="AN699" i="1"/>
  <c r="AN700" i="1"/>
  <c r="AN701" i="1"/>
  <c r="AN702" i="1"/>
  <c r="AN703" i="1"/>
  <c r="AN704" i="1"/>
  <c r="AN719" i="1"/>
  <c r="AN720" i="1"/>
  <c r="AN721" i="1"/>
  <c r="AN722" i="1"/>
  <c r="AN725" i="1"/>
  <c r="AN743" i="1"/>
  <c r="AN744" i="1"/>
  <c r="AN745" i="1"/>
  <c r="AN762" i="1"/>
  <c r="AN763" i="1"/>
  <c r="AN764" i="1"/>
  <c r="AN765" i="1"/>
  <c r="AN780" i="1"/>
  <c r="AN781" i="1"/>
  <c r="AN782" i="1"/>
  <c r="AN783" i="1"/>
  <c r="AN784" i="1"/>
  <c r="AN785" i="1"/>
  <c r="AN799" i="1"/>
  <c r="AN800" i="1"/>
  <c r="AN801" i="1"/>
  <c r="AN802" i="1"/>
  <c r="AN803" i="1"/>
  <c r="AN804" i="1"/>
  <c r="AN805" i="1"/>
  <c r="AN819" i="1"/>
  <c r="AN820" i="1"/>
  <c r="AN821" i="1"/>
  <c r="AN822" i="1"/>
  <c r="AN823" i="1"/>
  <c r="AN824" i="1"/>
  <c r="AN825" i="1"/>
  <c r="AN839" i="1"/>
  <c r="AN840" i="1"/>
  <c r="AN844" i="1"/>
  <c r="AN845" i="1"/>
  <c r="AN859" i="1"/>
  <c r="AN860" i="1"/>
  <c r="AN864" i="1"/>
  <c r="AN865" i="1"/>
  <c r="AN882" i="1"/>
  <c r="AN883" i="1"/>
  <c r="AU883" i="1" s="1"/>
  <c r="AN884" i="1"/>
  <c r="AN885" i="1"/>
  <c r="AN900" i="1"/>
  <c r="AN901" i="1"/>
  <c r="AN902" i="1"/>
  <c r="AN903" i="1"/>
  <c r="AN904" i="1"/>
  <c r="AN905" i="1"/>
  <c r="AN919" i="1"/>
  <c r="AN920" i="1"/>
  <c r="AN921" i="1"/>
  <c r="AN922" i="1"/>
  <c r="AN923" i="1"/>
  <c r="AN924" i="1"/>
  <c r="AU924" i="1" s="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AU98" i="1" s="1"/>
  <c r="Y99" i="1"/>
  <c r="Y100" i="1"/>
  <c r="Y101" i="1"/>
  <c r="Y102" i="1"/>
  <c r="Y103" i="1"/>
  <c r="Y104" i="1"/>
  <c r="Y105" i="1"/>
  <c r="Y106" i="1"/>
  <c r="Y107" i="1"/>
  <c r="Y108" i="1"/>
  <c r="Y109" i="1"/>
  <c r="Y110" i="1"/>
  <c r="Y111" i="1"/>
  <c r="Y112" i="1"/>
  <c r="Y113" i="1"/>
  <c r="Y114" i="1"/>
  <c r="Y115" i="1"/>
  <c r="Y116" i="1"/>
  <c r="Y117" i="1"/>
  <c r="Y118" i="1"/>
  <c r="Y119" i="1"/>
  <c r="Y120" i="1"/>
  <c r="Y121" i="1"/>
  <c r="AU121" i="1" s="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AV220" i="1" s="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AV362" i="1" s="1"/>
  <c r="Y363" i="1"/>
  <c r="Y364" i="1"/>
  <c r="Y365" i="1"/>
  <c r="Y366" i="1"/>
  <c r="Y367" i="1"/>
  <c r="Y368" i="1"/>
  <c r="Y369" i="1"/>
  <c r="Y370" i="1"/>
  <c r="Y371" i="1"/>
  <c r="Y372" i="1"/>
  <c r="Y373" i="1"/>
  <c r="Y374" i="1"/>
  <c r="Y375" i="1"/>
  <c r="Y376" i="1"/>
  <c r="Y377" i="1"/>
  <c r="Y378" i="1"/>
  <c r="Y379" i="1"/>
  <c r="AV379" i="1" s="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AU419" i="1" s="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AV802" i="1" s="1"/>
  <c r="Y803" i="1"/>
  <c r="Y804" i="1"/>
  <c r="Y805" i="1"/>
  <c r="Y806" i="1"/>
  <c r="Y807" i="1"/>
  <c r="Y808" i="1"/>
  <c r="Y809" i="1"/>
  <c r="Y810" i="1"/>
  <c r="Y811" i="1"/>
  <c r="Y812" i="1"/>
  <c r="Y813" i="1"/>
  <c r="Y814" i="1"/>
  <c r="Y815" i="1"/>
  <c r="Y816" i="1"/>
  <c r="Y817" i="1"/>
  <c r="Y818" i="1"/>
  <c r="Y819" i="1"/>
  <c r="Y820" i="1"/>
  <c r="Y821" i="1"/>
  <c r="AV821" i="1" s="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2" i="1"/>
  <c r="S2" i="1"/>
  <c r="U2" i="1"/>
  <c r="AM2" i="1" s="1"/>
  <c r="S3" i="1"/>
  <c r="U3" i="1"/>
  <c r="AM3" i="1"/>
  <c r="S4" i="1"/>
  <c r="U4" i="1"/>
  <c r="AM4" i="1" s="1"/>
  <c r="S5" i="1"/>
  <c r="U5" i="1"/>
  <c r="AM5" i="1" s="1"/>
  <c r="S6" i="1"/>
  <c r="U6" i="1"/>
  <c r="AM6" i="1" s="1"/>
  <c r="AN6" i="1" s="1"/>
  <c r="S7" i="1"/>
  <c r="U7" i="1"/>
  <c r="AM7" i="1" s="1"/>
  <c r="AN7" i="1" s="1"/>
  <c r="S8" i="1"/>
  <c r="U8" i="1"/>
  <c r="AM8" i="1" s="1"/>
  <c r="AN8" i="1" s="1"/>
  <c r="AU8" i="1" s="1"/>
  <c r="S9" i="1"/>
  <c r="U9" i="1"/>
  <c r="AM9" i="1" s="1"/>
  <c r="AN9" i="1" s="1"/>
  <c r="S10" i="1"/>
  <c r="U10" i="1"/>
  <c r="AM10" i="1" s="1"/>
  <c r="S11" i="1"/>
  <c r="U11" i="1"/>
  <c r="AM11" i="1" s="1"/>
  <c r="AN11" i="1" s="1"/>
  <c r="S12" i="1"/>
  <c r="U12" i="1"/>
  <c r="AM12" i="1" s="1"/>
  <c r="AN12" i="1" s="1"/>
  <c r="S13" i="1"/>
  <c r="U13" i="1"/>
  <c r="AM13" i="1" s="1"/>
  <c r="S14" i="1"/>
  <c r="U14" i="1"/>
  <c r="AM14" i="1"/>
  <c r="AN14" i="1" s="1"/>
  <c r="S15" i="1"/>
  <c r="U15" i="1"/>
  <c r="AM15" i="1" s="1"/>
  <c r="AN15" i="1" s="1"/>
  <c r="S16" i="1"/>
  <c r="U16" i="1"/>
  <c r="AM16" i="1" s="1"/>
  <c r="AN16" i="1" s="1"/>
  <c r="S17" i="1"/>
  <c r="U17" i="1"/>
  <c r="AM17" i="1" s="1"/>
  <c r="AN17" i="1" s="1"/>
  <c r="S18" i="1"/>
  <c r="U18" i="1"/>
  <c r="AM18" i="1" s="1"/>
  <c r="S19" i="1"/>
  <c r="U19" i="1"/>
  <c r="AM19" i="1"/>
  <c r="S20" i="1"/>
  <c r="U20" i="1"/>
  <c r="AM20" i="1" s="1"/>
  <c r="S21" i="1"/>
  <c r="U21" i="1"/>
  <c r="AM21" i="1" s="1"/>
  <c r="S22" i="1"/>
  <c r="U22" i="1"/>
  <c r="AM22" i="1" s="1"/>
  <c r="S23" i="1"/>
  <c r="U23" i="1"/>
  <c r="AM23" i="1" s="1"/>
  <c r="S24" i="1"/>
  <c r="U24" i="1"/>
  <c r="AM24" i="1" s="1"/>
  <c r="AN24" i="1" s="1"/>
  <c r="S25" i="1"/>
  <c r="U25" i="1"/>
  <c r="AM25" i="1" s="1"/>
  <c r="S26" i="1"/>
  <c r="U26" i="1"/>
  <c r="AM26" i="1" s="1"/>
  <c r="AN26" i="1" s="1"/>
  <c r="S27" i="1"/>
  <c r="U27" i="1"/>
  <c r="AM27" i="1" s="1"/>
  <c r="AN27" i="1" s="1"/>
  <c r="S28" i="1"/>
  <c r="U28" i="1"/>
  <c r="AM28" i="1"/>
  <c r="AN28" i="1" s="1"/>
  <c r="S29" i="1"/>
  <c r="U29" i="1"/>
  <c r="AM29" i="1" s="1"/>
  <c r="AN29" i="1" s="1"/>
  <c r="S30" i="1"/>
  <c r="U30" i="1"/>
  <c r="AM30" i="1" s="1"/>
  <c r="AN30" i="1" s="1"/>
  <c r="S31" i="1"/>
  <c r="U31" i="1"/>
  <c r="AM31" i="1"/>
  <c r="AN31" i="1" s="1"/>
  <c r="S32" i="1"/>
  <c r="U32" i="1"/>
  <c r="AM32" i="1" s="1"/>
  <c r="AN32" i="1" s="1"/>
  <c r="S33" i="1"/>
  <c r="U33" i="1"/>
  <c r="AM33" i="1" s="1"/>
  <c r="AN33" i="1" s="1"/>
  <c r="S34" i="1"/>
  <c r="U34" i="1"/>
  <c r="AM34" i="1" s="1"/>
  <c r="AN34" i="1" s="1"/>
  <c r="S35" i="1"/>
  <c r="U35" i="1"/>
  <c r="AM35" i="1" s="1"/>
  <c r="AN35" i="1" s="1"/>
  <c r="S36" i="1"/>
  <c r="U36" i="1"/>
  <c r="AM36" i="1" s="1"/>
  <c r="AN36" i="1" s="1"/>
  <c r="S37" i="1"/>
  <c r="U37" i="1"/>
  <c r="AM37" i="1" s="1"/>
  <c r="AN37" i="1" s="1"/>
  <c r="S38" i="1"/>
  <c r="U38" i="1"/>
  <c r="AM38" i="1" s="1"/>
  <c r="AN38" i="1" s="1"/>
  <c r="S39" i="1"/>
  <c r="U39" i="1"/>
  <c r="AM39" i="1"/>
  <c r="S40" i="1"/>
  <c r="U40" i="1"/>
  <c r="AM40" i="1" s="1"/>
  <c r="S41" i="1"/>
  <c r="U41" i="1"/>
  <c r="AM41" i="1" s="1"/>
  <c r="AN41" i="1" s="1"/>
  <c r="S42" i="1"/>
  <c r="U42" i="1"/>
  <c r="AM42" i="1" s="1"/>
  <c r="AN42" i="1" s="1"/>
  <c r="S43" i="1"/>
  <c r="U43" i="1"/>
  <c r="AM43" i="1"/>
  <c r="S44" i="1"/>
  <c r="U44" i="1"/>
  <c r="AM44" i="1"/>
  <c r="S45" i="1"/>
  <c r="U45" i="1"/>
  <c r="AM45" i="1" s="1"/>
  <c r="S46" i="1"/>
  <c r="U46" i="1"/>
  <c r="AM46" i="1" s="1"/>
  <c r="AN46" i="1" s="1"/>
  <c r="S47" i="1"/>
  <c r="U47" i="1"/>
  <c r="AM47" i="1" s="1"/>
  <c r="AN47" i="1" s="1"/>
  <c r="S48" i="1"/>
  <c r="U48" i="1"/>
  <c r="AM48" i="1" s="1"/>
  <c r="AN48" i="1" s="1"/>
  <c r="S49" i="1"/>
  <c r="U49" i="1"/>
  <c r="AM49" i="1"/>
  <c r="AN49" i="1" s="1"/>
  <c r="S50" i="1"/>
  <c r="U50" i="1"/>
  <c r="AM50" i="1" s="1"/>
  <c r="S51" i="1"/>
  <c r="U51" i="1"/>
  <c r="AM51" i="1" s="1"/>
  <c r="S52" i="1"/>
  <c r="U52" i="1"/>
  <c r="AM52" i="1" s="1"/>
  <c r="AN52" i="1" s="1"/>
  <c r="S53" i="1"/>
  <c r="U53" i="1"/>
  <c r="AM53" i="1" s="1"/>
  <c r="AN53" i="1" s="1"/>
  <c r="S54" i="1"/>
  <c r="U54" i="1"/>
  <c r="AM54" i="1" s="1"/>
  <c r="AN54" i="1" s="1"/>
  <c r="S55" i="1"/>
  <c r="U55" i="1"/>
  <c r="AM55" i="1" s="1"/>
  <c r="AN55" i="1" s="1"/>
  <c r="AV55" i="1" s="1"/>
  <c r="S56" i="1"/>
  <c r="U56" i="1"/>
  <c r="AM56" i="1" s="1"/>
  <c r="S57" i="1"/>
  <c r="U57" i="1"/>
  <c r="AM57" i="1" s="1"/>
  <c r="AN57" i="1" s="1"/>
  <c r="S58" i="1"/>
  <c r="U58" i="1"/>
  <c r="AM58" i="1" s="1"/>
  <c r="AN58" i="1" s="1"/>
  <c r="S59" i="1"/>
  <c r="U59" i="1"/>
  <c r="AM59" i="1"/>
  <c r="AN59" i="1" s="1"/>
  <c r="S60" i="1"/>
  <c r="U60" i="1"/>
  <c r="AM60" i="1" s="1"/>
  <c r="S61" i="1"/>
  <c r="U61" i="1"/>
  <c r="AM61" i="1" s="1"/>
  <c r="S62" i="1"/>
  <c r="U62" i="1"/>
  <c r="AM62" i="1" s="1"/>
  <c r="S63" i="1"/>
  <c r="U63" i="1"/>
  <c r="AM63" i="1" s="1"/>
  <c r="S64" i="1"/>
  <c r="U64" i="1"/>
  <c r="AM64" i="1"/>
  <c r="S65" i="1"/>
  <c r="U65" i="1"/>
  <c r="AM65" i="1"/>
  <c r="S66" i="1"/>
  <c r="U66" i="1"/>
  <c r="AM66" i="1" s="1"/>
  <c r="AN66" i="1" s="1"/>
  <c r="AU66" i="1" s="1"/>
  <c r="S67" i="1"/>
  <c r="U67" i="1"/>
  <c r="AM67" i="1" s="1"/>
  <c r="AN67" i="1" s="1"/>
  <c r="S68" i="1"/>
  <c r="U68" i="1"/>
  <c r="AM68" i="1" s="1"/>
  <c r="AN68" i="1" s="1"/>
  <c r="S69" i="1"/>
  <c r="U69" i="1"/>
  <c r="AM69" i="1"/>
  <c r="AN69" i="1" s="1"/>
  <c r="S70" i="1"/>
  <c r="U70" i="1"/>
  <c r="AM70" i="1" s="1"/>
  <c r="AN70" i="1" s="1"/>
  <c r="S71" i="1"/>
  <c r="U71" i="1"/>
  <c r="AM71" i="1" s="1"/>
  <c r="AN71" i="1" s="1"/>
  <c r="S72" i="1"/>
  <c r="U72" i="1"/>
  <c r="AM72" i="1" s="1"/>
  <c r="AN72" i="1" s="1"/>
  <c r="S73" i="1"/>
  <c r="U73" i="1"/>
  <c r="AM73" i="1" s="1"/>
  <c r="AN73" i="1" s="1"/>
  <c r="AU73" i="1" s="1"/>
  <c r="S74" i="1"/>
  <c r="U74" i="1"/>
  <c r="AM74" i="1" s="1"/>
  <c r="AN74" i="1" s="1"/>
  <c r="S75" i="1"/>
  <c r="U75" i="1"/>
  <c r="AM75" i="1" s="1"/>
  <c r="S76" i="1"/>
  <c r="U76" i="1"/>
  <c r="AM76" i="1" s="1"/>
  <c r="S77" i="1"/>
  <c r="U77" i="1"/>
  <c r="AM77" i="1" s="1"/>
  <c r="AN77" i="1" s="1"/>
  <c r="S78" i="1"/>
  <c r="U78" i="1"/>
  <c r="AM78" i="1" s="1"/>
  <c r="AN78" i="1" s="1"/>
  <c r="S79" i="1"/>
  <c r="U79" i="1"/>
  <c r="AM79" i="1" s="1"/>
  <c r="S80" i="1"/>
  <c r="U80" i="1"/>
  <c r="AM80" i="1" s="1"/>
  <c r="S81" i="1"/>
  <c r="U81" i="1"/>
  <c r="AM81" i="1" s="1"/>
  <c r="S82" i="1"/>
  <c r="U82" i="1"/>
  <c r="AM82" i="1" s="1"/>
  <c r="S83" i="1"/>
  <c r="U83" i="1"/>
  <c r="AM83" i="1" s="1"/>
  <c r="S84" i="1"/>
  <c r="U84" i="1"/>
  <c r="AM84" i="1" s="1"/>
  <c r="S85" i="1"/>
  <c r="U85" i="1"/>
  <c r="AM85" i="1" s="1"/>
  <c r="S86" i="1"/>
  <c r="U86" i="1"/>
  <c r="AM86" i="1" s="1"/>
  <c r="AN86" i="1" s="1"/>
  <c r="AU86" i="1"/>
  <c r="S87" i="1"/>
  <c r="U87" i="1"/>
  <c r="AM87" i="1" s="1"/>
  <c r="AN87" i="1" s="1"/>
  <c r="S88" i="1"/>
  <c r="U88" i="1"/>
  <c r="AM88" i="1" s="1"/>
  <c r="AN88" i="1" s="1"/>
  <c r="S89" i="1"/>
  <c r="U89" i="1"/>
  <c r="AM89" i="1" s="1"/>
  <c r="AN89" i="1" s="1"/>
  <c r="S90" i="1"/>
  <c r="U90" i="1"/>
  <c r="AM90" i="1" s="1"/>
  <c r="S91" i="1"/>
  <c r="U91" i="1"/>
  <c r="AM91" i="1" s="1"/>
  <c r="AN91" i="1" s="1"/>
  <c r="S92" i="1"/>
  <c r="U92" i="1"/>
  <c r="AM92" i="1" s="1"/>
  <c r="AN92" i="1" s="1"/>
  <c r="S93" i="1"/>
  <c r="U93" i="1"/>
  <c r="AM93" i="1" s="1"/>
  <c r="AN93" i="1" s="1"/>
  <c r="S94" i="1"/>
  <c r="U94" i="1"/>
  <c r="AM94" i="1" s="1"/>
  <c r="AN94" i="1" s="1"/>
  <c r="S95" i="1"/>
  <c r="U95" i="1"/>
  <c r="AM95" i="1" s="1"/>
  <c r="AN95" i="1" s="1"/>
  <c r="S96" i="1"/>
  <c r="U96" i="1"/>
  <c r="AM96" i="1" s="1"/>
  <c r="AN96" i="1" s="1"/>
  <c r="AU96" i="1"/>
  <c r="S97" i="1"/>
  <c r="U97" i="1"/>
  <c r="AM97" i="1" s="1"/>
  <c r="AN97" i="1" s="1"/>
  <c r="S98" i="1"/>
  <c r="U98" i="1"/>
  <c r="AM98" i="1" s="1"/>
  <c r="AN98" i="1" s="1"/>
  <c r="S99" i="1"/>
  <c r="U99" i="1"/>
  <c r="AM99" i="1" s="1"/>
  <c r="S100" i="1"/>
  <c r="U100" i="1"/>
  <c r="AM100" i="1" s="1"/>
  <c r="S101" i="1"/>
  <c r="U101" i="1"/>
  <c r="AM101" i="1" s="1"/>
  <c r="S102" i="1"/>
  <c r="U102" i="1"/>
  <c r="AM102" i="1" s="1"/>
  <c r="S103" i="1"/>
  <c r="U103" i="1"/>
  <c r="AM103" i="1" s="1"/>
  <c r="S104" i="1"/>
  <c r="U104" i="1"/>
  <c r="AM104" i="1"/>
  <c r="AN104" i="1" s="1"/>
  <c r="S105" i="1"/>
  <c r="U105" i="1"/>
  <c r="AM105" i="1" s="1"/>
  <c r="S106" i="1"/>
  <c r="U106" i="1"/>
  <c r="AM106" i="1" s="1"/>
  <c r="AN106" i="1" s="1"/>
  <c r="S107" i="1"/>
  <c r="U107" i="1"/>
  <c r="AM107" i="1" s="1"/>
  <c r="AN107" i="1" s="1"/>
  <c r="S108" i="1"/>
  <c r="U108" i="1"/>
  <c r="AM108" i="1" s="1"/>
  <c r="AN108" i="1" s="1"/>
  <c r="S109" i="1"/>
  <c r="U109" i="1"/>
  <c r="AM109" i="1" s="1"/>
  <c r="AN109" i="1" s="1"/>
  <c r="S110" i="1"/>
  <c r="U110" i="1"/>
  <c r="AM110" i="1" s="1"/>
  <c r="S111" i="1"/>
  <c r="U111" i="1"/>
  <c r="AM111" i="1" s="1"/>
  <c r="S112" i="1"/>
  <c r="U112" i="1"/>
  <c r="AM112" i="1" s="1"/>
  <c r="AN112" i="1" s="1"/>
  <c r="S113" i="1"/>
  <c r="U113" i="1"/>
  <c r="AM113" i="1" s="1"/>
  <c r="AN113" i="1" s="1"/>
  <c r="S114" i="1"/>
  <c r="U114" i="1"/>
  <c r="AM114" i="1" s="1"/>
  <c r="AN114" i="1" s="1"/>
  <c r="S115" i="1"/>
  <c r="U115" i="1"/>
  <c r="AM115" i="1" s="1"/>
  <c r="AN115" i="1" s="1"/>
  <c r="S116" i="1"/>
  <c r="U116" i="1"/>
  <c r="AM116" i="1" s="1"/>
  <c r="AN116" i="1" s="1"/>
  <c r="S117" i="1"/>
  <c r="U117" i="1"/>
  <c r="AM117" i="1" s="1"/>
  <c r="AN117" i="1" s="1"/>
  <c r="S118" i="1"/>
  <c r="U118" i="1"/>
  <c r="AM118" i="1" s="1"/>
  <c r="AN118" i="1" s="1"/>
  <c r="S119" i="1"/>
  <c r="U119" i="1"/>
  <c r="AM119" i="1"/>
  <c r="S120" i="1"/>
  <c r="U120" i="1"/>
  <c r="AM120" i="1" s="1"/>
  <c r="S121" i="1"/>
  <c r="U121" i="1"/>
  <c r="AM121" i="1" s="1"/>
  <c r="S122" i="1"/>
  <c r="U122" i="1"/>
  <c r="AM122" i="1" s="1"/>
  <c r="AN122" i="1" s="1"/>
  <c r="AU122" i="1"/>
  <c r="S123" i="1"/>
  <c r="U123" i="1"/>
  <c r="AM123" i="1" s="1"/>
  <c r="AN123" i="1" s="1"/>
  <c r="S124" i="1"/>
  <c r="U124" i="1"/>
  <c r="AM124" i="1"/>
  <c r="S125" i="1"/>
  <c r="U125" i="1"/>
  <c r="AM125" i="1" s="1"/>
  <c r="S126" i="1"/>
  <c r="U126" i="1"/>
  <c r="AM126" i="1" s="1"/>
  <c r="AN126" i="1" s="1"/>
  <c r="S127" i="1"/>
  <c r="U127" i="1"/>
  <c r="AM127" i="1" s="1"/>
  <c r="S128" i="1"/>
  <c r="U128" i="1"/>
  <c r="AM128" i="1" s="1"/>
  <c r="AN128" i="1" s="1"/>
  <c r="S129" i="1"/>
  <c r="U129" i="1"/>
  <c r="AM129" i="1" s="1"/>
  <c r="AN129" i="1" s="1"/>
  <c r="S130" i="1"/>
  <c r="U130" i="1"/>
  <c r="AM130" i="1" s="1"/>
  <c r="S131" i="1"/>
  <c r="U131" i="1"/>
  <c r="AM131" i="1" s="1"/>
  <c r="AN131" i="1" s="1"/>
  <c r="S132" i="1"/>
  <c r="U132" i="1"/>
  <c r="AM132" i="1" s="1"/>
  <c r="AN132" i="1" s="1"/>
  <c r="AU132" i="1" s="1"/>
  <c r="S133" i="1"/>
  <c r="U133" i="1"/>
  <c r="AM133" i="1" s="1"/>
  <c r="AN133" i="1" s="1"/>
  <c r="S134" i="1"/>
  <c r="U134" i="1"/>
  <c r="AM134" i="1" s="1"/>
  <c r="AN134" i="1" s="1"/>
  <c r="S135" i="1"/>
  <c r="U135" i="1"/>
  <c r="AM135" i="1" s="1"/>
  <c r="AN135" i="1" s="1"/>
  <c r="S136" i="1"/>
  <c r="U136" i="1"/>
  <c r="AM136" i="1" s="1"/>
  <c r="AN136" i="1" s="1"/>
  <c r="S137" i="1"/>
  <c r="U137" i="1"/>
  <c r="AM137" i="1" s="1"/>
  <c r="AN137" i="1" s="1"/>
  <c r="S138" i="1"/>
  <c r="U138" i="1"/>
  <c r="AM138" i="1" s="1"/>
  <c r="AN138" i="1" s="1"/>
  <c r="S139" i="1"/>
  <c r="U139" i="1"/>
  <c r="AM139" i="1" s="1"/>
  <c r="AN139" i="1" s="1"/>
  <c r="S140" i="1"/>
  <c r="U140" i="1"/>
  <c r="AM140" i="1" s="1"/>
  <c r="AN140" i="1" s="1"/>
  <c r="S141" i="1"/>
  <c r="U141" i="1"/>
  <c r="AM141" i="1" s="1"/>
  <c r="AN141" i="1" s="1"/>
  <c r="S142" i="1"/>
  <c r="U142" i="1"/>
  <c r="AM142" i="1" s="1"/>
  <c r="S143" i="1"/>
  <c r="U143" i="1"/>
  <c r="AM143" i="1" s="1"/>
  <c r="S144" i="1"/>
  <c r="U144" i="1"/>
  <c r="AM144" i="1" s="1"/>
  <c r="S145" i="1"/>
  <c r="U145" i="1"/>
  <c r="AM145" i="1" s="1"/>
  <c r="S146" i="1"/>
  <c r="U146" i="1"/>
  <c r="AM146" i="1" s="1"/>
  <c r="S147" i="1"/>
  <c r="U147" i="1"/>
  <c r="AM147" i="1" s="1"/>
  <c r="AN147" i="1" s="1"/>
  <c r="AU147" i="1" s="1"/>
  <c r="S148" i="1"/>
  <c r="U148" i="1"/>
  <c r="AM148" i="1" s="1"/>
  <c r="AN148" i="1" s="1"/>
  <c r="S149" i="1"/>
  <c r="U149" i="1"/>
  <c r="AM149" i="1" s="1"/>
  <c r="AN149" i="1" s="1"/>
  <c r="S150" i="1"/>
  <c r="U150" i="1"/>
  <c r="AM150" i="1" s="1"/>
  <c r="AN150" i="1" s="1"/>
  <c r="AU150" i="1" s="1"/>
  <c r="S151" i="1"/>
  <c r="U151" i="1"/>
  <c r="AM151" i="1" s="1"/>
  <c r="AN151" i="1" s="1"/>
  <c r="S152" i="1"/>
  <c r="U152" i="1"/>
  <c r="AM152" i="1" s="1"/>
  <c r="AN152" i="1" s="1"/>
  <c r="S153" i="1"/>
  <c r="U153" i="1"/>
  <c r="AM153" i="1" s="1"/>
  <c r="AN153" i="1" s="1"/>
  <c r="S154" i="1"/>
  <c r="U154" i="1"/>
  <c r="AM154" i="1" s="1"/>
  <c r="AN154" i="1" s="1"/>
  <c r="S155" i="1"/>
  <c r="U155" i="1"/>
  <c r="AM155" i="1" s="1"/>
  <c r="AN155" i="1" s="1"/>
  <c r="S156" i="1"/>
  <c r="U156" i="1"/>
  <c r="AM156" i="1"/>
  <c r="AN156" i="1" s="1"/>
  <c r="S157" i="1"/>
  <c r="U157" i="1"/>
  <c r="AM157" i="1" s="1"/>
  <c r="AN157" i="1" s="1"/>
  <c r="S158" i="1"/>
  <c r="U158" i="1"/>
  <c r="AM158" i="1" s="1"/>
  <c r="AN158" i="1" s="1"/>
  <c r="S159" i="1"/>
  <c r="U159" i="1"/>
  <c r="AM159" i="1" s="1"/>
  <c r="S160" i="1"/>
  <c r="U160" i="1"/>
  <c r="AM160" i="1" s="1"/>
  <c r="S161" i="1"/>
  <c r="U161" i="1"/>
  <c r="AM161" i="1" s="1"/>
  <c r="S162" i="1"/>
  <c r="U162" i="1"/>
  <c r="AM162" i="1" s="1"/>
  <c r="S163" i="1"/>
  <c r="U163" i="1"/>
  <c r="AM163" i="1" s="1"/>
  <c r="S164" i="1"/>
  <c r="U164" i="1"/>
  <c r="AM164" i="1"/>
  <c r="S165" i="1"/>
  <c r="U165" i="1"/>
  <c r="AM165" i="1"/>
  <c r="S166" i="1"/>
  <c r="U166" i="1"/>
  <c r="AM166" i="1" s="1"/>
  <c r="AN166" i="1" s="1"/>
  <c r="AV166" i="1"/>
  <c r="S167" i="1"/>
  <c r="U167" i="1"/>
  <c r="AM167" i="1" s="1"/>
  <c r="AN167" i="1" s="1"/>
  <c r="S168" i="1"/>
  <c r="U168" i="1"/>
  <c r="AM168" i="1" s="1"/>
  <c r="AN168" i="1" s="1"/>
  <c r="S169" i="1"/>
  <c r="U169" i="1"/>
  <c r="AM169" i="1"/>
  <c r="AN169" i="1" s="1"/>
  <c r="S170" i="1"/>
  <c r="U170" i="1"/>
  <c r="AM170" i="1" s="1"/>
  <c r="AN170" i="1" s="1"/>
  <c r="AV170" i="1" s="1"/>
  <c r="S171" i="1"/>
  <c r="U171" i="1"/>
  <c r="AM171" i="1" s="1"/>
  <c r="AN171" i="1" s="1"/>
  <c r="AV171" i="1" s="1"/>
  <c r="S172" i="1"/>
  <c r="U172" i="1"/>
  <c r="AM172" i="1" s="1"/>
  <c r="AN172" i="1" s="1"/>
  <c r="S173" i="1"/>
  <c r="U173" i="1"/>
  <c r="AM173" i="1" s="1"/>
  <c r="AN173" i="1" s="1"/>
  <c r="S174" i="1"/>
  <c r="U174" i="1"/>
  <c r="AM174" i="1"/>
  <c r="AN174" i="1" s="1"/>
  <c r="S175" i="1"/>
  <c r="U175" i="1"/>
  <c r="AM175" i="1" s="1"/>
  <c r="AN175" i="1" s="1"/>
  <c r="S176" i="1"/>
  <c r="U176" i="1"/>
  <c r="AM176" i="1"/>
  <c r="AN176" i="1" s="1"/>
  <c r="S177" i="1"/>
  <c r="U177" i="1"/>
  <c r="AM177" i="1" s="1"/>
  <c r="AN177" i="1" s="1"/>
  <c r="S178" i="1"/>
  <c r="U178" i="1"/>
  <c r="AM178" i="1" s="1"/>
  <c r="AN178" i="1" s="1"/>
  <c r="S179" i="1"/>
  <c r="U179" i="1"/>
  <c r="AM179" i="1" s="1"/>
  <c r="S180" i="1"/>
  <c r="U180" i="1"/>
  <c r="AM180" i="1" s="1"/>
  <c r="S181" i="1"/>
  <c r="U181" i="1"/>
  <c r="AM181" i="1" s="1"/>
  <c r="AN181" i="1" s="1"/>
  <c r="S182" i="1"/>
  <c r="U182" i="1"/>
  <c r="AM182" i="1"/>
  <c r="AN182" i="1" s="1"/>
  <c r="S183" i="1"/>
  <c r="U183" i="1"/>
  <c r="AM183" i="1" s="1"/>
  <c r="S184" i="1"/>
  <c r="U184" i="1"/>
  <c r="AM184" i="1" s="1"/>
  <c r="S185" i="1"/>
  <c r="U185" i="1"/>
  <c r="AM185" i="1" s="1"/>
  <c r="AN185" i="1" s="1"/>
  <c r="S186" i="1"/>
  <c r="U186" i="1"/>
  <c r="AM186" i="1" s="1"/>
  <c r="S187" i="1"/>
  <c r="U187" i="1"/>
  <c r="AM187" i="1" s="1"/>
  <c r="AN187" i="1" s="1"/>
  <c r="S188" i="1"/>
  <c r="U188" i="1"/>
  <c r="AM188" i="1" s="1"/>
  <c r="S189" i="1"/>
  <c r="U189" i="1"/>
  <c r="AM189" i="1"/>
  <c r="AN189" i="1" s="1"/>
  <c r="S190" i="1"/>
  <c r="U190" i="1"/>
  <c r="AM190" i="1" s="1"/>
  <c r="AN190" i="1" s="1"/>
  <c r="S191" i="1"/>
  <c r="U191" i="1"/>
  <c r="AM191" i="1"/>
  <c r="S192" i="1"/>
  <c r="U192" i="1"/>
  <c r="AM192" i="1" s="1"/>
  <c r="AN192" i="1" s="1"/>
  <c r="S193" i="1"/>
  <c r="U193" i="1"/>
  <c r="AM193" i="1" s="1"/>
  <c r="AN193" i="1" s="1"/>
  <c r="S194" i="1"/>
  <c r="U194" i="1"/>
  <c r="AM194" i="1" s="1"/>
  <c r="AN194" i="1" s="1"/>
  <c r="S195" i="1"/>
  <c r="U195" i="1"/>
  <c r="AM195" i="1" s="1"/>
  <c r="AN195" i="1" s="1"/>
  <c r="AV195" i="1" s="1"/>
  <c r="S196" i="1"/>
  <c r="U196" i="1"/>
  <c r="AM196" i="1" s="1"/>
  <c r="AN196" i="1" s="1"/>
  <c r="S197" i="1"/>
  <c r="U197" i="1"/>
  <c r="AM197" i="1" s="1"/>
  <c r="AN197" i="1" s="1"/>
  <c r="AV197" i="1" s="1"/>
  <c r="S198" i="1"/>
  <c r="U198" i="1"/>
  <c r="AM198" i="1" s="1"/>
  <c r="AN198" i="1" s="1"/>
  <c r="S199" i="1"/>
  <c r="U199" i="1"/>
  <c r="AM199" i="1" s="1"/>
  <c r="AN199" i="1" s="1"/>
  <c r="S200" i="1"/>
  <c r="U200" i="1"/>
  <c r="AM200" i="1" s="1"/>
  <c r="S201" i="1"/>
  <c r="U201" i="1"/>
  <c r="AM201" i="1" s="1"/>
  <c r="S202" i="1"/>
  <c r="U202" i="1"/>
  <c r="AM202" i="1" s="1"/>
  <c r="S203" i="1"/>
  <c r="U203" i="1"/>
  <c r="AM203" i="1" s="1"/>
  <c r="S204" i="1"/>
  <c r="U204" i="1"/>
  <c r="AM204" i="1" s="1"/>
  <c r="S205" i="1"/>
  <c r="U205" i="1"/>
  <c r="AM205" i="1" s="1"/>
  <c r="S206" i="1"/>
  <c r="U206" i="1"/>
  <c r="AM206" i="1" s="1"/>
  <c r="AN206" i="1" s="1"/>
  <c r="S207" i="1"/>
  <c r="U207" i="1"/>
  <c r="AM207" i="1" s="1"/>
  <c r="AN207" i="1" s="1"/>
  <c r="S208" i="1"/>
  <c r="U208" i="1"/>
  <c r="AM208" i="1" s="1"/>
  <c r="S209" i="1"/>
  <c r="U209" i="1"/>
  <c r="AM209" i="1"/>
  <c r="AN209" i="1" s="1"/>
  <c r="S210" i="1"/>
  <c r="U210" i="1"/>
  <c r="AM210" i="1" s="1"/>
  <c r="AN210" i="1" s="1"/>
  <c r="AV210" i="1" s="1"/>
  <c r="S211" i="1"/>
  <c r="U211" i="1"/>
  <c r="AM211" i="1" s="1"/>
  <c r="AN211" i="1" s="1"/>
  <c r="S212" i="1"/>
  <c r="U212" i="1"/>
  <c r="AM212" i="1" s="1"/>
  <c r="AN212" i="1" s="1"/>
  <c r="AV212" i="1" s="1"/>
  <c r="S213" i="1"/>
  <c r="U213" i="1"/>
  <c r="AM213" i="1" s="1"/>
  <c r="S214" i="1"/>
  <c r="U214" i="1"/>
  <c r="AM214" i="1" s="1"/>
  <c r="AN214" i="1" s="1"/>
  <c r="S215" i="1"/>
  <c r="U215" i="1"/>
  <c r="AM215" i="1" s="1"/>
  <c r="AN215" i="1" s="1"/>
  <c r="S216" i="1"/>
  <c r="U216" i="1"/>
  <c r="AM216" i="1" s="1"/>
  <c r="AN216" i="1" s="1"/>
  <c r="S217" i="1"/>
  <c r="U217" i="1"/>
  <c r="AM217" i="1" s="1"/>
  <c r="AN217" i="1" s="1"/>
  <c r="AV217" i="1"/>
  <c r="S218" i="1"/>
  <c r="U218" i="1"/>
  <c r="AM218" i="1" s="1"/>
  <c r="AN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c r="AN226" i="1" s="1"/>
  <c r="S227" i="1"/>
  <c r="U227" i="1"/>
  <c r="AM227" i="1" s="1"/>
  <c r="AN227" i="1" s="1"/>
  <c r="AV227" i="1" s="1"/>
  <c r="S228" i="1"/>
  <c r="U228" i="1"/>
  <c r="AM228" i="1" s="1"/>
  <c r="AN228" i="1" s="1"/>
  <c r="S229" i="1"/>
  <c r="U229" i="1"/>
  <c r="AM229" i="1" s="1"/>
  <c r="AN229" i="1" s="1"/>
  <c r="S230" i="1"/>
  <c r="U230" i="1"/>
  <c r="AM230" i="1" s="1"/>
  <c r="AN230" i="1" s="1"/>
  <c r="S231" i="1"/>
  <c r="U231" i="1"/>
  <c r="AM231" i="1" s="1"/>
  <c r="S232" i="1"/>
  <c r="U232" i="1"/>
  <c r="AM232" i="1" s="1"/>
  <c r="AN232" i="1" s="1"/>
  <c r="S233" i="1"/>
  <c r="U233" i="1"/>
  <c r="AM233" i="1" s="1"/>
  <c r="S234" i="1"/>
  <c r="U234" i="1"/>
  <c r="AM234" i="1" s="1"/>
  <c r="AN234" i="1" s="1"/>
  <c r="S235" i="1"/>
  <c r="U235" i="1"/>
  <c r="AM235" i="1" s="1"/>
  <c r="AN235" i="1" s="1"/>
  <c r="S236" i="1"/>
  <c r="U236" i="1"/>
  <c r="AM236" i="1" s="1"/>
  <c r="S237" i="1"/>
  <c r="U237" i="1"/>
  <c r="AM237" i="1" s="1"/>
  <c r="AN237" i="1" s="1"/>
  <c r="S238" i="1"/>
  <c r="U238" i="1"/>
  <c r="AM238" i="1"/>
  <c r="AN238" i="1" s="1"/>
  <c r="S239" i="1"/>
  <c r="U239" i="1"/>
  <c r="AM239" i="1" s="1"/>
  <c r="S240" i="1"/>
  <c r="U240" i="1"/>
  <c r="AM240" i="1" s="1"/>
  <c r="S241" i="1"/>
  <c r="U241" i="1"/>
  <c r="AM241" i="1"/>
  <c r="S242" i="1"/>
  <c r="U242" i="1"/>
  <c r="AM242" i="1" s="1"/>
  <c r="S243" i="1"/>
  <c r="U243" i="1"/>
  <c r="AM243" i="1"/>
  <c r="S244" i="1"/>
  <c r="U244" i="1"/>
  <c r="AM244" i="1" s="1"/>
  <c r="AN244" i="1" s="1"/>
  <c r="S245" i="1"/>
  <c r="U245" i="1"/>
  <c r="AM245" i="1" s="1"/>
  <c r="S246" i="1"/>
  <c r="U246" i="1"/>
  <c r="AM246" i="1" s="1"/>
  <c r="S247" i="1"/>
  <c r="U247" i="1"/>
  <c r="AM247" i="1" s="1"/>
  <c r="AN247" i="1" s="1"/>
  <c r="S248" i="1"/>
  <c r="U248" i="1"/>
  <c r="AM248" i="1" s="1"/>
  <c r="S249" i="1"/>
  <c r="U249" i="1"/>
  <c r="AM249" i="1" s="1"/>
  <c r="AN249" i="1" s="1"/>
  <c r="S250" i="1"/>
  <c r="U250" i="1"/>
  <c r="AM250" i="1" s="1"/>
  <c r="AN250" i="1" s="1"/>
  <c r="S251" i="1"/>
  <c r="U251" i="1"/>
  <c r="AM251" i="1" s="1"/>
  <c r="AN251" i="1" s="1"/>
  <c r="S252" i="1"/>
  <c r="U252" i="1"/>
  <c r="AM252" i="1" s="1"/>
  <c r="AN252" i="1" s="1"/>
  <c r="S253" i="1"/>
  <c r="U253" i="1"/>
  <c r="AM253" i="1"/>
  <c r="S254" i="1"/>
  <c r="U254" i="1"/>
  <c r="AM254" i="1" s="1"/>
  <c r="AN254" i="1" s="1"/>
  <c r="S255" i="1"/>
  <c r="U255" i="1"/>
  <c r="AM255" i="1" s="1"/>
  <c r="AN255" i="1" s="1"/>
  <c r="S256" i="1"/>
  <c r="U256" i="1"/>
  <c r="AM256" i="1" s="1"/>
  <c r="AN256" i="1" s="1"/>
  <c r="S257" i="1"/>
  <c r="U257" i="1"/>
  <c r="AM257" i="1" s="1"/>
  <c r="AN257" i="1" s="1"/>
  <c r="S258" i="1"/>
  <c r="U258" i="1"/>
  <c r="AM258" i="1" s="1"/>
  <c r="AN258" i="1" s="1"/>
  <c r="S259" i="1"/>
  <c r="U259" i="1"/>
  <c r="AM259" i="1" s="1"/>
  <c r="S260" i="1"/>
  <c r="U260" i="1"/>
  <c r="AM260" i="1" s="1"/>
  <c r="S261" i="1"/>
  <c r="U261" i="1"/>
  <c r="AM261" i="1" s="1"/>
  <c r="S262" i="1"/>
  <c r="U262" i="1"/>
  <c r="AM262" i="1" s="1"/>
  <c r="AN262" i="1" s="1"/>
  <c r="S263" i="1"/>
  <c r="U263" i="1"/>
  <c r="AM263" i="1" s="1"/>
  <c r="S264" i="1"/>
  <c r="U264" i="1"/>
  <c r="AM264" i="1" s="1"/>
  <c r="S265" i="1"/>
  <c r="U265" i="1"/>
  <c r="AM265" i="1" s="1"/>
  <c r="S266" i="1"/>
  <c r="U266" i="1"/>
  <c r="AM266" i="1" s="1"/>
  <c r="S267" i="1"/>
  <c r="U267" i="1"/>
  <c r="AM267" i="1" s="1"/>
  <c r="AN267" i="1" s="1"/>
  <c r="S268" i="1"/>
  <c r="U268" i="1"/>
  <c r="AM268" i="1" s="1"/>
  <c r="S269" i="1"/>
  <c r="U269" i="1"/>
  <c r="AM269" i="1" s="1"/>
  <c r="AN269" i="1" s="1"/>
  <c r="S270" i="1"/>
  <c r="U270" i="1"/>
  <c r="AM270" i="1" s="1"/>
  <c r="AN270" i="1" s="1"/>
  <c r="S271" i="1"/>
  <c r="U271" i="1"/>
  <c r="AM271" i="1"/>
  <c r="AN271" i="1" s="1"/>
  <c r="S272" i="1"/>
  <c r="U272" i="1"/>
  <c r="AM272" i="1" s="1"/>
  <c r="AN272" i="1" s="1"/>
  <c r="S273" i="1"/>
  <c r="U273" i="1"/>
  <c r="AM273" i="1" s="1"/>
  <c r="S274" i="1"/>
  <c r="U274" i="1"/>
  <c r="AM274" i="1" s="1"/>
  <c r="AN274" i="1" s="1"/>
  <c r="S275" i="1"/>
  <c r="U275" i="1"/>
  <c r="AM275" i="1" s="1"/>
  <c r="AN275" i="1" s="1"/>
  <c r="S276" i="1"/>
  <c r="U276" i="1"/>
  <c r="AM276" i="1" s="1"/>
  <c r="AN276" i="1" s="1"/>
  <c r="S277" i="1"/>
  <c r="U277" i="1"/>
  <c r="AM277" i="1"/>
  <c r="AN277" i="1" s="1"/>
  <c r="S278" i="1"/>
  <c r="U278" i="1"/>
  <c r="AM278" i="1"/>
  <c r="AN278" i="1" s="1"/>
  <c r="S279" i="1"/>
  <c r="U279" i="1"/>
  <c r="AM279" i="1" s="1"/>
  <c r="AN279" i="1" s="1"/>
  <c r="S280" i="1"/>
  <c r="U280" i="1"/>
  <c r="AM280" i="1" s="1"/>
  <c r="AN280" i="1" s="1"/>
  <c r="S281" i="1"/>
  <c r="U281" i="1"/>
  <c r="AM281" i="1"/>
  <c r="S282" i="1"/>
  <c r="U282" i="1"/>
  <c r="AM282" i="1"/>
  <c r="S283" i="1"/>
  <c r="U283" i="1"/>
  <c r="AM283" i="1" s="1"/>
  <c r="S284" i="1"/>
  <c r="U284" i="1"/>
  <c r="AM284" i="1" s="1"/>
  <c r="S285" i="1"/>
  <c r="U285" i="1"/>
  <c r="AM285" i="1" s="1"/>
  <c r="S286" i="1"/>
  <c r="U286" i="1"/>
  <c r="AM286" i="1"/>
  <c r="AN286" i="1" s="1"/>
  <c r="S287" i="1"/>
  <c r="U287" i="1"/>
  <c r="AM287" i="1" s="1"/>
  <c r="AN287" i="1" s="1"/>
  <c r="S288" i="1"/>
  <c r="U288" i="1"/>
  <c r="AM288" i="1"/>
  <c r="AN288" i="1" s="1"/>
  <c r="S289" i="1"/>
  <c r="U289" i="1"/>
  <c r="AM289" i="1" s="1"/>
  <c r="AN289" i="1" s="1"/>
  <c r="S290" i="1"/>
  <c r="U290" i="1"/>
  <c r="AM290" i="1" s="1"/>
  <c r="AN290" i="1" s="1"/>
  <c r="S291" i="1"/>
  <c r="U291" i="1"/>
  <c r="AM291" i="1" s="1"/>
  <c r="AN291" i="1" s="1"/>
  <c r="S292" i="1"/>
  <c r="U292" i="1"/>
  <c r="AM292" i="1" s="1"/>
  <c r="AN292" i="1" s="1"/>
  <c r="S293" i="1"/>
  <c r="U293" i="1"/>
  <c r="AM293" i="1" s="1"/>
  <c r="AN293" i="1" s="1"/>
  <c r="S294" i="1"/>
  <c r="U294" i="1"/>
  <c r="AM294" i="1" s="1"/>
  <c r="AN294" i="1" s="1"/>
  <c r="S295" i="1"/>
  <c r="U295" i="1"/>
  <c r="AM295" i="1" s="1"/>
  <c r="AN295" i="1" s="1"/>
  <c r="S296" i="1"/>
  <c r="U296" i="1"/>
  <c r="AM296" i="1" s="1"/>
  <c r="AN296" i="1" s="1"/>
  <c r="S297" i="1"/>
  <c r="U297" i="1"/>
  <c r="AM297" i="1" s="1"/>
  <c r="AN297" i="1" s="1"/>
  <c r="S298" i="1"/>
  <c r="U298" i="1"/>
  <c r="AM298" i="1"/>
  <c r="AN298" i="1" s="1"/>
  <c r="S299" i="1"/>
  <c r="U299" i="1"/>
  <c r="AM299" i="1" s="1"/>
  <c r="S300" i="1"/>
  <c r="U300" i="1"/>
  <c r="AM300" i="1" s="1"/>
  <c r="S301" i="1"/>
  <c r="U301" i="1"/>
  <c r="AM301" i="1" s="1"/>
  <c r="S302" i="1"/>
  <c r="U302" i="1"/>
  <c r="AM302" i="1"/>
  <c r="S303" i="1"/>
  <c r="U303" i="1"/>
  <c r="AM303" i="1"/>
  <c r="S304" i="1"/>
  <c r="U304" i="1"/>
  <c r="AM304" i="1" s="1"/>
  <c r="S305" i="1"/>
  <c r="U305" i="1"/>
  <c r="AM305" i="1" s="1"/>
  <c r="S306" i="1"/>
  <c r="U306" i="1"/>
  <c r="AM306" i="1" s="1"/>
  <c r="AN306" i="1" s="1"/>
  <c r="S307" i="1"/>
  <c r="U307" i="1"/>
  <c r="AM307" i="1" s="1"/>
  <c r="AN307" i="1" s="1"/>
  <c r="S308" i="1"/>
  <c r="U308" i="1"/>
  <c r="AM308" i="1" s="1"/>
  <c r="AN308" i="1" s="1"/>
  <c r="S309" i="1"/>
  <c r="U309" i="1"/>
  <c r="AM309" i="1" s="1"/>
  <c r="AN309" i="1" s="1"/>
  <c r="S310" i="1"/>
  <c r="U310" i="1"/>
  <c r="AM310" i="1" s="1"/>
  <c r="AN310" i="1" s="1"/>
  <c r="S311" i="1"/>
  <c r="U311" i="1"/>
  <c r="AM311" i="1" s="1"/>
  <c r="S312" i="1"/>
  <c r="U312" i="1"/>
  <c r="AM312" i="1"/>
  <c r="AN312" i="1" s="1"/>
  <c r="S313" i="1"/>
  <c r="U313" i="1"/>
  <c r="AM313" i="1" s="1"/>
  <c r="S314" i="1"/>
  <c r="U314" i="1"/>
  <c r="AM314" i="1" s="1"/>
  <c r="AN314" i="1" s="1"/>
  <c r="S315" i="1"/>
  <c r="U315" i="1"/>
  <c r="AM315" i="1" s="1"/>
  <c r="AN315" i="1" s="1"/>
  <c r="S316" i="1"/>
  <c r="U316" i="1"/>
  <c r="AM316" i="1" s="1"/>
  <c r="AN316" i="1" s="1"/>
  <c r="AU316" i="1" s="1"/>
  <c r="S317" i="1"/>
  <c r="U317" i="1"/>
  <c r="AM317" i="1" s="1"/>
  <c r="AN317" i="1" s="1"/>
  <c r="S318" i="1"/>
  <c r="U318" i="1"/>
  <c r="AM318" i="1" s="1"/>
  <c r="S319" i="1"/>
  <c r="U319" i="1"/>
  <c r="AM319" i="1" s="1"/>
  <c r="S320" i="1"/>
  <c r="U320" i="1"/>
  <c r="AM320" i="1" s="1"/>
  <c r="S321" i="1"/>
  <c r="U321" i="1"/>
  <c r="AM321" i="1" s="1"/>
  <c r="AN321" i="1" s="1"/>
  <c r="S322" i="1"/>
  <c r="U322" i="1"/>
  <c r="AM322" i="1" s="1"/>
  <c r="S323" i="1"/>
  <c r="U323" i="1"/>
  <c r="AM323" i="1"/>
  <c r="AN323" i="1" s="1"/>
  <c r="AV323" i="1" s="1"/>
  <c r="S324" i="1"/>
  <c r="U324" i="1"/>
  <c r="AM324" i="1" s="1"/>
  <c r="AN324" i="1" s="1"/>
  <c r="AV324" i="1" s="1"/>
  <c r="S325" i="1"/>
  <c r="U325" i="1"/>
  <c r="AM325" i="1" s="1"/>
  <c r="S326" i="1"/>
  <c r="U326" i="1"/>
  <c r="AM326" i="1"/>
  <c r="AN326" i="1" s="1"/>
  <c r="S327" i="1"/>
  <c r="U327" i="1"/>
  <c r="AM327" i="1" s="1"/>
  <c r="AN327" i="1" s="1"/>
  <c r="S328" i="1"/>
  <c r="U328" i="1"/>
  <c r="AM328" i="1" s="1"/>
  <c r="AN328" i="1" s="1"/>
  <c r="S329" i="1"/>
  <c r="U329" i="1"/>
  <c r="AM329" i="1" s="1"/>
  <c r="AN329" i="1" s="1"/>
  <c r="S330" i="1"/>
  <c r="U330" i="1"/>
  <c r="AM330" i="1" s="1"/>
  <c r="AN330" i="1" s="1"/>
  <c r="S331" i="1"/>
  <c r="U331" i="1"/>
  <c r="AM331" i="1" s="1"/>
  <c r="AN331" i="1" s="1"/>
  <c r="S332" i="1"/>
  <c r="U332" i="1"/>
  <c r="AM332" i="1" s="1"/>
  <c r="AN332" i="1" s="1"/>
  <c r="S333" i="1"/>
  <c r="U333" i="1"/>
  <c r="AM333" i="1"/>
  <c r="AN333" i="1" s="1"/>
  <c r="S334" i="1"/>
  <c r="U334" i="1"/>
  <c r="AM334" i="1" s="1"/>
  <c r="AN334" i="1" s="1"/>
  <c r="S335" i="1"/>
  <c r="U335" i="1"/>
  <c r="AM335" i="1" s="1"/>
  <c r="AN335" i="1" s="1"/>
  <c r="S336" i="1"/>
  <c r="U336" i="1"/>
  <c r="AM336" i="1" s="1"/>
  <c r="AN336" i="1" s="1"/>
  <c r="S337" i="1"/>
  <c r="U337" i="1"/>
  <c r="AM337" i="1" s="1"/>
  <c r="AN337" i="1" s="1"/>
  <c r="S338" i="1"/>
  <c r="U338" i="1"/>
  <c r="AM338" i="1" s="1"/>
  <c r="AN338" i="1" s="1"/>
  <c r="S339" i="1"/>
  <c r="U339" i="1"/>
  <c r="AM339" i="1" s="1"/>
  <c r="S340" i="1"/>
  <c r="U340" i="1"/>
  <c r="AM340" i="1" s="1"/>
  <c r="AN340" i="1" s="1"/>
  <c r="S341" i="1"/>
  <c r="U341" i="1"/>
  <c r="AM341" i="1"/>
  <c r="AN341" i="1" s="1"/>
  <c r="AU341" i="1" s="1"/>
  <c r="S342" i="1"/>
  <c r="U342" i="1"/>
  <c r="AM342" i="1" s="1"/>
  <c r="S343" i="1"/>
  <c r="U343" i="1"/>
  <c r="AM343" i="1" s="1"/>
  <c r="S344" i="1"/>
  <c r="U344" i="1"/>
  <c r="AM344" i="1" s="1"/>
  <c r="S345" i="1"/>
  <c r="U345" i="1"/>
  <c r="AM345" i="1" s="1"/>
  <c r="S346" i="1"/>
  <c r="U346" i="1"/>
  <c r="AM346" i="1" s="1"/>
  <c r="S347" i="1"/>
  <c r="U347" i="1"/>
  <c r="AM347" i="1" s="1"/>
  <c r="AN347" i="1" s="1"/>
  <c r="S348" i="1"/>
  <c r="U348" i="1"/>
  <c r="AM348" i="1" s="1"/>
  <c r="AN348" i="1" s="1"/>
  <c r="S349" i="1"/>
  <c r="U349" i="1"/>
  <c r="AM349" i="1" s="1"/>
  <c r="AN349" i="1" s="1"/>
  <c r="AV349" i="1" s="1"/>
  <c r="S350" i="1"/>
  <c r="U350" i="1"/>
  <c r="AM350" i="1" s="1"/>
  <c r="AN350" i="1" s="1"/>
  <c r="S351" i="1"/>
  <c r="U351" i="1"/>
  <c r="AM351" i="1" s="1"/>
  <c r="S352" i="1"/>
  <c r="U352" i="1"/>
  <c r="AM352" i="1" s="1"/>
  <c r="AN352" i="1" s="1"/>
  <c r="S353" i="1"/>
  <c r="U353" i="1"/>
  <c r="AM353" i="1" s="1"/>
  <c r="AN353" i="1" s="1"/>
  <c r="S354" i="1"/>
  <c r="U354" i="1"/>
  <c r="AM354" i="1" s="1"/>
  <c r="AN354" i="1" s="1"/>
  <c r="S355" i="1"/>
  <c r="U355" i="1"/>
  <c r="AM355" i="1" s="1"/>
  <c r="AN355" i="1" s="1"/>
  <c r="S356" i="1"/>
  <c r="U356" i="1"/>
  <c r="AM356" i="1" s="1"/>
  <c r="AN356" i="1" s="1"/>
  <c r="S357" i="1"/>
  <c r="U357" i="1"/>
  <c r="AM357" i="1"/>
  <c r="AN357" i="1" s="1"/>
  <c r="S358" i="1"/>
  <c r="U358" i="1"/>
  <c r="AM358" i="1" s="1"/>
  <c r="AN358" i="1" s="1"/>
  <c r="S359" i="1"/>
  <c r="U359" i="1"/>
  <c r="AM359" i="1" s="1"/>
  <c r="S360" i="1"/>
  <c r="U360" i="1"/>
  <c r="AM360" i="1" s="1"/>
  <c r="AN360" i="1" s="1"/>
  <c r="S361" i="1"/>
  <c r="U361" i="1"/>
  <c r="AM361" i="1" s="1"/>
  <c r="S362" i="1"/>
  <c r="U362" i="1"/>
  <c r="AM362" i="1" s="1"/>
  <c r="S363" i="1"/>
  <c r="U363" i="1"/>
  <c r="AM363" i="1" s="1"/>
  <c r="S364" i="1"/>
  <c r="U364" i="1"/>
  <c r="AM364" i="1" s="1"/>
  <c r="S365" i="1"/>
  <c r="U365" i="1"/>
  <c r="AM365" i="1" s="1"/>
  <c r="S366" i="1"/>
  <c r="U366" i="1"/>
  <c r="AM366" i="1" s="1"/>
  <c r="AN366" i="1" s="1"/>
  <c r="S367" i="1"/>
  <c r="U367" i="1"/>
  <c r="AM367" i="1" s="1"/>
  <c r="S368" i="1"/>
  <c r="U368" i="1"/>
  <c r="AM368" i="1" s="1"/>
  <c r="AN368" i="1" s="1"/>
  <c r="S369" i="1"/>
  <c r="U369" i="1"/>
  <c r="AM369" i="1" s="1"/>
  <c r="AN369" i="1" s="1"/>
  <c r="S370" i="1"/>
  <c r="U370" i="1"/>
  <c r="AM370" i="1" s="1"/>
  <c r="S371" i="1"/>
  <c r="U371" i="1"/>
  <c r="AM371" i="1"/>
  <c r="AN371" i="1" s="1"/>
  <c r="S372" i="1"/>
  <c r="U372" i="1"/>
  <c r="AM372" i="1" s="1"/>
  <c r="AN372" i="1" s="1"/>
  <c r="S373" i="1"/>
  <c r="U373" i="1"/>
  <c r="AM373" i="1" s="1"/>
  <c r="AN373" i="1" s="1"/>
  <c r="S374" i="1"/>
  <c r="U374" i="1"/>
  <c r="AM374" i="1" s="1"/>
  <c r="AN374" i="1" s="1"/>
  <c r="AW374" i="1" s="1"/>
  <c r="S375" i="1"/>
  <c r="U375" i="1"/>
  <c r="AM375" i="1" s="1"/>
  <c r="AN375" i="1" s="1"/>
  <c r="S376" i="1"/>
  <c r="U376" i="1"/>
  <c r="AM376" i="1" s="1"/>
  <c r="AN376" i="1" s="1"/>
  <c r="S377" i="1"/>
  <c r="U377" i="1"/>
  <c r="AM377" i="1" s="1"/>
  <c r="AN377" i="1" s="1"/>
  <c r="S378" i="1"/>
  <c r="U378" i="1"/>
  <c r="AM378" i="1" s="1"/>
  <c r="AN378" i="1" s="1"/>
  <c r="AU378" i="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AN386" i="1" s="1"/>
  <c r="S387" i="1"/>
  <c r="U387" i="1"/>
  <c r="AM387" i="1"/>
  <c r="AN387" i="1" s="1"/>
  <c r="S388" i="1"/>
  <c r="U388" i="1"/>
  <c r="AM388" i="1" s="1"/>
  <c r="AN388" i="1" s="1"/>
  <c r="S389" i="1"/>
  <c r="U389" i="1"/>
  <c r="AM389" i="1" s="1"/>
  <c r="AN389" i="1" s="1"/>
  <c r="S390" i="1"/>
  <c r="U390" i="1"/>
  <c r="AM390" i="1" s="1"/>
  <c r="AN390" i="1" s="1"/>
  <c r="S391" i="1"/>
  <c r="U391" i="1"/>
  <c r="AM391" i="1" s="1"/>
  <c r="S392" i="1"/>
  <c r="U392" i="1"/>
  <c r="AM392" i="1" s="1"/>
  <c r="AN392" i="1" s="1"/>
  <c r="S393" i="1"/>
  <c r="U393" i="1"/>
  <c r="AM393" i="1" s="1"/>
  <c r="AN393" i="1" s="1"/>
  <c r="S394" i="1"/>
  <c r="U394" i="1"/>
  <c r="AM394" i="1" s="1"/>
  <c r="AN394" i="1" s="1"/>
  <c r="S395" i="1"/>
  <c r="U395" i="1"/>
  <c r="AM395" i="1" s="1"/>
  <c r="AN395" i="1" s="1"/>
  <c r="S396" i="1"/>
  <c r="U396" i="1"/>
  <c r="AM396" i="1"/>
  <c r="AN396" i="1" s="1"/>
  <c r="S397" i="1"/>
  <c r="U397" i="1"/>
  <c r="AM397" i="1" s="1"/>
  <c r="AN397" i="1" s="1"/>
  <c r="S398" i="1"/>
  <c r="U398" i="1"/>
  <c r="AM398" i="1" s="1"/>
  <c r="AN398" i="1" s="1"/>
  <c r="S399" i="1"/>
  <c r="U399" i="1"/>
  <c r="AM399" i="1" s="1"/>
  <c r="S400" i="1"/>
  <c r="U400" i="1"/>
  <c r="AM400" i="1" s="1"/>
  <c r="S401" i="1"/>
  <c r="U401" i="1"/>
  <c r="AM401" i="1" s="1"/>
  <c r="S402" i="1"/>
  <c r="U402" i="1"/>
  <c r="AM402" i="1" s="1"/>
  <c r="S403" i="1"/>
  <c r="U403" i="1"/>
  <c r="AM403" i="1" s="1"/>
  <c r="S404" i="1"/>
  <c r="U404" i="1"/>
  <c r="AM404" i="1" s="1"/>
  <c r="AN404" i="1" s="1"/>
  <c r="AW404" i="1" s="1"/>
  <c r="S405" i="1"/>
  <c r="U405" i="1"/>
  <c r="AM405" i="1" s="1"/>
  <c r="S406" i="1"/>
  <c r="U406" i="1"/>
  <c r="AM406" i="1" s="1"/>
  <c r="AN406" i="1" s="1"/>
  <c r="S407" i="1"/>
  <c r="U407" i="1"/>
  <c r="AM407" i="1" s="1"/>
  <c r="AN407" i="1" s="1"/>
  <c r="S408" i="1"/>
  <c r="U408" i="1"/>
  <c r="AM408" i="1" s="1"/>
  <c r="AN408" i="1" s="1"/>
  <c r="S409" i="1"/>
  <c r="U409" i="1"/>
  <c r="AM409" i="1" s="1"/>
  <c r="AN409" i="1" s="1"/>
  <c r="S410" i="1"/>
  <c r="U410" i="1"/>
  <c r="AM410" i="1" s="1"/>
  <c r="AN410" i="1" s="1"/>
  <c r="S411" i="1"/>
  <c r="U411" i="1"/>
  <c r="AM411" i="1" s="1"/>
  <c r="AN411" i="1" s="1"/>
  <c r="S412" i="1"/>
  <c r="U412" i="1"/>
  <c r="AM412" i="1" s="1"/>
  <c r="AN412" i="1" s="1"/>
  <c r="S413" i="1"/>
  <c r="U413" i="1"/>
  <c r="AM413" i="1" s="1"/>
  <c r="AN413" i="1" s="1"/>
  <c r="S414" i="1"/>
  <c r="U414" i="1"/>
  <c r="AM414" i="1" s="1"/>
  <c r="AN414" i="1" s="1"/>
  <c r="AW414" i="1" s="1"/>
  <c r="S415" i="1"/>
  <c r="U415" i="1"/>
  <c r="AM415" i="1" s="1"/>
  <c r="AN415" i="1" s="1"/>
  <c r="S416" i="1"/>
  <c r="U416" i="1"/>
  <c r="AM416" i="1" s="1"/>
  <c r="AN416" i="1" s="1"/>
  <c r="S417" i="1"/>
  <c r="U417" i="1"/>
  <c r="AM417" i="1" s="1"/>
  <c r="AN417" i="1" s="1"/>
  <c r="S418" i="1"/>
  <c r="U418" i="1"/>
  <c r="AM418" i="1" s="1"/>
  <c r="AN418" i="1" s="1"/>
  <c r="S419" i="1"/>
  <c r="U419" i="1"/>
  <c r="AM419" i="1" s="1"/>
  <c r="S420" i="1"/>
  <c r="U420" i="1"/>
  <c r="AM420" i="1"/>
  <c r="AN420" i="1" s="1"/>
  <c r="S421" i="1"/>
  <c r="U421" i="1"/>
  <c r="AM421" i="1" s="1"/>
  <c r="AN421" i="1" s="1"/>
  <c r="S422" i="1"/>
  <c r="U422" i="1"/>
  <c r="AM422" i="1" s="1"/>
  <c r="AN422" i="1" s="1"/>
  <c r="S423" i="1"/>
  <c r="U423" i="1"/>
  <c r="AM423" i="1" s="1"/>
  <c r="AN423" i="1" s="1"/>
  <c r="S424" i="1"/>
  <c r="U424" i="1"/>
  <c r="AM424" i="1" s="1"/>
  <c r="S425" i="1"/>
  <c r="U425" i="1"/>
  <c r="AM425" i="1" s="1"/>
  <c r="S426" i="1"/>
  <c r="U426" i="1"/>
  <c r="AM426" i="1" s="1"/>
  <c r="AN426" i="1" s="1"/>
  <c r="S427" i="1"/>
  <c r="U427" i="1"/>
  <c r="AM427" i="1" s="1"/>
  <c r="AN427" i="1" s="1"/>
  <c r="S428" i="1"/>
  <c r="U428" i="1"/>
  <c r="AM428" i="1" s="1"/>
  <c r="S429" i="1"/>
  <c r="U429" i="1"/>
  <c r="AM429" i="1" s="1"/>
  <c r="AN429" i="1" s="1"/>
  <c r="AU429" i="1" s="1"/>
  <c r="S430" i="1"/>
  <c r="U430" i="1"/>
  <c r="AM430" i="1" s="1"/>
  <c r="AN430" i="1" s="1"/>
  <c r="S431" i="1"/>
  <c r="U431" i="1"/>
  <c r="AM431" i="1" s="1"/>
  <c r="AN431" i="1" s="1"/>
  <c r="S432" i="1"/>
  <c r="U432" i="1"/>
  <c r="AM432" i="1" s="1"/>
  <c r="AN432" i="1" s="1"/>
  <c r="S433" i="1"/>
  <c r="U433" i="1"/>
  <c r="AM433" i="1" s="1"/>
  <c r="AN433" i="1" s="1"/>
  <c r="S434" i="1"/>
  <c r="U434" i="1"/>
  <c r="AM434" i="1" s="1"/>
  <c r="AN434" i="1" s="1"/>
  <c r="S435" i="1"/>
  <c r="U435" i="1"/>
  <c r="AM435" i="1" s="1"/>
  <c r="AN435" i="1" s="1"/>
  <c r="S436" i="1"/>
  <c r="U436" i="1"/>
  <c r="AM436" i="1" s="1"/>
  <c r="AN436" i="1" s="1"/>
  <c r="S437" i="1"/>
  <c r="U437" i="1"/>
  <c r="AM437" i="1" s="1"/>
  <c r="AN437" i="1" s="1"/>
  <c r="S438" i="1"/>
  <c r="U438" i="1"/>
  <c r="AM438" i="1" s="1"/>
  <c r="AN438" i="1" s="1"/>
  <c r="S439" i="1"/>
  <c r="U439" i="1"/>
  <c r="AM439" i="1" s="1"/>
  <c r="AN439" i="1" s="1"/>
  <c r="S440" i="1"/>
  <c r="U440" i="1"/>
  <c r="AM440" i="1" s="1"/>
  <c r="AN440" i="1" s="1"/>
  <c r="AV440" i="1"/>
  <c r="S441" i="1"/>
  <c r="U441" i="1"/>
  <c r="AM441" i="1" s="1"/>
  <c r="AN441" i="1" s="1"/>
  <c r="S442" i="1"/>
  <c r="U442" i="1"/>
  <c r="AM442" i="1" s="1"/>
  <c r="S443" i="1"/>
  <c r="U443" i="1"/>
  <c r="AM443" i="1" s="1"/>
  <c r="S444" i="1"/>
  <c r="U444" i="1"/>
  <c r="AM444" i="1" s="1"/>
  <c r="S445" i="1"/>
  <c r="U445" i="1"/>
  <c r="AM445" i="1" s="1"/>
  <c r="S446" i="1"/>
  <c r="U446" i="1"/>
  <c r="AM446" i="1" s="1"/>
  <c r="AN446" i="1" s="1"/>
  <c r="S447" i="1"/>
  <c r="U447" i="1"/>
  <c r="AM447" i="1" s="1"/>
  <c r="AN447" i="1" s="1"/>
  <c r="S448" i="1"/>
  <c r="U448" i="1"/>
  <c r="AM448" i="1" s="1"/>
  <c r="AN448" i="1" s="1"/>
  <c r="S449" i="1"/>
  <c r="U449" i="1"/>
  <c r="AM449" i="1" s="1"/>
  <c r="S450" i="1"/>
  <c r="U450" i="1"/>
  <c r="AM450" i="1"/>
  <c r="AN450" i="1" s="1"/>
  <c r="S451" i="1"/>
  <c r="U451" i="1"/>
  <c r="AM451" i="1" s="1"/>
  <c r="AN451" i="1" s="1"/>
  <c r="S452" i="1"/>
  <c r="U452" i="1"/>
  <c r="AM452" i="1" s="1"/>
  <c r="AN452" i="1" s="1"/>
  <c r="S453" i="1"/>
  <c r="U453" i="1"/>
  <c r="AM453" i="1" s="1"/>
  <c r="AN453" i="1" s="1"/>
  <c r="S454" i="1"/>
  <c r="U454" i="1"/>
  <c r="AM454" i="1"/>
  <c r="AN454" i="1" s="1"/>
  <c r="S455" i="1"/>
  <c r="U455" i="1"/>
  <c r="AM455" i="1" s="1"/>
  <c r="S456" i="1"/>
  <c r="U456" i="1"/>
  <c r="AM456" i="1" s="1"/>
  <c r="AN456" i="1" s="1"/>
  <c r="S457" i="1"/>
  <c r="U457" i="1"/>
  <c r="AM457" i="1" s="1"/>
  <c r="AN457" i="1" s="1"/>
  <c r="AU457" i="1"/>
  <c r="S458" i="1"/>
  <c r="U458" i="1"/>
  <c r="AM458" i="1" s="1"/>
  <c r="AN458" i="1" s="1"/>
  <c r="S459" i="1"/>
  <c r="U459" i="1"/>
  <c r="AM459" i="1" s="1"/>
  <c r="S460" i="1"/>
  <c r="U460" i="1"/>
  <c r="AM460" i="1" s="1"/>
  <c r="S461" i="1"/>
  <c r="U461" i="1"/>
  <c r="AM461" i="1" s="1"/>
  <c r="S462" i="1"/>
  <c r="U462" i="1"/>
  <c r="AM462" i="1" s="1"/>
  <c r="S463" i="1"/>
  <c r="U463" i="1"/>
  <c r="AM463" i="1" s="1"/>
  <c r="S464" i="1"/>
  <c r="U464" i="1"/>
  <c r="AM464" i="1" s="1"/>
  <c r="S465" i="1"/>
  <c r="U465" i="1"/>
  <c r="AM465" i="1"/>
  <c r="S466" i="1"/>
  <c r="U466" i="1"/>
  <c r="AM466" i="1" s="1"/>
  <c r="AN466" i="1" s="1"/>
  <c r="S467" i="1"/>
  <c r="U467" i="1"/>
  <c r="AM467" i="1" s="1"/>
  <c r="AN467" i="1" s="1"/>
  <c r="S468" i="1"/>
  <c r="U468" i="1"/>
  <c r="AM468" i="1" s="1"/>
  <c r="AN468" i="1" s="1"/>
  <c r="S469" i="1"/>
  <c r="U469" i="1"/>
  <c r="AM469" i="1" s="1"/>
  <c r="AN469" i="1" s="1"/>
  <c r="S470" i="1"/>
  <c r="U470" i="1"/>
  <c r="AM470" i="1" s="1"/>
  <c r="AN470" i="1" s="1"/>
  <c r="S471" i="1"/>
  <c r="U471" i="1"/>
  <c r="AM471" i="1" s="1"/>
  <c r="AN471" i="1" s="1"/>
  <c r="AU471" i="1" s="1"/>
  <c r="S472" i="1"/>
  <c r="U472" i="1"/>
  <c r="AM472" i="1" s="1"/>
  <c r="AN472" i="1" s="1"/>
  <c r="S473" i="1"/>
  <c r="U473" i="1"/>
  <c r="AM473" i="1" s="1"/>
  <c r="AN473" i="1" s="1"/>
  <c r="S474" i="1"/>
  <c r="U474" i="1"/>
  <c r="AM474" i="1"/>
  <c r="AN474" i="1" s="1"/>
  <c r="S475" i="1"/>
  <c r="U475" i="1"/>
  <c r="AM475" i="1" s="1"/>
  <c r="AN475" i="1" s="1"/>
  <c r="S476" i="1"/>
  <c r="U476" i="1"/>
  <c r="AM476" i="1" s="1"/>
  <c r="AN476" i="1" s="1"/>
  <c r="S477" i="1"/>
  <c r="U477" i="1"/>
  <c r="AM477" i="1" s="1"/>
  <c r="AN477" i="1" s="1"/>
  <c r="S478" i="1"/>
  <c r="U478" i="1"/>
  <c r="AM478" i="1" s="1"/>
  <c r="AN478" i="1" s="1"/>
  <c r="S479" i="1"/>
  <c r="U479" i="1"/>
  <c r="AM479" i="1"/>
  <c r="S480" i="1"/>
  <c r="U480" i="1"/>
  <c r="AM480" i="1" s="1"/>
  <c r="S481" i="1"/>
  <c r="U481" i="1"/>
  <c r="AM481" i="1" s="1"/>
  <c r="S482" i="1"/>
  <c r="U482" i="1"/>
  <c r="AM482" i="1" s="1"/>
  <c r="S483" i="1"/>
  <c r="U483" i="1"/>
  <c r="AM483" i="1" s="1"/>
  <c r="S484" i="1"/>
  <c r="U484" i="1"/>
  <c r="AM484" i="1"/>
  <c r="S485" i="1"/>
  <c r="U485" i="1"/>
  <c r="AM485" i="1" s="1"/>
  <c r="AN485" i="1" s="1"/>
  <c r="S486" i="1"/>
  <c r="U486" i="1"/>
  <c r="AM486" i="1" s="1"/>
  <c r="AN486" i="1" s="1"/>
  <c r="S487" i="1"/>
  <c r="U487" i="1"/>
  <c r="AM487" i="1" s="1"/>
  <c r="AN487" i="1" s="1"/>
  <c r="S488" i="1"/>
  <c r="U488" i="1"/>
  <c r="AM488" i="1" s="1"/>
  <c r="AN488" i="1" s="1"/>
  <c r="AV488" i="1" s="1"/>
  <c r="S489" i="1"/>
  <c r="U489" i="1"/>
  <c r="AM489" i="1" s="1"/>
  <c r="AN489" i="1" s="1"/>
  <c r="S490" i="1"/>
  <c r="U490" i="1"/>
  <c r="AM490" i="1" s="1"/>
  <c r="AN490" i="1" s="1"/>
  <c r="S491" i="1"/>
  <c r="U491" i="1"/>
  <c r="AM491" i="1" s="1"/>
  <c r="AN491" i="1" s="1"/>
  <c r="S492" i="1"/>
  <c r="U492" i="1"/>
  <c r="AM492" i="1" s="1"/>
  <c r="AN492" i="1" s="1"/>
  <c r="S493" i="1"/>
  <c r="U493" i="1"/>
  <c r="AM493" i="1" s="1"/>
  <c r="AN493" i="1" s="1"/>
  <c r="S494" i="1"/>
  <c r="U494" i="1"/>
  <c r="AM494" i="1"/>
  <c r="AN494" i="1" s="1"/>
  <c r="S495" i="1"/>
  <c r="U495" i="1"/>
  <c r="AM495" i="1" s="1"/>
  <c r="AN495" i="1" s="1"/>
  <c r="AV495" i="1" s="1"/>
  <c r="S496" i="1"/>
  <c r="U496" i="1"/>
  <c r="AM496" i="1" s="1"/>
  <c r="AN496" i="1" s="1"/>
  <c r="S497" i="1"/>
  <c r="U497" i="1"/>
  <c r="AM497" i="1" s="1"/>
  <c r="AN497" i="1" s="1"/>
  <c r="S498" i="1"/>
  <c r="U498" i="1"/>
  <c r="AM498" i="1" s="1"/>
  <c r="AN498" i="1" s="1"/>
  <c r="S499" i="1"/>
  <c r="U499" i="1"/>
  <c r="AM499" i="1" s="1"/>
  <c r="S500" i="1"/>
  <c r="U500" i="1"/>
  <c r="AM500" i="1" s="1"/>
  <c r="AN500" i="1" s="1"/>
  <c r="S501" i="1"/>
  <c r="U501" i="1"/>
  <c r="AM501" i="1" s="1"/>
  <c r="S502" i="1"/>
  <c r="U502" i="1"/>
  <c r="AM502" i="1" s="1"/>
  <c r="S503" i="1"/>
  <c r="U503" i="1"/>
  <c r="AM503" i="1" s="1"/>
  <c r="S504" i="1"/>
  <c r="U504" i="1"/>
  <c r="AM504" i="1" s="1"/>
  <c r="AN504" i="1" s="1"/>
  <c r="S505" i="1"/>
  <c r="U505" i="1"/>
  <c r="AM505" i="1"/>
  <c r="S506" i="1"/>
  <c r="U506" i="1"/>
  <c r="AM506" i="1" s="1"/>
  <c r="AN506" i="1" s="1"/>
  <c r="S507" i="1"/>
  <c r="U507" i="1"/>
  <c r="AM507" i="1" s="1"/>
  <c r="AN507" i="1" s="1"/>
  <c r="S508" i="1"/>
  <c r="U508" i="1"/>
  <c r="AM508" i="1" s="1"/>
  <c r="S509" i="1"/>
  <c r="U509" i="1"/>
  <c r="AM509" i="1" s="1"/>
  <c r="AN509" i="1" s="1"/>
  <c r="S510" i="1"/>
  <c r="U510" i="1"/>
  <c r="AM510" i="1" s="1"/>
  <c r="AN510" i="1" s="1"/>
  <c r="S511" i="1"/>
  <c r="U511" i="1"/>
  <c r="AM511" i="1" s="1"/>
  <c r="AN511" i="1" s="1"/>
  <c r="S512" i="1"/>
  <c r="U512" i="1"/>
  <c r="AM512" i="1" s="1"/>
  <c r="AN512" i="1" s="1"/>
  <c r="S513" i="1"/>
  <c r="U513" i="1"/>
  <c r="AM513" i="1" s="1"/>
  <c r="AN513" i="1" s="1"/>
  <c r="S514" i="1"/>
  <c r="U514" i="1"/>
  <c r="AM514" i="1" s="1"/>
  <c r="AN514" i="1" s="1"/>
  <c r="S515" i="1"/>
  <c r="U515" i="1"/>
  <c r="AM515" i="1" s="1"/>
  <c r="AN515" i="1" s="1"/>
  <c r="S516" i="1"/>
  <c r="U516" i="1"/>
  <c r="AM516" i="1" s="1"/>
  <c r="AN516" i="1" s="1"/>
  <c r="S517" i="1"/>
  <c r="U517" i="1"/>
  <c r="AM517" i="1" s="1"/>
  <c r="AN517" i="1" s="1"/>
  <c r="S518" i="1"/>
  <c r="U518" i="1"/>
  <c r="AM518" i="1" s="1"/>
  <c r="AN518" i="1" s="1"/>
  <c r="S519" i="1"/>
  <c r="U519" i="1"/>
  <c r="AM519" i="1" s="1"/>
  <c r="S520" i="1"/>
  <c r="U520" i="1"/>
  <c r="AM520" i="1" s="1"/>
  <c r="S521" i="1"/>
  <c r="U521" i="1"/>
  <c r="AM521" i="1" s="1"/>
  <c r="S522" i="1"/>
  <c r="U522" i="1"/>
  <c r="AM522" i="1" s="1"/>
  <c r="AN522" i="1" s="1"/>
  <c r="S523" i="1"/>
  <c r="U523" i="1"/>
  <c r="AM523" i="1" s="1"/>
  <c r="AN523" i="1" s="1"/>
  <c r="S524" i="1"/>
  <c r="U524" i="1"/>
  <c r="AM524" i="1"/>
  <c r="S525" i="1"/>
  <c r="U525" i="1"/>
  <c r="AM525" i="1" s="1"/>
  <c r="S526" i="1"/>
  <c r="U526" i="1"/>
  <c r="AM526" i="1" s="1"/>
  <c r="AN526" i="1" s="1"/>
  <c r="S527" i="1"/>
  <c r="U527" i="1"/>
  <c r="AM527" i="1" s="1"/>
  <c r="AN527" i="1" s="1"/>
  <c r="S528" i="1"/>
  <c r="U528" i="1"/>
  <c r="AM528" i="1" s="1"/>
  <c r="AN528" i="1" s="1"/>
  <c r="S529" i="1"/>
  <c r="U529" i="1"/>
  <c r="AM529" i="1" s="1"/>
  <c r="AN529" i="1" s="1"/>
  <c r="S530" i="1"/>
  <c r="U530" i="1"/>
  <c r="AM530" i="1" s="1"/>
  <c r="AN530" i="1" s="1"/>
  <c r="S531" i="1"/>
  <c r="U531" i="1"/>
  <c r="AM531" i="1" s="1"/>
  <c r="AN531" i="1" s="1"/>
  <c r="S532" i="1"/>
  <c r="U532" i="1"/>
  <c r="AM532" i="1" s="1"/>
  <c r="AN532" i="1" s="1"/>
  <c r="S533" i="1"/>
  <c r="U533" i="1"/>
  <c r="AM533" i="1" s="1"/>
  <c r="AN533" i="1" s="1"/>
  <c r="S534" i="1"/>
  <c r="U534" i="1"/>
  <c r="AM534" i="1" s="1"/>
  <c r="AN534" i="1" s="1"/>
  <c r="S535" i="1"/>
  <c r="U535" i="1"/>
  <c r="AM535" i="1" s="1"/>
  <c r="AN535" i="1" s="1"/>
  <c r="AU535" i="1" s="1"/>
  <c r="S536" i="1"/>
  <c r="U536" i="1"/>
  <c r="AM536" i="1" s="1"/>
  <c r="AN536" i="1" s="1"/>
  <c r="S537" i="1"/>
  <c r="U537" i="1"/>
  <c r="AM537" i="1" s="1"/>
  <c r="AN537" i="1" s="1"/>
  <c r="S538" i="1"/>
  <c r="U538" i="1"/>
  <c r="AM538" i="1" s="1"/>
  <c r="AN538" i="1" s="1"/>
  <c r="S539" i="1"/>
  <c r="U539" i="1"/>
  <c r="AM539" i="1" s="1"/>
  <c r="AN539" i="1" s="1"/>
  <c r="S540" i="1"/>
  <c r="U540" i="1"/>
  <c r="AM540" i="1" s="1"/>
  <c r="AN540" i="1" s="1"/>
  <c r="S541" i="1"/>
  <c r="U541" i="1"/>
  <c r="AM541" i="1" s="1"/>
  <c r="AN541" i="1" s="1"/>
  <c r="S542" i="1"/>
  <c r="U542" i="1"/>
  <c r="AM542" i="1" s="1"/>
  <c r="S543" i="1"/>
  <c r="U543" i="1"/>
  <c r="AM543" i="1" s="1"/>
  <c r="S544" i="1"/>
  <c r="U544" i="1"/>
  <c r="AM544" i="1" s="1"/>
  <c r="S545" i="1"/>
  <c r="U545" i="1"/>
  <c r="AM545" i="1"/>
  <c r="S546" i="1"/>
  <c r="U546" i="1"/>
  <c r="AM546" i="1" s="1"/>
  <c r="AN546" i="1" s="1"/>
  <c r="S547" i="1"/>
  <c r="U547" i="1"/>
  <c r="AM547" i="1" s="1"/>
  <c r="AN547" i="1" s="1"/>
  <c r="S548" i="1"/>
  <c r="U548" i="1"/>
  <c r="AM548" i="1" s="1"/>
  <c r="AN548" i="1" s="1"/>
  <c r="S549" i="1"/>
  <c r="U549" i="1"/>
  <c r="AM549" i="1" s="1"/>
  <c r="AN549" i="1" s="1"/>
  <c r="S550" i="1"/>
  <c r="U550" i="1"/>
  <c r="AM550" i="1" s="1"/>
  <c r="S551" i="1"/>
  <c r="U551" i="1"/>
  <c r="AM551" i="1" s="1"/>
  <c r="AN551" i="1" s="1"/>
  <c r="AV551" i="1" s="1"/>
  <c r="S552" i="1"/>
  <c r="U552" i="1"/>
  <c r="AM552" i="1" s="1"/>
  <c r="AN552" i="1" s="1"/>
  <c r="S553" i="1"/>
  <c r="U553" i="1"/>
  <c r="AM553" i="1" s="1"/>
  <c r="AN553" i="1" s="1"/>
  <c r="S554" i="1"/>
  <c r="U554" i="1"/>
  <c r="AM554" i="1"/>
  <c r="AN554" i="1" s="1"/>
  <c r="S555" i="1"/>
  <c r="U555" i="1"/>
  <c r="AM555" i="1" s="1"/>
  <c r="AN555" i="1" s="1"/>
  <c r="AU555" i="1" s="1"/>
  <c r="S556" i="1"/>
  <c r="U556" i="1"/>
  <c r="AM556" i="1" s="1"/>
  <c r="AN556" i="1" s="1"/>
  <c r="S557" i="1"/>
  <c r="U557" i="1"/>
  <c r="AM557" i="1" s="1"/>
  <c r="AN557" i="1" s="1"/>
  <c r="S558" i="1"/>
  <c r="U558" i="1"/>
  <c r="AM558" i="1" s="1"/>
  <c r="AN558" i="1" s="1"/>
  <c r="S559" i="1"/>
  <c r="U559" i="1"/>
  <c r="AM559" i="1" s="1"/>
  <c r="AN559" i="1" s="1"/>
  <c r="S560" i="1"/>
  <c r="U560" i="1"/>
  <c r="AM560" i="1" s="1"/>
  <c r="S561" i="1"/>
  <c r="U561" i="1"/>
  <c r="AM561" i="1" s="1"/>
  <c r="S562" i="1"/>
  <c r="U562" i="1"/>
  <c r="AM562" i="1" s="1"/>
  <c r="S563" i="1"/>
  <c r="U563" i="1"/>
  <c r="AM563" i="1" s="1"/>
  <c r="S564" i="1"/>
  <c r="U564" i="1"/>
  <c r="AM564" i="1"/>
  <c r="S565" i="1"/>
  <c r="U565" i="1"/>
  <c r="AM565" i="1" s="1"/>
  <c r="S566" i="1"/>
  <c r="U566" i="1"/>
  <c r="AM566" i="1" s="1"/>
  <c r="S567" i="1"/>
  <c r="U567" i="1"/>
  <c r="AM567" i="1" s="1"/>
  <c r="AN567" i="1" s="1"/>
  <c r="S568" i="1"/>
  <c r="U568" i="1"/>
  <c r="AM568" i="1" s="1"/>
  <c r="AN568" i="1" s="1"/>
  <c r="AU568" i="1"/>
  <c r="S569" i="1"/>
  <c r="U569" i="1"/>
  <c r="AM569" i="1" s="1"/>
  <c r="AN569" i="1" s="1"/>
  <c r="S570" i="1"/>
  <c r="U570" i="1"/>
  <c r="AM570" i="1" s="1"/>
  <c r="AN570" i="1" s="1"/>
  <c r="S571" i="1"/>
  <c r="U571" i="1"/>
  <c r="AM571" i="1" s="1"/>
  <c r="AN571" i="1" s="1"/>
  <c r="S572" i="1"/>
  <c r="U572" i="1"/>
  <c r="AM572" i="1" s="1"/>
  <c r="AN572" i="1" s="1"/>
  <c r="S573" i="1"/>
  <c r="U573" i="1"/>
  <c r="AM573" i="1" s="1"/>
  <c r="AN573" i="1" s="1"/>
  <c r="S574" i="1"/>
  <c r="U574" i="1"/>
  <c r="AM574" i="1" s="1"/>
  <c r="AN574" i="1" s="1"/>
  <c r="S575" i="1"/>
  <c r="U575" i="1"/>
  <c r="AM575" i="1"/>
  <c r="AN575" i="1" s="1"/>
  <c r="AU575" i="1" s="1"/>
  <c r="S576" i="1"/>
  <c r="U576" i="1"/>
  <c r="AM576" i="1" s="1"/>
  <c r="AN576" i="1" s="1"/>
  <c r="S577" i="1"/>
  <c r="U577" i="1"/>
  <c r="AM577" i="1" s="1"/>
  <c r="AN577" i="1" s="1"/>
  <c r="S578" i="1"/>
  <c r="U578" i="1"/>
  <c r="AM578" i="1" s="1"/>
  <c r="AN578" i="1" s="1"/>
  <c r="S579" i="1"/>
  <c r="U579" i="1"/>
  <c r="AM579" i="1"/>
  <c r="S580" i="1"/>
  <c r="U580" i="1"/>
  <c r="AM580" i="1" s="1"/>
  <c r="S581" i="1"/>
  <c r="U581" i="1"/>
  <c r="AM581" i="1" s="1"/>
  <c r="S582" i="1"/>
  <c r="U582" i="1"/>
  <c r="AM582" i="1" s="1"/>
  <c r="S583" i="1"/>
  <c r="U583" i="1"/>
  <c r="AM583" i="1" s="1"/>
  <c r="S584" i="1"/>
  <c r="U584" i="1"/>
  <c r="AM584" i="1"/>
  <c r="S585" i="1"/>
  <c r="U585" i="1"/>
  <c r="AM585" i="1"/>
  <c r="AN585" i="1" s="1"/>
  <c r="S586" i="1"/>
  <c r="U586" i="1"/>
  <c r="AM586" i="1" s="1"/>
  <c r="AN586" i="1" s="1"/>
  <c r="S587" i="1"/>
  <c r="U587" i="1"/>
  <c r="AM587" i="1" s="1"/>
  <c r="AN587" i="1" s="1"/>
  <c r="S588" i="1"/>
  <c r="U588" i="1"/>
  <c r="AM588" i="1" s="1"/>
  <c r="AN588" i="1" s="1"/>
  <c r="S589" i="1"/>
  <c r="U589" i="1"/>
  <c r="AM589" i="1" s="1"/>
  <c r="S590" i="1"/>
  <c r="U590" i="1"/>
  <c r="AM590" i="1" s="1"/>
  <c r="AN590" i="1" s="1"/>
  <c r="S591" i="1"/>
  <c r="U591" i="1"/>
  <c r="AM591" i="1" s="1"/>
  <c r="AN591" i="1" s="1"/>
  <c r="S592" i="1"/>
  <c r="U592" i="1"/>
  <c r="AM592" i="1" s="1"/>
  <c r="AN592" i="1" s="1"/>
  <c r="S593" i="1"/>
  <c r="U593" i="1"/>
  <c r="AM593" i="1" s="1"/>
  <c r="S594" i="1"/>
  <c r="U594" i="1"/>
  <c r="AM594" i="1"/>
  <c r="S595" i="1"/>
  <c r="U595" i="1"/>
  <c r="AM595" i="1" s="1"/>
  <c r="AN595" i="1" s="1"/>
  <c r="S596" i="1"/>
  <c r="U596" i="1"/>
  <c r="AM596" i="1"/>
  <c r="AN596" i="1" s="1"/>
  <c r="S597" i="1"/>
  <c r="U597" i="1"/>
  <c r="AM597" i="1" s="1"/>
  <c r="AN597" i="1" s="1"/>
  <c r="S598" i="1"/>
  <c r="U598" i="1"/>
  <c r="AM598" i="1" s="1"/>
  <c r="AN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AN606" i="1" s="1"/>
  <c r="S607" i="1"/>
  <c r="U607" i="1"/>
  <c r="AM607" i="1" s="1"/>
  <c r="AN607" i="1" s="1"/>
  <c r="S608" i="1"/>
  <c r="U608" i="1"/>
  <c r="AM608" i="1" s="1"/>
  <c r="AN608" i="1" s="1"/>
  <c r="S609" i="1"/>
  <c r="U609" i="1"/>
  <c r="AM609" i="1"/>
  <c r="AN609" i="1" s="1"/>
  <c r="S610" i="1"/>
  <c r="U610" i="1"/>
  <c r="AM610" i="1" s="1"/>
  <c r="S611" i="1"/>
  <c r="U611" i="1"/>
  <c r="AM611" i="1" s="1"/>
  <c r="AN611" i="1" s="1"/>
  <c r="S612" i="1"/>
  <c r="U612" i="1"/>
  <c r="AM612" i="1" s="1"/>
  <c r="AN612" i="1" s="1"/>
  <c r="S613" i="1"/>
  <c r="U613" i="1"/>
  <c r="AM613" i="1" s="1"/>
  <c r="AN613" i="1" s="1"/>
  <c r="S614" i="1"/>
  <c r="U614" i="1"/>
  <c r="AM614" i="1" s="1"/>
  <c r="AN614" i="1" s="1"/>
  <c r="AV614" i="1" s="1"/>
  <c r="S615" i="1"/>
  <c r="U615" i="1"/>
  <c r="AM615" i="1" s="1"/>
  <c r="AN615" i="1" s="1"/>
  <c r="S616" i="1"/>
  <c r="U616" i="1"/>
  <c r="AM616" i="1" s="1"/>
  <c r="AN616" i="1" s="1"/>
  <c r="S617" i="1"/>
  <c r="U617" i="1"/>
  <c r="AM617" i="1" s="1"/>
  <c r="AN617" i="1" s="1"/>
  <c r="S618" i="1"/>
  <c r="U618" i="1"/>
  <c r="AM618" i="1" s="1"/>
  <c r="AN618" i="1" s="1"/>
  <c r="S619" i="1"/>
  <c r="U619" i="1"/>
  <c r="AM619" i="1" s="1"/>
  <c r="S620" i="1"/>
  <c r="U620" i="1"/>
  <c r="AM620" i="1"/>
  <c r="S621" i="1"/>
  <c r="U621" i="1"/>
  <c r="AM621" i="1" s="1"/>
  <c r="AN621" i="1" s="1"/>
  <c r="S622" i="1"/>
  <c r="U622" i="1"/>
  <c r="AM622" i="1" s="1"/>
  <c r="AN622" i="1" s="1"/>
  <c r="S623" i="1"/>
  <c r="U623" i="1"/>
  <c r="AM623" i="1" s="1"/>
  <c r="AN623" i="1" s="1"/>
  <c r="S624" i="1"/>
  <c r="U624" i="1"/>
  <c r="AM624" i="1" s="1"/>
  <c r="S625" i="1"/>
  <c r="U625" i="1"/>
  <c r="AM625" i="1" s="1"/>
  <c r="S626" i="1"/>
  <c r="U626" i="1"/>
  <c r="AM626" i="1"/>
  <c r="AN626" i="1" s="1"/>
  <c r="S627" i="1"/>
  <c r="U627" i="1"/>
  <c r="AM627" i="1" s="1"/>
  <c r="AN627" i="1" s="1"/>
  <c r="S628" i="1"/>
  <c r="U628" i="1"/>
  <c r="AM628" i="1"/>
  <c r="S629" i="1"/>
  <c r="U629" i="1"/>
  <c r="AM629" i="1" s="1"/>
  <c r="S630" i="1"/>
  <c r="U630" i="1"/>
  <c r="AM630" i="1" s="1"/>
  <c r="S631" i="1"/>
  <c r="U631" i="1"/>
  <c r="AM631" i="1" s="1"/>
  <c r="S632" i="1"/>
  <c r="U632" i="1"/>
  <c r="AM632" i="1" s="1"/>
  <c r="AN632" i="1" s="1"/>
  <c r="S633" i="1"/>
  <c r="U633" i="1"/>
  <c r="AM633" i="1" s="1"/>
  <c r="AN633" i="1" s="1"/>
  <c r="S634" i="1"/>
  <c r="U634" i="1"/>
  <c r="AM634" i="1" s="1"/>
  <c r="AN634" i="1" s="1"/>
  <c r="S635" i="1"/>
  <c r="U635" i="1"/>
  <c r="AM635" i="1" s="1"/>
  <c r="AN635" i="1" s="1"/>
  <c r="S636" i="1"/>
  <c r="U636" i="1"/>
  <c r="AM636" i="1" s="1"/>
  <c r="AN636" i="1" s="1"/>
  <c r="S637" i="1"/>
  <c r="U637" i="1"/>
  <c r="AM637" i="1" s="1"/>
  <c r="AN637" i="1" s="1"/>
  <c r="S638" i="1"/>
  <c r="U638" i="1"/>
  <c r="AM638" i="1" s="1"/>
  <c r="AN638" i="1" s="1"/>
  <c r="S639" i="1"/>
  <c r="U639" i="1"/>
  <c r="AM639" i="1" s="1"/>
  <c r="AN639" i="1" s="1"/>
  <c r="S640" i="1"/>
  <c r="U640" i="1"/>
  <c r="AM640" i="1" s="1"/>
  <c r="AN640" i="1" s="1"/>
  <c r="S641" i="1"/>
  <c r="U641" i="1"/>
  <c r="AM641" i="1" s="1"/>
  <c r="AN641" i="1" s="1"/>
  <c r="S642" i="1"/>
  <c r="U642" i="1"/>
  <c r="AM642" i="1" s="1"/>
  <c r="S643" i="1"/>
  <c r="U643" i="1"/>
  <c r="AM643" i="1" s="1"/>
  <c r="S644" i="1"/>
  <c r="U644" i="1"/>
  <c r="AM644" i="1" s="1"/>
  <c r="AN644" i="1" s="1"/>
  <c r="S645" i="1"/>
  <c r="U645" i="1"/>
  <c r="AM645" i="1" s="1"/>
  <c r="S646" i="1"/>
  <c r="U646" i="1"/>
  <c r="AM646" i="1" s="1"/>
  <c r="AN646" i="1" s="1"/>
  <c r="S647" i="1"/>
  <c r="U647" i="1"/>
  <c r="AM647" i="1" s="1"/>
  <c r="AN647" i="1" s="1"/>
  <c r="S648" i="1"/>
  <c r="U648" i="1"/>
  <c r="AM648" i="1" s="1"/>
  <c r="S649" i="1"/>
  <c r="U649" i="1"/>
  <c r="AM649" i="1" s="1"/>
  <c r="AN649" i="1" s="1"/>
  <c r="S650" i="1"/>
  <c r="U650" i="1"/>
  <c r="AM650" i="1" s="1"/>
  <c r="AN650" i="1" s="1"/>
  <c r="S651" i="1"/>
  <c r="U651" i="1"/>
  <c r="AM651" i="1" s="1"/>
  <c r="AN651" i="1" s="1"/>
  <c r="S652" i="1"/>
  <c r="U652" i="1"/>
  <c r="AM652" i="1" s="1"/>
  <c r="AN652" i="1" s="1"/>
  <c r="S653" i="1"/>
  <c r="U653" i="1"/>
  <c r="AM653" i="1" s="1"/>
  <c r="AN653" i="1" s="1"/>
  <c r="S654" i="1"/>
  <c r="U654" i="1"/>
  <c r="AM654" i="1" s="1"/>
  <c r="AN654" i="1" s="1"/>
  <c r="S655" i="1"/>
  <c r="U655" i="1"/>
  <c r="AM655" i="1" s="1"/>
  <c r="AN655" i="1" s="1"/>
  <c r="S656" i="1"/>
  <c r="U656" i="1"/>
  <c r="AM656" i="1" s="1"/>
  <c r="AN656" i="1" s="1"/>
  <c r="S657" i="1"/>
  <c r="U657" i="1"/>
  <c r="AM657" i="1" s="1"/>
  <c r="AN657" i="1" s="1"/>
  <c r="S658" i="1"/>
  <c r="U658" i="1"/>
  <c r="AM658" i="1" s="1"/>
  <c r="AN658" i="1" s="1"/>
  <c r="S659" i="1"/>
  <c r="U659" i="1"/>
  <c r="AM659" i="1" s="1"/>
  <c r="AN659" i="1" s="1"/>
  <c r="S660" i="1"/>
  <c r="U660" i="1"/>
  <c r="AM660" i="1" s="1"/>
  <c r="AN660" i="1" s="1"/>
  <c r="S661" i="1"/>
  <c r="U661" i="1"/>
  <c r="AM661" i="1" s="1"/>
  <c r="S662" i="1"/>
  <c r="U662" i="1"/>
  <c r="AM662" i="1" s="1"/>
  <c r="S663" i="1"/>
  <c r="U663" i="1"/>
  <c r="AM663" i="1" s="1"/>
  <c r="S664" i="1"/>
  <c r="U664" i="1"/>
  <c r="AM664" i="1" s="1"/>
  <c r="S665" i="1"/>
  <c r="U665" i="1"/>
  <c r="AM665" i="1" s="1"/>
  <c r="S666" i="1"/>
  <c r="U666" i="1"/>
  <c r="AM666" i="1"/>
  <c r="AN666" i="1" s="1"/>
  <c r="S667" i="1"/>
  <c r="U667" i="1"/>
  <c r="AM667" i="1" s="1"/>
  <c r="AN667" i="1" s="1"/>
  <c r="AV667" i="1" s="1"/>
  <c r="S668" i="1"/>
  <c r="U668" i="1"/>
  <c r="AM668" i="1" s="1"/>
  <c r="AN668" i="1" s="1"/>
  <c r="S669" i="1"/>
  <c r="U669" i="1"/>
  <c r="AM669" i="1" s="1"/>
  <c r="AN669" i="1" s="1"/>
  <c r="S670" i="1"/>
  <c r="U670" i="1"/>
  <c r="AM670" i="1" s="1"/>
  <c r="AN670" i="1" s="1"/>
  <c r="S671" i="1"/>
  <c r="U671" i="1"/>
  <c r="AM671" i="1" s="1"/>
  <c r="AN671" i="1" s="1"/>
  <c r="S672" i="1"/>
  <c r="U672" i="1"/>
  <c r="AM672" i="1" s="1"/>
  <c r="AN672" i="1" s="1"/>
  <c r="S673" i="1"/>
  <c r="U673" i="1"/>
  <c r="AM673" i="1" s="1"/>
  <c r="AN673" i="1" s="1"/>
  <c r="S674" i="1"/>
  <c r="U674" i="1"/>
  <c r="AM674" i="1" s="1"/>
  <c r="AN674" i="1" s="1"/>
  <c r="S675" i="1"/>
  <c r="U675" i="1"/>
  <c r="AM675" i="1" s="1"/>
  <c r="AN675" i="1" s="1"/>
  <c r="S676" i="1"/>
  <c r="U676" i="1"/>
  <c r="AM676" i="1"/>
  <c r="AN676" i="1" s="1"/>
  <c r="S677" i="1"/>
  <c r="U677" i="1"/>
  <c r="AM677" i="1" s="1"/>
  <c r="AN677" i="1" s="1"/>
  <c r="S678" i="1"/>
  <c r="U678" i="1"/>
  <c r="AM678" i="1" s="1"/>
  <c r="AN678" i="1" s="1"/>
  <c r="S679" i="1"/>
  <c r="U679" i="1"/>
  <c r="AM679" i="1" s="1"/>
  <c r="AN679" i="1" s="1"/>
  <c r="S680" i="1"/>
  <c r="U680" i="1"/>
  <c r="AM680" i="1" s="1"/>
  <c r="S681" i="1"/>
  <c r="U681" i="1"/>
  <c r="AM681" i="1" s="1"/>
  <c r="S682" i="1"/>
  <c r="U682" i="1"/>
  <c r="AM682" i="1" s="1"/>
  <c r="S683" i="1"/>
  <c r="U683" i="1"/>
  <c r="AM683" i="1" s="1"/>
  <c r="S684" i="1"/>
  <c r="U684" i="1"/>
  <c r="AM684" i="1"/>
  <c r="S685" i="1"/>
  <c r="U685" i="1"/>
  <c r="AM685" i="1" s="1"/>
  <c r="S686" i="1"/>
  <c r="U686" i="1"/>
  <c r="AM686" i="1" s="1"/>
  <c r="AN686" i="1" s="1"/>
  <c r="S687" i="1"/>
  <c r="U687" i="1"/>
  <c r="AM687" i="1" s="1"/>
  <c r="AN687" i="1" s="1"/>
  <c r="S688" i="1"/>
  <c r="U688" i="1"/>
  <c r="AM688" i="1" s="1"/>
  <c r="AN688" i="1" s="1"/>
  <c r="AU688" i="1" s="1"/>
  <c r="S689" i="1"/>
  <c r="U689" i="1"/>
  <c r="AM689" i="1" s="1"/>
  <c r="AN689" i="1" s="1"/>
  <c r="S690" i="1"/>
  <c r="U690" i="1"/>
  <c r="AM690" i="1" s="1"/>
  <c r="AN690" i="1" s="1"/>
  <c r="S691" i="1"/>
  <c r="U691" i="1"/>
  <c r="AM691" i="1" s="1"/>
  <c r="AN691" i="1" s="1"/>
  <c r="S692" i="1"/>
  <c r="U692" i="1"/>
  <c r="AM692" i="1" s="1"/>
  <c r="AN692" i="1" s="1"/>
  <c r="S693" i="1"/>
  <c r="U693" i="1"/>
  <c r="AM693" i="1" s="1"/>
  <c r="AN693" i="1" s="1"/>
  <c r="S694" i="1"/>
  <c r="U694" i="1"/>
  <c r="AM694" i="1"/>
  <c r="AN694" i="1" s="1"/>
  <c r="S695" i="1"/>
  <c r="U695" i="1"/>
  <c r="AM695" i="1" s="1"/>
  <c r="AN695" i="1" s="1"/>
  <c r="S696" i="1"/>
  <c r="U696" i="1"/>
  <c r="AM696" i="1" s="1"/>
  <c r="AN696" i="1" s="1"/>
  <c r="S697" i="1"/>
  <c r="U697" i="1"/>
  <c r="AM697" i="1" s="1"/>
  <c r="AN697" i="1" s="1"/>
  <c r="S698" i="1"/>
  <c r="U698" i="1"/>
  <c r="AM698" i="1" s="1"/>
  <c r="AN698" i="1" s="1"/>
  <c r="S699" i="1"/>
  <c r="U699" i="1"/>
  <c r="AM699" i="1" s="1"/>
  <c r="S700" i="1"/>
  <c r="U700" i="1"/>
  <c r="AM700" i="1" s="1"/>
  <c r="S701" i="1"/>
  <c r="U701" i="1"/>
  <c r="AM701" i="1" s="1"/>
  <c r="S702" i="1"/>
  <c r="U702" i="1"/>
  <c r="AM702" i="1" s="1"/>
  <c r="S703" i="1"/>
  <c r="U703" i="1"/>
  <c r="AM703" i="1" s="1"/>
  <c r="S704" i="1"/>
  <c r="U704" i="1"/>
  <c r="AM704" i="1"/>
  <c r="S705" i="1"/>
  <c r="U705" i="1"/>
  <c r="AM705" i="1"/>
  <c r="S706" i="1"/>
  <c r="U706" i="1"/>
  <c r="AM706" i="1" s="1"/>
  <c r="AN706" i="1" s="1"/>
  <c r="S707" i="1"/>
  <c r="U707" i="1"/>
  <c r="AM707" i="1" s="1"/>
  <c r="AN707" i="1" s="1"/>
  <c r="S708" i="1"/>
  <c r="U708" i="1"/>
  <c r="AM708" i="1" s="1"/>
  <c r="AN708" i="1" s="1"/>
  <c r="AU708" i="1" s="1"/>
  <c r="S709" i="1"/>
  <c r="U709" i="1"/>
  <c r="AM709" i="1" s="1"/>
  <c r="S710" i="1"/>
  <c r="U710" i="1"/>
  <c r="AM710" i="1" s="1"/>
  <c r="AN710" i="1" s="1"/>
  <c r="S711" i="1"/>
  <c r="U711" i="1"/>
  <c r="AM711" i="1" s="1"/>
  <c r="AN711" i="1" s="1"/>
  <c r="S712" i="1"/>
  <c r="U712" i="1"/>
  <c r="AM712" i="1" s="1"/>
  <c r="AN712" i="1" s="1"/>
  <c r="S713" i="1"/>
  <c r="U713" i="1"/>
  <c r="AM713" i="1" s="1"/>
  <c r="AN713" i="1" s="1"/>
  <c r="S714" i="1"/>
  <c r="U714" i="1"/>
  <c r="AM714" i="1"/>
  <c r="S715" i="1"/>
  <c r="U715" i="1"/>
  <c r="AM715" i="1" s="1"/>
  <c r="AN715" i="1" s="1"/>
  <c r="S716" i="1"/>
  <c r="U716" i="1"/>
  <c r="AM716" i="1" s="1"/>
  <c r="AN716" i="1" s="1"/>
  <c r="S717" i="1"/>
  <c r="U717" i="1"/>
  <c r="AM717" i="1" s="1"/>
  <c r="AN717" i="1" s="1"/>
  <c r="S718" i="1"/>
  <c r="U718" i="1"/>
  <c r="AM718" i="1" s="1"/>
  <c r="AN718" i="1" s="1"/>
  <c r="S719" i="1"/>
  <c r="U719" i="1"/>
  <c r="AM719" i="1" s="1"/>
  <c r="S720" i="1"/>
  <c r="U720" i="1"/>
  <c r="AM720" i="1" s="1"/>
  <c r="S721" i="1"/>
  <c r="U721" i="1"/>
  <c r="AM721" i="1" s="1"/>
  <c r="S722" i="1"/>
  <c r="U722" i="1"/>
  <c r="AM722" i="1" s="1"/>
  <c r="S723" i="1"/>
  <c r="U723" i="1"/>
  <c r="AM723" i="1" s="1"/>
  <c r="AN723" i="1" s="1"/>
  <c r="S724" i="1"/>
  <c r="U724" i="1"/>
  <c r="AM724" i="1" s="1"/>
  <c r="S725" i="1"/>
  <c r="U725" i="1"/>
  <c r="AM725" i="1" s="1"/>
  <c r="S726" i="1"/>
  <c r="U726" i="1"/>
  <c r="AM726" i="1" s="1"/>
  <c r="AN726" i="1" s="1"/>
  <c r="S727" i="1"/>
  <c r="U727" i="1"/>
  <c r="AM727" i="1" s="1"/>
  <c r="S728" i="1"/>
  <c r="U728" i="1"/>
  <c r="AM728" i="1" s="1"/>
  <c r="AN728" i="1" s="1"/>
  <c r="S729" i="1"/>
  <c r="U729" i="1"/>
  <c r="AM729" i="1" s="1"/>
  <c r="S730" i="1"/>
  <c r="U730" i="1"/>
  <c r="AM730" i="1" s="1"/>
  <c r="AN730" i="1" s="1"/>
  <c r="S731" i="1"/>
  <c r="U731" i="1"/>
  <c r="AM731" i="1"/>
  <c r="AN731" i="1" s="1"/>
  <c r="S732" i="1"/>
  <c r="U732" i="1"/>
  <c r="AM732" i="1" s="1"/>
  <c r="S733" i="1"/>
  <c r="U733" i="1"/>
  <c r="AM733" i="1" s="1"/>
  <c r="AN733" i="1" s="1"/>
  <c r="S734" i="1"/>
  <c r="U734" i="1"/>
  <c r="AM734" i="1" s="1"/>
  <c r="AN734" i="1" s="1"/>
  <c r="S735" i="1"/>
  <c r="U735" i="1"/>
  <c r="AM735" i="1" s="1"/>
  <c r="AN735" i="1" s="1"/>
  <c r="S736" i="1"/>
  <c r="U736" i="1"/>
  <c r="AM736" i="1" s="1"/>
  <c r="AN736" i="1" s="1"/>
  <c r="S737" i="1"/>
  <c r="U737" i="1"/>
  <c r="AM737" i="1" s="1"/>
  <c r="AN737" i="1" s="1"/>
  <c r="S738" i="1"/>
  <c r="U738" i="1"/>
  <c r="AM738" i="1" s="1"/>
  <c r="AN738" i="1" s="1"/>
  <c r="S739" i="1"/>
  <c r="U739" i="1"/>
  <c r="AM739" i="1"/>
  <c r="AN739" i="1" s="1"/>
  <c r="S740" i="1"/>
  <c r="U740" i="1"/>
  <c r="AM740" i="1" s="1"/>
  <c r="AN740" i="1" s="1"/>
  <c r="S741" i="1"/>
  <c r="U741" i="1"/>
  <c r="AM741" i="1" s="1"/>
  <c r="AN741" i="1" s="1"/>
  <c r="S742" i="1"/>
  <c r="U742" i="1"/>
  <c r="AM742" i="1" s="1"/>
  <c r="S743" i="1"/>
  <c r="U743" i="1"/>
  <c r="AM743" i="1" s="1"/>
  <c r="S744" i="1"/>
  <c r="U744" i="1"/>
  <c r="AM744" i="1" s="1"/>
  <c r="S745" i="1"/>
  <c r="U745" i="1"/>
  <c r="AM745" i="1" s="1"/>
  <c r="S746" i="1"/>
  <c r="U746" i="1"/>
  <c r="AM746" i="1" s="1"/>
  <c r="S747" i="1"/>
  <c r="U747" i="1"/>
  <c r="AM747" i="1" s="1"/>
  <c r="AN747" i="1" s="1"/>
  <c r="S748" i="1"/>
  <c r="U748" i="1"/>
  <c r="AM748" i="1" s="1"/>
  <c r="AN748" i="1" s="1"/>
  <c r="S749" i="1"/>
  <c r="U749" i="1"/>
  <c r="AM749" i="1" s="1"/>
  <c r="AN749" i="1" s="1"/>
  <c r="S750" i="1"/>
  <c r="U750" i="1"/>
  <c r="AM750" i="1" s="1"/>
  <c r="AN750" i="1" s="1"/>
  <c r="S751" i="1"/>
  <c r="U751" i="1"/>
  <c r="AM751" i="1" s="1"/>
  <c r="S752" i="1"/>
  <c r="U752" i="1"/>
  <c r="AM752" i="1" s="1"/>
  <c r="S753" i="1"/>
  <c r="U753" i="1"/>
  <c r="AM753" i="1" s="1"/>
  <c r="AN753" i="1" s="1"/>
  <c r="S754" i="1"/>
  <c r="U754" i="1"/>
  <c r="AM754" i="1" s="1"/>
  <c r="AN754" i="1" s="1"/>
  <c r="S755" i="1"/>
  <c r="U755" i="1"/>
  <c r="AM755" i="1" s="1"/>
  <c r="AN755" i="1" s="1"/>
  <c r="S756" i="1"/>
  <c r="U756" i="1"/>
  <c r="AM756" i="1" s="1"/>
  <c r="AN756" i="1" s="1"/>
  <c r="S757" i="1"/>
  <c r="U757" i="1"/>
  <c r="AM757" i="1" s="1"/>
  <c r="AN757" i="1" s="1"/>
  <c r="S758" i="1"/>
  <c r="U758" i="1"/>
  <c r="AM758" i="1" s="1"/>
  <c r="AN758" i="1" s="1"/>
  <c r="S759" i="1"/>
  <c r="U759" i="1"/>
  <c r="AM759" i="1"/>
  <c r="S760" i="1"/>
  <c r="U760" i="1"/>
  <c r="AM760" i="1" s="1"/>
  <c r="AN760" i="1" s="1"/>
  <c r="S761" i="1"/>
  <c r="U761" i="1"/>
  <c r="AM761" i="1" s="1"/>
  <c r="S762" i="1"/>
  <c r="U762" i="1"/>
  <c r="AM762" i="1" s="1"/>
  <c r="S763" i="1"/>
  <c r="U763" i="1"/>
  <c r="AM763" i="1" s="1"/>
  <c r="S764" i="1"/>
  <c r="U764" i="1"/>
  <c r="AM764" i="1" s="1"/>
  <c r="S765" i="1"/>
  <c r="U765" i="1"/>
  <c r="AM765" i="1" s="1"/>
  <c r="S766" i="1"/>
  <c r="U766" i="1"/>
  <c r="AM766" i="1" s="1"/>
  <c r="S767" i="1"/>
  <c r="U767" i="1"/>
  <c r="AM767" i="1" s="1"/>
  <c r="AN767" i="1" s="1"/>
  <c r="S768" i="1"/>
  <c r="U768" i="1"/>
  <c r="AM768" i="1" s="1"/>
  <c r="AN768" i="1" s="1"/>
  <c r="S769" i="1"/>
  <c r="U769" i="1"/>
  <c r="AM769" i="1" s="1"/>
  <c r="AN769" i="1" s="1"/>
  <c r="S770" i="1"/>
  <c r="U770" i="1"/>
  <c r="AM770" i="1" s="1"/>
  <c r="AN770" i="1" s="1"/>
  <c r="S771" i="1"/>
  <c r="U771" i="1"/>
  <c r="AM771" i="1" s="1"/>
  <c r="AN771" i="1" s="1"/>
  <c r="S772" i="1"/>
  <c r="U772" i="1"/>
  <c r="AM772" i="1" s="1"/>
  <c r="AN772" i="1" s="1"/>
  <c r="S773" i="1"/>
  <c r="U773" i="1"/>
  <c r="AM773" i="1" s="1"/>
  <c r="AN773" i="1" s="1"/>
  <c r="S774" i="1"/>
  <c r="U774" i="1"/>
  <c r="AM774" i="1" s="1"/>
  <c r="AN774" i="1" s="1"/>
  <c r="S775" i="1"/>
  <c r="U775" i="1"/>
  <c r="AM775" i="1" s="1"/>
  <c r="AN775" i="1" s="1"/>
  <c r="S776" i="1"/>
  <c r="U776" i="1"/>
  <c r="AM776" i="1"/>
  <c r="S777" i="1"/>
  <c r="U777" i="1"/>
  <c r="AM777" i="1" s="1"/>
  <c r="AN777" i="1" s="1"/>
  <c r="S778" i="1"/>
  <c r="U778" i="1"/>
  <c r="AM778" i="1" s="1"/>
  <c r="AN778" i="1" s="1"/>
  <c r="S779" i="1"/>
  <c r="U779" i="1"/>
  <c r="AM779" i="1" s="1"/>
  <c r="AN779" i="1" s="1"/>
  <c r="S780" i="1"/>
  <c r="U780" i="1"/>
  <c r="AM780" i="1" s="1"/>
  <c r="S781" i="1"/>
  <c r="U781" i="1"/>
  <c r="AM781" i="1" s="1"/>
  <c r="S782" i="1"/>
  <c r="U782" i="1"/>
  <c r="AM782" i="1" s="1"/>
  <c r="S783" i="1"/>
  <c r="U783" i="1"/>
  <c r="AM783" i="1" s="1"/>
  <c r="S784" i="1"/>
  <c r="U784" i="1"/>
  <c r="AM784" i="1" s="1"/>
  <c r="S785" i="1"/>
  <c r="U785" i="1"/>
  <c r="AM785" i="1" s="1"/>
  <c r="S786" i="1"/>
  <c r="U786" i="1"/>
  <c r="AM786" i="1" s="1"/>
  <c r="AN786" i="1" s="1"/>
  <c r="S787" i="1"/>
  <c r="U787" i="1"/>
  <c r="AM787" i="1"/>
  <c r="AN787" i="1" s="1"/>
  <c r="S788" i="1"/>
  <c r="U788" i="1"/>
  <c r="AM788" i="1" s="1"/>
  <c r="AN788" i="1" s="1"/>
  <c r="S789" i="1"/>
  <c r="U789" i="1"/>
  <c r="AM789" i="1" s="1"/>
  <c r="AN789" i="1" s="1"/>
  <c r="S790" i="1"/>
  <c r="U790" i="1"/>
  <c r="AM790" i="1" s="1"/>
  <c r="AN790" i="1" s="1"/>
  <c r="S791" i="1"/>
  <c r="U791" i="1"/>
  <c r="AM791" i="1" s="1"/>
  <c r="AN791" i="1" s="1"/>
  <c r="AV791" i="1" s="1"/>
  <c r="S792" i="1"/>
  <c r="U792" i="1"/>
  <c r="AM792" i="1" s="1"/>
  <c r="S793" i="1"/>
  <c r="U793" i="1"/>
  <c r="AM793" i="1" s="1"/>
  <c r="AN793" i="1" s="1"/>
  <c r="S794" i="1"/>
  <c r="U794" i="1"/>
  <c r="AM794" i="1" s="1"/>
  <c r="AN794" i="1" s="1"/>
  <c r="S795" i="1"/>
  <c r="U795" i="1"/>
  <c r="AM795" i="1" s="1"/>
  <c r="AN795" i="1" s="1"/>
  <c r="S796" i="1"/>
  <c r="U796" i="1"/>
  <c r="AM796" i="1" s="1"/>
  <c r="AN796" i="1" s="1"/>
  <c r="AW796" i="1" s="1"/>
  <c r="S797" i="1"/>
  <c r="U797" i="1"/>
  <c r="AM797" i="1" s="1"/>
  <c r="AN797" i="1" s="1"/>
  <c r="S798" i="1"/>
  <c r="U798" i="1"/>
  <c r="AM798" i="1" s="1"/>
  <c r="AN798" i="1" s="1"/>
  <c r="S799" i="1"/>
  <c r="U799" i="1"/>
  <c r="AM799" i="1" s="1"/>
  <c r="S800" i="1"/>
  <c r="U800" i="1"/>
  <c r="AM800" i="1" s="1"/>
  <c r="S801" i="1"/>
  <c r="U801" i="1"/>
  <c r="AM801" i="1"/>
  <c r="S802" i="1"/>
  <c r="U802" i="1"/>
  <c r="AM802" i="1" s="1"/>
  <c r="S803" i="1"/>
  <c r="U803" i="1"/>
  <c r="AM803" i="1" s="1"/>
  <c r="S804" i="1"/>
  <c r="U804" i="1"/>
  <c r="AM804" i="1" s="1"/>
  <c r="S805" i="1"/>
  <c r="U805" i="1"/>
  <c r="AM805" i="1" s="1"/>
  <c r="S806" i="1"/>
  <c r="U806" i="1"/>
  <c r="AM806" i="1"/>
  <c r="S807" i="1"/>
  <c r="U807" i="1"/>
  <c r="AM807" i="1" s="1"/>
  <c r="AN807" i="1" s="1"/>
  <c r="S808" i="1"/>
  <c r="U808" i="1"/>
  <c r="AM808" i="1" s="1"/>
  <c r="AN808" i="1" s="1"/>
  <c r="S809" i="1"/>
  <c r="U809" i="1"/>
  <c r="AM809" i="1" s="1"/>
  <c r="AN809" i="1" s="1"/>
  <c r="S810" i="1"/>
  <c r="U810" i="1"/>
  <c r="AM810" i="1"/>
  <c r="AN810" i="1" s="1"/>
  <c r="S811" i="1"/>
  <c r="U811" i="1"/>
  <c r="AM811" i="1" s="1"/>
  <c r="S812" i="1"/>
  <c r="U812" i="1"/>
  <c r="AM812" i="1"/>
  <c r="AN812" i="1" s="1"/>
  <c r="S813" i="1"/>
  <c r="U813" i="1"/>
  <c r="AM813" i="1" s="1"/>
  <c r="AN813" i="1" s="1"/>
  <c r="S814" i="1"/>
  <c r="U814" i="1"/>
  <c r="AM814" i="1" s="1"/>
  <c r="AN814" i="1" s="1"/>
  <c r="S815" i="1"/>
  <c r="U815" i="1"/>
  <c r="AM815" i="1" s="1"/>
  <c r="AN815" i="1" s="1"/>
  <c r="S816" i="1"/>
  <c r="U816" i="1"/>
  <c r="AM816" i="1" s="1"/>
  <c r="AN816" i="1" s="1"/>
  <c r="S817" i="1"/>
  <c r="U817" i="1"/>
  <c r="AM817" i="1" s="1"/>
  <c r="AN817" i="1" s="1"/>
  <c r="S818" i="1"/>
  <c r="U818" i="1"/>
  <c r="AM818" i="1" s="1"/>
  <c r="AN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AN827" i="1" s="1"/>
  <c r="S828" i="1"/>
  <c r="U828" i="1"/>
  <c r="AM828" i="1"/>
  <c r="AN828" i="1" s="1"/>
  <c r="S829" i="1"/>
  <c r="U829" i="1"/>
  <c r="AM829" i="1" s="1"/>
  <c r="AN829" i="1" s="1"/>
  <c r="S830" i="1"/>
  <c r="U830" i="1"/>
  <c r="AM830" i="1" s="1"/>
  <c r="AN830" i="1" s="1"/>
  <c r="S831" i="1"/>
  <c r="U831" i="1"/>
  <c r="AM831" i="1" s="1"/>
  <c r="AN831" i="1" s="1"/>
  <c r="S832" i="1"/>
  <c r="U832" i="1"/>
  <c r="AM832" i="1" s="1"/>
  <c r="S833" i="1"/>
  <c r="U833" i="1"/>
  <c r="AM833" i="1" s="1"/>
  <c r="S834" i="1"/>
  <c r="U834" i="1"/>
  <c r="AM834" i="1" s="1"/>
  <c r="AN834" i="1" s="1"/>
  <c r="S835" i="1"/>
  <c r="U835" i="1"/>
  <c r="AM835" i="1"/>
  <c r="AN835" i="1" s="1"/>
  <c r="S836" i="1"/>
  <c r="U836" i="1"/>
  <c r="AM836" i="1" s="1"/>
  <c r="AN836" i="1" s="1"/>
  <c r="S837" i="1"/>
  <c r="U837" i="1"/>
  <c r="AM837" i="1" s="1"/>
  <c r="AN837" i="1" s="1"/>
  <c r="S838" i="1"/>
  <c r="U838" i="1"/>
  <c r="AM838" i="1"/>
  <c r="AN838" i="1" s="1"/>
  <c r="S839" i="1"/>
  <c r="U839" i="1"/>
  <c r="AM839" i="1" s="1"/>
  <c r="S840" i="1"/>
  <c r="U840" i="1"/>
  <c r="AM840" i="1" s="1"/>
  <c r="S841" i="1"/>
  <c r="U841" i="1"/>
  <c r="AM841" i="1" s="1"/>
  <c r="AN841" i="1" s="1"/>
  <c r="S842" i="1"/>
  <c r="U842" i="1"/>
  <c r="AM842" i="1" s="1"/>
  <c r="AN842" i="1" s="1"/>
  <c r="S843" i="1"/>
  <c r="U843" i="1"/>
  <c r="AM843" i="1" s="1"/>
  <c r="AN843" i="1" s="1"/>
  <c r="S844" i="1"/>
  <c r="U844" i="1"/>
  <c r="AM844" i="1" s="1"/>
  <c r="S845" i="1"/>
  <c r="U845" i="1"/>
  <c r="AM845" i="1" s="1"/>
  <c r="S846" i="1"/>
  <c r="U846" i="1"/>
  <c r="AM846" i="1" s="1"/>
  <c r="AN846" i="1" s="1"/>
  <c r="S847" i="1"/>
  <c r="U847" i="1"/>
  <c r="AM847" i="1" s="1"/>
  <c r="AN847" i="1" s="1"/>
  <c r="S848" i="1"/>
  <c r="U848" i="1"/>
  <c r="AM848" i="1" s="1"/>
  <c r="AN848" i="1" s="1"/>
  <c r="S849" i="1"/>
  <c r="U849" i="1"/>
  <c r="AM849" i="1" s="1"/>
  <c r="AN849" i="1" s="1"/>
  <c r="S850" i="1"/>
  <c r="U850" i="1"/>
  <c r="AM850" i="1" s="1"/>
  <c r="AN850" i="1" s="1"/>
  <c r="S851" i="1"/>
  <c r="U851" i="1"/>
  <c r="AM851" i="1" s="1"/>
  <c r="AN851" i="1" s="1"/>
  <c r="S852" i="1"/>
  <c r="U852" i="1"/>
  <c r="AM852" i="1" s="1"/>
  <c r="S853" i="1"/>
  <c r="U853" i="1"/>
  <c r="AM853" i="1" s="1"/>
  <c r="AN853" i="1" s="1"/>
  <c r="S854" i="1"/>
  <c r="U854" i="1"/>
  <c r="AM854" i="1" s="1"/>
  <c r="AN854" i="1" s="1"/>
  <c r="S855" i="1"/>
  <c r="U855" i="1"/>
  <c r="AM855" i="1" s="1"/>
  <c r="AN855" i="1" s="1"/>
  <c r="S856" i="1"/>
  <c r="U856" i="1"/>
  <c r="AM856" i="1" s="1"/>
  <c r="AN856" i="1" s="1"/>
  <c r="S857" i="1"/>
  <c r="U857" i="1"/>
  <c r="AM857" i="1" s="1"/>
  <c r="AN857" i="1" s="1"/>
  <c r="S858" i="1"/>
  <c r="U858" i="1"/>
  <c r="AM858" i="1" s="1"/>
  <c r="AN858" i="1" s="1"/>
  <c r="S859" i="1"/>
  <c r="U859" i="1"/>
  <c r="AM859" i="1" s="1"/>
  <c r="S860" i="1"/>
  <c r="U860" i="1"/>
  <c r="AM860" i="1" s="1"/>
  <c r="S861" i="1"/>
  <c r="U861" i="1"/>
  <c r="AM861" i="1" s="1"/>
  <c r="AN861" i="1" s="1"/>
  <c r="S862" i="1"/>
  <c r="U862" i="1"/>
  <c r="AM862" i="1" s="1"/>
  <c r="AN862" i="1" s="1"/>
  <c r="S863" i="1"/>
  <c r="U863" i="1"/>
  <c r="AM863" i="1" s="1"/>
  <c r="AN863" i="1" s="1"/>
  <c r="S864" i="1"/>
  <c r="U864" i="1"/>
  <c r="AM864" i="1" s="1"/>
  <c r="S865" i="1"/>
  <c r="U865" i="1"/>
  <c r="AM865" i="1"/>
  <c r="S866" i="1"/>
  <c r="U866" i="1"/>
  <c r="AM866" i="1" s="1"/>
  <c r="AN866" i="1" s="1"/>
  <c r="S867" i="1"/>
  <c r="U867" i="1"/>
  <c r="AM867" i="1" s="1"/>
  <c r="AN867" i="1" s="1"/>
  <c r="S868" i="1"/>
  <c r="U868" i="1"/>
  <c r="AM868" i="1" s="1"/>
  <c r="S869" i="1"/>
  <c r="U869" i="1"/>
  <c r="AM869" i="1" s="1"/>
  <c r="AN869" i="1" s="1"/>
  <c r="AU869" i="1" s="1"/>
  <c r="S870" i="1"/>
  <c r="U870" i="1"/>
  <c r="AM870" i="1"/>
  <c r="AN870" i="1" s="1"/>
  <c r="AV870" i="1" s="1"/>
  <c r="S871" i="1"/>
  <c r="U871" i="1"/>
  <c r="AM871" i="1" s="1"/>
  <c r="AN871" i="1" s="1"/>
  <c r="S872" i="1"/>
  <c r="U872" i="1"/>
  <c r="AM872" i="1" s="1"/>
  <c r="AN872" i="1" s="1"/>
  <c r="S873" i="1"/>
  <c r="U873" i="1"/>
  <c r="AM873" i="1" s="1"/>
  <c r="AN873" i="1" s="1"/>
  <c r="S874" i="1"/>
  <c r="U874" i="1"/>
  <c r="AM874" i="1" s="1"/>
  <c r="AN874" i="1" s="1"/>
  <c r="S875" i="1"/>
  <c r="U875" i="1"/>
  <c r="AM875" i="1" s="1"/>
  <c r="AN875" i="1" s="1"/>
  <c r="S876" i="1"/>
  <c r="U876" i="1"/>
  <c r="AM876" i="1" s="1"/>
  <c r="AN876" i="1" s="1"/>
  <c r="S877" i="1"/>
  <c r="U877" i="1"/>
  <c r="AM877" i="1" s="1"/>
  <c r="AN877" i="1" s="1"/>
  <c r="S878" i="1"/>
  <c r="U878" i="1"/>
  <c r="AM878" i="1" s="1"/>
  <c r="AN878" i="1" s="1"/>
  <c r="S879" i="1"/>
  <c r="U879" i="1"/>
  <c r="AM879" i="1" s="1"/>
  <c r="AN879" i="1" s="1"/>
  <c r="S880" i="1"/>
  <c r="U880" i="1"/>
  <c r="AM880" i="1" s="1"/>
  <c r="AN880" i="1" s="1"/>
  <c r="S881" i="1"/>
  <c r="U881" i="1"/>
  <c r="AM881" i="1" s="1"/>
  <c r="AN881" i="1" s="1"/>
  <c r="S882" i="1"/>
  <c r="U882" i="1"/>
  <c r="AM882" i="1" s="1"/>
  <c r="S883" i="1"/>
  <c r="U883" i="1"/>
  <c r="AM883" i="1" s="1"/>
  <c r="S884" i="1"/>
  <c r="U884" i="1"/>
  <c r="AM884" i="1" s="1"/>
  <c r="S885" i="1"/>
  <c r="U885" i="1"/>
  <c r="AM885" i="1" s="1"/>
  <c r="S886" i="1"/>
  <c r="U886" i="1"/>
  <c r="AM886" i="1" s="1"/>
  <c r="AN886" i="1" s="1"/>
  <c r="S887" i="1"/>
  <c r="U887" i="1"/>
  <c r="AM887" i="1" s="1"/>
  <c r="AN887" i="1" s="1"/>
  <c r="S888" i="1"/>
  <c r="U888" i="1"/>
  <c r="AM888" i="1" s="1"/>
  <c r="AN888" i="1" s="1"/>
  <c r="S889" i="1"/>
  <c r="U889" i="1"/>
  <c r="AM889" i="1" s="1"/>
  <c r="AN889" i="1" s="1"/>
  <c r="S890" i="1"/>
  <c r="U890" i="1"/>
  <c r="AM890" i="1" s="1"/>
  <c r="AN890" i="1" s="1"/>
  <c r="S891" i="1"/>
  <c r="U891" i="1"/>
  <c r="AM891" i="1" s="1"/>
  <c r="AN891" i="1" s="1"/>
  <c r="S892" i="1"/>
  <c r="U892" i="1"/>
  <c r="AM892" i="1" s="1"/>
  <c r="AN892" i="1" s="1"/>
  <c r="S893" i="1"/>
  <c r="U893" i="1"/>
  <c r="AM893" i="1" s="1"/>
  <c r="AN893" i="1" s="1"/>
  <c r="S894" i="1"/>
  <c r="U894" i="1"/>
  <c r="AM894" i="1" s="1"/>
  <c r="AN894" i="1" s="1"/>
  <c r="S895" i="1"/>
  <c r="U895" i="1"/>
  <c r="AM895" i="1" s="1"/>
  <c r="AN895" i="1" s="1"/>
  <c r="S896" i="1"/>
  <c r="U896" i="1"/>
  <c r="AM896" i="1" s="1"/>
  <c r="AN896" i="1" s="1"/>
  <c r="S897" i="1"/>
  <c r="U897" i="1"/>
  <c r="AM897" i="1"/>
  <c r="AN897" i="1" s="1"/>
  <c r="S898" i="1"/>
  <c r="U898" i="1"/>
  <c r="AM898" i="1" s="1"/>
  <c r="AN898" i="1" s="1"/>
  <c r="S899" i="1"/>
  <c r="U899" i="1"/>
  <c r="AM899" i="1" s="1"/>
  <c r="AN899" i="1" s="1"/>
  <c r="S900" i="1"/>
  <c r="U900" i="1"/>
  <c r="AM900" i="1" s="1"/>
  <c r="S901" i="1"/>
  <c r="U901" i="1"/>
  <c r="AM901" i="1" s="1"/>
  <c r="S902" i="1"/>
  <c r="U902" i="1"/>
  <c r="AM902" i="1"/>
  <c r="S903" i="1"/>
  <c r="U903" i="1"/>
  <c r="AM903" i="1" s="1"/>
  <c r="S904" i="1"/>
  <c r="U904" i="1"/>
  <c r="AM904" i="1" s="1"/>
  <c r="S905" i="1"/>
  <c r="U905" i="1"/>
  <c r="AM905" i="1" s="1"/>
  <c r="S906" i="1"/>
  <c r="U906" i="1"/>
  <c r="AM906" i="1" s="1"/>
  <c r="AN906" i="1" s="1"/>
  <c r="S907" i="1"/>
  <c r="U907" i="1"/>
  <c r="AM907" i="1"/>
  <c r="AN907" i="1" s="1"/>
  <c r="S908" i="1"/>
  <c r="U908" i="1"/>
  <c r="AM908" i="1" s="1"/>
  <c r="AN908" i="1" s="1"/>
  <c r="S909" i="1"/>
  <c r="U909" i="1"/>
  <c r="AM909" i="1" s="1"/>
  <c r="AN909" i="1" s="1"/>
  <c r="S910" i="1"/>
  <c r="U910" i="1"/>
  <c r="AM910" i="1" s="1"/>
  <c r="AN910" i="1" s="1"/>
  <c r="S911" i="1"/>
  <c r="U911" i="1"/>
  <c r="AM911" i="1" s="1"/>
  <c r="AN911" i="1" s="1"/>
  <c r="S912" i="1"/>
  <c r="U912" i="1"/>
  <c r="AM912" i="1" s="1"/>
  <c r="AN912" i="1" s="1"/>
  <c r="S913" i="1"/>
  <c r="U913" i="1"/>
  <c r="AM913" i="1" s="1"/>
  <c r="AN913" i="1" s="1"/>
  <c r="S914" i="1"/>
  <c r="U914" i="1"/>
  <c r="AM914" i="1" s="1"/>
  <c r="AN914" i="1" s="1"/>
  <c r="S915" i="1"/>
  <c r="U915" i="1"/>
  <c r="AM915" i="1" s="1"/>
  <c r="AN915" i="1" s="1"/>
  <c r="S916" i="1"/>
  <c r="U916" i="1"/>
  <c r="AM916" i="1" s="1"/>
  <c r="AN916" i="1" s="1"/>
  <c r="S917" i="1"/>
  <c r="U917" i="1"/>
  <c r="AM917" i="1" s="1"/>
  <c r="AN917" i="1" s="1"/>
  <c r="S918" i="1"/>
  <c r="U918" i="1"/>
  <c r="AM918" i="1" s="1"/>
  <c r="AN918" i="1" s="1"/>
  <c r="S919" i="1"/>
  <c r="U919" i="1"/>
  <c r="AM919" i="1" s="1"/>
  <c r="S920" i="1"/>
  <c r="U920" i="1"/>
  <c r="AM920" i="1" s="1"/>
  <c r="S921" i="1"/>
  <c r="U921" i="1"/>
  <c r="AM921" i="1" s="1"/>
  <c r="S922" i="1"/>
  <c r="U922" i="1"/>
  <c r="AM922" i="1" s="1"/>
  <c r="S923" i="1"/>
  <c r="U923" i="1"/>
  <c r="AM923" i="1" s="1"/>
  <c r="S924" i="1"/>
  <c r="U924" i="1"/>
  <c r="AM924" i="1" s="1"/>
  <c r="AN318" i="1" l="1"/>
  <c r="AW318" i="1" s="1"/>
  <c r="AN208" i="1"/>
  <c r="AV208" i="1" s="1"/>
  <c r="AN76" i="1"/>
  <c r="AV76" i="1" s="1"/>
  <c r="AN236" i="1"/>
  <c r="AU236" i="1" s="1"/>
  <c r="AN714" i="1"/>
  <c r="AU714" i="1" s="1"/>
  <c r="AN273" i="1"/>
  <c r="AU273" i="1" s="1"/>
  <c r="AN299" i="1"/>
  <c r="AU299" i="1" s="1"/>
  <c r="AN281" i="1"/>
  <c r="AW281" i="1" s="1"/>
  <c r="AU263" i="1"/>
  <c r="AN253" i="1"/>
  <c r="AW253" i="1" s="1"/>
  <c r="AN752" i="1"/>
  <c r="AU752" i="1" s="1"/>
  <c r="AN742" i="1"/>
  <c r="AV742" i="1" s="1"/>
  <c r="AN391" i="1"/>
  <c r="AU391" i="1" s="1"/>
  <c r="AN243" i="1"/>
  <c r="AU243" i="1" s="1"/>
  <c r="AN105" i="1"/>
  <c r="AV105" i="1" s="1"/>
  <c r="AN761" i="1"/>
  <c r="AV761" i="1" s="1"/>
  <c r="AN732" i="1"/>
  <c r="AW732" i="1" s="1"/>
  <c r="AN724" i="1"/>
  <c r="AW724" i="1" s="1"/>
  <c r="AV705" i="1"/>
  <c r="AN751" i="1"/>
  <c r="AW751" i="1" s="1"/>
  <c r="AU503" i="1"/>
  <c r="AU351" i="1"/>
  <c r="AN351" i="1"/>
  <c r="AN455" i="1"/>
  <c r="AW455" i="1" s="1"/>
  <c r="AN370" i="1"/>
  <c r="AU370" i="1" s="1"/>
  <c r="AW323" i="1"/>
  <c r="AN18" i="1"/>
  <c r="AU18" i="1" s="1"/>
  <c r="AV141" i="1"/>
  <c r="AN550" i="1"/>
  <c r="AV550" i="1" s="1"/>
  <c r="AN503" i="1"/>
  <c r="AU639" i="1"/>
  <c r="AV399" i="1"/>
  <c r="AU399" i="1"/>
  <c r="AN705" i="1"/>
  <c r="AU705" i="1" s="1"/>
  <c r="AU538" i="1"/>
  <c r="AN359" i="1"/>
  <c r="AU359" i="1" s="1"/>
  <c r="AV817" i="1"/>
  <c r="AU757" i="1"/>
  <c r="AW737" i="1"/>
  <c r="AU537" i="1"/>
  <c r="AU137" i="1"/>
  <c r="AN246" i="1"/>
  <c r="AU246" i="1" s="1"/>
  <c r="AN852" i="1"/>
  <c r="AV852" i="1" s="1"/>
  <c r="AN833" i="1"/>
  <c r="AV833" i="1" s="1"/>
  <c r="AN594" i="1"/>
  <c r="AU594" i="1" s="1"/>
  <c r="AN191" i="1"/>
  <c r="AV191" i="1" s="1"/>
  <c r="AN51" i="1"/>
  <c r="AU51" i="1" s="1"/>
  <c r="AV196" i="1"/>
  <c r="AV176" i="1"/>
  <c r="AU116" i="1"/>
  <c r="AV50" i="1"/>
  <c r="AN50" i="1"/>
  <c r="AN806" i="1"/>
  <c r="AV806" i="1" s="1"/>
  <c r="AN631" i="1"/>
  <c r="AW631" i="1" s="1"/>
  <c r="AU603" i="1"/>
  <c r="AV339" i="1"/>
  <c r="AW821" i="1"/>
  <c r="AU720" i="1"/>
  <c r="AU638" i="1"/>
  <c r="AV628" i="1"/>
  <c r="AW610" i="1"/>
  <c r="AV428" i="1"/>
  <c r="AV401" i="1"/>
  <c r="AW313" i="1"/>
  <c r="AV304" i="1"/>
  <c r="AV188" i="1"/>
  <c r="AV832" i="1"/>
  <c r="AU584" i="1"/>
  <c r="AW593" i="1"/>
  <c r="AV180" i="1"/>
  <c r="AU464" i="1"/>
  <c r="AV137" i="1"/>
  <c r="AN776" i="1"/>
  <c r="AV776" i="1" s="1"/>
  <c r="AN56" i="1"/>
  <c r="AW56" i="1" s="1"/>
  <c r="AU868" i="1"/>
  <c r="AV838" i="1"/>
  <c r="AW811" i="1"/>
  <c r="AU729" i="1"/>
  <c r="AU719" i="1"/>
  <c r="AV145" i="1"/>
  <c r="AN75" i="1"/>
  <c r="AV75" i="1" s="1"/>
  <c r="AV630" i="1"/>
  <c r="AU629" i="1"/>
  <c r="AU765" i="1"/>
  <c r="AU258" i="1"/>
  <c r="AV100" i="1"/>
  <c r="AV20" i="1"/>
  <c r="AW819" i="1"/>
  <c r="AV774" i="1"/>
  <c r="AV746" i="1"/>
  <c r="AU248" i="1"/>
  <c r="AV177" i="1"/>
  <c r="AU3" i="1"/>
  <c r="AN593" i="1"/>
  <c r="AN313" i="1"/>
  <c r="AN233" i="1"/>
  <c r="AU233" i="1" s="1"/>
  <c r="AN213" i="1"/>
  <c r="AV213" i="1" s="1"/>
  <c r="AN13" i="1"/>
  <c r="AU13" i="1" s="1"/>
  <c r="AU740" i="1"/>
  <c r="AV796" i="1"/>
  <c r="AV801" i="1"/>
  <c r="AV792" i="1"/>
  <c r="AU709" i="1"/>
  <c r="AW598" i="1"/>
  <c r="AV589" i="1"/>
  <c r="AU580" i="1"/>
  <c r="AW480" i="1"/>
  <c r="AV345" i="1"/>
  <c r="AU311" i="1"/>
  <c r="AU276" i="1"/>
  <c r="AV45" i="1"/>
  <c r="AN832" i="1"/>
  <c r="AN792" i="1"/>
  <c r="AV759" i="1"/>
  <c r="AV216" i="1"/>
  <c r="AV354" i="1"/>
  <c r="AU336" i="1"/>
  <c r="AV319" i="1"/>
  <c r="AV152" i="1"/>
  <c r="AV10" i="1"/>
  <c r="AN811" i="1"/>
  <c r="AN311" i="1"/>
  <c r="AN231" i="1"/>
  <c r="AW231" i="1" s="1"/>
  <c r="AN111" i="1"/>
  <c r="AV111" i="1" s="1"/>
  <c r="AU493" i="1"/>
  <c r="AU616" i="1"/>
  <c r="AU579" i="1"/>
  <c r="AU283" i="1"/>
  <c r="AU256" i="1"/>
  <c r="AU238" i="1"/>
  <c r="AN630" i="1"/>
  <c r="AN610" i="1"/>
  <c r="AN130" i="1"/>
  <c r="AV130" i="1" s="1"/>
  <c r="AN110" i="1"/>
  <c r="AV110" i="1" s="1"/>
  <c r="AN90" i="1"/>
  <c r="AV90" i="1" s="1"/>
  <c r="AN10" i="1"/>
  <c r="AV5" i="1"/>
  <c r="AV920" i="1"/>
  <c r="AW855" i="1"/>
  <c r="AV772" i="1"/>
  <c r="AV754" i="1"/>
  <c r="AU625" i="1"/>
  <c r="AU570" i="1"/>
  <c r="AV470" i="1"/>
  <c r="AV416" i="1"/>
  <c r="AU398" i="1"/>
  <c r="AW380" i="1"/>
  <c r="AN729" i="1"/>
  <c r="AN709" i="1"/>
  <c r="AN629" i="1"/>
  <c r="AN589" i="1"/>
  <c r="AN449" i="1"/>
  <c r="AU449" i="1" s="1"/>
  <c r="AV781" i="1"/>
  <c r="AU615" i="1"/>
  <c r="AV371" i="1"/>
  <c r="AV309" i="1"/>
  <c r="AN868" i="1"/>
  <c r="AN648" i="1"/>
  <c r="AV648" i="1" s="1"/>
  <c r="AN628" i="1"/>
  <c r="AW628" i="1" s="1"/>
  <c r="AN508" i="1"/>
  <c r="AU508" i="1" s="1"/>
  <c r="AN428" i="1"/>
  <c r="AW428" i="1" s="1"/>
  <c r="AN268" i="1"/>
  <c r="AW268" i="1" s="1"/>
  <c r="AN248" i="1"/>
  <c r="AW248" i="1" s="1"/>
  <c r="AN188" i="1"/>
  <c r="AU188" i="1" s="1"/>
  <c r="AV368" i="1"/>
  <c r="AU271" i="1"/>
  <c r="AV181" i="1"/>
  <c r="AN759" i="1"/>
  <c r="AU844" i="1"/>
  <c r="AU725" i="1"/>
  <c r="AU469" i="1"/>
  <c r="AV334" i="1"/>
  <c r="AV192" i="1"/>
  <c r="AN727" i="1"/>
  <c r="AU727" i="1" s="1"/>
  <c r="AN367" i="1"/>
  <c r="AV367" i="1" s="1"/>
  <c r="AN127" i="1"/>
  <c r="AV127" i="1" s="1"/>
  <c r="AV40" i="1"/>
  <c r="AV900" i="1"/>
  <c r="AV167" i="1"/>
  <c r="AN826" i="1"/>
  <c r="AU826" i="1" s="1"/>
  <c r="AN766" i="1"/>
  <c r="AU766" i="1" s="1"/>
  <c r="AN746" i="1"/>
  <c r="AW746" i="1" s="1"/>
  <c r="AN566" i="1"/>
  <c r="AU566" i="1" s="1"/>
  <c r="AN346" i="1"/>
  <c r="AW346" i="1" s="1"/>
  <c r="AN266" i="1"/>
  <c r="AU266" i="1" s="1"/>
  <c r="AN186" i="1"/>
  <c r="AV186" i="1" s="1"/>
  <c r="AN146" i="1"/>
  <c r="AV146" i="1" s="1"/>
  <c r="AV35" i="1"/>
  <c r="AW46" i="1"/>
  <c r="AV46" i="1"/>
  <c r="AV922" i="1"/>
  <c r="AU878" i="1"/>
  <c r="AW801" i="1"/>
  <c r="AU633" i="1"/>
  <c r="AW379" i="1"/>
  <c r="AU278" i="1"/>
  <c r="AU267" i="1"/>
  <c r="AV161" i="1"/>
  <c r="AU142" i="1"/>
  <c r="AU118" i="1"/>
  <c r="AU80" i="1"/>
  <c r="AU871" i="1"/>
  <c r="AV865" i="1"/>
  <c r="AW846" i="1"/>
  <c r="AU732" i="1"/>
  <c r="AU74" i="1"/>
  <c r="AU921" i="1"/>
  <c r="AV890" i="1"/>
  <c r="AU614" i="1"/>
  <c r="AU439" i="1"/>
  <c r="AV385" i="1"/>
  <c r="AU360" i="1"/>
  <c r="AV348" i="1"/>
  <c r="AV289" i="1"/>
  <c r="AU247" i="1"/>
  <c r="AV218" i="1"/>
  <c r="AU914" i="1"/>
  <c r="AU432" i="1"/>
  <c r="AV372" i="1"/>
  <c r="AV241" i="1"/>
  <c r="AV206" i="1"/>
  <c r="AV160" i="1"/>
  <c r="AU731" i="1"/>
  <c r="AW536" i="1"/>
  <c r="AU384" i="1"/>
  <c r="AV329" i="1"/>
  <c r="AV211" i="1"/>
  <c r="AV193" i="1"/>
  <c r="AU182" i="1"/>
  <c r="AV85" i="1"/>
  <c r="AV816" i="1"/>
  <c r="AV756" i="1"/>
  <c r="AW588" i="1"/>
  <c r="AU480" i="1"/>
  <c r="AV223" i="1"/>
  <c r="AV187" i="1"/>
  <c r="AV147" i="1"/>
  <c r="AV135" i="1"/>
  <c r="AV91" i="1"/>
  <c r="AV786" i="1"/>
  <c r="AW761" i="1"/>
  <c r="AU742" i="1"/>
  <c r="AU600" i="1"/>
  <c r="AU516" i="1"/>
  <c r="AV474" i="1"/>
  <c r="AU444" i="1"/>
  <c r="AW419" i="1"/>
  <c r="AV205" i="1"/>
  <c r="AV60" i="1"/>
  <c r="AU919" i="1"/>
  <c r="AV535" i="1"/>
  <c r="AU140" i="1"/>
  <c r="AU128" i="1"/>
  <c r="AU730" i="1"/>
  <c r="AU630" i="1"/>
  <c r="AU565" i="1"/>
  <c r="AU541" i="1"/>
  <c r="AV419" i="1"/>
  <c r="AV395" i="1"/>
  <c r="AU389" i="1"/>
  <c r="AV875" i="1"/>
  <c r="AV570" i="1"/>
  <c r="AU515" i="1"/>
  <c r="AV455" i="1"/>
  <c r="AW826" i="1"/>
  <c r="AW741" i="1"/>
  <c r="AU502" i="1"/>
  <c r="AU257" i="1"/>
  <c r="AU251" i="1"/>
  <c r="AU83" i="1"/>
  <c r="AV15" i="1"/>
  <c r="AU911" i="1"/>
  <c r="AV843" i="1"/>
  <c r="AU831" i="1"/>
  <c r="AW722" i="1"/>
  <c r="AW575" i="1"/>
  <c r="AU546" i="1"/>
  <c r="AU496" i="1"/>
  <c r="AW490" i="1"/>
  <c r="AU418" i="1"/>
  <c r="AU394" i="1"/>
  <c r="AU286" i="1"/>
  <c r="AV209" i="1"/>
  <c r="AU157" i="1"/>
  <c r="AV151" i="1"/>
  <c r="AU9" i="1"/>
  <c r="AU747" i="1"/>
  <c r="AU790" i="1"/>
  <c r="AV454" i="1"/>
  <c r="AU412" i="1"/>
  <c r="AV369" i="1"/>
  <c r="AU344" i="1"/>
  <c r="AV185" i="1"/>
  <c r="AV120" i="1"/>
  <c r="AV95" i="1"/>
  <c r="AV70" i="1"/>
  <c r="AU14" i="1"/>
  <c r="AU610" i="1"/>
  <c r="AU585" i="1"/>
  <c r="AV226" i="1"/>
  <c r="AW551" i="1"/>
  <c r="AU495" i="1"/>
  <c r="AU459" i="1"/>
  <c r="AU393" i="1"/>
  <c r="AV202" i="1"/>
  <c r="AU162" i="1"/>
  <c r="AV101" i="1"/>
  <c r="AU19" i="1"/>
  <c r="AU916" i="1"/>
  <c r="AU482" i="1"/>
  <c r="AV434" i="1"/>
  <c r="AU374" i="1"/>
  <c r="AU237" i="1"/>
  <c r="AU891" i="1"/>
  <c r="AU866" i="1"/>
  <c r="AV841" i="1"/>
  <c r="AU824" i="1"/>
  <c r="AW615" i="1"/>
  <c r="AV81" i="1"/>
  <c r="AU24" i="1"/>
  <c r="AU621" i="1"/>
  <c r="AU500" i="1"/>
  <c r="AV404" i="1"/>
  <c r="AU261" i="1"/>
  <c r="AU155" i="1"/>
  <c r="AU106" i="1"/>
  <c r="AV915" i="1"/>
  <c r="AU590" i="1"/>
  <c r="AW590" i="1"/>
  <c r="AU573" i="1"/>
  <c r="AU645" i="1"/>
  <c r="AV645" i="1"/>
  <c r="AW645" i="1"/>
  <c r="AV230" i="1"/>
  <c r="AW230" i="1"/>
  <c r="AU620" i="1"/>
  <c r="AU595" i="1"/>
  <c r="AV595" i="1"/>
  <c r="AW595" i="1"/>
  <c r="AU530" i="1"/>
  <c r="AV530" i="1"/>
  <c r="AW530" i="1"/>
  <c r="AU505" i="1"/>
  <c r="AU475" i="1"/>
  <c r="AV475" i="1"/>
  <c r="AW475" i="1"/>
  <c r="AU445" i="1"/>
  <c r="AV403" i="1"/>
  <c r="AW403" i="1"/>
  <c r="AU834" i="1"/>
  <c r="AV834" i="1"/>
  <c r="AW834" i="1"/>
  <c r="AV445" i="1"/>
  <c r="AW445" i="1"/>
  <c r="AV318" i="1"/>
  <c r="AU117" i="1"/>
  <c r="AV117" i="1"/>
  <c r="AW61" i="1"/>
  <c r="AV61" i="1"/>
  <c r="AW756" i="1"/>
  <c r="AV638" i="1"/>
  <c r="AU510" i="1"/>
  <c r="AV390" i="1"/>
  <c r="AU390" i="1"/>
  <c r="AV895" i="1"/>
  <c r="AV619" i="1"/>
  <c r="AU619" i="1"/>
  <c r="AU560" i="1"/>
  <c r="AV560" i="1"/>
  <c r="AW560" i="1"/>
  <c r="AU450" i="1"/>
  <c r="AV450" i="1"/>
  <c r="AW450" i="1"/>
  <c r="AU655" i="1"/>
  <c r="AV655" i="1"/>
  <c r="AW655" i="1"/>
  <c r="AU365" i="1"/>
  <c r="AW365" i="1"/>
  <c r="AV730" i="1"/>
  <c r="AU485" i="1"/>
  <c r="AV485" i="1"/>
  <c r="AW485" i="1"/>
  <c r="AV328" i="1"/>
  <c r="AW328" i="1"/>
  <c r="AV65" i="1"/>
  <c r="AU660" i="1"/>
  <c r="AV660" i="1"/>
  <c r="AW660" i="1"/>
  <c r="AV515" i="1"/>
  <c r="AW515" i="1"/>
  <c r="AU490" i="1"/>
  <c r="AV490" i="1"/>
  <c r="AU460" i="1"/>
  <c r="AV460" i="1"/>
  <c r="AW460" i="1"/>
  <c r="AV370" i="1"/>
  <c r="AU345" i="1"/>
  <c r="AV905" i="1"/>
  <c r="AV629" i="1"/>
  <c r="AU605" i="1"/>
  <c r="AV605" i="1"/>
  <c r="AW605" i="1"/>
  <c r="AV333" i="1"/>
  <c r="AW333" i="1"/>
  <c r="AW26" i="1"/>
  <c r="AV26" i="1"/>
  <c r="AV710" i="1"/>
  <c r="AU710" i="1"/>
  <c r="AU623" i="1"/>
  <c r="AV623" i="1"/>
  <c r="AW623" i="1"/>
  <c r="AU540" i="1"/>
  <c r="AV540" i="1"/>
  <c r="AW540" i="1"/>
  <c r="AU37" i="1"/>
  <c r="AV37" i="1"/>
  <c r="AV880" i="1"/>
  <c r="AV520" i="1"/>
  <c r="AV214" i="1"/>
  <c r="AU42" i="1"/>
  <c r="AV42" i="1"/>
  <c r="AW31" i="1"/>
  <c r="AV31" i="1"/>
  <c r="AW635" i="1"/>
  <c r="AU635" i="1"/>
  <c r="AU545" i="1"/>
  <c r="AV545" i="1"/>
  <c r="AW545" i="1"/>
  <c r="AU520" i="1"/>
  <c r="AW520" i="1"/>
  <c r="AU465" i="1"/>
  <c r="AW465" i="1"/>
  <c r="AV910" i="1"/>
  <c r="AU628" i="1"/>
  <c r="AV465" i="1"/>
  <c r="AV156" i="1"/>
  <c r="AW36" i="1"/>
  <c r="AV36" i="1"/>
  <c r="AU640" i="1"/>
  <c r="AW640" i="1"/>
  <c r="AU574" i="1"/>
  <c r="AV422" i="1"/>
  <c r="AW422" i="1"/>
  <c r="AV308" i="1"/>
  <c r="AV885" i="1"/>
  <c r="AV860" i="1"/>
  <c r="AU854" i="1"/>
  <c r="AW854" i="1"/>
  <c r="AV596" i="1"/>
  <c r="AW596" i="1"/>
  <c r="AU525" i="1"/>
  <c r="AU596" i="1"/>
  <c r="AV590" i="1"/>
  <c r="AV525" i="1"/>
  <c r="AW525" i="1"/>
  <c r="AU470" i="1"/>
  <c r="AU440" i="1"/>
  <c r="AW440" i="1"/>
  <c r="AV172" i="1"/>
  <c r="AV51" i="1"/>
  <c r="AW41" i="1"/>
  <c r="AV41" i="1"/>
  <c r="AU794" i="1"/>
  <c r="AV662" i="1"/>
  <c r="AV653" i="1"/>
  <c r="AU593" i="1"/>
  <c r="AV529" i="1"/>
  <c r="AW406" i="1"/>
  <c r="AU376" i="1"/>
  <c r="AU363" i="1"/>
  <c r="AU348" i="1"/>
  <c r="AV291" i="1"/>
  <c r="AV266" i="1"/>
  <c r="AU126" i="1"/>
  <c r="AU58" i="1"/>
  <c r="AV809" i="1"/>
  <c r="AW715" i="1"/>
  <c r="AV286" i="1"/>
  <c r="AV276" i="1"/>
  <c r="AV271" i="1"/>
  <c r="AV200" i="1"/>
  <c r="AV157" i="1"/>
  <c r="AU131" i="1"/>
  <c r="AU34" i="1"/>
  <c r="AU30" i="1"/>
  <c r="AV851" i="1"/>
  <c r="AW835" i="1"/>
  <c r="AW831" i="1"/>
  <c r="AV827" i="1"/>
  <c r="AW757" i="1"/>
  <c r="AU606" i="1"/>
  <c r="AW578" i="1"/>
  <c r="AV565" i="1"/>
  <c r="AU551" i="1"/>
  <c r="AU542" i="1"/>
  <c r="AV480" i="1"/>
  <c r="AW432" i="1"/>
  <c r="AV338" i="1"/>
  <c r="AV314" i="1"/>
  <c r="AV224" i="1"/>
  <c r="AV162" i="1"/>
  <c r="AU136" i="1"/>
  <c r="AV96" i="1"/>
  <c r="AV831" i="1"/>
  <c r="AV757" i="1"/>
  <c r="AW742" i="1"/>
  <c r="AW710" i="1"/>
  <c r="AW555" i="1"/>
  <c r="AV546" i="1"/>
  <c r="AU528" i="1"/>
  <c r="AV514" i="1"/>
  <c r="AW470" i="1"/>
  <c r="AU456" i="1"/>
  <c r="AU442" i="1"/>
  <c r="AU410" i="1"/>
  <c r="AU380" i="1"/>
  <c r="AV352" i="1"/>
  <c r="AV219" i="1"/>
  <c r="AU176" i="1"/>
  <c r="AU141" i="1"/>
  <c r="AU119" i="1"/>
  <c r="AU108" i="1"/>
  <c r="AU84" i="1"/>
  <c r="AU49" i="1"/>
  <c r="AU45" i="1"/>
  <c r="AV747" i="1"/>
  <c r="AV555" i="1"/>
  <c r="AW395" i="1"/>
  <c r="AW370" i="1"/>
  <c r="AU333" i="1"/>
  <c r="AU146" i="1"/>
  <c r="AV125" i="1"/>
  <c r="AU53" i="1"/>
  <c r="AU41" i="1"/>
  <c r="AU817" i="1"/>
  <c r="AV610" i="1"/>
  <c r="AU577" i="1"/>
  <c r="AW550" i="1"/>
  <c r="AW546" i="1"/>
  <c r="AV541" i="1"/>
  <c r="AU532" i="1"/>
  <c r="AU518" i="1"/>
  <c r="AV504" i="1"/>
  <c r="AU446" i="1"/>
  <c r="AV420" i="1"/>
  <c r="AU385" i="1"/>
  <c r="AU375" i="1"/>
  <c r="AU166" i="1"/>
  <c r="AU151" i="1"/>
  <c r="AU135" i="1"/>
  <c r="AU113" i="1"/>
  <c r="AU101" i="1"/>
  <c r="AU61" i="1"/>
  <c r="AU29" i="1"/>
  <c r="AU25" i="1"/>
  <c r="AU20" i="1"/>
  <c r="AU15" i="1"/>
  <c r="AU10" i="1"/>
  <c r="AU5" i="1"/>
  <c r="AU860" i="1"/>
  <c r="AU323" i="1"/>
  <c r="AU318" i="1"/>
  <c r="AU228" i="1"/>
  <c r="AU156" i="1"/>
  <c r="AU33" i="1"/>
  <c r="AU865" i="1"/>
  <c r="AV839" i="1"/>
  <c r="AU777" i="1"/>
  <c r="AU772" i="1"/>
  <c r="AW541" i="1"/>
  <c r="AU513" i="1"/>
  <c r="AV494" i="1"/>
  <c r="AU409" i="1"/>
  <c r="AU404" i="1"/>
  <c r="AW399" i="1"/>
  <c r="AV384" i="1"/>
  <c r="AV357" i="1"/>
  <c r="AV294" i="1"/>
  <c r="AU170" i="1"/>
  <c r="AU161" i="1"/>
  <c r="AU145" i="1"/>
  <c r="AV140" i="1"/>
  <c r="AU870" i="1"/>
  <c r="AU821" i="1"/>
  <c r="AW816" i="1"/>
  <c r="AU761" i="1"/>
  <c r="AU693" i="1"/>
  <c r="AU636" i="1"/>
  <c r="AU569" i="1"/>
  <c r="AU531" i="1"/>
  <c r="AU517" i="1"/>
  <c r="AV503" i="1"/>
  <c r="AV489" i="1"/>
  <c r="AU424" i="1"/>
  <c r="AU395" i="1"/>
  <c r="AV198" i="1"/>
  <c r="AU129" i="1"/>
  <c r="AU94" i="1"/>
  <c r="AV71" i="1"/>
  <c r="AU48" i="1"/>
  <c r="AU875" i="1"/>
  <c r="AV830" i="1"/>
  <c r="AU792" i="1"/>
  <c r="AU737" i="1"/>
  <c r="AU650" i="1"/>
  <c r="AU379" i="1"/>
  <c r="AV222" i="1"/>
  <c r="AV150" i="1"/>
  <c r="AU134" i="1"/>
  <c r="AU65" i="1"/>
  <c r="AU900" i="1"/>
  <c r="AU880" i="1"/>
  <c r="AV811" i="1"/>
  <c r="AW776" i="1"/>
  <c r="AV771" i="1"/>
  <c r="AU756" i="1"/>
  <c r="AU746" i="1"/>
  <c r="AV741" i="1"/>
  <c r="AU698" i="1"/>
  <c r="AU665" i="1"/>
  <c r="AW535" i="1"/>
  <c r="AU498" i="1"/>
  <c r="AV479" i="1"/>
  <c r="AU414" i="1"/>
  <c r="AW389" i="1"/>
  <c r="AU356" i="1"/>
  <c r="AU160" i="1"/>
  <c r="AV155" i="1"/>
  <c r="AV106" i="1"/>
  <c r="AU40" i="1"/>
  <c r="AU28" i="1"/>
  <c r="AU905" i="1"/>
  <c r="AU895" i="1"/>
  <c r="AU885" i="1"/>
  <c r="AU361" i="1"/>
  <c r="AU165" i="1"/>
  <c r="AU111" i="1"/>
  <c r="AU93" i="1"/>
  <c r="AU60" i="1"/>
  <c r="AU36" i="1"/>
  <c r="AU910" i="1"/>
  <c r="AU890" i="1"/>
  <c r="AU811" i="1"/>
  <c r="AU806" i="1"/>
  <c r="AW791" i="1"/>
  <c r="AU736" i="1"/>
  <c r="AU703" i="1"/>
  <c r="AV575" i="1"/>
  <c r="AU511" i="1"/>
  <c r="AU497" i="1"/>
  <c r="AU488" i="1"/>
  <c r="AW483" i="1"/>
  <c r="AV429" i="1"/>
  <c r="AU326" i="1"/>
  <c r="AU307" i="1"/>
  <c r="AU252" i="1"/>
  <c r="AV203" i="1"/>
  <c r="AV182" i="1"/>
  <c r="AU43" i="1"/>
  <c r="AU915" i="1"/>
  <c r="AW853" i="1"/>
  <c r="AU383" i="1"/>
  <c r="AU355" i="1"/>
  <c r="AU241" i="1"/>
  <c r="AU920" i="1"/>
  <c r="AU904" i="1"/>
  <c r="AU894" i="1"/>
  <c r="AU884" i="1"/>
  <c r="AV868" i="1"/>
  <c r="AU842" i="1"/>
  <c r="AU716" i="1"/>
  <c r="AU598" i="1"/>
  <c r="AV571" i="1"/>
  <c r="AU567" i="1"/>
  <c r="AV459" i="1"/>
  <c r="AU454" i="1"/>
  <c r="AU434" i="1"/>
  <c r="AU403" i="1"/>
  <c r="AU297" i="1"/>
  <c r="AU262" i="1"/>
  <c r="AV236" i="1"/>
  <c r="AU202" i="1"/>
  <c r="AV122" i="1"/>
  <c r="AV86" i="1"/>
  <c r="AU75" i="1"/>
  <c r="AU39" i="1"/>
  <c r="AU23" i="1"/>
  <c r="AU644" i="1"/>
  <c r="AW510" i="1"/>
  <c r="AU55" i="1"/>
  <c r="AU31" i="1"/>
  <c r="AW847" i="1"/>
  <c r="AU819" i="1"/>
  <c r="AU815" i="1"/>
  <c r="AW620" i="1"/>
  <c r="AV510" i="1"/>
  <c r="AW505" i="1"/>
  <c r="AV406" i="1"/>
  <c r="AU339" i="1"/>
  <c r="AV246" i="1"/>
  <c r="AV207" i="1"/>
  <c r="AV132" i="1"/>
  <c r="AV116" i="1"/>
  <c r="AV80" i="1"/>
  <c r="AU63" i="1"/>
  <c r="AU903" i="1"/>
  <c r="AW794" i="1"/>
  <c r="AV715" i="1"/>
  <c r="AU696" i="1"/>
  <c r="AW685" i="1"/>
  <c r="AU648" i="1"/>
  <c r="AV620" i="1"/>
  <c r="AV603" i="1"/>
  <c r="AU557" i="1"/>
  <c r="AV505" i="1"/>
  <c r="AW500" i="1"/>
  <c r="AV444" i="1"/>
  <c r="AU406" i="1"/>
  <c r="AV376" i="1"/>
  <c r="AU368" i="1"/>
  <c r="AV364" i="1"/>
  <c r="AW348" i="1"/>
  <c r="AV344" i="1"/>
  <c r="AU334" i="1"/>
  <c r="AV306" i="1"/>
  <c r="AV251" i="1"/>
  <c r="AU177" i="1"/>
  <c r="AV126" i="1"/>
  <c r="AV121" i="1"/>
  <c r="AU46" i="1"/>
  <c r="AU35" i="1"/>
  <c r="AU898" i="1"/>
  <c r="AW841" i="1"/>
  <c r="AU836" i="1"/>
  <c r="AU715" i="1"/>
  <c r="AW570" i="1"/>
  <c r="AV500" i="1"/>
  <c r="AW495" i="1"/>
  <c r="AU422" i="1"/>
  <c r="AU329" i="1"/>
  <c r="AV301" i="1"/>
  <c r="AV256" i="1"/>
  <c r="AV142" i="1"/>
  <c r="AV131" i="1"/>
  <c r="AU109" i="1"/>
  <c r="AV30" i="1"/>
  <c r="AU893" i="1"/>
  <c r="AV846" i="1"/>
  <c r="AU832" i="1"/>
  <c r="AW720" i="1"/>
  <c r="AU701" i="1"/>
  <c r="AW690" i="1"/>
  <c r="AU643" i="1"/>
  <c r="AU578" i="1"/>
  <c r="AV534" i="1"/>
  <c r="AW338" i="1"/>
  <c r="AV296" i="1"/>
  <c r="AV261" i="1"/>
  <c r="AV190" i="1"/>
  <c r="AU172" i="1"/>
  <c r="AU167" i="1"/>
  <c r="AU152" i="1"/>
  <c r="AV136" i="1"/>
  <c r="AV115" i="1"/>
  <c r="AU85" i="1"/>
  <c r="AU79" i="1"/>
  <c r="AU54" i="1"/>
  <c r="AU50" i="1"/>
  <c r="AU38" i="1"/>
  <c r="AU26" i="1"/>
  <c r="AU923" i="1"/>
  <c r="AV923" i="1"/>
  <c r="AW923" i="1"/>
  <c r="AU918" i="1"/>
  <c r="AV918" i="1"/>
  <c r="AW918" i="1"/>
  <c r="AU902" i="1"/>
  <c r="AV902" i="1"/>
  <c r="AW902" i="1"/>
  <c r="AU882" i="1"/>
  <c r="AV882" i="1"/>
  <c r="AW882" i="1"/>
  <c r="AU861" i="1"/>
  <c r="AU907" i="1"/>
  <c r="AV907" i="1"/>
  <c r="AW907" i="1"/>
  <c r="AU897" i="1"/>
  <c r="AV897" i="1"/>
  <c r="AW897" i="1"/>
  <c r="AU887" i="1"/>
  <c r="AV887" i="1"/>
  <c r="AW887" i="1"/>
  <c r="AU840" i="1"/>
  <c r="AV840" i="1"/>
  <c r="AW840" i="1"/>
  <c r="AU835" i="1"/>
  <c r="AV835" i="1"/>
  <c r="AU912" i="1"/>
  <c r="AV912" i="1"/>
  <c r="AW912" i="1"/>
  <c r="AU892" i="1"/>
  <c r="AV892" i="1"/>
  <c r="AW892" i="1"/>
  <c r="AU784" i="1"/>
  <c r="AV784" i="1"/>
  <c r="AW784" i="1"/>
  <c r="AU917" i="1"/>
  <c r="AV917" i="1"/>
  <c r="AW917" i="1"/>
  <c r="AU876" i="1"/>
  <c r="AU855" i="1"/>
  <c r="AU845" i="1"/>
  <c r="AU822" i="1"/>
  <c r="AV822" i="1"/>
  <c r="AW822" i="1"/>
  <c r="AU789" i="1"/>
  <c r="AV789" i="1"/>
  <c r="AW789" i="1"/>
  <c r="AU922" i="1"/>
  <c r="AW922" i="1"/>
  <c r="AU901" i="1"/>
  <c r="AU881" i="1"/>
  <c r="AU762" i="1"/>
  <c r="AV762" i="1"/>
  <c r="AW762" i="1"/>
  <c r="AU906" i="1"/>
  <c r="AU896" i="1"/>
  <c r="AU886" i="1"/>
  <c r="AV850" i="1"/>
  <c r="AU797" i="1"/>
  <c r="AU767" i="1"/>
  <c r="AU850" i="1"/>
  <c r="AW850" i="1"/>
  <c r="AV797" i="1"/>
  <c r="AW797" i="1"/>
  <c r="AV767" i="1"/>
  <c r="AW767" i="1"/>
  <c r="AV844" i="1"/>
  <c r="AU812" i="1"/>
  <c r="AU807" i="1"/>
  <c r="AV807" i="1"/>
  <c r="AW807" i="1"/>
  <c r="AU802" i="1"/>
  <c r="AW802" i="1"/>
  <c r="AU849" i="1"/>
  <c r="AV849" i="1"/>
  <c r="AW849" i="1"/>
  <c r="AV859" i="1"/>
  <c r="AW859" i="1"/>
  <c r="AU864" i="1"/>
  <c r="AU859" i="1"/>
  <c r="AU782" i="1"/>
  <c r="AV782" i="1"/>
  <c r="AW782" i="1"/>
  <c r="AV864" i="1"/>
  <c r="AW864" i="1"/>
  <c r="AU825" i="1"/>
  <c r="AV825" i="1"/>
  <c r="AW825" i="1"/>
  <c r="AU820" i="1"/>
  <c r="AV820" i="1"/>
  <c r="AW820" i="1"/>
  <c r="AU787" i="1"/>
  <c r="AU874" i="1"/>
  <c r="AV869" i="1"/>
  <c r="AW869" i="1"/>
  <c r="AU853" i="1"/>
  <c r="AV853" i="1"/>
  <c r="AU829" i="1"/>
  <c r="AV829" i="1"/>
  <c r="AW829" i="1"/>
  <c r="AU760" i="1"/>
  <c r="AV760" i="1"/>
  <c r="AU750" i="1"/>
  <c r="AV750" i="1"/>
  <c r="AU899" i="1"/>
  <c r="AU879" i="1"/>
  <c r="AV874" i="1"/>
  <c r="AW874" i="1"/>
  <c r="AV863" i="1"/>
  <c r="AV858" i="1"/>
  <c r="AU795" i="1"/>
  <c r="AV795" i="1"/>
  <c r="AV765" i="1"/>
  <c r="AU755" i="1"/>
  <c r="AV755" i="1"/>
  <c r="AV899" i="1"/>
  <c r="AW899" i="1"/>
  <c r="AV879" i="1"/>
  <c r="AW879" i="1"/>
  <c r="AU863" i="1"/>
  <c r="AW863" i="1"/>
  <c r="AU858" i="1"/>
  <c r="AW858" i="1"/>
  <c r="AU745" i="1"/>
  <c r="AV745" i="1"/>
  <c r="AU909" i="1"/>
  <c r="AV904" i="1"/>
  <c r="AW904" i="1"/>
  <c r="AV894" i="1"/>
  <c r="AW894" i="1"/>
  <c r="AU889" i="1"/>
  <c r="AV884" i="1"/>
  <c r="AW884" i="1"/>
  <c r="AU873" i="1"/>
  <c r="AU847" i="1"/>
  <c r="AU810" i="1"/>
  <c r="AV810" i="1"/>
  <c r="AU805" i="1"/>
  <c r="AV805" i="1"/>
  <c r="AU800" i="1"/>
  <c r="AU735" i="1"/>
  <c r="AV909" i="1"/>
  <c r="AW909" i="1"/>
  <c r="AV889" i="1"/>
  <c r="AW889" i="1"/>
  <c r="AU862" i="1"/>
  <c r="AV862" i="1"/>
  <c r="AW862" i="1"/>
  <c r="AU857" i="1"/>
  <c r="AV857" i="1"/>
  <c r="AW857" i="1"/>
  <c r="AU837" i="1"/>
  <c r="AV837" i="1"/>
  <c r="AW837" i="1"/>
  <c r="AU775" i="1"/>
  <c r="AV775" i="1"/>
  <c r="AU764" i="1"/>
  <c r="AW764" i="1"/>
  <c r="AV764" i="1"/>
  <c r="AU744" i="1"/>
  <c r="AV744" i="1"/>
  <c r="AW744" i="1"/>
  <c r="AV914" i="1"/>
  <c r="AW914" i="1"/>
  <c r="AU867" i="1"/>
  <c r="AV867" i="1"/>
  <c r="AW867" i="1"/>
  <c r="AU780" i="1"/>
  <c r="AV780" i="1"/>
  <c r="AV924" i="1"/>
  <c r="AW924" i="1"/>
  <c r="AV919" i="1"/>
  <c r="AW919" i="1"/>
  <c r="AU908" i="1"/>
  <c r="AV908" i="1"/>
  <c r="AW908" i="1"/>
  <c r="AU888" i="1"/>
  <c r="AU872" i="1"/>
  <c r="AV872" i="1"/>
  <c r="AW872" i="1"/>
  <c r="AU799" i="1"/>
  <c r="AV799" i="1"/>
  <c r="AW799" i="1"/>
  <c r="AU785" i="1"/>
  <c r="AV785" i="1"/>
  <c r="AU769" i="1"/>
  <c r="AW769" i="1"/>
  <c r="AV769" i="1"/>
  <c r="AU913" i="1"/>
  <c r="AV913" i="1"/>
  <c r="AW913" i="1"/>
  <c r="AU877" i="1"/>
  <c r="AV877" i="1"/>
  <c r="AW877" i="1"/>
  <c r="AU814" i="1"/>
  <c r="AV814" i="1"/>
  <c r="AW814" i="1"/>
  <c r="AU804" i="1"/>
  <c r="AV804" i="1"/>
  <c r="AW804" i="1"/>
  <c r="AU779" i="1"/>
  <c r="AW779" i="1"/>
  <c r="AV779" i="1"/>
  <c r="AU856" i="1"/>
  <c r="AU848" i="1"/>
  <c r="AW848" i="1"/>
  <c r="AU839" i="1"/>
  <c r="AV836" i="1"/>
  <c r="AU830" i="1"/>
  <c r="AU827" i="1"/>
  <c r="AW824" i="1"/>
  <c r="AU809" i="1"/>
  <c r="AV736" i="1"/>
  <c r="AW736" i="1"/>
  <c r="AV732" i="1"/>
  <c r="AU695" i="1"/>
  <c r="AV695" i="1"/>
  <c r="AU684" i="1"/>
  <c r="AV684" i="1"/>
  <c r="AW684" i="1"/>
  <c r="AU673" i="1"/>
  <c r="AU624" i="1"/>
  <c r="AU611" i="1"/>
  <c r="AV611" i="1"/>
  <c r="AW611" i="1"/>
  <c r="AV561" i="1"/>
  <c r="AW561" i="1"/>
  <c r="AW903" i="1"/>
  <c r="AW898" i="1"/>
  <c r="AW893" i="1"/>
  <c r="AW888" i="1"/>
  <c r="AW883" i="1"/>
  <c r="AW878" i="1"/>
  <c r="AW873" i="1"/>
  <c r="AW868" i="1"/>
  <c r="AV824" i="1"/>
  <c r="AW770" i="1"/>
  <c r="AU759" i="1"/>
  <c r="AW759" i="1"/>
  <c r="AU728" i="1"/>
  <c r="AV728" i="1"/>
  <c r="AW728" i="1"/>
  <c r="AW695" i="1"/>
  <c r="AV556" i="1"/>
  <c r="AW556" i="1"/>
  <c r="AV903" i="1"/>
  <c r="AV898" i="1"/>
  <c r="AV893" i="1"/>
  <c r="AV888" i="1"/>
  <c r="AV883" i="1"/>
  <c r="AV878" i="1"/>
  <c r="AV873" i="1"/>
  <c r="AU833" i="1"/>
  <c r="AW833" i="1"/>
  <c r="AU818" i="1"/>
  <c r="AV818" i="1"/>
  <c r="AW818" i="1"/>
  <c r="AU793" i="1"/>
  <c r="AV793" i="1"/>
  <c r="AW793" i="1"/>
  <c r="AU773" i="1"/>
  <c r="AV773" i="1"/>
  <c r="AW773" i="1"/>
  <c r="AW747" i="1"/>
  <c r="AU700" i="1"/>
  <c r="AV700" i="1"/>
  <c r="AU689" i="1"/>
  <c r="AV689" i="1"/>
  <c r="AW689" i="1"/>
  <c r="AU678" i="1"/>
  <c r="AU588" i="1"/>
  <c r="AV588" i="1"/>
  <c r="AU583" i="1"/>
  <c r="AV583" i="1"/>
  <c r="AW815" i="1"/>
  <c r="AW790" i="1"/>
  <c r="AW740" i="1"/>
  <c r="AW700" i="1"/>
  <c r="AU661" i="1"/>
  <c r="AV661" i="1"/>
  <c r="AW661" i="1"/>
  <c r="AV855" i="1"/>
  <c r="AV847" i="1"/>
  <c r="AW844" i="1"/>
  <c r="AU796" i="1"/>
  <c r="AW755" i="1"/>
  <c r="AV735" i="1"/>
  <c r="AU723" i="1"/>
  <c r="AV723" i="1"/>
  <c r="AW723" i="1"/>
  <c r="AU694" i="1"/>
  <c r="AV694" i="1"/>
  <c r="AW694" i="1"/>
  <c r="AU672" i="1"/>
  <c r="AV672" i="1"/>
  <c r="AW672" i="1"/>
  <c r="AU656" i="1"/>
  <c r="AU646" i="1"/>
  <c r="AV646" i="1"/>
  <c r="AW646" i="1"/>
  <c r="AU601" i="1"/>
  <c r="AV601" i="1"/>
  <c r="AW601" i="1"/>
  <c r="AW920" i="1"/>
  <c r="AW915" i="1"/>
  <c r="AW910" i="1"/>
  <c r="AW905" i="1"/>
  <c r="AW900" i="1"/>
  <c r="AW895" i="1"/>
  <c r="AW890" i="1"/>
  <c r="AW885" i="1"/>
  <c r="AW880" i="1"/>
  <c r="AW875" i="1"/>
  <c r="AW870" i="1"/>
  <c r="AW865" i="1"/>
  <c r="AW860" i="1"/>
  <c r="AW832" i="1"/>
  <c r="AW817" i="1"/>
  <c r="AW792" i="1"/>
  <c r="AW786" i="1"/>
  <c r="AU783" i="1"/>
  <c r="AV783" i="1"/>
  <c r="AW783" i="1"/>
  <c r="AW780" i="1"/>
  <c r="AW772" i="1"/>
  <c r="AU743" i="1"/>
  <c r="AV743" i="1"/>
  <c r="AW743" i="1"/>
  <c r="AV731" i="1"/>
  <c r="AW731" i="1"/>
  <c r="AU666" i="1"/>
  <c r="AU808" i="1"/>
  <c r="AV808" i="1"/>
  <c r="AW808" i="1"/>
  <c r="AU758" i="1"/>
  <c r="AV758" i="1"/>
  <c r="AW758" i="1"/>
  <c r="AU739" i="1"/>
  <c r="AV739" i="1"/>
  <c r="AW739" i="1"/>
  <c r="AU699" i="1"/>
  <c r="AV699" i="1"/>
  <c r="AW699" i="1"/>
  <c r="AU677" i="1"/>
  <c r="AV677" i="1"/>
  <c r="AW677" i="1"/>
  <c r="AV671" i="1"/>
  <c r="AW671" i="1"/>
  <c r="AU641" i="1"/>
  <c r="AW852" i="1"/>
  <c r="AU841" i="1"/>
  <c r="AW805" i="1"/>
  <c r="AU786" i="1"/>
  <c r="AU718" i="1"/>
  <c r="AV718" i="1"/>
  <c r="AW718" i="1"/>
  <c r="AU671" i="1"/>
  <c r="AU651" i="1"/>
  <c r="AV651" i="1"/>
  <c r="AW651" i="1"/>
  <c r="AV636" i="1"/>
  <c r="AW636" i="1"/>
  <c r="AU631" i="1"/>
  <c r="AU838" i="1"/>
  <c r="AW838" i="1"/>
  <c r="AU754" i="1"/>
  <c r="AW754" i="1"/>
  <c r="AW735" i="1"/>
  <c r="AV726" i="1"/>
  <c r="AW726" i="1"/>
  <c r="AU704" i="1"/>
  <c r="AV704" i="1"/>
  <c r="AW704" i="1"/>
  <c r="AU682" i="1"/>
  <c r="AV682" i="1"/>
  <c r="AW682" i="1"/>
  <c r="AV676" i="1"/>
  <c r="AW676" i="1"/>
  <c r="AV586" i="1"/>
  <c r="AW586" i="1"/>
  <c r="AV581" i="1"/>
  <c r="AW581" i="1"/>
  <c r="AU823" i="1"/>
  <c r="AV823" i="1"/>
  <c r="AW823" i="1"/>
  <c r="AW765" i="1"/>
  <c r="AU726" i="1"/>
  <c r="AU722" i="1"/>
  <c r="AV722" i="1"/>
  <c r="AU713" i="1"/>
  <c r="AV713" i="1"/>
  <c r="AW713" i="1"/>
  <c r="AU676" i="1"/>
  <c r="AV576" i="1"/>
  <c r="AW576" i="1"/>
  <c r="AU798" i="1"/>
  <c r="AV798" i="1"/>
  <c r="AW798" i="1"/>
  <c r="AU768" i="1"/>
  <c r="AV768" i="1"/>
  <c r="AW768" i="1"/>
  <c r="AU687" i="1"/>
  <c r="AV687" i="1"/>
  <c r="AW687" i="1"/>
  <c r="AV681" i="1"/>
  <c r="AW681" i="1"/>
  <c r="AU670" i="1"/>
  <c r="AV670" i="1"/>
  <c r="AW795" i="1"/>
  <c r="AW750" i="1"/>
  <c r="AU738" i="1"/>
  <c r="AV738" i="1"/>
  <c r="AW738" i="1"/>
  <c r="AU734" i="1"/>
  <c r="AV734" i="1"/>
  <c r="AW734" i="1"/>
  <c r="AV721" i="1"/>
  <c r="AW721" i="1"/>
  <c r="AU717" i="1"/>
  <c r="AV717" i="1"/>
  <c r="AW717" i="1"/>
  <c r="AU681" i="1"/>
  <c r="AW670" i="1"/>
  <c r="AU626" i="1"/>
  <c r="AV626" i="1"/>
  <c r="AU618" i="1"/>
  <c r="AV854" i="1"/>
  <c r="AU801" i="1"/>
  <c r="AW771" i="1"/>
  <c r="AV725" i="1"/>
  <c r="AU721" i="1"/>
  <c r="AU692" i="1"/>
  <c r="AV692" i="1"/>
  <c r="AW692" i="1"/>
  <c r="AV686" i="1"/>
  <c r="AW686" i="1"/>
  <c r="AU675" i="1"/>
  <c r="AV675" i="1"/>
  <c r="AW626" i="1"/>
  <c r="AU599" i="1"/>
  <c r="AV599" i="1"/>
  <c r="AU846" i="1"/>
  <c r="AW775" i="1"/>
  <c r="AU753" i="1"/>
  <c r="AV753" i="1"/>
  <c r="AW753" i="1"/>
  <c r="AW730" i="1"/>
  <c r="AV716" i="1"/>
  <c r="AW716" i="1"/>
  <c r="AU712" i="1"/>
  <c r="AV712" i="1"/>
  <c r="AW712" i="1"/>
  <c r="AU686" i="1"/>
  <c r="AW675" i="1"/>
  <c r="AU664" i="1"/>
  <c r="AV664" i="1"/>
  <c r="AV621" i="1"/>
  <c r="AU843" i="1"/>
  <c r="AW843" i="1"/>
  <c r="AU813" i="1"/>
  <c r="AV813" i="1"/>
  <c r="AW813" i="1"/>
  <c r="AU788" i="1"/>
  <c r="AV788" i="1"/>
  <c r="AW788" i="1"/>
  <c r="AW785" i="1"/>
  <c r="AU778" i="1"/>
  <c r="AV778" i="1"/>
  <c r="AW778" i="1"/>
  <c r="AU771" i="1"/>
  <c r="AU749" i="1"/>
  <c r="AV749" i="1"/>
  <c r="AW749" i="1"/>
  <c r="AU697" i="1"/>
  <c r="AV697" i="1"/>
  <c r="AW697" i="1"/>
  <c r="AV691" i="1"/>
  <c r="AW691" i="1"/>
  <c r="AU680" i="1"/>
  <c r="AV680" i="1"/>
  <c r="AU604" i="1"/>
  <c r="AV604" i="1"/>
  <c r="AW851" i="1"/>
  <c r="AU828" i="1"/>
  <c r="AV828" i="1"/>
  <c r="AW828" i="1"/>
  <c r="AV819" i="1"/>
  <c r="AW810" i="1"/>
  <c r="AV800" i="1"/>
  <c r="AV794" i="1"/>
  <c r="AV737" i="1"/>
  <c r="AV720" i="1"/>
  <c r="AV711" i="1"/>
  <c r="AW711" i="1"/>
  <c r="AU707" i="1"/>
  <c r="AV707" i="1"/>
  <c r="AW707" i="1"/>
  <c r="AU691" i="1"/>
  <c r="AW680" i="1"/>
  <c r="AU669" i="1"/>
  <c r="AU649" i="1"/>
  <c r="AV649" i="1"/>
  <c r="AU613" i="1"/>
  <c r="AV613" i="1"/>
  <c r="AW613" i="1"/>
  <c r="AW845" i="1"/>
  <c r="AU816" i="1"/>
  <c r="AU791" i="1"/>
  <c r="AW781" i="1"/>
  <c r="AW752" i="1"/>
  <c r="AU741" i="1"/>
  <c r="AU733" i="1"/>
  <c r="AV733" i="1"/>
  <c r="AW733" i="1"/>
  <c r="AW725" i="1"/>
  <c r="AU711" i="1"/>
  <c r="AU702" i="1"/>
  <c r="AV702" i="1"/>
  <c r="AW702" i="1"/>
  <c r="AV696" i="1"/>
  <c r="AW696" i="1"/>
  <c r="AU685" i="1"/>
  <c r="AV685" i="1"/>
  <c r="AU674" i="1"/>
  <c r="AV674" i="1"/>
  <c r="AW674" i="1"/>
  <c r="AU654" i="1"/>
  <c r="AV654" i="1"/>
  <c r="AW921" i="1"/>
  <c r="AW916" i="1"/>
  <c r="AW911" i="1"/>
  <c r="AW906" i="1"/>
  <c r="AW901" i="1"/>
  <c r="AW896" i="1"/>
  <c r="AW891" i="1"/>
  <c r="AW886" i="1"/>
  <c r="AW881" i="1"/>
  <c r="AW876" i="1"/>
  <c r="AW871" i="1"/>
  <c r="AW866" i="1"/>
  <c r="AW861" i="1"/>
  <c r="AW856" i="1"/>
  <c r="AV848" i="1"/>
  <c r="AV845" i="1"/>
  <c r="AW842" i="1"/>
  <c r="AW812" i="1"/>
  <c r="AW806" i="1"/>
  <c r="AW787" i="1"/>
  <c r="AW777" i="1"/>
  <c r="AU774" i="1"/>
  <c r="AW774" i="1"/>
  <c r="AV770" i="1"/>
  <c r="AW760" i="1"/>
  <c r="AV752" i="1"/>
  <c r="AW745" i="1"/>
  <c r="AV706" i="1"/>
  <c r="AW706" i="1"/>
  <c r="AU608" i="1"/>
  <c r="AV608" i="1"/>
  <c r="AW608" i="1"/>
  <c r="AV921" i="1"/>
  <c r="AV916" i="1"/>
  <c r="AV911" i="1"/>
  <c r="AV906" i="1"/>
  <c r="AV901" i="1"/>
  <c r="AV896" i="1"/>
  <c r="AV891" i="1"/>
  <c r="AV886" i="1"/>
  <c r="AV881" i="1"/>
  <c r="AV876" i="1"/>
  <c r="AV871" i="1"/>
  <c r="AV866" i="1"/>
  <c r="AV861" i="1"/>
  <c r="AV856" i="1"/>
  <c r="AU851" i="1"/>
  <c r="AV842" i="1"/>
  <c r="AW839" i="1"/>
  <c r="AW830" i="1"/>
  <c r="AW827" i="1"/>
  <c r="AV812" i="1"/>
  <c r="AW809" i="1"/>
  <c r="AU803" i="1"/>
  <c r="AV803" i="1"/>
  <c r="AW803" i="1"/>
  <c r="AV787" i="1"/>
  <c r="AU781" i="1"/>
  <c r="AV777" i="1"/>
  <c r="AU770" i="1"/>
  <c r="AU763" i="1"/>
  <c r="AV763" i="1"/>
  <c r="AW763" i="1"/>
  <c r="AU706" i="1"/>
  <c r="AV701" i="1"/>
  <c r="AW701" i="1"/>
  <c r="AU690" i="1"/>
  <c r="AV690" i="1"/>
  <c r="AU679" i="1"/>
  <c r="AV679" i="1"/>
  <c r="AW679" i="1"/>
  <c r="AU668" i="1"/>
  <c r="AU663" i="1"/>
  <c r="AV663" i="1"/>
  <c r="AW663" i="1"/>
  <c r="AU634" i="1"/>
  <c r="AU589" i="1"/>
  <c r="AW836" i="1"/>
  <c r="AV815" i="1"/>
  <c r="AW800" i="1"/>
  <c r="AV790" i="1"/>
  <c r="AU748" i="1"/>
  <c r="AV748" i="1"/>
  <c r="AW748" i="1"/>
  <c r="AV740" i="1"/>
  <c r="AU658" i="1"/>
  <c r="AV658" i="1"/>
  <c r="AW658" i="1"/>
  <c r="AU653" i="1"/>
  <c r="AU647" i="1"/>
  <c r="AV647" i="1"/>
  <c r="AW647" i="1"/>
  <c r="AW638" i="1"/>
  <c r="AV635" i="1"/>
  <c r="AU597" i="1"/>
  <c r="AV597" i="1"/>
  <c r="AW597" i="1"/>
  <c r="AW571" i="1"/>
  <c r="AV476" i="1"/>
  <c r="AW476" i="1"/>
  <c r="AU448" i="1"/>
  <c r="AV448" i="1"/>
  <c r="AW448" i="1"/>
  <c r="AU427" i="1"/>
  <c r="AV427" i="1"/>
  <c r="AW427" i="1"/>
  <c r="AU417" i="1"/>
  <c r="AV417" i="1"/>
  <c r="AW417" i="1"/>
  <c r="AU396" i="1"/>
  <c r="AV396" i="1"/>
  <c r="AU353" i="1"/>
  <c r="AV353" i="1"/>
  <c r="AU310" i="1"/>
  <c r="AV310" i="1"/>
  <c r="AW310" i="1"/>
  <c r="AW659" i="1"/>
  <c r="AW609" i="1"/>
  <c r="AU591" i="1"/>
  <c r="AV578" i="1"/>
  <c r="AV524" i="1"/>
  <c r="AV471" i="1"/>
  <c r="AW471" i="1"/>
  <c r="AU466" i="1"/>
  <c r="AU452" i="1"/>
  <c r="AU443" i="1"/>
  <c r="AV443" i="1"/>
  <c r="AW443" i="1"/>
  <c r="AU401" i="1"/>
  <c r="AU381" i="1"/>
  <c r="AV381" i="1"/>
  <c r="AU371" i="1"/>
  <c r="AU358" i="1"/>
  <c r="AV358" i="1"/>
  <c r="AW358" i="1"/>
  <c r="AU343" i="1"/>
  <c r="AU632" i="1"/>
  <c r="AV632" i="1"/>
  <c r="AW632" i="1"/>
  <c r="AV568" i="1"/>
  <c r="AW568" i="1"/>
  <c r="AU533" i="1"/>
  <c r="AV519" i="1"/>
  <c r="AV466" i="1"/>
  <c r="AW466" i="1"/>
  <c r="AU461" i="1"/>
  <c r="AU447" i="1"/>
  <c r="AU438" i="1"/>
  <c r="AV438" i="1"/>
  <c r="AW438" i="1"/>
  <c r="AU416" i="1"/>
  <c r="AU667" i="1"/>
  <c r="AW667" i="1"/>
  <c r="AW644" i="1"/>
  <c r="AW594" i="1"/>
  <c r="AU571" i="1"/>
  <c r="AV564" i="1"/>
  <c r="AW564" i="1"/>
  <c r="AU564" i="1"/>
  <c r="AV461" i="1"/>
  <c r="AW461" i="1"/>
  <c r="AU426" i="1"/>
  <c r="AV426" i="1"/>
  <c r="AU405" i="1"/>
  <c r="AU617" i="1"/>
  <c r="AV617" i="1"/>
  <c r="AW617" i="1"/>
  <c r="AU581" i="1"/>
  <c r="AU523" i="1"/>
  <c r="AV509" i="1"/>
  <c r="AV456" i="1"/>
  <c r="AW456" i="1"/>
  <c r="AU451" i="1"/>
  <c r="AU437" i="1"/>
  <c r="AU431" i="1"/>
  <c r="AV410" i="1"/>
  <c r="AW629" i="1"/>
  <c r="AV451" i="1"/>
  <c r="AW451" i="1"/>
  <c r="AV431" i="1"/>
  <c r="AW431" i="1"/>
  <c r="AU415" i="1"/>
  <c r="AV415" i="1"/>
  <c r="AW415" i="1"/>
  <c r="AU400" i="1"/>
  <c r="AV400" i="1"/>
  <c r="AW400" i="1"/>
  <c r="AW666" i="1"/>
  <c r="AW664" i="1"/>
  <c r="AU652" i="1"/>
  <c r="AV652" i="1"/>
  <c r="AW652" i="1"/>
  <c r="AW643" i="1"/>
  <c r="AV640" i="1"/>
  <c r="AV631" i="1"/>
  <c r="AU602" i="1"/>
  <c r="AV602" i="1"/>
  <c r="AW602" i="1"/>
  <c r="AU563" i="1"/>
  <c r="AV563" i="1"/>
  <c r="AW563" i="1"/>
  <c r="AV536" i="1"/>
  <c r="AU527" i="1"/>
  <c r="AV513" i="1"/>
  <c r="AV499" i="1"/>
  <c r="AV446" i="1"/>
  <c r="AW446" i="1"/>
  <c r="AU441" i="1"/>
  <c r="AU425" i="1"/>
  <c r="AV425" i="1"/>
  <c r="AW425" i="1"/>
  <c r="AU420" i="1"/>
  <c r="AW729" i="1"/>
  <c r="AW719" i="1"/>
  <c r="AW714" i="1"/>
  <c r="AW709" i="1"/>
  <c r="AV669" i="1"/>
  <c r="AV666" i="1"/>
  <c r="AV643" i="1"/>
  <c r="AV634" i="1"/>
  <c r="AW625" i="1"/>
  <c r="AW616" i="1"/>
  <c r="AW614" i="1"/>
  <c r="AV593" i="1"/>
  <c r="AU587" i="1"/>
  <c r="AV587" i="1"/>
  <c r="AW587" i="1"/>
  <c r="AW580" i="1"/>
  <c r="AV559" i="1"/>
  <c r="AW559" i="1"/>
  <c r="AU559" i="1"/>
  <c r="AU536" i="1"/>
  <c r="AU522" i="1"/>
  <c r="AV508" i="1"/>
  <c r="AV441" i="1"/>
  <c r="AW441" i="1"/>
  <c r="AU436" i="1"/>
  <c r="AU430" i="1"/>
  <c r="AV430" i="1"/>
  <c r="AW430" i="1"/>
  <c r="AV729" i="1"/>
  <c r="AV719" i="1"/>
  <c r="AV714" i="1"/>
  <c r="AV709" i="1"/>
  <c r="AU637" i="1"/>
  <c r="AV637" i="1"/>
  <c r="AW637" i="1"/>
  <c r="AV625" i="1"/>
  <c r="AV616" i="1"/>
  <c r="AV584" i="1"/>
  <c r="AW584" i="1"/>
  <c r="AV580" i="1"/>
  <c r="AV574" i="1"/>
  <c r="AW574" i="1"/>
  <c r="AV436" i="1"/>
  <c r="AW436" i="1"/>
  <c r="AW649" i="1"/>
  <c r="AW599" i="1"/>
  <c r="AU562" i="1"/>
  <c r="AV531" i="1"/>
  <c r="AW531" i="1"/>
  <c r="AU526" i="1"/>
  <c r="AU512" i="1"/>
  <c r="AV498" i="1"/>
  <c r="AV484" i="1"/>
  <c r="AU622" i="1"/>
  <c r="AV622" i="1"/>
  <c r="AW622" i="1"/>
  <c r="AU558" i="1"/>
  <c r="AV558" i="1"/>
  <c r="AW558" i="1"/>
  <c r="AV526" i="1"/>
  <c r="AW526" i="1"/>
  <c r="AU521" i="1"/>
  <c r="AU507" i="1"/>
  <c r="AV493" i="1"/>
  <c r="AU435" i="1"/>
  <c r="AV435" i="1"/>
  <c r="AW435" i="1"/>
  <c r="AW669" i="1"/>
  <c r="AW634" i="1"/>
  <c r="AV554" i="1"/>
  <c r="AW554" i="1"/>
  <c r="AU554" i="1"/>
  <c r="AV521" i="1"/>
  <c r="AW521" i="1"/>
  <c r="AU423" i="1"/>
  <c r="AV423" i="1"/>
  <c r="AW423" i="1"/>
  <c r="AU408" i="1"/>
  <c r="AV408" i="1"/>
  <c r="AW408" i="1"/>
  <c r="AV350" i="1"/>
  <c r="AW350" i="1"/>
  <c r="AU350" i="1"/>
  <c r="AU657" i="1"/>
  <c r="AV657" i="1"/>
  <c r="AW657" i="1"/>
  <c r="AU607" i="1"/>
  <c r="AV607" i="1"/>
  <c r="AW607" i="1"/>
  <c r="AV516" i="1"/>
  <c r="AW516" i="1"/>
  <c r="AV469" i="1"/>
  <c r="AV639" i="1"/>
  <c r="AW630" i="1"/>
  <c r="AW621" i="1"/>
  <c r="AW619" i="1"/>
  <c r="AV598" i="1"/>
  <c r="AV549" i="1"/>
  <c r="AW549" i="1"/>
  <c r="AU549" i="1"/>
  <c r="AV511" i="1"/>
  <c r="AW511" i="1"/>
  <c r="AU506" i="1"/>
  <c r="AU492" i="1"/>
  <c r="AU483" i="1"/>
  <c r="AV483" i="1"/>
  <c r="AV464" i="1"/>
  <c r="AU413" i="1"/>
  <c r="AV407" i="1"/>
  <c r="AU373" i="1"/>
  <c r="AV373" i="1"/>
  <c r="AW373" i="1"/>
  <c r="AU321" i="1"/>
  <c r="AW668" i="1"/>
  <c r="AW665" i="1"/>
  <c r="AU642" i="1"/>
  <c r="AV642" i="1"/>
  <c r="AW642" i="1"/>
  <c r="AW633" i="1"/>
  <c r="AU592" i="1"/>
  <c r="AV592" i="1"/>
  <c r="AW592" i="1"/>
  <c r="AU586" i="1"/>
  <c r="AU576" i="1"/>
  <c r="AV573" i="1"/>
  <c r="AW573" i="1"/>
  <c r="AU553" i="1"/>
  <c r="AV553" i="1"/>
  <c r="AW553" i="1"/>
  <c r="AV506" i="1"/>
  <c r="AW506" i="1"/>
  <c r="AU501" i="1"/>
  <c r="AU487" i="1"/>
  <c r="AU478" i="1"/>
  <c r="AV478" i="1"/>
  <c r="AW478" i="1"/>
  <c r="AU407" i="1"/>
  <c r="AW407" i="1"/>
  <c r="AV393" i="1"/>
  <c r="AV388" i="1"/>
  <c r="AU377" i="1"/>
  <c r="AV355" i="1"/>
  <c r="AW355" i="1"/>
  <c r="AU340" i="1"/>
  <c r="AW340" i="1"/>
  <c r="AV340" i="1"/>
  <c r="AW708" i="1"/>
  <c r="AW703" i="1"/>
  <c r="AW698" i="1"/>
  <c r="AW693" i="1"/>
  <c r="AW688" i="1"/>
  <c r="AW683" i="1"/>
  <c r="AW678" i="1"/>
  <c r="AW673" i="1"/>
  <c r="AV668" i="1"/>
  <c r="AV665" i="1"/>
  <c r="AW656" i="1"/>
  <c r="AW654" i="1"/>
  <c r="AV633" i="1"/>
  <c r="AV624" i="1"/>
  <c r="AW606" i="1"/>
  <c r="AW604" i="1"/>
  <c r="AW583" i="1"/>
  <c r="AU561" i="1"/>
  <c r="AV544" i="1"/>
  <c r="AW544" i="1"/>
  <c r="AU544" i="1"/>
  <c r="AV501" i="1"/>
  <c r="AW501" i="1"/>
  <c r="AU473" i="1"/>
  <c r="AV473" i="1"/>
  <c r="AW473" i="1"/>
  <c r="AU388" i="1"/>
  <c r="AW388" i="1"/>
  <c r="AV377" i="1"/>
  <c r="AW377" i="1"/>
  <c r="AU330" i="1"/>
  <c r="AV330" i="1"/>
  <c r="AW330" i="1"/>
  <c r="AV708" i="1"/>
  <c r="AV703" i="1"/>
  <c r="AV698" i="1"/>
  <c r="AV693" i="1"/>
  <c r="AV688" i="1"/>
  <c r="AV683" i="1"/>
  <c r="AV678" i="1"/>
  <c r="AV673" i="1"/>
  <c r="AV656" i="1"/>
  <c r="AU627" i="1"/>
  <c r="AV627" i="1"/>
  <c r="AW627" i="1"/>
  <c r="AW618" i="1"/>
  <c r="AV615" i="1"/>
  <c r="AV606" i="1"/>
  <c r="AW589" i="1"/>
  <c r="AU548" i="1"/>
  <c r="AV548" i="1"/>
  <c r="AW548" i="1"/>
  <c r="AV496" i="1"/>
  <c r="AW496" i="1"/>
  <c r="AU491" i="1"/>
  <c r="AU477" i="1"/>
  <c r="AU468" i="1"/>
  <c r="AV468" i="1"/>
  <c r="AW468" i="1"/>
  <c r="AV449" i="1"/>
  <c r="AU428" i="1"/>
  <c r="AV418" i="1"/>
  <c r="AV412" i="1"/>
  <c r="AU382" i="1"/>
  <c r="AV382" i="1"/>
  <c r="AW382" i="1"/>
  <c r="AV659" i="1"/>
  <c r="AW650" i="1"/>
  <c r="AW641" i="1"/>
  <c r="AW639" i="1"/>
  <c r="AV618" i="1"/>
  <c r="AV609" i="1"/>
  <c r="AW600" i="1"/>
  <c r="AW591" i="1"/>
  <c r="AW585" i="1"/>
  <c r="AU572" i="1"/>
  <c r="AV569" i="1"/>
  <c r="AW569" i="1"/>
  <c r="AU552" i="1"/>
  <c r="AV539" i="1"/>
  <c r="AW539" i="1"/>
  <c r="AU539" i="1"/>
  <c r="AV491" i="1"/>
  <c r="AW491" i="1"/>
  <c r="AU486" i="1"/>
  <c r="AU472" i="1"/>
  <c r="AU463" i="1"/>
  <c r="AV463" i="1"/>
  <c r="AW463" i="1"/>
  <c r="AU402" i="1"/>
  <c r="AU397" i="1"/>
  <c r="AU387" i="1"/>
  <c r="AV387" i="1"/>
  <c r="AW387" i="1"/>
  <c r="AU662" i="1"/>
  <c r="AW662" i="1"/>
  <c r="AU659" i="1"/>
  <c r="AW653" i="1"/>
  <c r="AV650" i="1"/>
  <c r="AV641" i="1"/>
  <c r="AU612" i="1"/>
  <c r="AV612" i="1"/>
  <c r="AW612" i="1"/>
  <c r="AU609" i="1"/>
  <c r="AW603" i="1"/>
  <c r="AV600" i="1"/>
  <c r="AV591" i="1"/>
  <c r="AV585" i="1"/>
  <c r="AU582" i="1"/>
  <c r="AV579" i="1"/>
  <c r="AW579" i="1"/>
  <c r="AU543" i="1"/>
  <c r="AV486" i="1"/>
  <c r="AW486" i="1"/>
  <c r="AU481" i="1"/>
  <c r="AU467" i="1"/>
  <c r="AU458" i="1"/>
  <c r="AV458" i="1"/>
  <c r="AW458" i="1"/>
  <c r="AV439" i="1"/>
  <c r="AU392" i="1"/>
  <c r="AV392" i="1"/>
  <c r="AW392" i="1"/>
  <c r="AV644" i="1"/>
  <c r="AW624" i="1"/>
  <c r="AV594" i="1"/>
  <c r="AU556" i="1"/>
  <c r="AU547" i="1"/>
  <c r="AV481" i="1"/>
  <c r="AW481" i="1"/>
  <c r="AU476" i="1"/>
  <c r="AU462" i="1"/>
  <c r="AU453" i="1"/>
  <c r="AV453" i="1"/>
  <c r="AW453" i="1"/>
  <c r="AU433" i="1"/>
  <c r="AV433" i="1"/>
  <c r="AW433" i="1"/>
  <c r="AU411" i="1"/>
  <c r="AV411" i="1"/>
  <c r="AW353" i="1"/>
  <c r="AU315" i="1"/>
  <c r="AV315" i="1"/>
  <c r="AW315" i="1"/>
  <c r="AU534" i="1"/>
  <c r="AU529" i="1"/>
  <c r="AU524" i="1"/>
  <c r="AU519" i="1"/>
  <c r="AU514" i="1"/>
  <c r="AU509" i="1"/>
  <c r="AU504" i="1"/>
  <c r="AU499" i="1"/>
  <c r="AU494" i="1"/>
  <c r="AU489" i="1"/>
  <c r="AU484" i="1"/>
  <c r="AU479" i="1"/>
  <c r="AU474" i="1"/>
  <c r="AW386" i="1"/>
  <c r="AU335" i="1"/>
  <c r="AW335" i="1"/>
  <c r="AU305" i="1"/>
  <c r="AV305" i="1"/>
  <c r="AW305" i="1"/>
  <c r="AU245" i="1"/>
  <c r="AV245" i="1"/>
  <c r="AW245" i="1"/>
  <c r="AW421" i="1"/>
  <c r="AV380" i="1"/>
  <c r="AU369" i="1"/>
  <c r="AW369" i="1"/>
  <c r="AV331" i="1"/>
  <c r="AW331" i="1"/>
  <c r="AU300" i="1"/>
  <c r="AV300" i="1"/>
  <c r="AW300" i="1"/>
  <c r="AU250" i="1"/>
  <c r="AV250" i="1"/>
  <c r="AW250" i="1"/>
  <c r="AU234" i="1"/>
  <c r="AV234" i="1"/>
  <c r="AW234" i="1"/>
  <c r="AU372" i="1"/>
  <c r="AW366" i="1"/>
  <c r="AV313" i="1"/>
  <c r="AU309" i="1"/>
  <c r="AU295" i="1"/>
  <c r="AV295" i="1"/>
  <c r="AW295" i="1"/>
  <c r="AU255" i="1"/>
  <c r="AV255" i="1"/>
  <c r="AW255" i="1"/>
  <c r="AU239" i="1"/>
  <c r="AV239" i="1"/>
  <c r="AW239" i="1"/>
  <c r="AW412" i="1"/>
  <c r="AW393" i="1"/>
  <c r="AW391" i="1"/>
  <c r="AW385" i="1"/>
  <c r="AU322" i="1"/>
  <c r="AV322" i="1"/>
  <c r="AW322" i="1"/>
  <c r="AU290" i="1"/>
  <c r="AV290" i="1"/>
  <c r="AW290" i="1"/>
  <c r="AU260" i="1"/>
  <c r="AV260" i="1"/>
  <c r="AW260" i="1"/>
  <c r="AU244" i="1"/>
  <c r="AV244" i="1"/>
  <c r="AW244" i="1"/>
  <c r="AU229" i="1"/>
  <c r="AV229" i="1"/>
  <c r="AW229" i="1"/>
  <c r="AW426" i="1"/>
  <c r="AW420" i="1"/>
  <c r="AW368" i="1"/>
  <c r="AU304" i="1"/>
  <c r="AU265" i="1"/>
  <c r="AV265" i="1"/>
  <c r="AW265" i="1"/>
  <c r="AU249" i="1"/>
  <c r="AV249" i="1"/>
  <c r="AW249" i="1"/>
  <c r="AV356" i="1"/>
  <c r="AW356" i="1"/>
  <c r="AU342" i="1"/>
  <c r="AV342" i="1"/>
  <c r="AW342" i="1"/>
  <c r="AV326" i="1"/>
  <c r="AW326" i="1"/>
  <c r="AU313" i="1"/>
  <c r="AU285" i="1"/>
  <c r="AV285" i="1"/>
  <c r="AW285" i="1"/>
  <c r="AU280" i="1"/>
  <c r="AV280" i="1"/>
  <c r="AW280" i="1"/>
  <c r="AU275" i="1"/>
  <c r="AV275" i="1"/>
  <c r="AW275" i="1"/>
  <c r="AU270" i="1"/>
  <c r="AV270" i="1"/>
  <c r="AW270" i="1"/>
  <c r="AU254" i="1"/>
  <c r="AV254" i="1"/>
  <c r="AW254" i="1"/>
  <c r="AW543" i="1"/>
  <c r="AW538" i="1"/>
  <c r="AW533" i="1"/>
  <c r="AW528" i="1"/>
  <c r="AW523" i="1"/>
  <c r="AW518" i="1"/>
  <c r="AW513" i="1"/>
  <c r="AW508" i="1"/>
  <c r="AW503" i="1"/>
  <c r="AW498" i="1"/>
  <c r="AW493" i="1"/>
  <c r="AW488" i="1"/>
  <c r="AW409" i="1"/>
  <c r="AW398" i="1"/>
  <c r="AW396" i="1"/>
  <c r="AW390" i="1"/>
  <c r="AV374" i="1"/>
  <c r="AV365" i="1"/>
  <c r="AU349" i="1"/>
  <c r="AW345" i="1"/>
  <c r="AU317" i="1"/>
  <c r="AU308" i="1"/>
  <c r="AW308" i="1"/>
  <c r="AU294" i="1"/>
  <c r="AU259" i="1"/>
  <c r="AV259" i="1"/>
  <c r="AW259" i="1"/>
  <c r="AV543" i="1"/>
  <c r="AV538" i="1"/>
  <c r="AV533" i="1"/>
  <c r="AV528" i="1"/>
  <c r="AV523" i="1"/>
  <c r="AV518" i="1"/>
  <c r="AV409" i="1"/>
  <c r="AV398" i="1"/>
  <c r="AU338" i="1"/>
  <c r="AU303" i="1"/>
  <c r="AV303" i="1"/>
  <c r="AW303" i="1"/>
  <c r="AU289" i="1"/>
  <c r="AU284" i="1"/>
  <c r="AU264" i="1"/>
  <c r="AV264" i="1"/>
  <c r="AW264" i="1"/>
  <c r="AU362" i="1"/>
  <c r="AW362" i="1"/>
  <c r="AU325" i="1"/>
  <c r="AV325" i="1"/>
  <c r="AW325" i="1"/>
  <c r="AU298" i="1"/>
  <c r="AV298" i="1"/>
  <c r="AW298" i="1"/>
  <c r="AV284" i="1"/>
  <c r="AW284" i="1"/>
  <c r="AU279" i="1"/>
  <c r="AV279" i="1"/>
  <c r="AW279" i="1"/>
  <c r="AU274" i="1"/>
  <c r="AV274" i="1"/>
  <c r="AW274" i="1"/>
  <c r="AU269" i="1"/>
  <c r="AV269" i="1"/>
  <c r="AW269" i="1"/>
  <c r="AU232" i="1"/>
  <c r="AW401" i="1"/>
  <c r="AW371" i="1"/>
  <c r="AU352" i="1"/>
  <c r="AW352" i="1"/>
  <c r="AV321" i="1"/>
  <c r="AW321" i="1"/>
  <c r="AU312" i="1"/>
  <c r="AU293" i="1"/>
  <c r="AV293" i="1"/>
  <c r="AW293" i="1"/>
  <c r="AV414" i="1"/>
  <c r="AU337" i="1"/>
  <c r="AV337" i="1"/>
  <c r="AW337" i="1"/>
  <c r="AU288" i="1"/>
  <c r="AV288" i="1"/>
  <c r="AW288" i="1"/>
  <c r="AU242" i="1"/>
  <c r="AW384" i="1"/>
  <c r="AV341" i="1"/>
  <c r="AW341" i="1"/>
  <c r="AU320" i="1"/>
  <c r="AV320" i="1"/>
  <c r="AW320" i="1"/>
  <c r="AV316" i="1"/>
  <c r="AW316" i="1"/>
  <c r="AU324" i="1"/>
  <c r="AU302" i="1"/>
  <c r="AW582" i="1"/>
  <c r="AW577" i="1"/>
  <c r="AW572" i="1"/>
  <c r="AW567" i="1"/>
  <c r="AW562" i="1"/>
  <c r="AW557" i="1"/>
  <c r="AW552" i="1"/>
  <c r="AW547" i="1"/>
  <c r="AW542" i="1"/>
  <c r="AW537" i="1"/>
  <c r="AW532" i="1"/>
  <c r="AW527" i="1"/>
  <c r="AW522" i="1"/>
  <c r="AW517" i="1"/>
  <c r="AW512" i="1"/>
  <c r="AW507" i="1"/>
  <c r="AW502" i="1"/>
  <c r="AW497" i="1"/>
  <c r="AW492" i="1"/>
  <c r="AW487" i="1"/>
  <c r="AW482" i="1"/>
  <c r="AW477" i="1"/>
  <c r="AW472" i="1"/>
  <c r="AW467" i="1"/>
  <c r="AW462" i="1"/>
  <c r="AW457" i="1"/>
  <c r="AW452" i="1"/>
  <c r="AW447" i="1"/>
  <c r="AW442" i="1"/>
  <c r="AW437" i="1"/>
  <c r="AW397" i="1"/>
  <c r="AW378" i="1"/>
  <c r="AW376" i="1"/>
  <c r="AU364" i="1"/>
  <c r="AW364" i="1"/>
  <c r="AV361" i="1"/>
  <c r="AW361" i="1"/>
  <c r="AV582" i="1"/>
  <c r="AV577" i="1"/>
  <c r="AV572" i="1"/>
  <c r="AV567" i="1"/>
  <c r="AV562" i="1"/>
  <c r="AV557" i="1"/>
  <c r="AV552" i="1"/>
  <c r="AV547" i="1"/>
  <c r="AV542" i="1"/>
  <c r="AV537" i="1"/>
  <c r="AV532" i="1"/>
  <c r="AV527" i="1"/>
  <c r="AV522" i="1"/>
  <c r="AV517" i="1"/>
  <c r="AV512" i="1"/>
  <c r="AV507" i="1"/>
  <c r="AV502" i="1"/>
  <c r="AV497" i="1"/>
  <c r="AV492" i="1"/>
  <c r="AV487" i="1"/>
  <c r="AV482" i="1"/>
  <c r="AV477" i="1"/>
  <c r="AV472" i="1"/>
  <c r="AV467" i="1"/>
  <c r="AV462" i="1"/>
  <c r="AV457" i="1"/>
  <c r="AV452" i="1"/>
  <c r="AV447" i="1"/>
  <c r="AV442" i="1"/>
  <c r="AV437" i="1"/>
  <c r="AV432" i="1"/>
  <c r="AW424" i="1"/>
  <c r="AW413" i="1"/>
  <c r="AW411" i="1"/>
  <c r="AW405" i="1"/>
  <c r="AV397" i="1"/>
  <c r="AV389" i="1"/>
  <c r="AV378" i="1"/>
  <c r="AU367" i="1"/>
  <c r="AW367" i="1"/>
  <c r="AV351" i="1"/>
  <c r="AW351" i="1"/>
  <c r="AU332" i="1"/>
  <c r="AV332" i="1"/>
  <c r="AW332" i="1"/>
  <c r="AV311" i="1"/>
  <c r="AW311" i="1"/>
  <c r="AU292" i="1"/>
  <c r="AV424" i="1"/>
  <c r="AV413" i="1"/>
  <c r="AV405" i="1"/>
  <c r="AV386" i="1"/>
  <c r="AU354" i="1"/>
  <c r="AV336" i="1"/>
  <c r="AW336" i="1"/>
  <c r="AU328" i="1"/>
  <c r="AU319" i="1"/>
  <c r="AU287" i="1"/>
  <c r="AU282" i="1"/>
  <c r="AU277" i="1"/>
  <c r="AU272" i="1"/>
  <c r="AV421" i="1"/>
  <c r="AW402" i="1"/>
  <c r="AW394" i="1"/>
  <c r="AU386" i="1"/>
  <c r="AW383" i="1"/>
  <c r="AW381" i="1"/>
  <c r="AW375" i="1"/>
  <c r="AW363" i="1"/>
  <c r="AW360" i="1"/>
  <c r="AU347" i="1"/>
  <c r="AV347" i="1"/>
  <c r="AW347" i="1"/>
  <c r="AW343" i="1"/>
  <c r="AW534" i="1"/>
  <c r="AW529" i="1"/>
  <c r="AW524" i="1"/>
  <c r="AW519" i="1"/>
  <c r="AW514" i="1"/>
  <c r="AW509" i="1"/>
  <c r="AW504" i="1"/>
  <c r="AW499" i="1"/>
  <c r="AW494" i="1"/>
  <c r="AW489" i="1"/>
  <c r="AW484" i="1"/>
  <c r="AW479" i="1"/>
  <c r="AW474" i="1"/>
  <c r="AW469" i="1"/>
  <c r="AW464" i="1"/>
  <c r="AW459" i="1"/>
  <c r="AW454" i="1"/>
  <c r="AW449" i="1"/>
  <c r="AW444" i="1"/>
  <c r="AW439" i="1"/>
  <c r="AW434" i="1"/>
  <c r="AW429" i="1"/>
  <c r="AU421" i="1"/>
  <c r="AW418" i="1"/>
  <c r="AW416" i="1"/>
  <c r="AW410" i="1"/>
  <c r="AV402" i="1"/>
  <c r="AV394" i="1"/>
  <c r="AV383" i="1"/>
  <c r="AV375" i="1"/>
  <c r="AV366" i="1"/>
  <c r="AV363" i="1"/>
  <c r="AV360" i="1"/>
  <c r="AV343" i="1"/>
  <c r="AU331" i="1"/>
  <c r="AU235" i="1"/>
  <c r="AV235" i="1"/>
  <c r="AW235" i="1"/>
  <c r="AV391" i="1"/>
  <c r="AW372" i="1"/>
  <c r="AU366" i="1"/>
  <c r="AU357" i="1"/>
  <c r="AW357" i="1"/>
  <c r="AV335" i="1"/>
  <c r="AU327" i="1"/>
  <c r="AV327" i="1"/>
  <c r="AW327" i="1"/>
  <c r="AU314" i="1"/>
  <c r="AU240" i="1"/>
  <c r="AV240" i="1"/>
  <c r="AW240" i="1"/>
  <c r="AV215" i="1"/>
  <c r="AU306" i="1"/>
  <c r="AU301" i="1"/>
  <c r="AU296" i="1"/>
  <c r="AU291" i="1"/>
  <c r="AU201" i="1"/>
  <c r="AW201" i="1"/>
  <c r="AU187" i="1"/>
  <c r="AU183" i="1"/>
  <c r="AW183" i="1"/>
  <c r="AU175" i="1"/>
  <c r="AW175" i="1"/>
  <c r="AU90" i="1"/>
  <c r="AU62" i="1"/>
  <c r="AV62" i="1"/>
  <c r="AW62" i="1"/>
  <c r="AU21" i="1"/>
  <c r="AU16" i="1"/>
  <c r="AU11" i="1"/>
  <c r="AU6" i="1"/>
  <c r="AW228" i="1"/>
  <c r="AU225" i="1"/>
  <c r="AW225" i="1"/>
  <c r="AU217" i="1"/>
  <c r="AW217" i="1"/>
  <c r="AU179" i="1"/>
  <c r="AV179" i="1"/>
  <c r="AW179" i="1"/>
  <c r="AU67" i="1"/>
  <c r="AV67" i="1"/>
  <c r="AW67" i="1"/>
  <c r="AV21" i="1"/>
  <c r="AW21" i="1"/>
  <c r="AV16" i="1"/>
  <c r="AW16" i="1"/>
  <c r="AV11" i="1"/>
  <c r="AW11" i="1"/>
  <c r="AV6" i="1"/>
  <c r="AW6" i="1"/>
  <c r="AW283" i="1"/>
  <c r="AW278" i="1"/>
  <c r="AW273" i="1"/>
  <c r="AW263" i="1"/>
  <c r="AW258" i="1"/>
  <c r="AW243" i="1"/>
  <c r="AW238" i="1"/>
  <c r="AW233" i="1"/>
  <c r="AV228" i="1"/>
  <c r="AU221" i="1"/>
  <c r="AW221" i="1"/>
  <c r="AU213" i="1"/>
  <c r="AW213" i="1"/>
  <c r="AU209" i="1"/>
  <c r="AW209" i="1"/>
  <c r="AU205" i="1"/>
  <c r="AW205" i="1"/>
  <c r="AU196" i="1"/>
  <c r="AW196" i="1"/>
  <c r="AU114" i="1"/>
  <c r="AU78" i="1"/>
  <c r="AV283" i="1"/>
  <c r="AV278" i="1"/>
  <c r="AV273" i="1"/>
  <c r="AV263" i="1"/>
  <c r="AV258" i="1"/>
  <c r="AV243" i="1"/>
  <c r="AV238" i="1"/>
  <c r="AV233" i="1"/>
  <c r="AU102" i="1"/>
  <c r="AV102" i="1"/>
  <c r="AW102" i="1"/>
  <c r="AU200" i="1"/>
  <c r="AW200" i="1"/>
  <c r="AU191" i="1"/>
  <c r="AW191" i="1"/>
  <c r="AU178" i="1"/>
  <c r="AV178" i="1"/>
  <c r="AW178" i="1"/>
  <c r="AU174" i="1"/>
  <c r="AV174" i="1"/>
  <c r="AW174" i="1"/>
  <c r="AU130" i="1"/>
  <c r="AU95" i="1"/>
  <c r="AU89" i="1"/>
  <c r="AV66" i="1"/>
  <c r="AW66" i="1"/>
  <c r="AU57" i="1"/>
  <c r="AV57" i="1"/>
  <c r="AW57" i="1"/>
  <c r="AU169" i="1"/>
  <c r="AV169" i="1"/>
  <c r="AW169" i="1"/>
  <c r="AU72" i="1"/>
  <c r="AV72" i="1"/>
  <c r="AW72" i="1"/>
  <c r="AU224" i="1"/>
  <c r="AW224" i="1"/>
  <c r="AU212" i="1"/>
  <c r="AW212" i="1"/>
  <c r="AU204" i="1"/>
  <c r="AV204" i="1"/>
  <c r="AW204" i="1"/>
  <c r="AU195" i="1"/>
  <c r="AW195" i="1"/>
  <c r="AU186" i="1"/>
  <c r="AW186" i="1"/>
  <c r="AU77" i="1"/>
  <c r="AV77" i="1"/>
  <c r="AW77" i="1"/>
  <c r="AU220" i="1"/>
  <c r="AW220" i="1"/>
  <c r="AU216" i="1"/>
  <c r="AW216" i="1"/>
  <c r="AU208" i="1"/>
  <c r="AW208" i="1"/>
  <c r="AU173" i="1"/>
  <c r="AV173" i="1"/>
  <c r="AW173" i="1"/>
  <c r="AU124" i="1"/>
  <c r="AU107" i="1"/>
  <c r="AV107" i="1"/>
  <c r="AW107" i="1"/>
  <c r="AU88" i="1"/>
  <c r="AU71" i="1"/>
  <c r="AU44" i="1"/>
  <c r="AU199" i="1"/>
  <c r="AV199" i="1"/>
  <c r="AW199" i="1"/>
  <c r="AU190" i="1"/>
  <c r="AW190" i="1"/>
  <c r="AU100" i="1"/>
  <c r="AU76" i="1"/>
  <c r="AU52" i="1"/>
  <c r="AV52" i="1"/>
  <c r="AW52" i="1"/>
  <c r="AU164" i="1"/>
  <c r="AV164" i="1"/>
  <c r="AW164" i="1"/>
  <c r="AU159" i="1"/>
  <c r="AV159" i="1"/>
  <c r="AW159" i="1"/>
  <c r="AU154" i="1"/>
  <c r="AV154" i="1"/>
  <c r="AW154" i="1"/>
  <c r="AU149" i="1"/>
  <c r="AV149" i="1"/>
  <c r="AW149" i="1"/>
  <c r="AU144" i="1"/>
  <c r="AV144" i="1"/>
  <c r="AW144" i="1"/>
  <c r="AU139" i="1"/>
  <c r="AV139" i="1"/>
  <c r="AW139" i="1"/>
  <c r="AU112" i="1"/>
  <c r="AV112" i="1"/>
  <c r="AW112" i="1"/>
  <c r="AW317" i="1"/>
  <c r="AW312" i="1"/>
  <c r="AW307" i="1"/>
  <c r="AW302" i="1"/>
  <c r="AW297" i="1"/>
  <c r="AW292" i="1"/>
  <c r="AW287" i="1"/>
  <c r="AW282" i="1"/>
  <c r="AW277" i="1"/>
  <c r="AW272" i="1"/>
  <c r="AW267" i="1"/>
  <c r="AW262" i="1"/>
  <c r="AW257" i="1"/>
  <c r="AW252" i="1"/>
  <c r="AW247" i="1"/>
  <c r="AW242" i="1"/>
  <c r="AW237" i="1"/>
  <c r="AW232" i="1"/>
  <c r="AU230" i="1"/>
  <c r="AU227" i="1"/>
  <c r="AW227" i="1"/>
  <c r="AU194" i="1"/>
  <c r="AV194" i="1"/>
  <c r="AW194" i="1"/>
  <c r="AU168" i="1"/>
  <c r="AV168" i="1"/>
  <c r="AW168" i="1"/>
  <c r="AU123" i="1"/>
  <c r="AU82" i="1"/>
  <c r="AV82" i="1"/>
  <c r="AW82" i="1"/>
  <c r="AU70" i="1"/>
  <c r="AU32" i="1"/>
  <c r="AV32" i="1"/>
  <c r="AW32" i="1"/>
  <c r="AV317" i="1"/>
  <c r="AV312" i="1"/>
  <c r="AV307" i="1"/>
  <c r="AV302" i="1"/>
  <c r="AV297" i="1"/>
  <c r="AV292" i="1"/>
  <c r="AV287" i="1"/>
  <c r="AV282" i="1"/>
  <c r="AV277" i="1"/>
  <c r="AV272" i="1"/>
  <c r="AV267" i="1"/>
  <c r="AV262" i="1"/>
  <c r="AV257" i="1"/>
  <c r="AV252" i="1"/>
  <c r="AV247" i="1"/>
  <c r="AV242" i="1"/>
  <c r="AV237" i="1"/>
  <c r="AV232" i="1"/>
  <c r="AU223" i="1"/>
  <c r="AW223" i="1"/>
  <c r="AU207" i="1"/>
  <c r="AU203" i="1"/>
  <c r="AW203" i="1"/>
  <c r="AU181" i="1"/>
  <c r="AW181" i="1"/>
  <c r="AU87" i="1"/>
  <c r="AV87" i="1"/>
  <c r="AW87" i="1"/>
  <c r="AU219" i="1"/>
  <c r="AW219" i="1"/>
  <c r="AU215" i="1"/>
  <c r="AW215" i="1"/>
  <c r="AU211" i="1"/>
  <c r="AW211" i="1"/>
  <c r="AU189" i="1"/>
  <c r="AV189" i="1"/>
  <c r="AW189" i="1"/>
  <c r="AU185" i="1"/>
  <c r="AW185" i="1"/>
  <c r="AU163" i="1"/>
  <c r="AV163" i="1"/>
  <c r="AW163" i="1"/>
  <c r="AU158" i="1"/>
  <c r="AV158" i="1"/>
  <c r="AW158" i="1"/>
  <c r="AU153" i="1"/>
  <c r="AV153" i="1"/>
  <c r="AW153" i="1"/>
  <c r="AU148" i="1"/>
  <c r="AV148" i="1"/>
  <c r="AW148" i="1"/>
  <c r="AU143" i="1"/>
  <c r="AV143" i="1"/>
  <c r="AW143" i="1"/>
  <c r="AU138" i="1"/>
  <c r="AV138" i="1"/>
  <c r="AW138" i="1"/>
  <c r="AU133" i="1"/>
  <c r="AV133" i="1"/>
  <c r="AW133" i="1"/>
  <c r="AU105" i="1"/>
  <c r="AU99" i="1"/>
  <c r="AU81" i="1"/>
  <c r="AU47" i="1"/>
  <c r="AV47" i="1"/>
  <c r="AW47" i="1"/>
  <c r="AU198" i="1"/>
  <c r="AW198" i="1"/>
  <c r="AU64" i="1"/>
  <c r="AW354" i="1"/>
  <c r="AW349" i="1"/>
  <c r="AW344" i="1"/>
  <c r="AW339" i="1"/>
  <c r="AW334" i="1"/>
  <c r="AW329" i="1"/>
  <c r="AW324" i="1"/>
  <c r="AW319" i="1"/>
  <c r="AW314" i="1"/>
  <c r="AW309" i="1"/>
  <c r="AW304" i="1"/>
  <c r="AW299" i="1"/>
  <c r="AW294" i="1"/>
  <c r="AW289" i="1"/>
  <c r="AU193" i="1"/>
  <c r="AW193" i="1"/>
  <c r="AU127" i="1"/>
  <c r="AU110" i="1"/>
  <c r="AU69" i="1"/>
  <c r="AU27" i="1"/>
  <c r="AV27" i="1"/>
  <c r="AW27" i="1"/>
  <c r="AU92" i="1"/>
  <c r="AV92" i="1"/>
  <c r="AW92" i="1"/>
  <c r="AU59" i="1"/>
  <c r="AU226" i="1"/>
  <c r="AW226" i="1"/>
  <c r="AU222" i="1"/>
  <c r="AW222" i="1"/>
  <c r="AU184" i="1"/>
  <c r="AV184" i="1"/>
  <c r="AW184" i="1"/>
  <c r="AU104" i="1"/>
  <c r="AU218" i="1"/>
  <c r="AW218" i="1"/>
  <c r="AU214" i="1"/>
  <c r="AW214" i="1"/>
  <c r="AU210" i="1"/>
  <c r="AW210" i="1"/>
  <c r="AU206" i="1"/>
  <c r="AW206" i="1"/>
  <c r="AU197" i="1"/>
  <c r="AU180" i="1"/>
  <c r="AW180" i="1"/>
  <c r="AU171" i="1"/>
  <c r="AU91" i="1"/>
  <c r="AU68" i="1"/>
  <c r="AW306" i="1"/>
  <c r="AW301" i="1"/>
  <c r="AW296" i="1"/>
  <c r="AW291" i="1"/>
  <c r="AW286" i="1"/>
  <c r="AW276" i="1"/>
  <c r="AW271" i="1"/>
  <c r="AW266" i="1"/>
  <c r="AW261" i="1"/>
  <c r="AW256" i="1"/>
  <c r="AW251" i="1"/>
  <c r="AW246" i="1"/>
  <c r="AW241" i="1"/>
  <c r="AW236" i="1"/>
  <c r="AV201" i="1"/>
  <c r="AU192" i="1"/>
  <c r="AU115" i="1"/>
  <c r="AU22" i="1"/>
  <c r="AV22" i="1"/>
  <c r="AW22" i="1"/>
  <c r="AU17" i="1"/>
  <c r="AV17" i="1"/>
  <c r="AW17" i="1"/>
  <c r="AU12" i="1"/>
  <c r="AV12" i="1"/>
  <c r="AW12" i="1"/>
  <c r="AU7" i="1"/>
  <c r="AV7" i="1"/>
  <c r="AW7" i="1"/>
  <c r="AU2" i="1"/>
  <c r="AV2" i="1"/>
  <c r="AW2" i="1"/>
  <c r="AV225" i="1"/>
  <c r="AV221" i="1"/>
  <c r="AV183" i="1"/>
  <c r="AV175" i="1"/>
  <c r="AU120" i="1"/>
  <c r="AU103" i="1"/>
  <c r="AU97" i="1"/>
  <c r="AV97" i="1"/>
  <c r="AW97" i="1"/>
  <c r="AW176" i="1"/>
  <c r="AW171" i="1"/>
  <c r="AW166" i="1"/>
  <c r="AW161" i="1"/>
  <c r="AW156" i="1"/>
  <c r="AW151" i="1"/>
  <c r="AW146" i="1"/>
  <c r="AW141" i="1"/>
  <c r="AW136" i="1"/>
  <c r="AW131" i="1"/>
  <c r="AW126" i="1"/>
  <c r="AW121" i="1"/>
  <c r="AW116" i="1"/>
  <c r="AW106" i="1"/>
  <c r="AW101" i="1"/>
  <c r="AW96" i="1"/>
  <c r="AW91" i="1"/>
  <c r="AW86" i="1"/>
  <c r="AW81" i="1"/>
  <c r="AW76" i="1"/>
  <c r="AW71"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V3"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W207" i="1"/>
  <c r="AW202" i="1"/>
  <c r="AW197" i="1"/>
  <c r="AW192" i="1"/>
  <c r="AW187" i="1"/>
  <c r="AW182" i="1"/>
  <c r="AW177" i="1"/>
  <c r="AW172" i="1"/>
  <c r="AW167" i="1"/>
  <c r="AW162" i="1"/>
  <c r="AW157" i="1"/>
  <c r="AW152" i="1"/>
  <c r="AW147" i="1"/>
  <c r="AW142" i="1"/>
  <c r="AW137" i="1"/>
  <c r="AW132" i="1"/>
  <c r="AW127" i="1"/>
  <c r="AW122" i="1"/>
  <c r="AW117" i="1"/>
  <c r="AW42" i="1"/>
  <c r="AW37"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 r="AV359" i="1" l="1"/>
  <c r="AW188" i="1"/>
  <c r="AV281" i="1"/>
  <c r="AV346" i="1"/>
  <c r="AV724" i="1"/>
  <c r="AW705" i="1"/>
  <c r="AV56" i="1"/>
  <c r="AV299" i="1"/>
  <c r="AU268" i="1"/>
  <c r="AU56" i="1"/>
  <c r="AV566" i="1"/>
  <c r="AU346" i="1"/>
  <c r="AV766" i="1"/>
  <c r="AV751" i="1"/>
  <c r="AW51" i="1"/>
  <c r="AW111" i="1"/>
  <c r="AU550" i="1"/>
  <c r="AU281" i="1"/>
  <c r="AV248" i="1"/>
  <c r="AW566" i="1"/>
  <c r="AW766" i="1"/>
  <c r="AW648" i="1"/>
  <c r="AU724" i="1"/>
  <c r="AV253" i="1"/>
  <c r="AV231" i="1"/>
  <c r="AU776" i="1"/>
  <c r="AW727" i="1"/>
  <c r="AU852" i="1"/>
  <c r="AU751" i="1"/>
  <c r="AV826" i="1"/>
  <c r="AU253" i="1"/>
  <c r="AV268" i="1"/>
  <c r="AW359" i="1"/>
  <c r="AV727" i="1"/>
  <c r="AU231" i="1"/>
  <c r="AU455" i="1"/>
</calcChain>
</file>

<file path=xl/sharedStrings.xml><?xml version="1.0" encoding="utf-8"?>
<sst xmlns="http://schemas.openxmlformats.org/spreadsheetml/2006/main" count="18487" uniqueCount="12145">
  <si>
    <t>n</t>
  </si>
  <si>
    <t>undefined</t>
  </si>
  <si>
    <t>Journal</t>
  </si>
  <si>
    <t>United States;United States</t>
  </si>
  <si>
    <t>Article</t>
  </si>
  <si>
    <t>ar</t>
  </si>
  <si>
    <t>Brazil</t>
  </si>
  <si>
    <t>United States</t>
  </si>
  <si>
    <t>60029445;60029445;60029445</t>
  </si>
  <si>
    <t>Minneapolis</t>
  </si>
  <si>
    <t>University of Minnesota Twin Cities</t>
  </si>
  <si>
    <t>United States;United States;United States;United States</t>
  </si>
  <si>
    <t>Japan;Japan;Japan;Japan</t>
  </si>
  <si>
    <t>Plant Physiology</t>
  </si>
  <si>
    <t>France</t>
  </si>
  <si>
    <t>Paris</t>
  </si>
  <si>
    <t>√âcole Normale Sup√©rieure</t>
  </si>
  <si>
    <t>Lavaud J.</t>
  </si>
  <si>
    <t>Athens</t>
  </si>
  <si>
    <t>Italy</t>
  </si>
  <si>
    <t>199-205</t>
  </si>
  <si>
    <t>China</t>
  </si>
  <si>
    <t>Japan;Japan</t>
  </si>
  <si>
    <t>Nederlandse Organisatie voor Wetenschappelijk Onderzoek</t>
  </si>
  <si>
    <t>NWO</t>
  </si>
  <si>
    <t>Technical Physics</t>
  </si>
  <si>
    <t>Russian Federation</t>
  </si>
  <si>
    <t>Moscow</t>
  </si>
  <si>
    <t>60028218;60028218;60028218</t>
  </si>
  <si>
    <t>Bologna</t>
  </si>
  <si>
    <t>Alma Mater Studiorum Universit√† di Bologna</t>
  </si>
  <si>
    <t>Doklady Physics</t>
  </si>
  <si>
    <t>Russian Federation;Russian Federation</t>
  </si>
  <si>
    <t>Moscow;Moscow</t>
  </si>
  <si>
    <t>Kravchenko V.</t>
  </si>
  <si>
    <t>IEEE Wireless Communications</t>
  </si>
  <si>
    <t>Japan</t>
  </si>
  <si>
    <t>Koganei</t>
  </si>
  <si>
    <t>Japan National Institute of Information and Communications Technology</t>
  </si>
  <si>
    <t>United Kingdom;United Kingdom</t>
  </si>
  <si>
    <t>Journal of Experimental Biology</t>
  </si>
  <si>
    <t>United Kingdom</t>
  </si>
  <si>
    <t>Bristol</t>
  </si>
  <si>
    <t>University of Bristol</t>
  </si>
  <si>
    <t>G√∂pfert M.</t>
  </si>
  <si>
    <t>Netherlands</t>
  </si>
  <si>
    <t>Noordwijk aan Zee</t>
  </si>
  <si>
    <t>ESTEC - European Space Research and Technology Centre</t>
  </si>
  <si>
    <t>China;China</t>
  </si>
  <si>
    <t>Turkey</t>
  </si>
  <si>
    <t>0277786X</t>
  </si>
  <si>
    <t>Proceedings of SPIE - The International Society for Optical Engineering</t>
  </si>
  <si>
    <t>Irkutsk</t>
  </si>
  <si>
    <t>60003217;60003217;60003217</t>
  </si>
  <si>
    <t>Kayseri</t>
  </si>
  <si>
    <t>Erciyes √úniversitesi</t>
  </si>
  <si>
    <t>Biotechnology and Biological Sciences Research Council</t>
  </si>
  <si>
    <t>BBSRC</t>
  </si>
  <si>
    <t>Germany;United Kingdom</t>
  </si>
  <si>
    <t>Taiwan;Taiwan</t>
  </si>
  <si>
    <t>Russian Federation;Netherlands</t>
  </si>
  <si>
    <t>Moscow;Delft</t>
  </si>
  <si>
    <t>Academician A. L. Mints Radiotechnical Institute;Delft University of Technology</t>
  </si>
  <si>
    <t>60097378;60006288</t>
  </si>
  <si>
    <t>Boston</t>
  </si>
  <si>
    <t>115-119</t>
  </si>
  <si>
    <t>Finland;Finland</t>
  </si>
  <si>
    <t>Liverpool</t>
  </si>
  <si>
    <t>University of Liverpool</t>
  </si>
  <si>
    <t>Los Angeles</t>
  </si>
  <si>
    <t>Netherlands;Netherlands</t>
  </si>
  <si>
    <t>60025278;60025278;60025278;60025278</t>
  </si>
  <si>
    <t>Beijing</t>
  </si>
  <si>
    <t>Tsinghua University</t>
  </si>
  <si>
    <t>United States;United States;United States</t>
  </si>
  <si>
    <t>Canada;Canada;Canada</t>
  </si>
  <si>
    <t>Spain;Spain</t>
  </si>
  <si>
    <t>56373660100;7102403575;36049280600</t>
  </si>
  <si>
    <t>Liu, Zhiqiang;Xin, Yan;Giannakis, Georgios B.</t>
  </si>
  <si>
    <t>Liu Z.</t>
  </si>
  <si>
    <t>Germany;Germany</t>
  </si>
  <si>
    <t>South Africa</t>
  </si>
  <si>
    <t>Stellenbosch</t>
  </si>
  <si>
    <t>Stellenbosch University</t>
  </si>
  <si>
    <t>United States;Finland;United States</t>
  </si>
  <si>
    <t>Tokyo;Tokyo</t>
  </si>
  <si>
    <t>Singapore</t>
  </si>
  <si>
    <t>Singapore City</t>
  </si>
  <si>
    <t>Italy;Italy</t>
  </si>
  <si>
    <t>Naples;Salerno</t>
  </si>
  <si>
    <t>Parthenope University of Naples;Universit√† degli Studi di Salerno</t>
  </si>
  <si>
    <t>60025235;60007061</t>
  </si>
  <si>
    <t>Canada;Canada</t>
  </si>
  <si>
    <t>Vidal B.</t>
  </si>
  <si>
    <t>South Korea;South Korea</t>
  </si>
  <si>
    <t>Pohang;Daejeon</t>
  </si>
  <si>
    <t>Pohang University of Science and Technology;Electronics and Telecommunications Research Institute</t>
  </si>
  <si>
    <t>60032330;60001558</t>
  </si>
  <si>
    <t>60012630;60012630;60012630</t>
  </si>
  <si>
    <t>Rome</t>
  </si>
  <si>
    <t>Universit√† degli Studi Roma Tre</t>
  </si>
  <si>
    <t>Bilotti F.</t>
  </si>
  <si>
    <t>Spain;United States</t>
  </si>
  <si>
    <t>Cetiner B.</t>
  </si>
  <si>
    <t>Tokyo</t>
  </si>
  <si>
    <t>Mitsubishi Electric Corporation</t>
  </si>
  <si>
    <t>Germany;Germany;United States</t>
  </si>
  <si>
    <t>6602653553;7003484529;7004481899;7005104207</t>
  </si>
  <si>
    <t>Ottawa;Winnipeg</t>
  </si>
  <si>
    <t>Communications Research Centre;University of Manitoba</t>
  </si>
  <si>
    <t>60018714;60009697</t>
  </si>
  <si>
    <t>Chaharmir M.</t>
  </si>
  <si>
    <t>Germany</t>
  </si>
  <si>
    <t>Erlangen</t>
  </si>
  <si>
    <t>Hong Kong</t>
  </si>
  <si>
    <t>Ann Arbor</t>
  </si>
  <si>
    <t>University of Michigan, Ann Arbor</t>
  </si>
  <si>
    <t>Sweden;Sweden</t>
  </si>
  <si>
    <t>Kildal P.</t>
  </si>
  <si>
    <t>Kim Y.</t>
  </si>
  <si>
    <t>60009697;60009697</t>
  </si>
  <si>
    <t>Canada</t>
  </si>
  <si>
    <t>Winnipeg</t>
  </si>
  <si>
    <t>University of Manitoba</t>
  </si>
  <si>
    <t>60031544;60031544;60031544;60031544;60031544</t>
  </si>
  <si>
    <t>India</t>
  </si>
  <si>
    <t>Kochi</t>
  </si>
  <si>
    <t>Cochin University of Science and Technology</t>
  </si>
  <si>
    <t>Kundukulam S.O.</t>
  </si>
  <si>
    <t>Nanjing</t>
  </si>
  <si>
    <t>Sun Y.</t>
  </si>
  <si>
    <t>Yokosuka</t>
  </si>
  <si>
    <t>National Defense Academy of Japan</t>
  </si>
  <si>
    <t>186-189</t>
  </si>
  <si>
    <t>United States;Sweden</t>
  </si>
  <si>
    <t>Taiwan</t>
  </si>
  <si>
    <t>Taipei</t>
  </si>
  <si>
    <t>Berlin</t>
  </si>
  <si>
    <t>Humboldt-Universit√§t zu Berlin</t>
  </si>
  <si>
    <t>60019702;60019702;60019702</t>
  </si>
  <si>
    <t>Birmingham</t>
  </si>
  <si>
    <t>University of Birmingham</t>
  </si>
  <si>
    <t>Long Y.</t>
  </si>
  <si>
    <t>Li L.</t>
  </si>
  <si>
    <t>Thailand</t>
  </si>
  <si>
    <t>60019118;60019118</t>
  </si>
  <si>
    <t>Hefei</t>
  </si>
  <si>
    <t>University of Science and Technology of China</t>
  </si>
  <si>
    <t>Wang Y.</t>
  </si>
  <si>
    <t>Cambridge</t>
  </si>
  <si>
    <t>Chicago</t>
  </si>
  <si>
    <t>Boeing Corporation</t>
  </si>
  <si>
    <t>South Korea</t>
  </si>
  <si>
    <t>Seoul</t>
  </si>
  <si>
    <t>Yonsei University</t>
  </si>
  <si>
    <t>Rennes</t>
  </si>
  <si>
    <t>Institut d‚Äô√âlectronique et des Technologies du num√©Rique</t>
  </si>
  <si>
    <t>98-101</t>
  </si>
  <si>
    <t>University Park</t>
  </si>
  <si>
    <t>Pennsylvania State University</t>
  </si>
  <si>
    <t>22-25</t>
  </si>
  <si>
    <t>Limoges</t>
  </si>
  <si>
    <t>Turkey;United States</t>
  </si>
  <si>
    <t>Ankara;Columbus</t>
  </si>
  <si>
    <t>Urbana</t>
  </si>
  <si>
    <t>University of Illinois Urbana-Champaign</t>
  </si>
  <si>
    <t>Yang J.</t>
  </si>
  <si>
    <t>Waltham</t>
  </si>
  <si>
    <t>Raytheon</t>
  </si>
  <si>
    <t>Brazil;Brazil</t>
  </si>
  <si>
    <t>Delft</t>
  </si>
  <si>
    <t>Delft University of Technology</t>
  </si>
  <si>
    <t>Sweden</t>
  </si>
  <si>
    <t>Gothenburg</t>
  </si>
  <si>
    <t>Sharma S.</t>
  </si>
  <si>
    <t>South Korea;United States</t>
  </si>
  <si>
    <t>Daejeon;</t>
  </si>
  <si>
    <t>Singapore;Singapore</t>
  </si>
  <si>
    <t>Singapore City;Singapore City</t>
  </si>
  <si>
    <t>Hsinchu;Kaohsiung</t>
  </si>
  <si>
    <t>Industrial Technology Research Institute of Taiwan;National Sun Yat-Sen University</t>
  </si>
  <si>
    <t>60022847;60011357</t>
  </si>
  <si>
    <t>Spain</t>
  </si>
  <si>
    <t>Barcelona</t>
  </si>
  <si>
    <t>Spain;Spain;Spain</t>
  </si>
  <si>
    <t>Rajo-Iglesias E.</t>
  </si>
  <si>
    <t>Rogers S.</t>
  </si>
  <si>
    <t>Israel;Israel</t>
  </si>
  <si>
    <t>Nippon Telegraph and Telephone Corporation</t>
  </si>
  <si>
    <t>50-53</t>
  </si>
  <si>
    <t>TDK Corporation</t>
  </si>
  <si>
    <t>McLean J.</t>
  </si>
  <si>
    <t>Valencia</t>
  </si>
  <si>
    <t>Universitat Polit√®cnica de Val√®ncia</t>
  </si>
  <si>
    <t>France;France;France;France</t>
  </si>
  <si>
    <t>France;France</t>
  </si>
  <si>
    <t>Erdemli Y.</t>
  </si>
  <si>
    <t>Bengaluru</t>
  </si>
  <si>
    <t>Lin Y.F.</t>
  </si>
  <si>
    <t>60019228;60003500</t>
  </si>
  <si>
    <t>7801381244;35550481500</t>
  </si>
  <si>
    <t>Janning, Dan S.;Munk, Ben A.</t>
  </si>
  <si>
    <t>Dayton;Columbus</t>
  </si>
  <si>
    <t>Air Force Research Laboratory;The Ohio State University</t>
  </si>
  <si>
    <t>Janning D.S.</t>
  </si>
  <si>
    <t>Boyle, Kevin</t>
  </si>
  <si>
    <t>Eindhoven</t>
  </si>
  <si>
    <t>Philips Research</t>
  </si>
  <si>
    <t>Boyle K.</t>
  </si>
  <si>
    <t>Daejeon</t>
  </si>
  <si>
    <t>Korea Advanced Institute of Science and Technology</t>
  </si>
  <si>
    <t>Park J.</t>
  </si>
  <si>
    <t>Ames</t>
  </si>
  <si>
    <t>Iowa State University</t>
  </si>
  <si>
    <t>Columbia</t>
  </si>
  <si>
    <t>60011357;60011357;60011357</t>
  </si>
  <si>
    <t>Kaohsiung</t>
  </si>
  <si>
    <t>National Sun Yat-Sen University</t>
  </si>
  <si>
    <t>Yang H.</t>
  </si>
  <si>
    <t>24774219300;6603458088;6507078562;35563466100</t>
  </si>
  <si>
    <t>Yarovoy A.</t>
  </si>
  <si>
    <t>Journal of Phycology</t>
  </si>
  <si>
    <t>Ottawa</t>
  </si>
  <si>
    <t>Switzerland</t>
  </si>
  <si>
    <t>Albuquerque</t>
  </si>
  <si>
    <t>106-109</t>
  </si>
  <si>
    <t>Mumbai</t>
  </si>
  <si>
    <t>Lee G.</t>
  </si>
  <si>
    <t>60026306;60026306</t>
  </si>
  <si>
    <t>Lincoln</t>
  </si>
  <si>
    <t>University of Nebraska‚ÄìLincoln</t>
  </si>
  <si>
    <t>6602786575;7003299405;55587309400</t>
  </si>
  <si>
    <t>Macon, Charles A.;Kempel, Leo C.;Schneider, Stephen W.</t>
  </si>
  <si>
    <t>East Lansing;Dayton</t>
  </si>
  <si>
    <t>Tung H.</t>
  </si>
  <si>
    <t>60011357;60011357</t>
  </si>
  <si>
    <t>200-203</t>
  </si>
  <si>
    <t>Chan K.</t>
  </si>
  <si>
    <t>60010491;60010491;60010491;60010491;60010491</t>
  </si>
  <si>
    <t>University</t>
  </si>
  <si>
    <t>University of Mississippi</t>
  </si>
  <si>
    <t>60024592;60024592</t>
  </si>
  <si>
    <t>Lexington</t>
  </si>
  <si>
    <t>Lincoln Laboratory</t>
  </si>
  <si>
    <t>Active antenna | Array | FDTD | Parallel processing</t>
  </si>
  <si>
    <t>60025578;60013983;60013983</t>
  </si>
  <si>
    <t>55554965100;55477588200;55511318500</t>
  </si>
  <si>
    <t>Chu, Qing Xin;Chan, Ka Fai;Chan, Chi Hou</t>
  </si>
  <si>
    <t>China;Hong Kong</t>
  </si>
  <si>
    <t>Xi'an;Kowloon</t>
  </si>
  <si>
    <t>Xidian University;City University of Hong Kong</t>
  </si>
  <si>
    <t>60025578;60013983</t>
  </si>
  <si>
    <t>Chu Q.</t>
  </si>
  <si>
    <t>Parallel FDTD analysis of active integrated antenna array</t>
  </si>
  <si>
    <t>Ali M.</t>
  </si>
  <si>
    <t>56-59</t>
  </si>
  <si>
    <t>60031544;60031544;60031544;60031544</t>
  </si>
  <si>
    <t>Hoferer R.</t>
  </si>
  <si>
    <t>60016912;60016912;60016912;60001558;60001558</t>
  </si>
  <si>
    <t>56566842900;7202469247;7402126718;55460550900;57199947436</t>
  </si>
  <si>
    <t>Kim, Hyungrak;Kwon, Jonghun;Yoon, Youngjoong;Yoon, Jaeseung;Jeon, Soonik</t>
  </si>
  <si>
    <t>Seoul;Daejeon</t>
  </si>
  <si>
    <t>Yonsei University;Electronics and Telecommunications Research Institute</t>
  </si>
  <si>
    <t>60016912;60001558</t>
  </si>
  <si>
    <t>Kim H.</t>
  </si>
  <si>
    <t>Chaharmir, M. R.;Shaker, J.;Cuhaci, M.;Sebak, A.</t>
  </si>
  <si>
    <t>Molndal</t>
  </si>
  <si>
    <t>Ericsson Microwave Systems AB</t>
  </si>
  <si>
    <t>National Institute of Allergy and Infectious Diseases</t>
  </si>
  <si>
    <t>NIAID</t>
  </si>
  <si>
    <t>University of South Carolina</t>
  </si>
  <si>
    <t>Journal of Plankton Research</t>
  </si>
  <si>
    <t>Italy;United States</t>
  </si>
  <si>
    <t>United States;Russian Federation</t>
  </si>
  <si>
    <t>359-364</t>
  </si>
  <si>
    <t>49-64</t>
  </si>
  <si>
    <t>Entomologia Experimentalis et Applicata</t>
  </si>
  <si>
    <t>National Kaohsiung University of Science and Technology</t>
  </si>
  <si>
    <t>449-458</t>
  </si>
  <si>
    <t>Li H.</t>
  </si>
  <si>
    <t>Belgium</t>
  </si>
  <si>
    <t>3000 Leuven</t>
  </si>
  <si>
    <t>KU Leuven</t>
  </si>
  <si>
    <t>National Institutes of Health</t>
  </si>
  <si>
    <t>NIH</t>
  </si>
  <si>
    <t>Biophysical Journal</t>
  </si>
  <si>
    <t>Annales des Telecommunications/Annals of Telecommunications</t>
  </si>
  <si>
    <t>Nuclear Fusion</t>
  </si>
  <si>
    <t>University of California, Los Angeles</t>
  </si>
  <si>
    <t>National Science Foundation</t>
  </si>
  <si>
    <t>NSF</t>
  </si>
  <si>
    <t>Indian Space Research Organization</t>
  </si>
  <si>
    <t>Zhang X.</t>
  </si>
  <si>
    <t>Air Force Office of Scientific Research</t>
  </si>
  <si>
    <t>AFOSR</t>
  </si>
  <si>
    <t>;</t>
  </si>
  <si>
    <t>60026638;60026638;60026638;60026638</t>
  </si>
  <si>
    <t>Finland</t>
  </si>
  <si>
    <t>Espoo</t>
  </si>
  <si>
    <t>Nokia Corporation</t>
  </si>
  <si>
    <t>Huang H.</t>
  </si>
  <si>
    <t>National Science Council</t>
  </si>
  <si>
    <t>NSC</t>
  </si>
  <si>
    <t>Acta Astronautica</t>
  </si>
  <si>
    <t>International Journal of RF and Microwave Computer-Aided Engineering</t>
  </si>
  <si>
    <t>60021859;60021859;60021859</t>
  </si>
  <si>
    <t>Florence</t>
  </si>
  <si>
    <t>Universit√† degli Studi di Firenze</t>
  </si>
  <si>
    <t>Australia</t>
  </si>
  <si>
    <t>Sydney</t>
  </si>
  <si>
    <t>UNSW Sydney</t>
  </si>
  <si>
    <t>Sensors and Actuators, A: Physical</t>
  </si>
  <si>
    <t>Li Y.</t>
  </si>
  <si>
    <t>Comisi√≥n Interministerial de Ciencia y Tecnolog√≠a</t>
  </si>
  <si>
    <t>CICYT</t>
  </si>
  <si>
    <t>Applied Microwave and Wireless</t>
  </si>
  <si>
    <t>International Journal of Satellite Communications</t>
  </si>
  <si>
    <t>Deutsche Forschungsgemeinschaft</t>
  </si>
  <si>
    <t>DFG</t>
  </si>
  <si>
    <t>1030-1039</t>
  </si>
  <si>
    <t>Signal Processing</t>
  </si>
  <si>
    <t>1053587X</t>
  </si>
  <si>
    <t>IEEE Transactions on Signal Processing</t>
  </si>
  <si>
    <t>Singapore;United States</t>
  </si>
  <si>
    <t>Singapore City;New York</t>
  </si>
  <si>
    <t>National University of Singapore;IEEE</t>
  </si>
  <si>
    <t>60017161;60000251</t>
  </si>
  <si>
    <t>European Journal of Environmental and Engineering Geophysics</t>
  </si>
  <si>
    <t>60025063;60025063</t>
  </si>
  <si>
    <t>6701442124;7005545716</t>
  </si>
  <si>
    <t>Vrancken M.</t>
  </si>
  <si>
    <t>Mexico</t>
  </si>
  <si>
    <t>Ciudad de M√©xico</t>
  </si>
  <si>
    <t>Universidad Nacional Aut√≥noma de M√©xico</t>
  </si>
  <si>
    <t>Brailovsky H.</t>
  </si>
  <si>
    <t>Electronics and Communications in Japan, Part I: Communications (English translation of Denshi Tsushin Gakkai Ronbunshi)</t>
  </si>
  <si>
    <t>Sapporo</t>
  </si>
  <si>
    <t>Hokkaido University</t>
  </si>
  <si>
    <t>Stanford University</t>
  </si>
  <si>
    <t>Wireless Personal Communications</t>
  </si>
  <si>
    <t>Chen Y.</t>
  </si>
  <si>
    <t>Hannover</t>
  </si>
  <si>
    <t>New York</t>
  </si>
  <si>
    <t>60008734;60008734;60008734;60008734;60008734</t>
  </si>
  <si>
    <t>Amsterdam</t>
  </si>
  <si>
    <t>Vrije Universiteit Amsterdam</t>
  </si>
  <si>
    <t>De Weerd F.</t>
  </si>
  <si>
    <t>IEEE Transactions on Communications</t>
  </si>
  <si>
    <t>Murray;New York</t>
  </si>
  <si>
    <t>Nokia Bell Labs;IEEE</t>
  </si>
  <si>
    <t>60021378;60000251</t>
  </si>
  <si>
    <t>Lozano A.</t>
  </si>
  <si>
    <t>IEEE Transactions on Microwave Theory and Techniques</t>
  </si>
  <si>
    <t>60000251-60020547;60000251-60020547</t>
  </si>
  <si>
    <t>College Station;New York</t>
  </si>
  <si>
    <t>Texas A&amp;M University;IEEE</t>
  </si>
  <si>
    <t>60020547;60000251</t>
  </si>
  <si>
    <t>201-206</t>
  </si>
  <si>
    <t>United Kingdom;United States</t>
  </si>
  <si>
    <t>60017161;60017161;60017161</t>
  </si>
  <si>
    <t>National University of Singapore</t>
  </si>
  <si>
    <t>Arizona State University</t>
  </si>
  <si>
    <t>Norway</t>
  </si>
  <si>
    <t>Milan</t>
  </si>
  <si>
    <t>60103653;60103653</t>
  </si>
  <si>
    <t>Aalto University</t>
  </si>
  <si>
    <t>Dundas;Ottawa</t>
  </si>
  <si>
    <t>National Aeronautics and Space Administration</t>
  </si>
  <si>
    <t>NASA</t>
  </si>
  <si>
    <t>143-149</t>
  </si>
  <si>
    <t>Pasadena;New York</t>
  </si>
  <si>
    <t>Jet Propulsion Laboratory;IEEE</t>
  </si>
  <si>
    <t>60009037;60000251</t>
  </si>
  <si>
    <t>Clemson</t>
  </si>
  <si>
    <t>Clemson University</t>
  </si>
  <si>
    <t>Universidad de Santiago de Chile</t>
  </si>
  <si>
    <t>['sum patterns', 'real excitations', 'modify pattern']</t>
  </si>
  <si>
    <t>In this paper we show that by means of an appropriate optimization technique the zeros of Rhodes radiation patterns can be perturbed so as to improve or modify pattern and/or the aperture distribution characteristics without altering the behaviour of the excitation amplitude distribution at the ends of the aperture. The examples presented include symmetric and asymmetric shaped beams, sum patterns with individually controlled side lobe heights, shaped beams generated by real excitations, and sum pattern aperture distributions that are smoother than the original Rhodes distribution.</t>
  </si>
  <si>
    <t>60028419;60028419;60028419;60028419</t>
  </si>
  <si>
    <t>Santiago de Compostela</t>
  </si>
  <si>
    <t>Universidad de Santiago de Compostela</t>
  </si>
  <si>
    <t>Br√©gains J.C.</t>
  </si>
  <si>
    <t>Optimal synthesis of line source antennas based on Rhodes distributions</t>
  </si>
  <si>
    <t>Space Technology</t>
  </si>
  <si>
    <t>IEEE Microwave and Wireless Components Letters</t>
  </si>
  <si>
    <t>Aliso Viejo;Los Angeles;New York</t>
  </si>
  <si>
    <t>Microsemi Corporation;University of California, Los Angeles;IEEE</t>
  </si>
  <si>
    <t>60074104;60027550;60000251</t>
  </si>
  <si>
    <t>15-17</t>
  </si>
  <si>
    <t>60016849;60016849</t>
  </si>
  <si>
    <t>Toronto</t>
  </si>
  <si>
    <t>University of Toronto</t>
  </si>
  <si>
    <t>Kowloon</t>
  </si>
  <si>
    <t>City University of Hong Kong</t>
  </si>
  <si>
    <t>60033019;60033019;60033019</t>
  </si>
  <si>
    <t>Pamplona</t>
  </si>
  <si>
    <t>Universidad P√∫blica de Navarra</t>
  </si>
  <si>
    <t>Teniente J.</t>
  </si>
  <si>
    <t>Radio Science</t>
  </si>
  <si>
    <t>Institute of Solar-Terrestrial Physics SB RAS</t>
  </si>
  <si>
    <t>Sapienza Universit√† di Roma</t>
  </si>
  <si>
    <t>IEEE Transactions on Vehicular Technology</t>
  </si>
  <si>
    <t>IEEE Aerospace and Electronic Systems Magazine</t>
  </si>
  <si>
    <t>Kingston</t>
  </si>
  <si>
    <t>CCR-99-80590</t>
  </si>
  <si>
    <t>United States;Italy</t>
  </si>
  <si>
    <t>Choi, Jinho</t>
  </si>
  <si>
    <t>Choi J.</t>
  </si>
  <si>
    <t>National Institute on Deafness and Other Communication Disorders</t>
  </si>
  <si>
    <t>NIDCD</t>
  </si>
  <si>
    <t>Journal of Neurobiology</t>
  </si>
  <si>
    <t>IEEE Transactions on Aerospace and Electronic Systems</t>
  </si>
  <si>
    <t>Engineering and Physical Sciences Research Council</t>
  </si>
  <si>
    <t>EPSRC</t>
  </si>
  <si>
    <t>United Kingdom;United Kingdom;United States</t>
  </si>
  <si>
    <t>;;;;;;;</t>
  </si>
  <si>
    <t>Tando«ßan I.</t>
  </si>
  <si>
    <t>0018926X</t>
  </si>
  <si>
    <t>IEEE Transactions on Antennas and Propagation</t>
  </si>
  <si>
    <t>Leung, K. W.</t>
  </si>
  <si>
    <t>Leung K.</t>
  </si>
  <si>
    <t>Netherlands;United States;United States</t>
  </si>
  <si>
    <t>China;United States;United States</t>
  </si>
  <si>
    <t>Capolino F.</t>
  </si>
  <si>
    <t>60025778;60025778</t>
  </si>
  <si>
    <t>Journal of Plant Physiology</t>
  </si>
  <si>
    <t>Poland</t>
  </si>
  <si>
    <t>Japan;United States</t>
  </si>
  <si>
    <t>Tokyo;New York</t>
  </si>
  <si>
    <t>Argentina</t>
  </si>
  <si>
    <t>Chalmers University of Technology</t>
  </si>
  <si>
    <t>60025534;60078684</t>
  </si>
  <si>
    <t>Mercado, Alejandra;Liu, K. J.Ray</t>
  </si>
  <si>
    <t>College Park;Troy</t>
  </si>
  <si>
    <t>A. James Clark School of Engineering;Rensselaer Polytechnic Institute</t>
  </si>
  <si>
    <t>60078684;60025534</t>
  </si>
  <si>
    <t>Mercado A.</t>
  </si>
  <si>
    <t>China;United States</t>
  </si>
  <si>
    <t>Sun Q.</t>
  </si>
  <si>
    <t>60012708;60012708;60012708</t>
  </si>
  <si>
    <t>Palo Alto</t>
  </si>
  <si>
    <t>Italy;Italy;United States</t>
  </si>
  <si>
    <t>¬†Cologne</t>
  </si>
  <si>
    <t>Deutsches Zentrum fur Luft- Und Raumfahrt</t>
  </si>
  <si>
    <t>7102451112;7005315165;6701582212</t>
  </si>
  <si>
    <t>Biglieri, Ezio;Taricco, Giorgio;Tulino, Antonia</t>
  </si>
  <si>
    <t>Biglieri E.</t>
  </si>
  <si>
    <t>56975732500;21743342100</t>
  </si>
  <si>
    <t>Sun, Wei;Li, Hongbin</t>
  </si>
  <si>
    <t>Sun W.</t>
  </si>
  <si>
    <t>Italy;Sweden</t>
  </si>
  <si>
    <t>Nicoli M.</t>
  </si>
  <si>
    <t>Universitat Polit√®cnica de Catalunya</t>
  </si>
  <si>
    <t>United States;Belgium</t>
  </si>
  <si>
    <t>Larsson E.</t>
  </si>
  <si>
    <t>Liu T.</t>
  </si>
  <si>
    <t>60031581;60021378</t>
  </si>
  <si>
    <t>7006111389;35499388800</t>
  </si>
  <si>
    <t>Hassibi, Babak;Hochwald, Bertrand M.</t>
  </si>
  <si>
    <t>Pasadena;Murray</t>
  </si>
  <si>
    <t>California Institute of Technology;Nokia Bell Labs</t>
  </si>
  <si>
    <t>Hassibi B.</t>
  </si>
  <si>
    <t>International Journal of Electronics</t>
  </si>
  <si>
    <t>Greece</t>
  </si>
  <si>
    <t>Rio</t>
  </si>
  <si>
    <t>University of Patras</t>
  </si>
  <si>
    <t>Kalis A.</t>
  </si>
  <si>
    <t>0006324X</t>
  </si>
  <si>
    <t>Proceedings of the Biological Society of Washington</t>
  </si>
  <si>
    <t>San Mart√≠n G.</t>
  </si>
  <si>
    <t>Universit√† degli Studi di Roma "Tor Vergata"</t>
  </si>
  <si>
    <t>Marrocco G.</t>
  </si>
  <si>
    <t>Washington, D.C.</t>
  </si>
  <si>
    <t>Chinese Academy of Sciences</t>
  </si>
  <si>
    <t>Qie X.</t>
  </si>
  <si>
    <t>Photosynthesis Research</t>
  </si>
  <si>
    <t>['various results', 'type perform', 'optimized using', 'maximum gain', 'genetic algorithms', 'element spacing', 'digital word']</t>
  </si>
  <si>
    <t>A method of designing smart antennas based on switched parasitic antenna arrays is presented in this paper. The direction of maximum gain can be controlled by a digital word, while the selection of element spacing and weighting is optimized using the method of genetic algorithms. Various results are presented to show how antennas of this type perform, outlining the advantages and limitations of their design.</t>
  </si>
  <si>
    <t>60002947;60002947</t>
  </si>
  <si>
    <t>6506240995;7003690777</t>
  </si>
  <si>
    <t>Varlamos, P. K.;Capsalis, C. N.</t>
  </si>
  <si>
    <t>National Technical University of Athens</t>
  </si>
  <si>
    <t>Varlamos P.</t>
  </si>
  <si>
    <t>Tsukuba</t>
  </si>
  <si>
    <t>London</t>
  </si>
  <si>
    <t>University College London</t>
  </si>
  <si>
    <t>South Korea;South Korea;South Korea</t>
  </si>
  <si>
    <t>Japan;China</t>
  </si>
  <si>
    <t>7004189729;7004531373;7101856530</t>
  </si>
  <si>
    <t>Zekavat, Seyed Alireza;Nassar, Carl R.;Shattil, Steve</t>
  </si>
  <si>
    <t>Zekavat S.</t>
  </si>
  <si>
    <t>Kyonggi-do</t>
  </si>
  <si>
    <t>Ajou University</t>
  </si>
  <si>
    <t>Switzerland;United States</t>
  </si>
  <si>
    <t>Decoding space-time codes with BLAST architectures</t>
  </si>
  <si>
    <t>Murray</t>
  </si>
  <si>
    <t>Nokia Bell Labs</t>
  </si>
  <si>
    <t>60032144;60032144</t>
  </si>
  <si>
    <t>United Arab Emirates;United States</t>
  </si>
  <si>
    <t>New Delhi</t>
  </si>
  <si>
    <t>El Gamal H.</t>
  </si>
  <si>
    <t>Adelaide</t>
  </si>
  <si>
    <t>Madison</t>
  </si>
  <si>
    <t>University of Wisconsin-Madison</t>
  </si>
  <si>
    <t>Berkeley</t>
  </si>
  <si>
    <t>University of California, Berkeley</t>
  </si>
  <si>
    <t>Israel</t>
  </si>
  <si>
    <t>Singapore City;Singapore</t>
  </si>
  <si>
    <t>Nanyang Technological University;DSO National Laboratories</t>
  </si>
  <si>
    <t>60005510;60003196</t>
  </si>
  <si>
    <t>Circuit model | Slot antenna | Waveguide photodetector</t>
  </si>
  <si>
    <t>Albuquerque;San Diego</t>
  </si>
  <si>
    <t>The University of New Mexico;University of California, San Diego</t>
  </si>
  <si>
    <t>60033021;60030612</t>
  </si>
  <si>
    <t>Khodier M.</t>
  </si>
  <si>
    <t>Stockholm</t>
  </si>
  <si>
    <t>Saab AB</t>
  </si>
  <si>
    <t>Meccanica</t>
  </si>
  <si>
    <t>United Kingdom;United Kingdom;United Kingdom</t>
  </si>
  <si>
    <t>Frequenz</t>
  </si>
  <si>
    <t>Croatia</t>
  </si>
  <si>
    <t>Zagreb</t>
  </si>
  <si>
    <t>Yin H.</t>
  </si>
  <si>
    <t>VTT Technical Research Centre of Finland</t>
  </si>
  <si>
    <t>60002731;60002731</t>
  </si>
  <si>
    <t>QinetiQ</t>
  </si>
  <si>
    <t>Russian Foundation for Basic Research</t>
  </si>
  <si>
    <t>–†–§–§–ò</t>
  </si>
  <si>
    <t>Lomonosov Moscow State University</t>
  </si>
  <si>
    <t>Harvard-Smithsonian Center for Astrophysics</t>
  </si>
  <si>
    <t>6508068357;55663995000</t>
  </si>
  <si>
    <t>Blacksburg</t>
  </si>
  <si>
    <t>Vanganuru K.</t>
  </si>
  <si>
    <t>Space Communications</t>
  </si>
  <si>
    <t>79-84</t>
  </si>
  <si>
    <t>King's College London</t>
  </si>
  <si>
    <t>Fraunhofer Institute for Telecommunications, Heinrich-Hertz-Institut, HHI</t>
  </si>
  <si>
    <t>Denmark</t>
  </si>
  <si>
    <t>Copenhagen</t>
  </si>
  <si>
    <t>549-553</t>
  </si>
  <si>
    <t>Guildford</t>
  </si>
  <si>
    <t>University of Surrey</t>
  </si>
  <si>
    <t>60021378;60021378;60021378</t>
  </si>
  <si>
    <t>Lau V.</t>
  </si>
  <si>
    <t>Chengdu</t>
  </si>
  <si>
    <t>Wu G.</t>
  </si>
  <si>
    <t>168-174</t>
  </si>
  <si>
    <t>International Journal of Communication Systems</t>
  </si>
  <si>
    <t>Zhang Y.</t>
  </si>
  <si>
    <t>IEEE Communications Letters</t>
  </si>
  <si>
    <t>60016912;60016912;60016912</t>
  </si>
  <si>
    <t>60025997;60025997</t>
  </si>
  <si>
    <t>Keio University</t>
  </si>
  <si>
    <t>Fujii T.</t>
  </si>
  <si>
    <t>513-520</t>
  </si>
  <si>
    <t>Toshiba Corporation</t>
  </si>
  <si>
    <t>Kyoto</t>
  </si>
  <si>
    <t>60013372;60012708</t>
  </si>
  <si>
    <t>55934670700;7004920065</t>
  </si>
  <si>
    <t>Heath, Robert W.;Paulraj, Arogyaswami J.</t>
  </si>
  <si>
    <t>Austin;Palo Alto</t>
  </si>
  <si>
    <t>The University of Texas at Austin;Stanford University</t>
  </si>
  <si>
    <t>Heath R.</t>
  </si>
  <si>
    <t>Austria;Austria</t>
  </si>
  <si>
    <t>Vienna;Vienna</t>
  </si>
  <si>
    <t>Hirata A.</t>
  </si>
  <si>
    <t>98-100</t>
  </si>
  <si>
    <t>Japan;Japan;Japan</t>
  </si>
  <si>
    <t>Ministry of Education, Culture, Sports, Science and Technology</t>
  </si>
  <si>
    <t>Monbusho</t>
  </si>
  <si>
    <t>Natural Sciences and Engineering Research Council of Canada</t>
  </si>
  <si>
    <t>NSERC</t>
  </si>
  <si>
    <t>Consiglio Nazionale delle Ricerche</t>
  </si>
  <si>
    <t>CNR</t>
  </si>
  <si>
    <t>Cellere G.</t>
  </si>
  <si>
    <t>York</t>
  </si>
  <si>
    <t>University of York</t>
  </si>
  <si>
    <t>1559128X</t>
  </si>
  <si>
    <t>Applied Optics</t>
  </si>
  <si>
    <t>60022144;60022144</t>
  </si>
  <si>
    <t>6603120992;7006366203</t>
  </si>
  <si>
    <t>Codreanu, Iulian;Boreman, Glenn D.</t>
  </si>
  <si>
    <t>Orlando</t>
  </si>
  <si>
    <t>University of Central Florida</t>
  </si>
  <si>
    <t>Codreanu I.</t>
  </si>
  <si>
    <t>Dai L.</t>
  </si>
  <si>
    <t>Ishida Y.</t>
  </si>
  <si>
    <t>Australia;United States</t>
  </si>
  <si>
    <t>Gans M.J.</t>
  </si>
  <si>
    <t>60023345;60023345;60023345</t>
  </si>
  <si>
    <t>60070262;60070262;60070262</t>
  </si>
  <si>
    <t>7006422314;7102938189;7102042985</t>
  </si>
  <si>
    <t>Pattnaik, Shyam S.;Panda, Dhruba C.;Devi, S.</t>
  </si>
  <si>
    <t>Itanagar</t>
  </si>
  <si>
    <t>North Eastern Regional Institute of Science and Technology</t>
  </si>
  <si>
    <t>Pattnaik S.</t>
  </si>
  <si>
    <t>Journal of Applied Geophysics</t>
  </si>
  <si>
    <t>Madrid</t>
  </si>
  <si>
    <t>Taoyuan</t>
  </si>
  <si>
    <t>National Central University</t>
  </si>
  <si>
    <t>60021097;60021097</t>
  </si>
  <si>
    <t>Germany;United States</t>
  </si>
  <si>
    <t>National Natural Science Foundation of China</t>
  </si>
  <si>
    <t>NSFC</t>
  </si>
  <si>
    <t>Mechatronics</t>
  </si>
  <si>
    <t>Xi'an</t>
  </si>
  <si>
    <t>Xidian University</t>
  </si>
  <si>
    <t>National Oceanic and Atmospheric Administration</t>
  </si>
  <si>
    <t>Kyoto University</t>
  </si>
  <si>
    <t>IEEE Transactions on Broadcasting</t>
  </si>
  <si>
    <t>Spain;Spain;United States</t>
  </si>
  <si>
    <t>Journal of the Communications Research Laboratory</t>
  </si>
  <si>
    <t>67-75</t>
  </si>
  <si>
    <t>7201986632;7103030811</t>
  </si>
  <si>
    <t>Ahn, Chang Jun;Sasase, Iwao</t>
  </si>
  <si>
    <t>Ahn C.</t>
  </si>
  <si>
    <t>Deutscher Akademischer Austauschdienst</t>
  </si>
  <si>
    <t>DAAD</t>
  </si>
  <si>
    <t>Journal of Insect Behavior</t>
  </si>
  <si>
    <t>1151-1157</t>
  </si>
  <si>
    <t>IEEE Transactions on Electron Devices</t>
  </si>
  <si>
    <t>Los Alamos</t>
  </si>
  <si>
    <t>Los Alamos National Laboratory</t>
  </si>
  <si>
    <t>Wang J.</t>
  </si>
  <si>
    <t>60004176;60004176</t>
  </si>
  <si>
    <t>Korea Science and Engineering Foundation</t>
  </si>
  <si>
    <t>KOSEF</t>
  </si>
  <si>
    <t>Journal of Chemical Ecology</t>
  </si>
  <si>
    <t>Journal of Insect Physiology</t>
  </si>
  <si>
    <t>University of Tsukuba</t>
  </si>
  <si>
    <t>Tempe</t>
  </si>
  <si>
    <t>60000251-60025858;60000251-60025858</t>
  </si>
  <si>
    <t>Zurich ZH,;New York</t>
  </si>
  <si>
    <t>ETH Zurich;IEEE</t>
  </si>
  <si>
    <t>60025858;60000251</t>
  </si>
  <si>
    <t>Ukraine;Ukraine</t>
  </si>
  <si>
    <t>Kharkiv;Kharkiv</t>
  </si>
  <si>
    <t>O. Ya. Usikov Institute for Radiophysics and Electronics of the National Academy of Sciences of Ukraine;Institute of Radio Astronomy National Academy of Sciences of Ukraine</t>
  </si>
  <si>
    <t>60068535;60068504</t>
  </si>
  <si>
    <t>29-33</t>
  </si>
  <si>
    <t>60027509;60027509</t>
  </si>
  <si>
    <t>Australia;Australia</t>
  </si>
  <si>
    <t>677-679</t>
  </si>
  <si>
    <t>IEEE Transactions on Geoscience and Remote Sensing</t>
  </si>
  <si>
    <t>60109826;60109826</t>
  </si>
  <si>
    <t>Wachtberg</t>
  </si>
  <si>
    <t>Fraunhofer Institute for High Frequency Physics and Radar Techniques FHR</t>
  </si>
  <si>
    <t>208-212</t>
  </si>
  <si>
    <t>Miura A.</t>
  </si>
  <si>
    <t>Guo Y.X.</t>
  </si>
  <si>
    <t>Pasadena</t>
  </si>
  <si>
    <t>Haifa</t>
  </si>
  <si>
    <t>Technion - Israel Institute of Technology</t>
  </si>
  <si>
    <t>6603090729;7004989005;7004362848;57218539158</t>
  </si>
  <si>
    <t>Kundukulam, Sona O.;Paulson, Manju;Aanandan, C. K.;Mohanan, P.</t>
  </si>
  <si>
    <t>60000179;60000179;60000179</t>
  </si>
  <si>
    <t>60001439;60001439</t>
  </si>
  <si>
    <t>Hong Kong;United States</t>
  </si>
  <si>
    <t>Kowloon;New York</t>
  </si>
  <si>
    <t>City University of Hong Kong;IEEE</t>
  </si>
  <si>
    <t>60013983;60000251</t>
  </si>
  <si>
    <t>Zhang Q.</t>
  </si>
  <si>
    <t>Jet Propulsion Laboratory</t>
  </si>
  <si>
    <t>India;India</t>
  </si>
  <si>
    <t>;;;</t>
  </si>
  <si>
    <t>IEEE Transactions on Consumer Electronics</t>
  </si>
  <si>
    <t>United States;China;United States</t>
  </si>
  <si>
    <t>60005510;60005510</t>
  </si>
  <si>
    <t>Nanyang Technological University</t>
  </si>
  <si>
    <t>Martin C.</t>
  </si>
  <si>
    <t>Beijing;Kowloon</t>
  </si>
  <si>
    <t>60001558;60001558;60001558;60001558</t>
  </si>
  <si>
    <t>Electronics and Telecommunications Research Institute</t>
  </si>
  <si>
    <t>Akdagli A.</t>
  </si>
  <si>
    <t>Common Fund for Commodities</t>
  </si>
  <si>
    <t>['two probe', 'three categories', 'slotted patch', 'single simply', 'practical application', 'one hand', 'mobile handsets', 'miniaturized size', 'intrinsic mechanisms', 'impedance bandwidths', 'generation imt', 'frequency solutions', 'frequency operation', 'fed antennas', 'either semi', 'discussed theoretically', 'broadband property', 'antennas exhibit', 'achieving dual', '2000 system', '10 db']</t>
  </si>
  <si>
    <t>Two major objectives are concerned in this paper. On one hand, a multiplicity of typical methodologies available for achieving dual-frequency operation for microstrip patch antennas are summarized and classified into three categories, based on their intrinsic mechanisms. On the other hand, by employing the dual-frequency solutions, microstrip patch antennas are applied to the mobile handsets of the third-generation IMT-2000 system. Two novel microstrip patch antennas with broadband property and miniaturized size have been proposed and discussed theoretically and experimentally. Only a single simply-slotted patch, either semi-disc or square, is introduced in each of the two probe-fed antennas. Both antennas exhibit the impedance bandwidths (return loss ‚â§ -10 dB) of 25.6% and 34.4% respectively, which would be suitable for the practical application of the IMT-2000 mobile handsets.</t>
  </si>
  <si>
    <t>57034292300;55540764000</t>
  </si>
  <si>
    <t>Wang, Y. J.;Lee, C. K.</t>
  </si>
  <si>
    <t>Design of dual-frequency microstrip patch antennas and application for IMT-2000 mobile handsets</t>
  </si>
  <si>
    <t>Houston</t>
  </si>
  <si>
    <t>Trainotti V.</t>
  </si>
  <si>
    <t>RFBR</t>
  </si>
  <si>
    <t>Italy;Italy;Italy</t>
  </si>
  <si>
    <t>Farina A.</t>
  </si>
  <si>
    <t>Kaho T.</t>
  </si>
  <si>
    <t>275-279</t>
  </si>
  <si>
    <t>Nature</t>
  </si>
  <si>
    <t>IEEE Transactions on Plasma Science</t>
  </si>
  <si>
    <t>Tekes</t>
  </si>
  <si>
    <t>Seoul;Seoul</t>
  </si>
  <si>
    <t>Eurasip Journal on Applied Signal Processing</t>
  </si>
  <si>
    <t>Hong Kong University of Science and Technology</t>
  </si>
  <si>
    <t>Portugal</t>
  </si>
  <si>
    <t>Porto</t>
  </si>
  <si>
    <t>Universidade do Porto</t>
  </si>
  <si>
    <t>Nekrassov A.</t>
  </si>
  <si>
    <t>Massachusetts Institute of Technology</t>
  </si>
  <si>
    <t>Australian Research Council</t>
  </si>
  <si>
    <t>ARC</t>
  </si>
  <si>
    <t>0038092X</t>
  </si>
  <si>
    <t>Solar Energy</t>
  </si>
  <si>
    <t>0004637X</t>
  </si>
  <si>
    <t>Astrophysical Journal</t>
  </si>
  <si>
    <t>Liu J.</t>
  </si>
  <si>
    <t>United States;South Korea</t>
  </si>
  <si>
    <t>International Journal of Infrared and Millimeter Waves</t>
  </si>
  <si>
    <t>NYU Tandon School of Engineering</t>
  </si>
  <si>
    <t>United States;Germany</t>
  </si>
  <si>
    <t>Ghavami M.</t>
  </si>
  <si>
    <t>IEEE Antennas and Wireless Propagation Letters</t>
  </si>
  <si>
    <t>Best, Steven R.</t>
  </si>
  <si>
    <t>Best S.</t>
  </si>
  <si>
    <t>Wireless Communications and Mobile Computing</t>
  </si>
  <si>
    <t>940-948</t>
  </si>
  <si>
    <t>Stiftelsen f√∂r¬†Strategisk Forskning</t>
  </si>
  <si>
    <t>SSF</t>
  </si>
  <si>
    <t>Raleigh</t>
  </si>
  <si>
    <t>NC State University</t>
  </si>
  <si>
    <t>Queen Mary University of London</t>
  </si>
  <si>
    <t>Radiophysics and Quantum Electronics</t>
  </si>
  <si>
    <t>60029570;60029570;60029570</t>
  </si>
  <si>
    <t>Campinas</t>
  </si>
  <si>
    <t>Universidade Estadual de Campinas</t>
  </si>
  <si>
    <t>Austin</t>
  </si>
  <si>
    <t>The University of Texas at Austin</t>
  </si>
  <si>
    <t>International Journal of Wireless Information Networks</t>
  </si>
  <si>
    <t>60027550;60027550</t>
  </si>
  <si>
    <t>6701327690;7004920786</t>
  </si>
  <si>
    <t>Frigon, Jean Fran√ßois;Daneshrad, Babak</t>
  </si>
  <si>
    <t>Frigon J.</t>
  </si>
  <si>
    <t>Southeast University</t>
  </si>
  <si>
    <t>157-166</t>
  </si>
  <si>
    <t>Liu Y.</t>
  </si>
  <si>
    <t>Lecce</t>
  </si>
  <si>
    <t>Universita del Salento</t>
  </si>
  <si>
    <t>Earth, Planets and Space</t>
  </si>
  <si>
    <t>Bell Labs Technical Journal</t>
  </si>
  <si>
    <t>Telecommunications and Radio Engineering (English translation of Elektrosvyaz and Radiotekhnika)</t>
  </si>
  <si>
    <t>Ukraine</t>
  </si>
  <si>
    <t>Kharkiv</t>
  </si>
  <si>
    <t>Kharkiv National University of Radio Electronics</t>
  </si>
  <si>
    <t>60020615;60020615;60020615</t>
  </si>
  <si>
    <t>31-35</t>
  </si>
  <si>
    <t>V. N. Karazin Kharkiv National University</t>
  </si>
  <si>
    <t>60068535;60068535</t>
  </si>
  <si>
    <t>O. Ya. Usikov Institute for Radiophysics and Electronics of the National Academy of Sciences of Ukraine</t>
  </si>
  <si>
    <t>8208218000;8208217900</t>
  </si>
  <si>
    <t>97-102</t>
  </si>
  <si>
    <t>91-95</t>
  </si>
  <si>
    <t>60027550;60027550;60027550;60027550</t>
  </si>
  <si>
    <t>Plant Physiology and Biochemistry</t>
  </si>
  <si>
    <t>Newcastle</t>
  </si>
  <si>
    <t>University of Northumbria</t>
  </si>
  <si>
    <t>GPS Solutions</t>
  </si>
  <si>
    <t>Sao Paulo</t>
  </si>
  <si>
    <t>Universidade de S√£o Paulo</t>
  </si>
  <si>
    <t>Tucson</t>
  </si>
  <si>
    <t>The University of Arizona</t>
  </si>
  <si>
    <t>264-270</t>
  </si>
  <si>
    <t>Physical Review B - Condensed Matter and Materials Physics</t>
  </si>
  <si>
    <t>Shafai L.</t>
  </si>
  <si>
    <t>Czech Republic</t>
  </si>
  <si>
    <t>Brno</t>
  </si>
  <si>
    <t>Brno University of Technology</t>
  </si>
  <si>
    <t>39-42</t>
  </si>
  <si>
    <t>60013682;60013682</t>
  </si>
  <si>
    <t>Seoul National University</t>
  </si>
  <si>
    <t>194-199</t>
  </si>
  <si>
    <t>7404549306;36049280600</t>
  </si>
  <si>
    <t>Ma, Xiaoli;Giannakis, Georgios B.</t>
  </si>
  <si>
    <t>Ma X.</t>
  </si>
  <si>
    <t>87-90</t>
  </si>
  <si>
    <t>IEEE Antennas and Propagation Magazine</t>
  </si>
  <si>
    <t>Palaiseau</t>
  </si>
  <si>
    <t>Lee M.</t>
  </si>
  <si>
    <t>60022134;60011373</t>
  </si>
  <si>
    <t>7003287887;55401337200</t>
  </si>
  <si>
    <t>S√∏ndergaard, T.;Tromborg, B.</t>
  </si>
  <si>
    <t>Denmark;Denmark</t>
  </si>
  <si>
    <t>Aalborg;Lyngby</t>
  </si>
  <si>
    <t>Aalborg University;Danmarks Tekniske Universitet</t>
  </si>
  <si>
    <t>S√∏ndergaard T.</t>
  </si>
  <si>
    <t>Lippmann-Schwinger integral equation approach to the emission of radiation by sources located inside finite-sized dielectric structures</t>
  </si>
  <si>
    <t>Italy;Germany</t>
  </si>
  <si>
    <t>Journal of Communications Technology and Electronics</t>
  </si>
  <si>
    <t>Electronics Letters</t>
  </si>
  <si>
    <t>60020650;60020650;60020650</t>
  </si>
  <si>
    <t>Vrancken, M.;Vandenbosch, G. A.E.</t>
  </si>
  <si>
    <t>Microwave and Optical Technology Letters</t>
  </si>
  <si>
    <t>Br√©gains J.</t>
  </si>
  <si>
    <t>60011357;60022847;60011357</t>
  </si>
  <si>
    <t>Yeh S.</t>
  </si>
  <si>
    <t>Vigo</t>
  </si>
  <si>
    <t>Universidade de Vigo</t>
  </si>
  <si>
    <t>National Institute of General Medical Sciences</t>
  </si>
  <si>
    <t>NIGMS</t>
  </si>
  <si>
    <t>Biochemistry</t>
  </si>
  <si>
    <t>Defense Advanced Research Projects Agency</t>
  </si>
  <si>
    <t>DARPA</t>
  </si>
  <si>
    <t>Egypt</t>
  </si>
  <si>
    <t>161-170</t>
  </si>
  <si>
    <t>Surface and Coatings Technology</t>
  </si>
  <si>
    <t>143-145</t>
  </si>
  <si>
    <t>112-115</t>
  </si>
  <si>
    <t>60024872;60024872</t>
  </si>
  <si>
    <t>Hanyang University</t>
  </si>
  <si>
    <t>Journal of Biological Chemistry</t>
  </si>
  <si>
    <t>Physics Letters, Section B: Nuclear, Elementary Particle and High-Energy Physics</t>
  </si>
  <si>
    <t>Thessaloniki</t>
  </si>
  <si>
    <t>Aristotle University of Thessaloniki</t>
  </si>
  <si>
    <t>Li J.</t>
  </si>
  <si>
    <t>U.S. Air Force</t>
  </si>
  <si>
    <t>USAF</t>
  </si>
  <si>
    <t>Bialkowski M.</t>
  </si>
  <si>
    <t>Rome;New York</t>
  </si>
  <si>
    <t>Hong Kong;China</t>
  </si>
  <si>
    <t>United Kingdom;United States;United States</t>
  </si>
  <si>
    <t>FWF</t>
  </si>
  <si>
    <t>188-191</t>
  </si>
  <si>
    <t>Taiwan;United States</t>
  </si>
  <si>
    <t>Kaohsiung;New York</t>
  </si>
  <si>
    <t>National Sun Yat-Sen University;IEEE</t>
  </si>
  <si>
    <t>60011357;60000251</t>
  </si>
  <si>
    <t>Wong K.</t>
  </si>
  <si>
    <t>Columbus;New York</t>
  </si>
  <si>
    <t>The Ohio State University;IEEE</t>
  </si>
  <si>
    <t>60003500;60000251</t>
  </si>
  <si>
    <t>IEEE Transactions on Electromagnetic Compatibility</t>
  </si>
  <si>
    <t>Army Research Office</t>
  </si>
  <si>
    <t>DAAG55-98-1-0403</t>
  </si>
  <si>
    <t>ARO</t>
  </si>
  <si>
    <t>7006465824;7406739047</t>
  </si>
  <si>
    <t>Hertel, Thorsten W.;Smith, Glenn S.</t>
  </si>
  <si>
    <t>Atlanta;New York</t>
  </si>
  <si>
    <t>Georgia Institute of Technology;IEEE</t>
  </si>
  <si>
    <t>60021032;60000251</t>
  </si>
  <si>
    <t>Hertel T.</t>
  </si>
  <si>
    <t>Japan Society for the Promotion of Science</t>
  </si>
  <si>
    <t>JSPS</t>
  </si>
  <si>
    <t>KAKEN</t>
  </si>
  <si>
    <t>Japan;Japan;United States</t>
  </si>
  <si>
    <t>Sweden;United States</t>
  </si>
  <si>
    <t>Stockholm;New York</t>
  </si>
  <si>
    <t>Atlanta</t>
  </si>
  <si>
    <t>Plasma Sources Science and Technology</t>
  </si>
  <si>
    <t>Germany;Netherlands</t>
  </si>
  <si>
    <t>Kiev</t>
  </si>
  <si>
    <t>Journal of Applied Physics</t>
  </si>
  <si>
    <t>Journal of the Chinese Institute of Electrical Engineering, Transactions of the Chinese Institute of Engineers, Series E/Chung KuoTien Chi Kung Chieng Hsueh K'an</t>
  </si>
  <si>
    <t>United States;United States;United States;United States;United States;United States</t>
  </si>
  <si>
    <t>Dundas;Toronto</t>
  </si>
  <si>
    <t>IEEE Canada;University of Toronto</t>
  </si>
  <si>
    <t>60089889;60016849</t>
  </si>
  <si>
    <t>Hong Kong;New York</t>
  </si>
  <si>
    <t>Hong Kong University of Science and Technology;IEEE</t>
  </si>
  <si>
    <t>60008592;60000251</t>
  </si>
  <si>
    <t>IEEE Journal on Selected Areas in Communications</t>
  </si>
  <si>
    <t>183-186</t>
  </si>
  <si>
    <t>Minneapolis;New York</t>
  </si>
  <si>
    <t>University of Minnesota Twin Cities;IEEE</t>
  </si>
  <si>
    <t>60029445;60000251</t>
  </si>
  <si>
    <t>Affes S.</t>
  </si>
  <si>
    <t>Austrian Science Fund</t>
  </si>
  <si>
    <t>South Korea;Canada;United States</t>
  </si>
  <si>
    <t>7401937908;22935760300</t>
  </si>
  <si>
    <t xml:space="preserve">Verma, A. K.;Nasimuddin, </t>
  </si>
  <si>
    <t>Verma A.</t>
  </si>
  <si>
    <t>Chen Z.</t>
  </si>
  <si>
    <t>IEEE Transactions on Instrumentation and Measurement</t>
  </si>
  <si>
    <t>IEEE Transactions on Information Theory</t>
  </si>
  <si>
    <t>Nizhny Novgorod</t>
  </si>
  <si>
    <t>Lobachevsky State University of Nizhni Novgorod</t>
  </si>
  <si>
    <t>Gianvittorio J.</t>
  </si>
  <si>
    <t>Electromagnetics</t>
  </si>
  <si>
    <t>Hsieh, Chin Yuan</t>
  </si>
  <si>
    <t>Hsieh C.</t>
  </si>
  <si>
    <t>60008673;60008673</t>
  </si>
  <si>
    <t>Physics Letters, Section A: General, Atomic and Solid State Physics</t>
  </si>
  <si>
    <t>60007457;60007457</t>
  </si>
  <si>
    <t>Braginsky V.B.</t>
  </si>
  <si>
    <t>60028419;60028419;60028419</t>
  </si>
  <si>
    <t>60013983;60013983;60013983;60013983</t>
  </si>
  <si>
    <t>7402085798;35460663000</t>
  </si>
  <si>
    <t>Yeh, Shih Huang;Wong, Kin Lu</t>
  </si>
  <si>
    <t>FEBS Letters</t>
  </si>
  <si>
    <t>60007457;60007457;60007457</t>
  </si>
  <si>
    <t>Yakovlev A.</t>
  </si>
  <si>
    <t>Physica C: Superconductivity and its Applications</t>
  </si>
  <si>
    <t>Wald H.</t>
  </si>
  <si>
    <t>Lund;Uppsala</t>
  </si>
  <si>
    <t>Lunds Universitet;Sveriges lantbruksuniversitet</t>
  </si>
  <si>
    <t>60029170;60027152</t>
  </si>
  <si>
    <t>Biochimica et Biophysica Acta - Bioenergetics</t>
  </si>
  <si>
    <t>Systematic Parasitology</t>
  </si>
  <si>
    <t>301-304</t>
  </si>
  <si>
    <t>Kolkata</t>
  </si>
  <si>
    <t>285-287</t>
  </si>
  <si>
    <t>60017161;60017161</t>
  </si>
  <si>
    <t>Kaohsiung;Feng Shan</t>
  </si>
  <si>
    <t>National Sun Yat-Sen University;Chinese Military Academy Taiwan</t>
  </si>
  <si>
    <t>60011357;60002069</t>
  </si>
  <si>
    <t>Wu T.</t>
  </si>
  <si>
    <t>Jang, Yong Woong</t>
  </si>
  <si>
    <t>Eumseong-gun</t>
  </si>
  <si>
    <t>Keukdong College</t>
  </si>
  <si>
    <t>Jang Y.</t>
  </si>
  <si>
    <t>Journal of the American Chemical Society</t>
  </si>
  <si>
    <t>Korea Institute of Science and Technology;Yonsei University</t>
  </si>
  <si>
    <t>60025960;60016912</t>
  </si>
  <si>
    <t>Zhang, Y. P.</t>
  </si>
  <si>
    <t>Technical Physics Letters</t>
  </si>
  <si>
    <t>Acoustical Physics</t>
  </si>
  <si>
    <t>Institute of Applied Physics of the Russian Academy of Sciences</t>
  </si>
  <si>
    <t>JPL</t>
  </si>
  <si>
    <t>60000251-60027550;60000251-60027550</t>
  </si>
  <si>
    <t>Los Angeles;New York</t>
  </si>
  <si>
    <t>University of California, Los Angeles;IEEE</t>
  </si>
  <si>
    <t>60027550;60000251</t>
  </si>
  <si>
    <t>2 I</t>
  </si>
  <si>
    <t>Sapienza Universit√† di Roma;IEEE</t>
  </si>
  <si>
    <t>60032350;60000251</t>
  </si>
  <si>
    <t>267-284</t>
  </si>
  <si>
    <t>The Royal Institute of Technology (KTH);IEEE</t>
  </si>
  <si>
    <t>60002014;60000251</t>
  </si>
  <si>
    <t>253-281</t>
  </si>
  <si>
    <t>France;France;France</t>
  </si>
  <si>
    <t>8756663X</t>
  </si>
  <si>
    <t>Electronics and Communications in Japan, Part II: Electronics (English translation of Denshi Tsushin Gakkai Ronbunshi)</t>
  </si>
  <si>
    <t>Suita</t>
  </si>
  <si>
    <t>Osaka University</t>
  </si>
  <si>
    <t>IEEE Communications Magazine</t>
  </si>
  <si>
    <t>New Zealand;New Zealand</t>
  </si>
  <si>
    <t>CCR-0105334</t>
  </si>
  <si>
    <t>European Commission</t>
  </si>
  <si>
    <t>EC</t>
  </si>
  <si>
    <t>35-38</t>
  </si>
  <si>
    <t>6701608102;6603945284;6701854117</t>
  </si>
  <si>
    <t>Las-Heras F.</t>
  </si>
  <si>
    <t>60000251-60073971</t>
  </si>
  <si>
    <t>Bedford;New York</t>
  </si>
  <si>
    <t>Air Force Cambridge Research Laboratories;IEEE</t>
  </si>
  <si>
    <t>60073971;60000251</t>
  </si>
  <si>
    <t>60000251-60011357;60011357</t>
  </si>
  <si>
    <t>Denmark;Denmark;United States</t>
  </si>
  <si>
    <t>Copenhagen;Aalborg;New York</t>
  </si>
  <si>
    <t>Nokia Danmark AS;Aalborg University;IEEE</t>
  </si>
  <si>
    <t>60101003;60022134;60000251</t>
  </si>
  <si>
    <t>Belfast;New York</t>
  </si>
  <si>
    <t>Queen's University Belfast;IEEE</t>
  </si>
  <si>
    <t>60029738;60000251</t>
  </si>
  <si>
    <t>Luo Y.</t>
  </si>
  <si>
    <t>N6601-99-C-8635</t>
  </si>
  <si>
    <t>Sievenpiper D.</t>
  </si>
  <si>
    <t>MEXT</t>
  </si>
  <si>
    <t>Monthly Notices of the Royal Astronomical Society</t>
  </si>
  <si>
    <t>Offshore</t>
  </si>
  <si>
    <t>274-277</t>
  </si>
  <si>
    <t>Applied Physics Letters</t>
  </si>
  <si>
    <t>Karmakar N.</t>
  </si>
  <si>
    <t>Computerized Medical Imaging and Graphics</t>
  </si>
  <si>
    <t>France;United States;France</t>
  </si>
  <si>
    <t>Ruban A.V.</t>
  </si>
  <si>
    <t>60020650;60012614</t>
  </si>
  <si>
    <t>United Kingdom;Switzerland</t>
  </si>
  <si>
    <t>Bristol;Zurich</t>
  </si>
  <si>
    <t>University of Bristol;University of Zurich</t>
  </si>
  <si>
    <t>Kakitani T.</t>
  </si>
  <si>
    <t>Proceedings of the National Academy of Sciences of the United States of America</t>
  </si>
  <si>
    <t>Chen, Jin Sen</t>
  </si>
  <si>
    <t>Cheng Shiu University Taiwan</t>
  </si>
  <si>
    <t>Chen J.</t>
  </si>
  <si>
    <t>Jacobsen S.</t>
  </si>
  <si>
    <t>International Journal of Hyperthermia</t>
  </si>
  <si>
    <t>7202843461;7005772755</t>
  </si>
  <si>
    <t>Brisbane</t>
  </si>
  <si>
    <t>IEE Proceedings: Microwaves, Antennas and Propagation</t>
  </si>
  <si>
    <t>Morishita H.</t>
  </si>
  <si>
    <t>CCR-0097240</t>
  </si>
  <si>
    <t>Universidad Carlos III de Madrid</t>
  </si>
  <si>
    <t>Naples</t>
  </si>
  <si>
    <t>Universit√† degli Studi di Napoli Federico II</t>
  </si>
  <si>
    <t>Bucci O.</t>
  </si>
  <si>
    <t>Montreal</t>
  </si>
  <si>
    <t>Finland;Finland;United States</t>
  </si>
  <si>
    <t>Espoo;Espoo;New York</t>
  </si>
  <si>
    <t>Aalto University;Nokia Corporation;IEEE</t>
  </si>
  <si>
    <t>60103653;60026638;60000251</t>
  </si>
  <si>
    <t>Philadelphia</t>
  </si>
  <si>
    <t>European Space Agency</t>
  </si>
  <si>
    <t>ESA</t>
  </si>
  <si>
    <t>France;Belgium</t>
  </si>
  <si>
    <t>Belgium;Belgium</t>
  </si>
  <si>
    <t>Netherlands;Netherlands;Netherlands</t>
  </si>
  <si>
    <t>Switzerland;United States;Norway;United States;United States</t>
  </si>
  <si>
    <t>Gesbert D.</t>
  </si>
  <si>
    <t>Superconductor Science and Technology</t>
  </si>
  <si>
    <t>CCR-0097114</t>
  </si>
  <si>
    <t>IEEE Journal of Solid-State Circuits</t>
  </si>
  <si>
    <t>Ellinger F.</t>
  </si>
  <si>
    <t>Journal of Lightwave Technology</t>
  </si>
  <si>
    <t>60003892;60003892;60003892;60003892</t>
  </si>
  <si>
    <t>University;New York</t>
  </si>
  <si>
    <t>University of Mississippi;IEEE</t>
  </si>
  <si>
    <t>60010491;60000251</t>
  </si>
  <si>
    <t>United States;Canada;United States;United States</t>
  </si>
  <si>
    <t>Manchester</t>
  </si>
  <si>
    <t>Cushcraft Corporation</t>
  </si>
  <si>
    <t>Hansen, R. C.</t>
  </si>
  <si>
    <t>Hansen R.</t>
  </si>
  <si>
    <t>30-37</t>
  </si>
  <si>
    <t>Gawronski W.</t>
  </si>
  <si>
    <t>Office of Naval Research</t>
  </si>
  <si>
    <t>ONR</t>
  </si>
  <si>
    <t>Journal of the Meteorological Society of Japan</t>
  </si>
  <si>
    <t>Yamamoto M.</t>
  </si>
  <si>
    <t>Pohang</t>
  </si>
  <si>
    <t>Pohang University of Science and Technology</t>
  </si>
  <si>
    <t>14-16</t>
  </si>
  <si>
    <t>Lee B.</t>
  </si>
  <si>
    <t>60025555;60025555</t>
  </si>
  <si>
    <t>Genetics</t>
  </si>
  <si>
    <t>Journal of Natural History</t>
  </si>
  <si>
    <t>Haidian</t>
  </si>
  <si>
    <t>Institute of Zoology Chinese Academy of Sciences</t>
  </si>
  <si>
    <t>60029738;60029738;60029738</t>
  </si>
  <si>
    <t>Belfast</t>
  </si>
  <si>
    <t>Queen's University Belfast</t>
  </si>
  <si>
    <t>Hanscom AFB</t>
  </si>
  <si>
    <t>Canadian Journal of Physics</t>
  </si>
  <si>
    <t>Abo-Seida, Osama M.</t>
  </si>
  <si>
    <t>Kafr el-Sheikh</t>
  </si>
  <si>
    <t>Kafrelsheikh University</t>
  </si>
  <si>
    <t>Abo-Seida O.M.</t>
  </si>
  <si>
    <t>Burger B.</t>
  </si>
  <si>
    <t>Journal of Comparative Neurology</t>
  </si>
  <si>
    <t>21-29</t>
  </si>
  <si>
    <t>National Institute of Mental Health</t>
  </si>
  <si>
    <t>NIMH</t>
  </si>
  <si>
    <t>Columbia University</t>
  </si>
  <si>
    <t>Vigo;Badajoz</t>
  </si>
  <si>
    <t>Universidade de Vigo;Universidad de Extremadura</t>
  </si>
  <si>
    <t>60026134;60017838</t>
  </si>
  <si>
    <t>Analytica Chimica Acta</t>
  </si>
  <si>
    <t>Giessen;Frankfurt am Main</t>
  </si>
  <si>
    <t>Justus-Liebig-Universit√§t Gie√üen;Goethe-Universit√§t Frankfurt am Main</t>
  </si>
  <si>
    <t>60017134;60007762</t>
  </si>
  <si>
    <t>Siebert K.</t>
  </si>
  <si>
    <t>Journal of Physical Chemistry B</t>
  </si>
  <si>
    <t>Zurich ZH,</t>
  </si>
  <si>
    <t>ETH Zurich</t>
  </si>
  <si>
    <t>Teo P.</t>
  </si>
  <si>
    <t>ECS-9731293</t>
  </si>
  <si>
    <t>Madison;New York</t>
  </si>
  <si>
    <t>University of Wisconsin-Madison;IEEE</t>
  </si>
  <si>
    <t>60032179;60000251</t>
  </si>
  <si>
    <t>Rosner B.</t>
  </si>
  <si>
    <t>Honolulu;New York</t>
  </si>
  <si>
    <t>University of Hawai ªi at MƒÅnoa;IEEE</t>
  </si>
  <si>
    <t>60013791;60000251</t>
  </si>
  <si>
    <t>Bellofiore S.</t>
  </si>
  <si>
    <t>Nokia Foundation</t>
  </si>
  <si>
    <t>184-186</t>
  </si>
  <si>
    <t>Switzerland;United States;United States</t>
  </si>
  <si>
    <t>Zhang H.</t>
  </si>
  <si>
    <t>Wang W.</t>
  </si>
  <si>
    <t>Nanyang Technological University;IEEE</t>
  </si>
  <si>
    <t>60005510;60000251</t>
  </si>
  <si>
    <t>Baccarelli P.</t>
  </si>
  <si>
    <t>DAAD19-01-2-011</t>
  </si>
  <si>
    <t>Zhou S.</t>
  </si>
  <si>
    <t>1065-1076</t>
  </si>
  <si>
    <t>IEEE Photonics Technology Letters</t>
  </si>
  <si>
    <t>Blacksburg;New York</t>
  </si>
  <si>
    <t>Virginia Polytechnic Institute and State University;IEEE</t>
  </si>
  <si>
    <t>60027090;60000251</t>
  </si>
  <si>
    <t>60000251-60029445;60000251-60029445</t>
  </si>
  <si>
    <t>850-853</t>
  </si>
  <si>
    <t>Nippon Telegraph and Telephone Corporation;IEEE</t>
  </si>
  <si>
    <t>60025555;60000251</t>
  </si>
  <si>
    <t>60021378;60078684</t>
  </si>
  <si>
    <t>7401459324;7005811039</t>
  </si>
  <si>
    <t>Su, Hsuan Jung;Geraniotis, Evaggelos</t>
  </si>
  <si>
    <t>College Park;Murray</t>
  </si>
  <si>
    <t>A. James Clark School of Engineering;Nokia Bell Labs</t>
  </si>
  <si>
    <t>60078684;60021378</t>
  </si>
  <si>
    <t>Su H.</t>
  </si>
  <si>
    <t>Yang S.</t>
  </si>
  <si>
    <t>Kowloon;Nanjing</t>
  </si>
  <si>
    <t>City University of Hong Kong;Nanjing University of Science and Technology</t>
  </si>
  <si>
    <t>60013983;60010080</t>
  </si>
  <si>
    <t>Plant Molecular Biology</t>
  </si>
  <si>
    <t>Universite de Rennes 1</t>
  </si>
  <si>
    <t>7101842577;13614168600</t>
  </si>
  <si>
    <t>Jing, Hengzhen;Xu, Shanjia</t>
  </si>
  <si>
    <t>Jing H.</t>
  </si>
  <si>
    <t>Obelleiro F.</t>
  </si>
  <si>
    <t>60013372;60013372</t>
  </si>
  <si>
    <t>Su T.</t>
  </si>
  <si>
    <t>Systematic Entomology</t>
  </si>
  <si>
    <t>Gainesville;Uppsala</t>
  </si>
  <si>
    <t>University of Florida;Uppsala Universitet</t>
  </si>
  <si>
    <t>60013959;60003858</t>
  </si>
  <si>
    <t>307-316</t>
  </si>
  <si>
    <t>7403648871;35460663000</t>
  </si>
  <si>
    <t>Chang, Fa Shian;Wong, Kin Lu</t>
  </si>
  <si>
    <t>Chang F.</t>
  </si>
  <si>
    <t>60000990;60000990</t>
  </si>
  <si>
    <t>60029284;60029284</t>
  </si>
  <si>
    <t>University of Delhi</t>
  </si>
  <si>
    <t>60016912;60016912;60016912;60016912</t>
  </si>
  <si>
    <t>Kim J.</t>
  </si>
  <si>
    <t>138-141</t>
  </si>
  <si>
    <t>60026134;60026134;60026134</t>
  </si>
  <si>
    <t>Li Q.</t>
  </si>
  <si>
    <t>7402819936;35460663000</t>
  </si>
  <si>
    <t>Su, Chih Ming;Wong, Kin Lu</t>
  </si>
  <si>
    <t>Su C.</t>
  </si>
  <si>
    <t>Physics in Medicine and Biology</t>
  </si>
  <si>
    <t>Davis</t>
  </si>
  <si>
    <t>University of California, Davis</t>
  </si>
  <si>
    <t>22-29</t>
  </si>
  <si>
    <t>60014652;60014652;60084716;60084716;60014652</t>
  </si>
  <si>
    <t>56447440200;7102902741;7006339851;7404487755;7404897527</t>
  </si>
  <si>
    <t>Yamamoto, Manabu;Ishizaki, Kosuke;Muramoto, Mitsuru;Sasaki, Kanemi;Itoh, Kiyohiko</t>
  </si>
  <si>
    <t>Tokyo;Sapporo</t>
  </si>
  <si>
    <t>Hitachi Kokusai Electric Inc.;Hokkaido University</t>
  </si>
  <si>
    <t>60084716;60014652</t>
  </si>
  <si>
    <t>66-73</t>
  </si>
  <si>
    <t>5 I</t>
  </si>
  <si>
    <t>60005510;60005510;60005510;60005510</t>
  </si>
  <si>
    <t>257-265</t>
  </si>
  <si>
    <t>Funda√ß√£o de Amparo √† Pesquisa do Estado de S√£o Paulo</t>
  </si>
  <si>
    <t>FAPESP</t>
  </si>
  <si>
    <t>Menzel W.</t>
  </si>
  <si>
    <t>CSIRO Industrial Physics</t>
  </si>
  <si>
    <t>Adaptive arrays | Antenna array mutual coupling | Array signal processing | Direction of arrival estimation | Land mobile radio cellular systems | Land mobile radio data communications | Land mobile radio equipment | Mobile communication | Smart antennas | Spatial division multiple access</t>
  </si>
  <si>
    <t>Photochemistry and Photobiology</t>
  </si>
  <si>
    <t>253-255</t>
  </si>
  <si>
    <t>Florham Park;New York</t>
  </si>
  <si>
    <t>AT&amp;T Laboratories Florham Park;IEEE</t>
  </si>
  <si>
    <t>60008383;60000251</t>
  </si>
  <si>
    <t>Sampath H.</t>
  </si>
  <si>
    <t>CCR-0112501</t>
  </si>
  <si>
    <t>Blum R.</t>
  </si>
  <si>
    <t>CityU</t>
  </si>
  <si>
    <t>United States;Norway;United States</t>
  </si>
  <si>
    <t>Catreux S.</t>
  </si>
  <si>
    <t>Princeton;New York</t>
  </si>
  <si>
    <t>Princeton University;IEEE</t>
  </si>
  <si>
    <t>60003269;60000251</t>
  </si>
  <si>
    <t>Fusco V.</t>
  </si>
  <si>
    <t>Centre National d‚ÄôEtudes Spatiales</t>
  </si>
  <si>
    <t>CNES</t>
  </si>
  <si>
    <t>CNRS Centre National de la Recherche Scientifique</t>
  </si>
  <si>
    <t>105-109</t>
  </si>
  <si>
    <t>Suzuki N.</t>
  </si>
  <si>
    <t>Journal of Beijing Institute of Technology (English Edition)</t>
  </si>
  <si>
    <t>Beijing Institute of Technology</t>
  </si>
  <si>
    <t>Wang H.</t>
  </si>
  <si>
    <t>Journal of Systems Engineering and Electronics</t>
  </si>
  <si>
    <t>60018308;60018308;60018308</t>
  </si>
  <si>
    <t>Xi'an Jiaotong University</t>
  </si>
  <si>
    <t>Beijing;Beijing</t>
  </si>
  <si>
    <t>Indian Journal of Radio and Space Physics</t>
  </si>
  <si>
    <t>Peytavit E.</t>
  </si>
  <si>
    <t>258-262</t>
  </si>
  <si>
    <t>Wildlife Society Bulletin</t>
  </si>
  <si>
    <t>National Cancer Institute</t>
  </si>
  <si>
    <t>NCI</t>
  </si>
  <si>
    <t>Angewandte Chemie - International Edition</t>
  </si>
  <si>
    <t>370-372</t>
  </si>
  <si>
    <t>Imperial College London</t>
  </si>
  <si>
    <t>Prokhorenko V.</t>
  </si>
  <si>
    <t>International Journal of Remote Sensing</t>
  </si>
  <si>
    <t>Verona</t>
  </si>
  <si>
    <t>Croce R.</t>
  </si>
  <si>
    <t>Langmuir</t>
  </si>
  <si>
    <t>7201387717;55888056800;26658839700;35511455300</t>
  </si>
  <si>
    <t>Dai, Zhifei;D√§hne, Lars;Donath, Edwin;M√∂hwald, Helmuth</t>
  </si>
  <si>
    <t>Dai Z.</t>
  </si>
  <si>
    <t>Riverside</t>
  </si>
  <si>
    <t>University of California, Riverside</t>
  </si>
  <si>
    <t>Optics Communications</t>
  </si>
  <si>
    <t>PHY-0098715</t>
  </si>
  <si>
    <t>Turkish Journal of Electrical Engineering and Computer Sciences</t>
  </si>
  <si>
    <t>Zhou Y.</t>
  </si>
  <si>
    <t>60018179;60003122</t>
  </si>
  <si>
    <t>United States;Canada</t>
  </si>
  <si>
    <t>Columbia;Victoria</t>
  </si>
  <si>
    <t>University of South Carolina;University of Victoria</t>
  </si>
  <si>
    <t>60031004;60031004</t>
  </si>
  <si>
    <t>7005375527;35570164700</t>
  </si>
  <si>
    <t>The University of Queensland</t>
  </si>
  <si>
    <t>Durrani S.</t>
  </si>
  <si>
    <t>Chen H.</t>
  </si>
  <si>
    <t>Classical and Quantum Gravity</t>
  </si>
  <si>
    <t>Physical Chemistry Chemical Physics</t>
  </si>
  <si>
    <t>Jyvaskyla</t>
  </si>
  <si>
    <t>University of Jyv√§skyl√§</t>
  </si>
  <si>
    <t>Linnanto J.</t>
  </si>
  <si>
    <t>['transverse electromagnetic', 'suitable construction', 'prompt response', 'predictions made', 'metal blocks', 'lens ira', 'ira ).', 'feed structure', 'eliminating portions', 'aperture shape', 'aperture integral']</t>
  </si>
  <si>
    <t>Aperture antennas | Impulse radiating antennas | Ultra wide-band (UWB) antennas</t>
  </si>
  <si>
    <t>This article presents experimental measurements verifying the relationship between aperture shape and prompt response in an impulse radiating antenna (IRA). Various aperture configurations were realized by constructing a lens IRA with focused aperture significantly larger than the transverse electromagnetic (TEM) feed structure and then eliminating portions of the aperture with metal blocks. Virtually any prompt response can be realized by suitable construction. Experimental results agree well with predictions made by evaluating the aperture integral of the TEM mode distribution.</t>
  </si>
  <si>
    <t>1032-1034</t>
  </si>
  <si>
    <t>60033021;60033021</t>
  </si>
  <si>
    <t>55663513600;6601996329</t>
  </si>
  <si>
    <t>Tyo, J. Scott;Buchenauer, C. J.</t>
  </si>
  <si>
    <t>The University of New Mexico</t>
  </si>
  <si>
    <t>Tyo J.</t>
  </si>
  <si>
    <t>Experimental verification of the effect of aperture shape on prompt IRA response</t>
  </si>
  <si>
    <t>10.1109/TAP.2002.800704</t>
  </si>
  <si>
    <t>2-s2.0-0036630212</t>
  </si>
  <si>
    <t>['wedge face', 'wave number', 'singularity ).', 'region contiguous', 'plane wave', 'particularly difficult', 'illumination aspects', 'grazing illumination', 'frequency analysis', 'field components', 'exact solution', 'canonical problem']</t>
  </si>
  <si>
    <t>Antenna theory | Approximation methods | Current distribution | Diffraction | Geometrical theory of diffraction | Impedance | Physical theory of diffraction | Propagation | Surface waves | Wedges</t>
  </si>
  <si>
    <t>Exact solution of the canonical problem of diffraction of a plane wave by an arbitrarily angled impedance wedge given by Maliuzhinets is employed to derive asymptotic approximations to the field components in a region contiguous to a face of the wedge. The asymptotic solution accounts for terms of order (kp)-3/2 (k is the wave number and p is the distance from the edge) is uniform with respect to observation and illumination aspects, and includes the case of grazing illumination of a wedge face, which is known to be particularly difficult for the high-frequency analysis (Ufimtsev's singularity).</t>
  </si>
  <si>
    <t>930-940</t>
  </si>
  <si>
    <t>60007798;60018642;60007951</t>
  </si>
  <si>
    <t>35578029500;55390837800;57218965312</t>
  </si>
  <si>
    <t>Osipov, Andrey;Hongo, Kohei;Kobayashi, Hirokazu</t>
  </si>
  <si>
    <t>Japan;Japan;Germany</t>
  </si>
  <si>
    <t>Tokyo;Minato;¬†Cologne</t>
  </si>
  <si>
    <t>Toho University;Fujitsu Ltd.;Deutsches Zentrum fur Luft- Und Raumfahrt</t>
  </si>
  <si>
    <t>60018642;60007951;60007798</t>
  </si>
  <si>
    <t>Osipov A.</t>
  </si>
  <si>
    <t>High-frequency approximations for electromagnetic field near a face of an impedance wedge</t>
  </si>
  <si>
    <t>10.1109/TAP.2002.800734</t>
  </si>
  <si>
    <t>2-s2.0-0036630229</t>
  </si>
  <si>
    <t>['water wetting', 'water layers', 'water layer', 'unwanted effects', 'thickness values', 'sprayer tests', 'space administration', 'satellite path', 'reflector surface', 'rain rate', 'propagation experiment', 'overall efficacy', 'national aeronautics', 'identical within', 'first month', 'expected uncertainty', 'comstar experiments', 'combined effect', 'combined antenna', 'attenuation produced', 'antenna reflector']</t>
  </si>
  <si>
    <t>Attenuation by rain | Ka-band propagation | Wet radomes | Wet reflector antennas</t>
  </si>
  <si>
    <t>The National Aeronautics and Space Administration (NASA) advanced communications technology satellite (ACTS) propagation experiment was designed to observe the attenuation produced by rain on earth-satellite paths operating in the Ka-band. Within the first month of operation, the unwanted effects of water on the antenna reflector surface were noted. After the reflector and feed surfaces aged, wet-antenna attenuation values as high 7 dB at high-rain rates could be attributed to the combined effect of a water layer on the reflector surface and water wetting the feed window surface. A model was developed to calculate the antenna reflector and feed surface water layer thickness values as a function of position on each surface. The thickness values were input to a layered dielectric scattering model to calculate the additional attenuation produced by the water layers as a function of rain rate on the antenna. The wet-antenna-attenuation prediction model was verified by sprayer tests. The goal of the ACTS propagation experiment was to obtain path attenuation statistics; statistics that represent the effects of rain on the earth-satellite path but not on the antenna itself. To satisfy that goal, the wet-antenna attenuation prediction model was used to remove the effects of water on the antenna from the combined antenna-plus-path attenuation statistics produced by the experiment. The overall efficacy of the model was demonstrated by comparing the corrected pathloss statistics from two of the ACTS propagation experiment sites with earlier COMSTAR path loss measurements made at or near those sites. The empirical distribution functions from both the ACTS and COMSTAR experiments were identical within the expected uncertainty of an empirical annual distribution of attenuation by rain.</t>
  </si>
  <si>
    <t>954-965</t>
  </si>
  <si>
    <t>60000251-60030931</t>
  </si>
  <si>
    <t>Crane, Robert K.</t>
  </si>
  <si>
    <t>Norman;New York</t>
  </si>
  <si>
    <t>University of Oklahoma;IEEE</t>
  </si>
  <si>
    <t>60030931;60000251</t>
  </si>
  <si>
    <t>Crane R.</t>
  </si>
  <si>
    <t>Analysis of the effects of water on the ACTS propagation terminal antenna</t>
  </si>
  <si>
    <t>10.1109/TAP.2002.800701</t>
  </si>
  <si>
    <t>2-s2.0-0036630265</t>
  </si>
  <si>
    <t>['microstrip technology', 'l band', 'fully analyze', 'experimental results', 'element linearly', 'eesof touchstone', 'design example', 'complex design', 'beamforming layers', 'approach presented', 'ansoft ensemble']</t>
  </si>
  <si>
    <t>Array analysis | Beamforming networks | CAD tools | Microstrip antennas | P-I-N diodes | Phased arrays | Phased shifters | Switches</t>
  </si>
  <si>
    <t>The complex design and development of a planar multilayer phased array antenna in microstrip technology can be simplified using two commercially available design tools 1) Ansoft Ensemble and 2) HP-EEsof Touchstone. In the approach presented here, Touchstone is used to design RF switches and phase shifters whose scattering parameters are incorporated in Ensemble simulations using its black box tool. Using this approach, Ensemble is able to fully analyze the performance of radiating and beamforming layers of a phased array prior to its manufacturing. This strategy is demonstrated in a design example of a 12-element linearly-polarized circular phased array operating at L band. A comparison between theoretical and experimental results of the array is demonstrated.</t>
  </si>
  <si>
    <t>944-953</t>
  </si>
  <si>
    <t>60000251-60005510;60000251-60031004;60000251-60004260</t>
  </si>
  <si>
    <t>7006035284;35570164700;7003839738</t>
  </si>
  <si>
    <t>Karmakar, Nemai C.;Bialkowski, Marek E.;Padhi, Shantanu Kumar</t>
  </si>
  <si>
    <t>Australia;Singapore;Australia;United States</t>
  </si>
  <si>
    <t>Brisbane;Singapore City;Melbourne;New York</t>
  </si>
  <si>
    <t>The University of Queensland;Nanyang Technological University;CSIRO Molecular and Health Technologies;IEEE</t>
  </si>
  <si>
    <t>60031004;60005510;60004260;60000251</t>
  </si>
  <si>
    <t>Microstrip circular phased array design and development using microwave antenna CAD tools</t>
  </si>
  <si>
    <t>10.1109/TAP.2002.800730</t>
  </si>
  <si>
    <t>2-s2.0-0036630847</t>
  </si>
  <si>
    <t>['surface impedance', 'procedures described', 'impedance surface', 'impedance condition', 'explicitly obtain', 'equivalence principle', 'different choices', 'demonstrated via', 'closed aperture', 'aperture surface', 'aperture fields', 'antenna body', 'also demonstrated']</t>
  </si>
  <si>
    <t>Aperture antennas | Apertures boundary value problems | Surface treatment</t>
  </si>
  <si>
    <t>It is demonstrated via the equivalence principle that if the aperture fields are known, one can explicitly obtain the equivalent current excitation required for modeling an aperture in an arbitrarily shaped impedance surface when the aperture surface is closed, by replacing it with an impedance surface. It is also demonstrated that the impedance condition over the antenna body and the closed aperture can be nonuniform and anisotropic, and that different choices are possible for the value of the surface impedance of the surface that closes the aperture. It is expected that the procedures described will be most useful in approximately modeling aperture antennas embedded in nonplanar impedance surfaces where the aperture electric field is known.</t>
  </si>
  <si>
    <t>966-970</t>
  </si>
  <si>
    <t>60000251-60010491</t>
  </si>
  <si>
    <t>Glisson, Allen W.</t>
  </si>
  <si>
    <t>Glisson A.</t>
  </si>
  <si>
    <t>Equivalent current excitation for an aperture antenna embedded in an arbitrarily shaped impedance surface</t>
  </si>
  <si>
    <t>10.1109/TAP.2002.802273</t>
  </si>
  <si>
    <t>2-s2.0-0036630866</t>
  </si>
  <si>
    <t>Agenzia Spaziale Italiana</t>
  </si>
  <si>
    <t>ASI</t>
  </si>
  <si>
    <t>['work presented', 'theoretically show', 'target detection', 'successfully used', 'second part', 'sea surface', 'scattering co', 'scattered signal', 'roughness surface', 'result holds', 'remote estimation', 'quadrature components', 'pollution analysis', 'oil slick', 'linearly related', 'kirchhoff approximation', 'june issue', 'irregularity degree', 'interesting result', 'ieee transactions', 'fractal dimension', 'fractal analysis', 'first part', 'efficient derived', 'analytically demonstrate']</t>
  </si>
  <si>
    <t>Fractal | Sea-surface electromagnetic scattering</t>
  </si>
  <si>
    <t>This paper is the second part of the work presented in the June Issue of the IEEE TRANSACTIONS ON ANTENNAS AND PROPAGATION. We analytically demonstrate that the electromagnetic (EM) sea scattered signal retains certain fractal properties of the sea surface. Starting from the expression of the scattering co-efficient derived in the first part of the work, we theoretically show that the fractal dimension of the in phase and quadrature components of the EM signal scattered from a sea fractal surface is linearly related to the fractal dimension of the sea surface. This result holds under the hypothesis of Kirchhoff approximation. Bearing in mind that the sea fractal dimension gives a measure of the irregularity degree of the surface, we can exploit this result to make a remote estimation of the roughness surface through the fractal analysis of the scattered signal. This is a very interesting result and it could be successfully used in remote sensing applications for classification, target detection, sea surface traffic monitoring, sea current analysis, oil slick and ship wakes recognition, pollution analysis, etc.</t>
  </si>
  <si>
    <t>912-925</t>
  </si>
  <si>
    <t>60000251-60028868;60000251-60028868</t>
  </si>
  <si>
    <t>7003798512;6701745490</t>
  </si>
  <si>
    <t>Berizzi, Fabrizio;Dalle-Mese, Enzo</t>
  </si>
  <si>
    <t>Pisa;New York</t>
  </si>
  <si>
    <t>Universit√† di Pisa;IEEE</t>
  </si>
  <si>
    <t>60028868;60000251</t>
  </si>
  <si>
    <t>Berizzi F.</t>
  </si>
  <si>
    <t>Scattering from a 2-D sea fractal surface: Fractal analysis of the scattered signal</t>
  </si>
  <si>
    <t>10.1109/TAP.2002.800695</t>
  </si>
  <si>
    <t>2-s2.0-0036631079</t>
  </si>
  <si>
    <t>['working frequency', 'typical dimensions', 'smaller size', 'single widebeam', 'simulation tool', 'radio frequency', 'radiation pattern', 'radiation characteristics', 'optimum multi', 'operating frequency', 'mechanical systems', 'impedance behavior', 'dualband behavior', 'dime antenna', 'complete results', 'article discusses', 'antenna structure', 'accurately predicted', '2 ghz']</t>
  </si>
  <si>
    <t>This article discusses a new reconfigurable broadband miniature antenna architecture able to change its working frequency, polarization or radiation pattern to achieve single broadband or dualband behavior for a single widebeam or multibeam diversity configuration. Two antenna geometries are considered, and a single element antenna, the so-called dime antenna, is introduced. A prototype dime antenna operating at 5.2 GHz was fabricated and measured to validate the accuracy of the simulation tool and to ensure that the impedance behavior and radiation characteristics were accurately predicted. Motivated by the dime antenna, another novel miniature antenna geometry - qdime - was studied in detail. A mutual coupling analysis of qdime antenna pairs with respect to orientation was performed to determine the optimum multi-element antenna configuration for reduced mutual coupling and smaller size. Short circuit striplines, having typical dimensions of radio frequency (RF) microelectro-mechanical systems (MEMS) switches, were appropriately located within the antenna structure to change its operating frequency and radiation pattern. Complete results are presented and discussed.</t>
  </si>
  <si>
    <t>60007278;60007278;60007278</t>
  </si>
  <si>
    <t>6603852149;7003898162;7003924393</t>
  </si>
  <si>
    <t>Cetiner, Bedri A.;Jofre, Luis;De Flaviis, Franco</t>
  </si>
  <si>
    <t>Irvine</t>
  </si>
  <si>
    <t>University of California, Irvine</t>
  </si>
  <si>
    <t>Reconfigurable miniature multi-element antenna for wireless networking</t>
  </si>
  <si>
    <t>2-s2.0-0036638063</t>
  </si>
  <si>
    <t>['upper path', 'symmetry structures', 'starting point', 'radiation patterns', 'also detailed']</t>
  </si>
  <si>
    <t>A new stacked patch structure was analyzed. The upper path was displaced and its size was varied. Results show bandwidth improvement for all cases. Measurements were made for square and circular stacked patches. Radiation patterns for these symmetry structures were also detailed. Furthermore, the starting point for more advanced radiation modeling was detailed.</t>
  </si>
  <si>
    <t>60001741;60001741;60001741;60001741;60001741</t>
  </si>
  <si>
    <t>6603262783;6506867245;6603491449;6602443969;6602370046</t>
  </si>
  <si>
    <t>Rajo-Iglesias, Eva;V√°zquez-Roy, Jos√© Luis;Segovia-Vargas, Daniel;Gonz√°lez-Posadas, Vicente;Mart√≠n-Pascual, Carlos</t>
  </si>
  <si>
    <t>Bandwidth and radiation effects of symmetry breaking in stacked patches</t>
  </si>
  <si>
    <t>2-s2.0-0036638064</t>
  </si>
  <si>
    <t>['wide range', 'surface potential', 'sufficient magnitude', 'special circumstances', 'serious concern', 'semiquantitative arguments', 'plasma process', 'plasma pid', 'plasma nonuniformities', 'notable among', 'many cycles', 'induced damage', 'electron shading', 'depend upon', 'current source', 'charging builds', 'antenna ratio', 'additional way']</t>
  </si>
  <si>
    <t>Antenna ratio (AR) | Electron shading | Process-induced damage (PID) | Topography-dependent charging (TDC)</t>
  </si>
  <si>
    <t>It is a widely held belief that plasma process-induced damage (PID) is caused, among other things, by plasma nonuniformities. These nonuniformities are caused by either nonoptimum reactor design and operation or nonflat wafer topography, the latter giving rise to electron shading that selectively inhibits one charge specie over another causing local surface charging. This charging builds over many cycles. While these phenomena are of serious concern, it is the object of this work to point out that there is an additional way to conceptualize the mechanism for PID in ac glow discharges. In this model, it is proposed that the net charge flux in each power supply half cycle is enough to induce a surface potential of sufficient magnitude to damage thin dielectrics. Semiquantitative arguments are made that outline how this mechanism is capable, in principle, of explaining a wide range of published empirical data. Notable among these predictions is that plasma PID can depend upon the size and shape of the antenna, behaves as though the stress were from a current source, and is only proportional to antenna ratio (AR) under special circumstances.</t>
  </si>
  <si>
    <t>1274-1282</t>
  </si>
  <si>
    <t>60000251-60015272;60000251-60015272;60000251-60015272</t>
  </si>
  <si>
    <t>6701530677;7102443547;57206592862</t>
  </si>
  <si>
    <t>Verret, Doug P.;Krishnan, Anand;Krishnan, Srikanth</t>
  </si>
  <si>
    <t>Dallas;New York</t>
  </si>
  <si>
    <t>Texas Instruments;IEEE</t>
  </si>
  <si>
    <t>60015272;60000251</t>
  </si>
  <si>
    <t>Verret D.</t>
  </si>
  <si>
    <t>A new look at the antenna effect</t>
  </si>
  <si>
    <t>S0018938302059506</t>
  </si>
  <si>
    <t>10.1109/TED.2002.1013286</t>
  </si>
  <si>
    <t>2-s2.0-0036638273</t>
  </si>
  <si>
    <t>['solenoidal antenna', 'rf field', 'plasma flow', 'particle approximation', 'numerical calculations', 'ion gyroradius', 'ion drift', 'interperiodica ".', 'icr heating', 'effects associated', 'characteristic features']</t>
  </si>
  <si>
    <t>A study is made of some characteristic features of ion cyclotron resonance (ICR) heating in plasma-based isotope separators. The effects associated with ion drift in the RF field of a solenoidal antenna are considered in the single-particle approximation. Estimates are obtained and numerical calculations are carried out for ICR heating in the case of a "narrow" (p/r ‚àº 1, where p is the ion gyroradius) plasma flow. ¬© 2002 MAIK "Nauka/Interperiodica".</t>
  </si>
  <si>
    <t>559-564</t>
  </si>
  <si>
    <t>1063780X</t>
  </si>
  <si>
    <t>Plasma Physics Reports</t>
  </si>
  <si>
    <t>60023579;60023579;60023579;60023579</t>
  </si>
  <si>
    <t>7005062453;6603442682;6602694721;6701751210</t>
  </si>
  <si>
    <t>Volosov, V. I.;Demenev, V. V.;Steshov, A. G.;Churkin, I. N.</t>
  </si>
  <si>
    <t>Novosibirsk</t>
  </si>
  <si>
    <t>Budker Institute of Nuclear Physics of the Siberian Branch of the RAS</t>
  </si>
  <si>
    <t>Volosov V.</t>
  </si>
  <si>
    <t>Some features of ICR heating by a solenoidal antenna</t>
  </si>
  <si>
    <t>10.1134/1.1494053</t>
  </si>
  <si>
    <t>2-s2.0-0036638387</t>
  </si>
  <si>
    <t>['weighting factors', 'present method', 'prescribed nulls', 'pattern synthesis', 'null depth', 'imposed single', 'flexible method', 'design specifications', 'chebyshev patterns', 'broad nulls', 'array element']</t>
  </si>
  <si>
    <t>Ant colony optimization | Antenna array | Nulling | Pattern synthesis</t>
  </si>
  <si>
    <t>A new and flexible method is presented that is based on the ant colony optimization algorithm for the pattern synthesis of linear antenna arrays with the prescribed nulls. Nulling of the pattern is achieved by controlling only the amplitude of each array element. To show the versatility of the present method, some design specifications such as the side lobe level, null depth, and dynamic range ratio are considered by introducing a set of weighting factors in the cost function constructed for the ant colony optimization algorithm. Several illustrative examples of Chebyshev patterns with the imposed single, multiple, and broad nulls are given.</t>
  </si>
  <si>
    <t>375-383</t>
  </si>
  <si>
    <t>6507672738;7005087231;35581650500</t>
  </si>
  <si>
    <t>Karaboga, Nurhan;G√ºney, Kerim;Akdagli, Ali</t>
  </si>
  <si>
    <t>Karaboga N.</t>
  </si>
  <si>
    <t>Null steering of linear antenna arrays with use of modified touring ant colony optimization algorithm</t>
  </si>
  <si>
    <t>10.1002/mmce.10034</t>
  </si>
  <si>
    <t>2-s2.0-0036639920</t>
  </si>
  <si>
    <t>['voltage pulse', 'uniformity ).', 'spatial evolutions', 'single feed', 'significantly uniform', 'rights reserved', 'rf pulse', 'rf antenna', 'region near', 'plasma generation', 'plasma density', 'pbiid system', 'new type', 'langmuir probe', 'ion implantation', 'electron temperature', 'dlc film', 'deposition time', 'deposition system', 'deposition rate', 'average thickness', 'almost constant', '95 œºm', '4 h', '24 œºm']</t>
  </si>
  <si>
    <t>DLC coating | Duplex treatment | Plasma immersion implantation | Superposed RF and high voltage pulses | Uniform implantation and deposition</t>
  </si>
  <si>
    <t>A new type of plasma based ion implantation and deposition system (PBIID) was developed. In this system, an RF pulse for plasma generation and a high-voltage pulse for ion implantation were supplied to a target through a single feed-through. Temporal and spatial evolutions of RF plasma around a spherical RF antenna were measured with a Langmuir probe. The plasma density had the largest value close to the RF antenna, while the electron temperature was almost constant in space. The plasma density after the RF pulse decreased almost exponentially in time and reduced more quickly in the region near the antenna. Using hydrocarbon gases in the PBIID system, the DLC film was prepared on an Si wafer substrate on each surface of the hexagonal sample holder. The thickness of each film was significantly uniform (93% in uniformity). The average thickness was 3.8 ¬± 0.24 Œºm for a deposition time of 4 h, showing a deposition rate of 0.95 Œºm/h. ¬© 2002 Elsevier Science B.V. All rights reserved.</t>
  </si>
  <si>
    <t>100404307;60014185;60014185;60023499</t>
  </si>
  <si>
    <t>7403348145;7005505380;7006394427;55326855600</t>
  </si>
  <si>
    <t>Nishimura, Yoshimi;Chayahara, Akiyoshi;Horino, Yuji;Yatsuzuka, Mitsuyasu</t>
  </si>
  <si>
    <t>Kobe;Ikeda;Kyoto</t>
  </si>
  <si>
    <t>University of Hyogo;National Institute of Advanced Industrial Science and Technology, Kansai;Kurita Seisakusho Co., Ltd.</t>
  </si>
  <si>
    <t>60023499;60014185;100404307</t>
  </si>
  <si>
    <t>Nishimura Y.</t>
  </si>
  <si>
    <t>A new PBIID processing system supplying RF and HV pulses through a single feed-through</t>
  </si>
  <si>
    <t>S0257897202001111</t>
  </si>
  <si>
    <t>10.1016/S0257-8972(02)00111-1</t>
  </si>
  <si>
    <t>2-s2.0-0036641212</t>
  </si>
  <si>
    <t>['teletraffic capacity', 'simplified expression', 'results showed', 'outage probability', 'mobile network', 'also obtained', 'adaptive antennas']</t>
  </si>
  <si>
    <t>The teletraffic capacity of a code division multiple access (CDMA) mobile network with adaptive antennas at the reciever base station was considered. A simplified expression for the system outage probability associated with the teletraffic capacity was also obtained. Results showed that the outage probability and consequently the teletraffic capacity of the system was improved using adaptive antennas at the reciever base station.</t>
  </si>
  <si>
    <t>203-211</t>
  </si>
  <si>
    <t>International Journal of Network Management</t>
  </si>
  <si>
    <t>Al-Ruwais, Abdulaziz S.</t>
  </si>
  <si>
    <t>Saudi Arabia</t>
  </si>
  <si>
    <t>Riyadh</t>
  </si>
  <si>
    <t>King Saud University</t>
  </si>
  <si>
    <t>Al-Ruwais A.</t>
  </si>
  <si>
    <t>Teletraffic capacity of CDMA cellular mobile networks and adaptive antennas</t>
  </si>
  <si>
    <t>10.1002/nem.435</t>
  </si>
  <si>
    <t>2-s2.0-0036641482</t>
  </si>
  <si>
    <t>['unbounded domain', 'truncation boundary', 'strictly enclosed', 'robin condition', 'numerical computation', 'integration surface', 'integral formula', 'integral equations', 'helmholtz equation', 'fictitious boundary', 'discretized differential', 'coupled together', 'bounded one', 'bounded domain', 'boundary condition', 'antenna parameters', 'antenna impedance', 'also provided']</t>
  </si>
  <si>
    <t>Antenna impedance | Electromagnetic radiation | Finite elements | Hybrid FEM-BI methods</t>
  </si>
  <si>
    <t>A new numerical method, called Robin Boundary Condition Iteration (RBCI), recently devised by the authors for the finite element solution of electromagnetic scattering problems is adapted to the numerical computation of antenna parameters. In RBCI the unbounded domain is truncated to a bounded one by means of a fictitious boundary that contains the antenna and on which a suitable nonhomogeneous Robin (mixed) boundary condition is assumed for the Helmholtz equation in the bounded domain. The Robin condition is expressed by means of an integral formula (the 2nd Green identity) in terms of the field in the interior of the bounded domain, the integration surface being strictly enclosed by the truncation boundary. The discretized differential and integral equations are then coupled together to solve the problem. A simple and effective iterative solving scheme is described. The computation of the antenna impedance in postprocessing is discussed. Examples are also provided to explain the method.</t>
  </si>
  <si>
    <t>381-392</t>
  </si>
  <si>
    <t>60010146;60010146;60010146</t>
  </si>
  <si>
    <t>57207806248;57188761517;6602908364</t>
  </si>
  <si>
    <t>Alfonzetti, Salvatore;Azzerboni, Bruno;Borz√¨, Giuseppe</t>
  </si>
  <si>
    <t>Catania</t>
  </si>
  <si>
    <t>Universit√† degli Studi di Catania</t>
  </si>
  <si>
    <t>Alfonzetti S.</t>
  </si>
  <si>
    <t>Numerical computation of antenna parameters by means of RBCI</t>
  </si>
  <si>
    <t>10.1080/02726340290083987</t>
  </si>
  <si>
    <t>2-s2.0-0036641953</t>
  </si>
  <si>
    <t>['widely used', 'transmitting antenna', 'results showed', 'result showed', 'proximity effect', 'overall difference', 'measurements using', 'measurements decreases', 'measurement distance', 'frequency band', 'examined theoretically', 'dipole antenna', 'difference increases', 'conspicuous particularly', 'calibration uncertainty', 'biconical antennas', 'biconical antenna', 'antenna setup', '300 mhz', '1 db']</t>
  </si>
  <si>
    <t>Antenna calibration | Biconical antenna | Electromagnetic interference measurements | EMI measurements</t>
  </si>
  <si>
    <t>Biconical antennas, which are typical broadband antennas, are widely used to measure electromagnetic interference (EMI) in the band from 30 to 300 MHz. Thus, theoretical studies using the method of moments have investigated antenna arrangements suitable for biconical antenna calibration. The results showed that the proximity effect between the standard dipole antenna for calibration and the transmitting antenna in the low-frequency band and the nonuniformity of the electric field strength near the biconical antenna being calibrated in the high-frequency band greatly affected the calibration uncertainty. Based on these considerations, the antenna setup was determined to calibrate the biconical antenna with an uncertainty of 0.1 dB. Furthermore, the difference between the EMI measurements using a biconical antenna and the measurements using a dipole antenna was examined theoretically by means of a radiating point source. This result showed that the overall difference in the measurements is not very large at about 1 dB or less, but the difference increases in measurements for vertically polarized waves than for horizontally polarized waves, and this difference was conspicuous particularly at a measurement distance of 3 m. In addition, the difference in the measurements decreases when a free space antenna factor is used. ¬© 2002 Wiley Periodicals, Inc. Electron. Comm. Jpn. Pt. 1.</t>
  </si>
  <si>
    <t>23-31</t>
  </si>
  <si>
    <t>60032315;60008435;60092258;60032315</t>
  </si>
  <si>
    <t>36963828000;36176445900;7203038166;7403058439</t>
  </si>
  <si>
    <t>Suzuki, Nobuyuki;Sugiura, Akira;Yamanaka, Yukio;Iwasaki, Takashi</t>
  </si>
  <si>
    <t>Koganei;Chofu;Sendai</t>
  </si>
  <si>
    <t>Ministry of Posts and Telecommunications, Japan;The University of Electro-Communications;Tohoku University</t>
  </si>
  <si>
    <t>60092258;60032315;60008435</t>
  </si>
  <si>
    <t>Calibration of a biconical antenna and its usage in EMI measurements</t>
  </si>
  <si>
    <t>10.1002/ecja.1108</t>
  </si>
  <si>
    <t>2-s2.0-0036642896</t>
  </si>
  <si>
    <t>['sight coverage', 'receiving system', 'past belief', 'mobile communications', 'mobile antennas', 'human body', 'horizontal elements', 'diversity effect', 'base station', 'also made', '60 ¬∞']</t>
  </si>
  <si>
    <t>CDMA | Cellular communication | PDC | Polarization diversity | Random field measurement method</t>
  </si>
  <si>
    <t>A series of experiments were conducted on the uplink diversity characteristics for a mobile communication system using the random field method. In contrast to past belief, it was found that polarization diversity systems are much more effective than space diversity systems for mobile communications. This is due to the orientation of mobile antennas that are tilted about 60¬∞ from the zenith in normal conversation state and by the horizontal polarization component that is generated by the human body and mobile phone casing. In addition to the above, a comparison of antenna radiating elements was also made-vertical/horizontal versus 45¬∞ crossed dipoles-on the diversity effect of the receiving system at the base station. It was found that the 45¬∞ crossed dipoles were slightly more effective than the vertical/horizontal elements in the case of line-of-sight coverage, but for out-of-sight coverage, the difference was not significant. ¬© 2002 Wiley Periodicals, Inc. Electron. Comm. Jpn. Pt. 1.</t>
  </si>
  <si>
    <t>32-44</t>
  </si>
  <si>
    <t>60021208;105322656;60018279</t>
  </si>
  <si>
    <t>55576111100;55233356100;7402657600</t>
  </si>
  <si>
    <t>Nakano, Masayuki;Satoh, Toshio;Arai, Hiroyuki</t>
  </si>
  <si>
    <t>Tokyo;Yokohama;Tokyo</t>
  </si>
  <si>
    <t>KDDI Corporation;Yokohama National University;NDK Corporation</t>
  </si>
  <si>
    <t>60021208;60018279;105322656</t>
  </si>
  <si>
    <t>Nakano M.</t>
  </si>
  <si>
    <t>Uplink polarization diversity measurement with human body effect at 900 MHz</t>
  </si>
  <si>
    <t>10.1002/ecja.1109</t>
  </si>
  <si>
    <t>2-s2.0-0036642901</t>
  </si>
  <si>
    <t>['uws contained', 'unique word', 'strong interference', 'sidelobe canceler', 'reference signal', 'rapid proliferation', 'mobile communication', 'interference waves', 'interference wave', 'interference prior', 'high correlation', 'estimation error', 'desired wave', 'communication signal', 'automatically control', 'accurately estimate']</t>
  </si>
  <si>
    <t>Adaptive array antenna | Mobile communication | Sidelobe canceler | Unique word</t>
  </si>
  <si>
    <t>Recently, with rapid proliferation of mobile communication, there has arisen a need for adaptive array antennas that can automatically control the antenna radiation pattern. In adaptive array antennas based on the MMSE (Minimization of Mean Square Error) method, a reference signal with a high correlation with the desired wave is required in order to distinguish the desired wave and the interference waves. The unique word (UW) employed for synchronization in mobile communication is a known signal sequence and can be used as a reference signal. However, it is necessary to accurately estimate the timing at which the UW is contained in the communication signal. The estimation error in the case of strong interference can be a cause of deterioration of the interference suppression capability. Also, if the UW is contained in both the interference and the desired wave at the same timing, the desired wave cannot be recognized and the interference wave cannot be suppressed. In this paper, an adaptive array antenna with a two-stage configuration using a preprocessing of an SLC (sidelobe canceler) is proposed so that the effect of the interference prior to the start of communication is avoided. By the simulation, it is confirmed that only the interference wave can be suppressed effectively even if the UWs contained in the interference and the desired wave are in synchronization. ¬© 2002 Wiley Periodicals, Inc. Electron. Comm. Jpn. Pt. 1.</t>
  </si>
  <si>
    <t>60101699;60101699;60101699</t>
  </si>
  <si>
    <t>7402255495;55708054200;6603525697</t>
  </si>
  <si>
    <t>Hirata, Kazufumi;Sekiguchi, Takashi;Fujisaka, Takahiko</t>
  </si>
  <si>
    <t>Hirata K.</t>
  </si>
  <si>
    <t>An adaptive array antenna with SLC-type preprocessor</t>
  </si>
  <si>
    <t>10.1002/ecja.1106</t>
  </si>
  <si>
    <t>2-s2.0-0036642958</t>
  </si>
  <si>
    <t>['various cases', 'tuned antenna', 'rights reserved', 'results obtained', 'resonances appearing', 'realistic modeling', 'radiated power', 'propagation constants', 'frequency response', 'formalism allows', 'field distributions', 'electrical characteristics', 'consistent method', 'antenna currents', 'analytical results']</t>
  </si>
  <si>
    <t>EM field near the antenna | Finite Faraday screen | Self-consistent antenna currents | Three-dimensional antenna modeling</t>
  </si>
  <si>
    <t>A realistic modeling of ICRH antennas requires the knowledge of the antenna currents. The code ICANT determines self-consistently these currents and, as a byproduct, the electrical characteristics of the antenna (radiated power, propagation constants on straps, frequency response,...). The formalism allows for the description of three-dimensional antenna elements (for instance, finite size thick screen blades). The results obtained for various cases where analytical results are available are discussed. The resonances appearing in the spectrum and the occurrence of unphysical resonant modes are discussed. The capability of this self-consistent method is illustrated by a number of examples, e.g., fully conducting thin or thick screen bars leading to magnetic shielding effects, frequency response and resonances of an end-tuned antenna, field distributions in front of a Tore-Supra type antenna with tilted screen blades. ¬© 2002 Elsevier Science B.V. All rights reserved.</t>
  </si>
  <si>
    <t>166-187</t>
  </si>
  <si>
    <t>Computer Physics Communications</t>
  </si>
  <si>
    <t>60110940;60110940;60110940;60110940</t>
  </si>
  <si>
    <t>6506730864;6603589807;7403189436;6602283473</t>
  </si>
  <si>
    <t>P√©coul, Serge;Heuraux, Stephane;Koch, R.;Leclert, G.</t>
  </si>
  <si>
    <t>Nancy</t>
  </si>
  <si>
    <t>Institut Jean Lamour</t>
  </si>
  <si>
    <t>P√©coul S.</t>
  </si>
  <si>
    <t>Numerical modeling of the coupling of an ICRH antenna with a plasma with self-consistent antenna currents</t>
  </si>
  <si>
    <t>S0010465502002692</t>
  </si>
  <si>
    <t>10.1016/S0010-4655(02)00269-2</t>
  </si>
  <si>
    <t>2-s2.0-0036643602</t>
  </si>
  <si>
    <t>['proposed method', 'polar far', 'measured near', 'measured field', 'marquardt algorithm', 'linear distribution', 'free space', 'fields radiated', 'field pattern', 'field data', 'far field', 'equivalent currents', 'dimensional distribution', 'circular scanning', 'certain considerations', 'calculated sources', 'array antennas']</t>
  </si>
  <si>
    <t>Antenna measurement | Circular scanning | Equivalent currents | Near-field pattern</t>
  </si>
  <si>
    <t>A method to obtain a main plane far-field radiation pattern of an antenna under test (AUT) from the correspondent main plane near-field pattern in a circular scanning is presented. The method is based on the reconstruction of a set of magnetic equivalent currents radiating in free space that represents the AUT. The method can be applied to the measurement of antennas with a linear distribution or with a two-dimensional distribution under certain considerations that allow to establish integral equations relating field components and one-dimensional current components. A Levenberg-Marquardt algorithm is used to minimize the least squares error between the fields radiated by the equivalent currents and the measured field. The far field at every aspect angle is obtained from the calculated sources. Calculations of co-polar and cross-polar far-field pattern from measured near-field data of array antennas have been carried out to compare the proposed method with a full spherical scanning followed by a spherical wave expansion method. Copyright ¬© 2002 John Wiley &amp; Sons, Ltd.</t>
  </si>
  <si>
    <t>329-338</t>
  </si>
  <si>
    <t>International Journal of Numerical Modelling: Electronic Networks, Devices and Fields</t>
  </si>
  <si>
    <t>60028442-60009455;60028442;60028442</t>
  </si>
  <si>
    <t>Las-Heras, F.;Galocha, B.;Besada, J. L.</t>
  </si>
  <si>
    <t>Madrid;Madrid</t>
  </si>
  <si>
    <t>Universidad Polit√©cnica de Madrid;Escuela T√©cnica Superior de Ingenieros de Telecomunicaci√≥n, Universidad Polit√©cnica de Madrid</t>
  </si>
  <si>
    <t>60028442;60009455</t>
  </si>
  <si>
    <t>Circular scanning and equivalent magnetic currents for main plane near-field to far-field transformation</t>
  </si>
  <si>
    <t>10.1002/jnm.455</t>
  </si>
  <si>
    <t>2-s2.0-0036645813</t>
  </si>
  <si>
    <t>Samsung</t>
  </si>
  <si>
    <t>UniSA</t>
  </si>
  <si>
    <t>['wireless channels', 'taa ),', 'systems equipped', 'semiblind method', 'reasonable performance', 'performance degradation', 'lower bounds', 'feedback delay', 'downlink beamforming', 'division multiple', 'channel reciprocity', 'channel predictor', 'channel prediction']</t>
  </si>
  <si>
    <t>Code-division multiple access (CDMA) | Downlink beamforming | Fading channels | Prediction | Transmit antenna array</t>
  </si>
  <si>
    <t>Using a transmit antenna array (TAA), the downlink beamforming is able to improve the performance of wireless communication systems. In this paper, we propose a semiblind downlink beamforming method based on channel reciprocity of wireless channels for code-division multiple-access (CDMA) systems equipped with TAA. In the proposed semiblind method, it is shown that the feedback delay can result in performance degradation under a time-varying fading channel environment. Hence, the performance of the semiblind method is satisfactory only when the maximum Doppler frequency is low or the feedback delay is not significant. To overcome this difficulty, the channel prediction is considered. Using the channel predictor, the semiblind method can provide a reasonable performance for a moderate maximum Doppler frequency (about a few hundred hertz). For theoretical performance analysis, upper, and lower bounds of the bit error probability under a fading channel environment are derived.</t>
  </si>
  <si>
    <t>624-635</t>
  </si>
  <si>
    <t>60031846-60028333</t>
  </si>
  <si>
    <t>Adelaide;Sydney</t>
  </si>
  <si>
    <t>University of South Australia;UNSW Sydney</t>
  </si>
  <si>
    <t>60031846;60028333</t>
  </si>
  <si>
    <t>A semiblind method for transmit antenna arrays in CDMA systems</t>
  </si>
  <si>
    <t>S0018954502024921</t>
  </si>
  <si>
    <t>10.1109/TVT.2002.1015315</t>
  </si>
  <si>
    <t>2-s2.0-0036646217</t>
  </si>
  <si>
    <t>['wireless networks', 'theoretical analysis', 'tdma systems', 'tdma system', 'system capacity', 'soft capacity', 'smart antennas', 'smart antenna', 'signal quality', 'power control', 'paper addresses', 'mobile communications', 'global system', 'frequency hopping', 'fractional loading', 'effective means', 'discontinuous transmission', 'directly translated', 'determined analytically', 'capacity gain']</t>
  </si>
  <si>
    <t>Call admission control | Performance analysis of wireless systems | Slow-frequency hopping (SFH) | Smart antennas | Soft capacity | Wireless network simulation</t>
  </si>
  <si>
    <t>Smart antenna is considered as one of the most effective means for enhancing wireless system capacity. When fractional loading is accompanied with slow-frequency hopping (SFH), soft capacity can be realized in time-division multiple access (TDMA) wireless networks. Then, the interference reduction due to smart antennas, power control, and discontinuous transmission can be directly translated into capacity gain. This paper addresses the capacity gain due to multiple-beam (MB) smart antennas in TDMA wireless systems with soft capacity. The system capacity is determined analytically and by simulation. MB smart antennas with practical antenna pattern are used in this study. Perfect power control and discontinuous transmission are assumed in the simulation and the theoretical analysis. A novel call admission control algorithm is proposed to enhance the system capacity without degrading the signal quality. The TDMA system is assumed to be global system for mobile communications (GSM)-like, however, the analysis can be extended and applied to other TDMA systems.</t>
  </si>
  <si>
    <t>636-647</t>
  </si>
  <si>
    <t>60089889-60017592;60089889-60017592</t>
  </si>
  <si>
    <t>7402830911;7202300038</t>
  </si>
  <si>
    <t>Ahmed, Mohamed H.;Mahmoud, Samy A.</t>
  </si>
  <si>
    <t>IEEE Canada;Carleton University</t>
  </si>
  <si>
    <t>60089889;60017592</t>
  </si>
  <si>
    <t>Ahmed M.</t>
  </si>
  <si>
    <t>Soft capacity analysis of TDMA systems with slow-frequency hopping and multiple-beam smart antennas</t>
  </si>
  <si>
    <t>S0018954502024805</t>
  </si>
  <si>
    <t>10.1109/TVT.2002.1015317</t>
  </si>
  <si>
    <t>2-s2.0-0036646349</t>
  </si>
  <si>
    <t>['tad techniques', 'receive antennas', 'overall performance', 'open loop', 'multiple transmit', 'division multiple', 'diversity technique', 'cutoff rate', 'closed loop', 'chernoff bound', 'access systems']</t>
  </si>
  <si>
    <t>Chernoff bound | Diversity technique | Multiple transmit antenna | Performance analysis</t>
  </si>
  <si>
    <t>As a diversity technique, transmit antenna diversity (TAD) recently has been considered for third-generation (3G) code-division multiple-access systems. There are two different types of TAD techniques: closed loop and open loop. In this correspondence, the performance of the closed-loop TAD system equipped with multiple transmit and receive antennas is analyzed using bounds of the pairwise error probability (PEP) under a flat fading channel environment. In addition, the cutoff rate from the Chernoff bound has been considered to understand the overall performance, which may include channel coding.</t>
  </si>
  <si>
    <t>767-771</t>
  </si>
  <si>
    <t>Performance analysis of the closed-loop transmit antenna diversity system over Rayleigh fading channels</t>
  </si>
  <si>
    <t>S0018954502024933</t>
  </si>
  <si>
    <t>10.1109/TVT.2002.1015355</t>
  </si>
  <si>
    <t>2-s2.0-0036646435</t>
  </si>
  <si>
    <t>['wireless systems', 'severely degraded', 'outdated due', 'loop tad', 'key technique', 'feedback delay', 'fading channel', 'drawback caused', 'db degradation', 'channel information', '5 ms']</t>
  </si>
  <si>
    <t>Fast fading channel | Feedback | Transmit antenna diversity (TAD)</t>
  </si>
  <si>
    <t>Recently, transmit antenna diversity (TAD) has been considered as a key technique to improve the capacity of wireless systems over a fading channel. A type of TAD is closed-loop TAD, which utilizes channel conditions. Closed-loop TAD has a drawback caused by the feedback delay under u fast fading channel environment. If the channel information is outdated due to the feedback delay, the performance can be severely degraded. In this correspondence, we find the bit error rate (BER) of the closed-loop TAD with the feedback delay for a time-variant Rayleigh fading channel. For example, it is observed that there is about 2-dB degradation at the BER of 10-2 when four transmit antennas are used, and the feedback delay is 5 ms with the updating rate 400 Hz.</t>
  </si>
  <si>
    <t>771-775</t>
  </si>
  <si>
    <t>Performance limitation of closed-loop transmit antenna diversity over fast Rayleigh fading channels</t>
  </si>
  <si>
    <t>S0018954502025112</t>
  </si>
  <si>
    <t>10.1109/TVT.2002.1015356</t>
  </si>
  <si>
    <t>2-s2.0-0036646436</t>
  </si>
  <si>
    <t>['transmit employed', 'transmit antennas', 'indoor communications', 'ideal conditions', 'feedback error', 'efficiently increase', 'channel variation', 'antenna diversity', 'adaptive technique']</t>
  </si>
  <si>
    <t>Adaptive method | Third-generation (3G) wireless communications | Transmit antenna array</t>
  </si>
  <si>
    <t>Recently, antenna diversity (TAD) has been transmit employed for third-generation wireless systems. In this paper, we propose an adaptive technique for TAD with feedback. It is shown that the proposed adaptive technique can efficiently increase the number of transmit antennas without significantly increasing the feedback bit rate under ideal conditions. As a result, we can increase the number of transmit antennas and expect performance improvement. Unfortunately, the proposed adaptive technique suffers from channel variation and error propagation due to feedback error. From this, the use of the adaptive technique shall be limited: it can be effective for indoor communications and for pedestrians with a reliable feedback channel.</t>
  </si>
  <si>
    <t>617-623</t>
  </si>
  <si>
    <t>60031846-60028333;60003780;60003780</t>
  </si>
  <si>
    <t>7501393707;7404339959;55865568796</t>
  </si>
  <si>
    <t>Choi, Jinho;Choi, Ho Kyu;Lee, Hyeon Woo</t>
  </si>
  <si>
    <t>Australia;Australia;South Korea</t>
  </si>
  <si>
    <t>Adelaide;Sydney;Suwon</t>
  </si>
  <si>
    <t>University of South Australia;UNSW Sydney;Samsung Electronics Co. Ltd.</t>
  </si>
  <si>
    <t>60031846;60028333;60003780</t>
  </si>
  <si>
    <t>An adaptive technique for transmit antenna diversity with feedback</t>
  </si>
  <si>
    <t>S0018954502025057</t>
  </si>
  <si>
    <t>10.1109/TVT.2002.1015313</t>
  </si>
  <si>
    <t>2-s2.0-0036646661</t>
  </si>
  <si>
    <t>['transmitter filters', 'mobile station', 'interference mitigation', 'encoding method', 'downlink channel', 'division duplexing', 'channel reciprocity', 'channel prediction', 'channel information', 'beamforming technique', 'base station', 'antenna arrays', 'also utilized']</t>
  </si>
  <si>
    <t>Code-division multiple access (CDMA) | Finite impulse response (FIR) filtering | Interference mitigation | Multipath fading | Pre-equalization</t>
  </si>
  <si>
    <t>We consider the use of transmitter filters as pre-equalizers at the base station to mitigate the interference in code-division multiple access (CDMA) systems over a multipath fading channel. It is shown that the interference at the receiver of the mobile station can be mitigated by the transmitter filters and, thereby, the capacity of downlink channel can be improved. The minimum variance distortionless response (MVDR) beamforming technique in antenna arrays has been utilized to find the coefficients of interference mitigation (IM) transmitter filters. To design IM transmitter filters, we assume that the channel information is available. This can be true in time-division duplexing (TDD) mode because of the channel reciprocity. In frequency-division duplexing mode, the downlink channel impulse responses (CIRs) shall be be transmitted to the base station. To transmit the CIRs, we consider an encoding method. In addition, to compensate inherent feedback delay, the channel prediction is also utilized.</t>
  </si>
  <si>
    <t>657-666</t>
  </si>
  <si>
    <t>Interference mitigation using transmitter filters in CDMA systems</t>
  </si>
  <si>
    <t>S001895450202488X</t>
  </si>
  <si>
    <t>10.1109/TVT.2002.1015321</t>
  </si>
  <si>
    <t>2-s2.0-0036646662</t>
  </si>
  <si>
    <t>['zeeman interactions', 'temporal variation', 'rights reserved', 'relative strength', 'magnetostatic interactions', 'magnetic dipoles', 'chaotic behaviours', 'bistables wires', 'array magnetisation', 'accordingly shown']</t>
  </si>
  <si>
    <t>Bistable magnetic wires | Chaos and complexity | Magnetostatic interaction</t>
  </si>
  <si>
    <t>Fe-based magnetostrictive amorphous wires are bistable exhibiting square-shaped longitudinal hysteresis loops. This is a consequence of their particular domain structure that allows them to be approached as magnetic dipoles. Arrays of such bistables wires are accordingly shown to be coupled by magnetostatic interactions. Furthermore, an analysis of these interactions allows us to conclude that depending on the relative strength of the magnetostatic and Zeeman interactions, ordered, complex or chaotic behaviours are found in the temporal variation of the array magnetisation. ¬© 2002 Elsevier Science B.V. All rights reserved.</t>
  </si>
  <si>
    <t>230-235</t>
  </si>
  <si>
    <t>Physica B: Condensed Matter</t>
  </si>
  <si>
    <t>60027282-60027551;60006424</t>
  </si>
  <si>
    <t>22964865000;7401539793</t>
  </si>
  <si>
    <t>Vel√°zquez, J.;V√°zquez, M.</t>
  </si>
  <si>
    <t>Las Rozas;Madrid;Madrid</t>
  </si>
  <si>
    <t>Universidad Complutense de Madrid Instituto de Magnetismo Aplicado;Universidad Complutense de Madrid;CSIC - Instituto de Ciencia de Materiales de Madrid (ICMM)</t>
  </si>
  <si>
    <t>60027551;60027282;60006424</t>
  </si>
  <si>
    <t>Vel√°zquez J.</t>
  </si>
  <si>
    <t>An analysis of interacting bistable magnetic microwires: From ordered to chaotic behaviours</t>
  </si>
  <si>
    <t>S0921452602006890</t>
  </si>
  <si>
    <t>10.1016/S0921-4526(02)00689-0</t>
  </si>
  <si>
    <t>2-s2.0-0036646677</t>
  </si>
  <si>
    <t>['high rf', 'free space', 'dual band', 'developed using', 'coupling method', '8 ghz']</t>
  </si>
  <si>
    <t>Coplanar stripline filter | CPS low-pass filter | Dual-frequency rectenna | Microwave power transmission | Rectenna | Wireless power transmission</t>
  </si>
  <si>
    <t>A dual-frequency printed dipole rectenna has been developed for the wireless power transmission at 2.45- and 5.8-Ghz (industrial-scientific-medical bands). For operating at dual band, a new uniplanar printed dipole antenna is developed using a coupling method. A GaAs Schottky barrier diode analysis is performed, and a proper device requirement is discussed to have high RF-to-dc conversion efficiencies at both frequencies. A novel coplanar stripline (CPS) low-pass filter integrated with two additional open-ended T-strip CPS bandstop filters effectively block higher order harmonics generated from the diode. The measured conversion efficiencies achieved at free space are 84.4 and 82.7% at 2.45 and 5.8 GHz, respectively.</t>
  </si>
  <si>
    <t>1784-1789</t>
  </si>
  <si>
    <t>55423889100;7404879378</t>
  </si>
  <si>
    <t>Suh, Young Ho;Chang, Kai</t>
  </si>
  <si>
    <t>Suh Y.</t>
  </si>
  <si>
    <t>A high-efficiency dual-frequency rectenna for 2.45- and 5.8-GHz wireless power transmission</t>
  </si>
  <si>
    <t>10.1109/TMTT.2002.800430</t>
  </si>
  <si>
    <t>2-s2.0-0036646791</t>
  </si>
  <si>
    <t>['work presented', 'theory presented', 'theoretical approach', 'theoretical analysis', 'signal bandwidth', 'primary goal', 'parameters associated', 'paper presents', 'optic frequency', 'first time', 'fdpc acousto']</t>
  </si>
  <si>
    <t>Optical heterodyne | Phased array antennas | True-time delay</t>
  </si>
  <si>
    <t>This paper presents a theoretical analysis of the application of the acousto-optic frequency-dependent phase compensated (AO-FDPC) optical heterodyne technique for microwave time delay applications and phased array beamsteering. A primary goal of the paper is to resolve open questions that have been associated with this interesting and highly referenced technique. The work presented here quantifies, for the first time, the fundamental time delay performance bounds of this technique in terms of the parameters associated with the AO-FDPC acousto-optic (AO) cell and the signal bandwidth. The theory presented in this paper is used to interpret previously reported experimental results that have been subject to debate. Much of the theoretical approach is general and may, therefore, be modified to address the design of new FDPC approaches. Finally, the wide-band beamsteering performance that can be achieved with this technique is quantified in terms of the AO cell parameters and phased array specifications.</t>
  </si>
  <si>
    <t>1832-1843</t>
  </si>
  <si>
    <t>60000251-60009465</t>
  </si>
  <si>
    <t>Jemison, William D.</t>
  </si>
  <si>
    <t>Easton;New York</t>
  </si>
  <si>
    <t>Lafayette College;IEEE</t>
  </si>
  <si>
    <t>60009465;60000251</t>
  </si>
  <si>
    <t>Jemison W.</t>
  </si>
  <si>
    <t>Analysis of the AO-FDPC optical heterodyne technique for microwave time delay and phased array beamsteering applications</t>
  </si>
  <si>
    <t>10.1109/TMTT.2002.800446</t>
  </si>
  <si>
    <t>2-s2.0-0036646804</t>
  </si>
  <si>
    <t>GR/M8865</t>
  </si>
  <si>
    <t>['transmit function', 'transmission mode', 'sidelobe suppressor', 'passive array', 'new modes', 'different types', 'broadcast mode', 'also demonstrated']</t>
  </si>
  <si>
    <t>Adaptive antenna | Radar crosssection | Retrodirective array | Self-tracking array</t>
  </si>
  <si>
    <t>In this paper, an active Pon type retrodirective array (RDA) is augmented with a passive array in order to provide electronic modification of the transmit function of the combination in response to the influence of an external interrogating signal. By the use of a single phase shifter and level setting control, it will be shown that different types of broadcast mode can be initiated. The first of these is the self-tracking capability normally associated with a Pon heterodyne RDA. Broadside radiation production associated with a conventional in-phase fed passive array operating in transmission mode is also demonstrated. Additionally, new modes of operation which include the use of the configuration are described: 1) as a radiation nulling device; 2) its use as a sidelobe suppressor; and 3) as a beamwidth control device.</t>
  </si>
  <si>
    <t>1772-1778</t>
  </si>
  <si>
    <t>60000251-60029738;60029738</t>
  </si>
  <si>
    <t>7102894931;7004398421</t>
  </si>
  <si>
    <t>Fusco, Vincent F.;Toh, Bee Yen</t>
  </si>
  <si>
    <t>Retrodirective array augmentation for electronic RCS modification</t>
  </si>
  <si>
    <t>10.1109/TMTT.2002.800428</t>
  </si>
  <si>
    <t>2-s2.0-0036646971</t>
  </si>
  <si>
    <t>['¬± 0', 'wider acceptance', 'water boll', 'underlying tissue', 'superficial tissue', 'statistical analysis', 'sar distributions', 'radiometric capabilities', 'radiation therapy', 'microwave hyperthermia', 'microstrip antenna', 'larger multi', 'inversion algorithm', 'human tissue', 'homogeneous heating', 'heating process', 'heated volume', 'ghz range', 'effort describes', 'cm depth', 'body radiation', 'aperture perimeter', '5 cm', '200 realizations']</t>
  </si>
  <si>
    <t>Archimedean spiral | Hyperthermia | Microwave applicator | Noninvasive temperature monitoring | PCB antenna | Radiometry | Superficial heating</t>
  </si>
  <si>
    <t>In the treatment of cancer, microwave hyperthermia has been established as an efficient adjunctive procedure to radiation therapy and chemotherapy. Wider acceptance of this method awaits schemes to measure volumetric temperatures noninvasively in human tissue for control of the heating process. This effort describes the design and performance of a new microstrip applicator intended for homogeneous heating of superficial tissue while at the same time monitoring temperature of the underlying tissue by noninvasive radiometric sensing of black-body radiation from the heated volume. Radiometric capabilities are assessed in terms of accuracy of up to six measured brightness temperatures applied in an inversion algorithm from which one-dimensional depth temperature profiles are generated. Based on radiometric signals recorded over the 1-4-GHz range, the temperature accuracy determined from statistical analysis of 200 realizations of the process is better than ¬±0.2 ¬∞C to a depth of 5 cm in phantom. Aperture heating uniformity is assessed with electric field scans in a homogeneous muscle phantom. As long as sufficiently thin (&lt; 5 mm) water boll are used, SAR distributions at 1-cm depth in phantom extends effectively just outside the aperture perimeter, making this microstrip antenna an excellent building block element of larger multi-antenna array applicators.</t>
  </si>
  <si>
    <t>1737-1746</t>
  </si>
  <si>
    <t>60021255;60000251-60023691</t>
  </si>
  <si>
    <t>Jacobsen, Svein;Stauffer, Paul R.</t>
  </si>
  <si>
    <t>San Francisco;Tromso;New York</t>
  </si>
  <si>
    <t>University of California, San Francisco;UiT The Arctic University of Norway;IEEE</t>
  </si>
  <si>
    <t>60023691;60021255;60000251</t>
  </si>
  <si>
    <t>Multifrequency radiometric determination of temperature profiles in a lossy homogeneous phantom using a dual-mode antenna with integral water bolus</t>
  </si>
  <si>
    <t>10.1109/TMTT.2002.800424</t>
  </si>
  <si>
    <t>2-s2.0-0036647018</t>
  </si>
  <si>
    <t>['small room', 'receiver locations', 'program uses', 'one side', 'many reflections', 'long corridor', 'images needed', 'image tree', 'go_3d program', 'floor plan', 'data structure']</t>
  </si>
  <si>
    <t>This paper presents program GO_3D for computing the fields of a transmitter in an indoor environment using geometrical optics. The program uses an "image tree" data structure to construct the images needed to compute all the rays carrying fields above a preset "threshold" value, no matter how many reflections are needed. The paper briefly describes the input file required to define wall construction, the floor plan, the transmitter, and the receiver locations. A case study consisting of a long corridor with a small room on one side is used to demonstrate the features of the GO_3D program.</t>
  </si>
  <si>
    <t>134-144</t>
  </si>
  <si>
    <t>Applied Computational Electromagnetics Society Journal</t>
  </si>
  <si>
    <t>Trueman, Christopher W.</t>
  </si>
  <si>
    <t>Concordia University</t>
  </si>
  <si>
    <t>Trueman C.</t>
  </si>
  <si>
    <t>Three-dimensional geometrical optics code for indoor propagation</t>
  </si>
  <si>
    <t>2-s2.0-0036647581</t>
  </si>
  <si>
    <t>['two values', 'rectangular shape', 'radio communication', 'graphically drawn', 'cutoff frequency', 'attenuation constant', '300 mhz', '30 mhz', '2 mho']</t>
  </si>
  <si>
    <t>A study of radio communication in the underground metro tunnel of the city of Cairo, Egypt was carried out. A part of this tunnel was selected, which has a rectangular shape. Its dimensions are 8.85 m wide, 5.9 m height and 4.5 km long. The walls are made of concrete which have conductivity between 10-1-10-2 mho/m. The attenuation below and above the cutoff frequency, both for the two values of œÉ are accounted for and graphically drawn. The results, plotted versus selected frequencies ranging between 30-300 MHz, show the attenuation for TEmn and TMmn (m, n = 0.1) modes. It is found that the attenuation constant for 30 MHz is smaller than that for 300 MHz.</t>
  </si>
  <si>
    <t>170-175</t>
  </si>
  <si>
    <t>Propagation of electromagnetic waves in a rectangular tunnel</t>
  </si>
  <si>
    <t>2-s2.0-0036647582</t>
  </si>
  <si>
    <t>['theoretical analyses', 'system output', 'simply updating', 'proposed system', 'mainly based', 'hearing devices', 'forming scheme', 'endfire orientation', 'also given', 'adaptive null', 'adaptive combination']</t>
  </si>
  <si>
    <t>Adaptive signal processing | Array signal processing | Beamforming | Hearing aids | Microphones | Noise reduction | Speech enhancement</t>
  </si>
  <si>
    <t>We propose an effective adaptive null-forming scheme for two nearby microphones in endfire orientation that are used in digital hearing aids and in many other hearing devices. This adaptive null-forming scheme is mainly based on an adaptive combination of two fixed polar patterns that act to make the null of the combined polar pattern of the system output always be toward the direction of the noise. The adaptive combination of these two fixed polar patterns is accomplished by simply updating an adaptive gain following the output of the first polar pattern unit. The value of this gain is updated by minimizing the power of the system output, and related adaptive algorithms to update this gain are also given in this paper. We have implemented this proposed system on the basis of a programmable DSP chip and performed various tests. Theoretical analyses and testing results demonstrated the effectiveness of the proposed system and the accuracy of its implementation.</t>
  </si>
  <si>
    <t>1583-1590</t>
  </si>
  <si>
    <t>60000251-112886817-60094929;60000251-112886817-60074941;112886817-100523493;60000251-60027561</t>
  </si>
  <si>
    <t>7201909970;55719617800;6701499728;35238156300</t>
  </si>
  <si>
    <t>Luo, Fa Long;Yang, Jun;Pavlovic, Chaslav;Nehorai, Arye</t>
  </si>
  <si>
    <t>San Jose;Cupertino;Chicago;New York;Redwood City;Palo Alto</t>
  </si>
  <si>
    <t>QuickSilver Technology, Inc.;Fortemedia, Inc;University of Illinois at Chicago;IEEE;GN ReSound Corporation;Sound ID</t>
  </si>
  <si>
    <t>60094929;60074941;60027561;60000251;112886817;100523493</t>
  </si>
  <si>
    <t>Luo F.L.</t>
  </si>
  <si>
    <t>Adaptive null-forming scheme in digital hearing aids</t>
  </si>
  <si>
    <t>S1053587X02056349</t>
  </si>
  <si>
    <t>10.1109/TSP.2002.1011199</t>
  </si>
  <si>
    <t>2-s2.0-0036647649</t>
  </si>
  <si>
    <t>['slot feed', 'revolution finite', 'reactive power', 'radiation properties', 'proposed method', 'planar feed', 'numerical method', 'model described', 'memory efficient', 'magnetic currents', 'full three', 'efficient body', 'difference time', 'azimuthal modes', 'applied efficiently', 'adequately model']</t>
  </si>
  <si>
    <t>BOR-FDTD | Fourier transform | Integrated lens antennas</t>
  </si>
  <si>
    <t>An efficient body of revolution finite-difference time-domain (BOR-FDTD) method for the analysis of radiation properties of integrated lens antennas is presented in this paper. By neglecting most of the reactive power of the planar feed and by expanding the filtered source currents into azimuthal modes, lenses with both rotationally and nonrotationally symmetric planar feeds can be handled. It appears that three to four azimuthal modes are sufficient to adequately model the magnetic currents of a double-slot feed. Therefore, compared to a full three-dimensional (3-D) numerical method, the implementation of the proposed method is very time and memory efficient. If only the radiation properties are required, the model described here can also be applied efficiently to other axially symmetric geometries with an asymmetric feeding structure.</t>
  </si>
  <si>
    <t>258-260</t>
  </si>
  <si>
    <t>60000251-60031159;60000251-60031159</t>
  </si>
  <si>
    <t>6602076882;7003592642</t>
  </si>
  <si>
    <t>Van Der Vorst, Maarten J.M.;De Maagt, Peter J.I.</t>
  </si>
  <si>
    <t>Netherlands;United States</t>
  </si>
  <si>
    <t>Noordwijk aan Zee;New York</t>
  </si>
  <si>
    <t>ESTEC - European Space Research and Technology Centre;IEEE</t>
  </si>
  <si>
    <t>60031159;60000251</t>
  </si>
  <si>
    <t>Van Der Vorst M.</t>
  </si>
  <si>
    <t>Efficient body of revolution finite-difference time-domain modeling of integrated lens antennas</t>
  </si>
  <si>
    <t>10.1109/LMWC.2002.801138</t>
  </si>
  <si>
    <t>2-s2.0-0036647808</t>
  </si>
  <si>
    <t>['waveguiding direction', 'waveguide cross', 'transversely layered', 'transverse resonances', 'technique uses', 'surface waves', 'rapid development', 'liouville problem', 'electric green', 'efficient technique', 'based aperture']</t>
  </si>
  <si>
    <t>Dyadic Green's functions | Integral equations | Method of moments | Patch | Slot arrays | Surface waves | Waveguide transition</t>
  </si>
  <si>
    <t>An efficient technique for the rapid development of electric Green's dyadics of a transversely layered, terminated rectangular waveguide is presented with application to waveguide-based aperture-coupled patch arrays. This technique uses a partial eigenfunction expansion resulting in a Sturm-Liouville problem for one-dimensional characteristic Green's functions in the waveguiding direction. In this representation, the one-dimensional characteristic Green's functions provide physical insight into resonance and surface wave effects occurring in overmoded layered waveguide transitions. Particularly, this is related to the correlation between transverse resonances in the waveguide cross-section and surface waves associated with a grounded dielectric slab waveguide. This is demonstrated for the examples of aperture-coupled patch arrays in the N-port waveguide transition, although the analysis is applicable to other waveguide-based antenna structures, which allow for the propagation of surface waves.</t>
  </si>
  <si>
    <t>123-133</t>
  </si>
  <si>
    <t>57208090295;7006042748;6602086170;7006858788;7103146832</t>
  </si>
  <si>
    <t>Yakovlev, Alexander B.;Ortiz, Sean;Ozkar, Mete;Mortazawi, Amir;Steer, Michael B.</t>
  </si>
  <si>
    <t>Electric dyadic green's functions for modeling resonance and coupling effects in waveguide-based aperture-coupled patch arrays</t>
  </si>
  <si>
    <t>2-s2.0-0036647849</t>
  </si>
  <si>
    <t>['wide array', 'simulation results', 'resolution process', 'periodic fss', 'paper presents', 'numerical modeling', 'new approach', 'metallic patches', 'considerably speeding', 'combined use', 'analytical method']</t>
  </si>
  <si>
    <t>Antenna arrays | Conjugate gradient FFT technique | Frequency selective surfaces | Method of lines | Multilayered structures</t>
  </si>
  <si>
    <t>This paper presents an implementation of the Method of Lines, a semi-analytical method, for the numerical modeling of radiating stratified periodic structures composed of dielectric layers interspersed with metallic patches and slots. Beam scanning antenna arrays and frequency selective surfaces (FSS) are among possible applications. The combined use of the Modified Biconjugate Gradient Squared method with Stabilization, an iterative resolution method, together with the Fast Fourier Transform allows for the analysis of a wide array of problems using uniform, high discretization density by considerably speeding up the resolution process and drastically reducing memory requirements. Periodic FSS and slot coupled patch array antennas were simulated. A comparison of simulation results with available literature allows validation of the new approach.</t>
  </si>
  <si>
    <t>145-157</t>
  </si>
  <si>
    <t>56043199600;7005722345</t>
  </si>
  <si>
    <t>Choini√®re, √âric;Laurin, Jean Jacques</t>
  </si>
  <si>
    <t>Choini√®re E.</t>
  </si>
  <si>
    <t>Modeling of planar multilayered periodic arrays using the method of lines</t>
  </si>
  <si>
    <t>2-s2.0-0036647850</t>
  </si>
  <si>
    <t>A43443</t>
  </si>
  <si>
    <t>['slow frequency', 'single antenna', 'receiver performance', 'rao bounds', 'presence indicators', 'partial time', 'numerical study', 'intermittent jammer', 'general setup', 'e .,', 'deleterious effects', 'conventional methods', 'considered deterministic', 'consider using']</t>
  </si>
  <si>
    <t>Cram√©r-Rao bounds | Direction-of-arrival estimation | Frequency hopping | Partial-band interference</t>
  </si>
  <si>
    <t>We consider the problem of estimating the direction of arrival (DOA) of a source in the presence of an intermittent jammer, i.e., a jammer that corrupts the signal of interest from time to time. This situation is encountered in slow frequency-hopped spread spectrum systems with partial time or partial band jamming. It has deleterious effects on the receiver performance, at least when a single antenna is used. In this paper, we consider using an array of sensors to mitigate the effects of such an interference. The influence of the latter on the signal and jammer DOA estimates is studied. A general setup is introduced, and two different models are derived, depending on whether the jammer's presence indicators are considered deterministic or random. In both cases, the Cram√©r-Rao bounds (CRBs) are derived, and a numerical study of the CRB provides insights into the influence of the jammer's parameters. Additionally, it is shown that conventional methods such as ESPRIT can provide fairly accurate DOA estimates for this type of interference.</t>
  </si>
  <si>
    <t>1554-1564</t>
  </si>
  <si>
    <t>60000251-60016234;60000251-60003858;60000251-60016234</t>
  </si>
  <si>
    <t>7006002322;36040796700;23027669800</t>
  </si>
  <si>
    <t>Besson, Olivier;Stoica, Petre;Kamiya, Yukihiro</t>
  </si>
  <si>
    <t>France;Sweden;United States</t>
  </si>
  <si>
    <t>Toulouse;Uppsala;New York</t>
  </si>
  <si>
    <t>ISAE - SUPAERO;Uppsala Universitet;IEEE</t>
  </si>
  <si>
    <t>60016234;60003858;60000251</t>
  </si>
  <si>
    <t>Besson O.</t>
  </si>
  <si>
    <t>Direction finding in the presence of an intermittent interference</t>
  </si>
  <si>
    <t>S1053587X02056441</t>
  </si>
  <si>
    <t>10.1109/TSP.2002.1011196</t>
  </si>
  <si>
    <t>2-s2.0-0036647867</t>
  </si>
  <si>
    <t>['two situations', 'transmitting antennas', 'transmit antennas', 'time codes', 'three types', 'theoretical findings', 'sizeable loss', 'simulations validate', 'receiver interfaces', 'numbers grow', 'number r', 'nonasymptotic regime', 'noise ratios', 'much larger', 'ml interface', 'linear zero', 'linear minimum', 'linear interfaces', 'intermediate signal', 'euclidean distances', 'euclidean distance', 'error probabilities', 'asymptotic performance', 'asymptotic behavior']</t>
  </si>
  <si>
    <t>Coding | Fading channels | Multiple antennas | Space-time codes</t>
  </si>
  <si>
    <t>We study the asymptotic behavior of space-time codes when the number of transmit and receive antennas grows to infinity. Specifically, we determine the behavior of pairwise error probabilities with maximum-likelihood (ML) decoding and with three types of receiver interfaces: the ML interface, the linear zero-forcing (ZF) interface, and the linear minimum-mean-square-error (MMSE) interface. Two situations are studied: when the number of receiving antennas grows to infinity while the number of transmitting antennas is finite, and when both numbers grow to infinity but their ratio remains constant. We show that with ML or linear interfaces the asymptotic performance of space-time codes is determined by the Euclidean distances between codewords. Moreover, with the two linear interfaces examined here the number r of receive antennas must be much larger than the number t of transmit antennas to avoid a sizeable loss of performance; on the other hand, when r ‚â´ t, the performance of these linear interfaces comes close to that of ML. The dependence of error probabilities on Euclidean distance is valid for intermediate signal-to-noise ratios (SNRs) even when the number of antennas is small. Simulations validate our theoretical findings, and show how asymptotic results may be substantially valid even in a nonasymptotic regime: thus, even for few antennas, off-the-shelf codes may outperform space-time codes designed ad hoc.</t>
  </si>
  <si>
    <t>1794-1803</t>
  </si>
  <si>
    <t>60000251-60012162;60000251-60012162;60000251-60004300</t>
  </si>
  <si>
    <t>Turin;Benevento;New York</t>
  </si>
  <si>
    <t>Politecnico di Torino;Universit√† degli Studi del Sannio;IEEE</t>
  </si>
  <si>
    <t>60012162;60004300;60000251</t>
  </si>
  <si>
    <t>Performance of space-time codes for a large number of antennas</t>
  </si>
  <si>
    <t>S0018944802051714</t>
  </si>
  <si>
    <t>10.1109/TIT.2002.1013126</t>
  </si>
  <si>
    <t>2-s2.0-0036648802</t>
  </si>
  <si>
    <t>['vanishing number', 'total energy', 'stieltjes transform', 'model introduced', 'linear vector', 'implicit equation', 'factors grows', 'explicit expression', 'effect cumulates', 'covarianee matrix', 'certain class', 'asymptotic regime']</t>
  </si>
  <si>
    <t>Antenna arrays | Catalan numbers | Channel models | Fading channels | Multiplicative free convolution | Random matrices | S-transform | Stieltjes transform</t>
  </si>
  <si>
    <t>The linear vector-valued channel x ‚Üí ‚àè n M nx + z with z and M n denoting additive white Gaussian noise and independent random matrices, respectively, is analyzed in the asymptotic regime as the dimensions of the matrices and vectors involved become large. The asymptotic eigenvalue distribution of the channel's covarianee matrix is given in terms of an implicit equation for its Stieltjes transform as well as an explicit expression for its moments. Additionally, almost all eigenvalues are shown to converge toward zero as the number of factors grows over all bounds. This effect cumulates the total energy in a vanishing number of dimensions. The channel model addressed generalizes the model introduced in [1] for communication via large antenna arrays to N-fold scattering per propagation path. As a byproduct, the multiplicative free convolution is shown to extend to a certain class of asymptotically large non-Gaussian random covariance matrices.</t>
  </si>
  <si>
    <t>2086-2091</t>
  </si>
  <si>
    <t>60000251-60009854</t>
  </si>
  <si>
    <t>M√ºller, Ralf R.</t>
  </si>
  <si>
    <t>Austria;United States</t>
  </si>
  <si>
    <t>Vienna;New York</t>
  </si>
  <si>
    <t>Forschungszentrum Telekommunikation Wien;IEEE</t>
  </si>
  <si>
    <t>60009854;60000251</t>
  </si>
  <si>
    <t>M√ºller R.</t>
  </si>
  <si>
    <t>On the asymptotic eigenvalue distribution of concatenated vector-valued fading channels</t>
  </si>
  <si>
    <t>S001894480205335X</t>
  </si>
  <si>
    <t>10.1109/TIT.2002.1013149</t>
  </si>
  <si>
    <t>2-s2.0-0036648889</t>
  </si>
  <si>
    <t>['time codes', 'simple decoding', 'proposed subspace', 'linear dispersion', 'combining processing', 'cdma system', 'blind subspace']</t>
  </si>
  <si>
    <t>Group-blind | Multiuser detection | Space-time block coding | Sphere decoding | Subspace</t>
  </si>
  <si>
    <t>Among many proposed space-time codes, the linear dispersion (LD) space-time codes possess many coding advantages and retain a simple decoding at the same time. In this letter, an LD decoder combined with a blind subspace-based multiuser detector (MUD) is studied in the downlink of a DS-CDMA system. To further improve the performance, a subspace-based sphere decoding algorithm is proposed. At last, a decimation-combining processing is applied to the proposed subspace-based blind decoders to reduce the complexity with only slight performance loss.</t>
  </si>
  <si>
    <t>60013791;60000251-60013791</t>
  </si>
  <si>
    <t>7410110922;7003413616</t>
  </si>
  <si>
    <t>Liu, Jianhan;H√∏st-Madsen, Anders</t>
  </si>
  <si>
    <t>Blind decoders for linear dispersion codes in downlink DS-CDMA systems</t>
  </si>
  <si>
    <t>10.1109/LCOMM.2002.801323</t>
  </si>
  <si>
    <t>2-s2.0-0036649038</t>
  </si>
  <si>
    <t>['yet v', 'wide range', 'transmit antennas', 'time codes', 'theoretic optimality', 'special cases', 'spatial coding', 'snrs ).', 'simple encoding', 'simple decoding', 'received signals', 'receive antennas', 'real time', 'poor performance', 'noise ratios', 'mutual information', 'mobile handsets', 'many antennas', 'linear structure', 'linear combinations', 'independent substream', 'good performance', 'give examples', 'generally superior', 'especially important', 'deep fades', 'decoding simplicity', 'codes retain', 'codes generally', 'blast suffers', 'blast ),', 'antenna systems']</t>
  </si>
  <si>
    <t>Bell Labs Layered Space-Time (BLAST) | Fading channels | Multiple antennas | Receive diversity | Space-time codes | Transmit diversity | Wireless communications</t>
  </si>
  <si>
    <t>Multiple-antenna systems that operate at high rates require simple yet effective space-time transmission schemes to handle the large traffic volume in real time. At rates of tens of bits per second per hertz, Vertical Bell Labs Layered Space-Time (V-BLAST), where every antenna transmits its own independent substream of data, has been shown to have good performance and simple encoding and decoding. Yet V-BLAST suffers from its inability to work with fewer receive antennas than transmit antennas-this deficiency is especially important for modern celluar systems, where a base station typically has more antennas than the mobile handsets. Furthermore, because V-BLAST transmits independent data streams on its antennas there is no built-in spatial coding to guard against deep fades from any given transmit antenna. On the other hand, there are many previously proposed space-time codes that have good fading resistance and simple decoding, but these codes generally have poor performance at high data rates or with many antennas. We propose a high-rate coding scheme that can handle any configuration of transmit and receive antennas and that subsumes both V-BLAST and many proposed space-time block codes as special cases. The scheme transmits substreams of data in linear combinations over space and time. The codes are designed to optimize the mutual information between the transmitted and received signals. Because of their linear structure, the codes retain the decoding simplicity of V-BLAST, and because of their information-theoretic optimality, they possess many coding advantages. We give examples of the codes and show that their performance is generally superior to earlier proposed methods over a wide range of rates and signal-to-noise ratios (SNRs).</t>
  </si>
  <si>
    <t>1804-1824</t>
  </si>
  <si>
    <t>High-rate codes that are linear in space and time</t>
  </si>
  <si>
    <t>S0018944802051970</t>
  </si>
  <si>
    <t>10.1109/TIT.2002.1013127</t>
  </si>
  <si>
    <t>2-s2.0-0036649525</t>
  </si>
  <si>
    <t>North Atlantic Treaty Organization</t>
  </si>
  <si>
    <t>LST.CLG 975955</t>
  </si>
  <si>
    <t>NATO</t>
  </si>
  <si>
    <t>['œîœ ±)', 'synechococcus elongatus', 'suggest similar', 'states originate', 'stark spectra', 'stark response', 'stark effect', 'spirulina platensis', 'significantly change', 'rights reserved', 'results reveal', 'results confirm', 'reduced p700', 'pcc 6803', 'oxidized p700', 'monomeric chlorophyll', 'core complexes', 'chlorophylls responsible', 'c740 chlorophylls', 'c708 chlorophylls', 'almost identical', '693 nm', '690 nm', '1 ).']</t>
  </si>
  <si>
    <t>Exciton interaction | Photosystem I | Red chlorophyll | Spirulina platensis | Stark spectroscopy | Synechococcus elongatus | Synechocystis PCC 6803</t>
  </si>
  <si>
    <t>We have probed the absorption changes due to an externally applied electric field (Stark effect) of Photosystem I (PSI) core complexes from the cyanobacteria Synechocystis sp. PCC 6803, Synechococcus elongatus and Spirulina platensis. The results reveal that the so-called C719 chlorophylls in S. elongatus and S. platensis are characterized by very large polarizability differences between the ground and electronically excited states (with Tr(ŒîŒ±) values up to about 1000 √Ö3 f-2) and by moderately high change in permanent dipole moments (with average ŒîŒº values between 2 and 3 D f-1). The C740 chlorophylls in S. platensis and, in particular, the C708 chlorophylls in all three species give rise to smaller Stark shifts, which are, however, still significantly larger than those found before for monomeric chlorophyll. The results confirm the hypothesis that these states originate from strongly coupled chlorophyll a molecules. The absorption and Stark spectra of the Œ≤-carotene molecules are almost identical in all complexes and suggest similar or slightly higher values for Tr(ŒîŒ±) and ŒîŒº than for those of Œ≤-carotene in solution. Oxidation of P700 did not significantly change the Stark response of the carotenes and the red antenna states C719 and C740, but revealed in all PSI complexes changes around 700-705 and 690-693 nm, which we attribute to the change in permanent dipole moments of reduced P700 and the chlorophylls responsible for the strong absorption band at 690 nm with oxidized P700, respectively. ¬© 2002 Elsevier Science B.V. All rights reserved.</t>
  </si>
  <si>
    <t>180-191</t>
  </si>
  <si>
    <t>60008734;60008734;60008734;60008734;60005322;60005322;60096201;60011604;60008734;60008734</t>
  </si>
  <si>
    <t>6701652518;36803740900;56614537200;7006261095;6701913675;7003290055;7004405778;57207893208;35599806700;7202457418</t>
  </si>
  <si>
    <t>Frese, Raoul N.;Palacios, Miguel A.;Azzizi, Aissa;Van Stokkum, Ivo H.M.;Kruip, Jochen;R√∂gner, Matthias;Karapetyan, Navassard V.;Schlodder, Eberhard;Van Grondelle, Rienk;Dekker, Jan P.</t>
  </si>
  <si>
    <t>Russian Federation;Germany;Netherlands;Germany</t>
  </si>
  <si>
    <t>Moscow;Berlin;Amsterdam;Bochum</t>
  </si>
  <si>
    <t>Bach Institute of Biochemistry;Technical University of Berlin;Vrije Universiteit Amsterdam;Ruhr-Universitat Bochum</t>
  </si>
  <si>
    <t>60096201;60011604;60008734;60005322</t>
  </si>
  <si>
    <t>Frese R.</t>
  </si>
  <si>
    <t>Electric field effects on red chlorophylls, Œ≤-carotenes and P700 in cyanobacterial Photosystem I complexes</t>
  </si>
  <si>
    <t>S0005272802002426</t>
  </si>
  <si>
    <t>10.1016/S0005-2728(02)00242-6</t>
  </si>
  <si>
    <t>2-s2.0-0036649545</t>
  </si>
  <si>
    <t>['tropospheric attenuation', 'telecommunication services', 'system availability', 'study analyses', 'spatially distributed', 'seriously affect', 'reflector antenna', 'quality requirements', 'optimized according', 'make use', 'feeds driven', 'excitation coefficients', 'european centre', 'dynamically assigning', 'covered region', 'continuously modified', 'board power', 'based system', 'atmospheric precipitation', '20 ghz']</t>
  </si>
  <si>
    <t>Atmospheric precipitation can seriously affect the propagation of centimeter and millimeter electromagnetic waves. As a consequence, in some applications, it is necessary to make use of a fade countermeasure technique in order to satisfy the system availability and quality requirements. This study analyses the performance of a satellite-based system in geo-stationary orbit operating at 20 GHz, dynamically assigning the antenna directivity pattern to counteract tropospheric attenuation. The on-board power is spatially distributed over the covered region to minimize, at any time, the number of users undergoing outage because of the tropospheric attenuation. Both the aspects of broadcasting and telecommunication services are addressed. The reflector antenna of the system is supposed to be illuminated by a cluster of feeds driven by a set of excitation coefficients, continuously modified and optimized according to the meteorological information derived by processing METEOSAT satellite data and ECMWF (European Centre for Medium-Range Weather Forecasts) data. Copyright ¬© 2002 John Wiley &amp; Sons, Ltd.</t>
  </si>
  <si>
    <t>283-291</t>
  </si>
  <si>
    <t>60023256;60023256;100997633;60031159;60023256</t>
  </si>
  <si>
    <t>7006221170;7003739192;57213953743;8693261000;7101832980</t>
  </si>
  <si>
    <t>Paraboni, A.;Capsoni, C.;Masini, G.;Baptista, J. P.V.Poiares;Riva, C.</t>
  </si>
  <si>
    <t>Netherlands;Italy;Italy</t>
  </si>
  <si>
    <t>Noordwijk aan Zee;Milan;</t>
  </si>
  <si>
    <t>ESTEC - European Space Research and Technology Centre;Politecnico di Milano;Ericsson Lab Italy S.p.A.</t>
  </si>
  <si>
    <t>60031159;60023256;100997633</t>
  </si>
  <si>
    <t>Paraboni A.</t>
  </si>
  <si>
    <t>Dynamic fade restoration in Ka-band satellite systems</t>
  </si>
  <si>
    <t>10.1002/sat.725</t>
  </si>
  <si>
    <t>2-s2.0-0036650134</t>
  </si>
  <si>
    <t>['viable solution', 'user terminals', 'system capacity', 'simulation results', 'severe requirements', 'satellite systems', 'satellite segment', 'satellite components', 'previously published', 'paper presents', 'multisatellite constellations', 'link availability', 'limiting factors', 'leo configuration', 'instantaneous analysis', 'impairments due', 'full integration', 'domain simulations', 'cost terminals', 'channel interference', 'cdma access']</t>
  </si>
  <si>
    <t>Third generation communication systems will be characterized by full integration between terrestrial and satellite components. To this aim, global coverage along with not severe requirements for user terminals are mandatory for the satellite segment and the use of constellations of satellites in low or medium Earth orbits (LEO or MEO) seems to be a viable solution. Those satellite systems will adopt multibeam antennas to achieve high spectral efficiency and low-cost terminals. Thus, interference becomes one of the most limiting factors in terms of both link availability and capacity. The paper presents a more complete interference model than previously published in literature. The identification of the interfering users set has been introduced and all the factors impacting interference generation or isolation have been considered in case of both FDMA and CDMA access. This model is suitable for instantaneous analysis of multisatellite constellations. It has been implemented and time-domain simulations have been performed to evaluate the impairments due to co-channel interference for different access techniques for LEO configuration. Simulation results on interference and users spatial distribution, on trade-offs between interference and system capacity will be presented. Finally, the main interference mitigation techniques will be listed and discussed. Copyright ¬© 2002 John Wiley &amp; Sons, Ltd.</t>
  </si>
  <si>
    <t>261-281</t>
  </si>
  <si>
    <t>7003459349;7003570928</t>
  </si>
  <si>
    <t>Loreti, Pierpaolo;Luglio, Michele</t>
  </si>
  <si>
    <t>Loreti P.</t>
  </si>
  <si>
    <t>Interference evaluations and simulations for multisatellite multibeam systems</t>
  </si>
  <si>
    <t>10.1002/sat.724</t>
  </si>
  <si>
    <t>2-s2.0-0036650448</t>
  </si>
  <si>
    <t>['receiving antenna', 'planar aperture', 'noise immunity', 'interperiodica ".', 'different types', 'considerably affect', 'antenna efficiency']</t>
  </si>
  <si>
    <t>Expressions are obtained for determining the noise immunity of a receiving antenna with a planar aperture under the action of different types of inhomogeneous acoustic fields. The inhomogeneity of these fields is shown to considerably affect the noise immunity of the antenna, which should be taken into account in estimating the antenna efficiency. ¬© 2002 MAIK "Nauka/Interperiodica".</t>
  </si>
  <si>
    <t>467-472</t>
  </si>
  <si>
    <t>Romanov, V. N.</t>
  </si>
  <si>
    <t>Saint Petersburg</t>
  </si>
  <si>
    <t>Krylov State Research Centre</t>
  </si>
  <si>
    <t>Romanov V.</t>
  </si>
  <si>
    <t>Effect of inhomogeneous acoustic fields on the noise immunity of a planar receiving antenna</t>
  </si>
  <si>
    <t>10.1134/1.1494027</t>
  </si>
  <si>
    <t>2-s2.0-0036651015</t>
  </si>
  <si>
    <t>['used practically', 'technology trend', 'security fields', 'security field', 'safe storehouse', 'recent years', 'really portable', 'paper introduces', 'information ,"', 'important components', 'ic cards', 'ic card', 'gradually reaching', 'general view', 'general market', 'also thought', 'also starting']</t>
  </si>
  <si>
    <t>Contact type | Contact-less type | EMV | IC card | Java‚Ä† card | MULTOS | NICSS | PC/SC | PKI | Smart card</t>
  </si>
  <si>
    <t>In recent years, the systems applying Smart Cards or IC Cards are gradually reaching the stage of genuine practical use. In this paper, the expression "IC Card" is used for "Smart Card." An IC Card is, in short, "a really portable and safe storehouse for information," and it is also thought to be one of the most important components in security fields. The IC Cards are also starting to be used practically and broadly in other fields than the security field. This paper introduces a general market and a technology trend of the IC Cards, and gives a general view of examples of their applications in the security field.</t>
  </si>
  <si>
    <t>0547051X</t>
  </si>
  <si>
    <t>NEC Research and Development</t>
  </si>
  <si>
    <t>Kosugi, Satoshi</t>
  </si>
  <si>
    <t>Kosugi S.</t>
  </si>
  <si>
    <t>Trend of smart card (IC card) in security fields in Japan</t>
  </si>
  <si>
    <t>2-s2.0-0036655949</t>
  </si>
  <si>
    <t>['prf sets', 'paper presents', 'novel method', 'major advance', 'generated quickly', 'fully automatic', 'far faster', 'exhaustive searches', 'exhaustive search', 'evolutionary approach', 'evolutionary algorithms', 'doppler space', 'doppler radars', 'blind areas']</t>
  </si>
  <si>
    <t>This paper presents a new and novel method of selecting multiple pulse repetition frequency (PRF) sets for use in medium PRF pulsed-Doppler radars. Evolutionary algorithms are used to minimise the blind areas in the range/Doppler space. The evolutionary algorithm allows optimal solutions to be generated quickly, far faster than with exhaustive searches, and is fully automatic, unlike existing techniques. The evolved solutions compare very favorably against the results of both an exhaustive search and existing published PRF set selection methods. This evolutionary approach to generation of PRF sets is a major advance in medium PRF radar design.</t>
  </si>
  <si>
    <t>933-939</t>
  </si>
  <si>
    <t>60009658;60009658</t>
  </si>
  <si>
    <t>7403895515;7203072676</t>
  </si>
  <si>
    <t>Davies, Philip G.;Hughes, Evan J.</t>
  </si>
  <si>
    <t>Swindon</t>
  </si>
  <si>
    <t>Defence College of Management and Technology</t>
  </si>
  <si>
    <t>Davies P.</t>
  </si>
  <si>
    <t>Medium PRF set selection using evolutionary algorithms</t>
  </si>
  <si>
    <t>10.1109/TAES.2002.1039409</t>
  </si>
  <si>
    <t>2-s2.0-0036662624</t>
  </si>
  <si>
    <t>['target fluctuation', 'special cases', 'slb employs', 'slb design', 'sidelobe blanking', 'radar systems', 'probability expressions', 'performance results', 'main antenna', 'integrated pulses', 'graphically illustrated', 'gamma distribution', 'either marcum', 'arbitrary number']</t>
  </si>
  <si>
    <t>In radar systems, sidelobe blanking (SLB) is used to mitigate impulsive interference that enters the radar through sidelobes of the main antenna. SLB employs an auxiliary antenna channel with the output being compared with that of the main antenna channel and a decision is then made as to whether or not to blank the main channel output. SLB performance determination involves the evaluation of several probability functions. Based on the classical Maisel SLB architecture, this work extends previous performance results, in which detection was limited to the case of a single radar pulse with either Marcum or Swerling I target fluctuation. Probability expressions have been generalized to include both an arbitrary number of integrated pulses and target fluctuation models based on the gamma distribution. The Swerling fluctuation models are all special cases of the gamma distribution. Results are derived in terms of two generalized probability functions, one for detection and the other for blanking. With these generalized probability functions, the SLB design and performance results can be determined. Examples are presented and discussed. Performance results of typical SLB systems are obtained and graphically illustrated.</t>
  </si>
  <si>
    <t>1023-1037</t>
  </si>
  <si>
    <t>100416169;60005304</t>
  </si>
  <si>
    <t>6603762907;56796665800</t>
  </si>
  <si>
    <t>Shnidman, David A.;Toumodge, Shawn S.</t>
  </si>
  <si>
    <t>Waltham;Lexington</t>
  </si>
  <si>
    <t>Raytheon;RADET Consulting</t>
  </si>
  <si>
    <t>60005304;100416169</t>
  </si>
  <si>
    <t>Shnidman D.</t>
  </si>
  <si>
    <t>Sidelobe blanking with integration and target fluctuation</t>
  </si>
  <si>
    <t>10.1109/TAES.2002.1039418</t>
  </si>
  <si>
    <t>2-s2.0-0036662712</t>
  </si>
  <si>
    <t>['vital role', 'vhf radar', 'thermal stratification', 'simultaneous observations', 'showery precipitation', 'rain cells', 'primarily responsible', 'precipitation event', 'northeast direction', 'good agreement', 'frontal structure', 'drift velocity', 'composite analysis', 'analysis suggests', '5 mm']</t>
  </si>
  <si>
    <t>Precipitation | Raindrop size distribution | Terminal velocity | Turbulence | Vertical velocity</t>
  </si>
  <si>
    <t>In this paper, Chung-Li VHF radar returns from hydrometeors and reflectivity fluctuations associated with "showery" precipitating cloud systems are studied in detail. The space antenna drift method is applied to three rain gauges in the vicinity of the radar to obtain the drift velocity of the rain cells during the passage of the precipitation cloud systems. The drift velocity of the rain cells is found to be 13.4 m/s and moving in the southwest to northeast direction, and these results are in good agreement with the simultaneous observations of the horizontal wind velocity observed with the radar. VHF radar can see the frontal structure so clearly because of its sensitivity to thermal stratification in the atmosphere. A composite analysis of the turbulence and precipitation echo intensity and vertical air velocity indicates that the vertical air velocity plays a vital role for the occurrence of showery precipitation. The mean raindrop diameters are estimated from the air motion adjusted Doppler velocities resolved by the radar. Observational results show that the mean raindrop sizes of 0.5-3.5 mm are primarily responsible for the showery precipitation. The ambient air motions and turbulent broadening effects are discussed before and during the passage of the precipitation event. The analysis suggests that the beam-broadening effect needs to be considered if the information of the drop size distribution is to be estimated from the observed Doppler spectral width.</t>
  </si>
  <si>
    <t>100416597;60024666;60024666</t>
  </si>
  <si>
    <t>56264494100;36502634400;7403051123</t>
  </si>
  <si>
    <t>Reddy, K. Krishna;Shun-Peng, Shih;Chu, Yen Hsyang</t>
  </si>
  <si>
    <t>Taiwan;Japan</t>
  </si>
  <si>
    <t>Taoyuan;Yokohama</t>
  </si>
  <si>
    <t>National Central University;Frontier Observational Res. S.G.C.</t>
  </si>
  <si>
    <t>60024666;100416597</t>
  </si>
  <si>
    <t>Reddy K.</t>
  </si>
  <si>
    <t>Study of a precipitating cloud system using Chung-Li VHF radar</t>
  </si>
  <si>
    <t>2-s2.0-0036663862</t>
  </si>
  <si>
    <t>['two states', 'reconfigurable antenna', 'radar systems', 'novel concept', 'difference time']</t>
  </si>
  <si>
    <t>FDTD method | Millimeter-wave | Patch antenna | Reconfigurable antenna</t>
  </si>
  <si>
    <t>Reconfigurable antenna is a novel concept of antenna. A novel reconfigurable millimeter-wave patch antenna is proposed and simulated by the finite-difference time-domain (FDTD) method. The simulation results demonstrate that the antenna can operate in two states and shift the operation frequency band between 22.8-30.8GHz and 28.7-37.3GHz as the state is changed. This antenna is useful for millimeter-wave wireless communication and radar systems.</t>
  </si>
  <si>
    <t>1091-1099</t>
  </si>
  <si>
    <t>60005465;60005465;100804578</t>
  </si>
  <si>
    <t>7402022616;8945567500;55658055598</t>
  </si>
  <si>
    <t>Xiao, Shaoqiu;Wang, Bing Zhong;Wang, Gaofeng</t>
  </si>
  <si>
    <t>Chengdu;Cupertino</t>
  </si>
  <si>
    <t>University of Electronic Science and Technology of China;Intpaxk Inc.</t>
  </si>
  <si>
    <t>60005465;100804578</t>
  </si>
  <si>
    <t>Xiao S.</t>
  </si>
  <si>
    <t>Design of reconfigurable millimeter-wave patch antenna</t>
  </si>
  <si>
    <t>10.1023/A:1019639521548</t>
  </si>
  <si>
    <t>2-s2.0-0042035374</t>
  </si>
  <si>
    <t>['separated state', 'phthalocyanine derivative', 'opposite direction', 'ground state', 'donor states', 'carotenoid s1', 'axial ligands', 'also observed']</t>
  </si>
  <si>
    <t>Two carotenoid pigments have been linked as axial ligands to the central silicon atom of a phthalocyanine derivative, forming molecular triad 1. Laser flash studies on the femtosecond and picosecond time scales show that both the carotenoid S1 and S2 excited states act as donor states in 1, resulting in highly efficient singlet energy transfer from the carotenoids to the phthalocyanine. Triplet energy transfer in the opposite direction was also observed. In polar solvents efficient electron transfer from a carotenoid to the phthalocyanine excited singlet state yields a charge-separated state that recombines to the ground state of 1.</t>
  </si>
  <si>
    <t>116-121</t>
  </si>
  <si>
    <t>60003892;60003892;60003892;60031040;60031040;60003892;60003892-60010065;60003892</t>
  </si>
  <si>
    <t>6506288356;7101602281;6603864095;7101638460;7004029175;26643239600;7403336040;35598466200</t>
  </si>
  <si>
    <t>Mari√±o-Ochoa, Ernesto;Palacios, Rodrigo;Kodis, Gerdenis;Macpherson, Alisdair N.;Gillbro, Tomas;Gust, Devens;Moore, Thomas A.;Moore, Ana L.</t>
  </si>
  <si>
    <t>Sweden;United States;United States</t>
  </si>
  <si>
    <t>Umea;Tucson;Tempe</t>
  </si>
  <si>
    <t>Ume√• Universitet;The University of Arizona;Arizona State University</t>
  </si>
  <si>
    <t>60031040;60010065;60003892</t>
  </si>
  <si>
    <t>Mari√±o-Ochoa E.</t>
  </si>
  <si>
    <t>High-efficiency energy transfer from carotenoids to a phthalocyanine in an artificial photosynthetic antenna</t>
  </si>
  <si>
    <t>10.1562/0031-8655(2002)076&lt;0116:HEETFC&gt;2.0.CO;2</t>
  </si>
  <si>
    <t>2-s2.0-0242587715</t>
  </si>
  <si>
    <t>['standardized doses', 'small differences', 'qualitative differences', 'neither nymphs', 'ms ),', 'metathoracic glands', 'mass spectrometry', 'male bugs', 'major components', 'hexyl butyrate', 'hexenyl butyrate', 'headspace extracts', 'gas chromatography', 'field bioassays', 'female antennae', 'electroantennographic detection', 'either sex', 'ead ).', 'bug extracts', 'antennal responses', 'aeration extracts', 'adult bugs', '17 compounds']</t>
  </si>
  <si>
    <t>Attractant | E2-hexenyl butyrate | Hexyl butyrate | Metathoracic gland | Pheromone</t>
  </si>
  <si>
    <t>Volatile chemicals released by live virgin female and male Lygus hesperus were analyzed by gas chromatography (GC), coupled GC-mass spectrometry (GC/MS), and GC-electroantennographic detection (GC-EAD). In total, 17 compounds were identified in headspace extracts and extracts of metathoracic glands, with hexyl butyrate and (E)-2-hexenyl butyrate being the major components. No qualitative differences between female and male bugs were found. Quantitatively, females produced larger amounts of compounds than did males. There were also no qualitative differences in the antennal responses of female and male bugs to bug extracts, and only small differences in the responses of male and female antennae to standardized doses of compounds from extracts in electroantennogram (EAG) analyses. In field bioassays, neither nymphs nor adult bugs of either sex were attracted to any of the 120 possible binary combinations of 16 of the 17 compounds identified in the aeration extracts.</t>
  </si>
  <si>
    <t>311-319</t>
  </si>
  <si>
    <t>1810522X</t>
  </si>
  <si>
    <t>Zoological Studies</t>
  </si>
  <si>
    <t>60029526-60016969;60029526</t>
  </si>
  <si>
    <t>7401465237;7203077089</t>
  </si>
  <si>
    <t>Ho, Hsiao Yung;Millar, Jocelyn G.</t>
  </si>
  <si>
    <t>United States;Taiwan</t>
  </si>
  <si>
    <t>Riverside;Nankang</t>
  </si>
  <si>
    <t>University of California, Riverside;Academia Sinica Taiwan</t>
  </si>
  <si>
    <t>60029526;60016969</t>
  </si>
  <si>
    <t>Ho H.</t>
  </si>
  <si>
    <t>Identification, electroantennogram screening, and field bioassays of volatile chemicals from Lygus hesperus knight (Heteroptera: Miridae)</t>
  </si>
  <si>
    <t>2-s2.0-10644282408</t>
  </si>
  <si>
    <t>['submillimeter waves', 'short millimeter', 'promising technique', 'network model', 'generated holograms', 'frequency range', 'equivalent network', 'element quasi', 'design computer', '3 %.']</t>
  </si>
  <si>
    <t>Holography | Horn antennas | Quasi-optical power combining | Submillimeter-wave circuits | Vector near-field measurement</t>
  </si>
  <si>
    <t>Holography is a promising technique for power combining applications in the frequency range of short millimeter and submillimeter waves. In this paper, quasi-optical holographic power combining circuits are investigated. An equivalent network is utilized which rigorously models horn arrays and biperiodic dielectric structures in order to design computer-generated holograms. We apply the network model to a 5-element quasi-optical power combiner and demonstrate its capability. The hologram is designed for 150GHz and has an efficiency of 92.5% with a 90% bandwidth of 5.3%. With the aid of a broadband waveguide power divider and a vector field measurement system, the circuit is analyzed.</t>
  </si>
  <si>
    <t>1127-1146</t>
  </si>
  <si>
    <t>60010338;60000765;60010338</t>
  </si>
  <si>
    <t>6602611131;6602506175;35588175000</t>
  </si>
  <si>
    <t>H√∂ft, Michael;Weinzierl, Jochen;Judaschke, Rolf</t>
  </si>
  <si>
    <t>Hamburg;Erlangen</t>
  </si>
  <si>
    <t>Hamburg University of Technology;Friedrich-Alexander-Universit√§t Erlangen-N√ºrnberg</t>
  </si>
  <si>
    <t>60010338;60000765</t>
  </si>
  <si>
    <t>H√∂ft M.</t>
  </si>
  <si>
    <t>Broadband analysis of holographic power combining circuits</t>
  </si>
  <si>
    <t>10.1023/A:1019647723366</t>
  </si>
  <si>
    <t>2-s2.0-11144357772</t>
  </si>
  <si>
    <t>['wave omni', 'useful guidelines', 'tm01 mode', 'thereby suggested', 'radiation characteristics', 'present analysis', 'new millimeter', 'leakage constant', 'eigenvalue problem', 'different parameters', 'dielectric shell']</t>
  </si>
  <si>
    <t>A new millimeter-wave omni-directional antenna consisting of circular rod corrugations gloved with a dielectric shell operating in the TM01 mode is investigated. As an eigenvalue problem, the antenna is analyzed with the rigorous mode matching method. The radiation characteristics of the antenna are calculated for different parameters with a particular attention directed to the Brewster angle effect on the performances of the antenna. A comparison of the radiation characteristics is made between the antennas with and without dielectric shell. It is found that the introduction of the dielectric shell will change the location where the leakage constant a reduced to zero. The effectiveness and reliability of the present analysis are verified by the calculated results given in the literature. Therefore, some useful guidelines for the design of the antenna are thereby suggested.</t>
  </si>
  <si>
    <t>1079-1089</t>
  </si>
  <si>
    <t>Brewster angle effect on performances of a new millimeter wave omni-directional antenna gloved with a dielectric shell</t>
  </si>
  <si>
    <t>10.1023/A:1019687404710</t>
  </si>
  <si>
    <t>2-s2.0-1942486922</t>
  </si>
  <si>
    <t>['operation tests', 'like beams', 'cavity designed', 'calculated results']</t>
  </si>
  <si>
    <t>Emission pattern | High purity mode | Liquid-helium free superconducting magnet | Submillimeter wave gyrotron</t>
  </si>
  <si>
    <t>Operation tests of a cavity designed for high purity mode operation of the submillimeter wave gyrotron FU VA has been carried out successfully. The observed emission patterns of several cavity modes appear very pure and are compared with calculated results. High purity mode operation has the advantage of making the conversion to Gaussian-like beams more efficient.</t>
  </si>
  <si>
    <t>973-980</t>
  </si>
  <si>
    <t>60010848;60010848;60010848;60010848;60010848;60015815;60027314</t>
  </si>
  <si>
    <t>10242269300;55664722000;57225844113;6504713756;35453028300;7401981885;7101686861</t>
  </si>
  <si>
    <t>Idehara, T.;Ogawa, I.;Maeda, S.;Pavlichendko, R.;Mitsudo, S.;Wagner, D.;Thumm, M.</t>
  </si>
  <si>
    <t>Germany;Germany;Japan</t>
  </si>
  <si>
    <t>Eggenstein-Leopoldshafen;Stuttgart;Fukui</t>
  </si>
  <si>
    <t>Karlsruhe Institute of Technology, Campus North;Universit√§t Stuttgart;University of Fukui</t>
  </si>
  <si>
    <t>60027314;60015815;60010848</t>
  </si>
  <si>
    <t>Idehara T.</t>
  </si>
  <si>
    <t>Observation of mode patterns for high purity mode operation in the submillimeter wave gyrotron FU VA</t>
  </si>
  <si>
    <t>10.1023/A:1019666800167</t>
  </si>
  <si>
    <t>2-s2.0-1942487204</t>
  </si>
  <si>
    <t>Schmidt, Victor</t>
  </si>
  <si>
    <t>Schmidt V.</t>
  </si>
  <si>
    <t>Geoscience</t>
  </si>
  <si>
    <t>2-s2.0-34548303685</t>
  </si>
  <si>
    <t>['solved simultaneously', 'phase distribution', 'numerically minimizing', 'nonlinear functional', 'monopulse channels', 'mathematical model', 'deep nulls', 'aperture shared']</t>
  </si>
  <si>
    <t>The problem of phase-only synthesis of deep nulls in all channels of a monopulse antenna array is solved simultaneously. The phase distribution over the aperture shared by all the monopulse channels is found by numerically minimizing a nonlinear functional. The method is illustrated by a mathematical model.</t>
  </si>
  <si>
    <t>754-757</t>
  </si>
  <si>
    <t>Khzmalyan, A. D.</t>
  </si>
  <si>
    <t>Khzmalyan A.D.</t>
  </si>
  <si>
    <t>Phase-only nulling in the pattern of a monopulse antenna array</t>
  </si>
  <si>
    <t>2-s2.0-9144259548</t>
  </si>
  <si>
    <t>['zeolite channels', 'top ).', 'stopcock fluorophores', 'see scheme', 'reverse process', 'molecules inside', 'bottom ),']</t>
  </si>
  <si>
    <t>Donor-acceptor systems | Dyes/pigments | Fluorescence | Supramolecular chemistry | Zeolites</t>
  </si>
  <si>
    <t>Stopcock fluorophores at the ends of zeolite L channels can trap electronic excitation energy from pyronine+ molecules inside the crystal (see scheme, top). The reverse process, that is, the injection of electronic excitation energy through such stopcocks (bottom), was achieved with oxonine+ molecules inside the zeolite channels.</t>
  </si>
  <si>
    <t>2284-2288</t>
  </si>
  <si>
    <t>60020486;60020486</t>
  </si>
  <si>
    <t>15072946300;7006817889</t>
  </si>
  <si>
    <t>Maas, Huub;Calzaferri, Gion</t>
  </si>
  <si>
    <t>Bern</t>
  </si>
  <si>
    <t>University of Bern</t>
  </si>
  <si>
    <t>Maas H.</t>
  </si>
  <si>
    <t>Trapping energy from and injecting energy into dye-zeolite nanoantennae</t>
  </si>
  <si>
    <t>10.1002/1521-3773(20020703)41:13&lt;2284::AID-ANIE2284&gt;3.0.CO;2-5</t>
  </si>
  <si>
    <t>2-s2.0-0037007871</t>
  </si>
  <si>
    <t>['setosella mulsant', 'recorded also', 'new species', 'male genitalia', 'female genitalia', 'european species', 'dorcatoma chrysomelina', 'described based', 'chrysomelina sturm']</t>
  </si>
  <si>
    <t>A new species of the genus Dorcatoma Herbst (Coleoptera: Anobiidae) is described based on material from Latvia and Sweden, and recorded also for Poland. Dorcatoma janssoni n. sp. is very close in appearance to D. chrysomelina Sturm, but male genitalia and biology are different. Antennae and male and female genitalia are figured, and the biology of the new species is described. Dorcatoma ambjoerni Baranowski is removed from the synonymy of D. setosella Mulsant &amp; Rey. A key is provided for the European species of the Dorcatoma chrysomelina-group.</t>
  </si>
  <si>
    <t>Entomologica Fennica</t>
  </si>
  <si>
    <t>7801343143;7005986491</t>
  </si>
  <si>
    <t>B√ºche, Boris;Lundberg, Stig</t>
  </si>
  <si>
    <t>B√ºche B.</t>
  </si>
  <si>
    <t>A new species of deathwatch beetle (Coleoptera: Anobiidae) discovered in Europe</t>
  </si>
  <si>
    <t>10.33338/ef.84139</t>
  </si>
  <si>
    <t>2-s2.0-0037014811</t>
  </si>
  <si>
    <t>['polarised electric', 'multipath propagation', 'magnetic dipoles', 'good agreement', 'described demonstrating']</t>
  </si>
  <si>
    <t>Experiments are described demonstrating the ability to realise independent information channels using co-located, co-polarised electric and magnetic dipoles in the presence of multipath propagation. The calculated information capacity is in good agreement with a random matrix channel model.</t>
  </si>
  <si>
    <t>746-747</t>
  </si>
  <si>
    <t>60027950;60027950;60027950;60027950;60027950;60027950</t>
  </si>
  <si>
    <t>7006018680;7005264058;7004258258;6603893483;57207503866;57214161200</t>
  </si>
  <si>
    <t>Stancil, D. D.;Berson, A.;Van't Hof, J. P.;Negi, R.;Sheth, S.;Patel, P.</t>
  </si>
  <si>
    <t>Pittsburgh</t>
  </si>
  <si>
    <t>Carnegie Mellon University</t>
  </si>
  <si>
    <t>Stancil D.</t>
  </si>
  <si>
    <t>Doubling wireless channel capacity using co-polarised, co-located electric and magnetic dipoles</t>
  </si>
  <si>
    <t>10.1049/el:20020442</t>
  </si>
  <si>
    <t>2-s2.0-0037019195</t>
  </si>
  <si>
    <t>['shorting patches', 'shorted patch', 'planar rings', 'physical size', 'negative effects', 'negative effect', 'constant need', 'common practice', 'antenna performance']</t>
  </si>
  <si>
    <t>There is a constant need to reduce the size of antennas without affecting their performance. The method of shorting patches to reduce the physical size of antennas is a common practice. The use of finite ground planes with these types of antennas can have a negative effect on their performance. Here, the introduction of non-planar rings in conjunction with a shorted patch to minimise the negative effects of the finite ground plane resulting in an overall antenna size reduction and an improvement in antenna performance is proposed.</t>
  </si>
  <si>
    <t>60026338;60026338</t>
  </si>
  <si>
    <t>7402535759;35566584200</t>
  </si>
  <si>
    <t>Collins, S.;Antar, Y. M.M.</t>
  </si>
  <si>
    <t>Royal Military College of Canada</t>
  </si>
  <si>
    <t>Collins S.</t>
  </si>
  <si>
    <t>Antenna size reduction using non-planar rings</t>
  </si>
  <si>
    <t>10.1049/el:20020452</t>
  </si>
  <si>
    <t>2-s2.0-0037019197</t>
  </si>
  <si>
    <t>['using short', 'recent interest', 'pulse radar', 'power densities', 'lossy clutter', 'frequency bands', 'dispersive materials', 'detect targets', 'analytical results', 'analysis presented']</t>
  </si>
  <si>
    <t>There has been recent interest in using short-pulse radar to detect targets in lossy clutter. The analysis presented here shows that the energy and peak-power densities of pulses decay exponentially with depth in homogeneous, lossy, dispersive materials, provided the frequency bands of the pulses are separated from DC. Many numerical examples verify the analytical results.</t>
  </si>
  <si>
    <t>679-680</t>
  </si>
  <si>
    <t>Roberts, T. M.</t>
  </si>
  <si>
    <t>Roberts T.</t>
  </si>
  <si>
    <t>Radiated pulses decay exponentially in materials in the far fields of antennas</t>
  </si>
  <si>
    <t>10.1049/el:20020482</t>
  </si>
  <si>
    <t>2-s2.0-0037019203</t>
  </si>
  <si>
    <t>['shaped antenna', 'microstrip h', 'microstrip feed', 'measured results', 'em analysis', 'diffraction method', 'accurate investigation']</t>
  </si>
  <si>
    <t>An accurate investigation of a microstrip H-shaped antenna is presented, coupled by means of an aperture or via-hole to a microstrip feed-line. The EM analysis is performed by means of the hybrid transmission line matrix-integral equation method. The calculated S-parameters are compared to measured results and to those obtained by the generalised transverse resonance-diffraction method.</t>
  </si>
  <si>
    <t>676-677</t>
  </si>
  <si>
    <t>60031624;60031624;60031624</t>
  </si>
  <si>
    <t>7004705662;35926494800;56253019800</t>
  </si>
  <si>
    <t>Pierantoni, L.;Farina, M.;Rozzi, T.</t>
  </si>
  <si>
    <t>Ancona</t>
  </si>
  <si>
    <t>Universit√† Politecnica delle Marche</t>
  </si>
  <si>
    <t>Pierantoni L.</t>
  </si>
  <si>
    <t>Accurate analysis of H-shaped antenna coupled to microstrip feed-line</t>
  </si>
  <si>
    <t>10.1049/el:20020470</t>
  </si>
  <si>
    <t>2-s2.0-0037019205</t>
  </si>
  <si>
    <t>['uplink carrier', 'modulated space', 'interference ratio', 'gaussian inter', 'cell interference']</t>
  </si>
  <si>
    <t>The cumulative distribution function (CDF) of the uplink carrier-to-interference ratio (C/I) of an interference-limited cellular radio network is presented. Based on this an on the assumptions of Gaussian inter-cell interference and flat Rayleigh fading channels, the CDF of the bit error ratio for a QPSK-modulated space/time/code division multiple access system deploying a zero-forcing block linear equaliser with receive antenna diversity is derived.</t>
  </si>
  <si>
    <t>743-744</t>
  </si>
  <si>
    <t>60115295;60115295</t>
  </si>
  <si>
    <t>56634463200;6508268577</t>
  </si>
  <si>
    <t>Walke, C. M.;Oechtering, T. J.</t>
  </si>
  <si>
    <t>Aachen</t>
  </si>
  <si>
    <t>Institut f√ºr Hochfrequenztechnik der RWTH</t>
  </si>
  <si>
    <t>Walke C.</t>
  </si>
  <si>
    <t>Analytical expression for uplink C/I-distribution in interference-limited cellular radio systems</t>
  </si>
  <si>
    <t>10.1049/el:20020497</t>
  </si>
  <si>
    <t>2-s2.0-0037019223</t>
  </si>
  <si>
    <t>['operational bandwidth', 'microwave opt', 'loop antenna', 'fixed e', 'estimated gain', 'circular wire', '5 ¬∞', '24 db', '1 ghz', '1 balun', '042œª0 circumference']</t>
  </si>
  <si>
    <t>Antenna radiation patterns | Antenna theory</t>
  </si>
  <si>
    <t>A circular wire-loop antenna of 1.042Œª0 circumference at 1 GHz with 4:1 balun and stepped wire diameter is presented in this Letter. A fixed E-field beam offset from broadside of -7.5¬∞ is demonstrated with a VSWR of 1.17 at 1 GHz. The antenna has an operational bandwidth of 29% for VSWR &lt; 2 and an estimated gain of 1.24 dB. ¬© 2002 Wiley Periodicals, Inc. Microwave Opt. Technol. Lett.</t>
  </si>
  <si>
    <t>14-15</t>
  </si>
  <si>
    <t>60029738;60029738</t>
  </si>
  <si>
    <t>57196650361;7102894931</t>
  </si>
  <si>
    <t>Scott, H.;Fusco, V. F.</t>
  </si>
  <si>
    <t>Scott H.</t>
  </si>
  <si>
    <t>Circular wire loop antenna with stepped wire diameter</t>
  </si>
  <si>
    <t>10.1002/mop.10358</t>
  </si>
  <si>
    <t>2-s2.0-0037025011</t>
  </si>
  <si>
    <t>['urban environment', 'standard deviation', 'normalized amplitude', 'model parameters', 'microwave opt', 'measurement data', 'mean direction', 'incoming signals', 'incoming signal', 'incoming doa', 'good agreement', 'generated based', 'gaussian angle', 'different locations', 'arrival model']</t>
  </si>
  <si>
    <t>Direction-of-arrival statistics | Gaussian angle-of-arrival model</t>
  </si>
  <si>
    <t>The statistics of direction of arrival (DOA) in an urban environment are generated based on measurement and ray tracing simulation. The angular power distributions at different locations of the city are fit into the Gaussian angle-of-arrival model. The following four quantities are then extracted as model parameters: The number of incoming DOA, the normalized amplitude of each incoming signal, the mean direction of the incoming signals, and the standard deviation of the incoming signals about the mean direction. It is shown that the statistics of the above four quantities resulting from the simulation are in good agreement with those from the measurement data. ¬© 2002 Wiley Periodicals, Inc. Microwave Opt. Technol. Lett.</t>
  </si>
  <si>
    <t>60013372;60013372;60010346</t>
  </si>
  <si>
    <t>36671957900;7202062608;6603050168</t>
  </si>
  <si>
    <t>Su, Tao;Ling, Hao;Foltz, Heinrich</t>
  </si>
  <si>
    <t>Austin;Edinburg</t>
  </si>
  <si>
    <t>The University of Texas at Austin;University of Texas-Pan American</t>
  </si>
  <si>
    <t>60013372;60010346</t>
  </si>
  <si>
    <t>Direction-of-arrival statistics of urban propagation channel at 1.9 GHz based on measurement and ray tracing</t>
  </si>
  <si>
    <t>10.1002/mop.10364</t>
  </si>
  <si>
    <t>2-s2.0-0037025013</t>
  </si>
  <si>
    <t>['source impedance', 'rcs measurements', 'radiation patterns', 'polarized source', 'microwave opt', 'experimental results', 'elementary dual', 'completely analyzed', 'anechoic chamber']</t>
  </si>
  <si>
    <t>Full-wave array analysis | Parallel computing in moment method | RCS measurements | Wideband dual-polarized source and array</t>
  </si>
  <si>
    <t>A dual-polarized array operating in the 250-500-MHz frequency range is analyzed and realized for RCS measurements in an anechoic chamber. The elementary dual-polarized source is presented, and then the array is completely analyzed with a parallel code solver. A comparison between computed and experimental results is given for the source impedance and radiation patterns of the array. ¬© 2002 Wiley Periodicals, Inc. Microwave Opt. Technol. Lett.</t>
  </si>
  <si>
    <t>68-70</t>
  </si>
  <si>
    <t>60030553;60030553;60029116;60030553-101043826;60030553</t>
  </si>
  <si>
    <t>6602727831;23108391200;57203908624;7202044329;6506018832</t>
  </si>
  <si>
    <t>Poey, P.;Azevedo, D.;Begaud, X.;Daniel, J. P.;Le Ray, G.</t>
  </si>
  <si>
    <t>Rennes;Palaiseau;</t>
  </si>
  <si>
    <t>Universite de Rennes 1;T√©l√©com Paris;Antennes Process</t>
  </si>
  <si>
    <t>60030553;60029116;101043826</t>
  </si>
  <si>
    <t>Poey P.</t>
  </si>
  <si>
    <t>Global analysis and realization of a wideband array (250-500 MHz) for RCS measurements in an anechoic chamber</t>
  </si>
  <si>
    <t>10.1002/mop.10375</t>
  </si>
  <si>
    <t>2-s2.0-0037025017</t>
  </si>
  <si>
    <t>['type ones', 'thereby maintaining', 'similarity properties', 'proposed antennas', 'microwave opt', 'koch patches', 'koch patch', 'fractal shaped', 'fractal geometry', 'filling properties', 'experimental results', 'conventional euclidean']</t>
  </si>
  <si>
    <t>Fractal antenna | Koch island patch | Microstrip patch | Small-sized antenna | Space filling</t>
  </si>
  <si>
    <t>In this Letter, a new Koch island microstrip patch antenna is proposed. The Koch patch is fractal shaped and characterized by space-filling and self-similarity properties. Due to the space-filling properties of fractal geometry, the proposed antennas are a smaller in size than conventional Euclidean-type ones. The characteristics of Koch patches are demonstrated by experimental results: when the fractal iteration factor is 2.5, then the patch is 45% smaller in size than a conventional square patch, thereby maintaining a radiation pattern comparable to that of a normal square patch. ¬© 2002 Wiley Periodicals, Inc. Microwave Opt. Technol. Lett.</t>
  </si>
  <si>
    <t>56281201200;55921743900;7601569193</t>
  </si>
  <si>
    <t>Kim, Il Kwon;Yook, Jong Gwan;Park, Han Kyu</t>
  </si>
  <si>
    <t>Kim I.</t>
  </si>
  <si>
    <t>Fractal-shape small size microstrip patch antenna</t>
  </si>
  <si>
    <t>10.1002/mop.10359</t>
  </si>
  <si>
    <t>2-s2.0-0037025021</t>
  </si>
  <si>
    <t>['reverberation chamber', 'microwave opt', 'greatly improved', 'diversity gain', 'cellular phones', 'absolute measure']</t>
  </si>
  <si>
    <t>Antenna effective diversity gain | Antenna measurements | Reverberation chamber</t>
  </si>
  <si>
    <t>The performance of cellular phones and other mobile or wireless terminals operating in multipath propagation environment can be greatly improved by introducing different diversity schemes. The improvement is characterized in terms of a diversity gain. An effective diversity gain is defined here. This is an absolute measure of diversity gain and can therefore be used to compare different diversity antennas. The Letter also shows how the effective diversity gain can be measured in a reverberation chamber. Measured effective diversity gains agree much better with theoretical diversity gains than measured values published previously. ¬© 2002 Wiley Periodicals, Inc. Microwave Opt. Technol. Lett.</t>
  </si>
  <si>
    <t>60000990;100755790;60003780;60003780</t>
  </si>
  <si>
    <t>7101988263;7006707338;7102897433;48661106100</t>
  </si>
  <si>
    <t>Kildal, Per Simon;Rosengren, Kent;Byun, Joonho;Lee, Juhyung</t>
  </si>
  <si>
    <t>South Korea;Sweden;Sweden</t>
  </si>
  <si>
    <t>Suwon;Gothenburg;</t>
  </si>
  <si>
    <t>Samsung Electronics Co. Ltd.;Chalmers University of Technology;Intenna Technology AB</t>
  </si>
  <si>
    <t>60003780;60000990;100755790</t>
  </si>
  <si>
    <t>Definition of effective diversity gain and how to measure it in a reverberation chamber</t>
  </si>
  <si>
    <t>10.1002/mop.10372</t>
  </si>
  <si>
    <t>2-s2.0-0037025046</t>
  </si>
  <si>
    <t>['proposed antenna', 'one upper', 'one lower', 'novel dual', 'microwave substrate', 'microwave opt', 'ghz bands', 'easily integrated', 'different lengths', 'band operation', 'band f', 'associated circuitry', 'antenna comprises']</t>
  </si>
  <si>
    <t>Antennas | Dual-band antennas | Monopole antennas</t>
  </si>
  <si>
    <t>A novel dual-band F-shaped monopole antenna is proposed. The antenna comprises a vertical metal line and two (one upper and one lower) horizontal metal lines of different lengths, which are used for tuning the antenna's first two resonant frequencies to achieve desired dual-band operation. The proposed antenna is very suitable to be printed on a microwave substrate and can be easily integrated with the associated circuitry on the same substrate. A constructed prototype suitable for wireless LAN applications in the 2.4- and 5.2-GHz bands is demonstrated. ¬© 2002 Wiley Periodicals, Inc. Microwave Opt. Technol. Lett.</t>
  </si>
  <si>
    <t>24-26</t>
  </si>
  <si>
    <t>Integrated F-shaped monopole antenna for 2.4/5.2 GHz dual-band operation</t>
  </si>
  <si>
    <t>10.1002/mop.10362</t>
  </si>
  <si>
    <t>2-s2.0-0037025047</t>
  </si>
  <si>
    <t>['radiation patterns', 'microwave opt', 'letter deals', 'impedance surfaces', 'impedance surface', 'antenna reflectors']</t>
  </si>
  <si>
    <t>Antenna | FDTD | Surface impedance</t>
  </si>
  <si>
    <t>This Letter deals with wire antennas radiating in the vicinity of an impedance surface. The use of impedance surfaces has been suggested, for instance, in the context of antenna reflectors. In this Letter a numerical surface impedance model is introduced. Some radiation patterns are calculated to validate the model. ¬© 2002 Wiley Periodicals, Inc. Microwave Opt. Technol. Lett.</t>
  </si>
  <si>
    <t>38-40</t>
  </si>
  <si>
    <t>7006531950;7005479476</t>
  </si>
  <si>
    <t>K√§rkk√§inen, Mikko;Tretyakov, Sergei</t>
  </si>
  <si>
    <t>K√§rkk√§inen M.</t>
  </si>
  <si>
    <t>2D-FDTD modeling of wire antennas near artificial impedance surfaces</t>
  </si>
  <si>
    <t>10.1002/mop.10366</t>
  </si>
  <si>
    <t>2-s2.0-0037025062</t>
  </si>
  <si>
    <t>['tested results', 'radiation resistance', 'novel method', 'microwave opt', 'good agreement', 'fourth antenna']</t>
  </si>
  <si>
    <t>Artificial neural networks | Radiation resistance | Rectangular microstrip antenna</t>
  </si>
  <si>
    <t>A novel method of using artificial neural networks (ANNS) for the calculation of the radiation resistance of a coax-fed rectangular microstrip antenna is presented in this Letter. The network is trained with the results of three different antennas and tested for the fourth antenna. The tested results are in very good agreement. ¬© 2002 Wiley Periodicals, Inc. Microwave Opt. Technol. Lett.</t>
  </si>
  <si>
    <t>51-53</t>
  </si>
  <si>
    <t>Radiation resistance of coax-fed rectangular microstrip patch antenna with the use of artificial neural networks</t>
  </si>
  <si>
    <t>10.1002/mop.10370</t>
  </si>
  <si>
    <t>2-s2.0-0037025063</t>
  </si>
  <si>
    <t>['return loss', 'results show', 'microwave opt', 'elevation channels', 'compact ku']</t>
  </si>
  <si>
    <t>Antenna | Corrugated horn | Ku band | Mode-matching | Monopulse</t>
  </si>
  <si>
    <t>The design, manufacture, and testing of a compact Ku-band monopulse horn is described, with an emphasis on an effort to maximize the return loss of the sum, azimuth, and elevation channels. The results show that the multimode monopulse horn has the required radiation patterns and acceptable return loss for its narrowband operation requirement. The bandwidth is found to be limited by the difficulty of matching the three channels simultaneously. ¬© 2002 Wiley Periodicals, Inc. Microwave Opt. Technol. Lett.</t>
  </si>
  <si>
    <t>60030000;60030000;60030000</t>
  </si>
  <si>
    <t>56907950600;7003474509;6603191208</t>
  </si>
  <si>
    <t>Zhang, H. Z.;Granet, C.;Sprey, M. A.</t>
  </si>
  <si>
    <t>A compact Ku-band monopulse horn</t>
  </si>
  <si>
    <t>10.1002/mop.10357</t>
  </si>
  <si>
    <t>2-s2.0-0037025077</t>
  </si>
  <si>
    <t>['tonic increase', 'spike frequency', 'significant effect', 'provide information', 'phasic way', 'olfactory environment', 'odour concentration', 'new pulses', 'muscidae ),', 'larger effect', 'giving information', 'different odours', 'background odour', '(¬±)- 1']</t>
  </si>
  <si>
    <t>Housefly control | Musca domestica | Odour sensitivity | Olfaction</t>
  </si>
  <si>
    <t>The presence of background odour was found to have a small but significant effect on the sensitivity of the antennal olfactory system of houseflies, Musca domestica Linnaeus (Diptera: Muscidae), to new pulses of odour. We show that cross-adaptation and cross-sensitization between a background odour of (¬±)-1-octen-3-ol and pulses of (¬±)-1-octen-3-ol, 2-pentanone and R-(+)-limonene can occur, confirming that olfactory receptor cells are sensitive to different odours. Background odour can increase the responses to low concentration odour pulses and decrease the responses to higher concentration odour pulses. It is suggested that background odour has a larger effect on olfactory receptor cells that respond with a tonic increase of spike frequency, giving information about the level of odour concentration, i.e. the 'static' environment. Cells that respond in a phasic way only provide information on the dynamics of the olfactory environment.</t>
  </si>
  <si>
    <t>161-169</t>
  </si>
  <si>
    <t>0269283X</t>
  </si>
  <si>
    <t>Medical and Veterinary Entomology</t>
  </si>
  <si>
    <t>60010023;60010023;60010023</t>
  </si>
  <si>
    <t>6602575928;6504767936;6701818609</t>
  </si>
  <si>
    <t>Kelling, F. J.;Ialenti, F.;Den Otter, C. J.</t>
  </si>
  <si>
    <t>Groningen</t>
  </si>
  <si>
    <t>University of Groningen</t>
  </si>
  <si>
    <t>Kelling F.</t>
  </si>
  <si>
    <t>Background odour induces adaptation and sensitization of olfactory receptors in the antennae of houseflies</t>
  </si>
  <si>
    <t>10.1046/j.1365-2915.2002.00359.x</t>
  </si>
  <si>
    <t>2-s2.0-0036280725</t>
  </si>
  <si>
    <t>R01AI034524</t>
  </si>
  <si>
    <t>['tobacco hornworm', 'surrounding glia', 'signal termination', 'presynaptic neurons', 'olfactory processing', 'neurotransmitter molecules', 'neuropil regions', 'mushroom body', 'manduca sexta', 'major mechanisms', 'little attention', 'lateral protocerebrum', 'lateral connectives', 'insect central', 'insect brain', 'gaba transporter', 'first demonstration', 'expression pattern', 'downstream targets', 'data support', 'certain longitudinal', 'central complex', 'antennal lobes']</t>
  </si>
  <si>
    <t>Inhibitors | Insects | Lepidoptera | Neurotransmitter</t>
  </si>
  <si>
    <t>Œ≥-Aminobutyric acid (GABA) is a major inhibitory neurotransmitter in insect central and peripheral nervous systems. Although much work has focused on the downstream targets of GABA, signal termination at insect GABAergic synapses has received very little attention. One of the major mechanisms of terminating synaptic transmission involves transport of the neurotransmitter molecules into presynaptic neurons or surrounding glia. Here we report the immunolocalization of a GABA transporter in the tobacco hornworm, Manduca sexta (MasGAT), using an affinity-purified antibody developed to the C-terminus. This is the first demonstration of an insect neurotransmitter transporter immunolocalization study. Results showed strong staining in the neuropil regions of embryonic, larval, and pharate adult central nervous system. Expression pattern in the pharate adult brain mostly mimicked that observed for GABA, with staining in parts of the optic and antennal lobes, mushroom body, lateral protocerebrum, and central complex. Certain longitudinal and lateral connectives of ganglia were observed to have immunostained fibers representing axons. These data support the view that GABA is involved in visual and olfactory processing in the insect brain. ¬© 2002 Wiley-Liss, Inc.</t>
  </si>
  <si>
    <t>388-398</t>
  </si>
  <si>
    <t>60029526;60029526</t>
  </si>
  <si>
    <t>6507838253;7202284772</t>
  </si>
  <si>
    <t>Umesh, Anita;Gill, Sarjeet S.</t>
  </si>
  <si>
    <t>Umesh A.</t>
  </si>
  <si>
    <t>Immunocytochemical localization of a Manduca sexta Œ≥-aminobutyric acid transporter</t>
  </si>
  <si>
    <t>10.1002/cne.10271</t>
  </si>
  <si>
    <t>2-s2.0-0037043141</t>
  </si>
  <si>
    <t>PHY-9210038</t>
  </si>
  <si>
    <t>['zero detuning', 'well approximated', 'threshold condition', 'solution shows', 'rights reserved', 'parasitic modes', 'parametric phenomenon', 'equally spaced', 'detuned case', 'certain assumptions', 'arm cavity', 'analytic solutions', 'always damped', 'acoustic interaction']</t>
  </si>
  <si>
    <t>We evaluate the parametric phenomenon for the main optical mode coupled to other resonant waves excited by acoustic interaction with the mirrors of a Fabry-Perot. We apply this to the arm cavity of a gravitational wave antenna. Under certain assumptions we find that the amplitude of these parasitic modes is expressed by analytic solutions that are always damped. We analyze both the zero detuning and the detuned case and solve the equations. The form of the solution shows that for equally spaced and excited cavity modes the instability is expressed by a threshold condition, which is well approximated for LIGO arm resonator parameters. ¬© 2002 Elsevier Science B.V. All rights reserved.</t>
  </si>
  <si>
    <t>326-330</t>
  </si>
  <si>
    <t>60031581;60031581</t>
  </si>
  <si>
    <t>57203867905;7006947408</t>
  </si>
  <si>
    <t>Kells, William;D'Ambrosio, Erika</t>
  </si>
  <si>
    <t>California Institute of Technology</t>
  </si>
  <si>
    <t>Kells W.</t>
  </si>
  <si>
    <t>Considerations on parametric instability in Fabry-Perot interferometer</t>
  </si>
  <si>
    <t>S0375960102006114</t>
  </si>
  <si>
    <t>10.1016/S0375-9601(02)00611-4</t>
  </si>
  <si>
    <t>2-s2.0-0037043281</t>
  </si>
  <si>
    <t>['vertical arrangement', 'tetraphalerus ))', 'techniques shows', 'scales provide', 'ray tomography', 'ray microtomography', 'ray data', 'pulled back', 'probably evolved', 'priacma serrata', 'premental muscle', 'plesiomorphic compared', 'narrow stalk', 'muscular features', 'latter family', 'lateral insertion', 'insect anatomy', 'histological methods', 'groundplan feature', 'external features', 'exposed lifestyle', 'especially muscles', 'enlarged prementum', 'dorsal side', 'dorsal shift', 'differ strongly', 'cupedid genera', 'constricted neck', 'cladistic analysis', 'ascioplaga )))))).', 'apical teeth', 'another autapomorphy', 'advantages like', '(( crowsoniella']</t>
  </si>
  <si>
    <t>Archostemata | Coleoptera | Head | Micro-CT | Phylogeny | Skeletomuscular system | X-ray tomography</t>
  </si>
  <si>
    <t>Internal and external features of the head of Priacma serrata were studied with X-ray microtomography and with histological methods. The comparison of both techniques shows that X-ray tomography is a promising new technique for the investigation of insect anatomy. The still somewhat coarse resolution of the X-ray data is compensated for by advantages like the nondestructive and artifact-free data acquisition. The head of P. serrata and other adults of Archostemata is characterized by many derived features. Muscular features of Priacma, especially muscles of the labium and pharynx, differ strongly from what is found in other groups of Coleoptera. Several character states are considered as autapomorphies of Archostemata: scale-like surface structures, constricted neck, strongly reduced tentorium, and the platelike, enlarged prementum. The scales provide a protecting surface pattern and may have evolved with a more exposed lifestyle. The enlarged prementum forms a lid, which closes the mouth and covers the ligula when it is pulled back by contraction of the unusually strong submento-premental muscle. The presence of four coneshaped protuberances on the dorsal side of the head is considered an autapomorphy of Cupedidae. The galea with a narrow stalk and a round and pubescent distal galeomere is another autapomorphy of this family. It has probably evolved as an adaptation to pollen-feeding. The shape of the mandible of Cupedidae is plesiomorphic compared to what is found in adults of Ommatidae. The vertical arrangement of apical teeth is an autapomorphy of the latter family. The lateral insertion of the antenna in Priacma is a groundplan feature of Cupedidae. The dorsal shift is a synapomorphy of all other cupedid genera. A cladistic analysis of characters of the head and additional data resulted in the following branching pattern: ((Crowsoniella + (Omma + Tetraphalerus)) + (Micromalthus + (Priacma + (Paracupes + (Cupes + Tenomerga + Prolixocupes + Rhipsideigma + Distocupes + (Adinolepis + Ascioplaga)))))). ¬© 2002 Wfiey-Liss, Inc.</t>
  </si>
  <si>
    <t>298-314</t>
  </si>
  <si>
    <t>Journal of Morphology</t>
  </si>
  <si>
    <t>100403513;60029507;105322428</t>
  </si>
  <si>
    <t>6602337938;7003701948;6508341110</t>
  </si>
  <si>
    <t>H√∂rnschemeyer, Thomas;Beutel, Rolf G.;Pasop, Freek</t>
  </si>
  <si>
    <t>Germany;Netherlands;Germany</t>
  </si>
  <si>
    <t>Jena;Breda;Gottingen</t>
  </si>
  <si>
    <t>Friedrich-Schiller-Universit√§t Jena;Thermo Scientific B.V.;Abt. Morphologie and Systematik</t>
  </si>
  <si>
    <t>60029507;105322428;100403513</t>
  </si>
  <si>
    <t>H√∂rnschemeyer T.</t>
  </si>
  <si>
    <t>Head structures of Priacma serrata leconte (Coleptera, Archostemata) inferred from X-ray tomography</t>
  </si>
  <si>
    <t>10.1002/jmor.1107</t>
  </si>
  <si>
    <t>2-s2.0-0036018095</t>
  </si>
  <si>
    <t>['year males', 'total c', 'total 75', 'study movements', 'population size', 'moroccan sites', 'moroccan populations', 'moroccan population', 'march 2001', 'local people', 'land use', 'infrastructural changes', 'important subpopulations', 'highest numbers', 'habitat loss', 'great bustard', 'genetic exchange', 'four first', 'encourage villagers', 'display sites', 'december 1998', 'cease hunting', 'carrying capacity', 'attention given', 'agricultural intensification', '81 ).', '66 females', '65 females', '21 males', '15 males', '111 individuals']</t>
  </si>
  <si>
    <t>The Moroccan population of Great Bustard Otis tarda was surveyed in the four years 1998-2001. Highest numbers were counted in December 1998 (21 males, 62-65 females, four first-year males: total c.90) and March 2001 (15 males, 60-66 females, four first-year males: total 75-81). Combining enquiry results from local people with these data, the population size for spring is estimated at 92-111 individuals, and 117-133 for winter. Reproduction is confirmed. Threats to the population include illegal hunting, habitat loss through agricultural intensification (irrigation, use of pesticides) and infrastructural changes (construction of a motorway and a powerplant), disturbance, and accidents at powerlines and antennas. Several conservation measures are suggested: cease hunting; maximize the attention given to display sites; encourage villagers to carry out "Great Bustard-friendly" land use and adapt animal stocks to the carrying capacity of their regions; clarify the situation of genetic exchange between Spanish and Moroccan populations; study movements between the Moroccan sites; monitor the size and trends of the most important subpopulations; and conduct education campaigns in schools and increase public awareness among adults.</t>
  </si>
  <si>
    <t>19-33</t>
  </si>
  <si>
    <t>Bird Conservation International</t>
  </si>
  <si>
    <t>101893337;</t>
  </si>
  <si>
    <t>6602971680;6506813339</t>
  </si>
  <si>
    <t>Hellmich, Joachim;Idaghdour, Youssef</t>
  </si>
  <si>
    <t>Morocco</t>
  </si>
  <si>
    <t>IFCDW D.E.R.S. (The Desert Ecology Research Station)</t>
  </si>
  <si>
    <t>Hellmich J.</t>
  </si>
  <si>
    <t>The Great Bustard Otis tarda population in Morocco 1998-2001</t>
  </si>
  <si>
    <t>10.1017/S0959270902002022</t>
  </si>
  <si>
    <t>2-s2.0-0036299191</t>
  </si>
  <si>
    <t>['œ ¶', 'worse interaction', 'usual metal', 'tbiii ions', 'tbiii cryptates', 'state energies', 'radiative deactivation', 'pyridine unit', 'pyridine moieties', 'nonradiative deactivation', 'metal ion', 'metal centre', 'luminescent metal', 'luminescence yields', 'gdiii cryptates', 'decay lifetimes', 'cryptate shows', 'complexes sensitized', 'bipyridine chromophore', 'based luminescence', 'aqueous solution', 'also reported', '3 +,', '12 ms']</t>
  </si>
  <si>
    <t>Two macrobicyclic ligands derived from an 18-membered tetralactam ring and 2,2‚Ä≤-bipyridine or 2,6-bis(pyrazol-1-yl)pyridine moieties, 1 and 2, respectively, form stable complexes with GdIII, EuIII, and TbIII ions in aqueous solution. The ligand-based luminescence is retained in the GdIII cryptates, whereas this radiative deactivation is quenched in the EuIII and TbIII cryptates by ligand-to-metal energy transfer, resulting in the usual metal-centered emission spectra. Singlet- and triplet-state energies, emission-decay lifetimes, and luminescence yields were measured. [Tb ‚äÇ 1]3- cryptate shows a long luminescence lifetime (œÑ = 1.12 ms) and a very high metal luminescence quantum yield (Œ¶ = 0.25) in comparison with those reported in the literature for Tb3+ complexes sensitized by a bipyridine chromophore. By comparison to [Ln ‚äÇ 1]3+, [Ln ‚äÇ 2]3+ presents markedly lower luminescence properties, due to worse interaction between the 2,6-bis(pyrazol-1-yl)pyridine unit and the metal ion. Moreover, the luminescent metal and the triplet ligand energy levels of [Eu ‚äÇ 2]3+ do not match. The effects of H2O molecules coordinated to the metal centre and of thermally activated decay processes on nonradiative deactivation to the ground-state are also reported.</t>
  </si>
  <si>
    <t>1613-1625</t>
  </si>
  <si>
    <t>0018019X</t>
  </si>
  <si>
    <t>Helvetica Chimica Acta</t>
  </si>
  <si>
    <t>60027245;60027245;60027245;60027245;60026796;60026796;60026796;60026796</t>
  </si>
  <si>
    <t>6602639599;6603722960;6701398406;7101616870;36940281700;6603399570;7007143509;6701784400</t>
  </si>
  <si>
    <t>Galaup, Chantal;Az√©ma, Jo√´lle;Tisn√®s, Pierre;Picard, Claude;Ramos, Patricia;Juanes, Olga;Brunet, Ernesto;Rodr√≠guez-Ubis, Juan Carlos</t>
  </si>
  <si>
    <t>France;Spain</t>
  </si>
  <si>
    <t>Toulouse;Madrid</t>
  </si>
  <si>
    <t>Universite Paul Sabatier Toulouse III;Universidad Aut√≥noma de Madrid</t>
  </si>
  <si>
    <t>60027245;60026796</t>
  </si>
  <si>
    <t>Galaup C.</t>
  </si>
  <si>
    <t>Luminescence of Eu&lt;sup&gt;3+&lt;/sup&gt; and Tb&lt;sup&gt;3+&lt;/sup&gt; complexes of two macrobicyclic ligands derived from a tetralactam ring and a chromophoric antenna</t>
  </si>
  <si>
    <t>10.1002/1522-2675(200206)85:6&lt;1613::AID-HLCA1613&gt;3.0.CO;2-K</t>
  </si>
  <si>
    <t>2-s2.0-0036289644</t>
  </si>
  <si>
    <t>['vacuum chamber', 'ultraviolet laser', 'state line', 'seed gas', 'recombination processes', 'produces steady', 'power requirements', 'particle loss', 'laser initiation', 'ionization potential', 'inductive coupling', 'experimentally determined', 'examining ionization', 'electron acceleration', 'collisional damping', '6 mtorr', '150 torr', '1 ev']</t>
  </si>
  <si>
    <t>The feasibility of using a photoionized, low-ionization potential organic seed gas to initiate a high pressure plasma discharge is examined and compared to radio frequency breakdown of high pressure argon alone. The seed gas, tetrakis(dimethylamino)ethylene, which has an ionization potential of 6.1 eV is ionized by an ultraviolet laser through 6.4 eV photon absorption, and forms a plasma column inside a vacuum chamber. The plasma absorbs additional power through inductive coupling of 13.56 MHz helical antenna radio frequency wave fields to the plasma through electron acceleration, ionization, and collisional damping. Laser initiation of 2-6 mTorr of the seed gas in 1-150 Torr of argon is accomplished and produces steady-state line-average plasma densities of n e‚âà4√ó10 12cm -3 in a volume of 300 cm 3. The two-body recombination coefficient of the organic seed gas and its optimum partial pressure when mixed with argon are experimentally determined and analyzed. Particle loss and power requirements for maintaining the discharge are evaluated by examining ionization, diffusion, and recombination processes. ¬© 2002 American Institute of Physics.</t>
  </si>
  <si>
    <t>698-709</t>
  </si>
  <si>
    <t>60032179;60032179;60032179;60032179</t>
  </si>
  <si>
    <t>7401769541;7005335418;6602489075;7201791863</t>
  </si>
  <si>
    <t>Kelly, K. L.;Scharer, J. E.;Paller, E. S.;Ding, G.</t>
  </si>
  <si>
    <t>Kelly K.</t>
  </si>
  <si>
    <t>Laser ionization and radio frequency sustainment of high-pressure seeded plasmas</t>
  </si>
  <si>
    <t>10.1063/1.1487905</t>
  </si>
  <si>
    <t>2-s2.0-0037100951</t>
  </si>
  <si>
    <t>['unidentate blades', 'two semicircles', 'two medium', 'two large', 'trepan composed', 'tentacular cirri', 'sp .,', 'sized teeth', 'short appendages', 'shaped teeth', 'right angle', 'remaining parapodia', 'parapodial glands', 'one another', 'minute antennae', 'like material', 'iberian fauna', 'dorsal cirri', 'compound chaetae', 'complete inventory', 'chaetiger 4', 'chaetiger 1']</t>
  </si>
  <si>
    <t>Autolytus | Iberian Peninsula | New species | Paraprocerastea | Polychaeta | Sphaerosyllis | Syllidae | Taxonomy</t>
  </si>
  <si>
    <t>During the project "Fauna Ib√©rica", established to develop a complete inventory of Iberian fauna, several new species belonging to the family Syllidae Grube, 1850 were found. In this paper, Autolytus labordai n. sp., Paraprocerastea draculai n. sp., and Sphaerosyllis parabulbosa n. sp. are described. Autolytus labordai n. sp. is characterized by having long nuchal lappets, short appendages, relatively long blades on the compound chaetae, and a trepan composed of eight or nine large teeth separated from one another by two medium-sized teeth or by two medium-sized teeth with one small tooth between them. Paraprocerastea draculai n. sp. is characterized by having tapering and somewhat flattened antennae, tentacular cirri and dorsal cirri of chaetiger 1, and short and ovoid dorsal cirri on the remaining parapodia. Its trepan is composed of two large, fang-shaped teeth, separated by two semicircles of 12-14 smaller teeth. Lastly, it only possesses simple chaetae, of which those of the anterior two chaetigers are different. Sphaerosyllis parabulbosa n. sp. is characterized by having minute antennae, tentacular and dorsal cirri, parapodial glands with rod-like material from chaetiger 4, unidentate blades on compound chaetae, and aciculae distally bent at a right angle.</t>
  </si>
  <si>
    <t>135-143</t>
  </si>
  <si>
    <t>Sarsia</t>
  </si>
  <si>
    <t>60026796;60026796</t>
  </si>
  <si>
    <t>7003654437;35445359800</t>
  </si>
  <si>
    <t>San Mart√≠n, Guillermo;L√≥pez, Eduardo</t>
  </si>
  <si>
    <t>Universidad Aut√≥noma de Madrid</t>
  </si>
  <si>
    <t>New species of Autolytus Grube, 1850, Paraprocerastea San Mart√≠n &amp; Al√≥s, 1989, and Sphaerosyllis Clapar√®de, 1863 (Syllidae, Polychaeta) from the Iberian Peninsula</t>
  </si>
  <si>
    <t>10.1080/003648202320205210</t>
  </si>
  <si>
    <t>2-s2.0-0037101317</t>
  </si>
  <si>
    <t>['transfers electrons', 'strongly expressed', 'stromal side', 'rights reserved', 'photochemical activity', 'petj gene', 'null mutant', 'nitrogen source', 'much affected', 'lumenal side', 'isiab operon', 'energy storage', 'encoding flavodoxin', 'cytochrome c6', 'copper deficiency', 'analysis showed', 'additional chlorophyll']</t>
  </si>
  <si>
    <t>Cytochrome c 6 | Flavodoxin | isiAB | P700 | petJ | Photosystem I</t>
  </si>
  <si>
    <t>Cytochrome c6, the product of the petJ gene, is a photosynthetic electron carrier in cyanobacteria, which transfers electrons to photosystem I and which is synthesised under conditions of copper deficiency to functionally replace plastocyanin. The photosystem I photochemical activity (energy storage, photoinduced P700 redox changes) was examined in a petJ-null mutant of Synechocystis PCC 6803. Surprisingly, photosystem I activity in the petJ-null mutant grown in the absence of copper was not much affected. However, in a medium with a low inorganic carbon concentration and with NH4+ ion as nitrogen source, the mutant displayed growth inhibition. Analysis showed that, especially in the latter, the isiAB operon, encoding flavodoxin and CP43‚Ä≤, an additional chlorophyll a antenna, was strongly expressed in the mutant. These proteins are involved in photosystem I function and organisation and are proposed to assist in prevention of overoxidation of photosystem I at its lumenal side and overreduction at its stromal side. ¬© 2002 Federation of European Microbiological Societies. Published by Elsevier Science B.V. All rights reserved.</t>
  </si>
  <si>
    <t>113-119</t>
  </si>
  <si>
    <t>FEMS Microbiology Letters</t>
  </si>
  <si>
    <t>60004560;60002483;60003729;60004560;60004560</t>
  </si>
  <si>
    <t>57225429563;7004127941;57207602542;6603855656;7003946650</t>
  </si>
  <si>
    <t>Ardelean, I.;Matthijs, H. C.P.;Havaux, M.;Joset, F.;Jeanjean, R.</t>
  </si>
  <si>
    <t>France;France;Netherlands</t>
  </si>
  <si>
    <t>Marseille;Saint Paul lez Durance;Amsterdam</t>
  </si>
  <si>
    <t>IBSM Institut de Biologie Structurale et Microbiologie;CEA Cadarache;Universiteit van Amsterdam</t>
  </si>
  <si>
    <t>60004560;60003729;60002483</t>
  </si>
  <si>
    <t>Ardelean I.</t>
  </si>
  <si>
    <t>Unexpected changes in photosystem I function in a cytochrome c&lt;inf&gt;6&lt;/inf&gt;-deficient mutant of the cyanobacterium Synechocystis PCC 6803</t>
  </si>
  <si>
    <t>S0378109702008017</t>
  </si>
  <si>
    <t>10.1016/S0378-1097(02)00801-7</t>
  </si>
  <si>
    <t>2-s2.0-0037118630</t>
  </si>
  <si>
    <t>['yet unknown', 'volatile compounds', 'two host', 'simple summation', 'segmental regions', 'secondary rhinaria', 'rhopalosiphum padi', 'reference electrodes', 'recording electrode', 'receptor potentials', 'primary rhinaria', 'plant volatile', 'pheromone compounds', 'none evoked', 'latter morph', 'l .).', 'findings suggest', 'eag responses', 'eag response', 'detecting specific', 'apterous virginoparae', 'also likely', 'alate virginoparae', '4th inter']</t>
  </si>
  <si>
    <t>(E)-2-Hexenal | Aphid | Aphis fabae | Electroantennogram | Nepetalactol | Nepetalactone | Olfactory sensilla | Primary rhinaria | Rhopalosiphum padi | Secondary rhinaria | Sex pheromone</t>
  </si>
  <si>
    <t>Electroantennogram (EAG) responses to the aphid sex pheromone components, (1R,4aS,7S,7aR)-nepetalactol and (4aS,7S,7aR)-nepetalactone, and a plant volatile, (E)-2-hexenal, were investigated at three different positions (5/6th, 4/5th and 3/4th inter-segmental regions) along the antennae of four different morphs in two host-alternating aphid species, Aphis fabae Scopoli and Rhopalosiphum padi (L.). Position-dependent and morph-specific EAG responses were elicited in both species. The nepetalactol and nepetalactone isomers elicited large EAG responses at all three recording positions in males of both species, such that primary rhinaria as well as secondary rhinaria appeared to respond. Asexual female morphs showed relatively smaller EAG responses to these compounds. The secondary rhinaria, which have been reported as sex pheromone receptors in males, were not very different in their number and distribution between gynoparae and alate virginoparae, but the gynoparae showed significantly larger EAG responses to nepetalactol and nepetalactone. The alate virginoparae showed EAG responses that were similar to those of apterous virginoparae, which lack secondary rhinaria. Taking the EAG response profiles together with the distribution of the secondary rhinaria, it is suggested that the function of secondary rhinaria differs between the morphs. Secondary rhinaria appear to detect sex pheromone components in males and gynoparae but not in the alate virginoparae. If they are functional in the latter morph, they are likely to play a role in detecting specific, but as yet unknown, volatile compounds. Some 30 plant volatiles were tested but none evoked an EAG response that could be allocated to the secondary rhinaria. In contrast to the very different EAG response profiles to the pheromone compounds between morphs, EAG responses to (E)-2-hexenal were similar in all forms and both species. These findings suggest that this plant volatile was detected only by the two primary rhinaria, which are common to all morphs. The present study showed that EAG responses were not a simple summation of receptor potentials between recording and reference electrodes in aphids. The localised distribution pattern of olfactory receptor neurones around the recording electrode was also likely to contribute to the EAG responses. ¬© 2002 Published by Elsevier Science Ltd.</t>
  </si>
  <si>
    <t>527-535</t>
  </si>
  <si>
    <t>60015150;60015150</t>
  </si>
  <si>
    <t>7408066828;7101763729</t>
  </si>
  <si>
    <t>Park, Kye Chung;Hardie, Jim</t>
  </si>
  <si>
    <t>Park K.C.</t>
  </si>
  <si>
    <t>Functional specialisation and polyphenism in aphid olfactory sensilla</t>
  </si>
  <si>
    <t>S0022191002000823</t>
  </si>
  <si>
    <t>10.1016/S0022-1910(02)00082-3</t>
  </si>
  <si>
    <t>2-s2.0-0036300696</t>
  </si>
  <si>
    <t>['used inhibitors', 'rights reserved', 'obligatory role', 'higher plants', 'epoxidized xanthophylls', 'epoxidized form', 'energy dissipation', 'dt ).', 'dependent quenching', 'dd de', 'coupled npq']</t>
  </si>
  <si>
    <t>Diadinoxanthin | Diatom | Diatoxanthin | Non-photochemical quenching | Phaeodactylum tricornutum | Xanthophyll cycle</t>
  </si>
  <si>
    <t>Non-photochemical fluorescence quenching (NPQ) in diatoms is associated with a xanthophyll cycle involving diadinoxanthin (DD) and its de-epoxidized form, diatoxanthin (DT). In higher plants, an obligatory role of de-epoxidized xanthophylls in NPQ remains controversial and the presence of a transthylakoid proton gradient (ŒîpH) alone may induce NPQ. We used inhibitors to alter the amplitude of ŒîpH and/or DD de-epoxidation, and coupled NPQ. No ŒîpH-dependent quenching was detected in the absence of DT. In diatoms, both ŒîpH and DT are required for NPQ. The binding of DT to protonated antenna sites could be obligatory for energy dissipation. ¬© 2002 Federation of European Biochemical Societies. Published by Elsevier Science B.V. All rights reserved.</t>
  </si>
  <si>
    <t>163-166</t>
  </si>
  <si>
    <t>7005438082;7102477063;7004414817</t>
  </si>
  <si>
    <t>Lavaud, J.;Rousseau, B.;Etienne, A. L.</t>
  </si>
  <si>
    <t>In diatoms, a transthylakoid proton gradient alone is not sufficient to induce a non-photochemical fluorescence quenching</t>
  </si>
  <si>
    <t>S0014579302029794</t>
  </si>
  <si>
    <t>10.1016/S0014-5793(02)02979-4</t>
  </si>
  <si>
    <t>2-s2.0-0037125210</t>
  </si>
  <si>
    <t>['two photons', 'synthetic dendrimers', 'like core', 'laser intensity', 'flash photolysis', 'dendrimers constitute']</t>
  </si>
  <si>
    <t>Paired electron transfers (ET) induced by the absorption of two photons by synthetic dendrimers are observed in first-, second-, and third-generation dendrimers comprised of a viologen-like core and an array of naphthalene peripheral groups. Flash photolysis and transient absorption techniques show that the yield of photoinduced double ET depends on laser intensity in the two largest dendrimers, NBV2+2 and NBV3+2. Their photochemical behavior thus requires an unusual multiphoton kinetic scheme. These dendrimers constitute the first synthetic models capable of multiple electron redox events deriving from a defined molecular architecture, thus mimicking natural light-collecting antenna systems.</t>
  </si>
  <si>
    <t>8285-8289</t>
  </si>
  <si>
    <t>60004923;60006221;60119141-60019000;60004923;60004923</t>
  </si>
  <si>
    <t>6507271321;7005680621;56788044900;7003473801;35473511600</t>
  </si>
  <si>
    <t>Ghaddar, Tarek H.;Wishart, James F.;Thompson, David W.;Whitesell, James K.;Fox, Marye Anne</t>
  </si>
  <si>
    <t>New Brunswick;St John's;Upton;Raleigh</t>
  </si>
  <si>
    <t>Rutgers University‚ÄìNew Brunswick;Memorial University of Newfoundland;Brookhaven National Laboratory;NC State University</t>
  </si>
  <si>
    <t>60119141;60019000;60006221;60004923</t>
  </si>
  <si>
    <t>Ghaddar T.</t>
  </si>
  <si>
    <t>A dendrimer-based electron antenna: Paired electron-transfer reactions in dendrimers with a 4,4‚Ä≤-bipyridine core and naphthalene peripheral groups</t>
  </si>
  <si>
    <t>10.1021/ja020103c</t>
  </si>
  <si>
    <t>2-s2.0-0037125505</t>
  </si>
  <si>
    <t>['wave emitter', 'several tens', 'photonic millimetre', 'periodic antenna', 'output power', '800 ghz']</t>
  </si>
  <si>
    <t>A photonic millimetre-wave and sub-millimetre-wave emitter (PME) that uses a log-periodic antenna and a uni-travelling carrier photodiode has been fabricated and tested. The output power and spectra of the PME were measured with a Fourier transform spectrometer and a bolometer at 100-800 GHz in a low-power excitation condition. The extrapolated output power with 15 mA photocurrent is several tens of microWatts in the 300-600 GHz range.</t>
  </si>
  <si>
    <t>798-800</t>
  </si>
  <si>
    <t>60025555;60025555;60025555;60025555;60025555;60025555;60025555;60029701;60029701;60029701;60029701;60029701;60000809</t>
  </si>
  <si>
    <t>7202188531;7006744896;7005290142;7407939846;35428373800;7201929211;7401772578;55550304500;7201679448;55628560674;7004144762;56252992000;56675377000</t>
  </si>
  <si>
    <t>Hirata, A.;Nagatsuma, T.;Yano, R.;Ito, H.;Furuta, T.;Hirota, Y.;Ishibashi, T.;Matsuo, H.;Ueda, A.;Noguchi, T.;Sekimoto, Y.;Ishiguro, M.;Matsuura, S.</t>
  </si>
  <si>
    <t>Mitaka;Tokyo;Sagamihara</t>
  </si>
  <si>
    <t>National Institutes of Natural Sciences - National Astronomical Observatory of Japan;Nippon Telegraph and Telephone Corporation;JAXA Institute of Space and Astronautical Science</t>
  </si>
  <si>
    <t>60029701;60025555;60000809</t>
  </si>
  <si>
    <t>Output power measurement of photonic millimetre-wave and sub-millimetre-wave emitter at 100-800 GHz</t>
  </si>
  <si>
    <t>10.1049/el:20020553</t>
  </si>
  <si>
    <t>2-s2.0-0037130391</t>
  </si>
  <si>
    <t>['small number', 'modelling errors', 'element patterns']</t>
  </si>
  <si>
    <t>Model based antenna array calibration is used to remove the antenna array errors or predict the element patterns from the array manifold measured at a small number of directions. The experimental results show that this works very well for one sector angle region even in the presence of modelling errors.</t>
  </si>
  <si>
    <t>771-772</t>
  </si>
  <si>
    <t>57223735480;35187370400;7402325963;6701735133</t>
  </si>
  <si>
    <t>Park, Hyung Geun;Jung, Jae Ho;Oh, Hyun Seo;Kyeong, Mun Geon</t>
  </si>
  <si>
    <t>Park H.G.</t>
  </si>
  <si>
    <t>Model based antenna array calibration for smart antenna systems</t>
  </si>
  <si>
    <t>10.1049/el:20020585</t>
  </si>
  <si>
    <t>2-s2.0-0037130421</t>
  </si>
  <si>
    <t>['whole system', 'successful design', 'simulated results', 'physical structure', 'measured data', 'good agreement']</t>
  </si>
  <si>
    <t>A simple and successful design for a new multilayered duplexer using both slotline and microstripline is proposed. The physical structure is detailed. The whole system is then modelled and its performances are predicted. The simulated results are compared with measured data and good agreement is reported.</t>
  </si>
  <si>
    <t>797-798</t>
  </si>
  <si>
    <t>60029049;60029049</t>
  </si>
  <si>
    <t>7003328126;7003576817</t>
  </si>
  <si>
    <t>Duchamp, G.;Pistr√©, J.</t>
  </si>
  <si>
    <t>Talence</t>
  </si>
  <si>
    <t>Ecole Nationale Superieure d'Electronique, Informatique et Radiocommunications de Bordeaux</t>
  </si>
  <si>
    <t>Duchamp G.</t>
  </si>
  <si>
    <t>Multilayered duplexer system</t>
  </si>
  <si>
    <t>10.1049/el:20020581</t>
  </si>
  <si>
    <t>2-s2.0-0037130423</t>
  </si>
  <si>
    <t>['reduced complexity', 'cost systems']</t>
  </si>
  <si>
    <t>Results are presented for the least mean squares (LMS) algorithm for array antenna control. The implementation is of reduced complexity, which offers significant advantages for adoption in ultra-low-cost systems.</t>
  </si>
  <si>
    <t>836-837</t>
  </si>
  <si>
    <t>7202904160;26643184600</t>
  </si>
  <si>
    <t>Fletcher, P.;Dean, M.</t>
  </si>
  <si>
    <t>Fletcher P.</t>
  </si>
  <si>
    <t>Low complexity implementation of LMS algorithm</t>
  </si>
  <si>
    <t>10.1049/el:20020531</t>
  </si>
  <si>
    <t>2-s2.0-0037130431</t>
  </si>
  <si>
    <t>['wideband dual', 'polarisation level', 'peak cross', 'mode horn', 'horn consists', '30 db']</t>
  </si>
  <si>
    <t>A wideband dual-mode horn has been manufactured from a design using mode matching analysis software embedded within an automatic optimisation loop. The horn consists of a smooth-walled conical horn section with a mode transducer comprising a number of optimised cylindrical waveguide steps. The final breadboard model achieves a peak cross-polarisation level of ‚â§ -30 dB over a 20% bandwidth.</t>
  </si>
  <si>
    <t>768-769</t>
  </si>
  <si>
    <t>101097537;101928971</t>
  </si>
  <si>
    <t>7003852396;7201517413</t>
  </si>
  <si>
    <t>Tun, S. M.;Foster, P. R.</t>
  </si>
  <si>
    <t>Great Malvern;Uxbridge</t>
  </si>
  <si>
    <t>Microwave and Antenna Systems;SMT Consultancies Ltd.</t>
  </si>
  <si>
    <t>101928971;101097537</t>
  </si>
  <si>
    <t>Tun S.</t>
  </si>
  <si>
    <t>Computer optimised wideband dual-mode horn</t>
  </si>
  <si>
    <t>10.1049/el:20020559</t>
  </si>
  <si>
    <t>2-s2.0-0037130440</t>
  </si>
  <si>
    <t>['vacuum position', 'using fermi', 'transition moment', 'spectral shift', 'protein medium', 'modified complexes', 'interaction energies', 'good agreement', 'golden rule', 'experimental rates', 'exciton theory', 'evaluate site', 'dielectric constant', 'chromophore interaction', 'chromophore assemblies', 'b800 band', 'absorption spectra']</t>
  </si>
  <si>
    <t>The recently developed configuration interaction exciton model has been applied to study spectral shifts and B800 to B850 energy transfer rates in a series of modified LH2 light harvesting antenna complexes of the purple bacterium Rhodopseudomonas acidophila. Complexes, where the in vivo B800 bacteriochlorophyll a chromophores are exchanged with different tetrapyrroles including chlorophyll a were studied. Absorption spectra of the modified complexes were simulated by using quantum chemical methods to evaluate site and interaction energies and exciton theory to generate the eigenstates of the chromophore assemblies. Four experimental input parameters: the transition moment of Bchl a, the dielectric constant of the protein medium, the homogenous and the inhomogeneous line widths were used in the calculations. Quantum chemical CI calculations suggest that the spectral shift of the B800 band with respect to the vacuum position in the modified complexes results from the protein-chromophore interaction, that includes several amino acids around the chromophore. Energy transfer rate constant distributions, obtained by using Fermi's Golden rule and the excitonic basis functions that predicted the absorption spectra correctly, are in very good agreement with the experimental rates, except for two modified B800 rings with chlorophyll type pigments.</t>
  </si>
  <si>
    <t>3453-3460</t>
  </si>
  <si>
    <t>60032398;60032398</t>
  </si>
  <si>
    <t>6603776029;56994119500</t>
  </si>
  <si>
    <t>Linnanto, J.;Korppi-Tommola, J. E.I.</t>
  </si>
  <si>
    <t>Theoretical study of excitation transfer from modified B800 rings of the LH II antenna complex of Rps. acidophila</t>
  </si>
  <si>
    <t>10.1039/b108338b</t>
  </si>
  <si>
    <t>2-s2.0-0036308216</t>
  </si>
  <si>
    <t>['vertical plane', 'various locations', 'trunk needs', 'therefore necessary', 'radiation patterns', 'radiation pattern', 'radiation characteristics', 'power absorption', 'low value', 'human body', 'horizontal plane', 'horizontal direction', 'free space', 'fdtd method', 'dominantly influenced', 'design guideline', '8 dbd', '60 %.', '4 dbd', '35 mm', '2 ghz']</t>
  </si>
  <si>
    <t>Card type | Efficiency | Monopole | Radiation pattern in the vertical plane | Small radio terminal | Wristwatch type</t>
  </si>
  <si>
    <t>In this paper, a design guideline is presented for an antenna for a small radio terminal placed in various locations on a human body. Typical installation conditions include wearing it on the chest and holding it by hand. The radiation patterns in the vertical plane of a Œª/4 monopole antenna for a card-type terminal attached to a human body are measured at 2 GHz. When it is worn on the chest, the efficiency changes significantly between 18 and 80% if the spacing between the antenna and the chest is 10 to 35 mm. Since the radiation in the vertical plane in front of the human body has a null in the horizontal plane as in free space, the pattern averaging gain (PAG) has a low value of less than -8 dBd. On the other hand, when it is operated in the hand, the efficiency is constant at about 60%. Unlike the case in free space, the radiation pattern in the vertical plane shows strong radiation in the horizontal direction so that the PAG is as high as about -4 dBd. Next, by means of the FDTD method, the effects of various human body parts on the radiation characteristics are analyzed. When it is worn on the chest, both the power absorption and the radiation pattern are dominantly influenced by the trunk of the body. Hence, in the analysis and measurement, only the trunk needs to be taken into account. When it is operated in the hand, the power absorption by the hand and arm and the reflection from the head and trunk are dominant. It is therefore necessary to take into account the entire upper body in the analysis and measurement. ¬© 2002 Scripta Technica, Electron. Comm. Jpn. Pt. 1.</t>
  </si>
  <si>
    <t>60024784;60024784;60024784;60107350</t>
  </si>
  <si>
    <t>55466435700;7006203498;6602376085;36878624700</t>
  </si>
  <si>
    <t>Saito, Yutaka;Nagano, Isamu;Yagitani, Satoshi;Haruki, Hiroshi</t>
  </si>
  <si>
    <t>Kadoma;Kanazawa</t>
  </si>
  <si>
    <t>Panasonic Corporation;Kanazawa University</t>
  </si>
  <si>
    <t>60107350;60024784</t>
  </si>
  <si>
    <t>Saito Y.</t>
  </si>
  <si>
    <t>Radiation characteristics of an antenna for a small radio terminal in vicinity of a human body</t>
  </si>
  <si>
    <t>10.1002/ecja.1099</t>
  </si>
  <si>
    <t>2-s2.0-0036314466</t>
  </si>
  <si>
    <t>['w seems', 'trimeric ).', 'terminal region', 'terminal mutants', 'strong interactions', 'specific mutagenesis', 'specific assembly', 'removed without', 'position 185', 'polypeptide chain', 'point mutants', 'monomer formation', 'located downstream', 'lhca1 subunit', 'lhca1 decisive', 'indicating stabilization', 'heterodimeric lhci', 'harvesting complexes', 'f resulted', 'either falling', 'directed mutagenesis', 'dimerization may', 'dimerization broke', 'dimer formation', 'detailed analysis', 'decisive position', 'crucial role', 'critical length', 'cooperative way', 'better understanding', 'aromatic residue', 'aromatic properties', 'amino acids', 'amino acid']</t>
  </si>
  <si>
    <t>Apoproteins of higher plant light-harvesting complexes (LHC) share considerable amino acid sequence identity/similarity. Despite this fact, they occur in different oligomeric states (i.e., monomeric, dimeric, and trimeric). As a step toward understanding the underlying structure requirements for different oligomerization behavior, we analyzed whether amino acids at the N- and C-termini of Lhca1 and Lhca4 are involved in the formation of the heterodimeric LHCI-730. Using altered proteins produced by deletion or site-directed mutagenesis for reconstitution, we were able to identify amino acids required for the assembly of LHCI-730. At the N-terminus of Lhca1, W4 is involved in heterodimerization. This interaction probably depends on aromatic properties because only replacement of W4 by F resulted in dimer formation. Also, at the C-terminus of Lhca1, W seems to play a crucial role for interaction with Lhca4. A detailed analysis by point mutants revealed the importance of an aromatic residue at position 185. One or more other amino acid(s) located downstream of position 188 may exert additional stabilizing effects, presumably in a cooperative way. The scenario for Lhca4 is different. Dimerization broke down only after the deletion of the entire extrinsic N- or C-terminal region, demonstrating that the termini of Lhca4 are not involved in strong interactions with Lhca1 decisive for dimerization. At the N-terminus, dimerization was abolished after the removal of the same number of amino acids at which monomer formation failed. Site-specific mutagenesis of the amino acid decisive for LHC-formation in a deletion study demonstrated that its character is of no importance for dimerization and, therefore, that abolition of dimer formation may be the consequence of a loss in monomer formation. At the C-terminus of Lhca4, an even higher number of amino acids than required for monomer formation could be removed without the loss of dimerization. The decisive position is I168, located in the third transmembrane region. Because all point mutants of I168 in the full-length protein yielded dimers, failure of dimerization may be caused by either falling below a critical length of the polypeptide chain, resulting in the loss of too many weak interactions, or by too strong an impairment of Lhca4-folding. Interestingly, N- and C-terminal mutants of Lhca4 not able to form stable monomers formed stable dimers, indicating stabilization of labile monomeric complexes by the Lhca1 subunit in dimerization. Finally, the significance for dimer formation of amino acids in other parts of Lhca1 and Lhca4 which may be involved, besides the amino acids identified here in the specific assembly of the heterodimeric LHCI-730, is discussed. Their identification will result in a better understanding of structure characteristics determining the different oligomerization behavior of LHCs.</t>
  </si>
  <si>
    <t>9126-9131</t>
  </si>
  <si>
    <t>60031216;60031216;60031216</t>
  </si>
  <si>
    <t>16408768300;7103256688;57188546106</t>
  </si>
  <si>
    <t>Schmid, Volkmar H.R.;Paulsen, Harald;Rupprecht, Jens</t>
  </si>
  <si>
    <t>Mainz</t>
  </si>
  <si>
    <t>Johannes Gutenberg-Universit√§t Mainz</t>
  </si>
  <si>
    <t>Schmid V.H.R.</t>
  </si>
  <si>
    <t>Identification of N- and C-terminal amino acids of Lhca1 and Lhca4 required for formation of the heterodimeric peripheral photosystem I antenna LHCI-730</t>
  </si>
  <si>
    <t>10.1021/bi016042x</t>
  </si>
  <si>
    <t>2-s2.0-0037162395</t>
  </si>
  <si>
    <t>['œ ¥', 'skin depth', 'rights reserved', 'plate waveguides', 'obtained using', 'north direction', 'moho plane', 'model focus', 'model earth', 'kobe earthquake', 'gave 10', 'fault planes', 'epicenter due', 'em power', 'earthquake focus', 'discussed quantitatively', 'dielectric constant', 'detector antenna', 'conductive earth', 'aluminum plate']</t>
  </si>
  <si>
    <t>Propagation of electromagnetic (EM) waves from an earthquake focus in the conductive Earth has been investigated using 1/1,000,000 scaling models taking earth-ionosphere and ocean-Moho plane parallel-plate waveguides into account. Microwaves at a frequency, œâm, a million times higher than that of seismic EM signal (SEMS), œâ, were generated at the model focus. They are propagated in a salt solution modeling the earth's crust and reflected by ocean, fault planes, ionosphere and Moho plane all made by aluminum. Distribution of EM power was mapped by scanning a detector antenna over the model Earth's surface. The skin depth, Œ¥, calculated by the exact skin depth equation, 1/Œ¥ = œâ(ŒºŒµ/2)1/2 [(1 + (1/œâŒµœÅ)2)1/2 - 1]1/2 where dielectric constant, Œµ and permeability, Œº are the same but resistivity, œÅ, 10-6 times smaller than that of Earth, gave 10-6 times small skin depth validating the model scaling index. Images for evanescent and wave-ripple standing waves disturbed by normal, strike-slip and dip-slip conductive fault planes have been obtained using an aluminum plate. The co-circular contour map above the epicenter due to evanescene was pushed to the north east direction from the epicenter by the presence of ocean for the Loma Prieta earthquake, while to north direction for the Kobe earthquake. The intensity of EM ULF emissions for the Loma Prieta earthquake is discussed quantitatively. ¬© 2002 Elsevier Science Ltd. All rights reserved.</t>
  </si>
  <si>
    <t>497-508</t>
  </si>
  <si>
    <t>Journal of Geodynamics</t>
  </si>
  <si>
    <t>60024322;60024322;60024322;60024322</t>
  </si>
  <si>
    <t>7102851682;23996237200;49161023400;56209367200</t>
  </si>
  <si>
    <t>Ikeya, Motoji;Satoh, Hideo;Ikuta, Ryouya;Yamanaka, Chihiro</t>
  </si>
  <si>
    <t>Ikeya M.</t>
  </si>
  <si>
    <t>Scaling model experiments on propagation of electromagnetic waves using salt solution to simulate the Earth's crust: Loma Prieta and Kobe earthquakes</t>
  </si>
  <si>
    <t>S0264370702000108</t>
  </si>
  <si>
    <t>10.1016/S0264-3707(02)00010-8</t>
  </si>
  <si>
    <t>2-s2.0-0036309741</t>
  </si>
  <si>
    <t>['wave microbolometer', 'target range', 'system frequency', 'spatial scale', 'recent version', 'pixel bolometer', 'optical system', 'optical engineering', 'obtained using', 'microbolometers consist', 'international society', 'incident field', 'element focal', 'clear detail', 'acquisition times', '94 ghz', '1 cm']</t>
  </si>
  <si>
    <t>Array | Bolometer | Concealed weapons | Imaging | Millimeter-wave</t>
  </si>
  <si>
    <t>We describe the status of, and present the first imagery obtained using an active uncooled mm-wave microbolometer-based imaging system. The microbolometers consist of 2 Œºm √ó 6 Œºm √ó. 02 Œºm Nb films, coupled to the incident field by annular slot antennas. The system frequency is centered at 94 GHz. Imagery has been obtained using a mechanically scanned primary mirror and single-pixel bolometer, as a prototype for a 120-element focal-plane array still under development. With our most recent version of the optical system, high quality images, with clear detail on a spatial scale of 1 cm, have been obtained with acquisition times of 70 s and a target range of 1.3 m. ¬© 2002 SPIE - The International Society for Optical Engineering.</t>
  </si>
  <si>
    <t>364-369</t>
  </si>
  <si>
    <t>60023053;60023053;60023053;60023053</t>
  </si>
  <si>
    <t>56034208100;6506775380;8942083000;7004638382</t>
  </si>
  <si>
    <t>Grossman, E. N.;Bhupathiraju, A. K.;Miller, A. J.;Reintsema, C. D.</t>
  </si>
  <si>
    <t>Gaithersburg</t>
  </si>
  <si>
    <t>National Institute of Standards and Technology</t>
  </si>
  <si>
    <t>Grossman E.</t>
  </si>
  <si>
    <t>Concealed weapons detection using an uncooled millimeter-wave microbolometer system</t>
  </si>
  <si>
    <t>10.1117/12.477461</t>
  </si>
  <si>
    <t>2-s2.0-0036911868</t>
  </si>
  <si>
    <t>Central Research Institute of Electric Power Industry</t>
  </si>
  <si>
    <t>CRIEPI</t>
  </si>
  <si>
    <t>['yr ).', 'woodlice gathering', 'woodlice ).', 'upon exposure', 'terrestrial isopods', 'terminal segment', 'significant increase', 'sham control', 'radiation exposure', 'radiation effect', 'prompt response', 'one end', 'olfactory system', 'olfactory sensor', 'ionizing radiation', 'individuals aggregated', 'group exposed', 'examined whether', 'evoking changes', 'decrease gradually', 'biological effects', 'background tended', 'background radiation', 'area away', 'antennae may']</t>
  </si>
  <si>
    <t>Behavior | Environmental radioactivity | Hormesis | Radioisotope | Terrestrial isopod</t>
  </si>
  <si>
    <t>Ionizing radiation is ubiquitous, but very few experiments have investigated the biological effects of the natural background radiation at very low doses (&gt;10 mGy/yr). We examined whether the background radiation, or radiation of a slightly higher level, has a role in evoking changes in behaviors of terrestrial isopods (woodlice). Upon exposure to a source giving 15 times the background level placed at one end of a box, a significant increase in the number of woodlice gathering under the Œ≤-source was observed with time, as compared with the sham control.Terrestrial isopods have chemoreceptors (the olfactory system) on the terminal segment of their antennae. An additional experiment confirmed the involvement of these antennae in the radiation effect on behavior. After the excision of the antennae, no Œ≤-taxis response was observed. The behavior of the group exposed to the source giving 30 times the background tended to decrease gradually in the area of the source, and the individuals aggregated in the area away from the source. Thus, the olfactory sensor in the antennae may be an important organ involved in the prompt response to radiation exposure, and the discrimination of the radiation field strengths of radioisotopes. Copyright ¬© 2002 Elsevier Science Ltd.</t>
  </si>
  <si>
    <t>0265931X</t>
  </si>
  <si>
    <t>Journal of Environmental Radioactivity</t>
  </si>
  <si>
    <t>60024740;60024740;60002366</t>
  </si>
  <si>
    <t>6602885789;7202073354;55724895800</t>
  </si>
  <si>
    <t>Kanao, Tomoko;Miyachi, Yukihisa;Yamada, Takeshi</t>
  </si>
  <si>
    <t>Otawara;Tokyo</t>
  </si>
  <si>
    <t>International University of Health and Welfare;Central Research Institute of Electric Power Industry</t>
  </si>
  <si>
    <t>60024740;60002366</t>
  </si>
  <si>
    <t>Kanao T.</t>
  </si>
  <si>
    <t>Terrestrial isopods congregate under a low-level Œ≤-emitter source</t>
  </si>
  <si>
    <t>S0265931X02000231</t>
  </si>
  <si>
    <t>10.1016/S0265-931X(02)00023-1</t>
  </si>
  <si>
    <t>2-s2.0-0035996918</t>
  </si>
  <si>
    <t>['xanthophyll cycle', 'winter populations', 'tidal cycles', 'strong irradiance', 'spring populations', 'saccharina showed', 'pigment analysis', 'photosystem ii', 'mainly related', 'light variations', 'light treatment', 'light increase', 'less affected', 'laminaria saccharina', 'intertidal zone', 'french coast', 'better acclimation', 'antenna complexes', 'algae reacted']</t>
  </si>
  <si>
    <t>Daily and seasonal variations | Laminaria saccharina | Light stress | Photoprotection | Pulse amplitude modulated (PAM) | Xanthophylls</t>
  </si>
  <si>
    <t>Laminaria saccharina (Lamouroux) form the largest, most abundant and conspicuous seaweed populations along the French coast of the eastern English Channel. As they are located in the intertidal zone, they are exposed to considerable irradiance variations, mainly related to tidal cycles. The response of these macro-algae to light variations over a simulated daily tidal cycle was investigated in the laboratory during spring, autumn and winter using chlorophyll fluorescence and pigment analysis. The maximum quantum yield of photosystem II (PSII) photochemistry (Fv/Fm) and the operating PSII efficiency (Œ¶PSII) showed clear daily cycles according to the irradiance variation throughout the 12 h simulated tidal cycle, whereas the pattern of the relative photosynthetic electron transport rate (rETR) was not so obvious, The algae reacted to the light increase by developing photoprotective mechanisms able to dissipate the excess energy reaching PSII by the de-epoxidation of violaxanthin into zeaxanthin. Because of their better acclimation to strong irradiance, spring populations were less affected by this light treatment than were winter populations. In particular, L. saccharina showed more pigments of the xanthophyll cycle in spring to cope with strong irradiance exposure. Alternatively, they developed their antenna complexes in winter to harvest a maximum of light.</t>
  </si>
  <si>
    <t>859-872</t>
  </si>
  <si>
    <t>Plant, Cell and Environment</t>
  </si>
  <si>
    <t>60008134;60008134;60107864;60008134;60107864;60008134</t>
  </si>
  <si>
    <t>18934628500;6602736288;6603892968;7003611790;56216492900;7004580614</t>
  </si>
  <si>
    <t>Gevaert, F.;Creach, A.;Davoult, D.;Holl, A. C.;Seuront, L.;Lemoine, Y.</t>
  </si>
  <si>
    <t>Wimereux;Paris</t>
  </si>
  <si>
    <t>Laboratoire d'Oc√©anologie et de G√©osciences;CNRS Centre National de la Recherche Scientifique</t>
  </si>
  <si>
    <t>60107864;60008134</t>
  </si>
  <si>
    <t>Gevaert F.</t>
  </si>
  <si>
    <t>Photo-inhibition and seasonal photosynthetic performance of the seaweed Laminaria saccharina during a simulated tidal cycle: Chlorophyll fluorescence measurements and pigment analysis</t>
  </si>
  <si>
    <t>10.1046/j.1365-3040.2002.00869.x</t>
  </si>
  <si>
    <t>2-s2.0-0036061707</t>
  </si>
  <si>
    <t>['turnover flash', 'summer 2000', 'state light', 'rubp pool', 'routine comprised', 'reduction time', 'psi antennae', 'proposed non', 'plastoquinone pool', 'plant ecophysiology', 'photosynthetic machinery', 'parameters yco2', 'p700 +.', 'p700 +)', 'optical methods', 'operated routine', 'one leaf', 'o2 yield', 'o2 specificity', 'o2 evolution', 'many biochemical', 'light induction', 'least estimate', 'leaf transmission', 'leaf photosynthesis', 'growth conditions', 'genetic engineering', 'following measurements', 'different leaves', 'destructive routine', 'comprehensive level', 'co2 limitation', 'co2 fixation', 'chemical properties', 'channel fast', 'biophysical factors', 'basic physico', 'australia ).', '820 nm', '7 %],', '40 %).']</t>
  </si>
  <si>
    <t>Betula pendula Roth | Leaf | Methods | Photosynthesis</t>
  </si>
  <si>
    <t>Photosynthesis is a complex process whose rate is affected by many biochemical and biophysical factors. Fortunately, it is possible to determine, or at least estimate, many of the most important parameters using a combination of optical methods and gas transient analyses. We describe here a computer-operated routine that has been developed to make detailed assessments of photosynthesis at a comprehensive level. The routine comprised the following measurements: steady-state light and CO2 response curves of net CO2 assimilation at 21 and 2 kPa O2; transients from limiting to different saturating CO2 concentrations at 2 kPa O2; post-illumination CO2 fixation transient; dark-light induction of O2 evolution; O2 yield from one saturating single-turnover flash; chlorophyll fluorescence F0, Fs and Fm during the light and CO2 response curves; leaf transmission at 820 nm (P700+) during the light and CO2 response curves; post-illumination re-reduction time of P700+. The routine was executed on a two-channel fast-response gas exchange measurement system (A. Laisk and V. Oja: Dynamic Gas Exchange of Leaf Photosynthesis. CSIRO, Canberra, Australia). Thirty-six intrinsic characteristics of the photosynthetic machinery were derived, including quantum yield of CO2 fixation (Yco2), time constant of P700 re-reduction (œÑ‚Ä≤), relative optical cross-sections of PSII and PSI antennae (a11, a1), PSII and PSI density per leaf area unit, plastoquinone pool, total mesophyll resistance, mesophyll diffusion resistance, Vm, Km(CO2) and CO2/O2 specificity of Rubisco, RuBP pool at CO2 limitation (assimilatory charge). An example of the routine and calculations are shown for one leaf and data are presented for leaves of 8-year-old-trees of two birch clones growing in Suonenjoki Forest Research Station, Finland, during summer 2000. Parameters Yco2, basic œÑ‚Ä≤, aII, aI, Km(CO2) and Ks varied little in different leaves [relative standard deviation (RSD) &lt; 7%], other parameters scattered widely (RSD typically 10-40%). It is concluded that the little scattered parameters are determined by basic physico-chemical properties of the photosynthetic machinery whereas the widely scattered parameters are adjusting to growth conditions. The proposed non-destructive routine is suitable for diagnosing the photosynthetic machinery of leaves and may be applied in plant ecophysiology and in genetic engineering of plants.</t>
  </si>
  <si>
    <t>923-943</t>
  </si>
  <si>
    <t>60068856;60068856;100456995;60068856;60068856;100456995;60068856;60068856;60106157</t>
  </si>
  <si>
    <t>7003867759;6604099084;6602968161;19934231500;6602890728;6506499130;6508109152;6602662631;7004674698</t>
  </si>
  <si>
    <t>Laisk, A.;Oja, V.;Rasulov, B.;R√§mma, H.;Eichelmann, H.;Kasparova, I.;Pettai, H.;Padu, E.;Vapaavuori, E.</t>
  </si>
  <si>
    <t>Finland;Estonia;Tajikistan</t>
  </si>
  <si>
    <t>Helsinki;Tartu;Dushanbe</t>
  </si>
  <si>
    <t>Natural Resources Institute Finland (Luke);Tartu √úlikool;Tajik Academy of Science</t>
  </si>
  <si>
    <t>60106157;60068856;100456995</t>
  </si>
  <si>
    <t>Laisk A.</t>
  </si>
  <si>
    <t>A computer-operated routine of gas exchange and optical measurements to diagnose photosynthetic apparatus in leaves</t>
  </si>
  <si>
    <t>10.1046/j.1365-3040.2002.00873.x</t>
  </si>
  <si>
    <t>2-s2.0-0036068995</t>
  </si>
  <si>
    <t>['work compares', 'valuable means', 'two methods', 'rights reserved', 'results obtained', 'experimental time', 'eletrophoretic peaks', 'electrophoretic mobilities', 'allow confirmation']</t>
  </si>
  <si>
    <t>Capillary electrophoresis | Diode array detector | Dissociation constant</t>
  </si>
  <si>
    <t>This work compares the values of dissociation constants obtained from electrophoretic mobilities of a series of quinolones at different pH values and those obtained using absorbance spectra at the maximum of the eletrophoretic peaks. The results obtained show that the two methods are complementary and constitute a valuable means of obtaining better precision. The two methods proposed can be used simultaneously without an increase in the experimental time and allow confirmation of the results obtained. ¬© 2002 Elsevier Science B.V. All rights reserved.</t>
  </si>
  <si>
    <t>37-45</t>
  </si>
  <si>
    <t>60001576;60009952;60001576;60001576;60001576</t>
  </si>
  <si>
    <t>6602659954;57194643643;35820861100;7102677831;56011372300</t>
  </si>
  <si>
    <t>Jim√©nez-Lozano, E.;Marqu√©s, I.;Barr√≥n, D.;Beltr√°n, J. L.;Barbosa, J.</t>
  </si>
  <si>
    <t>Girona;Barcelona</t>
  </si>
  <si>
    <t>Universitat de Girona;Universitat de Barcelona</t>
  </si>
  <si>
    <t>60009952;60001576</t>
  </si>
  <si>
    <t>Jim√©nez-Lozano E.</t>
  </si>
  <si>
    <t>Determination of pK&lt;inf&gt;a&lt;/inf&gt; values of quinolones from mobility and spectroscopic data obtained by capillary electrophoresis and a diode array detector</t>
  </si>
  <si>
    <t>S000326700200435X</t>
  </si>
  <si>
    <t>10.1016/S0003-2670(02)00435-X</t>
  </si>
  <si>
    <t>2-s2.0-0037194226</t>
  </si>
  <si>
    <t>Wisconsin Alumni Research Foundation</t>
  </si>
  <si>
    <t>RG-99-0004</t>
  </si>
  <si>
    <t>WARF</t>
  </si>
  <si>
    <t>['wideband pulse', 'time clutter', 'three dimensions', 'successful detection', 'reduce early', 'primarily due', 'position relative', 'physical basis', 'numerical models', 'microwave imaging', 'malignant tumors', 'incident pulse', 'dielectric properties', 'cylindrical systems', 'coherent addition', 'breast tissue', 'antenna locations', 'also explored']</t>
  </si>
  <si>
    <t>Cancer | Image reconstruction | Microwave imaging | Object detection</t>
  </si>
  <si>
    <t>The physical basis for breast tumor detection with microwave imaging is the contrast in dielectric properties of normal and malignant breast tissues. Confocal microwave imaging involves illuminating the breast with an ultra-wideband pulse from a number of antenna locations, then synthetically focusing reflections from the breast. The detection of malignant tumors is achieved by the coherent addition of returns from these strongly scattering objects. In this paper, we demonstrate the feasibility of detecting and localizing small (&lt;1 cm) tumors in three dimensions with numerical models of two system configurations involving synthetic cylindrical and planar antenna arrays. Image formation algorithms are developed to enhance tumor responses and reduce early- and late-time clutter. The early-time clutter consists of the incident pulse and reflections from the skin, while the late-time clutter is primarily due to the heterogeneity of breast tissue. Successful detection of 6-mm-diameter spherical tumors is achieved with both planar and cylindrical systems, and similar performance measures are obtained. The influences of the synthetic array size and position relative to the tumor are also explored.</t>
  </si>
  <si>
    <t>812-822</t>
  </si>
  <si>
    <t>IEEE Transactions on Biomedical Engineering</t>
  </si>
  <si>
    <t>60089889-60002306;60089889-60032179;60089889-60032179;60089889-60003122</t>
  </si>
  <si>
    <t>7003469411;24450471500;7003809691;7102344649</t>
  </si>
  <si>
    <t>Fear, Elise C.;Li, Xu;Hagness, Susan C.;Stuchly, Maria A.</t>
  </si>
  <si>
    <t>Canada;United States;Canada;Canada</t>
  </si>
  <si>
    <t>Dundas;Madison;Victoria;Calgary</t>
  </si>
  <si>
    <t>IEEE Canada;University of Wisconsin-Madison;University of Victoria;University of Calgary</t>
  </si>
  <si>
    <t>60089889;60032179;60003122;60002306</t>
  </si>
  <si>
    <t>Fear E.C.</t>
  </si>
  <si>
    <t>Confocal microwave imaging for breast cancer detection: Localization of tumors in three dimensions</t>
  </si>
  <si>
    <t>10.1109/TBME.2002.800759</t>
  </si>
  <si>
    <t>2-s2.0-0036074376</t>
  </si>
  <si>
    <t>['supplied power', 'plasma leads', 'microwave discharge', 'interperiodica ".', 'free space', 'discharge structure', 'discharge induced', 'argon outgoing', 'antenna geometry']</t>
  </si>
  <si>
    <t>A discharge induced at the end of an antenna in a flow of argon outgoing into the free space in a coaxial microwave plasmatron is described. Increased energy density supplied to the plasma leads to structuring of the microwave discharge. Effects of the antenna geometry, supplied power, and argon flow rate on the discharge structure are studied. ¬© 2002 MAIK "Nauka/Interperiodica".</t>
  </si>
  <si>
    <t>645-647</t>
  </si>
  <si>
    <t>60068535;60068535;60068535;60068535;60068535</t>
  </si>
  <si>
    <t>35581146700;8323051100;6602564880;6602534736;7004093685</t>
  </si>
  <si>
    <t>Kirichenko, A. Ya;Martynyuk, S. P.;Motornenko, A. P.;Skuratovskii, I. G.;Suvorova, O. A.</t>
  </si>
  <si>
    <t>Kirichenko A.</t>
  </si>
  <si>
    <t>A spherical microwave discharge induced at atmospheric pressure</t>
  </si>
  <si>
    <t>10.1134/1.1505538</t>
  </si>
  <si>
    <t>2-s2.0-0035982317</t>
  </si>
  <si>
    <t>['transmit antennas', 'selected subset', 'optimum signaling', 'noise ratios', 'limited feedback', 'generally different', 'antenna selection']</t>
  </si>
  <si>
    <t>Antenna arrays | Antenna selection | Channel capacity | Fading channels | MIMO</t>
  </si>
  <si>
    <t>Wireless communication systems with transmit and receive antenna arrays are studied when antenna selection is used. A case with very limited feedback of information from the receiver to the transmitter is considered, where the only information fed back is the selected subset of transmit antennas to be employed. It is shown that the optimum signaling, for largest ergodic capacity with antenna selection, is generally different from that which is optimum without antenna selection for some range of signal-to-noise ratios.</t>
  </si>
  <si>
    <t>322-324</t>
  </si>
  <si>
    <t>60000251-60000060;60000251-113090084</t>
  </si>
  <si>
    <t>7202801624;7102662778</t>
  </si>
  <si>
    <t>Blum, Rick S.;Winters, Jack H.</t>
  </si>
  <si>
    <t>New York;Bethlehem;Middletown</t>
  </si>
  <si>
    <t>IEEE;Lehigh University;Jack Winters Communications</t>
  </si>
  <si>
    <t>60000251;60000060;113090084</t>
  </si>
  <si>
    <t>On optimum MIMO with antenna selection</t>
  </si>
  <si>
    <t>10.1109/LCOMM.2002.802050</t>
  </si>
  <si>
    <t>2-s2.0-0036670058</t>
  </si>
  <si>
    <t>['wireless applications', 'theoretically study', 'theoretical predictions', 'secondary effects', 'promising technique', 'multiple output', 'multiple input', 'large range', 'ground surface', 'capacity potential', 'array geometry']</t>
  </si>
  <si>
    <t>Capacity | MIMO systems | Propagation in free space</t>
  </si>
  <si>
    <t>Multiple input-multiple output (MIMO) systems are a promising technique for wireless applications that require high data rates. In this letter, we theoretically study their capacity potential for propagation in free-space and over a ground surface. We investigate how this depends on the array geometry and the electric field polarization. Moreover, we validate our theoretical predictions with measurements above a nearly perfectly flat surface. The experiment shows good agreement with the theory for a large range of distances and deviates from it when secondary effects (roughness etc.) become more significant.</t>
  </si>
  <si>
    <t>325-327</t>
  </si>
  <si>
    <t>60000251-60022134;60021378</t>
  </si>
  <si>
    <t>6603031729;35584953100</t>
  </si>
  <si>
    <t>Kyritsi, Persefoni;Chizhik, Dmitry</t>
  </si>
  <si>
    <t>Denmark;United States;United States</t>
  </si>
  <si>
    <t>Aalborg;Murray;New York</t>
  </si>
  <si>
    <t>Aalborg University;Nokia Bell Labs;IEEE</t>
  </si>
  <si>
    <t>60022134;60021378;60000251</t>
  </si>
  <si>
    <t>Kyritsi P.</t>
  </si>
  <si>
    <t>Capacity of multiple antenna systems in free space and above perfect ground</t>
  </si>
  <si>
    <t>10.1109/LCOMM.2002.802049</t>
  </si>
  <si>
    <t>2-s2.0-0036670834</t>
  </si>
  <si>
    <t>['whole surface', 'thorax elytra', 'testes consist', 'reproductive system', 'preoviposition period', 'linnaeus ).', 'life cycle', 'hind wings', 'average length', 'antenna consists', 'also described', 'alimentary canal', '9 segments', '8 mm', '5 mm', '3 legs', '10 ovarioles', '10 follicles']</t>
  </si>
  <si>
    <t>The external and internal morphological characteristics of the predator Rhyzobius lophanthae Blaisdell (Coleoptera, Coccinellidae) were studied. The head, antenna, thorax elytra, hind wings, legs and abdomen are described. The adult has an average length of about 2.5 mm and width of 1.8 mm. The flagellum of the antenna consists of 9 segments. The whole surface of thorax and elytra is covered by setae. The tarsus of the 3 legs is 3-segmented. An external morphological difference between male and female is the outline of the 5th ster«πite. The alimentary canal, the central nervous system, and the reproductive system of both male and female are also described. The testes consist of 10 follicles and the ovaries of 10 ovarioles. The life cycle of R. lophanthae was studied by rearing the predator on the diaspidid Chrysomphalus aonidum (Linnaeus). The duration of the development of the embryo, 1st, 2nd, 3rd, 4th larval instars, pupa and preoviposition period of adults were measured at 15, 20, 25 and 30 ¬∞C.</t>
  </si>
  <si>
    <t>Anzeiger fur Schadlingskunde</t>
  </si>
  <si>
    <t>60009524;60009524;60009524;60009524</t>
  </si>
  <si>
    <t>6602758394;6603508557;8539235900;6505727550</t>
  </si>
  <si>
    <t>Stathas, G. J.;Eliopoulos, P. A.;Kontodimas, D. C.;Siamos, D. Th</t>
  </si>
  <si>
    <t>Kifissia</t>
  </si>
  <si>
    <t>Benaki Phytopathological Institute</t>
  </si>
  <si>
    <t>Stathas G.</t>
  </si>
  <si>
    <t>Adult morphology and life cycle under constant temperatures of the predator Rhyzobius lophanthae Blaisdell (Col., Coccinellidae)</t>
  </si>
  <si>
    <t>10.1034/j.1399-5448.2002.02033.x</t>
  </si>
  <si>
    <t>2-s2.0-0036670883</t>
  </si>
  <si>
    <t>['unitary space', 'time modulation', 'time codes', 'spherical codes', 'sphere packing', 'snr scenarios', 'sizes 37', 'sizes 32', 'size 16', 'signal constellations', 'signal constellation', 'shown critical', 'recently proposed', 'receiver knows', 'primary property', 'practical success', 'parametric form', 'parametric codes', 'parametric code', 'order 32', 'noise ratio', 'making use', 'lower bounds', 'high signal', 'good performance', 'fading coefficients', 'fading channels', 'existing results', 'diversity sum', 'differential space', 'antenna systems', '256 obtained']</t>
  </si>
  <si>
    <t>Differential space-time modulation | Diversity products | Diversity sums | Rayleigh-fading channels | Sphere packing | Spherical codes | Transmitter diversity | Unitary matrices | Unitary space-time codes | Wireless communications</t>
  </si>
  <si>
    <t>Differential space-time modulation has been recently proposed in the literature for multiple-antenna systems over Rayleigh-fading channels, where neither the transmitter nor the receiver knows the fading coefficients. For the practical success of differential space-time modulation, it has been shown critical to design unitary space-time signal constellations with large diversity product which is a primary property for the signal constellations to have good performance in high signal-to-noise ratio (SNR) scenarios. In this paper, we focus on the design of unitary signal constellations for differential space-time modulation with double transmit antennas. By using the parametric form of a two-by-two unitary matrix, we present a class of unitary space-time codes called parametric codes and show that this class of unitary space-time codes leads to a five-signal constellation with the largest possible diversity product and a 16-signal constellation with the largest known diversity product. Although the parametric code of size 16 is not a group by itself, we show that it is a subset of a group of order 32. Furthermore, the unitary signal constellations of sizes 32, 64, 128, and 256 obtained by taking the subsets of the parametric codes of sizes 37, 75, 135, and 273, respectively, have the largest known diversity products. We also use large diversity sum of unitary space-time signal constellations as another significant property for the signal constellations to have good performance in low-SNR scenarios. The newly introduced unitary space-time codes can lead to signal constellations with sizes of 5 and 9 through 16 that have the largest possible diversity sums. Subsequently, we construct a few sporadic unitary signal constellations with the largest possible diversity product or diversity sum. A four-signal constellation which has both the largest possible diversity product and the largest possible diversity sum and three unitary signal constellations with the largest possible diversity sums for sizes of 6, 7, and 8 are constructed, respectively. Furthermore, by making use of the existing results in sphere packing and spherical codes, we provide several upper and lower bounds on the largest possible diversity product and the largest possible diversity sum that unitary signal constellations of any size can achieve.</t>
  </si>
  <si>
    <t>2291-2322</t>
  </si>
  <si>
    <t>60000251-60023004-60007566;60000251-60023004</t>
  </si>
  <si>
    <t>7401735883;7402179288</t>
  </si>
  <si>
    <t>Liang, Xue Bin;Xia, Xiang Gen</t>
  </si>
  <si>
    <t>Newark;Baton Rouge;New York</t>
  </si>
  <si>
    <t>University of Delaware;Louisiana State University;IEEE</t>
  </si>
  <si>
    <t>60023004;60007566;60000251</t>
  </si>
  <si>
    <t>Liang X.</t>
  </si>
  <si>
    <t>Unitary signal constellations for differential space-time modulation with two transmit antennas: Parametric code, optimal designs, and bounds</t>
  </si>
  <si>
    <t>10.1109/TIT.2002.800498</t>
  </si>
  <si>
    <t>2-s2.0-0036671368</t>
  </si>
  <si>
    <t>['sound production', 'sound producers', 'slip properties', 'sliding joint', 'skeletal changes', 'shingle surfaces', 'promotor muscle', 'producing species', 'producing palinurids', 'producing movements', 'producing mechanism', 'plectrum movement', 'panulirus argus', 'palinurus elephas', 'one lineage', 'one degree', 'muscle activity', 'multiple degrees', 'key modification', 'higher intensity', 'evolutionary variation', 'arthropod sound', 'antennular plate', 'additional ridge']</t>
  </si>
  <si>
    <t>Bioacoustics | Biomechanics | Joint | Palinuridae | Palinurus elephas | Panulirus argus | Sound production | Spiny lobster | Stridulation | Stringed instrument</t>
  </si>
  <si>
    <t>The origin of arthropod sound-producing morphology typically involves modification of two translating body surfaces, such as the legs and thorax. In an unusual structural rearrangement, I show that one lineage of palinurid lobsters lost an antennal joint articulation, which transformed this joint from moving with one degree of freedom into a sliding joint with multiple degrees of freedom. With this sliding joint, 'stick-and-slip' sounds are produced by rubbing the base of each antenna against the antennular plate. To understand the musculo-skeletal changes that occurred during the origin and evolutionary variation of this sound-producing mechanism, I examined joint morphology and antennal muscle anatomy across sound-producing and non-sound-producing palinurids. Plectrum movement and antennal muscle activity were measured in a sound-producing species, Panulirus argus. The promotor muscle pulls the plectrum over the file during sound-producing and non-sound-producing movements; a higher intensity of muscle activity is associated with sound production. The promotor muscle is larger and attaches more medially in sound-producing palinurids than in non-sound producers. In Panulirus argus, each shingle on the file has an additional ridge; in Palinurus elephas, the shingle surfaces are smooth. These differences in shingle surface features suggest variation in the stick-and-slip properties of the system. Translational motion permitted by the sliding joint is necessary for sound production; hence, the construction of a sliding joint is a key modification in the origin of this sound-producing mechanism.</t>
  </si>
  <si>
    <t>2375-2385</t>
  </si>
  <si>
    <t>Patek, Sheila N.</t>
  </si>
  <si>
    <t>Patek S.</t>
  </si>
  <si>
    <t>Squeaking with a sliding joint: Mechanics and motor control of sound production in palinurid lobsters</t>
  </si>
  <si>
    <t>2-s2.0-0036671718</t>
  </si>
  <si>
    <t>['wild type', 'type cells', 'thermal dissipation', 'terminal regions', 'state transition', 'specific polypeptides', 'sequence identity', 'sequence data', 'pigment data', 'photosystem ii', 'photosynthesis suggest', 'npq5 mutant', 'molecular characterization', 'molecular characteristics', 'light conditions', 'lhcii ).', 'lhcbm1 gene', 'high light', 'high degree', 'harvesting trimers', 'harvesting complex', 'excess light', 'defined precisely', 'damaging effects', 'although roles', '10 genes']</t>
  </si>
  <si>
    <t>Under high-light conditions, photoprotective mechanisms minimize the damaging effects of excess light. A primary photoprotective mechanism is thermal dissipation of excess excitation energy within the light-harvesting complex of photosystem II (LHCII). Although roles for both carotenoids and specific polypeptides in thermal dissipation have been reported, neither the site nor the mechanism of this process has been defined precisely. Here, we describe the physiological and molecular characteristics of the Chlamydomonas reinhardtii npq5 mutant, a strain that exhibits little thermal dissipation. This strain is normal for state transition, high light-induced violaxanthin deepoxidation, and low light growth, but it is more sensitive to photoinhibition than the wild type. Furthermore, both pigment data and measurements of photosynthesis suggest that the photosystem II antenna in the npq5 mutant has one-third fewer light-harvesting trimers than do wild-type cells. The npq5 mutant is null for a gene designated Lhcbm1, which encodes a light-harvesting polypeptide present in the trimers of the photosystem II antennae. Based on sequence data, the Lhcbm1 gene is 1 of 10 genes that encode the major LHCII polypeptides in Chlamydomonas. Amino acid alignments demonstrate that these predicted polypeptides display a high degree of sequence identity but maintain specific differences in their N-terminal regions. Both physiological and molecular characterization of the npq5 mutant suggest that most thermal dissipation within LHCII of Chlamydomonas is dependent on the peripherally associated trimeric LHC polypeptides.</t>
  </si>
  <si>
    <t>1801-1816</t>
  </si>
  <si>
    <t>Plant Cell</t>
  </si>
  <si>
    <t>8788881300;7003777478;7202301923</t>
  </si>
  <si>
    <t>Elrad, Dafna;Niyogi, Krishna K.;Grossman, Arthur R.</t>
  </si>
  <si>
    <t>Elrad D.</t>
  </si>
  <si>
    <t>A major light-harvesting polypeptide of photosystem II functions in thermal dissipation</t>
  </si>
  <si>
    <t>10.1105/tpc.002154</t>
  </si>
  <si>
    <t>2-s2.0-0036672384</t>
  </si>
  <si>
    <t>R01GM059469</t>
  </si>
  <si>
    <t>['type behavior', 'threefold shift', 'threefold decrease', 'sodium channel', 'smi60e mutant', 'second intron', 'results indicate', 'repellent odorant', 'phenotypic revertant', 'olfactory information', 'maxillary palps', 'l41 expression', 'ion channel', 'insertion site', 'imprecise p', 'impaired phenotype', 'generated p', 'element excision', 'dscl gene', 'dsc1 rather', 'dsc1 mrna', 'dsc1 message', 'drosophila melanogaster', 'dose response', 'complementation tests']</t>
  </si>
  <si>
    <t>Previously, we generated P-element insert lines in Drosophila melanogaster with impaired olfactory behavior. One of these smell-impaired (smi) mutants, smi60E, contains a P[lArB] transposon in the second intron of the dscl gene near a nested gene encoding the L41 ribosomal protein. The dsc1 gene encodes an ion channel of unknown function homologous to the paralytic (para) sodium channel, which mediates neuronal excitability. Complementation tests between the smi60E mutant and several EP insert lines map the smell-impaired phenotype to the P[lArB] insertion site. Wild-type behavior is restored upon P-element excision. Evidence that reduction in DSC1 rather than in L41 expression is responsible for the smell-impaired phenotype comes from a phenotypic revertant in which imprecise P-element excision restores the DSC1 message while further reducing L41 expression. Behavioral assays show that a threefold decrease in DSC1 mRNA is accompanied by a threefold shift in the dose response for avoidance of the repellent odorant, benzaldehyde, toward higher odorant concentrations. In situ hybridization reveals widespread expression of the dscl gene in the major olfactory organs, the third antennal segment and the maxillary palps, and in the CNS. These results indicate that the DSC1 channel contributes to processing of olfactory information during the olfactory avoidance response.</t>
  </si>
  <si>
    <t>1507-1516</t>
  </si>
  <si>
    <t>60004923;60004923;60004923;60004923;60004923</t>
  </si>
  <si>
    <t>57197677031;7403509077;7403228909;7005966607;7006537281</t>
  </si>
  <si>
    <t>Kulkarni, Nalini H.;Yamamoto, Akihiko H.;Robinson, Kellie O.;Mackay, Trudy F.C.;Anholt, Robert R.H.</t>
  </si>
  <si>
    <t>Kulkarni N.H.</t>
  </si>
  <si>
    <t>The DSC1 channel, encoded by the smi60E locus, contributes to odor-guided behavior in Drosophila melanogaster</t>
  </si>
  <si>
    <t>2-s2.0-0036672661</t>
  </si>
  <si>
    <t>['telemetry signal', 'speccoa etc', 'scca methods', 'related methods', 'practical experiments', 'passively locating', 'moving targets', 'joint tdoa', 'interfering signals', 'effective methods', 'doppler estimation', 'cyclic cross', 'cycle frequencies', 'also discussed']</t>
  </si>
  <si>
    <t>For the problem of estimating the time-difference-of-arrival (TDOA) of radio waves impinging on one or a pair of antennas for the purpose of actively or passively locating the source of a communications or telemetry signal in the presence of interfering signals and noise, W. A. Gardner has developed some effective methods, such as CCCC and SPECCOA etc. However, it is shown that CCCC, SPECCOA and related methods do not apply to moving targets because the Doppler shift changes the cycle frequencies of the signal of interest. Two new methods based on the cyclic cross-ambiguity (CCA) function and the spectrally cyclic cross-ambiguity (SCCA) function are introduced in the paper for the joint TDOA and Doppler estimation, and their consistency in estimating the TDOA and Doppler is also discussed. Practical experiments, utilising FM radio signals emitting from a remote FM transmitter to detect the planes and estimate the values of TDOA and Doppler, have been carried out. Experimental results demonstrate the efficiency of the CCA and SCCA methods in the estimation of TDOA and Doppler.</t>
  </si>
  <si>
    <t>161-165</t>
  </si>
  <si>
    <t>IEE Proceedings: Radar, Sonar and Navigation</t>
  </si>
  <si>
    <t>60024350;60024350;60024350;60024350</t>
  </si>
  <si>
    <t>34770885000;7405368397;7403697157;7401444033</t>
  </si>
  <si>
    <t>Huang, Z. T.;Zhou, Y. Y.;Jiang, W. L.;Lu, Q. Z.</t>
  </si>
  <si>
    <t>Changsha</t>
  </si>
  <si>
    <t>National University of Defense Technology</t>
  </si>
  <si>
    <t>Huang Z.</t>
  </si>
  <si>
    <t>Joint estimation of Doppler and time-difference-of-arrival exploiting cyclostationary property</t>
  </si>
  <si>
    <t>10.1049/ip-rsn:20020492</t>
  </si>
  <si>
    <t>2-s2.0-0036672691</t>
  </si>
  <si>
    <t>Department of Science and Technology, Ministry of Science and Technology, India</t>
  </si>
  <si>
    <t>‡§°‡•Ä‡§è‡§∏‡§ü‡•Ä</t>
  </si>
  <si>
    <t>['selected days', 'rights reserved', 'neutral winds', 'medium frequency', 'many days', 'magnetic equator', 'lower e', 'heights close', 'equatorial electrojet', 'electrodynamical state', 'electrodynamical processes', 'daytime wind', 'day basis', 'complex nature', '98 km', '94 km']</t>
  </si>
  <si>
    <t>EEJ electric field | Equatorial MLT region | MF radar drifts</t>
  </si>
  <si>
    <t>Medium frequency (MF) radar spaced antenna observations at heights close to the location of the equatorial electrojet over Tirunelveli (8.7¬∞N, 77.8¬∞E, geographic, 0.35¬∞N magnetic dip) are used to examine the influence of the electrodynamical processes in the determination of neutral winds in the lower E-region. On many days, daytime wind and tidal characteristics change at heights above 94 km, when analysis is performed on day-to-day basis. Under these conditions, the spaced antenna measurements need not represent neutral winds at all. On the other hand, on a few other days, the 'drifts' at 98 km are opposite to those expected from the electrodynamical considerations leading us to believe that we might be measuring neutral winds around this time. Selected days during the year 1995 bring out this complex nature of the spaced antenna measurements carried out over the magnetic equator. Ground-based geomagnetic field data provide information on the electrodynamical state of the equatorial ionospheric E-region. ¬© 2002 Elsevier Science Ltd. All rights reserved.</t>
  </si>
  <si>
    <t>1445-1453</t>
  </si>
  <si>
    <t>Journal of Atmospheric and Solar-Terrestrial Physics</t>
  </si>
  <si>
    <t>60018641;60018641;60018641</t>
  </si>
  <si>
    <t>56723849100;6603935310;7004570274</t>
  </si>
  <si>
    <t>Ramkumar, T. K.;Gurubaran, S.;Rajaram, R.</t>
  </si>
  <si>
    <t>Indian Institute of Geomagnetism</t>
  </si>
  <si>
    <t>Ramkumar T.</t>
  </si>
  <si>
    <t>Lower E-region MF radar spaced antenna measurements over magnetic equator</t>
  </si>
  <si>
    <t>S1364682602001086</t>
  </si>
  <si>
    <t>10.1016/S1364-6826(02)00108-6</t>
  </si>
  <si>
    <t>2-s2.0-0036672730</t>
  </si>
  <si>
    <t>['thus simplifying', 'subarray outputs', 'subarray channels', 'subarray centres', 'spotlight mode', 'simple model', 'significant advantage', 'resolution property', 'phased arrays', 'phase centres', 'paper methods', 'optimised approach', 'music method', 'minimum knowledge', 'look direction', 'local super', 'large arrays', 'considered directions', 'complete knowledge', 'central problem', 'basic idea', 'array outputs', 'applying super', 'applied like']</t>
  </si>
  <si>
    <t>A central problem in applying super-resolution to phased arrays is the knowledge of the 'array manifold', i.e. the complete knowledge of the array outputs for a plane wave impinging on the array from all considered directions. This becomes a problem for large arrays where only subarray outputs are digitised. In the paper methods for determining an array manifold model with minimum knowledge of the subarray channels are investigated. The basic idea is to treat the subarray centres as phase centres of omni-directional 'super-array' elements. Only the location of the centres and the gains have to be determined by calibration. The drawback of the simple model is that only a local super-resolution property is achieved. By steering the look direction of the array, local super-resolution can be applied like a spotlight mode for any direction of interest. The local super-resolution property has the advantage of suppressing uninteresting sidelobe sources and thus simplifying the super-resolution procedure due to the lower target number. Optimised subarray configurations which are determined by post-processing the subarray outputs are investigated. Using the MUSIC method as an example it is shown that no significant advantage can be gained with the optimised approach.</t>
  </si>
  <si>
    <t>166-173</t>
  </si>
  <si>
    <t>Nickel, U.</t>
  </si>
  <si>
    <t>Nickel U.</t>
  </si>
  <si>
    <t>Spotlight MUSIC: Super-resolution with subarrays with low calibration effort</t>
  </si>
  <si>
    <t>10.1049/ip-rsn:20020484</t>
  </si>
  <si>
    <t>2-s2.0-0036675364</t>
  </si>
  <si>
    <t>['study differs', 'rights reserved', 'ranging advantage', 'previous paper', 'previous one', 'microwave radar', 'kinematics characteristics', 'demonstrated also', 'cueing system', 'ballistic target', 'ballistic object']</t>
  </si>
  <si>
    <t>Ballistic target | Cueing | Fusion | Low frequency radar | Radar</t>
  </si>
  <si>
    <t>In a previous paper the Authors have described the concept of cueing a microwave radar by exploiting the detection of a low frequency radar; the target of interest was an aircraft. In this publication the study is extended to the case in which the target is a ballistic object. This study differs from the previous one for the electromagnetic and the kinematics characteristics of the target. The mathematical approach conceived in the previous paper has been extended to the present study case. The ranging advantage of using the cueing system is demonstrated also in the case of ballistic target. ¬© 2002 Elsevier Science B.V. All rights reserved.</t>
  </si>
  <si>
    <t>1096-1108</t>
  </si>
  <si>
    <t>60073283;100361644</t>
  </si>
  <si>
    <t>57202472103;7003751021</t>
  </si>
  <si>
    <t>Farina, A.;Grazzini, M.</t>
  </si>
  <si>
    <t>Rome;Rome</t>
  </si>
  <si>
    <t>Alenia Aeronautica;Elettronica SpA</t>
  </si>
  <si>
    <t>Radar fusion to detect targets. Part II</t>
  </si>
  <si>
    <t>S0165168402002396</t>
  </si>
  <si>
    <t>10.1016/S0165-1684(02)00239-6</t>
  </si>
  <si>
    <t>2-s2.0-0036680239</t>
  </si>
  <si>
    <t>['robustness feature', 'rights reserved', 'proposed technique', 'modeling disturbances', 'inherent robustness', 'based beamformer']</t>
  </si>
  <si>
    <t>Beamforming | Generalized sidelobe canceller | H  algorithm ‚àû | Imperfect antenna array</t>
  </si>
  <si>
    <t>The inherent robustness of the H‚àû algorithm in dealing with modeling disturbances is used to improve the performance of imperfect antenna array with the generalized sidelobe canceller structure. The modeling disturbances include sensor gain perturbation, initial condition error, and colored noise contamination. The influence of modeling disturbances, which is not involved in the recursive least squares (RLS) algorithm, is lumped into the estimation error minimization of the adaptive H‚àû algorithm. Thus, an H‚àû-based beamformer converges faster and is more robust to imperfect antenna array than an RLS-based beamformer. Computer simulation results have been provided to show the robustness feature of the proposed technique when applied to an imperfect antenna array. ¬© 2002 Elsevier Science B.V. All rights reserved.</t>
  </si>
  <si>
    <t>1183-1188</t>
  </si>
  <si>
    <t>60079715;60024908</t>
  </si>
  <si>
    <t>7402539407;7402434057</t>
  </si>
  <si>
    <t>Chang, Ann Chen;Chiang, Ching Tai</t>
  </si>
  <si>
    <t>Taipei;Dashu</t>
  </si>
  <si>
    <t>National Defense University Taiwan;I-Shou University</t>
  </si>
  <si>
    <t>Chang A.C.</t>
  </si>
  <si>
    <t>Adaptive H&lt;inf&gt;‚àû&lt;/inf&gt; robust beamforming for imperfect antenna array</t>
  </si>
  <si>
    <t>S0165168402002761</t>
  </si>
  <si>
    <t>10.1016/S0165-1684(02)00276-1</t>
  </si>
  <si>
    <t>2-s2.0-0036680426</t>
  </si>
  <si>
    <t>['œ ±-', 'unstained samples', 'significantly ellipsoidal', 'reaction centre', 'purple non', 'protein components', 'projection maps', 'possible orientations', 'lh1 subunit', 'lh1 indicates', 'lh1 forms', 'harvesting complex', 'elliptical forms', 'electron cryomicroscopy', 'dimensional crystals', 'clearly resolved', 'circular ring', 'bacterial membrane', 'antenna ring']</t>
  </si>
  <si>
    <t>2D crystals | Electron cryomicroscopy | Light-harvesting complex | Photosynthesis | Rhodospirillum rubrum</t>
  </si>
  <si>
    <t>Two-dimensional crystals of the reaction-centre-light-harvesting complex I (RC-LH1) of the purple non-sulfur bacterium Rhodospirillum rubrum have been formed from detergent-solubilized and purified protein complexes. Unstained samples of this intrinsic membrane protein complex have been analysed by electron cryomicroscopy (cryo EM). Projection maps were calculated to 8.5 √Ö from two different crystal forms, and show a single reaction centre surrounded by 16 LH1 subunits in a ring of ‚àº 115 √Ö diameter. Within each LH1 subunit, densities for the Œ±- and Œ≤-polypeptide chains are clearly resolved. In one crystal form the LH1 forms a circular ring, and in the other form the ring is significantly ellipsoidal. In each case, the reaction centre adopts preferred orientations, suggesting specific interactions between the reaction centre and LH1 subunits rather than a continuum of possible orientations with the antenna ring. This experimentally determined structure shows no evidence of any other protein components in the closed LH1 ring. The demonstration of circular or elliptical forms of LH1 indicates that this complex is likely to be flexible in the bacterial membrane.</t>
  </si>
  <si>
    <t>3927-3935</t>
  </si>
  <si>
    <t>EMBO Journal</t>
  </si>
  <si>
    <t>60001881;60001881;60001881;60001881;60001881;60001881;60001881</t>
  </si>
  <si>
    <t>7102385017;57189381788;35922459600;7102713494;7102260943;13105070700;7005076946</t>
  </si>
  <si>
    <t>Jamieson, Stuart J.;Wang, Peiyi;Qian, Pu;Kirkland, John Y.;Conroy, Matthew J.;Hunter, C. Neil;Bullough, Per A.</t>
  </si>
  <si>
    <t>Sheffield</t>
  </si>
  <si>
    <t>The University of Sheffield</t>
  </si>
  <si>
    <t>Jamieson S.</t>
  </si>
  <si>
    <t>Projection structure of the photosynthetic reaction centre-antenna complex of Rhodospirillum rubrum at 8.5 √Ö resolution</t>
  </si>
  <si>
    <t>10.1093/emboj/cdf410</t>
  </si>
  <si>
    <t>2-s2.0-0036683068</t>
  </si>
  <si>
    <t>['training data', 'temporal processing', 'support rejection', 'structured semi', 'signal subspace', 'results highlighting', 'range space', 'proposed scheme', 'output signal', 'interfering signals', 'interference ratios', 'future networks', 'existing systems', 'employing spatio', 'desired user', 'cci users', 'antenna array', 'also included']</t>
  </si>
  <si>
    <t>Antenna arrays | Array signal processing | Blind estimation | Cochannel interference | Equalization | Fading channels | Interference suppression | Spatio-temporal processing | Structured estimation</t>
  </si>
  <si>
    <t>The impact of interference is one of the most capacity limiting factors in cellular networks today. In order to host more users in existing systems and maximize the capacity of future networks, the use of interference suppression techniques are instrumental. In this paper, we propose a structured semi-blind parameter estimation procedure to support rejection of unknown cochannel interference (CCI) in systems facing multipath channels with non-negligible delay spread. Employing spatio-temporal processing, the proposed scheme exploits the temporal correlation present in the output signal from an antenna array and the training data of a desired user in order to find parameter estimates that fit the range space of a structured CCI model to the signal subspace of the interfering signals. Simulation results illustrating the behavior of a spatio-temporal receiver using the proposed scheme with respect to both signal-to-noise and signal-to-interference ratios (SNRs and SIRs) are presented. In addition, results highlighting the impact of the training sequence length as well as the impact of the channel model order of the CCI users are also included.</t>
  </si>
  <si>
    <t>2027-2036</t>
  </si>
  <si>
    <t>60000251-60002014;60000251-60002014</t>
  </si>
  <si>
    <t>16175487000;7007005676</t>
  </si>
  <si>
    <t>Klang, G√∂ran;Ottersten, Bj√∂rn</t>
  </si>
  <si>
    <t>Klang G.</t>
  </si>
  <si>
    <t>Structured semi-blind interference rejection in dispersive multichannel systems</t>
  </si>
  <si>
    <t>10.1109/TSP.2002.800403</t>
  </si>
  <si>
    <t>2-s2.0-0036683893</t>
  </si>
  <si>
    <t>['technique using', 'stronger compared', 'special properties', 'similar results', 'mutual coupling', 'monopole antennas', 'horizontal monopoles', 'bandgap centred', 'bandgap centre', '17 ghz']</t>
  </si>
  <si>
    <t>Mutual coupling effects of flush-mounted (horizontal) monopole antennas on high-impedance ground planes (HIP) have been measured. Experiments of horizontal monopoles on HIP with a bandgap centred at 4.7 GHz show that the interference between two adjacent elements is stronger compared to those on a regular metal ground plane due to special properties of HIP. A technique using a combination of HIP and thin metal strip is proven to reduce the mutual coupling by ‚àº6 dB. Similar results have been obtained for the horizontal monopoles on HIP with a bandgap centre at 17 GHz.</t>
  </si>
  <si>
    <t>849-850</t>
  </si>
  <si>
    <t>60002510;60018284;60005273;60002510;60002510;60002510;60018284</t>
  </si>
  <si>
    <t>18938213000;6602957586;55686295900;7102654444;7402119773;57212387115;55502229600</t>
  </si>
  <si>
    <t>Xin, H.;Matsugatani, K.;Kim, M.;Hacker, J.;Higgins, J. A.;Rosker, M.;Tanaka, M.</t>
  </si>
  <si>
    <t>Japan;South Korea;United States</t>
  </si>
  <si>
    <t>Kariya;Seoul;Thousand Oaks</t>
  </si>
  <si>
    <t>DENSO Corporation;Korea University;Teledyne Scientific and Imaging</t>
  </si>
  <si>
    <t>60018284;60005273;60002510</t>
  </si>
  <si>
    <t>Xin H.</t>
  </si>
  <si>
    <t>Mutual coupling reduction of low-profile monopole antennas on high-impedance ground plane</t>
  </si>
  <si>
    <t>10.1049/el:20020575</t>
  </si>
  <si>
    <t>2-s2.0-0036684539</t>
  </si>
  <si>
    <t>Bundesministerium f√ºr Bildung und Forschung</t>
  </si>
  <si>
    <t>BMBF</t>
  </si>
  <si>
    <t>['silica technology', 'required weights', 'optical heterodyning', 'ghz signals', 'forming algorithm', 'described using', 'calculated using', 'beam forming', 'antenna elements']</t>
  </si>
  <si>
    <t>Beam forming | Broad-band mobile communication | Integrated optoelectronics | Microwave antennas | Smart antennas</t>
  </si>
  <si>
    <t>Experiments are described using a photonic beam former to control a 60-GHz smart antenna. The 60-GHz signals are generated by optical heterodyning the waves of two laser diodes. Beam forming is achieved by new photonic planar lightwave circuits in silica technology. The beam former enables individual weighting of the millimeter-wave signals feeding the antenna elements. The required weights for a desired field distribution are calculated using the maximum directivity beam-forming algorithm.</t>
  </si>
  <si>
    <t>1169-1171</t>
  </si>
  <si>
    <t>60011055;60011055;60011055;60011055;60011055;60011055;60011055;60011055</t>
  </si>
  <si>
    <t>7003766746;6602421686;6506092606;7004593597;6603554180;23025515900;6506696767;7003943320</t>
  </si>
  <si>
    <t>Grosskopf, G.;Eggemann, R.;Zinal, S.;Kuhlow, B.;Przyrembel, G.;Rohde, D.;Kortke, A.;Ehlers, H.</t>
  </si>
  <si>
    <t>Grosskopf G.</t>
  </si>
  <si>
    <t>Photonic 60-GHz maximum directivity beam former for smart antennas in mobile broad-band communications</t>
  </si>
  <si>
    <t>S1041113502054939</t>
  </si>
  <si>
    <t>10.1109/LPT.2002.1022007</t>
  </si>
  <si>
    <t>2-s2.0-0036684567</t>
  </si>
  <si>
    <t>['simulation showed', 'modified maximal', 'interference ratio', 'input signal', 'also simulated', '20 db']</t>
  </si>
  <si>
    <t>The principle and simulation of a modified maximal-ratio-combining (MRC) beamformer that suppresses strong interferences for the on-board digital beamforming (DBF) antenna in high attitude platform stations (HAPS) is described. The simulation showed that interference is suppressed when the input signal-to-interference ratio, is -20 dB. The beamformer works well even during multiple strong interferences. Bit error ratio performance was also simulated.</t>
  </si>
  <si>
    <t>847-848</t>
  </si>
  <si>
    <t>60032325;60032325;60032325;60025084;60091863</t>
  </si>
  <si>
    <t>7202927995;7103322075;6603898698;7404663417;55709829300</t>
  </si>
  <si>
    <t>Jin, R.;Miura, R.;Oodo, M.;Zhu, Hongwen;Suzuki, M.</t>
  </si>
  <si>
    <t>Japan;Japan;China</t>
  </si>
  <si>
    <t>Sendai;Koganei;Shanghai</t>
  </si>
  <si>
    <t>Telecommunications Advancement Organization of Japan;Japan National Institute of Information and Communications Technology;Shanghai Jiao Tong University</t>
  </si>
  <si>
    <t>60091863;60032325;60025084</t>
  </si>
  <si>
    <t>Jin R.</t>
  </si>
  <si>
    <t>Modified MRC beamformer to suppress strong interferences for on-board DBF antenna in HAPS</t>
  </si>
  <si>
    <t>10.1049/el:20020587</t>
  </si>
  <si>
    <t>2-s2.0-0036684604</t>
  </si>
  <si>
    <t>['f antennas', '45 ghz']</t>
  </si>
  <si>
    <t>The inverted-F antennas, double-wire (DW-IFA) and double-strip (DS-IFA) were developed for f0 = 2.45 GHz and a 0.8Œª0 in size square ground plate. The antennas were distinctive for their wideband match performance, 12% for DW-IFA and 18%/17% for DS-IFA. Results showed radiation characteristics were suitable for the mobile environment scenario.</t>
  </si>
  <si>
    <t>845-847</t>
  </si>
  <si>
    <t>60007087;60007087;60007087</t>
  </si>
  <si>
    <t>7003827161;7006587951;56209665800</t>
  </si>
  <si>
    <t>Olmos, M.;Hristov, H. D.;Feick, R.</t>
  </si>
  <si>
    <t>Chile</t>
  </si>
  <si>
    <t>Valpara√≠so</t>
  </si>
  <si>
    <t>Universidad T√©cnica Federico Santa Mar√≠a</t>
  </si>
  <si>
    <t>Olmos M.</t>
  </si>
  <si>
    <t>Inverted-F antennas with wideband match performance</t>
  </si>
  <si>
    <t>10.1049/el:20020610</t>
  </si>
  <si>
    <t>2-s2.0-0036684611</t>
  </si>
  <si>
    <t>['time codes', 'stbc ),', 'simulation results', 'proposed criterion', 'perform better', 'known space', 'coded modulation', 'also applied']</t>
  </si>
  <si>
    <t>A modified performance criterion that can be used for evaluating the performance of space-time codes on fast fading channels is presented. Using parameter comparison and simulation results, the proposed criterion is shown to be more accurate than the conventional product distance criterion in predicting the performance of well-known space-time codes. The criterion is also applied to multiple-trellis-coded modulation (MTCM) concatenated with space-time block code (STBC), which is shown to perform better than other known space-time trellis codes (STTCs) on fast fading channels.</t>
  </si>
  <si>
    <t>889-890</t>
  </si>
  <si>
    <t>60016912;60004580;60018257;60016912</t>
  </si>
  <si>
    <t>7003475750;7006315024;7102749651;7102248263</t>
  </si>
  <si>
    <t>Maeng, Joon Seok;Jin, Ik Soo;Sung, Wonjin;Whang, Keum Chan</t>
  </si>
  <si>
    <t>Seoul;Seoul;Masan</t>
  </si>
  <si>
    <t>Sogang University;Yonsei University;Kyungnam University</t>
  </si>
  <si>
    <t>60018257;60016912;60004580</t>
  </si>
  <si>
    <t>Maeng J.</t>
  </si>
  <si>
    <t>Modified performance criterion for space-time codes on fast fading channels</t>
  </si>
  <si>
    <t>10.1049/el:20020571</t>
  </si>
  <si>
    <t>2-s2.0-0036684614</t>
  </si>
  <si>
    <t>['two dimensions', 'results showed', 'offset feed', 'offset away', 'manufacturing errors', '45 ghz']</t>
  </si>
  <si>
    <t>The design of microstrip offset feed circular polarised and nearly square patch antenna operating at 2.45 GHz was presented. The feed of a nearly square patch was offset away from the corner feed position. The ratio of two dimensions of the patch was increased to maintain the circular polarization condition. Results showed that with the offset feed the effect of manufacturing errors on the performance of the antenna was reduced.</t>
  </si>
  <si>
    <t>844-845</t>
  </si>
  <si>
    <t>60004636;60004636;60004636</t>
  </si>
  <si>
    <t>35436152800;36105242300;57218868885</t>
  </si>
  <si>
    <t>Qin, Yi;Lim, E. G.;Korolkiewicz, E.</t>
  </si>
  <si>
    <t>Qin Y.</t>
  </si>
  <si>
    <t>Design of microstrip offset feed circular polarised nearly square patch antenna operating at 2.45 GHz</t>
  </si>
  <si>
    <t>10.1049/el:20020611</t>
  </si>
  <si>
    <t>2-s2.0-0036684641</t>
  </si>
  <si>
    <t>['well known', 'various scenarios', 'theoretical derivations', 'proposed analyses', 'narrowband beamformers', 'effortlessly analyze', 'easily explored', 'detailed discussions', 'desired signal']</t>
  </si>
  <si>
    <t>Adaptive array | Cholesky decomposition | Correlated signal | Multiple correlated signals | Narrowband beamformer</t>
  </si>
  <si>
    <t>In this paper, we use Cholesky signal decomposition procedure to effortlessly analyze the narrowband beamformers for cases of multiple correlated signals. If the desired signal and a fully correlated interference both exist, it is well known that the beamformer will produce the so-called signal cancellation. As for multiple correlated signals, the analysis of the beamformer becomes burdensome in development of the constrained multiple parameters optimization. With the proposed analyses, the general signal cancellation conditions, characterized by correlations, powers, and directions of arrival of signals, are easily explored to uncover the weakness of the beamformer for modern wireless communications. The detailed discussions and simulations in various scenarios are then presented to verify the theoretical derivations.</t>
  </si>
  <si>
    <t>209-218</t>
  </si>
  <si>
    <t>60014982;60014982;60014982</t>
  </si>
  <si>
    <t>7402887793;8938955500;55230263200</t>
  </si>
  <si>
    <t>Lin, Rong San;Yang, Jar Ferr;Tsai, Churng Jou</t>
  </si>
  <si>
    <t>Tainan</t>
  </si>
  <si>
    <t>National Cheng Kung University</t>
  </si>
  <si>
    <t>Lin R.</t>
  </si>
  <si>
    <t>Multiple signal cancellation for narrowband beamformers</t>
  </si>
  <si>
    <t>2-s2.0-0036685713</t>
  </si>
  <si>
    <t>['œµ r', 'total number', 'still maintain', 'reject filter', 'reflecting plane', 'rectenna elements', 'rectenna circuit', 'rectenna ).', 'radiated harmonics', 'paper reports', 'orthogonal beamwidths', 'loop antenna', 'load resistance', 'gain high', 'gain dual', 'gain antenna', 'fixed area', 'dc conversion', 'cp rectenna', 'approximately 80', '7 db', '60 ¬∞.', '40 ¬∞', '20 db', '100 mw', '10 %.']</t>
  </si>
  <si>
    <t>Circularly polarized antennas | Coplanar stripline | Microwave power transmission | Rectifying antenna | Wireless power transmission</t>
  </si>
  <si>
    <t>This paper reports a new circularly polarized (CP) high-gain high-efficiency rectifying antenna (rectenna). The CP rectenna can be rotated and still maintain a constant dc output voltage. The high-gain antenna has an advantage of reducing the total number of rectenna elements to cover a fixed area. The rectenna is etched on Rogers Duroid 5870 substrate with Œµ r = 2.33 and 10 mil thickness. A high-gain dual-rhombic-loop antenna and a reflecting plane are used to achieve a CP antenna gain of 10.7 dB and a 2:1 voltage standing-wave ratio bandwidth of 10%. The rectenna's pattern has an elliptical cross section with orthogonal beamwidths of 40¬∞ and 60¬∞. The rectenna circuit has a coplanar stripline band-reject filter that suppresses the re-radiated harmonics by 20 dB. A highly efficient Schottky diode is used for RF-to-dc conversion with an efficiency of approximately 80% for an input power level of 100 mW and a load resistance of 260 Œ©.</t>
  </si>
  <si>
    <t>1870-1876</t>
  </si>
  <si>
    <t>6701618039;7404879378</t>
  </si>
  <si>
    <t>Strassner, Berndie;Chang, Kai</t>
  </si>
  <si>
    <t>Strassner B.</t>
  </si>
  <si>
    <t>5.8-GHz circularly polarized rectifying antenna for wireless microwave power transmission</t>
  </si>
  <si>
    <t>10.1109/TMTT.2002.801312</t>
  </si>
  <si>
    <t>2-s2.0-0036686044</t>
  </si>
  <si>
    <t>['urban environments', 'transfer matrix', 'temporal correlations', 'system simulations', 'statistical evaluation', 'sfir ),', 'radio links', 'proposed model', 'new environments', 'multipath components', 'modeling step', 'mimo ).', 'method enables', 'interference reduction', 'indoor scenarios', 'error rate', 'enables first', 'death process', 'correct modeling', 'complete systems']</t>
  </si>
  <si>
    <t>Communication channels | Fading channels | Multipath channels | Multiple-input/multiple-output systems | Radio propagation</t>
  </si>
  <si>
    <t>A novel stochastic channel model for the indoor propagation channel is presented. It is especially for, but not limited to future communication systems with multiple antennas like space division multiple access (SDMA), spatial filtering for interference reduction (SFIR), or multiple-input/multiple-output (MIMO). The model is designed for indoor scenarios, straight forward extendable to urban environments. It is based on physical wave propagation. The new approach describes the channel by multipath components, each characterized by its transfer matrix (including loss), delay, direction of arrival, and departure. The appearance and disappearance of multipath components over time is modeled as a birth and death process, a marked Poisson process. This enables first-time the correct modeling of spatial and temporal correlations. In each modeling step, path properties change according to the motion of transmitter and receiver. The changing delay times of propagation paths yield a realistic Doppler behavior of the channel. Deterministic ray tracing results are used to produce the huge data sets required for the statistical evaluation of the parameters of the proposed model. This method enables an automated parameter extraction for new environments or frequencies. The ray tracing tool has been verified by narrowband, wideband, and directional channel measurements. The novel stochastic spatial channel model allows the simulation of third-generation broadband radio systems including arbitrary antenna configurations and patterns. System simulations for the bit-error rate of radio links can be performed including intelligent antenna configurations like SDMA, SFIR, or MIMO. Furthermore, the capacity of complete systems can be investigated.</t>
  </si>
  <si>
    <t>1178-1192</t>
  </si>
  <si>
    <t>60000251-60029428-60017366;60000251-60029428;60000251-60029428</t>
  </si>
  <si>
    <t>7003694193;57214655263;7006593766</t>
  </si>
  <si>
    <t>Zwick, Thomas;Fischer, Christian;Wiesbeck, Werner</t>
  </si>
  <si>
    <t>Germany;United States;United States</t>
  </si>
  <si>
    <t>Karlsruhe;Yorktown Heights;New York</t>
  </si>
  <si>
    <t>Karlsruhe Institute of Technology, Campus South;IBM Thomas J. Watson Research Center;IEEE</t>
  </si>
  <si>
    <t>60029428;60017366;60000251</t>
  </si>
  <si>
    <t>Zwick T.</t>
  </si>
  <si>
    <t>A stochastic multipath channel model including path directions for indoor environments</t>
  </si>
  <si>
    <t>10.1109/JSAC.2002.801218</t>
  </si>
  <si>
    <t>2-s2.0-0036686311</t>
  </si>
  <si>
    <t>DAAH049610008</t>
  </si>
  <si>
    <t>['turbine engines', 'thereby causing', 'temperature sensing', 'temperature materials', 'temperature environment', 'temperature applications', 'telemetry removes', 'sensor contains', 'pressure sensing', 'pressure range', 'power supplies', 'passive nature', 'fixed inductor', 'fabrication tools', 'electromechanical model', 'average sensitivity', '7 bar', '24 mbar']</t>
  </si>
  <si>
    <t>Capacitive sensor | Ceramic | High temperature | Low-temperature cofireable ceramic (LTCC) | Pressure sensor | Screen-printed</t>
  </si>
  <si>
    <t>In high-temperature applications, such as pressure sensing in turbine engines and compressors, high.temperature materials and data retrieval methods are required. The microelectronics packaging infrastructure provides high-temperature ceramic materials, fabrication tools, and well-developed processing techniques that have the potential for applicability in high-temperature sensing. Based on this infrastructure, a completely passive ceramic pressure sensor that uses a wireless telemetry scheme has been developed. The passive nature of the telemetry removes the need for electronics, power supplies, or contacts to withstand the high-temperature environment. The sensor contains a passive LC resonator comprised of a movable diaphragm capacitor and a fixed inductor, thereby causing the sensor resonant frequency to be pressure-dependent. Data is retrieved with an external loop antenna. The sensor has been fabricated and characterized and was compared with an electromechanical model. It was operated up to 400 ¬∞C in a pressure range from 0 to 7 Bar. The average sensitivity and accuracy of three typical sensors are: -141 kHz Bar -1 and 24 mbar, respectively.</t>
  </si>
  <si>
    <t>337-343</t>
  </si>
  <si>
    <t>Journal of Microelectromechanical Systems</t>
  </si>
  <si>
    <t>60000251-60021032;60021032;60021032;60000251-60021032</t>
  </si>
  <si>
    <t>7101806120;7202807065;7003754648;7404104565</t>
  </si>
  <si>
    <t>Fonseca, Michael A.;English, Jennifer M.;Von Arx, Martin;Allen, Mark G.</t>
  </si>
  <si>
    <t>Fonseca M.</t>
  </si>
  <si>
    <t>Wireless micromachined ceramic pressure sensor for high-temperature applications</t>
  </si>
  <si>
    <t>10.1109/JMEMS.2002.800939</t>
  </si>
  <si>
    <t>2-s2.0-0036686314</t>
  </si>
  <si>
    <t>['system capacity', 'strong line', 'receiving elements', 'receiving arrays', 'power loss', 'polarization coupling', 'much lower', 'measurements taken', 'los conditions', 'labs ),', 'inherently limits', 'horizontally versus', 'crawford hill', 'capacity behavior', 'achievable capacity', '15 receivers', '15 db', '12 transmitters', '0 db']</t>
  </si>
  <si>
    <t>Diversity methods | Indoor propagation | Multiple-input/multiple-output systems | Polarization | Radio propagation | Wireless local area network</t>
  </si>
  <si>
    <t>In this paper, we analyze the behavior of a multiple element antenna system in an indoor environment based on the measurements taken in the Lucent Bell Labs building in Crawford Hill, NJ, with a system of 12 transmitters and 15 receivers. In particular, we investigate the capacity behavior with respect to the polarization of the transmitting/receiving elements and the distance between the transmitting and the receiving arrays. The analysis of the power rolloff versus distance clearly demonstrates the different propagation characteristics of the horizontally versus the vertically polarized electric fields. Under strong line-of-sight (LOS) conditions (hallway environment), the power of the horizontally polarized waves falls off faster with distance than that of the vertically polarized fields. Also, the cross-polarization coupling is about -15 dB. Under nonline-of-sight (NLOS) conditions (labs), both polarizations display similar rolloff behavior with distance and the cross-polarization coupling is about 0 dB. There is a power loss of at least 15 dB under NLOS conditions relative to LOS conditions. The average received signal power affects the system capacity. In the hallway, horizontally polarized systems achieve lower capacities than their vertically polarized counterparts. Also the achievable capacity in the labs is much lower than that in the hallway, because of the lower average received power. The comparison of single polarization systems to hybrid polarization systems shows that combined polarization systems perform better in terms of achievable capacity. Therefore, there lies an advantage in using both electric field polarizations. However, under strong LOS conditions the channel itself inherently limits the capacity behavior of the system.</t>
  </si>
  <si>
    <t>1227-1239</t>
  </si>
  <si>
    <t>60000251-60022134;60000251-60012708;60000251-60021378;60021378</t>
  </si>
  <si>
    <t>6603031729;7403241218;7101611306;6603174156</t>
  </si>
  <si>
    <t>Kyritsi, Persefoni;Cox, Donald C.;Valenzuela, Reinaldo A.;Wolniansky, Peter W.</t>
  </si>
  <si>
    <t>Denmark;United States;United States;United States</t>
  </si>
  <si>
    <t>Aalborg;Murray;Palo Alto;New York</t>
  </si>
  <si>
    <t>Aalborg University;Nokia Bell Labs;Stanford University;IEEE</t>
  </si>
  <si>
    <t>60022134;60021378;60012708;60000251</t>
  </si>
  <si>
    <t>Effect of antenna polarization on the capacity of a multiple element system in an indoor environment</t>
  </si>
  <si>
    <t>10.1109/JSAC.2002.801225</t>
  </si>
  <si>
    <t>2-s2.0-0036686336</t>
  </si>
  <si>
    <t>['theoretical one', 'performed measurements', 'metropolitan tokyo', 'loss characteristics', 'cell design', 'breakpoint disappeared', 'breakpoint characteristics', 'bound formulas', '75 ghz']</t>
  </si>
  <si>
    <t>Microwave radio propagation | Mobile communication | Urban areas</t>
  </si>
  <si>
    <t>To model the path-loss characteristics in microwave urban line-of, sight (LOS) propagation, we performed measurements in metropolitan Tokyo at frequencies of 3.35, 8.45, and 15.75 GHz. The actual breakpoint distance was shorter than the theoretical one because of the influence of vehicles, pedestrians, and other objects on the road. This effect has been referred to as effective road height. We found that the breakpoint disappeared when the mobile-antenna height approached the effective road height. Based on these breakpoint characteristics, we propose new upper- and lower-bound formulas for LOS path loss in urban microcellular environments. They will be useful for the system and cell design of fourth-generation multimedia mobile communication systems using microwave bands.</t>
  </si>
  <si>
    <t>1151-1155</t>
  </si>
  <si>
    <t>60000251-60003381;60000251-60003414;60000251-60025141</t>
  </si>
  <si>
    <t>7101619125;8964323300;7005850918</t>
  </si>
  <si>
    <t>Masui, Hironari;Kobayashi, Takehiko;Akaike, Masami</t>
  </si>
  <si>
    <t>Japan;Japan;Japan;United States</t>
  </si>
  <si>
    <t>Tokyo;Tokyo;Tokyo;New York</t>
  </si>
  <si>
    <t>Tokyo University of Science;Tokyo Denki University;Hitachi, Ltd.;IEEE</t>
  </si>
  <si>
    <t>60025141;60003414;60003381;60000251</t>
  </si>
  <si>
    <t>Masui H.</t>
  </si>
  <si>
    <t>Microwave path-loss modeling in urban line-of-sight environments</t>
  </si>
  <si>
    <t>10.1109/JSAC.2002.801215</t>
  </si>
  <si>
    <t>2-s2.0-0036686451</t>
  </si>
  <si>
    <t>['time delay', 'simulated results', 'rf frequencies', 'q factor', 'optical true', 'field patterns', 'entire k', 'different frequencies', '5 ghz', '03 ps']</t>
  </si>
  <si>
    <t>Far-field pattern | Holographic-grating coupler | Phased-array antenna | Q factor | True-time delay</t>
  </si>
  <si>
    <t>A 1-to-64 [6-bit(26)] optical true-time delay module is designed, fabricated, and packaged for squint-free beam steering in phased array antennas, providing linear time delays ranging from 0 to 443.03 ps. The phases versus RF frequencies are measured to verify that the time delay is independent of RF frequencies. The optical true-time delay module is integrated into a K-band (18-26.5 GHz) phased-array antenna system. Far-field patterns at different frequencies over the entire K-band are measured and compared with simulated results to verify the system's wide instantaneous RF bandwidth. The Q factor is measured to be 10.20 of the true-time delay optical link transmitting 2.5-Gb/s random digital signal.</t>
  </si>
  <si>
    <t>1175-1177</t>
  </si>
  <si>
    <t>60013372;60000251-60013372</t>
  </si>
  <si>
    <t>55633312100;55507881400</t>
  </si>
  <si>
    <t>Chen, Yihong;Chen, Ray T.</t>
  </si>
  <si>
    <t>Austin;New York</t>
  </si>
  <si>
    <t>The University of Texas at Austin;IEEE</t>
  </si>
  <si>
    <t>60013372;60000251</t>
  </si>
  <si>
    <t>A fully packaged true time delay module for a K-band phased array antenna system demonstration</t>
  </si>
  <si>
    <t>S1041113502054885</t>
  </si>
  <si>
    <t>10.1109/LPT.2002.1022009</t>
  </si>
  <si>
    <t>2-s2.0-0036686622</t>
  </si>
  <si>
    <t>['wave analysis', 'parameters extraction', 'original domain', 'numerical examples', 'multimesh resolution', 'multilayered aperture', 'iterative procedure', 'greatly reduces', 'global solution', 'domain independently', 'domain finite', 'difference method', 'decomposition method', 'conventional finite', 'conducting pillars', 'computational complexity', 'bridge discontinuity', 'also investigated', 'achieved finally']</t>
  </si>
  <si>
    <t>Domain decomposition | FDFD | Full-wave analysis</t>
  </si>
  <si>
    <t>A novel technique based on the domain-decomposition method and frequency-domain finite-difference method is presented for the full-wave analysis of three-dimensional electromagnetic problems. In this method, the original domain is decomposed into sub-domains, Maxwell's equations are then solved in each sub-domain independently, and the global solution is achieved finally by an iterative procedure. It greatly reduces the computational complexity and the memory requirement compared with the conventional finite-difference method and method of moments, etc. To reduce CPU time, some techniques, such as the relaxation iterative algorithm, overlapped domain decomposition, and multimesh resolution are also investigated and adopted to accelerate the algorithm. The validity of this algorithm is verified by numerical examples, including the analysis of a multilayered aperture-coupled patch antenna, the scattering characteristic analysis of conducting pillars, and the S-parameters extraction of the air-bridge discontinuity.</t>
  </si>
  <si>
    <t>2011-2017</t>
  </si>
  <si>
    <t>60005244-101302163;60005244;60000251-60005244</t>
  </si>
  <si>
    <t>36793102400;57200019107;56937616600</t>
  </si>
  <si>
    <t>Yin, Lei;Wang, Jie;Hong, Wei</t>
  </si>
  <si>
    <t>Nanjing;New York;San Jose</t>
  </si>
  <si>
    <t>Southeast University;IEEE;Celestry Inc.</t>
  </si>
  <si>
    <t>60005244;60000251;101302163</t>
  </si>
  <si>
    <t>Yin L.</t>
  </si>
  <si>
    <t>A novel algorithm based on the domain-decomposition method for the full-wave analysis of 3-D electromagnetic problems</t>
  </si>
  <si>
    <t>10.1109/TMTT.2002.801361</t>
  </si>
  <si>
    <t>2-s2.0-0036686717</t>
  </si>
  <si>
    <t>N66001-C-99-8638</t>
  </si>
  <si>
    <t>['wave mode', 'wave antenna', 'two degrees', 'traditional phased', 'structure consists', 'standard leaky', 'reconfigurable leaky', 'patch concept', 'multimode structure', 'maximize isolation', 'long leaky', 'enhanced flexibility', 'diode switches', 'array systems', 'antenna patterns']</t>
  </si>
  <si>
    <t>Leaky-wave antenna | Patch antenna | Phased array | Reconfigurable aperture</t>
  </si>
  <si>
    <t>A novel reconfigurable leaky-wave/patch microstrip aperture is introduced and characterized. The structure consists of a long leaky-wave microstrip antenna that has been segmented into several smaller patch antennas. The multimode structure can be reconfigured into a patch antenna anywhere along the aperture of the leaky-wave antenna with two degrees of freedom. p-i-n-diode switches are utilized to switch between the different aperture configurations. The structure's unique field profile is utilized to minimize insertion loss in the leaky-wave mode and also to maximize isolation between the different aperture ports. Radiation patterns demonstrate excellent radiation characteristics consistent with standard leaky-wave and patch-antenna patterns. The reconfigurable leaky-wave/patch concept is applied to realize some unique multimode array configurations offering wide scan coverage and enhanced flexibility over traditional phased-array systems.</t>
  </si>
  <si>
    <t>1877-1884</t>
  </si>
  <si>
    <t>60000251-60027550;60000251-60027550;60000251-60027550-60074104;60000251-60027550</t>
  </si>
  <si>
    <t>6602995516;7407034902;7402872518;36041035600</t>
  </si>
  <si>
    <t>Sor, James;Chang, Chin Chang;Qian, Yongxi;Itoh, Tatsuo</t>
  </si>
  <si>
    <t>Sor J.</t>
  </si>
  <si>
    <t>A reconfigurable leaky-wave/patch microstrip aperture for phased-array applications</t>
  </si>
  <si>
    <t>10.1109/TMTT.2002.801313</t>
  </si>
  <si>
    <t>2-s2.0-0036686882</t>
  </si>
  <si>
    <t>200791/97-4</t>
  </si>
  <si>
    <t>['requiring nearly', 'pass network', 'paper describes', 'novel structure', 'microwave integrated', 'gain ripple', 'frequency circuit', 'design procedure', 'design optimization', 'circuit structure']</t>
  </si>
  <si>
    <t>All-pass filter | HEMT | Microwave | MMIC | Monolithic circuit | Phase shifter</t>
  </si>
  <si>
    <t>This paper describes a novel structure for a monolithic-microwave integrated-circuit active phase shifter based on a bridge all-pass network. The design procedure has been developed, leading to a fixed-frequency circuit with large tunable phase variation, associated to a low-gain ripple, and requiring nearly no design optimization. Simulated results predicted an analog tunable 180¬∞ phase variation, at 5-GHz operation frequency. The circuit was implemented using GEC-Marconi pseudomorphic high electron-mobility transistor H40 technology, and measured results validated the proposed design method and circuit structure.</t>
  </si>
  <si>
    <t>1885-1889</t>
  </si>
  <si>
    <t>60091234;60000251-60008088;60000251-60010818</t>
  </si>
  <si>
    <t>7801390514;57223446443;6701911352</t>
  </si>
  <si>
    <t>Viveiros, David;Consonni, Denise;Jastrzebski, Adam K.</t>
  </si>
  <si>
    <t>United States;United Kingdom;Brazil;United States</t>
  </si>
  <si>
    <t>Sunnyvale;Canterbury;Sao Paulo;New York</t>
  </si>
  <si>
    <t>Fujitsu America, Inc.;University of Kent;Universidade de S√£o Paulo;IEEE</t>
  </si>
  <si>
    <t>60091234;60010818;60008088;60000251</t>
  </si>
  <si>
    <t>Viveiros D.</t>
  </si>
  <si>
    <t>A tunable all-pass MMIC active phase shifter</t>
  </si>
  <si>
    <t>10.1109/TMTT.2002.801315</t>
  </si>
  <si>
    <t>2-s2.0-0036686889</t>
  </si>
  <si>
    <t>['speaking position', 'radio environment', 'proposed model', 'one direction', 'new model', 'narrow range', 'multiple antennas', 'model consists', 'mobile terminals', 'mobile terminal', 'major part', 'like environments', 'human operator', 'dominating signal', 'directive environment', 'directive antenna', 'directional performance', 'directional due', 'calculated values']</t>
  </si>
  <si>
    <t>Correlation, diversity | Handset antenna performance | Mean effective gain | Mobile terminal | Spherical power spectrum model</t>
  </si>
  <si>
    <t>Mobile terminals are often used indoor with the base station outdoors. At the mobile terminal the major part of the signal energy comes through openings in the building such as windows. Typically, only one of the sides in a room has windows, and seldom does a room have windows on all sides. Hence, the dominating signal can be expected to arrive at the mobile terminal from a narrow range of angles. Mobile terminal antennas used next to the head in speaking position will be directional due to the fact that part of the radiation pattern facing the head will be attenuated and reflected. Having a directive antenna in a directive environment, performance will depend on the orientation of the antenna in the radio environment. A new statistical spherical outdoor to indoor power spectrum model has been proposed to be able to calculate the directional performance of mobile terminals with a single or multiple antennas. The model consists of a major scattering area in one direction and more uniformly distributed minor scatterers in the other directions. A verification of the proposed model was performed and 60 data sets of spherical power spectrum measurements were collected in a typical urban environment. Using the new model, the directional performance of mobile terminal antennas including a human operator has been investigated through directional mean effective gain, branch power ratio, and correlation calculations using spherical radiation pattern measurements of a mobile terminal including the effect of 42 different persons. The accuracy of the calculated values was verified by directly measured values using 200 persons walking with the mobile terminal in the same office-like environments as where the spherical power spectrum measurements were performed.</t>
  </si>
  <si>
    <t>1156-1169</t>
  </si>
  <si>
    <t>60000251-101143871;60022134</t>
  </si>
  <si>
    <t>7004998082;7102820003</t>
  </si>
  <si>
    <t>Knudsen, Mikael Bergholz;Pedersen, Gert Fr√∏lund</t>
  </si>
  <si>
    <t>Denmark;United States;Denmark</t>
  </si>
  <si>
    <t>Aalborg;New York;Aalborg</t>
  </si>
  <si>
    <t>Aalborg University;IEEE;Maxon Telecom A/S</t>
  </si>
  <si>
    <t>60022134;60000251;101143871</t>
  </si>
  <si>
    <t>Knudsen M.</t>
  </si>
  <si>
    <t>Spherical outdoor to indoor power spectrum model at the mobile terminal</t>
  </si>
  <si>
    <t>10.1109/JSAC.2002.801216</t>
  </si>
  <si>
    <t>2-s2.0-0036686919</t>
  </si>
  <si>
    <t>['wavelength wires', 'receiver 4', 'pulsating 433', 'placed 4', 'inverse square', 'cubic array', '9 half']</t>
  </si>
  <si>
    <t>Theoretically scalar potential Œ¶ waves with a longitudinal electric field E‚Üí in the direction of propagation must exist. A centrally fed ball antenna, 6 cm diameter, producing a pulsating 433.59 MHz spherical source charge, generated such a wave, that was detected by an identical ball antenna. The longitudinality of E‚Üí was demonstrated by intervening a cubic array of 9 half-wavelength wires, that absorbed the wave when the wires were parallel (but not when perpendicular) to the direction of propagation. The signal from the ball antenna source, placed 4.0 m above ground and receiver 4.4 m above ground, was measured as a function of distance, yielding satisfactory agreement with theory, including 2 expected interference minima produced by an image source induced in the Earth. Only waves can yield such an interference and can be reflected from the Earth's surface and vary as the inverse square of distance.</t>
  </si>
  <si>
    <t>514-520</t>
  </si>
  <si>
    <t>Europhysics Letters</t>
  </si>
  <si>
    <t>60025858;</t>
  </si>
  <si>
    <t>6505957721;7005635146</t>
  </si>
  <si>
    <t>Monstein, C.;Wesley, J. P.</t>
  </si>
  <si>
    <t>Monstein C.</t>
  </si>
  <si>
    <t>Observation of scalar longitudinal electrodynamic waves</t>
  </si>
  <si>
    <t>10.1209/epl/i2002-00136-9</t>
  </si>
  <si>
    <t>2-s2.0-0036687124</t>
  </si>
  <si>
    <t>['water filling', 'stochastic model', 'radio channels', 'picocell environments', 'output studies', 'numerous single', 'narrowband channels', 'model uses', 'mobile station', 'microcell environments', 'input parameters', 'experimental studies', 'efficient technique', 'correlation matrices', 'base station', '20 db', '16 b']</t>
  </si>
  <si>
    <t>Eigenanalysis | Multiple-input/multiple-output measurement | Spectral efficiency | Stochastic mulltiple-input/multiple-output radio channel model</t>
  </si>
  <si>
    <t>Theoretical and experimental studies of multiple-input/multiple-output (MIMO) radio channels are presented in this paper. A simple stochastic MIMO model channel has been developed. This model uses the correlation matrices at the mobile station (MS) and base station (BS) so that results of the numerous single-input/multiple-output studies that have been published in the literature can be used as input parameters. In this paper, the model is simplified to the narrowband channels. The validation of the model is based upon data collected in both picocell and microcell environments. The stochastic model has also been used to investigate the capacity of MIMO radio channels, considering two different power allocation strategies, water filling and uniform and two different antenna topologies, 4 √ó 4 and 2 √ó 4. Space diversity used at both ends of the MIMO radio link is shown to be an efficient technique in picocell environments, achieving capacities within 14 b/s/Hz and 16 b/s/Hz in 80% of the cases for a 4 √ó 4 antenna configuration implementing water filling at a SNR of 20 dB.</t>
  </si>
  <si>
    <t>1211-1226</t>
  </si>
  <si>
    <t>60022134;60000251-60022134;60000251-60101003;60000251-60022134-60101003;60101003</t>
  </si>
  <si>
    <t>6602975658;15923585400;7201733345;35584209600;6602475405</t>
  </si>
  <si>
    <t>Kermoal, Jean Philippe;Schumacher, Laurent;Pedersen, Klaus Ingemann;Mogensen, Preben Elgaard;Frederiksen, Frank</t>
  </si>
  <si>
    <t>Kermoal J.P.</t>
  </si>
  <si>
    <t>A stochastic MIMO radio channel model with experimental validation</t>
  </si>
  <si>
    <t>10.1109/JSAC.2002.801223</t>
  </si>
  <si>
    <t>2-s2.0-0036687246</t>
  </si>
  <si>
    <t>NSC-89-2213-E-110-021</t>
  </si>
  <si>
    <t>['wave method', 'surface waves', 'single stubs', 'scattering parameters', 'radiated space', 'numerical results', 'microstrip amplifier', 'investigate radiation', 'integral equation', 'dyadic green', 'current densities']</t>
  </si>
  <si>
    <t>Full-wave method | Microstrip amplifier | Radiation loss | Spectral-domain approach | Surface-wave loss</t>
  </si>
  <si>
    <t>A full-wave method is presented to investigate radiation from a microstrip amplifier. The spectral-domain dyadic Green's function, which takes into account both radiation and surface waves, is used to formulate an integral equation. The method of moments is then employed to find the current densities in microstrips and, subsequently, the scattering parameters of the amplifier. The radiated space and surface waves that are launched from the amplifier can be further expressed in terms of the dyadic Green's function and current densities. To verify the numerical results of scattering parameters and far-field radiation patterns, a UHF-band microstrip amplifier matching with single stubs has been implemented and measured. The comparison between simulation and measurement shows excellent agreement.</t>
  </si>
  <si>
    <t>2005-2010</t>
  </si>
  <si>
    <t>7006453948;7407180517</t>
  </si>
  <si>
    <t>Horng, Tzyy Sheng;Wu, Sung Mao</t>
  </si>
  <si>
    <t>Horng T.</t>
  </si>
  <si>
    <t>Radiation from a microstrip amplifier</t>
  </si>
  <si>
    <t>10.1109/TMTT.2002.801359</t>
  </si>
  <si>
    <t>2-s2.0-0036687349</t>
  </si>
  <si>
    <t>Seventh Framework Programme</t>
  </si>
  <si>
    <t>FP7</t>
  </si>
  <si>
    <t>['tunable lasers', 'ttd system', 'theoretical analysis', 'system avoids', 'synchronal control', 'rf signal', 'new five', 'much smaller', 'measured experimentally', 'element true', 'delay line', 'controlled continuously', 'chirp rate', 'beampointing angle', 'agree well']</t>
  </si>
  <si>
    <t>Chirp rate | Chirped fiber grating | Continuously tunable | Fiber delay line | True-time-delay</t>
  </si>
  <si>
    <t>In this letter, we demonstrate a new five-element true-time-delay (TTD) system that uses only a single tunable linear chirped fiber grating (TLCFG) delay line for continuous TTD beamforming. The system avoids the complicated wavelength tuning and synchronal control of the tunable lasers as well as the tunable bandpass filters. Different time delays are achieved by tuning the chirp rate of the TLCFG, to which a multiwavelength laser source that carries the RF signal is applied. The time delay responses of the TTD system are measured experimentally, which agree well with the theoretical analysis. The beampointing angle can be controlled continuously by changing the chirp rate of the TLCFG. The minimum time delay step can be much smaller than 1 ps thanks to the high position resolution of the actuator.</t>
  </si>
  <si>
    <t>1172-1174</t>
  </si>
  <si>
    <t>60005510-60025704;60005510;60000251-60005510-60028897</t>
  </si>
  <si>
    <t>55742051100;8115154200;7403503344</t>
  </si>
  <si>
    <t>Liu, Yunqi;Yang, Jianliang;Yao, Jianping</t>
  </si>
  <si>
    <t>Canada;United Kingdom;Singapore;United States</t>
  </si>
  <si>
    <t>Ottawa;London;Singapore City;New York</t>
  </si>
  <si>
    <t>University of Ottawa;City, University of London;Nanyang Technological University;IEEE</t>
  </si>
  <si>
    <t>60028897;60025704;60005510;60000251</t>
  </si>
  <si>
    <t>Continuous true-time-delay beamforming for phased array antenna using a tunable chirped fiber grating delay line</t>
  </si>
  <si>
    <t>S1041113502062705</t>
  </si>
  <si>
    <t>10.1109/LPT.2002.1022008</t>
  </si>
  <si>
    <t>2-s2.0-0036687439</t>
  </si>
  <si>
    <t>89-E-FAO6-2-4</t>
  </si>
  <si>
    <t>['two open', 'transmitting gain', 'suitable power', 'sigelobe level', 'power radiating', 'power beamwidth', 'placing one', 'patch antenna', 'paper proposes', 'nonradiating edge', 'input signal', 'fields radiated', 'fet amplifier', 'element array', 'designed five', 'db bandwidth', 'coupling length', 'coupling coefficient', 'coupled lines', 'coupled line', 'center frequency', 'center element', 'broadside 25', 'band five', 'antenna elements', 'amplitude distribution', '9 db', '27 db', '22 db', '17 ¬∞,', '10 ghz']</t>
  </si>
  <si>
    <t>Active antenna | Amplifying array | Patch-antenna coupler | Spatial power combining</t>
  </si>
  <si>
    <t>This paper proposes a novel amplifying antenna array using the patch-antenna coupler formed by placing one or two open-ended microstrip line (coupled lines) near and along the nonradiating edge(s) of a patch antenna. An X-band five-element array with broadside 25-dB Chebyshev radiation is demonstrated. When the input signal is fed to the center element, with most of the power radiating from the antenna, part of it is tapped to the coupled lines, amplified by an FET amplifier, and fed to the next antenna element. This process is repeated after all the antenna elements are fed with suitable power. The amplitude distribution of the fields radiated from the antennas is controlled by the coupling coefficient from the patch to the coupled line, which, in turn, is governed by the coupling length and gap between the patch and line. The measured returns loss of the designed five-element array is -27 dB at the center frequency of 10 GHz with 2% 10-dB bandwidth. The radiation pattern possesses a transmitting gain of 15.9 dB, a half-power beamwidth of 17¬∞, and a sigelobe level of -22 dB.</t>
  </si>
  <si>
    <t>1919-1926</t>
  </si>
  <si>
    <t>60012370-100815281;60000251-60085745;60000251-60012370;60000251-60020547</t>
  </si>
  <si>
    <t>57199101518;7409389187;55469205300;7404879378</t>
  </si>
  <si>
    <t>Tsai, Chih Hung;Yang, Yaochou A.;Chung, Shyh Jong;Chang, Kai</t>
  </si>
  <si>
    <t>United States;United States;Taiwan;United States;Taiwan</t>
  </si>
  <si>
    <t>Sunnyvale;College Station;Hsinchu;New York;Tainan</t>
  </si>
  <si>
    <t>Trimble Navigation, Ltd.;Texas A&amp;M University;National Chiao Tung University;IEEE;Darfon Electronics Corp.</t>
  </si>
  <si>
    <t>60085745;60020547;60012370;60000251;100815281</t>
  </si>
  <si>
    <t>Tsai C.</t>
  </si>
  <si>
    <t>A novel amplifying antenna array using patch-antenna couplers-design and measurement</t>
  </si>
  <si>
    <t>10.1109/TMTT.2002.801335</t>
  </si>
  <si>
    <t>2-s2.0-0036687527</t>
  </si>
  <si>
    <t>['wireless channel', 'time processing', 'spatial description', 'spatial characteristics', 'scattering centers', 'receiver motion', 'realistic channels', 'propagation delay', 'mobile communication', 'global system', 'generation standards', 'elevation ),', 'dimensional model', 'coding systems', 'classic methods']</t>
  </si>
  <si>
    <t>Channel modeling | Multipath fading channels | Multiple antenna systems | Multiple-input/multiple-output systems</t>
  </si>
  <si>
    <t>A three-dimensional model is proposed for simulating the wireless channel. The model allows simulation of the effects of realistic channels on space-time processing and coding systems. The model is characterized by a set of scattering centers with a given mean angle of arrival (departure), angle spread (azimuth and elevation), and propagation delay. Additionally, the model accommodates either transmitter or receiver motion. Spatial characteristics of the simulated channels match previously obtained analytical results. We use the model to generate standardized temporal and spatial channel conditions from global system for mobile communication and third-generation standards. We demonstrate the need for such a spatial description by contrasting our results to classic methods of generating these standardized channel conditions.</t>
  </si>
  <si>
    <t>1193-1203</t>
  </si>
  <si>
    <t>60000251-60032320;60000251-60027550</t>
  </si>
  <si>
    <t>6507914721;7006406317</t>
  </si>
  <si>
    <t>Mohasseb, Yahya Z.;Fitz, Michael P.</t>
  </si>
  <si>
    <t>Egypt;United States;United States</t>
  </si>
  <si>
    <t>Cairo;Los Angeles;New York</t>
  </si>
  <si>
    <t>Military Technical College, Cairo;University of California, Los Angeles;IEEE</t>
  </si>
  <si>
    <t>60032320;60027550;60000251</t>
  </si>
  <si>
    <t>Mohasseb Y.</t>
  </si>
  <si>
    <t>A 3-D spatio-temporal simulation model for wireless channels</t>
  </si>
  <si>
    <t>10.1109/JSAC.2002.801219</t>
  </si>
  <si>
    <t>2-s2.0-0036687749</t>
  </si>
  <si>
    <t>Government of Canada</t>
  </si>
  <si>
    <t>CITR</t>
  </si>
  <si>
    <t>['well known', 'spreading code', 'results presented', 'placed apart', 'paper indicate', 'new parameter', 'multiantenna system', 'many times', 'interantenna distance', 'fading ),', 'diversity gain', 'bandwidth interference', 'antenna gain', 'antenna elements']</t>
  </si>
  <si>
    <t>CDMA | Interference analysis | Macrodiversity | Multiantennas | Wireless communications</t>
  </si>
  <si>
    <t>In a multiantenna system, there is a potential antenna gain against interference, in addition to the diversity gain achieved against fading. It is well known that in order to attain most of the diversity gain (against fading), the antenna elements should be placed apart with a distance (many times) greater than the wavelength = [speed of light]/[frequency] of the carrier. The results presented in this paper indicate that in order to attain most of the antenna gain (against interference) in the reverse-link of finite-bandwidth interference-limited CDMA systems, the interantenna distance should be (many times) greater than a new parameter which is defined as the chiplength = [speed of light]/[chip rate] of the spreading code.</t>
  </si>
  <si>
    <t>1356-1371</t>
  </si>
  <si>
    <t>60089889-60017592;60089889-60016849</t>
  </si>
  <si>
    <t>6603917247;7004889537</t>
  </si>
  <si>
    <t>Yanikomeroglu, Halim;Sousa, Elvino S.</t>
  </si>
  <si>
    <t>Dundas;Ottawa;Toronto</t>
  </si>
  <si>
    <t>IEEE Canada;Carleton University;University of Toronto</t>
  </si>
  <si>
    <t>60089889;60017592;60016849</t>
  </si>
  <si>
    <t>Yanikomeroglu H.</t>
  </si>
  <si>
    <t>Antenna gain against interference in CDMA macrodiversity systems</t>
  </si>
  <si>
    <t>10.1109/TCOMM.2002.801521</t>
  </si>
  <si>
    <t>2-s2.0-0036688311</t>
  </si>
  <si>
    <t>['serration dimensions', 'polarization level', 'paper explores', 'microstrip antenna', 'investigation includes', 'edge serrations']</t>
  </si>
  <si>
    <t>Finite ground | Microstrip antennas</t>
  </si>
  <si>
    <t>This paper explores how edge serrations on a truncated ground plane affect the performance of a microstrip antenna. The investigation includes both simulations and measurements of a range of serration dimensions. Improvements in performance through ground plane edge serration include lower cross-polarization level, increased beam width, and slight impedance tuning compared to a microstrip antenna on a simple finite ground plane.</t>
  </si>
  <si>
    <t>308-310</t>
  </si>
  <si>
    <t>60000745;60000251-60000745</t>
  </si>
  <si>
    <t>7005239216;7101803680</t>
  </si>
  <si>
    <t>Huff, G. H.;Bernhard, J. T.</t>
  </si>
  <si>
    <t>Urbana;New York</t>
  </si>
  <si>
    <t>University of Illinois Urbana-Champaign;IEEE</t>
  </si>
  <si>
    <t>60000745;60000251</t>
  </si>
  <si>
    <t>Huff G.</t>
  </si>
  <si>
    <t>Improvements in the performance of microstrip antennas on finite ground planes through ground plane edge serrations</t>
  </si>
  <si>
    <t>10.1109/LMWC.2002.802032</t>
  </si>
  <si>
    <t>2-s2.0-0036688675</t>
  </si>
  <si>
    <t>NSF 9964761</t>
  </si>
  <si>
    <t>['wire loop', 'small gap', 'simulated using', 'reduced gain', 'radiation pattern', 'metal box', 'measured results', 'impedance bandwidth', 'fdtd method', 'antenna mounted']</t>
  </si>
  <si>
    <t>Broadband antennas | DCS-1800 | Handsets | IMT-2000 | Loop antennas</t>
  </si>
  <si>
    <t>A rectangular loop antenna is proposed for DCS-1800 and IMT-2000 mobile phone handsets. By introducing a small gap in the wire loop, an impedance bandwidth of 24% can be achieved. The antenna mounted on a metal box is simulated using the FDTD method. It is found that the introduction of a small gap also results in a radiation pattern with desirable polarization independence and a reduced gain in the direction of the user's head. The simulated and measured results are presented.</t>
  </si>
  <si>
    <t>305-307</t>
  </si>
  <si>
    <t>60021032;60021032;60000251-60021032;60029738;60029738</t>
  </si>
  <si>
    <t>7404724322;7003916876;56972325400;7102894931;7102125229</t>
  </si>
  <si>
    <t>Li, R. L.;Tentzeris, E. M.;Laskar, J.;Fusco, V. F.;Cahill, R.</t>
  </si>
  <si>
    <t>Belfast;Atlanta;New York</t>
  </si>
  <si>
    <t>Queen's University Belfast;Georgia Institute of Technology;IEEE</t>
  </si>
  <si>
    <t>60029738;60021032;60000251</t>
  </si>
  <si>
    <t>Li R.</t>
  </si>
  <si>
    <t>Broadband loop antenna for DCS-1800/IMT-2000 mobile phone handsets</t>
  </si>
  <si>
    <t>10.1109/LMWC.2002.802031</t>
  </si>
  <si>
    <t>2-s2.0-0036689714</t>
  </si>
  <si>
    <t>CCR-9984237</t>
  </si>
  <si>
    <t>['wireless channels', 'well understood', 'well suited', 'various transmit', 'unitary space', 'time modulation', 'time coding', 'system considerably', 'latter case', 'channel coding', '5 compared']</t>
  </si>
  <si>
    <t>Fading channels | MIMO systems | Space-time codes | Turbo codes | Unitary constellations</t>
  </si>
  <si>
    <t>Space-time coding is well understood for high data rate communications over wireless channels with perfect channel state information. On the other hand, channel coding for multiple transmit antennas when channel state information is unknown has only received limited attention. Recently, a new signaling scheme, named unitary space-time modulation, has been proposed for the latter case. In this paper, we consider the use of turbo coding together with unitary space-time modulation. We demonstrate that turbo coded space-time modulation systems are well suited to wireless communication systems when there is no channel state information, in the sense that the turbo coding improves the bit error rate (BER) performance of the system considerably. In particular, we observe that the turbo-coded system provides 10-15 dB coding gain at a BER of 10 -5 compared to the unitary space-time modulation for various transmit and receive antenna diversity cases.</t>
  </si>
  <si>
    <t>1244-1249</t>
  </si>
  <si>
    <t>60000251-60003892-60021032;60000251-60003892</t>
  </si>
  <si>
    <t>6603608016;7004018156</t>
  </si>
  <si>
    <t>Bahceci, Israfil;Duman, Tolga M.</t>
  </si>
  <si>
    <t>Atlanta;Tempe;New York</t>
  </si>
  <si>
    <t>Georgia Institute of Technology;Arizona State University;IEEE</t>
  </si>
  <si>
    <t>60021032;60003892;60000251</t>
  </si>
  <si>
    <t>Bahceci I.</t>
  </si>
  <si>
    <t>Combined turbo coding and unitary space-time modulation</t>
  </si>
  <si>
    <t>10.1109/TCOMM.2002.801484</t>
  </si>
  <si>
    <t>2-s2.0-0036691828</t>
  </si>
  <si>
    <t>NSC90-2213-E009-053</t>
  </si>
  <si>
    <t>['wave antenna', 'traditional designs', 'short leaky', 'scanning capability', 'reflected wave', 'power divider', 'phase difference', 'operated frequencies', 'open end', 'many applications', 'main beam', 'great potential', 'equally separated', 'elevation plane', 'dimensional beam', 'coupled antennas', 'backside e', 'back plane', '7 db', '6 cm', '0 ghz']</t>
  </si>
  <si>
    <t>Phase shifter | Reflected wave | Two-dimensional scanning capability</t>
  </si>
  <si>
    <t>An aperture-fed patch antenna array is connected to the open end of a short leaky-wave antenna (LWA) to demonstrate the two-dimensional beam-scanning capability in this paper. This design not only offers another radiation path of the reflected wave, but also creates another scanning radiation pattern on the back plane of the substrate. The reflected wave of the LWA is equally separated by a power divider, modulated by each varactor-tuned phase shifter, and injected into two radiating aperture-coupled antennas. The operated frequencies are tuned to control the LWA main position in the elevation plane; meanwhile, by tuning the phase difference between two phase shifters, the main beam of the aperture-coupled antenna array can be scanned in the backside E plane. Experimental result shows that the suppression of the reflected wave can be 7 dB at 10.0 GHz with a short LWA length of 6 cm (two wavelengths). The H-plane and backside E-plane scanning radiation patterns have great potential in many applications and provide more flexibility to traditional designs.</t>
  </si>
  <si>
    <t>311-313</t>
  </si>
  <si>
    <t>60000251-60004879;60012370;60000251-60012370</t>
  </si>
  <si>
    <t>7501637046;7202612820;7005109058</t>
  </si>
  <si>
    <t>Wang, Chien Jen;Guan, Hua Lin;Jou, Christina F.</t>
  </si>
  <si>
    <t>Taiwan;Taiwan;United States</t>
  </si>
  <si>
    <t>Hsinchu;Taichung;New York</t>
  </si>
  <si>
    <t>National Chiao Tung University;Feng Chia University;IEEE</t>
  </si>
  <si>
    <t>60012370;60004879;60000251</t>
  </si>
  <si>
    <t>Wang C.</t>
  </si>
  <si>
    <t>Two-dimensional scanning leaky-wave antenna by utilizing the phased array</t>
  </si>
  <si>
    <t>10.1109/LMWC.2002.802033</t>
  </si>
  <si>
    <t>2-s2.0-0036691906</t>
  </si>
  <si>
    <t>605-612</t>
  </si>
  <si>
    <t>Kravchenko, V. F.</t>
  </si>
  <si>
    <t>Kotelnikov Institute of Radioengineering and Electronics (IRE) of Russian Academy of Sciences</t>
  </si>
  <si>
    <t>New class of atomic-fractal functions for antenna synthesis</t>
  </si>
  <si>
    <t>10.1134/1.1505522</t>
  </si>
  <si>
    <t>2-s2.0-0036697585</t>
  </si>
  <si>
    <t>595-597</t>
  </si>
  <si>
    <t>100445026;60030359</t>
  </si>
  <si>
    <t>7003635691;7003348008</t>
  </si>
  <si>
    <t>Bakhrakh, L. D.;Izrailovich, M. Ya</t>
  </si>
  <si>
    <t>Mechanical Engineering Research Institute, Russian Academy of Sciences;Moscow Institute of Communal Enterprises and Buildings</t>
  </si>
  <si>
    <t>60030359;100445026</t>
  </si>
  <si>
    <t>Bakhrakh L.</t>
  </si>
  <si>
    <t>Analysis of the space-time characteristics of the resulting radiation from linear antenna arrays for ultrashort pulses in the case of sequential activation and arbitrary input signals</t>
  </si>
  <si>
    <t>10.1134/1.1505519</t>
  </si>
  <si>
    <t>2-s2.0-0036697634</t>
  </si>
  <si>
    <t>NAS3-00079</t>
  </si>
  <si>
    <t>['sudden transition', 'return loss', 'previous designs', 'mode horn', 'linear taper', 'generate mutimodes', 'corrugated horn', '98 %).']</t>
  </si>
  <si>
    <t>Gaussian beams | Horn antennas | Millimeter-wave antennas</t>
  </si>
  <si>
    <t>An improvement on the dual-mode horn for Gaussian mode generation has been developed. Previous designs have used a sudden transition or linear taper to generate the required TE 11 and TM 11 mode mixture. In the improved design presented here, an optimized nonlinear taper is used to generate mutimodes, which have a fundamental Gaussian mode power fraction of 99% that exceeds that of the corrugated horn (98%). The bandwidth and return loss are both improved over other dual-mode horn designs.</t>
  </si>
  <si>
    <t>1077-1081</t>
  </si>
  <si>
    <t>60000251-60001867</t>
  </si>
  <si>
    <t>Neilson, Jeffrey M.</t>
  </si>
  <si>
    <t>Saratoga;New York</t>
  </si>
  <si>
    <t>Calabazas Creek Research, Inc.;IEEE</t>
  </si>
  <si>
    <t>60001867;60000251</t>
  </si>
  <si>
    <t>Neilson J.</t>
  </si>
  <si>
    <t>An improved multimode horn for Gaussian mode generation at millimeter and submillimeter wavelengths</t>
  </si>
  <si>
    <t>10.1109/TAP.2002.801282</t>
  </si>
  <si>
    <t>2-s2.0-0036698991</t>
  </si>
  <si>
    <t>['two x', 'two cases', 'reflectarray converts', 'radiation patterns', 'polarized four', 'phasing circuits', 'phase distribution', 'orthogonal port', 'microwave signal', 'field zone', 'fet transistors', 'feed horn', 'feed array', 'chosen direction', 'boresight direction', 'amplified signal']</t>
  </si>
  <si>
    <t>Microstrip arrays | Microwave power amplifiers | Power combiners | Reflector antennas</t>
  </si>
  <si>
    <t>The design and development of two X-band amplifying reflectarrays is presented. The arrays use dual-polarized aperture coupled patch antennas with FET transistors and phasing circuits to amplify a microwave signal and to radiate it in a chosen direction. Two cases are considered, one when a reflectarray converts a spherical wave due to a feed horn into a plane wave radiated into a boresight direction, and two, when the reflectarray converts a spherical wave due to a dual-polarized four-element feed array into a co-focal spherical wave. This amplified signal is received in an orthogonal port of the feed array so that the entire structure acts as a spatial power combiner. The two amplifying arrays are tested in the near-field zone for phase distribution over their apertures to achieve the required beam formation. Alternatively, their radiation patterns or gains are investigated.</t>
  </si>
  <si>
    <t>60000251-60031004;60000251-113089780-101740927;60000251-60021939</t>
  </si>
  <si>
    <t>35570164700;7403386650;7404037594</t>
  </si>
  <si>
    <t>Bialkowski, Marek E.;Robinson, Ashley W.;Song, Hyok J.</t>
  </si>
  <si>
    <t>Australia;United States;United States;Australia;Australia</t>
  </si>
  <si>
    <t>Brisbane;Malibu;New York;;</t>
  </si>
  <si>
    <t>The University of Queensland;HRL Laboratories;IEEE;Filtronic Components Australia;Micreo Ltd.</t>
  </si>
  <si>
    <t>60031004;60021939;60000251;113089780;101740927</t>
  </si>
  <si>
    <t>Design, development, and testing of X-band amplifying reflectarrays</t>
  </si>
  <si>
    <t>10.1109/TAP.2002.801393</t>
  </si>
  <si>
    <t>2-s2.0-0036698998</t>
  </si>
  <si>
    <t>['yagi antennas', 'state devices', 'results agree', 'reduced bandwidth', 'power combining', 'phased arrays', 'operating bandwidth', 'nominal efficiency', 'microstrip circuitry', 'measured 48', 'higher gain', 'enhanced design', 'domain simulation', 'difference time', 'completely compatible', 'classic yagi', 'back ratio', 'antenna achieves', 'active arrays']</t>
  </si>
  <si>
    <t>Broad-Band antennas | Microstrip antennas | Yagi-Uda arrays</t>
  </si>
  <si>
    <t>In this paper, a novel broadband planar antenna based on the classic Yagi-Uda dipole array is presented. This "quasi-Yagi" antenna achieves a measured 48% bandwidth for VSWR &lt; 2, better than 12 dB front-to-back ratio, smaller than -15 dB cross polarization, 3-5 dB absolute gain and a nominal efficiency of 93% across the operating bandwidth. Finite-difference time-domain simulation is used for optimization of the antenna and the results agree very well with the measurement. Additionally, a gain-enhanced design is presented, where higher gain has been achieved at the cost of reduced bandwidth. These quasi-Yagi antennas are realized on a high dielectric constant substrate and are completely compatible with microstrip circuitry and solid-state devices. The antenna should find wide applications in wireless communication systems, power combining, phased arrays, and active arrays, as well as millimeter-wave imaging arrays.</t>
  </si>
  <si>
    <t>1158-1160</t>
  </si>
  <si>
    <t>60026638;60096312;60074104;60011362;60027550</t>
  </si>
  <si>
    <t>7006572237;7006826516;7402872518;35478779700;36041035600</t>
  </si>
  <si>
    <t>Kaneda, Noriaki;Deal, W. R.;Qian, Yongxi;Waterhouse, Rod;Itoh, Tatsuo</t>
  </si>
  <si>
    <t>United States;United States;United States;Finland;Australia</t>
  </si>
  <si>
    <t>Camarillo;Aliso Viejo;Los Angeles;Espoo;Melbourne</t>
  </si>
  <si>
    <t>Lucix Corporation;Microsemi Corporation;University of California, Los Angeles;Nokia Corporation;RMIT University</t>
  </si>
  <si>
    <t>60096312;60074104;60027550;60026638;60011362</t>
  </si>
  <si>
    <t>Kaneda N.</t>
  </si>
  <si>
    <t>A broad-band planar quasi-Yagi antenna</t>
  </si>
  <si>
    <t>10.1109/TAP.2002.801299</t>
  </si>
  <si>
    <t>2-s2.0-0036698999</t>
  </si>
  <si>
    <t>['small size', 'repeater system', 'proposed technique', 'permittivity substrate', 'overall dimension', 'new technique', 'light weight', '894 mhz']</t>
  </si>
  <si>
    <t>Patch antenna | Repeater system</t>
  </si>
  <si>
    <t>A new technique to reduce the overall dimension of a microstrip antenna using a partially filled high-permittivity substrate is proposed. The miniaturized microstrip antenna for a repeater system in a mobile communication cellular band (824-894 MHz) is designed with the proposed technique and manufactured with light weight and small size. Comparison between simulations, based on HP HFSS software and measurements are provided.</t>
  </si>
  <si>
    <t>1160-1162</t>
  </si>
  <si>
    <t>60013866;60029472</t>
  </si>
  <si>
    <t>56124682600;35561475200</t>
  </si>
  <si>
    <t>Lee, Byungje;Harackiewicz, Frances J.</t>
  </si>
  <si>
    <t>Carbondale;Seoul</t>
  </si>
  <si>
    <t>Southern Illinois University Carbondale;Kwangwoon University</t>
  </si>
  <si>
    <t>60029472;60013866</t>
  </si>
  <si>
    <t>Miniature microstrip antenna with a partially filled high-permittivity substrate</t>
  </si>
  <si>
    <t>10.1109/TAP.2002.801360</t>
  </si>
  <si>
    <t>2-s2.0-0036699001</t>
  </si>
  <si>
    <t>['wire antennas', 'observed occurrence', 'numerical solutions', 'mathematically well', 'domain scattering', 'considerable implications', 'argument explains']</t>
  </si>
  <si>
    <t>Electromagnetic scattering | Pocklington's equation | Thin wire antennas | Time domain</t>
  </si>
  <si>
    <t>We show that the Pocklington integral equation for time-domain scattering from thin-wire antennas is not mathematically well-posed. This has considerable implications for numerical solution schemes. In particular, our argument explains the observed occurrence of rapidly oscillating errors in numerical solutions as the numerical grid sizes are reduced.</t>
  </si>
  <si>
    <t>1165-1166</t>
  </si>
  <si>
    <t>60024724;60019656;60003892</t>
  </si>
  <si>
    <t>7403894251;35605547500;6603571795</t>
  </si>
  <si>
    <t>Davies, Penny J.;Rynne, Bryan P.;Zubik-Kowal, Barbara</t>
  </si>
  <si>
    <t>Glasgow;Edinburgh;Tempe</t>
  </si>
  <si>
    <t>University of Strathclyde;Heriot-Watt University;Arizona State University</t>
  </si>
  <si>
    <t>The time domain integral equation for a straight thin-wire antenna with the reduced kernel is not well-posed</t>
  </si>
  <si>
    <t>10.1109/TAP.2002.800702</t>
  </si>
  <si>
    <t>2-s2.0-0036699019</t>
  </si>
  <si>
    <t>['rotman lenses', 'resultant beams', 'rectangular lattice', 'radiating elements', 'prototype network', 'planar array', 'measured patterns', 'identical row', 'high directivity', 'hexagonal lattice', 'hexagonal array', 'good isolation', 'element lattice', 'conical horns', 'column boards']</t>
  </si>
  <si>
    <t>Antenna array feeds | Antenna arrays | Lens antennas</t>
  </si>
  <si>
    <t>The design of a rectangular lattice with identical row and column boards of Rotman lenses to feed a hexagonal array of radiating elements is described in this paper. The resultant beams with high directivity and good isolation are arranged in a hexagonal lattice that is rotated 90¬∞ from the element lattice. A prototype network was built to excite a hexagonal array of conical horns. The measured patterns of the planar array as well as the characteristics of the individual boards agree very well with predictions.</t>
  </si>
  <si>
    <t>1099-1108</t>
  </si>
  <si>
    <t>100406025;60000251-60030821</t>
  </si>
  <si>
    <t>7406035405;7404179299</t>
  </si>
  <si>
    <t>Chan, Kwok Kee;Rao, Sudhakar K.</t>
  </si>
  <si>
    <t>United States;United States;Canada</t>
  </si>
  <si>
    <t>Chicago;New York;Brampton</t>
  </si>
  <si>
    <t>Boeing Corporation;IEEE;Chan Technologies Inc.</t>
  </si>
  <si>
    <t>60030821;60000251;100406025</t>
  </si>
  <si>
    <t>Design of a Rotman lens feed network to generate a hexagonal lattice of multiple beams</t>
  </si>
  <si>
    <t>10.1109/TAP.2002.801292</t>
  </si>
  <si>
    <t>2-s2.0-0036699025</t>
  </si>
  <si>
    <t>['traveling wave', 'small radiators', 'slow wave', 'simple closed', 'propagation constant', 'practically independent', 'power conservation', 'phase velocity', 'n elements', 'matrix description', 'form expression', 'first prove', 'finite array', 'directivity patterns', 'critical variables', 'array used', 'array elements', 'analyze infinite', 'also confirm', 'acoustic radiators']</t>
  </si>
  <si>
    <t>Linear arrays | Scattering matrices | Traveling-wave antennas</t>
  </si>
  <si>
    <t>A spherical-wave source scattering-matrix description of acoustic radiators, along with reciprocity and power conservation, is applied to analyze infinite and finite linear periodic arrays that support traveling waves. We first prove that for a general linear periodic array of small radiators, a traveling wave must be a slow wave with a propagation constant Œ≤ greater than the propagation constant k of the medium in which the array is located. For an infinite periodic linear array of small isotropic radiators, the scattering-matrix analysis leads to a simple closed-form expression for the propagation constant of the traveling wave in terms of the normalized separation distance kd and the phase œà e of the effective scattering coefficient of the array elements. These two parameters also prove to be the only critical variables in the N √ó N matrix equation for the N radiation coefficients that is derived for a finite linear array of N elements. Resonances in the curves of total power radiated versus kd for a finite array excited with one feed element demonstrate the existence of the traveling wave predicted for the corresponding infinite array. These computed power curves, as well as directivity patterns, illustrate that the finite array becomes a more efficient endfire radiator as the value of Œ≤ approaches the value of k. We also confirm that the maximum attainable endfire directivity of a finite array with a single feed element is a monotonically increasing function of the phase velocity of the traveling wave, and this function is practically independent of the parameters of the array used to obtain this phase velocity.</t>
  </si>
  <si>
    <t>1050-1064</t>
  </si>
  <si>
    <t>Yaghjian, Arthur D.</t>
  </si>
  <si>
    <t>Yaghjian A.</t>
  </si>
  <si>
    <t>Scattering-matrix analysis of linear periodic arrays</t>
  </si>
  <si>
    <t>10.1109/TAP.2002.800696</t>
  </si>
  <si>
    <t>2-s2.0-0036699034</t>
  </si>
  <si>
    <t>['theory leads', 'source theory', 'opposite directions', 'mutual coupling', 'multiple antennas', 'found via', 'exact relation', 'correlation coefficient', 'conditions necessary', 'closer spacings']</t>
  </si>
  <si>
    <t>Antenna radiation patterns | Correlation | Diversity | Linear antennas</t>
  </si>
  <si>
    <t>A simple point source analysis is used to prove that in theory, completely decorrelated reception can be achieved from two linear antennas with an arbitrarily small spacing. The conditions necessary to achieve this are consistent with two high gain (superdirective) beams in opposite directions. It is shown that the horizontal radiation patterns and correlation coefficient of arrays of vertically orientated linear antennas can be found via an exact relation to simple, point-source theory that includes the effects of mutual coupling. This theory leads to practically achievable optimum diversity designs at closer spacings than previously thought possible. The theory is illustrated for a dual antenna configuration and can be extended to multiple antennas.</t>
  </si>
  <si>
    <t>1162-1165</t>
  </si>
  <si>
    <t>Radiation patterns and correlation of closely spaced linear antennas</t>
  </si>
  <si>
    <t>10.1109/TAP.2002.801367</t>
  </si>
  <si>
    <t>2-s2.0-0036699468</t>
  </si>
  <si>
    <t>College of Natural Resources, University of California Berkeley</t>
  </si>
  <si>
    <t>['vice versa', 'time domain', 'td ).', 'tabulated transforms', 'physical conditions', 'new periodicity', 'new fts', 'line array', 'fws ),', 'frequency domain', 'floquet waves', 'field radiated', 'directly related']</t>
  </si>
  <si>
    <t>Arrays | Fourier transforms (FTs) | Green function | Periodic structures | Transient scattering</t>
  </si>
  <si>
    <t>The field radiated by an infinite periodic structure can be expressed in terms of Floquet waves (FWs), both in the frequency domain (FD) and time domain (TD). A new periodicity-induced generalized Fourier transform (FT) pair is derived relating FD-FWs to TD-FWs and vice versa, based on tabulated transforms and physical conditions at infinity. The new FTs are directly related to the simple canonical problem of a line array of sequentially excited dipoles that is a basic building block for more general phased periodic structures.</t>
  </si>
  <si>
    <t>1167-1169</t>
  </si>
  <si>
    <t>60002838-60005837</t>
  </si>
  <si>
    <t>Capolino, Filippo</t>
  </si>
  <si>
    <t>Houston;Siena</t>
  </si>
  <si>
    <t>University of Houston;Universit√† degli Studi di Siena</t>
  </si>
  <si>
    <t>60005837;60002838</t>
  </si>
  <si>
    <t>A periodicity-induced generalized Fourier transform pair</t>
  </si>
  <si>
    <t>10.1109/TAP.2002.801395</t>
  </si>
  <si>
    <t>2-s2.0-0036699511</t>
  </si>
  <si>
    <t>['wave u', 'thickness corresponds', 'substrate thickness', 'structure compared', 'space wavelength', 'shaped patch', 'regular stacked', 'proposed antenna', 'new technique', 'mhz bands', 'measured bandwidths', 'lower band', 'highly suitable', 'frequency quarter', 'fr4 substrate', 'first proposed', 'fed patch', 'fed electromagnetically', 'another coaxially', '900 mhz', '11 mm', '033 free']</t>
  </si>
  <si>
    <t>Bandwidth widening | Electrically small antennas | Microscript antennas | Multiple band antennas</t>
  </si>
  <si>
    <t>A wideband and dual-frequency quarter-wave U-shaped patch antenna with two unequal arms on FR4 substrate is presented. The U-shaped patch antenna is fed electromagnetically by another coaxially-fed patch on the same layer, which operates at a higher frequency band. In this paper, we first proposed a new technique to obtain two closely staggered resonant modes to achieve a wide impedance bandwidth using two unequal arms of the U-shaped patch for the lower band. For the substrate thickness = 5, 7.5 and 11 mm, the measured bandwidths of the antennas operating around at 900 MHz are 7%, 10%, and 18%, respectively. Then, we modify the coaxially-fed patch so that both bands are wide in bandwidth. The resulting antenna operating at 900 and 1800-MHz bands with the substrate thickness = 11 mm has a measured impedance bandwidth of 13.3% and 20%, respectively. This thickness corresponds to 0.033 free-space wavelength at 900 MHz. The far-field radiation patterns are stable in the two operating bands. The proposed antenna is simple in structure compared with the regular stacked or coplanar parasitic patch antennas. It is highly suitable for indoor mobile communications.</t>
  </si>
  <si>
    <t>1082-1087</t>
  </si>
  <si>
    <t>60017161;60013983;60000251-60010491;60013983</t>
  </si>
  <si>
    <t>57198926864;55510527400;7501501369;35569904600</t>
  </si>
  <si>
    <t>Guo, Yong Xin;Luk, Kwai Man;Lee, Kai Fong;Chair, Ricky</t>
  </si>
  <si>
    <t>Singapore;Hong Kong;United States;United States</t>
  </si>
  <si>
    <t>Singapore City;Kowloon;University;New York</t>
  </si>
  <si>
    <t>National University of Singapore;City University of Hong Kong;University of Mississippi;IEEE</t>
  </si>
  <si>
    <t>60017161;60013983;60010491;60000251</t>
  </si>
  <si>
    <t>A quarter-wave U-shaped patch antenna with two unequal arms for wideband and dual-frequency operation</t>
  </si>
  <si>
    <t>10.1109/TAP.2002.801285</t>
  </si>
  <si>
    <t>2-s2.0-0036699530</t>
  </si>
  <si>
    <t>ARO DAAG 55-97-1-0013</t>
  </si>
  <si>
    <t>['wg modes', 'transition regions', 'selfconsistent blending', 'replacing modal', 'ray caustics', 'previous investigations', 'physical optics', 'paper begins', 'numerically accurate', 'numerical code', 'new refinements', 'mode launched', 'hf approximations', 'etc .,', 'earlier results', 'dimensional case', 'detailed characterization', 'creeping waves', 'convex side', 'confined high', 'concave side', 'challenging problem', 'beam conversion', 'asymptotic aspects']</t>
  </si>
  <si>
    <t>Concave-convex boundaries | High frequency symptotics | Whispering-gallery mode radiation</t>
  </si>
  <si>
    <t>When a well-confined high-frequency (HF) whispering-gallery (WG) mode launched from the concave side of a concave-convex perfectly conducting boundary propagates toward the convex side, it becomes successively less confined and eventually detaches completely to form a radiated beam field. Detailed characterization of the intricate WG mode-to-beam conversion (here considered for the two-dimensional case) poses a challenging problem in HF wave propagation and asymptotics. This paper begins with a review of the accomplishments and shortcomings in previous investigations that dealt with the analytic-asymptotic aspects as well as the construction of numerical reference solutions to validate the HF approximations. We then develop algorithms based upon the earlier results, but with inclusion of new refinements. These yield a comprehensive asymptotic theory for the induced surface currents on the boundary as well as the near and far fields generated by them, well-matched to the WG mode detachment phenomenology and numerically accurate when compared with reference data obtained from a new hybrid analytic-numerical code. The asymptotic analysis makes use of Kirchhoff, physical optics, and spectral integral representations, WG modes on the concave side, modal ray tracing, replacing modal and/or ray caustics by equivalent induced source distributions, creeping waves on the convex side, etc., with selfconsistent blending of nonuniform and locally uniform asymptotics through transition regions where transformations of the affected wavefields occur.</t>
  </si>
  <si>
    <t>1109-1119</t>
  </si>
  <si>
    <t>100666480;60000251-60004176;60000251-60019674-60108318</t>
  </si>
  <si>
    <t>56220496000;7402144929;56883021600</t>
  </si>
  <si>
    <t>Goto, Keiji;Ishihara, Toyohiko;Felsen, Leopold B.</t>
  </si>
  <si>
    <t>United States;United States;Japan;United States;Japan</t>
  </si>
  <si>
    <t>New York;Boston;Yokosuka;New York;Yokosuka</t>
  </si>
  <si>
    <t>NYU Tandon School of Engineering;Boston University;National Defense Academy of Japan;IEEE;Signal School of Japanese</t>
  </si>
  <si>
    <t>60108318;60019674;60004176;60000251;100666480</t>
  </si>
  <si>
    <t>Goto K.</t>
  </si>
  <si>
    <t>High-frequency (whispering-gallery mode)-to-beam conversion on a perfectly conducting concave-convex boundary</t>
  </si>
  <si>
    <t>10.1109/TAP.2002.803471</t>
  </si>
  <si>
    <t>2-s2.0-0036699892</t>
  </si>
  <si>
    <t>Alexander von Humboldt-Stiftung</t>
  </si>
  <si>
    <t>['windowed lpa', 'varying directions', 'source localization', 'nonstationary enviornments', 'lpa technique', 'form expressions', 'also discussed']</t>
  </si>
  <si>
    <t>Array processing | Beamforming | Moving sources</t>
  </si>
  <si>
    <t>A local polynomial approximation (LPA)-beamformer was developed for loaclization of rapidly moving sources using a windowed LPA of time-varying directions of arrival. Closed-form expressions were obtained for the bias and variance of the LPA-beamformer in the moving source case. The problem of the optimal window choice was also discussed. The LPA technique can be viewed as an extension of the one-dimensional (1-D) conventional beamforming approach to nonstationary enviornments. Simulation results showed that the method was efective for source localization with rapidly moving signals.</t>
  </si>
  <si>
    <t>60068688;60000251-60031828</t>
  </si>
  <si>
    <t>7005260880;7006198109</t>
  </si>
  <si>
    <t>Katkovnik, Vladimir;Gershman, Alex B.</t>
  </si>
  <si>
    <t>Gwangju;Hamilton;New York</t>
  </si>
  <si>
    <t>Gwangju Institute of Science and Technology;McMaster University;IEEE</t>
  </si>
  <si>
    <t>60068688;60031828;60000251</t>
  </si>
  <si>
    <t>Katkovnik V.</t>
  </si>
  <si>
    <t>Performance study of the local polynomial approximation based beamforming in the presence of moving sources</t>
  </si>
  <si>
    <t>10.1109/TAP.2002.802269</t>
  </si>
  <si>
    <t>2-s2.0-0036699902</t>
  </si>
  <si>
    <t>['œµ r', 'wave power', 'wave fields', 'uniformly excited', 'unified way', 'unified approach', 'type antennas', 'slot pair', 'provide guidance', 'practical mm', 'optimum number', 'one based', 'new insight', 'linked together', 'e .,', 'developed theory']</t>
  </si>
  <si>
    <t>Broadband communications | Coplanar waveguide (CPW) | IC antennas | Slot antennas | Slot arrays</t>
  </si>
  <si>
    <t>A unified approach for representing the surface-wave fields and for computing the corresponding radiation efficiencies from arbitrarily shaped slot-type antennas on thick dielectric substrates at millimeter-wave (mm-wave) frequencies is presented. In this approach, two different representations of the surface-wave fields, i.e., the one based on the idea that the surface-wave power can be associated with a substrate radiation pattern and the other based on the cylindrical wave expansion, are linked together in a unified way. The developed theory is then applied for investigating the surface wave characteristics of printed twin offset slots and uniform linear slot arrays. Based on the developed theory, new insight into the mechanism with which surface-wave power is coupled by the slot pair is presented. Subsequently, the optimum number of elements and corresponding interelement spacing for linear, uniformly excited, slot dipole arrays is explored for achieving maximum radiation efficiency and gain. In order to provide guidance on practical mm-wave integrated slot antenna array design, supportive numerical results are presented for substrates of dielectric constant Œµ r = 4.0 and Œµ r = 12.0.</t>
  </si>
  <si>
    <t>1088-1098</t>
  </si>
  <si>
    <t>60089889-60016849;60016849</t>
  </si>
  <si>
    <t>7004469751;7103348897</t>
  </si>
  <si>
    <t>Eleftheriades, George V.;Qiu, Meide</t>
  </si>
  <si>
    <t>Eleftheriades G.</t>
  </si>
  <si>
    <t>Efficiency and gain of slot antennas and arrays on thick dielectric substrates for millimeter-wave applications: A unified approach</t>
  </si>
  <si>
    <t>10.1109/TAP.2002.800732</t>
  </si>
  <si>
    <t>2-s2.0-0036699904</t>
  </si>
  <si>
    <t>91-E-FA06-4-4</t>
  </si>
  <si>
    <t>['vnn optimally', 'value features', 'value data', 'training phase', 'three features', 'signal classification', 'sensed scalar', 'radio frequency', 'pulse width', 'process interval', 'paper proposes', 'nonlinear mapping', 'new vector', 'interval values', 'interval ranges', 'input nodes', 'input features', 'identification capability', 'features vary', 'feature intervals', 'emitter identification', 'eid problem', 'corresponding set', 'convergence speed', 'actual output', 'accept interval']</t>
  </si>
  <si>
    <t>Convergence | Emitter identification (EID) | Interval value | Pulse repetition interval | Pulsewidth | Radio frequency | Supervised learning | Vector neural network | Vector-type backpropagation</t>
  </si>
  <si>
    <t>This paper proposes a three-layer vector neural network (VNN) with a supervised learning algorithm suitable for signal classification in general, and for emitter identification (EID) in particular. The VNN can accept interval-value input data as well as scalar input data. The input features of the EID problems include the radio frequency, pulse width, and pulse repetition interval of a received emitter signal. Since the values of these features vary in interval ranges in accordance with a specific radar emitter, the VNN is proposed to process interval-value data in the EID problem. In the training phase, the interval values of the three features are presented to the input nodes of VNN. A new vector-type backpropagation learning algorithm is derived from an error function defined by the VNN's actual output and the desired output indicating the correct emitter type of the corresponding feature intervals. The algorithm can tune the weights of VNN optimally to approximate the nonlinear mapping between a given training set of feature intervals and the corresponding set of desired emitter types. After training, the VNN can be used to identify the sensed scalar-value features from a real-time received emitter signal. A number of simulations are presented to demonstrate the effectiveness and identification capability of VNN, including the two-EID problem and the multi-EID problem with/without additive noise. The simulated results show that the proposed algorithm cannot only accelerate the convergence speed, but it can help avoid getting stuck in bad local minima and achieve higher classification rate.</t>
  </si>
  <si>
    <t>1120-1127</t>
  </si>
  <si>
    <t>60012370;60000251-60012370</t>
  </si>
  <si>
    <t>22986314500;8942403600</t>
  </si>
  <si>
    <t>Shich, Ching Sung;Lin, Chin Teng</t>
  </si>
  <si>
    <t>Hsinchu;New York</t>
  </si>
  <si>
    <t>National Chiao Tung University;IEEE</t>
  </si>
  <si>
    <t>60012370;60000251</t>
  </si>
  <si>
    <t>Shich C.</t>
  </si>
  <si>
    <t>A vector neural network for emitter identification</t>
  </si>
  <si>
    <t>10.1109/TAP.2002.801387</t>
  </si>
  <si>
    <t>2-s2.0-0036699912</t>
  </si>
  <si>
    <t>['two formulations', 'several radiation', 'scattering examples', 'overall characteristic', 'numerically analyzed', 'numerical results', 'impedance matrices', 'homogeneous space', 'far fields', 'entire space', 'calculated near', 'boundary conditions', 'arbitrary geometry']</t>
  </si>
  <si>
    <t>Integral equations | Method of moments (MoM) | Microstrip antennas</t>
  </si>
  <si>
    <t>Two techniques based on electric and magnetic field integral equation (EFIE and MFIE) formulations of surface equilalent principle and multiple network theory (SEMN) method are developed for the analysis of finite microstrip structures. Using pulse surface basis functions, the surface of each homogeneous dielectric body is modeled by small flat segments of arbitrary geometry and constant electromagnetic field. Using the surface equivalence principle and the Green's functions of the homogeneous space, the admittance and impedance matrices are computed. Then, the boundary conditions and multiple network theory are applied to determine the overall characteristic of the entire space. Several radiation and scattering examples are numerically analyzed and their calculated near and far fields are presented. The numerical results of the two formulations are then compared with measurement and those of HFSS and ENSEMBLE.</t>
  </si>
  <si>
    <t>1128-1137</t>
  </si>
  <si>
    <t>60007751-60009697-60018870;60007751;60000251-60009697</t>
  </si>
  <si>
    <t>6602431994;56232503200;8092251400</t>
  </si>
  <si>
    <t>Tavakkol-Hamedani, Farzad;Tavakoli, Ahad;Shafai, Lotfollah</t>
  </si>
  <si>
    <t>Iran;Canada;Iran;United States</t>
  </si>
  <si>
    <t>Semnan;Winnipeg;Tehran;New York</t>
  </si>
  <si>
    <t>Semnan University;University of Manitoba;Amirkabir University of Technology;IEEE</t>
  </si>
  <si>
    <t>60018870;60009697;60007751;60000251</t>
  </si>
  <si>
    <t>Tavakkol-Hamedani F.</t>
  </si>
  <si>
    <t>Analysis of finite-microstrip structures using surface equivalence principle and multiple network theory (SEMN)</t>
  </si>
  <si>
    <t>10.1109/TAP.2002.802268</t>
  </si>
  <si>
    <t>2-s2.0-0036699913</t>
  </si>
  <si>
    <t>['state mean', 'source separation', 'simulation studies', 'output system', 'new expression', 'free environment', 'effective approach', 'derived based', '2000 ).']</t>
  </si>
  <si>
    <t>The cross-correlation and constant modulus algorithm (CC-CMA) has been proven to be an effective approach in the problem of joint blind equalisation and source separation in a multi-input and multi-output system. In the paper, the steady-state mean-square error performance of CC-CMA in a noise-free environment is studied, and a new expression is derived based on the energy preservation approach of Mai and Sayed (2000). Simulation studies are undertaken to support the analysis.</t>
  </si>
  <si>
    <t>196-203</t>
  </si>
  <si>
    <t>1350245X</t>
  </si>
  <si>
    <t>IEE Proceedings: Vision, Image and Signal Processing</t>
  </si>
  <si>
    <t>60011520;60011520</t>
  </si>
  <si>
    <t>56139509700;7402475745</t>
  </si>
  <si>
    <t>Luo, Y.;Chambers, J. A.</t>
  </si>
  <si>
    <t>Steady-state mean-square error analysis of the cross-correlation and constant modulus algorithm in a MIMO convolutive system</t>
  </si>
  <si>
    <t>10.1049/ip-vis:20020486</t>
  </si>
  <si>
    <t>2-s2.0-0036699919</t>
  </si>
  <si>
    <t>['wireless lans', 'various multi', 'studies aim', 'spatial multiplexing', 'performance evaluation', 'mimo concepts', 'article presents', '5ghz band']</t>
  </si>
  <si>
    <t>MIMO | OFDM | Space-time | WLAN</t>
  </si>
  <si>
    <t>This article presents a performance evaluation of various multi-antenna concepts based on OFDM for Wireless LANs. The studies are based on state-of-the-art measured channel data in the 5GHz band. The investigated techniques include: Spatial multiplexing (BLAST), space frequency trellis coded modulation, their concatenation, turbo bit interleaved coded modulation and turbo space frequency trellis coded modulation. The studies aim to assess the MIMO concepts for future high speed WLANs.</t>
  </si>
  <si>
    <t>732-737</t>
  </si>
  <si>
    <t>60020650;60002731;60020650;60020650;60020650</t>
  </si>
  <si>
    <t>7003301240;7202904160;7007161122;6701513248;7102001714</t>
  </si>
  <si>
    <t>Piechocki, Robert;Fletcher, Paul;Nix, Andrew;Canagarajah, Nishan;McGeehan, Joe</t>
  </si>
  <si>
    <t>Bristol;London</t>
  </si>
  <si>
    <t>University of Bristol;QinetiQ</t>
  </si>
  <si>
    <t>60020650;60002731</t>
  </si>
  <si>
    <t>Piechocki R.</t>
  </si>
  <si>
    <t>A measurement based feasibility study of space-frequency MIMO detection and decoding techniques for next generation wireless lans</t>
  </si>
  <si>
    <t>10.1109/TCE.2002.1037068</t>
  </si>
  <si>
    <t>2-s2.0-0036702948</t>
  </si>
  <si>
    <t>['proposed method', 'implementation complexity', 'ieee 802', 'diversity combining', 'cofdm system', 'channel equalization']</t>
  </si>
  <si>
    <t>Antenna diversity combining | COFDM | Optimal decoding | WLAN</t>
  </si>
  <si>
    <t>IEEE 802.11a/g devices promise to accommodate the increasing consumer demands for high data rate wireless communications. A novel optimal decoding method for receiver antenna diversity combining for COFDM system is discussed in this paper. The proposed method provides robust wireless connections for applications such as wireless multimedia communications. The proposed optimal diversity combining integrates the channel equalization, demodulation (bit metrics calculation) and diversity combining in the decoder, which is the maximum likelihood decoding method for the diversity combining for COFDM system. The proposed method can have about 4-6 dB gain over a single antenna receiver and 2-4 dB gain over a conventional symbol level diversity-combining receiver without increasing the implementation complexity.</t>
  </si>
  <si>
    <t>738-742</t>
  </si>
  <si>
    <t>60016561;60016561;60016561</t>
  </si>
  <si>
    <t>7102723617;7203046714;7005246933</t>
  </si>
  <si>
    <t>Ouyang, Xuemei;Ghosh, Monisha;Meehan, Joseph P.</t>
  </si>
  <si>
    <t>Ouyang X.</t>
  </si>
  <si>
    <t>Optimal antenna diversity combining for IEEE 802.11A system</t>
  </si>
  <si>
    <t>10.1109/TCE.2002.1037069</t>
  </si>
  <si>
    <t>2-s2.0-0036703246</t>
  </si>
  <si>
    <t>['yunnan province', 'urosomites 1', 'uropod 3', 'stagnarius sp', 'south china', 'pleonites 1', 'genus gammarus', 'dorsal keel', 'denticulatus sp', 'compressed elevation', 'antenna 2']</t>
  </si>
  <si>
    <t>Amphipoda | China | Gammarus | Taxonomy | Yunnan</t>
  </si>
  <si>
    <t>Three new species of the genus Gammarus are described from Lijiang, Yunnan Province, South China. Gammarus elevatus sp. nov. is characterized by mid-dorsal keel on pleonites 1-3 and compressed elevation on urosomites 1-2; G. denticulatus sp. nov. by many small spinules and setae on pleonites 1-3; G. stagnarius sp. nov. by lack of calceoli on antenna 2 and shorter inner ramus of uropod 3. These amphipods are compared with other known Gammarus species from China.</t>
  </si>
  <si>
    <t>939-960</t>
  </si>
  <si>
    <t>Zoological Science</t>
  </si>
  <si>
    <t>60029608;60029608;60029608</t>
  </si>
  <si>
    <t>22234092100;7409239875;7003288996</t>
  </si>
  <si>
    <t>Hou, Zhong e.;Li, Shuqiang;Morino, Hiroshi</t>
  </si>
  <si>
    <t>Hou Z.</t>
  </si>
  <si>
    <t>Three new species of the genus Gammarus (Crustacea, Amphipoda, Gammaridae) from Yunnan, China</t>
  </si>
  <si>
    <t>10.2108/zsj.19.939</t>
  </si>
  <si>
    <t>2-s2.0-0036703329</t>
  </si>
  <si>
    <t>['signal interference', 'radiation diagram', 'computer simulation', 'article implements']</t>
  </si>
  <si>
    <t>Adaptive arrays | Antenna arrays | Antenna radiation patterns | Array signal processing | Artificial neural networks | Electromagnetic radiative interference | Interference suppression | Neural network applications | Satellite antennas | Satellite communication</t>
  </si>
  <si>
    <t>This article implements an artificial neural network to find, through computer simulation, the excitations of a square planar array. The array is composed of 52 uniformly spaced subarrays, and has a quasi-null in its radiation diagram. This simulation model includes the reduction of any signal interference in the shaped radiating zone after its position has been determined.</t>
  </si>
  <si>
    <t>61-65</t>
  </si>
  <si>
    <t>60028419;60023610;60023610;60028419;60028419;60023610</t>
  </si>
  <si>
    <t>6603877226;7004092479;6507970737;57217764562;7006865572;7006526793</t>
  </si>
  <si>
    <t>Br√©gains, J. C.;Dorado, J.;Gestal, M.;Rodr√≠guez, J. A.;Ares, F.;Pazos, A.</t>
  </si>
  <si>
    <t>Santiago de Compostela;A Coruna</t>
  </si>
  <si>
    <t>Universidad de Santiago de Compostela;Universidade da Coru√±a</t>
  </si>
  <si>
    <t>60028419;60023610</t>
  </si>
  <si>
    <t>Avoiding interference in planar arrays through the use of artificial neural networks</t>
  </si>
  <si>
    <t>10.1109/MAP.2002.1043149</t>
  </si>
  <si>
    <t>2-s2.0-0036703352</t>
  </si>
  <si>
    <t>['weak thunderstorms', 'usually preceded', 'total duration', 'time resolution', 'radar echo', 'mean interval', 'mean duration', 'lightning flashes', 'lightning discharges', 'interstroke intervals', 'etc .,', 'discharge features', 'data obtained', 'corresponding value', 'amplitude distribution', 'also analyzed', '1 ms', '1 microsecond', '0 œºs', '0 œº']</t>
  </si>
  <si>
    <t>Characteristics of cloud-to-ground (CG) lightning flashes in the Chinese inland plateau have been analyzed by using the data obtained from a broadband slow antenna system, with a time resolution of 1 microsecond in 1996, and a CG lightning location network from 1997 to 1998. It has been found that lightning discharges in a plateau summer thunderstorm usually present some special characteristics compared with the typical summer thunderstorm. On the average, positive CG flashes comprised 16% of total CG flashes in the Chinese inland plateau. After comparison with radar echo, it is found that some weak thunderstorms are conductive to positive CG flashes. The first return strokes are usually preceded by a long duration preliminary breakdown process which is characterized by discrete bipolar pulses for both positive and negative CG flashes. The mean duration of electric field change prior to first return stroke is about 126.1 ms, in which 23% exceeds 200 ms for negative CG flashes, and the corresponding value is 165.1 ms for positive CG flashes. The mean interval between 152 successive analyzed pulses is 211.0 ¬± 148.0 Œºs, and the total duration of the pulses is 32.0 ¬± 20.0 Œºs for negative CG flashes, while the mean time interval between the 50 analyzed pulses is 165.0 ¬± 120.0 Œºs and the total duration of pulses is 27.0 ¬± 19.0 Œº for positive CG flashes. Other discharge features, such as interstroke intervals, amplitude distribution of the subsequent return strokes and etc., are also analyzed in the paper.</t>
  </si>
  <si>
    <t>745-754</t>
  </si>
  <si>
    <t>60019499;60019499;60019499;60019499;60019499</t>
  </si>
  <si>
    <t>56234966000;55547738500;55676100700;55862292300;7102122207</t>
  </si>
  <si>
    <t>Qie, Xiushu;Yu, Ye;Wang, Daohong;Wang, Huibin;Chu, Rongzhong</t>
  </si>
  <si>
    <t>Characteristics of cloud-to-ground lightning in Chinese Indland plateau</t>
  </si>
  <si>
    <t>10.2151/jmsj.80.745</t>
  </si>
  <si>
    <t>2-s2.0-0036703376</t>
  </si>
  <si>
    <t>['worldwide proliferation', 'system anomalies', 'significant concern', 'peds ).', 'ped interference', 'many debates', 'issues associated', 'current regulations', 'broad view', 'airborne operation']</t>
  </si>
  <si>
    <t>Aircraft communications | Aircraft control | Aircraft electronics | Aircraft navigation | Antennas | Electromagnetic compatibility | Electromagnetic interference | Federal aviation administration | Federal communications commission | Flight safety | Land mobile radio cellular systems | Portable electronic devices | Public safety</t>
  </si>
  <si>
    <t>Rapidly improving electronic technology has led to a worldwide proliferation of portable electronic devices (PEDs). These have received a portion of the blame (or suspicion) for unexplained aircraft electronic-system anomalies. A significant concern about PED interference with airplane electronic systems, as well as ground communication networks, has brought about many debates; many people question the rationale and the existence of a solid scientific basis for current regulations and policies The purpose of this paper is to provide a broad view of the issues associated with airborne operation of PEDs.</t>
  </si>
  <si>
    <t>30-39</t>
  </si>
  <si>
    <t>60078684;60026532;60078684;60078684;</t>
  </si>
  <si>
    <t>57193398415;57214767487;7006080963;7102777145;6508203730</t>
  </si>
  <si>
    <t>Li, Lin;Xie, Jingsong;Ramahi, Omar M.;Pecht, Michael;Donham, Bruce</t>
  </si>
  <si>
    <t>College Park;Redmond</t>
  </si>
  <si>
    <t>A. James Clark School of Engineering;Microsoft Corporation</t>
  </si>
  <si>
    <t>60078684;60026532</t>
  </si>
  <si>
    <t>Airborne operation of portable electronic devices</t>
  </si>
  <si>
    <t>10.1109/MAP.2002.1043145</t>
  </si>
  <si>
    <t>2-s2.0-0036703501</t>
  </si>
  <si>
    <t>['technique allows', 'signal digitization', 'second phased', 'rfi ).', 'rf domain', 'rf beam', 'remaining rfi', 'radio telescopes', 'novel array', 'next generation', 'mep ),', 'frequency interference', 'forming domain', 'experimental verification', 'currently used', 'calibration technique', 'band phased', 'array calibration', 'array antennas', 'adaptively remove', 'accurate calibration']</t>
  </si>
  <si>
    <t>Array signal processing | Calibration | Electromagnetic radiative interference | Interference suppression | Phased arrays | Radio astronomy | Spatial nulling</t>
  </si>
  <si>
    <t>A requirement of the next generation of radio telescopes for astronomy is the ability to cope with the forever increasing problem of radio-frequency interference (RFI). Unlike conventional fixed parabolic receivers, currently used in astronomy, the application of phased-array beamforming techniques opens up the possibility to spatially null RFI in the RF domain, prior to signal digitization. This paper presents results from the second phased-array experimental demonstrator, the One Square Meter Array, on calibration and RF nulling performance. The approach is to deterministically null known RFI in the RF beam-forming domain, and to adaptively remove the remaining RFI in the digital beamforming domain. A novel array-calibration technique, called the Multi-Element Phase toggle technique (MEP), is presented. This technique allows a fast and very accurate calibration of wide-band phased-array antennas. Array calibration is shown to determine the extent to which RFI can be removed by experimental verification of simulated null depths.</t>
  </si>
  <si>
    <t>13-22</t>
  </si>
  <si>
    <t>60025529-60027905;60025529</t>
  </si>
  <si>
    <t>7006537861;7003998078</t>
  </si>
  <si>
    <t>Smolders, Bart;Hampson, Grant</t>
  </si>
  <si>
    <t>Eindhoven;Dwingeloo</t>
  </si>
  <si>
    <t>NXP Semiconductors;Netherlands Foundation for Research in Astronomy</t>
  </si>
  <si>
    <t>60027905;60025529</t>
  </si>
  <si>
    <t>Smolders B.</t>
  </si>
  <si>
    <t>Deterministic RF nulling in phased arrays for the next generation of radio telescopes</t>
  </si>
  <si>
    <t>10.1109/MAP.2002.1043143</t>
  </si>
  <si>
    <t>2-s2.0-0036703503</t>
  </si>
  <si>
    <t>['trend removal', 'track irregularities', 'standard format', 'spacecraft tracking', 'rotate around', 'previous work', 'lookup table', 'jpl beam', 'interface presented', 'inclinometer data', 'friendly interface', 'error correction', 'computer screen', 'azimuth track', 'astronomy observations', 'antennas utilizing', 'also presents']</t>
  </si>
  <si>
    <t>Antenna mechanical factors | Antenna tolerance analysis | Pointing systems | Satellite communications | Satellite tracking | Scanning antennas | Space vehicle tracking</t>
  </si>
  <si>
    <t>The JPL beam-waveguide (BWG) antennas are used for spacecraft tracking and for radio-astronomy observations. They are mounted on wheels that rotate around an uneven azimuth track, causing antenna deformations, and reducing pointing accuracy. The pointing errors affected by the track irregularities are repeatable, and can therefore be calibrated. The effects of the irregularities of the track can continually be corrected by using a lookup table, created by the interface presented below. This paper is a continuation of previous work [1] appearing in this Magazine. It describes the processing the inclinometer data, which includes the verification of repeatability, smoothing, slow-trend removal, re-sampling, and adjustment to a standard format. It also presents a user-friendly interface that process field data and creates a lookup table for pointing-error correction by clicking appropriate buttons on a computer screen. The GUI was tested with the JPL BWG antennas, and may be used with any antennas utilizing an azimuth track.</t>
  </si>
  <si>
    <t>23-29</t>
  </si>
  <si>
    <t>60022195;60009037</t>
  </si>
  <si>
    <t>6506498897;7006777295</t>
  </si>
  <si>
    <t>Maneri, E.;Gawronski, W.</t>
  </si>
  <si>
    <t>Cambridge;Pasadena</t>
  </si>
  <si>
    <t>Massachusetts Institute of Technology;Jet Propulsion Laboratory</t>
  </si>
  <si>
    <t>Maneri E.</t>
  </si>
  <si>
    <t>A method and a GUI for the creation of azimuth-track level-pointing-error corrections</t>
  </si>
  <si>
    <t>10.1109/MAP.2002.1043144</t>
  </si>
  <si>
    <t>2-s2.0-0036703512</t>
  </si>
  <si>
    <t>['vectorially measuring', 'transmitting coil', 'theoretically analyze', 'srpm method', 'spherical sample', 'simultaneously estimate', 'receiving coils', 'receiving coil', 'processed food', 'past depended', 'output voltage', 'new formula', 'metal objects', 'metal object', 'metal detectors', 'metal detector', 'magnetic properties', 'iron objects', 'important guide', 'extensively used', 'electromagnetic properties', 'discussed experimentally', 'differential amplifier', 'coaxially arranged', 'already developed']</t>
  </si>
  <si>
    <t>Foreign metal object | Loop antenna | Metal detector | Nondestructive test | SRPM method</t>
  </si>
  <si>
    <t>Metal detectors are extensively used to find undesirable metal objects in processed food. In such a typical metal detector, the coils are coaxially arranged with the transmitting coil in the center and two receiving coils on the sides. The receiving coils are connected to a differential amplifier. When the magnetic field generated in the transmitting coil is disturbed by metal objects, the amplitude and phase of the output voltage of the differential amplifier change, and, thus, the existence of foreign metal pieces is detected. The relationship between the amplitude and phase of the output and the electromagnetic properties of the metal objects, however, has only been discussed experimentally so far. The authors have already developed the SRPM method to simultaneously estimate the electrical and magnetic properties of a spherical sample by vectorially measuring the difference in the impedance of two circular solenoid coils, one with and the other without a sample. An attempt is made to theoretically analyze the properties, such as size, conductivity, and permeability of the metal objects from the output, i.e., amplitude and phase of the metal detector. Based on this method, an equation to estimate the vector voltage induced in the receiving coil by the metal object is derived by using a spherical sample to simplify the analysis. The validity of the new formula was confirmed by experiments using brass, aluminum, copper, and iron objects. The new formula proposed in this paper is expected to be an important guide in designing a metal detector, which in the past depended on the experimental analytical method.</t>
  </si>
  <si>
    <t>810-814</t>
  </si>
  <si>
    <t>60019032;60000251-60019032;60092700</t>
  </si>
  <si>
    <t>7402012078;14320555700;35600492600</t>
  </si>
  <si>
    <t>Yamazaki, Sadao;Nakane, Hiroshi;Tanaka, Akio</t>
  </si>
  <si>
    <t>Ube;Tokyo;New York</t>
  </si>
  <si>
    <t>National Institute of Technology, Ube College;Kogakuin University;IEEE</t>
  </si>
  <si>
    <t>60092700;60019032;60000251</t>
  </si>
  <si>
    <t>Yamazaki S.</t>
  </si>
  <si>
    <t>Basic analysis of a metal detector</t>
  </si>
  <si>
    <t>10.1109/TIM.2002.803397</t>
  </si>
  <si>
    <t>2-s2.0-0036703593</t>
  </si>
  <si>
    <t>['transform calculus', 'signal analysis', 'operational calculus', 'filter analysis', 'familiar subject', 'central role', 'array factor']</t>
  </si>
  <si>
    <t>Antenna radiation patterns | Calculus | Fourier transforms | Operational calculus | Phased arrays</t>
  </si>
  <si>
    <t>An array-antenna analysis based on an operational calculus with two-dimensional Fourier transforms is presented. As such, the operational calculus is described and employed it in computing the array factor of a finite-extent phased array. Fourier-transform calculus is a very familiar subject to undergraduate electrical engineering students because of its central role in signal analysis, filter analysis and design, and in digital signal processing.</t>
  </si>
  <si>
    <t>98-102</t>
  </si>
  <si>
    <t>Pearson, L. Wilson</t>
  </si>
  <si>
    <t>Pearson L.</t>
  </si>
  <si>
    <t>Array theory via a fourier-transform operational calculus</t>
  </si>
  <si>
    <t>10.1109/MAP.2002.1043156</t>
  </si>
  <si>
    <t>2-s2.0-0036703660</t>
  </si>
  <si>
    <t>['smart antennas', 'simulated assuming', 'processing aspects', 'processing algorithms', 'previous paper', 'planar array', 'part 1', 'paper provided', 'design example', 'continuously changing', 'beamforming algorithms', 'arrival algorithms', 'antenna systems', 'antenna system', 'antenna array', 'algorithm descriptions']</t>
  </si>
  <si>
    <t>Part 1 of this paper provided an overview of smart-antenna systems, and presented a planar array as a design example. In addition, Part I discussed the potential of smart antennas with regard to providing increased capacity in wireless communication networks. Part 2 represents a continuation of the previous paper, and introduces the signal-processing aspects of the antenna array. In particular, Part 2 describes the utility of direction-of-arrival algorithms in array-antenna systems, and gives an overview of the signal-processing algorithms that are used to adapt the antenna radiation pattern. The adaptive-algorithm descriptions are accompanied by simulation results obtained for a specific network topology. In particular, the antenna system is simulated assuming a mobile network topology that is continuously changing. Basic results presented are the dependence of the overall network throughput on the design of the adaptive-antenna system, and on the properties of the adaptive-beamforming algorithms and associated antenna patterns.</t>
  </si>
  <si>
    <t>106-114</t>
  </si>
  <si>
    <t>7003883620;6603233051;35583458100;7006177932</t>
  </si>
  <si>
    <t>Bellofiore, Salvatore;Foutz, Jeffrey;Balanis, Constantine A.;Spanias, Andreas S.</t>
  </si>
  <si>
    <t>Smart-antenna system for mobile communication networks Part 2: Beamforming and network throughput</t>
  </si>
  <si>
    <t>10.1109/MAP.2002.1043158</t>
  </si>
  <si>
    <t>2-s2.0-0036703665</t>
  </si>
  <si>
    <t>['triplet states', 'spectra obtained', 'selective effect', 'revealing differences', 'redox treatment', 'quenchers close', 'prolonged illumination', 'pigments carrying', 'native environment', 'major extent', 'low temperature', 'fmo complex', 'dithionite reduction', 'dithionite followed', 'core chlorosome', 'containing membranes', 'chemical reduction', 'bchl c', 'absorption detection', '8 k', '200 k']</t>
  </si>
  <si>
    <t>Optically detected magnetic resonance of chlorosomes-containing membranes from the green sulfur bacterium Chlorobium limicola has been performed both by fluorescence and absorption detection. Triplet states localized in the chlorosomes and in the FMO complex have been characterized. After chemical reduction with dithionite followed by illumination at 200 K, a recombination triplet state localized in the primary donor P840 becomes populated under illumination at low temperature. A reaction center triplet state characterized by slightly different ZFS parameters, grows up irreversibly after prolonged illumination at low temperature in the presence of reductant. We were able to obtain the T-S spectra of the FMO complex and of the primary donor P840 in their native environment and to compare them to the spectra obtained in isolated complexes previously published, revealing differences in the spectra. Fluorescence detected magnetic resonance measurements demonstrate that the BChl c antenna pigments are connected via energy transfer to the BChl a molecules at the low temperature of the measurements (1.8 K) and that all the pigments carrying the triplet states are sensitive to the redox treatment. Dithionite reduction, in fact, induces an enhancement of the BChl c and, at a major extent, of the BChl a fluorescence yield accompanied by an increase of the yield of all the triplet states of the pigments. Evidence for the presence of BChl c excited states quenchers in the core chlorosome and for their selective effect at low temperature is provided, and the location of the quenchers close to BChl c molecules absorbing at longer wavelengths discussed.</t>
  </si>
  <si>
    <t>7560-7568</t>
  </si>
  <si>
    <t>60000481;60000481;60000481;60000481;60021199;60022109;60022109</t>
  </si>
  <si>
    <t>7003388117;6507861468;6701505199;16207173300;7003339373;7006179200;6602651416</t>
  </si>
  <si>
    <t>Carbonera, Donatella;Burzomato, Valeria;Bordignon, Enrica;Giacometti, Giovanni;Agostini, Giancarlo;Heathcote, Peter;Leech, Helen K.</t>
  </si>
  <si>
    <t>United Kingdom;Italy;Italy</t>
  </si>
  <si>
    <t>London;Rome;Padua</t>
  </si>
  <si>
    <t>Queen Mary University of London;Consiglio Nazionale delle Ricerche;Universit√† degli Studi di Padova</t>
  </si>
  <si>
    <t>60022109;60021199;60000481</t>
  </si>
  <si>
    <t>Carbonera D.</t>
  </si>
  <si>
    <t>Fluorescence and absorption detected magnetic resonance of membranes from the green sulfur bacterium chlorobium limicola. Full assignment of detected triplet states</t>
  </si>
  <si>
    <t>10.1021/jp020181m</t>
  </si>
  <si>
    <t>2-s2.0-0036704043</t>
  </si>
  <si>
    <t>['wideband antenna', 'paper describes', 'impulse response', '2002 ),']</t>
  </si>
  <si>
    <t>The paper describes the bizarre signals generated when ultra-wideband off-boresight signals impinge on, or are radiated from, a large, wideband antenna. Complementing Part 1 (Griffiths and Cullen, 2002), it describes and explains these signals, and shows how they yield the direction of arrival. (Similar phenomena affect the impulse response of FIR filters).</t>
  </si>
  <si>
    <t>Benjamin, R.</t>
  </si>
  <si>
    <t>Benjamin R.</t>
  </si>
  <si>
    <t>Sidelobe response of antennas to short pulses. Part 2: Manifestations and applications</t>
  </si>
  <si>
    <t>10.1049/ip-map:20020416</t>
  </si>
  <si>
    <t>2-s2.0-0036704503</t>
  </si>
  <si>
    <t>['small antennas', 'pitch 2', 'normal mode', 'moment method', 'modelled using', 'horizontally polarised', 'free space', 'efficiency required', 'centre frequency', 'also verified', 'agrees reasonably', '50 mhz', '5 cm', '250 mhz', '12 db']</t>
  </si>
  <si>
    <t>Resistively loaded helical antennas, used in the normal mode and horizontally polarised, are modelled using the moment method above typical lossy ground. The distributed resistive loading was adjusted to maintain a two octave bandwidth. The centre frequency of 1 m dipoles was reduced from 250 MHz for the straight resistive wire to 50 MHz for a helix of pitch 2.5 cm and diameter 5 cm. The reduction in efficiency required to maintain the bandwidth for this helix was 12 dB. This agrees reasonably with the theory for small antennas in free space. The results were also verified by comparing measurements performed on a monopole resistively loaded helical antenna in a watertank with the numerical model used elsewhere.</t>
  </si>
  <si>
    <t>204-210</t>
  </si>
  <si>
    <t>Leat, C. J.</t>
  </si>
  <si>
    <t>Leat C.</t>
  </si>
  <si>
    <t>Resistively loaded helical antennas for ground-penetrating radar</t>
  </si>
  <si>
    <t>10.1049/ip-map:20020389</t>
  </si>
  <si>
    <t>2-s2.0-0036704504</t>
  </si>
  <si>
    <t>['signals received', 'sidelobe region', 'short duration', 'several examples', 'paper considers', 'input signal', 'companion paper']</t>
  </si>
  <si>
    <t>The paper considers the waveforms of signals received in the sidelobe region of an antenna, when the signals are of very short duration. It is shown that the output signal waveforms can be very different from those of the input signal. An analysis is presented to explain these effects, and several examples are presented to illustrate the effects and to show the validity of the analysis. A number of applications are suggested, and explored further in a companion paper.</t>
  </si>
  <si>
    <t>189-193</t>
  </si>
  <si>
    <t>60022148;60022148</t>
  </si>
  <si>
    <t>7202821654;7102518738</t>
  </si>
  <si>
    <t>Griffiths, H. D.;Cullen, A. L.</t>
  </si>
  <si>
    <t>Griffiths H.</t>
  </si>
  <si>
    <t>Sidelobe response of antennas to short pulses. Part 1: Theory</t>
  </si>
  <si>
    <t>10.1049/ip-map:20020415</t>
  </si>
  <si>
    <t>2-s2.0-0036704642</t>
  </si>
  <si>
    <t>['wide range', 'theoretical results', 'simulation run', 'optimisation process', 'optimal solution', 'marginal distributions', 'directly applicable', 'antenna design', '960 mhz', '1880 mhz']</t>
  </si>
  <si>
    <t>An efficient optimisation algorithm is presented for printed antenna design which aims to reduce the number of simulation runs required to find an optimal solution. Such efficiency is important in antenna design because of the high computational cost of each simulation run. The algorithm makes use of marginal distributions to guide the optimisation process, and its real-valued (rather than binary) representation of optimisation parameters makes it directly applicable to a wide range of antenna design problems. The particular application presented is for the design of an unequally spaced dual-band printed cellular base station array. The optimisation algorithm successfully chooses spacing and element length values for the array to meet radiation pattern requirements in both the GSM900 (880-960 MHz) and DCS1800 (1710-1880 MHz) bands. Theoretical results for the optimised printed wire array are compared with measurements.</t>
  </si>
  <si>
    <t>211-217</t>
  </si>
  <si>
    <t>60001881;60001881</t>
  </si>
  <si>
    <t>6603765853;55328764600</t>
  </si>
  <si>
    <t>Starke, P. L.;Cook, G. G.</t>
  </si>
  <si>
    <t>Starke P.</t>
  </si>
  <si>
    <t>Optimisation of an unequally spaced dual-band printed base station antenna array using a marginal distribution technique</t>
  </si>
  <si>
    <t>10.1049/ip-map:20020539</t>
  </si>
  <si>
    <t>2-s2.0-0036704643</t>
  </si>
  <si>
    <t>['radiation characteristics', 'proposed antenna', 'feed gaps', 'experimentally examined', 'different holes']</t>
  </si>
  <si>
    <t>A type of annular planar monopole antenna is presented. The impedance and radiation characteristics of the monopole with different holes and feed gaps are experimentally examined. The measured results demonstrate that the proposed antenna is capable of providing significantly broad impedance bandwidth with acceptable radiation performance.</t>
  </si>
  <si>
    <t>60017161;60012873;60017161;60017161</t>
  </si>
  <si>
    <t>7409485017;7005794256;7004839408;7003719143</t>
  </si>
  <si>
    <t>Chen, Z. N.;Ammann, M. J.;Chia, M. Y.W.;See, T. S.P.</t>
  </si>
  <si>
    <t>Singapore;Ireland</t>
  </si>
  <si>
    <t>Singapore City;Dublin</t>
  </si>
  <si>
    <t>National University of Singapore;Technological University Dublin</t>
  </si>
  <si>
    <t>60017161;60012873</t>
  </si>
  <si>
    <t>Annular planar monopole antennas</t>
  </si>
  <si>
    <t>10.1049/ip-map:20020701</t>
  </si>
  <si>
    <t>2-s2.0-0036704762</t>
  </si>
  <si>
    <t>['wave fiber', 'two 60', 'square response', 'shift keying', 'result suggests', 'receiver side', 'radio systems', 'radio signals', 'optical single', 'optical double', 'mode fiber', 'long single', 'interchannel interference', 'filtering technique', 'fbg filter', 'experimentally demonstrate', 'experimental results', 'dwdm millimeter', 'dwdm allocation', 'dispersion effect', 'differential phase', 'channel allocation', 'based upon', 'band millimeter', '68 nm']</t>
  </si>
  <si>
    <t>Add-drop multiplexing | Crosstalk | Dense wavelength division multiplexing (DWDM) | Dispersion | Fiber Bragg grating (FBG) | Millimeter-wave | Radio-on-fiber | Subcarrier multiplexing</t>
  </si>
  <si>
    <t>We will study the optical filtering technique for dense wavelength division multiplexing (DWDM) channel allocation of millimeter-wave fiber-radio signals in the optical double-side-band (DSB) format. First, we will investigate both theoretically and experimentally the dispersion effect of fiber Bragg grating (FBG) used as the filter on DWDM millimeter-wave optical signal transmissions. This result suggests that the dispersion effect has to be considered in the DWDM channel allocation for millimeter-wave fiber-radio access systems. Next, we will propose a DWDM allocation for millimeter-wave fiber-radio systems, which adopts the optical single-sideband (SSB) filtering technique at the receiver side by using a square response of FBG filter. It can realize the minimum WDM channel interval for optical DSB signals, while it enables the optical frequency interleave between the neighboring channels without any serious signal degradation due to the interchannel interference. Then, we will experimentally demonstrate the error-free DWDM transmission of two 60-GHz-band, 155.52-Mb/s differential phase-shift keying (DPSK) fiber-radio signals over 25-km-long single-mode fiber (SMF) with the minimum channel interval of 83.6 GHz (= 0.68 nm) by using the test-square response FBGs. Finally, we will show that based upon the experimental results, in the micro- or pico-cellular DWDM broad-band millimeter-wave fiber-radio access network 1000 antenna base stations (BSs) under the coverage of the single central office (CO) would be feasible by sectorizing the zone.</t>
  </si>
  <si>
    <t>1397-1407</t>
  </si>
  <si>
    <t>60024322;60032325;60024322;100362949;60003765</t>
  </si>
  <si>
    <t>35425650000;7004228759;6508010101;7801652306;6603963020</t>
  </si>
  <si>
    <t>Kitayama, Ken Ichi;Kuri, Toshiaki;Onohara, Kiyoshi;Kamisaka, Tomotada;Murashima, Kiyotaka</t>
  </si>
  <si>
    <t>Koganei;Suita;Osaka;Toyama</t>
  </si>
  <si>
    <t>Japan National Institute of Information and Communications Technology;Osaka University;Sumitomo Electric Industries, Ltd.;YKK Corp</t>
  </si>
  <si>
    <t>60032325;60024322;60003765;100362949</t>
  </si>
  <si>
    <t>Kitayama K.I.</t>
  </si>
  <si>
    <t>Dispersion effects of FBG filter and optical SSB filtering in DWDM millimeter-wave fiber-radio systems</t>
  </si>
  <si>
    <t>10.1109/JLT.2002.800265</t>
  </si>
  <si>
    <t>2-s2.0-0036705242</t>
  </si>
  <si>
    <t>['waveguide grating', 'various numbers', 'transfer function', 'thermal noise', 'sidelobes induced', 'polarization variations', 'phase noise', 'phase errors', 'optical network', 'numerical model', 'network nodes', 'grating arms', 'gaussian assumption', 'bit misalignment', 'band crosstalk', 'account fluctuations']</t>
  </si>
  <si>
    <t>Gratings | Optical crosstalk | Phased arrays | Wavelength division multiplexing (WDM)</t>
  </si>
  <si>
    <t>The effect of in-band crosstalk can pose severe limitations in an optical network. In this paper, the implications of in-band crosstalk induced by an arrayed-waveguide grating (AWG) router in a passive N √ó N optical interconnection are analyzed with non-Gaussian statistics using a numerical model. The model is based on the saddle point approximation and takes into account fluctuations of the transfer function's sidelobes induced by the phase errors in the grating arms, phase noise, polarization variations, bit misalignment, and shot and thermal noise. The influence of these effects on the interconnection's bit error rate (BER) is analyzed. The validity of the Gaussian assumption for the crosstalk noise statistics is discussed. Finally, the model is used to examine the mean crosstalk requirements for various numbers of network nodes.</t>
  </si>
  <si>
    <t>1357-1366</t>
  </si>
  <si>
    <t>60028900;60028900</t>
  </si>
  <si>
    <t>6603137301;7003285802</t>
  </si>
  <si>
    <t>Kamalakis, Thomas;Sphicopoulos, Thomas</t>
  </si>
  <si>
    <t>National and Kapodistrian University of Athens</t>
  </si>
  <si>
    <t>Kamalakis T.</t>
  </si>
  <si>
    <t>Application of the saddle point method for the evaluation of crosstalk implications in an arrayed-waveguide grating interconnection</t>
  </si>
  <si>
    <t>10.1109/JLT.2002.800807</t>
  </si>
  <si>
    <t>2-s2.0-0036705458</t>
  </si>
  <si>
    <t>['theoretically investigated', 'rl network', 'ring antenna', 'return loss', 'resonance occurs', 'rc network', 'radiation pattern', 'radiated power', 'proper matching', 'percentage bandwidth', 'input impedance', 'inner radius', 'increasing ratio', 'feed location', 'design considerations', 'antenna behaves', '35 cm', '285 ghz']</t>
  </si>
  <si>
    <t>The design considerations for development of the annular ring microstrip antenna are considered and consequently various parameters such as input impedance, VSWR, return loss and radiation pattern have been theoretically investigated as a function of frequency for different feed locations with a view to optimizing the feed location for proper matching and radiation. It has been observed that resonance occurs at 3.285 GHz, which is invariant with feed location. The antenna behaves as an RL network below resonance and as an RC network above resonance and shows perfect matching at a feed location of 3.35 cm from the centre. The percentage bandwidth is found to decrease and radiated power to increase with increasing ratio of outer to inner radius of the ring antenna.</t>
  </si>
  <si>
    <t>665-677</t>
  </si>
  <si>
    <t>60019106;60019106</t>
  </si>
  <si>
    <t>56962785800;7003714798</t>
  </si>
  <si>
    <t>Kanaujia, Binod K.;Vishvakarma, Babau R.</t>
  </si>
  <si>
    <t>Varanasi</t>
  </si>
  <si>
    <t>Indian Institute of Technology Banaras Hindu University</t>
  </si>
  <si>
    <t>Kanaujia B.</t>
  </si>
  <si>
    <t>Design considerations for the development of the annular ring microstrip antenna</t>
  </si>
  <si>
    <t>10.1080/0020721021000057526</t>
  </si>
  <si>
    <t>2-s2.0-0036705910</t>
  </si>
  <si>
    <t>Minnesota Pharmacists Foundation</t>
  </si>
  <si>
    <t>85-2612-M008-005 AP5</t>
  </si>
  <si>
    <t>MPF</t>
  </si>
  <si>
    <t>['¬© 2002', 'volcanological society', 'vhf radar', 'vertical beam', 'two instruments', 'space sciences', 'show similarity', 'seismological society', 'rights reserved', 'quite intermittent', 'quantities demonstrate', 'pmse conditions', 'planetary sciences', 'operated simultaneously', 'noise ratio', 'mainly attributed', 'japanese society', 'ionospheric condition', 'intensity profiles', 'geodetic society', 'eiscat dynasonde', 'echo polarization', 'echo frequency', 'doppler velocity', 'data recorded', '224 mhz', '10 mhz']</t>
  </si>
  <si>
    <t>The EISCAT VHF radar (224 MHz) and the EISCAT dynasonde (1-10 MHz) were operated simultaneously during a Polar Mesosphere Summer Echoes (PMSE) event on 22 June 1994. We investigate the echo characteristics revealed by these two instruments. The antenna of the VHF radar was set 10¬∞ off-zenith to the north for both transmission and receiving, while the dynasonde was operated with vertical beam to record ionograms every 3 minutes. The Height-Time-Intensity (HTI) variation of the VHF radar PMSE is studied, which is characterized layered structures. The intensity profiles are quite intermittent which show similarity to those data recorded by the dynasonde. To study the ionospheric condition with the dynasonde, the quantities of signal-to-noise ratio, echo frequency, echo polarization, echolocation, and Doppler velocity are investigated. Variations in the quantities demonstrate that during the PMSE conditions, echoes of the dynasonde are mainly attributed by reflection of many small irregularities within the observed ionospheric volume. ¬© 2002, The Seismological Society of Japan, Society of Geomagnetism and Earth, Planetary and Space Sciences, The Volcanological Society of Japan, The Geodetic Society of Japan, The Japanese Society for Planetary Sciences. All rights reserved.</t>
  </si>
  <si>
    <t>691-698</t>
  </si>
  <si>
    <t>60024666;60024666;60024666;60024666</t>
  </si>
  <si>
    <t>8577721900;7403224755;7410151123;57226482139</t>
  </si>
  <si>
    <t>Liu, Jann Yenq;Pan, Chen Jeih;Lee, Chien Chih;Liu, Jann Yenq</t>
  </si>
  <si>
    <t>Liu J.Y.</t>
  </si>
  <si>
    <t>VHF radar and MF/HF dynasonde observations during Polar Mesosphere Summer Echoes conditions at EISCAT</t>
  </si>
  <si>
    <t>10.1186/BF03351720</t>
  </si>
  <si>
    <t>2-s2.0-0037922801</t>
  </si>
  <si>
    <t>['wireless systems', 'trellis codes', 'theoretical framework', 'simulation data', 'recent work', 'provided demonstrating', 'hurwitz construction', 'given dimensionality', 'fixed regardless', 'feedback using', 'easily concatenated', 'diversity transformations', 'decoded separately', 'bandwidth necessary', 'arbitrary dimensionality', 'antennas used', 'antenna case']</t>
  </si>
  <si>
    <t>Closed-loop transmit diversity | Space-time codes | Spatial block codes</t>
  </si>
  <si>
    <t>Recent work in the development of diversity transformations for wireless systems has produced a theoretical framework for space-time block codes. Such codes are beneficial in that they may be easily concatenated with interleaved d trellis codes and yet still may be decoded separately. In this paper, a theoretical framework is provided for the generation of spatial block codes of arbitrary dimensionality through the use of orthonormal polynomial sets. While these codes cannot maximize theoretical diversity performance for given dimensionality, they still provide performance improvements over the single-antenna case. In particular, their application to closed-loop transmit diversity systems is proposed, as the bandwidth necessary for feedback using these types of codes is fixed regardless of the number of antennas used. Simulation data is provided demonstrating these types of codes' performance under this implementation as compared not only to the single-antenna case but also to the two-antenna code derived from the Radon-Hurwitz construction.</t>
  </si>
  <si>
    <t>854-864</t>
  </si>
  <si>
    <t>Mandyam, Giridhar D.</t>
  </si>
  <si>
    <t>Nokia USA</t>
  </si>
  <si>
    <t>Mandyam G.D.</t>
  </si>
  <si>
    <t>Spatial block codes based on unitary transformations derived from orthonormal polynomial sets</t>
  </si>
  <si>
    <t>10.1155/S1110865702000860</t>
  </si>
  <si>
    <t>2-s2.0-0038781450</t>
  </si>
  <si>
    <t>['time codes', 'simple well', 'scenarios considered', 'powerful space', 'performance evaluation', 'outage capacity', 'near optimum', 'known techniques', 'input multiple', 'ieee 802', 'demonstrated within', 'certain configurations', 'best suited', 'addressed separately']</t>
  </si>
  <si>
    <t>Antenna diversity | MIMO | OFDM | Space-time block codes | TCM | WLAN</t>
  </si>
  <si>
    <t>We address the problem of high-data-rate orthogonal frequency division multiplexed (OFDM) systems under restrictive bandwidth constraints. Based on recent theoretic results, multiple-input multiple-output (MIMO) configurations are best suited for this problem. In this paper, we examine several MIMO configurations suitable for high rate transmission. In all scenarios considered, perfect channel state information (CSI) is assumed at the receiver. In constrast, availability of CSI at the transmitter is addressed separately. We show that powerful space-time codes can be developed by combining some simple well-known techniques. In fact, we show that for certain configurations, these space-time MIMO configurations are near optimum in terms of outage capacity as compared to previously published codes. Performance evaluation of these techniques is demonstrated within the IEEE 802.1 la framework via Monte Carlo simulations.</t>
  </si>
  <si>
    <t>831-843</t>
  </si>
  <si>
    <t>60023290;60023290;60017536;60019647</t>
  </si>
  <si>
    <t>55422972800;57211980696;15822789200;6603274726</t>
  </si>
  <si>
    <t>Terry, John D.;Heiskala, Juha;Stolpman, Victor;Fozunbal, Majid</t>
  </si>
  <si>
    <t>Murray;Atlanta;Dallas</t>
  </si>
  <si>
    <t>Nokia USA;Georgia Institute of Technology;Southern Methodist University</t>
  </si>
  <si>
    <t>60023290;60019647;60017536</t>
  </si>
  <si>
    <t>Terry J.</t>
  </si>
  <si>
    <t>On bandwidth efficient modulation for high-data-rate wireless LAN systems</t>
  </si>
  <si>
    <t>10.1155/S1110865702000926</t>
  </si>
  <si>
    <t>2-s2.0-0043023438</t>
  </si>
  <si>
    <t>['system subject', 'system capacity', 'simulation study', 'receiver design', 'receiver ).', 'optimum algorithm', 'optimization algorithm', 'multiple antennas', 'multipath channels', 'joint transmitter', 'interference ratio', 'empirically observed', 'downlink code']</t>
  </si>
  <si>
    <t>CDMA system | Downlink | Joint transmitter-receiver optimization | MMSE receiver | Multipath and multiple antennas | Power control</t>
  </si>
  <si>
    <t>To maximize the downlink code-division multiple access (CDMA) system capacity, we propose to minimize the total transmitted power of the system subject to users' signal-to-interference ratio (SIR) requirements via designing optimum transmitter sequences and utilizing linear optimum receivers (minimum mean square error (MMSE) receiver). In our work on joint transmitter-receiver design for the downlink CDMA systems with multiple antennas and multipath channels, we develop several optimization algorithms by considering various system constraints and prove their convergence. We empirically observed that under the optimization algorithm with no constraint on the system, the optimum receiver structure matches the received transmitter sequences. A simulation study is performed to see how the different practical system constraints penalize the system with respect to the optimum algorithm with no constraint on the system.</t>
  </si>
  <si>
    <t>807-817</t>
  </si>
  <si>
    <t>60009415;60009415</t>
  </si>
  <si>
    <t>7003868048;19640002700</t>
  </si>
  <si>
    <t>Saquib, Mohammad;Islam, Md Habibul</t>
  </si>
  <si>
    <t>Richardson</t>
  </si>
  <si>
    <t>The University of Texas at Dallas</t>
  </si>
  <si>
    <t>Saquib M.</t>
  </si>
  <si>
    <t>Joint transmitter-receiver optimization in the downlink CDMA systems</t>
  </si>
  <si>
    <t>10.1155/S1110865702203066</t>
  </si>
  <si>
    <t>2-s2.0-0043023443</t>
  </si>
  <si>
    <t>['unidirectional patterns', 'size antenna', 'simultaneously coupled', 'return loss', 'realized entirely', 'modest gain', 'inexpensive smaller', 'fully integrated', 'cpw ),', 'could also', 'coplanar waveguide', 'coplanar form', 'circular polarization', 'active antennas']</t>
  </si>
  <si>
    <t>A new printed dual-spiral slot antenna, fully integrated with coplanar waveguide (CPW), is described. The two spiral elements are simultaneously coupled to a single feed line and produce a circular polarization. It can be operated with bi- or unidirectional patterns and would be suitable for a variety of communications applications requiring an inexpensive smaller-size antenna with a simplified feeding system, modest gain and a fairly broad beam. It could also be used as an element in active antennas, or arrays, realized entirely in coplanar form. Satisfactory radiation patterns, polarization and return loss are presented for a 3 GHz prototype.</t>
  </si>
  <si>
    <t>657-663</t>
  </si>
  <si>
    <t>102026525;60044065;60008524;102026525</t>
  </si>
  <si>
    <t>7005735138;6601997300;12446281500;55952532900</t>
  </si>
  <si>
    <t>Ibrahim, B. A.W.;Hejazi, Z. M.;Moustafa, J. M.;McEwan, N. J.</t>
  </si>
  <si>
    <t>Jordan;United Kingdom;United Kingdom</t>
  </si>
  <si>
    <t>Irbid;Bradford;Shipley</t>
  </si>
  <si>
    <t>Yarmouk University;University of Bradford;Filtronic L K Oy</t>
  </si>
  <si>
    <t>60044065;60008524;102026525</t>
  </si>
  <si>
    <t>Ibrahim B.</t>
  </si>
  <si>
    <t>A hybrid CPW-to-slot dual-spiral antenna radiator for circular polarization</t>
  </si>
  <si>
    <t>10.1080/0020721021000046500</t>
  </si>
  <si>
    <t>2-s2.0-0347926440</t>
  </si>
  <si>
    <t>['wavelength erbium', 'technique allows', 'spectral width', 'slant onto', 'photonics true', 'lateral surface', 'laser source', 'dynamic control', 'demonstrated experimentally', 'delay system', 'delay element', 'continuous time', 'chirp rate']</t>
  </si>
  <si>
    <t>Fiber Bragg grating | Fiber laser | Fiber optics | Phased-array antenna | Sampled grating | True-time-delay</t>
  </si>
  <si>
    <t>A photonics true-time-delay system for phased array antenna beam steering employing a novel tunable chirped fiber grating delay line and a multi-wavelength erbium-doped fiber ring laser source based on a sampled grating filter is proposed. The tunable chirped fiber grating, which act as a continuous time-delay element, is achieved by bending a uniform fiber Bragg grating bonded at a slant onto the lateral surface of a simply supported beam. This technique allows the dynamic control of the chirp rate and spectral width of the grating without center wavelength shift. By adjusting the chirp rate of the fiber grating via bend strain, this kind of tunable chirped fiber grating could achieve very low and adjustable delay times, therefore provides higher angle resolution for scanning microwave beam, even the wavelengths of laser source are fixed and un-tunable. The true-time-delay system using proposed tunable chirped fiber grating delay element and sampled grating based laser source is constructed and demonstrated experimentally.</t>
  </si>
  <si>
    <t>1241-1250</t>
  </si>
  <si>
    <t>8115154200;55742051100;35586113900;7403503344</t>
  </si>
  <si>
    <t>Yang, Jianliang;Liu, Yunqi;Tjin, Sweechuan;Yao, Jianping</t>
  </si>
  <si>
    <t>Continuous true-time-delay system employing a novel tunable chirped fiber grating delay line and a sampled grating based multiwavelength fiber laser</t>
  </si>
  <si>
    <t>10.1023/A:1019667810485</t>
  </si>
  <si>
    <t>2-s2.0-1942475017</t>
  </si>
  <si>
    <t>['used separately', 'two antennas', 'spatial resolution', 'required 1', 'remote sensing', 'radiometric sensitivity', 'proposed radiometer', 'millimeter radiometer', 'millimeter channels', 'instrument requirements', 'instrument concept', 'ice clouds', 'highest frequencies', 'frequencies within', 'five frequencies', 'data processing', 'certain compromise', 'atmospheric windows', 'also included', '900 ghz', '874 ghz', '31 ghz', '0 k']</t>
  </si>
  <si>
    <t>Microwave radiometry | Millimeter and sub-millimeter wave technology | Satellite remote sensing of clouds</t>
  </si>
  <si>
    <t>The instrument concept of a future spaceborne millimeter/sub-millimeter radiometer is proposed in this paper for the remote sensing of ice clouds from satellite. The proposed radiometer is expected to operate at a series of frequencies within the millimeter and sub-millimeter wave range from 150 to about 900 GHz. Five frequencies are selected in the atmospheric windows, i.e., 150, 220, 463, 683, 874 GHz, and at each frequency there are two orthogonally polarized channels. Three water vapor channels located close to 183.31 GHz are also included in this instrument, since they can provide water vapor information, which is needed for ice cloud parameter retrieval. To simplify system design and test, a modular design philosophy is followed in the receiver frontend design and two antennas are used separately for the millimeter and sub-millimeter channels. Overall, the instrument requirements can be met with today's technology, except for the channels at the highest frequencies, where the radiometric sensitivity can be larger than the required 1.0 K for the 10 km spatial resolution (2.5 ms integration time). However, this situation can be improved by averaging neighboring pixels in data processing if certain compromise in the spatial resolution can be made at these frequencies.</t>
  </si>
  <si>
    <t>1159-1170</t>
  </si>
  <si>
    <t>60008293;60116604;60008293;60116604</t>
  </si>
  <si>
    <t>7102180306;57196933120;7003723817;23017590400</t>
  </si>
  <si>
    <t>Miao, Jungang;Rose, Thomas;Kunzi, Klaus;Zimmermann, Peter</t>
  </si>
  <si>
    <t>Meckenheim;Bremen</t>
  </si>
  <si>
    <t>RPG-Radiometer Physics GmbH;Universit√§t Bremen</t>
  </si>
  <si>
    <t>60116604;60008293</t>
  </si>
  <si>
    <t>Miao J.</t>
  </si>
  <si>
    <t>A future millimeter/sub-millimeter radiometer for satellite observation of ice clouds</t>
  </si>
  <si>
    <t>10.1023/A:1019655507759</t>
  </si>
  <si>
    <t>2-s2.0-1942507180</t>
  </si>
  <si>
    <t>00‚Äì02‚Äì17602</t>
  </si>
  <si>
    <t>['vector fluctuations', 'theory methods', 'statistical analysis', 'signal distortions', 'sample estimate', 'restriction subspace', 'restriction direction', 'output signal', 'obtained expressions', 'interference direction', 'fast algorithm', 'e .,', 'corresponding formulas', 'correlation matrix', 'correlation characteristics', 'antenna array', 'also shown', 'also absent']</t>
  </si>
  <si>
    <t>We present the results of statistical analysis of an adaptive antenna array tuned in accordance with the fast recurrent algorithm of inversion of a sample estimate of the correlation matrix with allowance for weight-vector fluctuations. Using the perturbation-theory methods in the first (Born) approximation, we obtain the spectral-correlation characteristics of the output signal of an antenna array. Fluctuations are shown to result in signal distortions at the output of an adaptive antenna array. Comparing the obtained expressions with the corresponding formulas for the antenna array with a gradient tuning algorithm, we see that for equal convergence rates of the above algorithms, the output-signal distortions are more pronounced for the fast recurrent algorithm. It is also shown that the weight-vector fluctuations are anisotropic for the fast algorithm, i.e., they are absent in the restriction direction, minimal in the interference direction, and maximal in all other directions. The weight-vector fluctuations in an adaptive antenna array with a gradient tuning algorithm are isotropic in the restriction subspace, i.e., they are the same in all directions and are equal in magnitude to fluctuations in the interference direction for the fast algorithm. The weight-vector fluctuations are also absent in the restriction direction for the gradient tuning algorithm.</t>
  </si>
  <si>
    <t>646-657</t>
  </si>
  <si>
    <t>57220358034;36955184100</t>
  </si>
  <si>
    <t>Mal‚Äôtsev, A. A.;Zimina, S. V.</t>
  </si>
  <si>
    <t>Mal‚Äôtsev A.A.</t>
  </si>
  <si>
    <t>The influence of weight-vector fluctuations on statistical properties of an adaptive antenna array with a fast recurrent tuning algorithm</t>
  </si>
  <si>
    <t>10.1023/A:1021785116118</t>
  </si>
  <si>
    <t>2-s2.0-33646820749</t>
  </si>
  <si>
    <t>['possible harm', 'north america', 'lightning damage', 'housed equipment', 'equipment within', 'equipment results', 'casualty claims', 'approximately 6']</t>
  </si>
  <si>
    <t>Equipment | Lightning | Safety</t>
  </si>
  <si>
    <t>Workable special protection methods to prevent lightning damage to equipment and possible harm to associated working personnel are presented. This document covers protection methods for ground potential rise, isolation, shielding, and grounding from lightning. Be warned: Protecting a structure from lightning does very little to protect the equipment within that structure, and the housed equipment is normally worth many times the value of the structure. Lightning damage to equipment results in losses exceeding twenty-six billion dollars annually in North America and nearly three times that worldwide, with more than 150 strikes per second. Insurance payout resulting from lightning damage accounts for approximately 6.5% of all property and casualty claims. Ironically, nearly all lightning damage to equipment can be prevented.</t>
  </si>
  <si>
    <t>124-128</t>
  </si>
  <si>
    <t>Journal of Performance of Constructed Facilities</t>
  </si>
  <si>
    <t>Duckworth, Ernest M.</t>
  </si>
  <si>
    <t>SNC Manufacturing Co., Inc.</t>
  </si>
  <si>
    <t>Duckworth E.</t>
  </si>
  <si>
    <t>Guide for protection of equipment and personnel from lightning</t>
  </si>
  <si>
    <t>10.1061/(ASCE)0887-3828(2002)16:3(124)</t>
  </si>
  <si>
    <t>2-s2.0-4544221779</t>
  </si>
  <si>
    <t>Ministry of Education and Science of the Russian Federation</t>
  </si>
  <si>
    <t>T00‚Äì 31‚Äì1168</t>
  </si>
  <si>
    <t>Minobrnauka</t>
  </si>
  <si>
    <t>['simultaneous determination', 'radio line', 'radar located', 'one point', 'matter deposition', 'main radio', 'line characteristics', 'describe equipment', 'atmosphere using']</t>
  </si>
  <si>
    <t>We describe equipment and a method for performing an experiment on a short meteor radio line of length 85 km. The feature of the experiment is monitoring of meteor-matter deposition to the atmosphere using a radar located at one point of the radio line with the simultaneous determination of the main radio-line characteristics.</t>
  </si>
  <si>
    <t>623-628</t>
  </si>
  <si>
    <t>60070941;60070941</t>
  </si>
  <si>
    <t>57018699900;7201349502</t>
  </si>
  <si>
    <t>Karpov, A. V.;Naumov, A. V.</t>
  </si>
  <si>
    <t>Kazan</t>
  </si>
  <si>
    <t>Kazan Federal University</t>
  </si>
  <si>
    <t>Karpov A.</t>
  </si>
  <si>
    <t>Study of the influence of the mutual orientation of antennas on the characteristics of a meteor radio channel</t>
  </si>
  <si>
    <t>10.1023/A:1021729031139</t>
  </si>
  <si>
    <t>2-s2.0-85050229083</t>
  </si>
  <si>
    <t>['inverse problem', 'fourier series', 'electric field', 'e .,', 'coordinate system', 'coordinate surfaces', 'arriving waves', 'antenna theory', 'antenna surface', 'also demonstrated']</t>
  </si>
  <si>
    <t>It is shown that the field in the vicinity of a transmitting antenna may be decomposed into outgoing and arriving waves. This decomposition is relative and depends on a coordinate system when the antenna and coordinate surfaces do not coincide. It is also demonstrated that the above circumstance takes place if and only if the coefficients of the Fourier series for the antenna radiation pattern rather slowly decrease with number. An algorithm is proposed for solving, in this case as well, the inverse problem of the antenna theory, i.e., the problem of determining the electric field on the antenna surface from a given radiation pattern. The analysis is performed in the 2D scalar case.</t>
  </si>
  <si>
    <t>844-847</t>
  </si>
  <si>
    <t>Katsenelenbaum, B. Z.</t>
  </si>
  <si>
    <t>Katsenelenbaum B.</t>
  </si>
  <si>
    <t>The field in the vicinity of a transmitting antenna</t>
  </si>
  <si>
    <t>2-s2.0-9144225526</t>
  </si>
  <si>
    <t>['quasistatic calculation', 'line resonators', 'given passband', 'frequency responses', 'filter synthesis', 'coupling coefficients']</t>
  </si>
  <si>
    <t>A microstrip array filter using strip-line resonators with a dumbbell-like width step is considered. It is demonstrated that the problem of synthesizing a filter with a given passband has as many as three different solutions. The frequency responses of these solutions are compared for the filters with diagonal and cascade tapping connections. An approximate direct method of filter synthesis is proposed. It is based on the quasistatic calculation of the coupling coefficients and the external Q factor of resonators.</t>
  </si>
  <si>
    <t>848-855</t>
  </si>
  <si>
    <t>7007068691;57193693638;7004528342;6603232856</t>
  </si>
  <si>
    <t>Belyaev, B. A.;Leksikov, A. A.;Titov, M. M.;Tyurnev, V. V.</t>
  </si>
  <si>
    <t>Belyaev B.</t>
  </si>
  <si>
    <t>A microstrip array filter with irregular resonators</t>
  </si>
  <si>
    <t>2-s2.0-9144248431</t>
  </si>
  <si>
    <t>['probability density', 'grazing incidence']</t>
  </si>
  <si>
    <t>The 2D (joint) probability density of the amplitude and phase of the field scattered towards a radar by an arbitrary scatterer situated near a rough sea surface is obtained for grazing incidence.</t>
  </si>
  <si>
    <t>830-835</t>
  </si>
  <si>
    <t>Leont'ev, V. V.</t>
  </si>
  <si>
    <t>Leont'ev V.</t>
  </si>
  <si>
    <t>A probabilistic model of centimeter-wave scattering by sea reflectors</t>
  </si>
  <si>
    <t>2-s2.0-9144255557</t>
  </si>
  <si>
    <t>National Institute of Neurological Disorders and Stroke</t>
  </si>
  <si>
    <t>P01NS028495</t>
  </si>
  <si>
    <t>NINDS</t>
  </si>
  <si>
    <t>['transient increase', 'stage 6', 'significantly smaller', 'significantly different', 'results suggest', 'midstage 5', 'later stages', 'intracellular ca2', 'induced ca2', 'greatly reduced', 'external k', 'earlier stages', 'e .,', 'cells responded', 'ca2 +]', 'buffered saline', 'antennal lobes', 'afferent axons', 'activated ca2', '25 mm', '1 min']</t>
  </si>
  <si>
    <t>Antennal lobe | Calcium channel | Fura-2 | Manduca sexta | Neuron-glia interaction</t>
  </si>
  <si>
    <t>Changes in the intracellular Ca2+ concentration ([Ca2+]i) induced by depolarization have been measured in glial cells acutely isolated from antennal lobes of the moth Manduca sexta at different postembryonic developmental stages. Depolarization of the glial cell membrane was elicited by increasing the external K+ concentration from 4 to 25 mM. At midstage 5 and earlier stages, less than 20% of the cells responded to 25 mM K+ (1 min) with a transient increase in [Ca2+]i of approximately 40 nM. One day later, at late stage 5, 68% of the cells responded to 25 mM K+, the amplitude of the [Ca2+]i transients averaging 592 nM. At later stages, all cells responded to 25 mM K+ with [Ca2+]i, transients with amplitudes not significantly different from those at late stage 5. In stage 6 glial cells isolated from deafferented antennal lobes, i.e., from antennal lobes chronically deprived of olfactory receptor axons, only 30% of the cells responded with [Ca2+]i transients. The amplitudes of these [Ca2+]i transients averaged 93 nM and were significantly smaller than those in normal stage 6 glial cells. [Ca2+]i transients were greatly reduced in Ca2+-free, EGTA-buffered saline, and in the presence of the Ca2+ channel blockers cadmium and verapamil. The results suggest that depolarization of the cell membrane induces Ca2+ influx through voltage-activated Ca2+ channels into antennal lobe glial cells. The development of the depolarization-induced Ca2+ transients is rapid between midstage 5 and stage 6, and depends on the presence of afferent axons from the olfactory receptor cells in the antenna. ¬© 2002 Wiley Periodicals. Inc.</t>
  </si>
  <si>
    <t>85-98</t>
  </si>
  <si>
    <t>60010065-60009941;60010065;60010065;60010065</t>
  </si>
  <si>
    <t>35618380400;35726102100;7004335896;7102144017</t>
  </si>
  <si>
    <t>Lohr, Christian;Tucker, Eric;Oland, Lynne A.;Tolbert, Leslie P.</t>
  </si>
  <si>
    <t>Tucson;Kaiserslautern</t>
  </si>
  <si>
    <t>The University of Arizona;Technische Universit√§t Kaiserslautern</t>
  </si>
  <si>
    <t>60010065;60009941</t>
  </si>
  <si>
    <t>Lohr C.</t>
  </si>
  <si>
    <t>Development of depolarization-induced calcium transients in insect glial cells is dependent on the presence of afferent axons</t>
  </si>
  <si>
    <t>10.1002/neu.10075</t>
  </si>
  <si>
    <t>2-s2.0-0036068632</t>
  </si>
  <si>
    <t>['structural proximity', 'significantly reduced', 'sex pheromone', 'possible use', 'poorly active', 'natural pheromone', 'mamestra brassicae', 'male behaviour', 'main component', 'hexadecenyl acetate', 'electroantennographic responses', 'eag ).', 'control strategies', 'chemical industry', 'behavioural activity', 'ac ),']</t>
  </si>
  <si>
    <t>Cabbage armyworm | Inhibition | Mamestra brassicae | Pheromone | Trifluoromethyl ketone</t>
  </si>
  <si>
    <t>The effects of (Z)-11-hexadecenyl trifluoromethyl ketone (Z11-16:TFMK) a fluorinated pheromone analogue, on the responses to sex pheromone of the male cabbage armyworm, Mamestra brassicae, have been investigated in an actograph and by electroantennography (EAG). In spite of its structural proximity with the natural pheromone, Z11-16:TFMK was poorly active in EAG, and not active on male behaviour. When permeated in the air, Z11-16:TFMK reversibly inhibited the electroantennographic responses to (Z)-11-hexadecenyl acetate (Z11-16:Ac), the main component of the sex pheromone. In the actograph, the latency of the activation was increased and the intensity of the behavioural activity of males in response to Z11-16:Ac was significantly reduced in the presence of Z11-16:TFMK. These results, along with others previously reported by us, provide new pointers to the possible use of Z11-16:TFMK in pest-control strategies. ¬© 2002 Society of Chemical Industry.</t>
  </si>
  <si>
    <t>839-844</t>
  </si>
  <si>
    <t>1526498X</t>
  </si>
  <si>
    <t>Pest Management Science</t>
  </si>
  <si>
    <t>60003274;60003274;60022428</t>
  </si>
  <si>
    <t>7004185407;16214280300;7201428748</t>
  </si>
  <si>
    <t>Renou, Michel;Berthier, Andr√©e;Guerrero, Angel</t>
  </si>
  <si>
    <t>Spain;France</t>
  </si>
  <si>
    <t>Barcelona;Versailles</t>
  </si>
  <si>
    <t>CSIC - Instituto de Investigaciones Quimicas y Ambientales Josep Pascual Vila (IIAQB);Centre de recherche √éle-de-France-Versailles - Grignon</t>
  </si>
  <si>
    <t>60022428;60003274</t>
  </si>
  <si>
    <t>Renou M.</t>
  </si>
  <si>
    <t>Disruption of responses to pheromone by (Z)-11-hexadecenyl trifluoromethyl ketone, an analogue of the pheromone, in the cabbage armyworm Mamestra brassicae</t>
  </si>
  <si>
    <t>10.1002/ps.534</t>
  </si>
  <si>
    <t>2-s2.0-0036070214</t>
  </si>
  <si>
    <t>['term measurements', 'synchronous jumps', 'rights reserved', 'possible cause', 'excess noise', 'electric charge', 'continuous rise', 'amplitude may', 'additional damping', '14 c']</t>
  </si>
  <si>
    <t>Electric charge | Fused silica | Gravitational wave detector</t>
  </si>
  <si>
    <t>Results of long-term measurements of electric charge located on the fused silica test mass suspended by fused silica fibers are presented. The charge was measured by means of the capacitive probe placed in the vicinity of the oscillating test mass end face. The continuous rise of electric charge was observed after the vacuum chamber evacuation when the initial charge density was of order of 10-14 C/cm2. Rare large jumps of electric charge and synchronous jumps of the test mass oscillation amplitude were observed as well. The jumps of the amplitude may be interpreted as a result of the additional damping. Possible cause of the electric charge variations associated with the cosmic ray effect is discussed. The charge variations may produce the excess noise in interferometric gravitational wave detectors. ¬© 2002 Elsevier Science B.V. All rights reserved.</t>
  </si>
  <si>
    <t>370-374</t>
  </si>
  <si>
    <t>7101606756;6603070408;10639263800</t>
  </si>
  <si>
    <t>Mitrofanov, V. P.;Prokhorov, L. G.;Tokmakov, K. V.</t>
  </si>
  <si>
    <t>Mitrofanov V.P.</t>
  </si>
  <si>
    <t>Variation of electric charge on prototype of fused silica test mass of gravitational wave antenna</t>
  </si>
  <si>
    <t>S0375960102008575</t>
  </si>
  <si>
    <t>10.1016/S0375-9601(02)00857-5</t>
  </si>
  <si>
    <t>2-s2.0-0037025579</t>
  </si>
  <si>
    <t>['return loss', 'rectangular waveguide', 'radiation patterns', 'profile equilateral', 'previous aperture', 'present configuration', 'new configuration', 'high permittivity', 'coupled dra', 'antenna gain', '8 times', '4 %,']</t>
  </si>
  <si>
    <t>Antenna feeds | Broadband antennas | Dielectric resonator antennas</t>
  </si>
  <si>
    <t>A low-profile equilateral-triangular dielectric resonator antenna (DRA) of very high permittivity (Œµr = 82) is excited with the use of a rectangular waveguide. It is found that the present configuration has a very wide impedance bandwidth of 11.4%, which is 3.8 times of that of the previous aperture-coupled DRA. The return loss, radiation patterns, and antenna gain of the new configuration are investigated.</t>
  </si>
  <si>
    <t>157-158</t>
  </si>
  <si>
    <t>56415172000;7202085510;7102648193;55510527400</t>
  </si>
  <si>
    <t>Leung, K. W.;Lo, H. Y.;So, K. K.;Luk, K. M.</t>
  </si>
  <si>
    <t>High-permittivity dielectric resonator antenna excited by a rectangular waveguide</t>
  </si>
  <si>
    <t>10.1002/mop.10401</t>
  </si>
  <si>
    <t>2-s2.0-0037025715</t>
  </si>
  <si>
    <t>['theoretical articles', 'small arrays', 'ones obtained', 'microstrip patches', 'key factor', 'important parameter', 'field scattered', 'experimental study', 'experimental characterization', 'array antennas']</t>
  </si>
  <si>
    <t>Arrays | Microstrip reflect-array antennas</t>
  </si>
  <si>
    <t>The determination of the phase of the field scattered from microstrip patches is a key factor in the design of reflect-array antennas. Although the problem has been treated in a number of theoretical articles, an experimental characterization of a such an important parameter has never been considered. In this Letter an experimental study of the phase of the field re-radiated from small arrays of patches is presented. As a result a diagram of the phase of the scattered field versus the size of the patches is obtained. Results have been compared with the ones obtained with a commercial MoM package.</t>
  </si>
  <si>
    <t>163-164</t>
  </si>
  <si>
    <t>60020261;60020167;60020261</t>
  </si>
  <si>
    <t>35617705400;55891919100;57201738411</t>
  </si>
  <si>
    <t>Venneri, F.;Angiulli, G.;Di Massa, G.</t>
  </si>
  <si>
    <t>Rende;Reggio Calabria</t>
  </si>
  <si>
    <t>Universit√† della Calabria;Universit√† degli Studi di Reggio Calabria</t>
  </si>
  <si>
    <t>60020261;60020167</t>
  </si>
  <si>
    <t>Venneri F.</t>
  </si>
  <si>
    <t>Experimental evaluation of the phase of the field scattered by microstrip patches for reflect-array design</t>
  </si>
  <si>
    <t>10.1002/mop.10403</t>
  </si>
  <si>
    <t>2-s2.0-0037025717</t>
  </si>
  <si>
    <t>['slots near', 'radiation characteristics', 'radiating edges', 'letter describes', 'experimentally examined', 'balanced center']</t>
  </si>
  <si>
    <t>Dual-frequency operation | Microstrip patch antennas | Radiation patterns</t>
  </si>
  <si>
    <t>This Letter describes a dual-band microstrip patch antenna with a balanced center-fed feeding configuration and a pair of slots near the radiating edges of the patch. The effects of the slots on the impedance and radiation characteristics of the antenna are experimentally examined.</t>
  </si>
  <si>
    <t>227-232</t>
  </si>
  <si>
    <t>7003719143;7409485017</t>
  </si>
  <si>
    <t>See, T. S.P.;Chen, Zhi Ning</t>
  </si>
  <si>
    <t>See T.</t>
  </si>
  <si>
    <t>Slot-loaded center-fed microstrip patch antenna</t>
  </si>
  <si>
    <t>10.1002/mop.10424</t>
  </si>
  <si>
    <t>2-s2.0-0037025718</t>
  </si>
  <si>
    <t>['wideband behavior', 'spatial filtering', 'mhz bandwidths', 'impulsive response', 'delay spread', 'building materials', '40 ghz']</t>
  </si>
  <si>
    <t>Multipath | MWS | Radio link | Wideband sounder</t>
  </si>
  <si>
    <t>The results of a measurement campaign conducted to determine the wideband behavior of the radio channel assigned to Multimedia Wireless Systems (MWS) are described in this Letter. It has been found that small multipath components are present in the impulsive response of radio channels operating at 40 GHz with 80-MHz bandwidths. Multipath and delay spread are limited by the spatial filtering of directive antennas used in MWS and the low reflection coefficient of building materials at these frequencies.</t>
  </si>
  <si>
    <t>224-227</t>
  </si>
  <si>
    <t>7401473966;6507471765;6603851742</t>
  </si>
  <si>
    <t>Garc√≠a S√°nchez, Manuel;V√°zquez Alejos, Ana;Cui√±as, I√±igo</t>
  </si>
  <si>
    <t>Garc√≠a S√°nchez M.</t>
  </si>
  <si>
    <t>Wideband measurements for multimedia wireless system radio links</t>
  </si>
  <si>
    <t>10.1002/mop.10423</t>
  </si>
  <si>
    <t>2-s2.0-0037025719</t>
  </si>
  <si>
    <t>['king design', 'genetic algorithms']</t>
  </si>
  <si>
    <t>Breast tumor detection | Broadband antennas | Genetic algorithms | Hybrid methods in time domain</t>
  </si>
  <si>
    <t>In this Letter an optimization procedure based on genetic algorithms is applied to the design of a resistively loaded ultra-broadband V antenna for detecting breast tumors. Its performance is compared with that of the Wu-King design.</t>
  </si>
  <si>
    <t>164-166</t>
  </si>
  <si>
    <t>60027844;60027844;60025028;60027844;60027844</t>
  </si>
  <si>
    <t>6602185693;7201561429;57004645200;6701414738;7003589064</t>
  </si>
  <si>
    <t>Fern√°ndez Pantoja, M.;Gonz√°lez Garc√≠a, S.;Hern√°ndez-L√≥pez, M. A.;Rubio Bretones, A.;G√≥mez Mart√≠n, R.</t>
  </si>
  <si>
    <t>Granada;Salamanca</t>
  </si>
  <si>
    <t>Universidad de Granada;Universidad de Salamanca</t>
  </si>
  <si>
    <t>60027844;60025028</t>
  </si>
  <si>
    <t>Fern√°ndez Pantoja M.</t>
  </si>
  <si>
    <t>Design of an ultra-broadband V antenna for microwave detection of breast tumors</t>
  </si>
  <si>
    <t>10.1002/mop.10404</t>
  </si>
  <si>
    <t>2-s2.0-0037025736</t>
  </si>
  <si>
    <t>['microwave substrate', 'like structure', 'experimental results', 'easily fed', 'cost surface', 'copper plate', 'compact dimensions', 'antenna design', '5350 mhz', '2484 mhz']</t>
  </si>
  <si>
    <t>Antennas | Dual-frequency antennas | Monopole antennas | Surface-mountable antennas</t>
  </si>
  <si>
    <t>By folding a planar monopole made of a copper plate, into a rectangular-disk-like structure, a low-cost surface-mountable antenna suitable for applications in WLAN (2400-2484 MHz) and HIPERLAN (5150-5350 MHz) systems is proposed. The antenna has compact dimensions of 12 √ó 8 √ó 3 mm3, is easy to construct, and can also be easily fed with the use of a 50-Œ© microstrip line. Details of the antenna design and the experimental results for the proposed antenna mounted on a microwave substrate are presented.</t>
  </si>
  <si>
    <t>166-169</t>
  </si>
  <si>
    <t>Planar monopole folded into a rectangular-disk-like structure as surface-mountable antenna for 2.4/5.2-GHz dual-band operation</t>
  </si>
  <si>
    <t>10.1002/mop.10405</t>
  </si>
  <si>
    <t>2-s2.0-0037025737</t>
  </si>
  <si>
    <t>['‚ àº1', 'software also', 'simulated results', 'shorting pins', 'shorted dual', 'proposed designs', 'frequency operation']</t>
  </si>
  <si>
    <t>Dual-frequency operation | Rhombic microstrip antenna</t>
  </si>
  <si>
    <t>By using a pair of shorting pins, the dual-frequency operation of a single-feed rhombic microstrip antenna with a pair of slits is presented. This shorted dual-frequency microstrip antenna can result in a much reduced antenna size, and provide a tunable frequency ratio of ‚àº1.26-2.33 for the two operating frequencies by varying the inset slit length. Simulated results with the use of the software also have been conducted to study the characteristics of these antennas. Details of the proposed designs are described and discussed.</t>
  </si>
  <si>
    <t>60116768;60116768;60116768</t>
  </si>
  <si>
    <t>7406584064;7404480667;7501612962</t>
  </si>
  <si>
    <t>Lin, Yi Fang;Kuo, Chin Chun;Chen, Hua Ming</t>
  </si>
  <si>
    <t>Compact dual-frequency shorted rhombic microstrip antenna with a pair of slits</t>
  </si>
  <si>
    <t>10.1002/mop.10411</t>
  </si>
  <si>
    <t>2-s2.0-0037025738</t>
  </si>
  <si>
    <t>['therefore requires', 'materials composed', 'convenient analysis', 'chiral antennas']</t>
  </si>
  <si>
    <t>Chiral element | Chiral materials | Equivalent circuit | Meta-materials</t>
  </si>
  <si>
    <t>This article introduces broadband equivalent circuit models for both series-connected and parallel-connected canonical chiral elements. Each connection method results in a different terminal impedance behavior and therefore requires a different equivalent circuit model. These equivalent circuit models have a variety of applications including allowing for convenient analysis of chiral antennas as well as meta-materials composed of passively or actively loaded chiral elements.</t>
  </si>
  <si>
    <t>181-183</t>
  </si>
  <si>
    <t>7103270242;55925714300</t>
  </si>
  <si>
    <t>Long, B. R.;Werner, D. H.</t>
  </si>
  <si>
    <t>Long B.</t>
  </si>
  <si>
    <t>Broadband equivalent circuit models for canonical chiral elements</t>
  </si>
  <si>
    <t>10.1002/mop.10410</t>
  </si>
  <si>
    <t>2-s2.0-0037025739</t>
  </si>
  <si>
    <t>['radiation properties', 'handset size', 'field pattern', 'chassis shape', '9 ghz']</t>
  </si>
  <si>
    <t>Antenna measurement | Cable radiation suppression | Ferrite choke | Handset antenna | Sleeve balun</t>
  </si>
  <si>
    <t>Chassis shape and element design dominate portable antenna circuit and radiation properties. In terms of far-field pattern and input reflection magnitudes, this work experimentally investigates at 1.9 GHz the interplay between the element, handset size, and feed-line radiation suppression techniques.</t>
  </si>
  <si>
    <t>169-172</t>
  </si>
  <si>
    <t>60000745;100380744;60000745</t>
  </si>
  <si>
    <t>7102196358;57199292547;7101803680</t>
  </si>
  <si>
    <t>Haley, J.;Moore, T.;Bernhard, J. T.</t>
  </si>
  <si>
    <t>Urbana;</t>
  </si>
  <si>
    <t>University of Illinois Urbana-Champaign;Amphenol T and M Antennas</t>
  </si>
  <si>
    <t>60000745;100380744</t>
  </si>
  <si>
    <t>Haley J.</t>
  </si>
  <si>
    <t>Experimental investigation of antenna-handset-feed interaction during wireless product testing</t>
  </si>
  <si>
    <t>10.1002/mop.10406</t>
  </si>
  <si>
    <t>2-s2.0-0037025742</t>
  </si>
  <si>
    <t>['transmission lines', 'transmission line', 'metal probe', 'material boundary', 'fdtd interface', 'accurately modeled']</t>
  </si>
  <si>
    <t>Antenna feeds | Coaxial transmission lines | FDTD methods | Waveguide excitation</t>
  </si>
  <si>
    <t>A new FDTD model for a coaxial probe feed based on transmission lines is proposed. Both the metal probe and a material boundary at the transmission line to FDTD interface are accurately modeled. Comparisons with experimental data indicate a significant improvement compared with a previously published transmission-line feed model.</t>
  </si>
  <si>
    <t>193-198</t>
  </si>
  <si>
    <t>60011170;60103653;60103653;60011170</t>
  </si>
  <si>
    <t>6701537909;14031784600;7007024889;6604053043</t>
  </si>
  <si>
    <t>M√§kinen, Riku;Kangas, Ville;Lahtinen, Janne;Kivikoski, Markku</t>
  </si>
  <si>
    <t>Espoo;Tampere</t>
  </si>
  <si>
    <t>Aalto University;Tampereen Yliopisto</t>
  </si>
  <si>
    <t>60103653;60011170</t>
  </si>
  <si>
    <t>M√§kinen R.</t>
  </si>
  <si>
    <t>A coaxial probe feed model for FDTD</t>
  </si>
  <si>
    <t>10.1002/mop.10415</t>
  </si>
  <si>
    <t>2-s2.0-0037025758</t>
  </si>
  <si>
    <t>['shaped slot', 'proposed c', 'mainly excited', 'investigated experimentally', 'feed slot', 'experimental results', 'circular polarization']</t>
  </si>
  <si>
    <t>Circular polarization | Dielectric resonator antenna</t>
  </si>
  <si>
    <t>Design of a microstrip-line-feed slot-coupled cylindrical dielectric resonator antenna (DRA) for circular polarization (CP) is investigated experimentally. The occurrence of the two orthogonal near-degenerate resonant modes is mainly excited by a perturbed annular slot that is, a C-shaped slot. The CP resonant frequency can be adjusted by using different slot sizes. Experimental results of the proposed C-slot coupled DRA are presented and discussed.</t>
  </si>
  <si>
    <t>211-213</t>
  </si>
  <si>
    <t>60033110;60002069</t>
  </si>
  <si>
    <t>7406886947;7401774071</t>
  </si>
  <si>
    <t>Huang, Chih Yu;Kuo, Jieh Sen</t>
  </si>
  <si>
    <t>National Kaohsiung Normal University;Chinese Military Academy Taiwan</t>
  </si>
  <si>
    <t>Huang C.</t>
  </si>
  <si>
    <t>Frequency-adjustable circularly polarized dielectric resonator antenna</t>
  </si>
  <si>
    <t>10.1002/mop.10419</t>
  </si>
  <si>
    <t>2-s2.0-0037025759</t>
  </si>
  <si>
    <t>['experimental results', 'circular polarization', 'also demonstrated', '5 %.']</t>
  </si>
  <si>
    <t>Axial ratio | Circular polarization | Circular sided | Compact | Microstrip antenna</t>
  </si>
  <si>
    <t>Development of a new compact circular-sided microstrip antenna is presented. This antenna offers considerable area reduction compared to standard rectangular microstrip antenna designed for the same frequency. Typical antenna design and experimental results for circular polarization are also demonstrated. The antenna has a 3-dB axial ratio bandwidth of 1.5%.</t>
  </si>
  <si>
    <t>176-177</t>
  </si>
  <si>
    <t>Compact circular-sided microstrip antenna for circular polarization</t>
  </si>
  <si>
    <t>10.1002/mop.10408</t>
  </si>
  <si>
    <t>2-s2.0-0037025761</t>
  </si>
  <si>
    <t>['unknown variables', 'numerical results', 'number reduction', 'fast analysis', 'computational complexity']</t>
  </si>
  <si>
    <t>Dielectric substrate | Discrete Fourier transform | Moment method | Printed dipole arrays</t>
  </si>
  <si>
    <t>Recently a discrete Fourier transform-method of moments (DFT-MoM) scheme was developed for fast analysis of electrically large rectangular planar dipole arrays, which has been shown to be very efficient in terms of number reduction of unknown variables and computational complexity. The applications of this DFT-MoM to treat dipole arrays printed on a grounded dielectric substrate are examined in this Letter. Numerical results are presented to validate its efficiency and accuracy.</t>
  </si>
  <si>
    <t>203-207</t>
  </si>
  <si>
    <t>60013395;60005429;60004305;60014808</t>
  </si>
  <si>
    <t>7202063846;7401465345;6701541550;35591439300</t>
  </si>
  <si>
    <t>Chou, Hsi Tseng;Ho, Hsien Kwei;Civi, O. A.;Erturk, Vakur B.</t>
  </si>
  <si>
    <t>Turkey;Taiwan;Taiwan;Turkey</t>
  </si>
  <si>
    <t>Ankara;Chung-Li;Taipei;Ankara</t>
  </si>
  <si>
    <t>Bilkent √úniversitesi;Yuan Ze University;National Taiwan University;Middle East Technical University (METU)</t>
  </si>
  <si>
    <t>60014808;60013395;60005429;60004305</t>
  </si>
  <si>
    <t>Chou H.T.</t>
  </si>
  <si>
    <t>Applications of hybrid discrete Fourier transform-moment method to the fast analysis of large rectangular dipole arrays printed on a thin grounded dielectric substrate</t>
  </si>
  <si>
    <t>10.1002/mop.10417</t>
  </si>
  <si>
    <t>2-s2.0-0037025762</t>
  </si>
  <si>
    <t>['sensitive devices', 'radiating systems', 'new procedure', 'moments formulation', 'field restrictions', 'electromagnetic interference', 'electromagnetic coupling', 'dimensional method', 'article presents', 'accurate three', 'accurate control']</t>
  </si>
  <si>
    <t>Array antenna | Electromagnetic compatibility | Method of moments | Onboard antennas | Pattern synthesis</t>
  </si>
  <si>
    <t>This article presents a new procedure for the synthesis of array antennas mounted over complex vehicular platforms, where an accurate control of the electromagnetic interference and disturbances (EMI) between systems is required. This is done by including into the overall optimization procedure near-field restrictions over those regions of the platform where sensitive devices are installed. The electromagnetic coupling between the radiating systems and with the platform is modeled by an accurate three-dimensional method-of-moments formulation.</t>
  </si>
  <si>
    <t>60026134;60026134;60017838;60017838;60026134</t>
  </si>
  <si>
    <t>7003784434;7006470289;55939570500;7102400806;7404696540</t>
  </si>
  <si>
    <t>Obelleiro, F.;Taboada, J. M.;Landesa, L.;Castro, I. T.;Rodr√≠guez, J. L.</t>
  </si>
  <si>
    <t>Including near-field constraints for the synthesis of onboard array antennas</t>
  </si>
  <si>
    <t>10.1002/mop.10413</t>
  </si>
  <si>
    <t>2-s2.0-0037025768</t>
  </si>
  <si>
    <t>['size patches', 'selected literatures', 'reflection coefficient', 'proposed model', 'plane wave', 'good agreements', 'equivalent waveguide', 'different layers', 'determine fields']</t>
  </si>
  <si>
    <t>Array | Microstrip | Multilayer | Reflect arrays | Waveguide</t>
  </si>
  <si>
    <t>An equivalent unit cell waveguide approach (WGA) is described to study the behavior of a multilayer reflect array of variable-size patches/dipoles. The approach considers normal incidence of a plane wave on an infinite periodic array of identical radiating elements and introduces an equivalent unit cell waveguide to obtain the reflection coefficient. A field matching technique and method of moments (MoM) is used to determine fields in different layers of the equivalent waveguide. Good agreements for the phase of the reflection coefficient between the proposed model and those published in selected literatures are obtained.</t>
  </si>
  <si>
    <t>172-175</t>
  </si>
  <si>
    <t>7202660143;35570164700</t>
  </si>
  <si>
    <t>Tsai, Feng Chi E.;Bialkowski, Marek E.</t>
  </si>
  <si>
    <t>Tsai F.</t>
  </si>
  <si>
    <t>An equivalent waveguide approach to designing of reflect arrays with the use of variable-size microstrip patches</t>
  </si>
  <si>
    <t>10.1002/mop.10407</t>
  </si>
  <si>
    <t>2-s2.0-0037025778</t>
  </si>
  <si>
    <t>['stable operation', 'nanotube temperatures', 'nanotube film', 'light intensity', 'joule heating', 'emission current', 'blackbody radiation', '1550 k']</t>
  </si>
  <si>
    <t>We report the observation of blackbody radiation from aligned multiwalled carbon nanotubes undergoing field emission. The light intensity correlates with fluctuations in the emission current. The onset of light emission occurs at an emission current of 1mA/cm2 and corresponds to a temperature on the order of 1550 K. Beyond this critical current irreversible changes occur in the nanotube film. The correlation between light intensity and emission current provides convincing evidence for Joule heating and stable operation for nanotube temperatures up to at least 2000 K and emission current densities on the order of 10mA/cm2. ¬© 2002 American Institute of Physics.</t>
  </si>
  <si>
    <t>1095-1097</t>
  </si>
  <si>
    <t>60016437;60016437;60016437;60016437;60016437</t>
  </si>
  <si>
    <t>9533946700;24597233000;7003463553;6701336212;7402063638</t>
  </si>
  <si>
    <t>Sveningsson, M.;J√∂nsson, M.;Nerushev, O. A.;Rohmund, F.;Campbell, E. E.B.</t>
  </si>
  <si>
    <t>G√∂teborgs Universitet</t>
  </si>
  <si>
    <t>Sveningsson M.</t>
  </si>
  <si>
    <t>Blackbody radiation from resistively heated multiwalled carbon nanotubes during field emission</t>
  </si>
  <si>
    <t>10.1063/1.1498493</t>
  </si>
  <si>
    <t>2-s2.0-79956060073</t>
  </si>
  <si>
    <t>['wave frequencies', 'upper plate', 'theoretically studied', 'radiation patterns', 'radiation pattern', 'radiation efficiency', 'radiation characteristics', 'radiation bandwidth', 'magnetic tunability', 'magnetic control', 'evaluated numerically']</t>
  </si>
  <si>
    <t>Applied dc magnetic field | Ferrite | Method of moments | Radiation characteristics | Slotted parallel plate waveguide</t>
  </si>
  <si>
    <t>In this paper, radiation characteristics such as radiation efficiency and radiation patterns are analyzed by means of the method of moments in the case in which only the TE1 mode propagates in a slotted parallel plate waveguide filled with a transversely magnetized ferrite. The slot is installed on the upper plate in the ferrite-filled parallel plate waveguide. At millimeter-wave frequencies, the dependence of the radiation efficiency and of the radiation pattern of the ferrite-filled parallel plate waveguide on the applied dc magnetic field is evaluated numerically. The magnetic tunability of the radiation bandwidth and the magnetic control of the radiation pattern of the ferrite-filled slotted parallel plate waveguide are theoretically studied.</t>
  </si>
  <si>
    <t>Nishimura, Kazuo</t>
  </si>
  <si>
    <t>Ryukoku University</t>
  </si>
  <si>
    <t>Nishimura K.</t>
  </si>
  <si>
    <t>Radiation characteristics of a slotted parallel plate waveguide filled with a transversely magnetized ferrite</t>
  </si>
  <si>
    <t>10.1002/ecjb.10031</t>
  </si>
  <si>
    <t>2-s2.0-0036311969</t>
  </si>
  <si>
    <t>['transmitter power', 'transmitted power', 'received power', 'rake reception', 'paper considers', 'mobile stations', 'maximum amount', 'distance problem', 'control parameters', 'considering path', 'cdma system', 'broadband ds', 'antenna diversity', 'adaptively controlled']</t>
  </si>
  <si>
    <t>Cellular mobile communications | DS-CDMA | Path diversity | Transmitter power control</t>
  </si>
  <si>
    <t>In a broadband DS-CDMA system, control of transmitter power is indispensable in order to solve the distance problem of mobile stations, in which the transmitter power of mobile stations is adaptively controlled so that the received power at the base station remains constant. In a DS-CDMA system, the paths can be separated and RAKE reception can be applied, which helps to reduce the transmitted power as well as the error in transmitter power control. This paper considers the case in which transmitter power control by feedback is applied to a DS-CDMA system, and analyzes the effects of control parameters such as the control time interval, the maximum amount of control, and the control step width, on the error of the transmitter power control, considering path and antenna diversity.</t>
  </si>
  <si>
    <t>100-111</t>
  </si>
  <si>
    <t>57220793459;7201658777</t>
  </si>
  <si>
    <t>Fujii, Teruya;Miki, Yoshinori</t>
  </si>
  <si>
    <t>Analysis of received level characteristics with transmitter power control in DS-CDMA system</t>
  </si>
  <si>
    <t>10.1002/ecja.1145</t>
  </si>
  <si>
    <t>2-s2.0-0036312444</t>
  </si>
  <si>
    <t>['wave range', 'terahertz band', 'nbn microstrip', 'mgo substrate', 'made consisted', 'intermediate frequency', 'heb elements', 'fabricated hot', 'electron bolometers', 'crystal material', '7 k', '5 ghz']</t>
  </si>
  <si>
    <t>Hot-electron bolometer | IF bandwidth | NbN thin films | Terahertz</t>
  </si>
  <si>
    <t>As part of an effort to develop heterodyne rf receivers operating in the terahertz band, we have fabricated hot-electron bolometers (HEB) using NbN thin films, and investigated their intermediate frequency (IF) bandwidths. The NbN thin films we studied were grown on single-crystal MgO substrates by dc reactive sputtering. Our 2.8-nm-thick films exhibited superior superconducting properties, including transition temperatures TC of 9.7 K and 20 K resistivities œÅ20 of 185 ŒºŒ©¬∑cm. Using electron beam diffraction, high-resolution TEM images, and other techniques to study the crystallinity of these films, we determined that the NbN grows epitaxially on the MgO substrate as single-crystal material. The HEB elements we made consisted of a NbN microstrip, a Au electrode section, and an Al antenna section. In the course of studying the IF bandwidths of these devices in the millimeter-wave range, we found one device with an IF bandwidth of 2.5 GHz, the highest of any device we made.</t>
  </si>
  <si>
    <t>77-83</t>
  </si>
  <si>
    <t>60011418;60032325;60032325;60032325</t>
  </si>
  <si>
    <t>7102034784;55555308200;7102838221;8352937800</t>
  </si>
  <si>
    <t>Miki, Shigehito;Uzawa, Yoshinori;Kawakami, Akira;Wang, Zhen</t>
  </si>
  <si>
    <t>Koganei;Kobe</t>
  </si>
  <si>
    <t>Japan National Institute of Information and Communications Technology;Kobe University</t>
  </si>
  <si>
    <t>60032325;60011418</t>
  </si>
  <si>
    <t>Miki S.</t>
  </si>
  <si>
    <t>Fabrication and IF bandwidth measurements of NbN hot-electron bolometers</t>
  </si>
  <si>
    <t>10.1002/ecjb.1111</t>
  </si>
  <si>
    <t>2-s2.0-0036312577</t>
  </si>
  <si>
    <t>['test experiment', 'te10 mode', 'prevents radiation', 'paper deals', 'numerical study', 'fabrication process', 'element array', 'design guideline', 'constituent element', 'cavity width', 'cavity thickness', 'cavity satisfying', 'cavity length', 'case without', 'backward excitation', 'antenna characteristics', '19 ghz']</t>
  </si>
  <si>
    <t>Backward excitation | Cavity | Cutoff | Planar multisector antenna | Slot array antenna</t>
  </si>
  <si>
    <t>The slot array antenna with backward excitation is promising as a constituent element of a planar multisector antenna. This paper deals with a slot array antenna with backward excitation that prevents radiation into the backside by installing a cavity. With a view to simplifying the fabrication process, all slots in the array share one cavity. A design guideline is discussed for reducing mutual coupling between the elements. It is found that the cavity width should cause the TE10 mode to be cut off. For a four-element array with a cavity satisfying this condition, the characteristics are evaluated by the spectral domain moment method. It is shown that a beam tilt toward the end fire direction can be obtained, similarly to the case without a cavity. The antenna characteristics are evaluated in terms of cavity length and depth. It is demonstrated that the effect of the cavity length on the antenna characteristics is significant and that the cavity thickness can be reduced. Further, a test experiment is conducted at 19 GHz to confirm the validity of the numerical study.</t>
  </si>
  <si>
    <t>68-76</t>
  </si>
  <si>
    <t>Cavity-backed slot array antenna with backward excitation</t>
  </si>
  <si>
    <t>10.1002/ecja.1139</t>
  </si>
  <si>
    <t>2-s2.0-0036316401</t>
  </si>
  <si>
    <t>['two v', 'transmission lines', 'theoretical results', 'stub location', 'reflector used', 'new single', 'input impedance', 'half wavelength', 'equivalent circuit', 'dipole antenna', 'current distributions', 'circular polarization', 'axial ratio', 'antenna height']</t>
  </si>
  <si>
    <t>Circular polarization | V-dipoles | Wide-angle characteristics | Wire antenna</t>
  </si>
  <si>
    <t>In this paper, a new single-fed crossed V-dipole antenna for a circular polarization is proposed. This antenna is single-fed with four arms supporting the two V-dipoles on the reflector used as a balun as well as a 90¬∞ phase shift divider. The symmetrically placed supporting arms can be viewed as transmission lines. From the current distributions of the equivalent circuit of these lines, the input impedance of the V-dipoles and the circular polarization condition with regard to the antenna height and the stub location are derived. Based on these quantities, a circularly polarized antenna is designed and its characteristics are derived. It is found that there exists a structure for which the axial ratio can be made substantially wider than other antennas with a size of one-half wavelength. By means of experiments, the validity of the theoretical results is confirmed.</t>
  </si>
  <si>
    <t>44-51</t>
  </si>
  <si>
    <t>60018429;60018429</t>
  </si>
  <si>
    <t>56036522400;7202041087</t>
  </si>
  <si>
    <t>Nakamura, Takashi;Honjo, Takahiro</t>
  </si>
  <si>
    <t>Gifu</t>
  </si>
  <si>
    <t>Gifu University</t>
  </si>
  <si>
    <t>Nakamura T.</t>
  </si>
  <si>
    <t>Single-fed crossed V-dipoles with four masts for circular polarization</t>
  </si>
  <si>
    <t>10.1002/ecja.1136</t>
  </si>
  <si>
    <t>2-s2.0-0036319468</t>
  </si>
  <si>
    <t>['produce hundreds', 'phasedarray radar', 'multiple bounces', 'light beams', 'handle thousands', 'given beam', 'differing lengths', 'different delays']</t>
  </si>
  <si>
    <t>We have demonstrated a proof-of-concept optical device that can produce true time delays for a phasedarray radar. This device combines White cells of differing lengths with a spatial light modulator to select between the paths on multiple bounces of a given beam. The approach can handle thousands of light beams and produce hundreds of different delays. The number of delays is proportional to the square of the number of bounces. ¬© 2002 Optical Society of America.</t>
  </si>
  <si>
    <t>4912-4921</t>
  </si>
  <si>
    <t>60003500;101166243</t>
  </si>
  <si>
    <t>35582722200;7005154202</t>
  </si>
  <si>
    <t>Anderson, Betty Lise;Liddle, Craig D.</t>
  </si>
  <si>
    <t>Columbus;Columbus</t>
  </si>
  <si>
    <t>The Ohio State University;JDS Uniphase</t>
  </si>
  <si>
    <t>Anderson B.L.</t>
  </si>
  <si>
    <t>Optical true time delay for phased-array antennas: Demonstration of a quadratic white cell</t>
  </si>
  <si>
    <t>10.1364/AO.41.004912</t>
  </si>
  <si>
    <t>2-s2.0-0037055724</t>
  </si>
  <si>
    <t>['time series', 'temporal variations', 'snow accumulation', 'significant sources', 'seasonal frequencies', 'reduced x2', 'rate accuracy', 'project bifrost', 'observational error', 'may 2000', 'gps determinations', 'gia ).', 'frequency noise', 'data collected', 'correlation appears', 'correlated noise', 'combines networks', 'caused us', 'baseline inferences', 'august 1993', 'apparent low', 'also compared', '1998b ].']</t>
  </si>
  <si>
    <t>Glacial isostacy Space geodesy | Sea level change | Vertical motion</t>
  </si>
  <si>
    <t>Project BIFROST (Baseline Inferences for Fennoscandian Rebound Observations, Sea-level, and Tectonics) combines networks of continously operating GPS receivers in Sweden and Finland to measure ongoing crustal deformation due to glacial isostatic adjustment (GIA). We present an analysis of data collected between August 1993 and May 2000. We compare the GPS determinations of three-dimensional crustal motion to predictions calculated using the high-resolution Fennoscandian deglaciation model recently proposed by Lambeck et al. [1998a, 1998b]. We find that the maximum observed uplift rate (‚àº10 mm yr-1) and the maximum predicted uplift rate agree to better than 1 mm yr-1. The patterns of uplift also agree quite well, although significant systematic differences are evident. The root-mean-square residual rate for a linear error model yields estimates of rate accuracy of 0.4 mm yr-1 for east, 0.3 mm yr-1 for north, and 1.3 mm yr-1 for up; these figures incorporate model errors, however. We have also compared the values for the observed radial deformation rates to those based on sea level rates from Baltic tide gauges. The observational error for the vertical GPS rates required to give a reduced X2 of unity is 0.8 mm yr-1. The time series do exhibit temporal variations at seasonal frequencies, as well as apparent low-frequency noise. An empirical orthogonal function analysis indicates that the temporal variations are highly correlated among the sites. The correlation appears to be regional and falls off only slightly with distance. Some of this correlated noise is associated with snow accumulation on the antennas or, for those antennas with radomes, on the radomes. This problem has caused us to modify the radomes used several times, leading to one of our more significant sources of uncertainty.</t>
  </si>
  <si>
    <t>Journal of Geophysical Research: Solid Earth</t>
  </si>
  <si>
    <t>60007328;60020680;60007328;60020680-60022175;60031713-60103653;60016849;60020680;100324823;60007328;60020680;60031713;60031713;60007328;60020680</t>
  </si>
  <si>
    <t>7202425409;55740847000;6602284990;7101991899;7005437497;7006617790;10040456600;36923977800;7004647945;57204114033;6506092789;7005646817;6603177988;7202507088</t>
  </si>
  <si>
    <t>Johansson, J. M.;Davis, J. L.;Scherneck, H. G.;Milne, G. A.;Vermeer, M.;Mitrovica, J. X.;Bennett, R. A.;Jonsson, B.;Elgered, G.;El√≥segui, P.;Koivula, H.;Poutanen, M.;R√∂nn√§ng, B. O.;Shapiro, I. I.</t>
  </si>
  <si>
    <t>Finland;Finland;United Kingdom;United States;Canada;Sweden;Sweden</t>
  </si>
  <si>
    <t>Espoo;Masala;Durham;Cambridge;Toronto;Onsala;Gavle</t>
  </si>
  <si>
    <t>Aalto University;Geodeettinen Laitos;Durham University;Harvard-Smithsonian Center for Astrophysics;University of Toronto;Onsala Space Observatory;National Land Survey</t>
  </si>
  <si>
    <t>60103653;60031713;60022175;60020680;60016849;60007328;100324823</t>
  </si>
  <si>
    <t>Johansson J.M.</t>
  </si>
  <si>
    <t>Continuous GPS measurements of postglacial adjustment in Fennoscandia 1. Geodetic results</t>
  </si>
  <si>
    <t>2-s2.0-0037055935</t>
  </si>
  <si>
    <t>Caltech</t>
  </si>
  <si>
    <t>['wave antennae', 'rights reserved', 'proposed method', 'new procedure', 'laser gravitational', 'good candidate']</t>
  </si>
  <si>
    <t>A new procedure of the linear position measurement which allows to obtain sensitivity better than the Standard Quantum Limit and close to the Energetic Quantum Limit is proposed and analyzed in detail. Proposed method is based on the principles of stroboscopic quantum measurement and variation quantum measurement and allows to avoid main disadvantages of both these procedures. This method can be considered as a good candidate for use as a local position meter in the "intracavity" topologies of the laser gravitational-wave antennae. ¬© 2002 Elsevier Science B.V. All rights reserved.</t>
  </si>
  <si>
    <t>547-558</t>
  </si>
  <si>
    <t>6506788942;35351478800</t>
  </si>
  <si>
    <t>Danilishin, S. L.;Khalili, F. Ya</t>
  </si>
  <si>
    <t>Danilishin S.L.</t>
  </si>
  <si>
    <t>Stroboscopic variation measurement</t>
  </si>
  <si>
    <t>S0375960102009039</t>
  </si>
  <si>
    <t>10.1016/S0375-9601(02)00903-9</t>
  </si>
  <si>
    <t>2-s2.0-0037067959</t>
  </si>
  <si>
    <t>['vertically integrated', 'terahertz frequency', 'radiation power', 'non steady', 'grown gaas', 'bias voltage', '8 v', '700 ghz', '5 œºw']</t>
  </si>
  <si>
    <t>We report on the development of a photoconductive detector based on low-temperature-grown GaAs which is vertically integrated with terahertz spiral antennas. A non steady-state velocity overshoot effect was expected in the photoresponse with a responsivity of 0.04 A/W at a bias voltage of 8 V. Photomixing experiments using two optical 0.8 Œºm beating lasers show a 3 dB bandwith of 700 GHz with a radiation power at terahertz frequency of 0.5 ŒºW under 2√ó30mW optical pumping. ¬© 2002 American Institute of Physics.</t>
  </si>
  <si>
    <t>1174-1176</t>
  </si>
  <si>
    <t>60104665;60104665;60104665;60122707;60122707;60122707;60122707;60104665;60104665;60104665</t>
  </si>
  <si>
    <t>25641871100;7004513227;7004899470;6602089870;6602542384;6603763331;6602467831;6701774197;23388389400;7006155779</t>
  </si>
  <si>
    <t>Peytavit, E.;Arscott, S.;Lippens, D.;Mouret, G.;Matton, S.;Masselin, P.;Bocquet, R.;Lampin, J. F.;Desplanque, L.;Mollot, F.</t>
  </si>
  <si>
    <t>Dunkerque;Lille</t>
  </si>
  <si>
    <t>Laboratoire de Physico-Chimie de l‚ÄôAtmosph√®re (LPCA);Universit√© de Lille</t>
  </si>
  <si>
    <t>60122707;60104665</t>
  </si>
  <si>
    <t>Terahertz frequency difference from vertically integrated low-temperature-grown GaAs photodetector</t>
  </si>
  <si>
    <t>10.1063/1.1499517</t>
  </si>
  <si>
    <t>2-s2.0-79956049800</t>
  </si>
  <si>
    <t>['œ ≥)', 'œ ≥', 'whole region', 'spatial distribution', 'spatial contributions', 'spatial contribution', 'somewhat larger', 'property relation', 'outer region', 'molecular architecture', 'leg regions', 'leg molecules', 'internal region', 'internal linear', 'fractal architecture', 'end regions', 'dominant contributions', 'diphenylacetylene monomer', 'contribution explores', 'connected points', 'conjugations via', 'conjugation lengths', '6 times', '50 times', '24 units']</t>
  </si>
  <si>
    <t>This contribution explores the relation between molecular second hyperpolarizabilities (Œ≥) and molecular architecture in phenylacetylene dendrimers using the semiempirical molecular orbital method, that is, INDO/S method. The orientationally averaged Œ≥ of a large-size phenylacetylene dendrimer, which is composed of 24 units of phenylacetylenes and is referred to as D25, is found to be about 50 times as large as that of the diphenylacetylene monomer. In contrast, the Œ≥s value of D25 is found to be about 6 times as small as that of the para-substituted phenylacetylene oligomer (L25) composed of 24 units of phenylacetylenes. To investigate the structure-property relation in Œ≥ for D25 and L25, we examine the spatial contributions of electrons to Œ≥ values using Œ≥ density analysis. The present analysis reveals that the dominant contributions of electrons to Œ≥ of D25 are localized in the linear-leg regions parallel to the applied electric field and the contributions are also well segmented at the meta-connected points (benzene rings), while the spatial distribution of the Œ≥ density of L25 is extended over the whole region of the chain, and the dominant contribution stems from the both-end regions. It is found for D25 that the magnitude of contributions to Œ≥ in the internal region is more enhanced than that in the outer region. We further found that the magnitudes of contributions in internal linear-leg regions of D25 are somewhat larger than those of the same-size isolated linear-leg molecules. This suggests that the slightly remaining œÄ-conjugations via the meta-branching points still enhance the contributions to Œ≥ localized in the linear-leg regions. These features of spatial contributions to Œ≥ of D25 are found to originate in the fractal architecture, in which œÄ-conjugation lengths in the linear-leg region increase on going from the periphery to the core. Finally, fractal antenna dendrimers are expected to be promising novel nonlinear optical (NLO) substances with a controllability of the magnitude and spatial contribution of the third-order NLO properties.</t>
  </si>
  <si>
    <t>9648-9655</t>
  </si>
  <si>
    <t>7403428117;35376060100;57205989789;7405929506</t>
  </si>
  <si>
    <t>Nakano, Masayoshi;Fujita, Harunori;Takahata, Masahiro;Yamaguchi, Kizashi</t>
  </si>
  <si>
    <t>Theoretical study on second hyperpolarizabilities of phenylacetylene dendrimer: Toward an understanding of structure-property relation in NLO responses of fractal antenna dendrimers</t>
  </si>
  <si>
    <t>10.1021/ja0115969</t>
  </si>
  <si>
    <t>2-s2.0-0037077584</t>
  </si>
  <si>
    <t>59-64</t>
  </si>
  <si>
    <t>European Journal of Lipid Science and Technology</t>
  </si>
  <si>
    <t>60032259;60028218;60031624;60032259;60032259;60032259;60032259;60032259</t>
  </si>
  <si>
    <t>6602171945;7006805516;56219587300;7101609523;55194133100;6603655261;7004273727;7003577356</t>
  </si>
  <si>
    <t>Angioni, Elisabetta;Lercker, Giovanni;Frega, Natale G.;Carta, Gianfranca;Melis, Maria Paola;Murru, Elisabetta;Spada, Simona;Banni, Sebastiano</t>
  </si>
  <si>
    <t>Cagliari;Ancona;Bologna</t>
  </si>
  <si>
    <t>Universit√† degli Studi di Cagliari;Universit√† Politecnica delle Marche;Alma Mater Studiorum Universit√† di Bologna</t>
  </si>
  <si>
    <t>60032259;60031624;60028218</t>
  </si>
  <si>
    <t>Angioni E.</t>
  </si>
  <si>
    <t>UV spectral properties of lipids as a tool for their identification</t>
  </si>
  <si>
    <t>10.1002/1438-9312(200201)104:1&lt;59::AID-EJLT59&gt;3.0.CO;2-I</t>
  </si>
  <si>
    <t>2-s2.0-0036002311</t>
  </si>
  <si>
    <t>['planar log', 'photonic millimetre', 'periodic antenna', 'good linearity', 'device exhibits', 'carrier photodiode', '300 ghz', '120 œºw']</t>
  </si>
  <si>
    <t>A photonic millimetre/sub-millimetre wave emitter integrating a uni-travelling-carrier photodiode and a planar log-periodic antenna was fabricated. The device exhibits a record maximum output power of 120 ŒºW with good linearity at 300 GHz.</t>
  </si>
  <si>
    <t>989-990</t>
  </si>
  <si>
    <t>60025555;60025555;60025555;60025555;60025555;60025555;60025555;60025555;60025555</t>
  </si>
  <si>
    <t>7407939846;35428373800;7201929211;7401772578;7202188531;7006744896;55550304500;55628560674;56252992000</t>
  </si>
  <si>
    <t>Ito, H.;Furuta, T.;Hirota, Y.;Ishibashi, T.;Hirata, A.;Nagatsuma, T.;Matsuo, H.;Noguchi, T.;Ishiguro, M.</t>
  </si>
  <si>
    <t>Ito H.</t>
  </si>
  <si>
    <t>Photonic millimetre-wave emission at 300 GHz using an antenna-integrated uni-travelling-carrier photodiode</t>
  </si>
  <si>
    <t>10.1049/el:20020667</t>
  </si>
  <si>
    <t>2-s2.0-0037102030</t>
  </si>
  <si>
    <t>['new antenna', 'increase bandwidth', 'antenna combines']</t>
  </si>
  <si>
    <t>A new printed quadrifilar helical antenna design is investigated. The concept of this antenna combines a size reduction technique with a method to increase bandwidth. This new antenna is realised and measured.</t>
  </si>
  <si>
    <t>944-945</t>
  </si>
  <si>
    <t>60030553;60030553;60030553</t>
  </si>
  <si>
    <t>6507875519;24722105800;6602837855</t>
  </si>
  <si>
    <t>Louvign√©, J. C.;Sharaiha, A.;Thouroude, D.</t>
  </si>
  <si>
    <t>Louvign√© J.</t>
  </si>
  <si>
    <t>Broadband compact printed quadrifilar helical antenna for balloon campaign applications</t>
  </si>
  <si>
    <t>10.1049/el:20020638</t>
  </si>
  <si>
    <t>2-s2.0-0037102031</t>
  </si>
  <si>
    <t>['solar cells', 'results show', 'planar antennas', 'copper patches', 'copper patch', 'characteristics equivalent']</t>
  </si>
  <si>
    <t>A presentation is made of the possibility of replacing metallic patches by solar cells in planar antennas. To demonstrate the concept, a slot-fed microstrip antenna using solar cells instead of a copper patch has been realised and measured. The results show that the 'solar cell patches' have characteristics equivalent to copper patches.</t>
  </si>
  <si>
    <t>945-947</t>
  </si>
  <si>
    <t>60028186;60028186;60031159</t>
  </si>
  <si>
    <t>7003632399;7006665188;7003592642</t>
  </si>
  <si>
    <t>Vaccaro, S.;Mosig, J. R.;De Maagt, P.</t>
  </si>
  <si>
    <t>Netherlands;Switzerland</t>
  </si>
  <si>
    <t>Noordwijk aan Zee;Lausanne</t>
  </si>
  <si>
    <t>ESTEC - European Space Research and Technology Centre;Swiss Federal Institute of Technology Lausanne</t>
  </si>
  <si>
    <t>60031159;60028186</t>
  </si>
  <si>
    <t>Vaccaro S.</t>
  </si>
  <si>
    <t>Making planar antennas out of solar cells</t>
  </si>
  <si>
    <t>10.1049/el:20020675</t>
  </si>
  <si>
    <t>2-s2.0-0037102070</t>
  </si>
  <si>
    <t>['tree arrays', 'fractal stage', 'fractal arrays', 'element count']</t>
  </si>
  <si>
    <t>A two-dimensional cellular automata is used to derive two novel planar fractal-tree arrays. The maximum Euclidean size, element count and the radiation pattern functions of a fractal stage are expressed in terms of easily computable recurrence relations. Computed results show that these have a better sidelobe performance for a low thinning factor and element count than some other fractal and algorithmically optimised non-fractal arrays.</t>
  </si>
  <si>
    <t>947-948</t>
  </si>
  <si>
    <t>60015465;60015465;60015465</t>
  </si>
  <si>
    <t>57225790229;7202242192;57213267116</t>
  </si>
  <si>
    <t>Sinha, A. K.;Srivastava, G. P.;Mehta, S. D.</t>
  </si>
  <si>
    <t>Dehradun</t>
  </si>
  <si>
    <t>Defence Research and Development Organisation India</t>
  </si>
  <si>
    <t>Sinha A.K.</t>
  </si>
  <si>
    <t>Planar fractal-tree arrays derived from cellular automata</t>
  </si>
  <si>
    <t>10.1049/el:20020447</t>
  </si>
  <si>
    <t>2-s2.0-0037102075</t>
  </si>
  <si>
    <t>['taken place', 'remarkably higher', 'measuring change', 'loop antenna', 'inductive one', 'important findings', 'electron density', 'coupling mode', 'commonly used', 'capacitive mode', 'azimuthal distribution', 'antenna modes', '1 even']</t>
  </si>
  <si>
    <t>Capacitively coupled plasma | Electron density | High-mode antenna | Inductively coupled plasma | Plasma etching</t>
  </si>
  <si>
    <t>A capacitively coupled plasma generation is studied in a single-loop antenna system, which is commonly used in an inductively coupled plasma production. The capacitive coupling mode appears at relatively low RF powers with two different azimuthal modes of single-loop antenna, m = 0 and m = 1. The coupling mode is confirmed by measuring change in antenna voltage per unit input power and the azimuthal distribution of electron density. The antenna voltage change is remarkably higher in the capacitive mode than in the inductive one but their values are found to be independent of the antenna modes. One of the important findings is that the transition of the capacitive to the inductive coupling plasma mode is taken place at m = 1 even with fairly lower antenna voltages.</t>
  </si>
  <si>
    <t>8 B</t>
  </si>
  <si>
    <t>Japanese Journal of Applied Physics, Part 2: Letters</t>
  </si>
  <si>
    <t>60009885;60009885;60009885-100432932</t>
  </si>
  <si>
    <t>7102728941;57222649243;7401814502</t>
  </si>
  <si>
    <t>Shindo, Haruo;Kudo, Daisuke;Fujii, Syuitsu</t>
  </si>
  <si>
    <t>Tokyo;Fukuyama</t>
  </si>
  <si>
    <t>Tokai University;ADTEC Co., Ltd.</t>
  </si>
  <si>
    <t>60009885;100432932</t>
  </si>
  <si>
    <t>Shindo H.</t>
  </si>
  <si>
    <t>A study of capacitively coupled plasma generation in single-loop antennas</t>
  </si>
  <si>
    <t>10.1143/jjap.41.l956</t>
  </si>
  <si>
    <t>2-s2.0-0037104469</t>
  </si>
  <si>
    <t>['study shows', 'spectral properties', 'sojourn expansion', 'site energies', 'resolution structure', 'quantum yield', 'photosynthetic lifeforms', 'paper constructs', 'narrow interval', 'little effect', 'investigated theoretically', 'individual chlorophylls', 'function optimally', 'fault tolerance', 'experimental results', 'electronically coupled', 'effective hamiltonian', 'complex exhibits', 'compare favorably', 'chlorophyll aggregate', 'biological species', '96 chlorophylls']</t>
  </si>
  <si>
    <t>As most biological species, photosynthetic lifeforms have evolved to function optimally, despite thermal disorder and with fault tolerance. It remains a challenge to understand how this is achieved. To address this challenge, the function of the protein-pigment complex photosystem I (PSI) of the cyanobacterium Synechococcus elongatus is investigated theoretically. The recently obtained high-resolution structure of this complex exhibits an aggregate of 96 chlorophylls that are electronically coupled to function as a light-harvesting antenna complex. This paper constructs an effective Hamiltonian for the chlorophyll aggregate to describe excitation transfer dynamics and spectral properties of PSI. For this purpose, a new kinetic expansion method, the sojourn expansion, is introduced. Our study shows that at room temperature fluctuations of site energies have little effect on the calculated excitation lifetime and quantum yield, which compare favorably with experimental results: The efficiency of the system is found to be robust against "pruning" of individual chlorophylls. An optimality of the arrangement of chlorophylls is identified through the quantum yield in comparison with an ensemble of randomly oriented chlorophylls, though the quantum yield is seen to change only within a narrow interval in such an ensemble.</t>
  </si>
  <si>
    <t>7948-7960</t>
  </si>
  <si>
    <t>60000745;60000745;60027090;60000745;60011604-60003892;60000745</t>
  </si>
  <si>
    <t>7003898707;8927524200;7004193882;55717276000;7003500276;7102415947</t>
  </si>
  <si>
    <t>Sener, Melih K.;Lu, Deyu;Ritz, Thorsten;Park, Sanghyun;Fromme, Petra;Schulten, Klaus</t>
  </si>
  <si>
    <t>United States;Germany;United States;United States</t>
  </si>
  <si>
    <t>Blacksburg;Berlin;Tempe;Urbana</t>
  </si>
  <si>
    <t>Virginia Polytechnic Institute and State University;Technical University of Berlin;Arizona State University;University of Illinois Urbana-Champaign</t>
  </si>
  <si>
    <t>60027090;60011604;60003892;60000745</t>
  </si>
  <si>
    <t>Sener M.K.</t>
  </si>
  <si>
    <t>Robustness and optimality of light harvesting in cyanobacterial photosystem I</t>
  </si>
  <si>
    <t>10.1021/jp020708v</t>
  </si>
  <si>
    <t>2-s2.0-0037104747</t>
  </si>
  <si>
    <t>['transient expression', 'seeds imbibed', 'seeds germinated', 'old seedlings', 'mediated transformation', 'lhcii antenna', 'lhcb 1', 'highest percentage', 'gus activity', 'germinating seeds', 'genomic blotting', 'genetic transformation', 'first pair', 'differential transformation', 'described using', 'assisted agrobacterium', 'around 60', 'also investigated', '2 gene']</t>
  </si>
  <si>
    <t>Eucalyptus spp. | GUS | Lhcb 1*2 | Regeneration | Transgenic plants | Ultrasound</t>
  </si>
  <si>
    <t>A method for genetic transformation of germinating seeds and seedlings of Eucalyptus grandis x E. urophylla is described using the sonication-assisted Agrobacterium-mediated transformation (SAAT) system. Seeds germinated for 2 d, and 15-d-old seedlings, sonicated for 30 s, had the highest percentage of Œ≤-glucuronidase (GUS) transient expression (21.7 and 37.4%, respectively). Pre-sonication greatly enhanced the efficiency of transformation. The differential transformation of tissues was also investigated, with seeds imbibed for 2 d having over 90% of the blue sectors localised in cotyledons and in the intersection of the hypocotyls and roots, whereas in 5-d-old seedlings, 70% of GUS activity was detected in cotyledons. However, 15-17-d-old seedlings had around 60% of transformed sectors localised in the first pair of leaves. The efficiency of the method was also assessed using a chimeric construct containing the Lhcb 1*2 gene of the 28 kDa chlorophyll a/b binding pea protein from the LHCII antenna. Four stable transformants were confirmed by genomic blotting.</t>
  </si>
  <si>
    <t>Functional Plant Biology</t>
  </si>
  <si>
    <t>60008088;60008088;60008088;60008088;60008088;60008088;60008088;60008088</t>
  </si>
  <si>
    <t>56985126600;57196912856;6603653932;6506770210;7005306596;6503848491;6505463718;27168669100</t>
  </si>
  <si>
    <t>Gonz√°lez, Esteban Roberto;De Andrade, Alexander;Bertolo, Ana Leticia;Lacerda, Gisele Coelho;Carneiro, Raphael Tozelli;Prado Def√°vari, Val√©ria A.;Veneziano Labate, M√¥nica T.;Labate, Carlos Alberto</t>
  </si>
  <si>
    <t>Gonz√°lez E.R.</t>
  </si>
  <si>
    <t>Production of transgenic Eucalyptus grandis x E. urophylla using the sonication-assisted Agrobacterium transformation (SAAT) system</t>
  </si>
  <si>
    <t>10.1071/PP01142</t>
  </si>
  <si>
    <t>2-s2.0-0036331634</t>
  </si>
  <si>
    <t>G2000016206</t>
  </si>
  <si>
    <t>['vga signal', 'three dimensions', 'secondary signal', 'secondary analysis', 'rights reserved', 'recently commissioned', 'recent observations', 'range rings', 'radar observations', 'radar differs', 'proved effective', 'processing system', 'position indicator', 'plant protection', 'overflying population', 'objectivity advantages', 'northern china', 'migratory flights', 'migration parameters', 'migration data', 'insect pests', 'frame bitmap', 'eliminates distortions', 'echo positions', 'display images', 'digitised rather', 'collective orientation', 'clutter echoes', 'chinese academy', 'based image', 'armigera migration', 'antenna elevations', 'analysis technique', 'analogue signals', 'agricultural sciences']</t>
  </si>
  <si>
    <t>Image analysis | Insect | Plan position indicator | Radar display</t>
  </si>
  <si>
    <t>A scanning entomological radar was recently commissioned by the Institute of Plant Protection of the Chinese Academy of Agricultural Sciences for use in studies of the migratory flights of Heliothis armigera moths, and other insect pests of agriculture, in northern China. The radar differs from previous scanning entomological radars in its use of digitised rather than analogue signals in the production of a plan-position indicator (PPI) display. To enable efficient extraction of migration data from the radar observations, a secondary signal-processing system has been developed to acquire and analyse the display images. In this system, the VGA signal from the radar's digital PPI display is captured as either a single-frame or a multiple-frame bitmap. The secondary analysis then eliminates distortions and range rings, identifies insect dot-echoes, and generates a dataset of echo positions (three dimensions) and intensities. Analysis of mutiple-frame bitmaps additionally allows echo speeds and directions to be determined and ground-clutter echoes to be eliminated. Migration parameters for the overflying population - density, speed, direction, flux, collective orientation - and their variances are estimated from these datasets, and profiles of these quantities can be obtained by the usual scanning entomological radar technique of observing at a sequence of antenna elevations. This computer-based image-analysis technique has both efficiency and objectivity advantages over the film-based manual analyses previously used with this entomological radar configuration, and has proved effective in recent observations of H. armigera migration. ¬© 2002 Elsevier Science B.V. All rights reserved.</t>
  </si>
  <si>
    <t>63-75</t>
  </si>
  <si>
    <t>Computers and Electronics in Agriculture</t>
  </si>
  <si>
    <t>60017705;60017705;60017705;60017705;60013551</t>
  </si>
  <si>
    <t>7402806312;7404512397;7202984738;15827069000;57204330571</t>
  </si>
  <si>
    <t>Cheng, D. F.;Wu, K. M.;Tian, Z.;Wen, L. P.;Shen, Z. R.</t>
  </si>
  <si>
    <t>Chinese Academy of Agricultural Sciences;China Agricultural University</t>
  </si>
  <si>
    <t>60017705;60013551</t>
  </si>
  <si>
    <t>Cheng D.</t>
  </si>
  <si>
    <t>Acquisition and analysis of migration data from the digitised display of a scanning entomological radar</t>
  </si>
  <si>
    <t>S0168169902000121</t>
  </si>
  <si>
    <t>10.1016/S0168-1699(02)00012-1</t>
  </si>
  <si>
    <t>2-s2.0-0036331715</t>
  </si>
  <si>
    <t>['wind direction', 'virtual source', 'virtual plane', 'turning movements', 'though slightly', 'test animal', 'straight line', 'still air', 'spatial orientation', 'source irrespective', 'servosphere virtual', 'servos define', 'servo motors', 'sensory field', 'rights reserved', 'result supports', 'releases pheromone', 'reality environment', 'placed beside', 'pheromone sources', 'one side', 'odour presentation', 'motors via', 'motor axes', 'investigate orientation', 'first used', 'fanning air', 'experimental investigation', 'eventually arrive', 'digital ac', 'course towards', 'control board', 'compensation apparatus', 'bombyx mori', 'ambulatory animals', 'also logs', 'also demonstrates', 'airflow system']</t>
  </si>
  <si>
    <t>Bombyx mori | Locomotion compensator | Orientation | Pheromone | Servosphere</t>
  </si>
  <si>
    <t>A digital 'servosphere' locomotion-compensation apparatus has been developed for use in experiments on the mechanisms of spatial orientation in ambulatory animals. The sphere is driven by a pair of digital AC-servo motors, which provide a negative feedback response to any displacements of the test animal. A high-speed video tracker continually reports the position of the animal to a computer, which controls the servo-motors via a motor-control board and also logs the position of the motor axes. Movements of the servos define the path of the test animal on a virtual plane. The computer also generates odour cues in real time via a relay-control board and an airflow system. Odour presentation is programmed to occur in response to the animal's movements on the virtual plane, and can result in the animal being led to a virtual source. The servosphere was first used to investigate orientation of a walking male silkworm moth (Bombyx mori) towards a female in still air. When a calling female moth was placed beside the sphere, the male moth beat its wings and walked straight towards the female. Unilaterally dewinged males also walked in a straight line, though slightly to one side of the direction of the female, but bilaterally dewinged moths remained stationary. This indicates that in still air the male moths orientate to pheromone sources by fanning air from in front of them over their antennae with their wings. If a moth continually reverses its turning movements when it encounters a train of pheromone concentration peaks, it will maintain a course towards the source and eventually arrive there. This idea was demonstrated on the servosphere by incorporating a computer-controlled solenoid valve which releases pheromone when a moth points towards a virtual odour source. In this sensory field, both intact and bilaterally dewinged males reached the source irrespective of the wind direction. This result supports the proposed orientation mechanism and also demonstrates the applicability of the servosphere virtual-reality environment to the experimental investigation of insect orientation mechanisms. ¬© 2002 Elsevier Science B.V. All rights reserved.</t>
  </si>
  <si>
    <t>243-254</t>
  </si>
  <si>
    <t>Sakuma, Masayuki</t>
  </si>
  <si>
    <t>Sakuma M.</t>
  </si>
  <si>
    <t>Virtual reality experiments on a digital servosphere: Guiding male silkworm moths to a virtual odour source</t>
  </si>
  <si>
    <t>S0168169902000212</t>
  </si>
  <si>
    <t>10.1016/S0168-1699(02)00021-2</t>
  </si>
  <si>
    <t>2-s2.0-0036335266</t>
  </si>
  <si>
    <t>Royal Swedish Academy of Sciences</t>
  </si>
  <si>
    <t>KVA</t>
  </si>
  <si>
    <t>['transmitters smaller', 'transmitter ceased', 'tracking study', 'technique may', 'studying short', 'study seems', 'rights reserved', 'recapture study', 'range dispersal', 'radio telemetry', 'paper describes', 'osmoderma eremita', 'obtained routinely', 'nominal lifetime', 'hollow trees', 'flying insect', 'current form', 'concurrent mark', 'capable insects', 'bodied flight', 'antennas need', '52 g', '20 days']</t>
  </si>
  <si>
    <t>Coleoptera | Dispersal | Hollow tree | Radio telemetry</t>
  </si>
  <si>
    <t>This paper describes a radio-tracking study of Osmoderma eremita, a large Scarabaeid beetle, living in hollow trees. The study seems to be the first in which radio telemetry has been used with a flying insect in the field. Some 74 adult beetles were tagged with radio transmitters weighing 0.48-0.52 g and having a nominal battery life of 12-20 days. Transmissions were detected at ranges of up to 330 m, with 50-100 m obtained routinely, Contact was lost with 71% of the females and 20% of the males before the end of the nominal lifetime of the transmitter's battery, probably because the transmitter ceased to function. Radio telemetry proved effective in this study and gave dispersal ranges and rates that were consistent with those from a concurrent mark-recapture study in the same area. However, further development of the technique is desirable. The antennas need to be more flexible and the transmitters smaller and lighter. Nevertheless, even the current form of the technique may be suitable for studying short-range dispersal in other large-bodied flight-capable insects. ¬© 2002 Elsevier Science B.V. All rights reserved.</t>
  </si>
  <si>
    <t>171-180</t>
  </si>
  <si>
    <t>55809003300;6603869625</t>
  </si>
  <si>
    <t>Hedin, Jonas;Ranius, Thomas</t>
  </si>
  <si>
    <t>Hedin J.</t>
  </si>
  <si>
    <t>Using radio telemetry to study dispersal of the beetle Osmoderma eremita, an inhabitant of tree hollows</t>
  </si>
  <si>
    <t>S0168169902000170</t>
  </si>
  <si>
    <t>10.1016/S0168-1699(02)00017-0</t>
  </si>
  <si>
    <t>2-s2.0-0036338689</t>
  </si>
  <si>
    <t>['unique array', 'thus clear', 'ten compounds', 'synapsin antibody', 'staining techniques', 'spodoptera littoralis', 'singly applied', 'single glomerulus', 'seven compounds', 'responding neurones', 'represented within', 'projection patterns', 'projection neurones', 'pns responding', 'pns arborising', 'plant volatiles', 'pheromone components', 'output level', 'nineteen pns', 'necessarily adjacent', 'morphological characteristics', 'interneurones sensitive', 'glomerulus responded', 'glomeruli innervated', 'glomeruli harbouring', 'frontal side', 'female moth', 'eight plant', 'dimensional map', 'different glomeruli', 'different compounds', 'derived compounds', 'dendritic arborisations', 'compound arborised', 'anterior aspect', 'antennal lobe', 'als stained']</t>
  </si>
  <si>
    <t>Antennal lobe interneurone | Glomerular map | Moth | Olfactory processing | Pheromone component | Plant volatile | Spodoptera littoralis</t>
  </si>
  <si>
    <t>We studied the projection patterns of antennal lobe (AL) interneurones sensitive to plant volatiles and female-produced sex pheromone components in the female moth, Spodoptera littoralis. Ten compounds (eight plant-derived compounds and two sex pheromone components) were singly applied to the antenna and, using intracellular recording and staining techniques, the physiological and morphological characteristics of responding neurones were investigated. In addition, ALs stained with a synapsin antibody were optically sectioned using confocal microscopy, and a three-dimensional map of glomeruli in the anterior aspect of the AL was reconstructed. We used the map as a reference for identification of glomeruli innervated by projection neurones (PNs) that respond to plant volatiles and/or pheromone components. Nineteen PNs, responding to one to seven compounds of the ten tested stimuli, were stained with neurobiotin. These neurones each arborised in a single glomerulus in the frontal side of the AL. PNs responding to the same compound arborised in different glomeruli and PNs arborising in the same glomerulus responded to different compounds. Accordingly, glomeruli harbouring the dendritic arborisations of PNs responding to each of the tested compounds constituted a unique array of glomeruli that were not necessarily adjacent. It was thus clear that, at the output level, a single plant volatile or a sex pheromone component was not represented within a single glomerulus in the AL. We expect complex patterns of glomeruli to be involved in the coding of plant-derived compounds, as well as sex pheromone components, in female S. littoralis.</t>
  </si>
  <si>
    <t>1363-1376</t>
  </si>
  <si>
    <t>60029170;60029170;60029170;60029170</t>
  </si>
  <si>
    <t>57192964814;7103226689;7003680929;7005809476</t>
  </si>
  <si>
    <t>Sadek, Medhat M.;Hansson, Bill S.;Rospars, Jean Pierre;Anton, Sylvia</t>
  </si>
  <si>
    <t>Lund</t>
  </si>
  <si>
    <t>Lunds Universitet</t>
  </si>
  <si>
    <t>Sadek M.</t>
  </si>
  <si>
    <t>Glomerular representation of plant volatiles and sex pheromone components in the antennal lobe of the female Spodoptera littoralis</t>
  </si>
  <si>
    <t>2-s2.0-0036324047</t>
  </si>
  <si>
    <t>['mandelbrot set', 'main cardioid', 'largest component', 'geometric method', 'c admits', 'bulbs consists', 'attracting cycle', 'antenna attached']</t>
  </si>
  <si>
    <t>In the Mandelbrot set, the bulbs attached directly to the main cardioid are called the p/qbulbs. The reason for this is that the largest component of the interior of these bulbs consists of c-values for which the quadratic function Qc(z) = z2 + c admits an attracting cycle with rotation number p/q. In this paper, we give a geometric method to read off p/q from the geometry of the antenna attached to the bulb.</t>
  </si>
  <si>
    <t>39-46</t>
  </si>
  <si>
    <t>0218348X</t>
  </si>
  <si>
    <t>Fractals</t>
  </si>
  <si>
    <t>60019674;60019674</t>
  </si>
  <si>
    <t>6603590734;14056632900</t>
  </si>
  <si>
    <t>Devaney, R. L.;Moreno Rocha, M.</t>
  </si>
  <si>
    <t>Boston University</t>
  </si>
  <si>
    <t>Devaney R.</t>
  </si>
  <si>
    <t>Geometry of the antennas in the Mandelbrot set</t>
  </si>
  <si>
    <t>10.1142/S0218348X02000926</t>
  </si>
  <si>
    <t>2-s2.0-0036339857</t>
  </si>
  <si>
    <t>['standard deviation', 'rights reserved', 'quartz glass', 'pulse width', 'produced using', 'plasma surface', 'plasma production', 'microwave propagating', 'magnetic field', 'floating potential', 'electron temperature', 'electron density', 'duty ratio', 'dielectric plate', '500 w', '50 œºs', '45 ghz', '4 v', '2 ev']</t>
  </si>
  <si>
    <t>Ar plasma | Large-area plasma | Microwave plasma | Processing plasma | Ring slot antenna | Surface-wave plasma</t>
  </si>
  <si>
    <t>A large-area, uniform, low-temperature and high-density microwave argon plasma is produced using a simple flat ring slot antenna without a magnetic field. The plasma production is based on the absorption of the energy of microwave propagating in the dielectric plate (quartz glass) along the plasma surface. The power is coupled to the dielectric plate by azimuthal symmetrical mode. An electron density of &gt; 1011/cm3 with an electron temperature &lt; 2 eV, and a floating potential with respect to the vacuum chamber wall of &lt; 4 V are obtained at 5 m Torr with 2.45 GHz, peak input power of 500 W (duty ratio t/T = 0.5; pulse width t = 50 Œºs, and period T = 100 Œºs). A high ion current density (over 10 mA/cm2) of uniformity (standard deviation/average) within ¬± 3% over 24 cm diameter is achieved. ¬© 2002 Elsevier Science Ltd. All rights reserved.</t>
  </si>
  <si>
    <t>0042207X</t>
  </si>
  <si>
    <t>Vacuum</t>
  </si>
  <si>
    <t>60015123;60103394;</t>
  </si>
  <si>
    <t>6701501221;55769279900;7404537814</t>
  </si>
  <si>
    <t>Shimatani, Kouhei;Okamoto, Tetsu;Okamoto, Yukio</t>
  </si>
  <si>
    <t>USHIO Inc;Toyo University</t>
  </si>
  <si>
    <t>60103394;60015123</t>
  </si>
  <si>
    <t>Shimatani K.</t>
  </si>
  <si>
    <t>Production of a large-area argon microwave plasma by a ring slot antenna</t>
  </si>
  <si>
    <t>S0042207X02001446</t>
  </si>
  <si>
    <t>10.1016/S0042-207X(02)00144-6</t>
  </si>
  <si>
    <t>2-s2.0-0037136121</t>
  </si>
  <si>
    <t>R01GM059871</t>
  </si>
  <si>
    <t>['thus tissue', 'thus bric', 'specifying gene', 'specific variations', 'specific expression', 'repress bric', 'proximal boundary', 'patterning genes', 'negative regulation', 'morphological variations', 'limb type', 'less domain', 'leg segments', 'leg differences', 'joint formation', 'insect antenna', 'distinct sets', 'distal portion', 'distal antennal', 'dachshund domains', 'dachshund alone', 'brac pattern', 'brac expression', 'brac accounts', 'ancestral limb', 'although bric']</t>
  </si>
  <si>
    <t>Antenna | bric a brac | dachshund | Distal-less | Homothorax | Leg | Limb | Proximodistal | Spalt | Spineless | Wing</t>
  </si>
  <si>
    <t>The insect antenna and leg are considered homologous structures, likely to have arisen via duplication and divergence from an ancestral limb. Consistent with this, the antenna and leg are derived from primordia with similar developmental potentials. Nonetheless, the adult structures differ in both form and function. In Drosophila, one conspicuous morphological difference is that the antenna has fewer distal segments than the leg. We propose that this is due in part to the variations in the regulation of bric a brac. bric a brac is required for joint formation, and loss of bric a brac function leads to fusion of distal antennal and leg segments, resulting in fewer total segments. Here, we address how bric a brac is regulated to generate the mature expression patterns of two concentric rings in the antenna versus four concentric rings in the leg. We find that bric a brac expression is activated early throughout most of the Distal-less domain in both antenna and leg and subsequently is restricted to the distal portion and into rings. Although bric a brac expression in the antenna and in all four tarsal rings of the leg requires Distal-less, only the proximal three tarsal rings are Spineless-dependent. Thus bric a brac is regulated differentially even within a single appendage type. The restriction of bric a brac expression to the distal portion of the Distal-less domain is a consequence of negative regulation by distinct sets of genes in different limb types. In the leg, the proximal boundary of bric a brac is established by the medial-patterning gene dachshund, but dachshund alone is insufficient to repress bric a brac, and the expression of the two genes overlaps. In the antenna, the proximal boundary of bric a brac is established by an antenna-specifying gene, homothorax, in conjunction with dachshund and spalt, and there is much less overlap between the bric a brac and the dachshund domains. Thus tissue-specific expression of other patterning genes that differentially repress bric a brac accounts for antenna-leg differences in bric a brac pattern. We propose that the limb type-specific variations in expression of bric a brac repressors contribute to morphological variations by controlling distal limb segment number.</t>
  </si>
  <si>
    <t>695-704</t>
  </si>
  <si>
    <t>Development</t>
  </si>
  <si>
    <t>60032179;60032179;60032179</t>
  </si>
  <si>
    <t>7402881237;6506679726;6701497241</t>
  </si>
  <si>
    <t>Chu, Jessie;Si Dong, P. D.;Panganiban, Grace</t>
  </si>
  <si>
    <t>Chu J.</t>
  </si>
  <si>
    <t>Limb type-specific regulation of bric a brac contributes to morphological diversity</t>
  </si>
  <si>
    <t>2-s2.0-0036336869</t>
  </si>
  <si>
    <t>['proposed configuration', 'potential convenience', 'output waveguide', 'fed launcher', 'basic radiator', 'array antenna', 'alternative configuration', 'accurate full']</t>
  </si>
  <si>
    <t>Coaxial excitation | Full-wave CAD tools | Phased-array antennas</t>
  </si>
  <si>
    <t>An alternative configuration for an infinite coaxially end-fed waveguide phased-array antenna is explored. In the proposed configuration, the integration of the end-fed launcher and the output waveguide, rather than the waveguide in itself, acts as a basic radiator. This allows the design of more compact antenna elements. In order to analyze and optimize the structure, an accurate full-wave simulation tool based on the multimode admittance matrix representation is developed. Results are validated against state-of-the-art commercial CAD software. Numerical simulations involving singly and doubly tuned configurations are presented and discussed to illustrate the potential convenience of the proposed configuration and of the CAD tool developed.</t>
  </si>
  <si>
    <t>276-281</t>
  </si>
  <si>
    <t>60019674-60004300;60019984;60031159;60019984;60007061</t>
  </si>
  <si>
    <t>7004403725;24479405400;35444459700;7102644711;57206755151</t>
  </si>
  <si>
    <t>Galdi, Vincenzo;Gerini, Giampiero;Guglielmi, Marco;Visser, Huib J.;D'Agostino, Francesco</t>
  </si>
  <si>
    <t>Netherlands;Netherlands;United States;Italy;Italy</t>
  </si>
  <si>
    <t>Noordwijk aan Zee;The Hague;Boston;Salerno;Benevento</t>
  </si>
  <si>
    <t>ESTEC - European Space Research and Technology Centre;Nederlandse Organisatie voor toegepast natuurwetenschappelijk onderzoek- TNO;Boston University;Universit√† degli Studi di Salerno;Universit√† degli Studi del Sannio</t>
  </si>
  <si>
    <t>60031159;60019984;60019674;60007061;60004300</t>
  </si>
  <si>
    <t>Galdi V.</t>
  </si>
  <si>
    <t>CAD of coaxially end-fed waveguide phased-array antennas</t>
  </si>
  <si>
    <t>10.1002/mop.10437</t>
  </si>
  <si>
    <t>2-s2.0-0037143595</t>
  </si>
  <si>
    <t>['¬± 1', 'waveguide input', 'several units', 'profile 60', 'minimum thickness', 'design uses', '63 ghz', '5 db']</t>
  </si>
  <si>
    <t>Antenna array | Low-profile antenna | Millimeter wave</t>
  </si>
  <si>
    <t>A low-profile 60-GHz antenna array has been designed, built, and tested. The design uses a circular waveguide radiator for bandwidth, a stripline distribution network for minimum thickness and flexibility, and a waveguide input for interfacing to other components. Boresight gain variations of less than ¬± 1.5 dB were demonstrated for several units over 57-63 GHz.</t>
  </si>
  <si>
    <t>Navarro, Julio</t>
  </si>
  <si>
    <t>Kent</t>
  </si>
  <si>
    <t>Omni-Patch Designs, Inc.</t>
  </si>
  <si>
    <t>Navarro J.</t>
  </si>
  <si>
    <t>Wide-band, low-profile millimeter-wave antenna array</t>
  </si>
  <si>
    <t>10.1002/mop.10430</t>
  </si>
  <si>
    <t>2-s2.0-0037143634</t>
  </si>
  <si>
    <t>['simple construction', 'reduced sar', 'ground plane', 'fed directly', 'entire pcn', 'antenna presented', 'also offer']</t>
  </si>
  <si>
    <t>Loop antenna | Monopole | Personal communications</t>
  </si>
  <si>
    <t>An unbalanced loop antenna of simple construction is proposed for broadband linearly polarized applications. By introducing a gap in a half loop mounted vertically over a ground plane, the bandwidth of the antenna can be substantially increased relative to its classical balanced version. The antenna presented here has a bandwidth of 30% for a maximum -10-dB return loss, and is fed directly from a coaxial cable without the need for a balun. Numerical and experimental results show that the antenna can cover the entire PCN, UMTS, and IMT2000 frequency allocations and also offer the prospect for reduced SAR.</t>
  </si>
  <si>
    <t>233-234</t>
  </si>
  <si>
    <t>7404724322;7102894931</t>
  </si>
  <si>
    <t>Li, R. L.;Fusco, V. F.</t>
  </si>
  <si>
    <t>Broadband semiloop antenna</t>
  </si>
  <si>
    <t>10.1002/mop.10425</t>
  </si>
  <si>
    <t>2-s2.0-0037143643</t>
  </si>
  <si>
    <t>['space method', 'small switched', 'short circuits', 'seven monopoles', 'peripheral elements', 'input admittance', 'good agreement', 'fmm results', 'concentric array', 'beam array', 'arbitrary loads', 'antenna system', 'active monopole']</t>
  </si>
  <si>
    <t>Circular array | Field matching method | Method of moments | Monopole antenna | Radial guide</t>
  </si>
  <si>
    <t>A radial guide field matching method (RGFMM) is used to analyze a circular array antenna consisting of one active monopole surrounded by a concentric array of passive monopoles terminated in arbitrary loads. An equivalent admittance matrix for this antenna system is determined to study the input admittance of the active monopole when the peripheral elements are terminated in open or short circuits. RG-FMM results are compared with free-space method of moments (FS-MoM) results for a small switched-beam array of seven monopoles. Good agreement is noted.</t>
  </si>
  <si>
    <t>235-240</t>
  </si>
  <si>
    <t>6602280435;35570164700</t>
  </si>
  <si>
    <t>Janapsatya, Januar;Bialkowski, Marek E.</t>
  </si>
  <si>
    <t>Janapsatya J.</t>
  </si>
  <si>
    <t>Analysis of an array of monopoles with the use of a radial waveguide approach</t>
  </si>
  <si>
    <t>10.1002/mop.10426</t>
  </si>
  <si>
    <t>2-s2.0-0037143644</t>
  </si>
  <si>
    <t>['resonant length', 'reflection coefficient', 'properly accounted', 'present method', 'orthogonal ports', 'mutual coupling', 'major role', 'integral equations', 'galerkin testing', 'coupled circular', 'continuity conditions', 'computed data', 'aperture interfaces']</t>
  </si>
  <si>
    <t>Circular waveguide | Moment methods | Orthomode transducer</t>
  </si>
  <si>
    <t>An analysis of a slot-coupled circular to rectangular waveguide orthomode transducer (OMT) is presented. A set of four coupled integrodifferential equations are obtained from the enforcement of the continuity conditions of tangential magnetic fields at the slot-aperture interfaces. The method of moments, with entire-domain sinusoidal basis functions and Galerkin testing, is used to solve the coupled-integral equations, with finite wall thickness taken into account. Mutual coupling between the two aperture slots, which plays a major role in isolating the orthogonal ports, is properly accounted for. Resonant length of the slots and reflection coefficient and coupling between ports are computed. A comparison between the experimental and computed data by the present method as well as HFSS is presented.</t>
  </si>
  <si>
    <t>285-289</t>
  </si>
  <si>
    <t>55491661500;7103158845;57199964751</t>
  </si>
  <si>
    <t>Sharma, S. B.;Chakrabarty, S. B.;Singh, V. K.</t>
  </si>
  <si>
    <t>Moment-method analysis of a slot-coupled circular waveguide orthomode transducer</t>
  </si>
  <si>
    <t>10.1002/mop.10439</t>
  </si>
  <si>
    <t>2-s2.0-0037143645</t>
  </si>
  <si>
    <t>['wide bandwidth', 'patches onto', 'measured data', 'main properties', 'frequency bands', 'constant gain', 'compact dual', 'common substrate']</t>
  </si>
  <si>
    <t>Antennas | Dual-band antennas | Microstrip antennas | Planar antennas</t>
  </si>
  <si>
    <t>A compact dual-band, dual-port planar microstrip antenna is described. Its main properties are wide bandwidth, high and constant gain at both frequency bands, and a simple planar structure, which results from etching all patches onto a common substrate. As an example of application an antenna for GSM900/1800 has been realized and described with measured data.</t>
  </si>
  <si>
    <t>302-305</t>
  </si>
  <si>
    <t>60019987;60019987</t>
  </si>
  <si>
    <t>6507057888;6603454430</t>
  </si>
  <si>
    <t>Gadzina, A.;S≈Çobodzian, P.</t>
  </si>
  <si>
    <t>Wroclaw</t>
  </si>
  <si>
    <t>Wroc≈Çaw University of Science and Technology</t>
  </si>
  <si>
    <t>Gadzina A.</t>
  </si>
  <si>
    <t>A compact dual-port, dual-band planar microstrip antenna</t>
  </si>
  <si>
    <t>10.1002/mop.10443</t>
  </si>
  <si>
    <t>2-s2.0-0037143651</t>
  </si>
  <si>
    <t>['triangular slot', 'side length', 'experimentally studied', 'cp radiation', 'cp operation']</t>
  </si>
  <si>
    <t>Circularly polarized radiation | Compact operation</t>
  </si>
  <si>
    <t>Novel compact circular polarization (CP) designs of a single-feed triangular microstrip antenna with a triangular slot or an inverted triangular slot are proposed and experimentally studied. For the design with a triangular slot, CP operation can easily be achieved by inserting a slit with a length about 24% of the slot's side length at the center of the inner bottom edge of the patch. As for the design with an inverted triangular slot, the insertion of a slit with a length about 12% of the slot's side length can result in CP radiation. Results also indicate that with the triangular slot embedded in the patch, the proposed CP design can have an antenna size reduction of about 30% as compared to the regular-size CP design using a simple triangular patch.</t>
  </si>
  <si>
    <t>263-266</t>
  </si>
  <si>
    <t>Lu, Jui Han</t>
  </si>
  <si>
    <t>Lu J.</t>
  </si>
  <si>
    <t>Single-feed circularly polarized triangular microstrip antenna with triangular slot for compact operation</t>
  </si>
  <si>
    <t>10.1002/mop.10433</t>
  </si>
  <si>
    <t>2-s2.0-0037143679</t>
  </si>
  <si>
    <t>['unit array', 'dual modes', 'dual frequencies', 'computational requirement']</t>
  </si>
  <si>
    <t>The active integrated antenna array given in [4] is simulated by use of a parallel FDTD algorithm to reduce the computational requirement. A four-unit array with dual modes and dual frequencies is presented in this paper.</t>
  </si>
  <si>
    <t>317-319</t>
  </si>
  <si>
    <t>10.1002/mop.10447</t>
  </si>
  <si>
    <t>2-s2.0-0037143684</t>
  </si>
  <si>
    <t>['truncated laguerre', 'scattered beam', 'rotating targets', 'conserved quantity', 'change independently', 'azimuthal doppler', 'angular momentum']</t>
  </si>
  <si>
    <t>Laguerre‚ÄìGaussian laser modes carry orbital angular momentum as a consequence of their helicalphase front screw dislocation. This torsional beam structure interacts with rotating targets, changing the orbital angular momentum (azimuthal Doppler) of the scattered beam because angular momentum is a conserved quantity. I show how to measure this change independently from the usual longitudinal momentum (normal Doppler shift) and derive the apropos coherent mixing efficiencies for monostatic, truncated Laguerre and Gaussian-mode ladar antenna patterns. ¬© 2002 Optical Society of America.</t>
  </si>
  <si>
    <t>5096-5104</t>
  </si>
  <si>
    <t>Fluckiger, David U.</t>
  </si>
  <si>
    <t>Fluckiger D.</t>
  </si>
  <si>
    <t>Implementing torsional-mode doppler ladar</t>
  </si>
  <si>
    <t>10.1364/AO.41.005096</t>
  </si>
  <si>
    <t>2-s2.0-0037143906</t>
  </si>
  <si>
    <t>['wave propagation', 'strong influence', 'standard deviations', 'shown theoretically', 'scale waves', 'retrieval algorithm', 'reflected field', 'radar beam', 'new approach', 'confirmed experimentally']</t>
  </si>
  <si>
    <t>The problem of the backscattered microwave radar signal from a rough water surface at normal incidence taking into account the form of radar beam is solved. It is shown that the radar beam form has a strong influence on the characteristics of the reflected field. A retrieval algorithm for the standard deviations of slopes of large-scale waves by a radar with a sharply asymmetric radar beam is developed. It is shown theoretically and confirmed experimentally that the use of a rotating antenna allows the determination of the direction of wave propagation. A new approach for the retrieval of the near surface wind speed is proposed.</t>
  </si>
  <si>
    <t>3251-3262</t>
  </si>
  <si>
    <t>60011774;60011774;100327639;60010934</t>
  </si>
  <si>
    <t>35606391400;6603927691;7201850680;7006234839</t>
  </si>
  <si>
    <t>Karaev, V. Y.;Kanevsky, M. B.;Cotton, P. D.;Challenor, P. G.</t>
  </si>
  <si>
    <t>Russian Federation;United Kingdom;United Kingdom</t>
  </si>
  <si>
    <t>Nizhny Novgorod;Southampton;Godalming</t>
  </si>
  <si>
    <t>Institute of Applied Physics of the Russian Academy of Sciences;National Oceanography Centre Southampton;Satellite Observing Systems</t>
  </si>
  <si>
    <t>60011774;60010934;100327639</t>
  </si>
  <si>
    <t>Karaev V.Y.</t>
  </si>
  <si>
    <t>Is it possible to measure ocean surface slopes with a microwave radar at nadir probing?</t>
  </si>
  <si>
    <t>10.1080/01431160110114970</t>
  </si>
  <si>
    <t>2-s2.0-0037143964</t>
  </si>
  <si>
    <t>['wave frequency', 'period binaries', 'observation period', 'newly included', 'lisa ).', 'gravitational waves', 'fitting parameter', 'chirp signal', 'accurately parameters']</t>
  </si>
  <si>
    <t>Binaries: close | Gravitation | Gravitational waves</t>
  </si>
  <si>
    <t>We calculate how accurately parameters of the short-period binaries (104 Hz‚â≤f ‚â≤102 Hz) will be determined from the gravitational waves by the Laser Interferometer Space Antenna (LISA). In our analysis, the chirp signal, f, is newly included as a fitting parameter, and dependence on the observation period or wave frequency is studied in detail. Implications for gravitational wave astronomy are also discussed quantitatively.</t>
  </si>
  <si>
    <t>1030-1036</t>
  </si>
  <si>
    <t>60011001;60024322</t>
  </si>
  <si>
    <t>8840672400;7006329449</t>
  </si>
  <si>
    <t>Takahashi, Ryuichi;Seto, Naoki</t>
  </si>
  <si>
    <t>Suita;Kyoto</t>
  </si>
  <si>
    <t>Osaka University;Kyoto University</t>
  </si>
  <si>
    <t>60024322;60011001</t>
  </si>
  <si>
    <t>Takahashi R.</t>
  </si>
  <si>
    <t>Parameter estimation for galactic binaries by the laser interferometer space antenna</t>
  </si>
  <si>
    <t>10.1086/341483</t>
  </si>
  <si>
    <t>2-s2.0-0041760294</t>
  </si>
  <si>
    <t>['toward b335', 'submillimeter band', 'spacing flux', 'simulating observations', 'similarity solutions', 'redshifted side', 'redshifted dip', 'profile generated', 'physical conditions', 'noticeable asymmetry', 'molecular abundance', 'model parameters', 'missing short', 'millimeter array', 'line shows', 'line profile', 'line peaks', 'instrument used', 'inner part', 'infalling envelope', 'infall radius', 'infall motion', 'good probe', 'gaussian beam', 'element antenna', 'e .,', 'dust grains', 'continuum emission', 'collapse model', 'central object', 'aperture synthesis', 'angular resolution', 'also sensitive', 'absorption dip']</t>
  </si>
  <si>
    <t>ISM: clouds | Line: profiles | Radiative transfer | Radio continuum: ISM | Radio lines: ISM | Stars: formation</t>
  </si>
  <si>
    <t>We investigated the line profile of moderately optically thick molecular transitions from collapsing protostellar envelopes. Using the inside-out collapse model, we simulated high angular resolution observations, which can probe the infall motion of the inner region better than low angular resolution observations. The degree of line asymmetry becomes substantially larger as the observing beam size becomes smaller. The self-absorption dip at the central velocity also develops a noticeable asymmetry. Therefore, suitability of collapse tracers depends on the angular resolution of the instrument used. Inclusion of the continuum emission from the central object produces another absorption dip on the redshifted side of the line; i.e., the line shows an inverse P Cygni profile. This effect is larger in the submillimeter band than in longer wavelength bands because of the bright continuum emission from dust grains. This redshifted dip is a good probe of the infall motion at the very inner part of the infalling envelope, and is also sensitive to other physical conditions, such as the depletion of molecules and the distribution of dust grains. We discuss how the line profile is affected by the variation of model parameters, such as molecular abundance, infall radius, and luminosity of the central object. In addition to the inside-out collapse model, we also discuss line profiles generated from Hunter's similarity solutions. Since high angular resolution can be achieved by aperture synthesis, its effect on the line profile was examined by simulating observations of the Sub-millimeter Array (SMA) toward B335, as an example. Only the central absorption dip part of the line profile is affected when the SMA is simulated. The simulated SMA line profile is weaker than the profile generated with a Gaussian beam because of the missing short-spacing flux. If the source is closer, or if the size of the element antenna of the interferometer is larger, even the line peaks can be affected.</t>
  </si>
  <si>
    <t>900-910</t>
  </si>
  <si>
    <t>Choi, Minho</t>
  </si>
  <si>
    <t>Academia Sinica, Institute of Astronomy and Astrophysics</t>
  </si>
  <si>
    <t>Choi M.</t>
  </si>
  <si>
    <t>Modeling line profiles of protostellar collapse observed with high angular resolution</t>
  </si>
  <si>
    <t>10.1086/341476</t>
  </si>
  <si>
    <t>2-s2.0-0043263420</t>
  </si>
  <si>
    <t>R01DC000588</t>
  </si>
  <si>
    <t>['wide range', 'subsequently degraded', 'study provides', 'specific members', 'sexta obps', 'sensilla serve', 'report examines', 'proteins belong', 'one another', 'multigene families', 'melanogaster obps', 'manduca sexta', 'larval antenna', 'genomic organization', 'gene locus', 'gene cluster', 'female antenna', 'exon conservation', 'drosophila melanogaster', 'coordinated expression', 'characterized together', 'cell communication', 'adult male']</t>
  </si>
  <si>
    <t>Drosophila melanogaster | Gene expression | Manduca sexta | Odor degrading enzyme | Odorant binding protein | Olfaction | Olfactory receptor | Olfactory sensilla</t>
  </si>
  <si>
    <t>Insects discriminate odors using sensory organs called olfactory sensilla, which display a wide range of phenotypes. Sensilla express ensembles of proteins, including odorant binding proteins (OBPs), olfactory receptors (ORs) and odor degrading enzymes (ODEs); odors are thought to be transported to ORs by OBPs and subsequently degraded by ODEs. These proteins belong to multigene families. The unique combinatorial expression of specific members of each of these gene families determines, in part, the phenotype of a sensillum and what odors it can detect. Furthermore, OBPs, ORs and ODEs are expressed in different cell types, suggesting the need for cell-cell communication to coordinate their expression. This report examines the OBP gene family. In Manduca sexta, the genes encoding PBP1Msex and GOBP2Msex are sequenced, shown to be adjacent to one another, and characterized together with OBP gene structures of other lepidoptera and Drosophila melanogaster. Expression of PBP1Msex, GOBP1Msex and GOBP2Msex is characterized in adult male and female antenna and in larval antenna and maxilla. The genomic organization of 25 D. melanogaster OBPs are characterized with respect to gene locus, gene cluster, amino acid sequence similarity, exon conservation and proximity to OR loci, and their sequences are compared with 14 M, sexta OBPs. Sensilla serve as portals of important behavioral information, and genes supporting sensilla function are presumably under significant evolutionary selective pressures. This study provides a basis for studying the evolution of the OBP gene family, the regulatory mechanisms governing the coordinated expression of OBPs, ORs and ODEs, and the processes that determine specific sensillum phenotypes.</t>
  </si>
  <si>
    <t>719-744</t>
  </si>
  <si>
    <t>60018179;60018179;60018179;60018179</t>
  </si>
  <si>
    <t>7202412220;57214090596;56207496500;55447007100</t>
  </si>
  <si>
    <t>Vogt, Richard G.;Rogers, Matthew E.;Franco, Marie Dominique;Sun, Ming</t>
  </si>
  <si>
    <t>Vogt R.G.</t>
  </si>
  <si>
    <t>A comparative study of odorant binding protein genes: Differential expression of the PBP1-GOBP2 gene cluster in Manduca sexta (Lepidoptera) and the organization of OBP genes in Drosophila melanogaster (Diptera)</t>
  </si>
  <si>
    <t>2-s2.0-0036332702</t>
  </si>
  <si>
    <t>['wire length', 'wire ends', 'wire acts', 'small conductivity', 'simplified situation', 'simple experiments', 'retransmission antenna', 'resonant effects', 'quantitative description', 'main conclusions', 'large volume', 'homogeneous dielectric', 'geometries related', 'correct length', 'conducting surroundings', 'completely surrounded', 'causing dissipation', 'axial symmetry']</t>
  </si>
  <si>
    <t>Several recent reports agree that the potentially dangerous heating around extended wires or coaxial cables inside the bodycoil of a magnetic resonance imager is related to resonant effects. No quantitative description of this idea has been given so far. We analyse a simplified situation, where a straight metallic wire is completely surrounded by a large volume of homogeneous dielectric with a small conductivity. If it has the correct length, the wire acts as a receiving-and-retransmission antenna, changing the axial symmetry of the incoming electric field into a radially outgoing electric field near the wire ends. The latter field points into the conducting surroundings, causing dissipation. Some simple experiments on geometries related to this theoretical model provide support to the main conclusions. These suggest that under actual imaging conditions resonant effects might be avoided by choosing a wire length of about 2 m. However, more experimental work remains to be done to validate this suggestion.</t>
  </si>
  <si>
    <t>2973-2985</t>
  </si>
  <si>
    <t>60028186;60023561;60023561;60028186</t>
  </si>
  <si>
    <t>6506972700;7004907923;7003654294;56229501500</t>
  </si>
  <si>
    <t>Pictet, Jacqueline;Meuli, Reto;Wicky, Stephan;Van Der Klink, Jacques J.</t>
  </si>
  <si>
    <t>Switzerland;Switzerland</t>
  </si>
  <si>
    <t>Lausanne;Lausanne</t>
  </si>
  <si>
    <t>Swiss Federal Institute of Technology Lausanne;Centre Hospitalier Universitaire Vaudois</t>
  </si>
  <si>
    <t>60028186;60023561</t>
  </si>
  <si>
    <t>Pictet J.</t>
  </si>
  <si>
    <t>Radiofrequency heating effects around resonant lengths of wire in MRI</t>
  </si>
  <si>
    <t>S0031915502360640</t>
  </si>
  <si>
    <t>10.1088/0031-9155/47/16/312</t>
  </si>
  <si>
    <t>2-s2.0-0037151340</t>
  </si>
  <si>
    <t>['‚ àº2', 'weaker sources', 'vla observations', 'total number', 'thermal spectra', 'supernova remnants', 'starburst galaxy', 'spectral analysis', 'sources appear', 'resolved structure', 'remaining 16', 'pie town', 'optically thick', 'least 61', 'large array', 'hii regions', 'element radio', 'compact sources', '6 pc', '5 ghz', '15 ghz', '1 arcsec']</t>
  </si>
  <si>
    <t>Galaxies: individual: M82 | Galaxies: starburst | H II regions | Radio continuum: galaxies</t>
  </si>
  <si>
    <t>Observations of the starburst galaxy, M82, have been made with the Very Large Array (VLA) in its A configuration at 15 GHz and the Multi-Element Radio-Linked Interferometer Network (MERLIN) at 5 GHz, enabling a spectral analysis of the compact radio structure on a scale of &lt;0.1 arcsec (1.6 pc). Crucial to these observations was the inclusion of the Pie Town Very Long Baseline Array (VLBA) antenna, which increased the resolution of the VLA observations by a factor of ‚àº2. A number of the weaker sources are shown to have thermal spectra and are identified as H II regions with emission measures ‚àº107cm-6 pc. Some of the sources appear to be optically thick at 5 GHz, implying even higher emission measures of ‚àº108 cm-6 pc. The number of compact radio sources in M82 whose origin has been determined is now 46, of which 30 are supernova-related and the remaining 16 are HII regions. An additional 15 sources are noted, but have yet to be identified, meaning that the total number of compact sources in M82 is at least 61. Also, it is shown that the distribution of HII regions is correlated with the large-scale ionized gas distribution, but is different from the distribution of supernova remnants. In addition, the brightest HII region at (B1950) 09h51m42s.21 + 69¬∞54‚Ä≤59‚Ä≥2 shows a spectral index gradient across its resolved structure which we attribute to the source becoming optically thick towards its centre.</t>
  </si>
  <si>
    <t>912-924</t>
  </si>
  <si>
    <t>60003771;60003771;60001881;60003771-60007328;60003771</t>
  </si>
  <si>
    <t>57196819972;7003263231;7006917359;7004742246;7003446231</t>
  </si>
  <si>
    <t>McDonald, A. R.;Muxlow, T. W.B.;Wills, K. A.;Pedlar, A.;Beswick, R. J.</t>
  </si>
  <si>
    <t>Sweden;United Kingdom;United Kingdom</t>
  </si>
  <si>
    <t>Onsala;Manchester;Sheffield</t>
  </si>
  <si>
    <t>Onsala Space Observatory;The University of Manchester;The University of Sheffield</t>
  </si>
  <si>
    <t>60007328;60003771;60001881</t>
  </si>
  <si>
    <t>McDonald A.</t>
  </si>
  <si>
    <t>A parsec-scale study of the 5/15-GHz spectral indices of the compact radio sources in M82</t>
  </si>
  <si>
    <t>10.1046/j.1365-8711.2002.05580.x</t>
  </si>
  <si>
    <t>2-s2.0-0041814589</t>
  </si>
  <si>
    <t>T32MH020017</t>
  </si>
  <si>
    <t>['tightly linked', 'terminal regions', 'terminal region', 'roughened eye', 'rotund region', 'rotund racgap', 'rotund phenotypes', 'rotund gene', 'results indicate', 'regulating delta', 'rac family', 'previously identified', 'predicted rotund', 'overlapping domains', 'others domain', 'notch signaling', 'genetically separable', 'distinct activities', 'direct expression', 'differential expression', 'different transcript', 'corresponding mutation']</t>
  </si>
  <si>
    <t>Drosophila melanogaster | Dual promoters | Imaginal disc development | Rotund | Roughened eye | Zinc finger</t>
  </si>
  <si>
    <t>The Drosophila rotund gene is required in the wings, antenna, haltere, proboscis and legs. A member of the Rac family of GTPases, denoted the rotund racGAP gene, was previously identified in the rotund region. However, previous studies indicated that rotund racGAP was not responsible for the rotund phenotypes and that the rotund gene had yet to be identified. We have isolated the rotund gene and show that it is a member of the Kr√ºppel family of zinc finger genes. The adjacent roughened eye locus specifically affects the eye and is genetically separable from rotund. However, roughened eye and rotund are tightly linked, and we have therefore also isolated the roughened eye transcript. Intriguingly, we show that roughened eye is part of the rotund gene but is represented by a different transcript. The rotund and roughened eye transcripts result from the utilization of two different promoters that direct expression in non-overlapping domains in the larval imaginal discs. The predicted Rotund and Roughened Eye proteins share the same C-terminal region, including the zinc finger domain, but differ in their N-terminal regions. Each cDNA can rescue only the corresponding mutation and show negative effects when expressed in each others domain of expression. These results indicate that in addition to the differential expression of rotund and roughened eye, their proteins have distinct activities. rotund and roughened eye act downstream of early patterning genes such as dachshund and appear to be involved in Notch signaling by regulating Delta, scabrous and Serrate.</t>
  </si>
  <si>
    <t>1273-1281</t>
  </si>
  <si>
    <t>60017317;60017317;60017317;60017317</t>
  </si>
  <si>
    <t>22981498000;7006443930;6701923136;7003554408</t>
  </si>
  <si>
    <t>St. Pierre, Susan E.;Galindo, Maximo I.;Couso, Juan P.;Thor, Stefan</t>
  </si>
  <si>
    <t>Brighton</t>
  </si>
  <si>
    <t>University of Sussex</t>
  </si>
  <si>
    <t>St. Pierre S.</t>
  </si>
  <si>
    <t>Control of Drosophila imaginal disc development by rotund and roughened eye: Differentially expressed transcripts of the same gene encoding functionally distinct zinc finger proteins</t>
  </si>
  <si>
    <t>2-s2.0-0036332860</t>
  </si>
  <si>
    <t>['therefore propose', 'specific functions', 'particular aspects', 'nuclear localization', 'nuclear factors', 'multiple genes', 'human homologs', 'hearing defects', 'genes required', 'drosophila antenna', 'complex structure', 'brocks syndrome', 'auditory organs', 'antennal fate', 'antennal expression', 'antenna development', 'also report', 'also associated']</t>
  </si>
  <si>
    <t>Antenna | Atonal | Audition | Cut | Dachshund | Distal-less | Drosophila | Extradenticle | Homothorax | Spalt | Spalt-related | Spineless | Split hand/split foot malformation | Townes-Brocks syndrome</t>
  </si>
  <si>
    <t>The Drosophila antenna is a highly derived appendage required for a variety of sensory functions including olfaction and audition. To investigate how this complex structure is patterned, we examine the specific functions of genes required for antenna development. The nuclear factors, Homothorax, Distal-less and Spineless, are each required for particular aspects of antennal fate. Coexpression of Homothorax, necessary for nuclear localization of its ubiquitously expressed partner Extradenticle, with Distal-less is required to establish antenna fate. Here we test which antenna patterning genes are targets of Homothorax, Distal-less and/or Spineless. We report that the antennal expression of dachshund, atonal, spalt, and cut requires Homothorax and/or Distal-less, but not Spineless. We conclude that Distal-less and Homothorax specify antenna fates via regulation of multiple genes. We also report for the first time phenotypic consequences of losing either dachshund or spalt and spaltrelated from the antenna. We find that dachshund and spalt/spalt-related are essential for proper joint formation between particular antennal segments. Furthermore, the spalt/spalt-related null antennae are defective in hearing. Hearing defects are also associated with the human diseases Split Hand/Split Foot Malformation and Townes-Brocks Syndrome, which are linked to human homologs of Distalless and spalt, respectively. We therefore propose that there are significant genetic similarities between the auditory organs of humans and flies.</t>
  </si>
  <si>
    <t>1967-1974</t>
  </si>
  <si>
    <t>6506679726;7006004779;6701497241</t>
  </si>
  <si>
    <t>Si Dong, P. D.;Dicks, Jennifer Scholz;Panganiban, Grace</t>
  </si>
  <si>
    <t>Si Dong P.</t>
  </si>
  <si>
    <t>Distal-less and homothorax regulate multiple targets to pattern the Drosophila antenna</t>
  </si>
  <si>
    <t>2-s2.0-0036336491</t>
  </si>
  <si>
    <t>['structures derived', 'strong mutants', 'strictly depend', 'partially redundant', 'mainly required', 'first activated', 'eyeless protein', 'eyeless gene', 'exerts functions', 'antennal discs', 'antennal development']</t>
  </si>
  <si>
    <t>Drosophila melanogaster | Eye development | eyeless | Head development | Headless flies | Pax6 genes | twin of eyeless</t>
  </si>
  <si>
    <t>The two Pax6 gene homologs eyeless and twin of eyeless play decisive early roles in Drosophila eye development. Strong mutants of twin of eyeless or of eyeless are headless, which suggests that they are required for the development of all structures derived from eye-antennal discs. The activity of these genes is crucial at the very beginning of eye-antennal development in the primordia of eye-antennal discs when eyeless is first activated by the twin of eyeless gene product. This activation does not strictly depend on the Twin of eyeless protein, but is temperature-dependent in its absence. Twin of eyeless acts also in parallel to the eyeless gene and exerts functions that are partially redundant with those of Eyeless, while Eyeless is mainly required to prevent early cell death and promote eye development in eye-antennal discs.</t>
  </si>
  <si>
    <t>1015-1026</t>
  </si>
  <si>
    <t>60012614;60012614;60012614;60012614;60012614;60012614;60012614</t>
  </si>
  <si>
    <t>6507199330;7102065920;36796576000;22934462100;55495735200;7005032079;6603628666</t>
  </si>
  <si>
    <t>Kronhamn, Jesper;Frei, Erich;Daube, Michael;Jiao, Renjie;Shi, Yandong;Noll, Markus;Rasmuson-Lestander, √Ösa</t>
  </si>
  <si>
    <t>Zurich</t>
  </si>
  <si>
    <t>University of Zurich</t>
  </si>
  <si>
    <t>Kronhamn J.</t>
  </si>
  <si>
    <t>Headless flies produced by mutations in the paralogous Pax6 genes eyeless and twin eyeless</t>
  </si>
  <si>
    <t>2-s2.0-0036339556</t>
  </si>
  <si>
    <t>['synechococcus elongatus', 'ps2 activity', 'photosystem 1', 'originally added', 'mentioned parameters', 'less sensitive', 'large extent', 'intact cells', 'growing cd2', 'dodecylmaltoside extracts', 'different concentrations', 'cultivation proved', 'cultivation medium', 'cultivation media', 'cell culture', 'cdcl2 concentration', 'antenna pigments', '7 %.', '24 h', '0 treatment', '0 mm', '0 inhibited', '0 cultivation']</t>
  </si>
  <si>
    <t>Chlorophyll | Dodecylmaltoside | Heavy metals | Photochemical activities | Photosynthetic pigment content | Photosystems 1 and 2 | Synechococcus | Toxic metals</t>
  </si>
  <si>
    <t>Intact cells of Synechococcus elongatus were treated with different concentrations (0.1 and 1.0 mM = Cd0.1, Cd1.0) of CDCl2 for 24 h, Cd0.1 treatment stimulated growth of the cell culture and chlorophyll (Chl) a concentration in the culture. Cd1.0 inhibited both the above mentioned parameters. The oxygen evolving activity of intact cells (H2O ‚Üí BQ) as well as of isolated thylakoid membranes, TM (H2O ‚Üí DCPIP; H2O ‚Üí PBQ + FeCy) decreased after 24 h of Cd1.0 cultivation to 7 %. Photosystem 1 (PS1) activity was less sensitive to the effect of Cd2+ than PS2 activity. CDCl2 concentration in cultivation media after 24 h of cultivation proved that the cyanobacterium cells take up these ions to a large extent from the cultivation medium. After 24 h of the Cd1.0 treatment only 12 % of the amount of Cd2+ originally added to the cultivation medium was found. The ratio of external-antenna pigments, phycocyanin, and allophycocyanin to Chl increased approximately twofold with growing Cd2+ concentration in the cultivation medium. This ratio was found in both TM and dodecylmaltoside extracts.</t>
  </si>
  <si>
    <t>103-108</t>
  </si>
  <si>
    <t>Photosynthetica</t>
  </si>
  <si>
    <t>60016605;60016605</t>
  </si>
  <si>
    <t>56121409100;6602538383</t>
  </si>
  <si>
    <t>T≈Ømov√°, E.;Sofrov√°, D.</t>
  </si>
  <si>
    <t>Prague Praha</t>
  </si>
  <si>
    <t>Charles University</t>
  </si>
  <si>
    <t>T≈Ømov√° E.</t>
  </si>
  <si>
    <t>Response of intact cyanobacterial cells and their photosynthetic apparatus to Cd&lt;sup&gt;2+&lt;/sup&gt; ion treatment</t>
  </si>
  <si>
    <t>10.1023/A:1020112403728</t>
  </si>
  <si>
    <t>2-s2.0-0036344591</t>
  </si>
  <si>
    <t>['thermal dissipation', 'sixty minutes', 'reach 70', 'ps2 efficiency', 'primarily composed', 'linear relationship', 'irradiation period', 'greatest portion', 'energy absorbed', 'dreg ),', 'dissipated thermally', 'considerable absorption', 'coker 312', 'acclimated cotton', 'absorbed energy', '500 œºmol', '40 min']</t>
  </si>
  <si>
    <t>Energy dissipation | Gossypium hirsutum | Low temperature | Photoinhibition</t>
  </si>
  <si>
    <t>When dark-acclimated cotton (Gossypium hirsutum L. cv. Coker 312) leaves, pre-treated with lincomycin to inhibit chloroplast protein repair processes, were exposed to 10¬∞C and a PPFD of 500 Œºmol m-2 s-1, the proportion of excitation energy entering photochemistry (P) increased, but only to 5% of the total energy absorbed at steady state levels of P, which were reached at 40 min of irradiation. Thermal dissipation (D) of absorbed energy increased throughout the 360 min irradiation period and accounted for the greatest portion of absorbed energy at 10¬∞C. When D was partitioned into constitutive (DCON), regulated (DREG), and photoinhibitory (DPI) components, it was primarily composed of DREG, the readily reversible portion of D. However, the induction of D was slow at 10¬∞C. Sixty minutes were required for D to reach 70% of the energy absorbed. Considerable absorption of energy in excess of that utilized in photochemistry or dissipated thermally (designated as E) occurred, especially during induction of P and D. Over the irradiation period, the time-dependent averaged E exhibited an inverse, linear relationship with the ratio of variable (Fv) to maximum (Fm) fluorescence (PS2 efficiency) and a linear relationship with DPI. We propose that time-dependent averaged E may be useful for estimating the potential for damage to PS2 under stressful environmental conditions.</t>
  </si>
  <si>
    <t>77-84</t>
  </si>
  <si>
    <t>60021285;60000144;60021285</t>
  </si>
  <si>
    <t>6603410348;7202196560;6602492138</t>
  </si>
  <si>
    <t>Kornyeyev, D.;Logan, B. A.;Holaday, A. S.</t>
  </si>
  <si>
    <t>Lubbock;Brunswick</t>
  </si>
  <si>
    <t>Texas Tech University;Bowdoin College</t>
  </si>
  <si>
    <t>60021285;60000144</t>
  </si>
  <si>
    <t>Kornyeyev D.</t>
  </si>
  <si>
    <t>A chlorophyll fluorescence analysis of the allocation of radiant energy absorbed in photosystem 2 antennae of cotton leaves during exposure to chilling</t>
  </si>
  <si>
    <t>10.1023/A:1020150408908</t>
  </si>
  <si>
    <t>2-s2.0-0036346927</t>
  </si>
  <si>
    <t>['second harmonic', 'rights reserved', 'quadratic nonlinearity', 'preliminary determinations', 'one observes', 'nonlinear signatures', 'nonlinear phenomena', 'harmonic excitation', 'frequency wave', 'frequency one', 'experimental results', 'dramatic increase', 'different amounts', 'cracked materials', 'cascade process']</t>
  </si>
  <si>
    <t>Experimental results have been obtained on thermally damaged thick glass plates. A study of nonlinear phenomena with different amounts of damages from the virgin (undamaged) case to a strongly cracked configuration has been performed. The cascade process of harmonic excitation, interaction of a high-frequency wave with a low-frequency one (nonlinear parametric receiving antenna) and demodulation of the amplitude modulated high-frequency wave (nonlinear parametric emitting antenna) have been implemented. One observes a dramatic increase in generation of the second harmonic as well as the demodulation signals versus the pump wave amplitude. A clear correlation exists between these nonlinear signatures and the amount of damages. Preliminary determinations of the coefficient of quadratic nonlinearity have been achieved. The results in the configuration of parametric emitting antenna are believed to be the very first on cracked materials. ¬© 2002 Elsevier Science B.V. All rights reserved.</t>
  </si>
  <si>
    <t>281-290</t>
  </si>
  <si>
    <t>60105506;60105506;60004848</t>
  </si>
  <si>
    <t>6601950382;7003387751;35611098100</t>
  </si>
  <si>
    <t>Moussatov, Alexei;Castagn√®de, Bernard;Gusev, Vitalyi</t>
  </si>
  <si>
    <t>Le Mans;Le Mans</t>
  </si>
  <si>
    <t>Laboratoire d'Acoustique de l'Universit√© du Maine;Universite du Maine Le Mans - Laval</t>
  </si>
  <si>
    <t>60105506;60004848</t>
  </si>
  <si>
    <t>Moussatov A.</t>
  </si>
  <si>
    <t>Frequency up-conversion and frequency down-conversion of acoustic waves in damaged materials</t>
  </si>
  <si>
    <t>S037596010200974X</t>
  </si>
  <si>
    <t>10.1016/S0375-9601(02)00974-X</t>
  </si>
  <si>
    <t>2-s2.0-0037179015</t>
  </si>
  <si>
    <t>['two compounds', 'strong response', 'solvent extraction', 'reliable lure', 'principal host', 'poor flowering', 'octadecenyl acetate', 'mass spectrometry', 'male antennae', 'important pest', 'highly attractive', 'hexadecenyl acetate', 'gas chromatography', 'entire crop', 'detect migration', 'analogous alcohol']</t>
  </si>
  <si>
    <t>Apple orchard | Argyresthia conjugella | Chemical identification | Field trapping | Sex pheromone | Sorbus aucuparia</t>
  </si>
  <si>
    <t>1. The apple fruit moth Argyresthia conjugella Zell. (Lepidoptera: Argyresthiidae) is the most important pest of apple in Scandinavia. It invades apple orchards and can destroy an entire crop during years of poor flowering and fruitsetting of its principal host, mountain ash Sorbus aucuparia. We investigated the female sex pheromone of apple fruit moth in order to develop a reliable lure, which can be used to detect migration of apple fruit moth into orchards and thus to avoid preventive insecticide sprays. 2. Pheromonal compounds obtained by solvent extraction of excised A. conjugella female pheromone glands were identified by coupled gas chromatography/electroantennography and gas chromatography/mass spectrometry. Two compounds (Z)-11-hexadecenyl acetate, and the analogous alcohol (Z)-11-hexadecen-1-ol, elicited a strong response from male antennae. (Z)-11-hexadecenyl acetate was highly attractive in field trapping tests, whereas as little as a 1%-addition of (Z)-11-hexadecen-1-ol strongly reduced male attraction. 3. (Z)-13-octadecenyl acetate, a previously reported sex attractant, had no effect on A. conjugella male attraction.</t>
  </si>
  <si>
    <t>233-236</t>
  </si>
  <si>
    <t>Agricultural and Forest Entomology</t>
  </si>
  <si>
    <t>101644478;60027152;60027152;100318525;101644478;60027152</t>
  </si>
  <si>
    <t>8501754500;35579647600;16485957900;24074849500;8501754600;7004027172</t>
  </si>
  <si>
    <t>Jaastad, Gunnhild;Bengtsson, Marie;Anderson, Peter;Kobro, Sverre;Knudsen, Geir;Witzgall, Peter</t>
  </si>
  <si>
    <t>Sweden;Norway;Norway</t>
  </si>
  <si>
    <t>Uppsala;;As</t>
  </si>
  <si>
    <t>Sveriges lantbruksuniversitet;Ullensvang Research Station;Plant Protection Centre</t>
  </si>
  <si>
    <t>60027152;101644478;100318525</t>
  </si>
  <si>
    <t>Jaastad G.</t>
  </si>
  <si>
    <t>Sex pheromone of apple fruit moth Argyresthia conjugella (Lepidoptera: Argyresthiidae)</t>
  </si>
  <si>
    <t>10.1046/j.1461-9563.2002.00140.x</t>
  </si>
  <si>
    <t>2-s2.0-0036054405</t>
  </si>
  <si>
    <t>['tuning ranges', 'separately identifiable', 'q factors', 'loop area', 'environmental effects', 'dipole modes', 'conductor losses', 'agrees well']</t>
  </si>
  <si>
    <t>Frequency swept input impedances and Q factors of different sized balanced tuned loop antennas have been measured over their tuning ranges. A simple circuit model, with a dominant radiation resistance proportional to frequency and loop area, agrees well with measurements. Conductor losses, dipole modes, and environmental effects are separately identifiable.</t>
  </si>
  <si>
    <t>1006-1008</t>
  </si>
  <si>
    <t>7005983040;55167011900</t>
  </si>
  <si>
    <t>Underhill, M. J.;Harper, M.</t>
  </si>
  <si>
    <t>Underhill M.</t>
  </si>
  <si>
    <t>Simple circuit model of small tuned loop antenna including observable environmental effects</t>
  </si>
  <si>
    <t>10.1049/el:20020673</t>
  </si>
  <si>
    <t>2-s2.0-0037194829</t>
  </si>
  <si>
    <t>['polyimide tape', 'microstrip line', 'laser cutter', 'fractional bandwidth', 'fabricated using']</t>
  </si>
  <si>
    <t>A novel ground taper has been designed and then fabricated using a laser cutter. The taper is used to match the transition between a suspended microstrip line and a microstrip line. This transition is used in the design of a 25 GHz suspended patch antenna deposited onto a polyimide tape and yields an 18% fractional bandwidth.</t>
  </si>
  <si>
    <t>1005-1006</t>
  </si>
  <si>
    <t>60003771;60003771;60003771</t>
  </si>
  <si>
    <t>7005350377;56284375600;7102814740</t>
  </si>
  <si>
    <t>Lau, N. U.;Gregory, C. M.;Sloan, R.</t>
  </si>
  <si>
    <t>The University of Manchester</t>
  </si>
  <si>
    <t>Lau N.</t>
  </si>
  <si>
    <t>Broadband suspended patch antennas with ground taper transformer</t>
  </si>
  <si>
    <t>10.1049/el:20020712</t>
  </si>
  <si>
    <t>2-s2.0-0037194833</t>
  </si>
  <si>
    <t>['simple strategy', 'series configuration', 'millimetric wavelengths', 'matched load', 'enhanced systematically', 'computed full', 'array performance']</t>
  </si>
  <si>
    <t>A simple strategy is presented for the design of broadband microstrip series arrays at millimetric wavelengths. The array performance is enhanced systematically by cascading several microstrip patch elements in a series configuration and terminated in a matched load. Experimental and computed full-wave results indicate good agreement, showing that a bandwidth in excess of 11% is achievable.</t>
  </si>
  <si>
    <t>1036-1037</t>
  </si>
  <si>
    <t>60018829;60011520</t>
  </si>
  <si>
    <t>7006411001;7402366865</t>
  </si>
  <si>
    <t>Okon, E. E.;Turner, C. W.</t>
  </si>
  <si>
    <t>Farnborough;London</t>
  </si>
  <si>
    <t>BAE Systems plc;King's College London</t>
  </si>
  <si>
    <t>Okon E.</t>
  </si>
  <si>
    <t>Design of broadband microstrip series array for mm-wave applications</t>
  </si>
  <si>
    <t>10.1049/el:20020710</t>
  </si>
  <si>
    <t>2-s2.0-0037194837</t>
  </si>
  <si>
    <t>['typical small', 'switched five', 'sight obstruction', 'experimentally studied']</t>
  </si>
  <si>
    <t>The application of a switched five-sector beam antenna in high-speed indoor wireless LAN systems operating in the 60 GHz band is investigated. The effects of line-of-sight obstruction as well as the influence of the access-point antenna height are experimentally studied in a typical small-sized office room. The results are compared with those obtained with classical antenna configurations.</t>
  </si>
  <si>
    <t>1054-1055</t>
  </si>
  <si>
    <t>60032882;60032882;60032882</t>
  </si>
  <si>
    <t>16415286000;7003821814;57206591125</t>
  </si>
  <si>
    <t>Smulders, P. F.M.;Herben, M. H.A.J.;George, J.</t>
  </si>
  <si>
    <t>Technische Universiteit Eindhoven</t>
  </si>
  <si>
    <t>Smulders P.</t>
  </si>
  <si>
    <t>Application of five-sector beam antenna for 60 GHz indoor wireless communications</t>
  </si>
  <si>
    <t>10.1049/el:20020698</t>
  </si>
  <si>
    <t>2-s2.0-0037194852</t>
  </si>
  <si>
    <t>['wide range', 'several csps', 'phospholipid membrane', 'overall dimensions', 'novel type', 'mr 13', 'large quantities', 'insect species', 'fluorescence quenching', 'fatty acids', 'chemosensory proteins', 'chemical communication']</t>
  </si>
  <si>
    <t>Chemosensory proteins (CSPs) are believed to be involved in chemical communication and perception. Such proteins, of Mr 13,000, have been isolated from several sensory organs of a wide range of insect species. Several CSPs have been identified in the antennae and proboscis of the moth Mamestra brassicae. One of them, CSPMbraA6 a 112-amino acid antennal protein, has been expressed in large quantities and is soluble in the Escherichia coli periplasm. X-ray structure determination has been performed in parallel with ligand binding assays using tryptophan fluorescence quenching. The protein has overall dimensions of 25 √ó 30 √ó 32 √Ö and exhibits a novel type of Œ±-helical fold with six helices connected by Œ±-Œ± loops. A narrow channel extends within the protein hydrophobic core. Fluorescence quenching with brominated alkyl alcohols or fatty acids and modeling studies indicates that CSPMbraA6 is able to bind such compounds with C12-18 alkyl chains. These ubiquitous proteins might have the role of extracting hydrophobic linear compounds (pheromones, odors, or fatty acids) dispersed in the phospholipid membrane and transporting them to their receptor.</t>
  </si>
  <si>
    <t>32094-32098</t>
  </si>
  <si>
    <t>60102127-60022068;60102127-60022068;60102127-60022068;60102127-60022068;60102127-60022068;60102127-60022068;60102127-60022068</t>
  </si>
  <si>
    <t>6603489937;6602896947;7102748214;41161465500;6506067355;56211778600;7006765066</t>
  </si>
  <si>
    <t>Lartigue, Audrey;Campanacci, Val√©rie;Roussel, Alain;Larsson, Anna M.;Alwyn Jones, T.;Tegoni, Mariella;Cambillau, Christian</t>
  </si>
  <si>
    <t>France;Sweden</t>
  </si>
  <si>
    <t>Marseille;Uppsala</t>
  </si>
  <si>
    <t>Aix Marseille Universit√©;Uppsala Biomedicinska Centrum</t>
  </si>
  <si>
    <t>60102127;60022068</t>
  </si>
  <si>
    <t>Lartigue A.</t>
  </si>
  <si>
    <t>X-ray structure and ligand binding study of a moth chemosensory protein</t>
  </si>
  <si>
    <t>10.1074/jbc.M204371200</t>
  </si>
  <si>
    <t>2-s2.0-0037200063</t>
  </si>
  <si>
    <t>97-1712</t>
  </si>
  <si>
    <t>['within 850', 'wavelength reflector', 'trx remains', 'studied experimentally', 'sidelobe level', 'nb film', 'mixer temperature', 'interperiodica ".', 'hifi module', 'herschel space', 'dipole antenna', 'borne telescope', 'antenna pattern', 'al films', '935 ghz', '8 ghz', '5 ghz', '350 k', '250 k', '2 k', '16 db', '1000 ghz']</t>
  </si>
  <si>
    <t>A quasi-optical mixer containing two Nb/Al/AlOx/Nb superconducting tunnel junctions integrated into a NbTiN/SiO2/Al microstrip line is studied experimentally in the 800-1000 GHz frequency range. The mixer is developed as an optional front end of the heterodyne receiver operating in frequency band 3 or 4 and incorporated into the HIFI module of the Herschel space-borne telescope. The double-dipole antenna of the mixer is made of NbTiN and Al films; the quarter-wavelength reflector, of a Nb film. The mixer is optimized for the IF band of 4-8 GHz. The double-sideband noise temperature TRX measured at 935 GHz is 250 K at a mixer temperature of 2 K and an IF of 1.5 GHz. Within 850-1000 GHz, TRX remains below 350 K. The antenna pattern is symmetrical with a sidelobe level below -16 dB. ¬© 2002 MAIK "Nauka/Interperiodica".</t>
  </si>
  <si>
    <t>1152-1157</t>
  </si>
  <si>
    <t>60029225;60029225;60001512;60001512;60006288;60006288;60006288</t>
  </si>
  <si>
    <t>7004148528;57197382299;35599976000;7003412133;6701314219;12902591700;7006694350</t>
  </si>
  <si>
    <t>Shitov, S. V.;Markov, A. V.;Jackson, B. D.;Baryshev, A. M.;Iosad, N. N.;Gao, J. R.;Klapwijk, T. M.</t>
  </si>
  <si>
    <t>Russian Federation;Netherlands;Netherlands</t>
  </si>
  <si>
    <t>Moscow;Delft;Utrecht</t>
  </si>
  <si>
    <t>Kotelnikov Institute of Radioengineering and Electronics (IRE) of Russian Academy of Sciences;Delft University of Technology;SRON Netherlands Institute for Space Research</t>
  </si>
  <si>
    <t>60029225;60006288;60001512</t>
  </si>
  <si>
    <t>Shitov S.</t>
  </si>
  <si>
    <t>1-THz low-noise SIS mixer with a double-dipole antenna</t>
  </si>
  <si>
    <t>10.1134/1.1508081</t>
  </si>
  <si>
    <t>2-s2.0-0036026092</t>
  </si>
  <si>
    <t>['transmitting antennas', 'scattering objects', 'receiving antennas', 'random matrix', 'probabilistically describes', 'path delay', 'noise ratios', 'model characterizes', 'mobile radio', 'limited number', 'indoor environments', 'eigenvalue distribution', 'channel capacities', 'calculate signal']</t>
  </si>
  <si>
    <t>Antenna arrays | Channel models | Eigenvalue distribution | Fading channels | Information rates | Intersymbol interference | Multiuser communications | Random matrices | Stieltjes transform</t>
  </si>
  <si>
    <t>A random matrix model is introduced that probabilistically describes the spatial and temporal multipath propagation between a transmitting and receiving antenna array with a limited number of scatterers for mobile radio and indoor environments. The model characterizes the channel by its richness delay profile which gives the number of scattering objects as a function of the path delay. Each delay is assigned the eigenvalue distribution of a random matrix that depends on the number of scatterers, receiving antennas, and transmitting antennas. The model allows one to calculate signal-to-interference-and-noise ratios (SINRs) and channel capacities for large antenna arrays analytically and quantifies to what extent rich scattering improves performance.</t>
  </si>
  <si>
    <t>2495-2506</t>
  </si>
  <si>
    <t>A random matrix model of communication via antenna arrays</t>
  </si>
  <si>
    <t>10.1109/TIT.2002.801467</t>
  </si>
  <si>
    <t>2-s2.0-0036713222</t>
  </si>
  <si>
    <t>['undetectable levels', 'significantly diminished', 'results showed', 'relative ratios', 'puc operon', 'pigment accumulated', 'photosynthetic apparatus', 'membrane even', 'lhii content', 'lhii complexes', 'latter condition', 'later step', 'expression plasmid', 'even low', 'energy limitation', 'cell division', 'c genes']</t>
  </si>
  <si>
    <t>In this paper we show the effect of oxygen and light on the expression of the photosynthetic apparatus of a mutant heterologously expressing the puc operon. This mutant was obtained by introducing in trans an expression plasmid, bearing the puc A, B, and C genes of Rhv. sulfidophilum, as well as its own promoter, in an LHII- mutant of Rb. capsulatus. The results showed that oxygen and light repressed LHII expression. Even low-light intensities lowered the LHII content to undetectable levels by spectrophotometry or by SDS-PAGE. In high-light grown cells, where the relative ratios of LHI and LHII complexes were significantly diminished, we were able to detect LHII complexes. Under the latter condition, the absorption spectrum showed that some pigment accumulated in the membrane even in the absence of cell division. These pigments were used in a later step to assemble LHII complexes, when the high-light grown cells were transferred to semiaerobiosis in the dark. Transition of high-light grown cells to low-light conditions allowed us to study the adaptability of these heterologous mutant cells. We observed that adaptation never occurred, in part probably owing to energy limitation.</t>
  </si>
  <si>
    <t>209-216</t>
  </si>
  <si>
    <t>Current Microbiology</t>
  </si>
  <si>
    <t>60004518;60004518;60004518;60025641-101843371;60004518</t>
  </si>
  <si>
    <t>6505535154;6602518619;6603588572;7005687711;7404608866</t>
  </si>
  <si>
    <t>Del Rosario Barbieri, Mar√≠a;Kerber, Norma L.;Pucheu, Norma L.;Tadros, Monier H.;Garc√≠a, Augusto F.</t>
  </si>
  <si>
    <t>Germany;Argentina;Germany</t>
  </si>
  <si>
    <t>Freiburg im Breisgau;Buenos Aires;Freiburg</t>
  </si>
  <si>
    <t>Universit√§t Freiburg im Breisgau;Consejo Nacional de Investigaciones Cient√≠ficas y T√©cnicas;Environ./Biotech. Laboratory-GmbH</t>
  </si>
  <si>
    <t>60025641;60004518;101843371</t>
  </si>
  <si>
    <t>Del Rosario Barbieri M.</t>
  </si>
  <si>
    <t>Effect of light and oxygen and adaptation to changing light conditions in a photosynthetic mutant in which the LHII complex of Rhv. sulfidophilum was heterologously expressed in a strain of Rb. capsulatus whose puc operon was deleted</t>
  </si>
  <si>
    <t>10.1007/s00284-001-0104-7</t>
  </si>
  <si>
    <t>2-s2.0-0036719309</t>
  </si>
  <si>
    <t>['typical specimens', 'range 160', 'radiating systems', 'providing depression', 'phenomenological analysis', 'operating frequency', 'normal component', 'new light', 'matching element', 'linear polarization', 'light weight', 'irradiated electromagnetic', 'inductive antennas', 'focusing effect', 'experimental evaluation', 'energy deposition', 'electrical field', 'curved surfaces', 'cm2 operating', 'clinical practice', 'cfmas operating', 'bulky cfmas', 'bent state', '8 kg', '5 kg', '400 cm2', '40 mhz', '27 mhz']</t>
  </si>
  <si>
    <t>Flexible antennas | Hyperthermia | Microwave applicators | Power deposition | RF applicators | Tissue heating</t>
  </si>
  <si>
    <t>Contact flexible microstrip applicator (CFMA) is a new light-weight microstrip applicator type for superficial and deep local hyperthermia. Typical specimens are developed for operation at frequencies of 434, 70, 40, and 27 MHz. The main common features of CFMA, namely, their flexibility and light weight, as well as their aperture dimensions slightly depend on the operating frequency. Two antenna types are used in CFMAs: inductive antennas with a radiating plane electrical dipole at microwaves, and coplanar capacitive antennas, providing depression of the normal component of the electrical field in the very high-frequency (VHF) and high-frequency (HF) range. The flexibility of the applicators enables one to conform them with curved surfaces. In a bent state of the applicators there arises a focusing effect of energy deposition in deeper located tissues due to linear polarization of the irradiated electromagnetic (EM) field, inherent in CFMA. All CFMA are integrated with silicon water boluses which serve as a matching element, so as a skin cooling agent. Due to this and to the predominance of the tangential electrical component in the radiated EM field, no fat overheating effects are noticed, as a rule. The aperture of the developed applicators overlap the range 160-630 cm2 providing effective heating field sizes (EFSs) 64-400 cm2, respectively. The most bulky CFMAs with an aperture of (21 x 29) cm2 operating at the frequency of 434 MHz weigh 0.8 kg and 2.5 kg at 27 MHz. Phenomenological analysis of the radiating systems, as well as experimental evaluation of the applicators are presented. CFMAs operating at frequencies of 434 and 40 MHz are used in clinical practice. CFMA at 70 and 27 MHz are subjected to laboratory clinical investigations.</t>
  </si>
  <si>
    <t>1015-1023</t>
  </si>
  <si>
    <t>100383644;105169502</t>
  </si>
  <si>
    <t>6603626233;6603132852</t>
  </si>
  <si>
    <t>Gelvich, Edward A.;Mazokhin, Vladimir N.</t>
  </si>
  <si>
    <t>Fryazino;Fryazino</t>
  </si>
  <si>
    <t>SRPC Istok;SRPC Istok</t>
  </si>
  <si>
    <t>105169502;100383644</t>
  </si>
  <si>
    <t>Gelvich E.</t>
  </si>
  <si>
    <t>Contact flexible microstrip applicators (CFMA) in a range from microwaves up to short waves</t>
  </si>
  <si>
    <t>10.1109/TBME.2002.802053</t>
  </si>
  <si>
    <t>2-s2.0-0036721508</t>
  </si>
  <si>
    <t>['stewart platform', 'six legs', 'six cables', 'several views', 'rights reserved', 'moving platform', 'force singularity', 'feed cabin', 'cabin system', 'cabin structure']</t>
  </si>
  <si>
    <t>Cable and cabin system | Force redundancy | Force singularity | Large radio telescope | Stewart platform</t>
  </si>
  <si>
    <t>Force singularity and its elimination of the cable and cabin structure utilized in the next generation large radio telescope (LT) are discussed in this paper. Comparing the cable and cabin structure with Stewart platform, the feed cabin can be viewed as a moving platform and the six cables as six legs. Referring to analysis of Stewart platform, force singularity of the cable and cabin system is explored through the determinant of force transformation matrix. To eliminate the singularity, one more cable is added to the system. The results from several views have demonstrated the methodology. ¬© 2002 Elsevier Science Ltd. All rights reserved.</t>
  </si>
  <si>
    <t>905-918</t>
  </si>
  <si>
    <t>60025578;60025578;60025578;60025578</t>
  </si>
  <si>
    <t>7403279523;55490800300;55138078100;7402575045</t>
  </si>
  <si>
    <t>Qiu, Y. Y.;Duan, B. Y.;Wei, Q.;Du, J. L.</t>
  </si>
  <si>
    <t>Qiu Y.</t>
  </si>
  <si>
    <t>Elimination of force singularity of the cable and cabin structure for the next generation large radio telescope</t>
  </si>
  <si>
    <t>S0957415801000356</t>
  </si>
  <si>
    <t>10.1016/S0957-4158(01)00035-6</t>
  </si>
  <si>
    <t>2-s2.0-0036722133</t>
  </si>
  <si>
    <t>['uncertain information', 'technology centre', 'system performance', 'suggested alternative', 'severe consequences', 'sensors built', 'sensor information', 'satellite antenna', 'rights reserved', 'paper presents', 'models various', 'mathematical background', 'inspection time', 'inspect sensors', 'inadvertent activation', 'illustrative example', 'expected loss', 'example considers', 'example based', 'estec ).', 'design problem', 'delayed response', 'control software', 'b one', 'antenna given', 'antenna deployment', 'allows us']</t>
  </si>
  <si>
    <t>Bayesian | Control software | Control theory | Decision theory | Reliability | Risk analysis | Space flight | Value of information</t>
  </si>
  <si>
    <t>This paper presents a suggested alternative to simplistic majority voting schemes based on the value of uncertain information. It uses satellite antennae deployment as an illustrative example. Control software is used in satellites to activate system functions like, e.g. antenna deployment. The software receives observations from sensors built into satellites and uses this information to trigger required functions. Often, inadvertent activation and delayed response can have severe consequences. Hence the way in which sensor information is processed strongly influences the system performance. We discuss an approach that models various 'design' options in detail so that the software control flow can be optimised via decision theory. We give some mathematical background and an example based on the CLUSTER satellite system that was spun off a design problem at European Space Research and Technology Centre (ESTEC). Our example considers the decision of when to deploy a satellite antenna. The control software must decide when to inspect sensors and when to deploy the antenna. We show how to optimise both the inspection time and the time to deploy the antenna given the results of the inspection. For our example it is important that the consequences of the control software decisions are analysed and measured in monetary loss associated with failure. This allows us to measure the risk in expected loss of money. Given control software designs A and B one can compare them by obtaining the value of information. ¬© 2002 Elsevier Science Ltd. All rights reserved.</t>
  </si>
  <si>
    <t>291-300</t>
  </si>
  <si>
    <t>Reliability Engineering and System Safety</t>
  </si>
  <si>
    <t>60122319;60006288;60024724</t>
  </si>
  <si>
    <t>6506889569;7402645443;7003593303</t>
  </si>
  <si>
    <t>Norstrom, J. G.;Cooke, R. M.;Bedford, T.</t>
  </si>
  <si>
    <t>Norway;United Kingdom;Netherlands</t>
  </si>
  <si>
    <t>Kongsberg;Glasgow;Delft</t>
  </si>
  <si>
    <t>Kongsberg Defence &amp; Aerospace;University of Strathclyde;Delft University of Technology</t>
  </si>
  <si>
    <t>60122319;60024724;60006288</t>
  </si>
  <si>
    <t>Norstrom J.</t>
  </si>
  <si>
    <t>Value of information based design of control software</t>
  </si>
  <si>
    <t>S0951832002000625</t>
  </si>
  <si>
    <t>10.1016/S0951-8320(02)00062-5</t>
  </si>
  <si>
    <t>2-s2.0-0036723350</t>
  </si>
  <si>
    <t>['time processing', 'substantial gain', 'several space', 'receive antennas', 'reasonable complexity', 'paper realizes', 'optimum performance', 'nonlinear space', 'new space', 'multiuser detection', 'joint space', 'iterative space', 'iterative processing', 'iterative implementations', 'iterative implementation', 'increasing numbers', 'feedback space', 'efficient implementation', 'computational burden', 'best performance', 'based methods', 'also introduced', 'access interference']</t>
  </si>
  <si>
    <t>Antenna arrays | CDMA | Iterative processing | Multiuser detection | SAGE | Space-time processing</t>
  </si>
  <si>
    <t>Space-time processing and multiuser detection are two promising techniques for combating multipath distortion and multiple-access interference in code division multiple access (CDMA) systems. To overcome the computational burden that rises very quickly with increasing numbers of users and receive antennas in applying such techniques, iterative implementations of several space-time multiuser detection algorithms are considered here. These algorithms include iterative linear space-time multiuser detection, Cholesky iterative decorrelating decision-feedback space-time multiuser detection, multistage interference canceling space-time multiuser detection, and expectation-maximization (EM)-based iterative space-time multiuser detection. A new space-time multiuser receiver structure that allows for efficient implementation of iterative processing is also introduced. Fully exploiting various types of diversity through joint space-time processing and multiuser detection brings substantial gain over single-receiver-antenna or single-user-based methods. It is shown that iterative implementation of linear and nonlinear space-time multiuser detection schemes discussed in this paper realizes this substantial gain and approaches the optimum performance with reasonable complexity. Among the iterative space-time multiuser receivers considered in this paper, the EM-based (SAGE) iterative space-time multiuser receiver introduced here achieves the best performance with excellent convergence properties.</t>
  </si>
  <si>
    <t>2116-2127</t>
  </si>
  <si>
    <t>60000251-60003269;60000251-60003269</t>
  </si>
  <si>
    <t>7402206925;55665272100</t>
  </si>
  <si>
    <t>Dai, Huaiyu;Poor, H. Vincent</t>
  </si>
  <si>
    <t>Dai H.</t>
  </si>
  <si>
    <t>Iterative space-time processing for multiuser detection in multipath CDMA channels</t>
  </si>
  <si>
    <t>10.1109/TSP.2002.801923</t>
  </si>
  <si>
    <t>2-s2.0-0036725189</t>
  </si>
  <si>
    <t>['type ions', 'tetraantennary precursors', 'tandem ms', 'substitution patterns', 'soluble form', 'single branches', 'single antennae', 'sialic acid', 'relevant b', 'quadrupole time', 'permethylated analogues', 'multiantennary n', 'mass spectrometry', 'induced dissociation', 'general aspects', 'fucose along', 'fragmentation patterns', 'four antennae', 'esi qtof', 'complex n', 'biological samples', '3fucosyltransferase vi']</t>
  </si>
  <si>
    <t>Application of the negative mode electrospray ionization-quadrupole time-of-flight mass spectrometry (ESI QTOF) tandem MS for determination of substitution patterns by sialic acid and/or fucose and extention by additional LacNAc disaccharide units in single branches of multiantennary N-glycans from biological samples is described. Fragmentation patterns which can be obtained by low energy collision-induced dissociation (CID) using the QTOF instrument include cleavage ions, diagnostic for determination of antennarity and for specific structural features of single antennae. Systematic fragmentation studies in the negative ion mode were focussed toward formation of the D diagnostic ion relevant for assignment of 3- and 6-antennae in complex N-glycans carrying three and four antennae in combination with epitope-relevant B- and C-type ions. For validation of this approach ESI QTOF fragmentation of the permethylated analogues was carried out in the positive ion mode. Using this strategy, products of in vitro glycosylation reactions were investigated in order to clarify some general aspects of N-glycan acceptor specificity during biosynthesis. Œ±1-3fucosylation using GDP-fucose along with a soluble form of the recombinant human Œ±1-3fucosyltransferase VI was carried out on tri- and tetraantennary precursors to test structural requirements for formation of Lex versus sLex motifs. ¬© 2002 American Society for Mass Spectrometry.</t>
  </si>
  <si>
    <t>1138-1148</t>
  </si>
  <si>
    <t>Journal of the American Society for Mass Spectrometry</t>
  </si>
  <si>
    <t>60000401;60000401;60012279;60012279</t>
  </si>
  <si>
    <t>7005690964;7005307945;7003687331;7007064379</t>
  </si>
  <si>
    <t>Sagi, Dijana;Peter-Katalinic, Jasna;Conradt, Harald S.;Nimtz, Manfred</t>
  </si>
  <si>
    <t>Braunschweig;Munster</t>
  </si>
  <si>
    <t>Helmholtz Centre for Infection Research (HZI);Westf√§lische Wilhelms-Universit√§t M√ºnster</t>
  </si>
  <si>
    <t>60012279;60000401</t>
  </si>
  <si>
    <t>Sagi D.</t>
  </si>
  <si>
    <t>Sequencing of tri- and tetraantennary N-glycans containing sialic acid by negative mode ESI QTOF tandem MS</t>
  </si>
  <si>
    <t>S1044030502004129</t>
  </si>
  <si>
    <t>10.1016/S1044-0305(02)00412-9</t>
  </si>
  <si>
    <t>2-s2.0-0036726788</t>
  </si>
  <si>
    <t>['wider beam', 'wideband properties', 'valued weights', 'spatial filters', 'smart antenna', 'sharper beams', 'second method', 'received signal', 'quite satisfactory', 'practical implementation', 'perfectly omnidirectional', 'microstrip technology', 'frequency independent', 'frequency domain', 'first algorithm', 'dramatically improve', 'designed beamformers', 'design algorithm', 'controlled performance', 'base station', 'antenna elements', 'angular domain']</t>
  </si>
  <si>
    <t>Formation | Rectangular arrays | Spatial filtering | Wideband beam</t>
  </si>
  <si>
    <t>Smart antenna techniques at the base station can dramatically improve the performance of the mobile radio system by employing spatial filtering. The design of a fully spatial signal processor using rectangular array configuration is proposed in this paper. Two-dimensional (2-D) spatial filters that can be implemented by microstrip technology are capable of filtering the received signal in the angular domain as well as the frequency domain. Furthermore, it has wideband properties and, hence, eliminates the requirement of different antenna spacing for applications including various carrier frequencies. The desired frequency selectivity of the smart antenna can be combined with compensation of the undesired frequency performance of a single antenna element, and the result is quite satisfactory for practical implementation. In addition, if the elements of the array are not perfectly omnidirectional or frequency independent, we can compensate for these deficiencies in the design algorithm. Two different algorithms for calculating the real-valued weights of the antenna elements are proposed. The first algorithm is more complex but leads to sharper beams and controlled performance. The second method is simpler but has wider beam and lower fractional bandwidth. Some computer simulation results demonstrating the directional beam patterns of the designed beamformers are presented at the end of this paper.</t>
  </si>
  <si>
    <t>2143-2151</t>
  </si>
  <si>
    <t>60107446-60011520</t>
  </si>
  <si>
    <t>Ghavami, Mohammad</t>
  </si>
  <si>
    <t>Japan;United Kingdom</t>
  </si>
  <si>
    <t>Tokyo;London</t>
  </si>
  <si>
    <t>Sony Computer Science Laboratories, Inc.;King's College London</t>
  </si>
  <si>
    <t>60107446;60011520</t>
  </si>
  <si>
    <t>Wideband smart antenna theory using rectangular array structures</t>
  </si>
  <si>
    <t>10.1109/TSP.2002.801891</t>
  </si>
  <si>
    <t>2-s2.0-0036728592</t>
  </si>
  <si>
    <t>['sound receiver', 'proneural gene', 'neural components', 'mouse math1', 'mechanoreceptor neurones', 'hearing relies', 'genetic link', 'exoskeletal components', 'drosophila hears', 'distal part', 'delicate arrangement', 'concerted way', 'concerted action', 'closely associated', 'biophysical measurements', 'auditory function', 'auditory cho', 'ato ),', 'antennal joint', 'also develop', 'acoustomechanical interface']</t>
  </si>
  <si>
    <t>Audition | Chordotonal organ | Ear | Hearing impairment | Insect | Mechanoreception | Organ formation | Peripheral nervous system | Sound reception</t>
  </si>
  <si>
    <t>Hearing relies on the delicate arrangement of mechanoreceptor neurones and an acoustomechanical interface. The concerted action of these neural and non-neural components is essential to audition, raising the question of whether they also develop in a concerted way. Drosophila hears with its antennae. A specialized antennal joint allows the distal part of the antenna to vibrate in response to sound and, thus, to serve as the sound receiver. This receiver's vibration is transduced by a chordotonal sense organ (CHO) that is closely associated with the joint. Here, we report that atonal (ato), the proneural gene for CHOs, is required for the formation of this antennal joint. Biophysical measurements in hemi- and homozygous ato1 mutant flies show that, in addition to eliminating the auditory CHO, loss of ato function makes the antennal receiver insensitive to sound, impairing its auditory function. Anatomically, the cause for this mechanical effect resides in the deprivation of mobile exoskeletal joint structures. Hence, ato, the homologue of mouse Math1, is required for the formation of both the auditory CHO and joint, providing a genetic link between the very neural and exoskeletal components that together transform fly antennae into ears. ¬© 2002 Wiley-Liss, Inc.</t>
  </si>
  <si>
    <t>Developmental Dynamics</t>
  </si>
  <si>
    <t>60012614-60020650;60012614;60012614</t>
  </si>
  <si>
    <t>6701765825;22434255300;22963700100</t>
  </si>
  <si>
    <t>G√∂pfert, M. C.;Stocker, H.;Robert, D.</t>
  </si>
  <si>
    <t>atonal is required for exoskeletal joint formation in the Drosophila auditory system</t>
  </si>
  <si>
    <t>10.1002/dvdy.10136</t>
  </si>
  <si>
    <t>2-s2.0-0036729474</t>
  </si>
  <si>
    <t>['variance filtering', 'thorough discussion', 'paper presents', 'optimal solution', 'much closer', 'made possible', 'linear array', 'ht ).', 'gsc models', 'gsc model', 'gsc ),', 'graphical description', 'efficient implementation', 'detailed comparison', 'beampatterns obtained', 'beampatterns achieved', 'beamforming application', 'based approach', 'also given', '12 sensors']</t>
  </si>
  <si>
    <t>Adaptation algorithms | Beamforming | Efficient algorithms | Generalized sidelobe canceller | Linearly constrained adaptive filters</t>
  </si>
  <si>
    <t>This paper presents a tutorial-like detailed explanation of linearly constrained minimum-variance filtering in order to introduce an efficient implementation that utilizes Householder transformation (HT). Through a graphical description of the algorithms, further insight on linearly constrained adaptive filters was made possible, and the main differences among several algorithms were highlighted. The method proposed herein, based on HT, allows direct application of any unconstrained adaptation algorithm as in a generalized sidelobe canceller (GSC), but unlike the GSC, the HT-based approach always renders efficient implementations. A complete and detailed comparison with the GSC model and a thorough discussion of the advantages of the HT-based approach are also given. Simulations were run in a beamforming application where a linear array of 12 sensors was used. It was verified that not only the HT approach yields efficient implementation of constrained adaptive filters, but in addition, the beampatterns achieved with this method were much closer to the optimal solution than the beampatterns obtained with GSC models with similar computational complexity.</t>
  </si>
  <si>
    <t>2187-2195</t>
  </si>
  <si>
    <t>60000251-60000036;60000251-60103653;60000251-60021970</t>
  </si>
  <si>
    <t>7007165201;7202886122;10039323700</t>
  </si>
  <si>
    <t>De Campos, Marcello L.R.;Werner, Stefan;Apolin√°rio, Jos√© Antonio</t>
  </si>
  <si>
    <t>Finland;Brazil;United States;Brazil</t>
  </si>
  <si>
    <t>Espoo;Rio de Janeiro;New York;Rio de Janeiro</t>
  </si>
  <si>
    <t>Aalto University;Instituto Militar de Engenharia;IEEE;Universidade Federal do Rio de Janeiro</t>
  </si>
  <si>
    <t>60103653;60021970;60000251;60000036</t>
  </si>
  <si>
    <t>De Campos M.</t>
  </si>
  <si>
    <t>Constrained adaptation algorithms employing householder transformation</t>
  </si>
  <si>
    <t>10.1109/TSP.2002.801893</t>
  </si>
  <si>
    <t>2-s2.0-0036729849</t>
  </si>
  <si>
    <t>['work within', 'suspended substrate', 'suspended stripline', 'single unit', 'paper presents', 'mhz standard', 'measured losses', 'main goals', 'layer structure', 'double four', 'contactless transitions', 'complete network', '960 mhz', '920 mhz', '3 db']</t>
  </si>
  <si>
    <t>This paper presents the design and realization of a double four-port Butler matrix to feed a four-column array antenna with two orthogonally polarized signals (to obtain polarization diversity). The main goals of this study are the reduction of the size and the losses of the network. In order to meet those requirements, a bi-layer structure, the suspended stripline, has been adopted to support the circuit. Moreover, the complete network has been integrated in a single unit. The double four-port Butler matrix has been etched on both sides of the suspended substrate to solve the problem of the cross between the lines. The broadside suspended 3-dB directional coupler has been chosen for the design of the 3-dB hybrid coupler. In order to change the side of the suspended substrate, contactless transitions have been used. The network is designed to work within the range of frequencies of the GSM-900-MHz standard: band 880 MHz-960 MHz, center frequency fo = 920 MHz. Measured losses for a 4 √ó 4 Butler matrix are 0.3 dB.</t>
  </si>
  <si>
    <t>2069-2075</t>
  </si>
  <si>
    <t>60024411-60032170;60024411;60000251-60000990;60000251-60024411</t>
  </si>
  <si>
    <t>55726433700;7801519715;6602843241;35090339600</t>
  </si>
  <si>
    <t>Bona, M.;Manholm, L.;Starski, J. P.;Svensson, B.</t>
  </si>
  <si>
    <t>United States;Sweden;Sweden;United States</t>
  </si>
  <si>
    <t>New York;Molndal;Gothenburg;New York</t>
  </si>
  <si>
    <t>Accenture;Ericsson Microwave Systems AB;Chalmers University of Technology;IEEE</t>
  </si>
  <si>
    <t>60032170;60024411;60000990;60000251</t>
  </si>
  <si>
    <t>Bona M.</t>
  </si>
  <si>
    <t>Low-loss compact butler matrix for a microstrip antenna</t>
  </si>
  <si>
    <t>10.1109/TMTT.2002.802318</t>
  </si>
  <si>
    <t>2-s2.0-0036733203</t>
  </si>
  <si>
    <t>['two others', 'three examples', 'technique provides', 'technique include', 'software radio', 'sinusoidal source', 'scalar detector', 'radio frequencies', 'power detector', 'phase response', 'performed using', 'measured response', 'low frequency', 'important applications', 'frequency response', 'forward path', 'extra tone', 'excitation signal', 'commonly use', 'antialiasing filter', 'antenna path']</t>
  </si>
  <si>
    <t>Equalization | Filter measurement | Phase response | Scalar detector</t>
  </si>
  <si>
    <t>This paper presents experimental results on the measurement of the magnitude and phase response of RF and baseband signal paths made with a power detector. The frequency response is obtained by measuring the magnitude and phase of the output of the power detector when the forward path is excited by a pair of tones. This technique provides a means for making vector measurements using a scalar detector. Instruments, like network analyzers, commonly use a mixer and sinusoidal source to downconvert the signal for digitization and measurement. The downconversion in this paper is performed using a power detector and an extra tone in the excitation signal itself, drastically reducing hardware complexity. Important applications of this technique include the characterization of the digital-to-antenna path of a software radio and the equalization of the antialiasing filter in a wide-band arbitrary waveform generator. Three examples of measurement, one at low frequency and two others at radio frequencies, show that the errors in the measured response are comparable to those obtained using conventional network analyzers.</t>
  </si>
  <si>
    <t>2083-2089</t>
  </si>
  <si>
    <t>60020034;60000251-60021508</t>
  </si>
  <si>
    <t>6602219864;35586149400</t>
  </si>
  <si>
    <t>Vasudev, N.;Collins, Oliver M.</t>
  </si>
  <si>
    <t>Notre Dame;Kalamazoo;New York</t>
  </si>
  <si>
    <t>University of Notre Dame;Stryker Corporation;IEEE</t>
  </si>
  <si>
    <t>60021508;60020034;60000251</t>
  </si>
  <si>
    <t>Vasudev N.</t>
  </si>
  <si>
    <t>Measurement of a filter using a power detector</t>
  </si>
  <si>
    <t>10.1109/TMTT.2002.802320</t>
  </si>
  <si>
    <t>2-s2.0-0036733210</t>
  </si>
  <si>
    <t>['subscriber ends', 'san jose', 'multiple antennas', 'multimedia services', 'input multiple', 'increasing demand', 'increased capacity', 'clearly evident', 'base station']</t>
  </si>
  <si>
    <t>Increasing demand for high-performance 4G broadband wireless is enabled by the use of multiple antennas at both base station and subscriber ends. Multiple antenna technologies enable high capacities suited for Internet and multimedia services, and also dramatically increase range and reliability. In this article we describe a multiple-input multiple-output OFDM wireless communication system, lab test results, and recent field test results obtained in San Jose, California. These are the first MIMO system field tests to establish the performance of MIMO communication systems. Increased capacity, coverage, and reliability are clearly evident from the test results presented in this article.</t>
  </si>
  <si>
    <t>102058979;102058979;102058979;102058979;102058979-60012708</t>
  </si>
  <si>
    <t>6701524189;57216999310;36799309800;7003706051;7004920065</t>
  </si>
  <si>
    <t>Sampath, Hemanth;Talwar, Shilpa;Tellado, Jose;Erceg, Vinko;Paulraj, Arogyaswami</t>
  </si>
  <si>
    <t>Palo Alto;Palo Alto</t>
  </si>
  <si>
    <t>Stanford University;Iospan Wireless Inc</t>
  </si>
  <si>
    <t>60012708;102058979</t>
  </si>
  <si>
    <t>A fourth-generation MIMO-OFDM broadband wireless system: Design, performance, and field trial results</t>
  </si>
  <si>
    <t>10.1109/MCOM.2002.1031841</t>
  </si>
  <si>
    <t>2-s2.0-0036734380</t>
  </si>
  <si>
    <t>['wide scan', 'wave frequencies', 'system efficiency', 'special focus', 'scan angle', 'reflection loss', 'quartz lenses', 'positioned around', 'new approach', 'measurements done', 'maximum efficiency', 'maximum directivity', 'lens system', 'gain loss', 'field patterns', 'element feed', 'diffraction method', 'db crossover', 'db beamwidth', 'combined ray', 'beam scanning', 'antenna elements', 'angle antennas', 'angle antenna', 'also demonstrated', '77 ghz', '5 ¬∞', '42 db']</t>
  </si>
  <si>
    <t>Automotive radars | Imaging systems | Millimeter waves | Planar antennas | Spherical lens | Tapered slot antenna | Wide scan angle</t>
  </si>
  <si>
    <t>A new approach to wide scan-angle antennas at millimeter-wave frequencies is introduced with special focus on ease of manufacturing and reliability. The system is composed of planar feed antennas (tapered-slot antennas), which are positioned around a homogeneous spherical Teflon lens. Beam scanning can be achieved by switching between the antenna elements. The spherical-lens system is analyzed through a combined ray-optics/diffraction method. It is found that a maximum efficiency of 50%-55% can be achieved using Teflon, Rexolite, or quartz lenses. The efficiency includes taper, spillover, and reflection loss. Calculations also indicate that the maximum lens diameter is 30-40 Œª 0, which results in a maximum directivity of 39.5-42 dB. Measurements done on a single-element feed and a 5-cm Teflon lens agree very well with theory and result in a 3-dB beamwidth of 5.5¬∞ and better than -20-dB sidelobe levels at 77 GHz. Absolute gain measurements show a system efficiency of 46%-48% (including dielectric loss). A 23- and 33-element antenna array with a scan angle of ¬±90¬∞ and a -3.5- and -6-dB crossover, respectively, in the far-field patterns was also demonstrated. The 23-element array resulted in virtually no gain loss over the entire 90¬∞ scan angle. This represents, to our knowledge, the first wide scan-angle antenna at millimeter-wave frequencies.</t>
  </si>
  <si>
    <t>2166-2175</t>
  </si>
  <si>
    <t>60000251-60025778;60000251-60016849;100727226;60000251-60016849;60000251-60025778</t>
  </si>
  <si>
    <t>6506695702;35239024300;6603655965;7004469751;7006384021</t>
  </si>
  <si>
    <t>Schoenlinner, Bernhard;Wu, Xidong;Ebling, Jim P.;Eleftheriades, George V.;Rebeiz, Gabriel M.</t>
  </si>
  <si>
    <t>Ann Arbor;Toronto;New York;Ann Arbor</t>
  </si>
  <si>
    <t>University of Michigan, Ann Arbor;University of Toronto;IEEE;Canopus Systems Inc</t>
  </si>
  <si>
    <t>60025778;60016849;60000251;100727226</t>
  </si>
  <si>
    <t>Schoenlinner B.</t>
  </si>
  <si>
    <t>Wide-scan spherical-lens antennas for automotive radars</t>
  </si>
  <si>
    <t>10.1109/TMTT.2002.802331</t>
  </si>
  <si>
    <t>2-s2.0-0036734907</t>
  </si>
  <si>
    <t>SAB95-0424</t>
  </si>
  <si>
    <t>['œª 0', 'various strategies', 'take advantage', 'relative merits', 'potential integral', 'paper examines', 'numerical implementation', 'method developed', 'low values', 'lossy media', 'large dimension', 'high frequency', 'field points', 'equation formulation', 'easily exceeded', 'consistent approach', 'clear limitation', 'accurately calculating', '2œä œå']</t>
  </si>
  <si>
    <t>Antenna | Complex images | Green's function | Numerical analysis | Scatterer</t>
  </si>
  <si>
    <t>The numerical implementation of the complex image approach for the Green's function of a mixed-potential integral-equation formulation is examined and is found to be limited to low values of k 0 œÅ (in this context k 0 œÅ = 2œÄ œÅ/Œª 0, where œÅ is the distance between the source and the field points of the Green's function and Œª 0 is the free space wavelength). This is a clear limitation for problems of large dimension or high frequency where this limit is easily exceeded. This paper examines the various strategies and proposes a hybrid method whereby most of the above problems can be avoided. An efficient integral method that is valid for large k 0 œÅ is combined with the complex image method in order to take advantage of the relative merits of both schemes. It is found that a wide overlapping region exists between the two techniques allowing a very efficient and consistent approach for accurately calculating the Green's functions. In this paper, the method developed for the computation of the Green's function is used for planar structures containing both lossless and lossy media.</t>
  </si>
  <si>
    <t>2185-2192</t>
  </si>
  <si>
    <t>60000251-60031004;60000251-60033284;60000251-60033284;60033284</t>
  </si>
  <si>
    <t>6603921864;35561784500;55148739200;7006164897</t>
  </si>
  <si>
    <t>Shuley, N. V.;Boix, R. R.;Medina, F.;Horno, M.</t>
  </si>
  <si>
    <t>Spain;Australia;United States</t>
  </si>
  <si>
    <t>Sevilla;Brisbane;New York</t>
  </si>
  <si>
    <t>Universidad de Sevilla;The University of Queensland;IEEE</t>
  </si>
  <si>
    <t>60033284;60031004;60000251</t>
  </si>
  <si>
    <t>Shuley N.</t>
  </si>
  <si>
    <t>On the fast approximation of Green's functions in MPIE formulations for planar layered media</t>
  </si>
  <si>
    <t>10.1109/TMTT.2002.802333</t>
  </si>
  <si>
    <t>2-s2.0-0036735031</t>
  </si>
  <si>
    <t>['wide range', 'varying changes', 'trained using', 'thermal gradients', 'testing phases', 'systems described', 'system performance', 'significantly better', 'rbf network', 'pointing accuracy', 'noise ratios', 'fine tracking', 'factors leading', 'dramatic improvements', 'cassini spacecraft', 'band telemetry', 'band frequencies', 'antenna structure', 'antenna elevations', 'antenna aging', 'also implemented', '5 millidegrees']</t>
  </si>
  <si>
    <t>Adaptive | Antennas | Array feed | Deep space network | NASA | Neural networks | Orthogonal least-squares | Radial basis function (RBF) networks</t>
  </si>
  <si>
    <t>The use of radial basis function (RBF) networks and least squares algorithms for acquisition and fine tracking of NASA's 70-m-deep space network antennas is described and evaluated. We demonstrate that such a network, trained using the computationally efficient orthogonal least squares algorithm and working in conjunction with an array feed compensation system, can point a 70-m-deep space antenna with root mean square (rms) errors of 0.1-0.5 millidegrees (mdeg) under a wide range of signal-to-noise ratios and antenna elevations. This pointing accuracy is significantly better than the 0.8 mdeg benchmark for communications at Ka-band frequencies (32 GHz). Continuous adaptation strategies for the RBF network were also implemented to compensate for antenna aging, thermal gradients, and other factors leading to time-varying changes in the antenna structure, resulting in dramatic improvements in system performance. The systems described here are currently in testing phases at NASA's Goldstone Deep Space Network (DSN) and were evaluated using Ka-band telemetry from the Cassini spacecraft.</t>
  </si>
  <si>
    <t>1149-1162</t>
  </si>
  <si>
    <t>IEEE Transactions on Neural Networks</t>
  </si>
  <si>
    <t>60009037;60000251-60009037;60000251-60009037;60000251-60009037</t>
  </si>
  <si>
    <t>7006044907;6603728073;6602082115;6701419948</t>
  </si>
  <si>
    <t>Mukai, Ryan;Vilnrotter, Victor A.;Arabshahi, Payman;Jamnejad, Vahraz</t>
  </si>
  <si>
    <t>Mukai R.</t>
  </si>
  <si>
    <t>Adaptive acquisition and tracking for deep space array feed antennas</t>
  </si>
  <si>
    <t>S1045922702018015</t>
  </si>
  <si>
    <t>10.1109/TNN.2002.1031946</t>
  </si>
  <si>
    <t>2-s2.0-0036737208</t>
  </si>
  <si>
    <t>['term decreases', 'smaller light', 'shade leaves', 'seems instead', 'physiological responses', 'natural loss', 'mediterranean area', 'mechanical removal', 'leaf surface', 'ilex subsp', 'higher concentrations', 'desf .)', 'coccifera facing', 'ballota seems', 'ballota leaves']</t>
  </si>
  <si>
    <t>Adaxial epidermis | Photoprotection | Quercus | Trichomes</t>
  </si>
  <si>
    <t>Sun and shade leaves of two Mediterranean Quercus species, Quercus ilex subsp. ballota (Desf.) Samp. and Quercus coccifera L., were compared by measuring leaf optical properties, photosynthetic pigment composition and photosystem II efficiency. The presence of trichomes in the adaxial (upper) leaf surface of Q. ilex subsp. ballota seems to constitute an important morphological mechanism that allows this species to maintain a good photosystem II efficiency during the summer. Q. coccifera has almost no trichomes and seems instead to develop other physiological responses, including a smaller light-harvesting antenna size, higher concentrations of violaxanthin cycle pigments and a higher (zeaxanthin + antheraxanthin)/(violaxanthin + antheraxanthin + zeaxanthin) ratio. Q. coccifera was not able to maintain a good photosystem II efficiency up to the end of the summer. In Q. ilex subsp. ballota leaves, natural loss or mechanical removal of adaxial-face leaf trichomes induced short-term decreases in photosystem II efficiency. These changes were accompanied by de-epoxidation of violaxanthin cycle pigments, suggesting that the absence of trichomes would trigger physiological responses in this species. Our data have revealed different patterns of response of Q. ilex subsp. ballota and Q. coccifera facing the stress conditions prevailing in the Mediterranean area.</t>
  </si>
  <si>
    <t>504-510</t>
  </si>
  <si>
    <t>Trees - Structure and Function</t>
  </si>
  <si>
    <t>60010939;60010939;60010939;60011931;60096983</t>
  </si>
  <si>
    <t>7101807053;57216717561;7006255100;57191633860;6602328866</t>
  </si>
  <si>
    <t>Morales, F.;Abad√≠a, A.;Abad√≠a, J.;Montserrat, G.;Gil-Pelegr√≠n, E.</t>
  </si>
  <si>
    <t>Zaragoza;Zaragoza;Zaragoza</t>
  </si>
  <si>
    <t>Centro de Investigaci?n y Tecnolog?a Agroalimentaria de Arag?n;Instituto Pirenaico de Ecolog√≠a;CSIC - Estacion Experimental de Aula Dei EEAD</t>
  </si>
  <si>
    <t>60096983;60011931;60010939</t>
  </si>
  <si>
    <t>Morales F.</t>
  </si>
  <si>
    <t>Trichomes and photosynthetic pigment composition changes: Responses of Quercus ilex subsp. ballota (Desf.) Samp. and Quercus coccifera L. to Mediterranean stress conditions</t>
  </si>
  <si>
    <t>10.1007/s00468-002-0195-1</t>
  </si>
  <si>
    <t>2-s2.0-0036738064</t>
  </si>
  <si>
    <t>Gdrruenkolleatige331</t>
  </si>
  <si>
    <t>['thickness dbolus', 'single antenna', 'simulated rf', 'several mr', 'penetration depth', 'network analysis', 'lossy medium', 'height h', 'h ))', 'five slices', 'efficiency varied', 'different height', '96 mhz', '5 cm', '3 cm', '16 cm']</t>
  </si>
  <si>
    <t>Calorimetry | Current sheet antennae | Hyperthermia | Magnetic resonance thermography</t>
  </si>
  <si>
    <t>Several MR-compatible current sheet antennae (CSA) of different height (h) (16 cm (l) √ó 8 cm (w) √ó 1-5 cm (h)) were built for simulated RF (96 MHz) hyperthermia of a medium-sized (12l) tissue-equivalent phantom inside a 3 tesla whole body tomograph. Prior to use, efficiencies of the CSA were determined by network analysis and by calorimetry. Depending on the height h of the CSA and on the thickness dbolus of the water bolus used for RF-coupling of the CSA to the lossy medium, their efficiency varied between 20-70% and the CSA with h = 3 cm was selected for simulated RF hyperthermia. During heating, spatial temperature distributions (20-42¬∞C) of five slices (voxel size 2 √ó 2 √ó 10 mm3) were recorded intermittently within 4 s/slice by measuring the temperature dependent shift of the 1H resonance frequency (125.32 MHz). A phased array consisting of two identical CSA produced distinctly different spatial temperature distributions at 0 and 180¬∞ phase difference between both RF channels feeding the antennae. Within a one-dimensional heat diffusion model, the specific absorption rate (SAR) of the electromagnetic wave generated by a single antenna was deduced from the experimental data resulting in a penetration depth (1/e2) of ‚àº4 cm.</t>
  </si>
  <si>
    <t>454-471</t>
  </si>
  <si>
    <t>60010962;60010962;60010962;60010962;60010962;60000762;;60000762;60010962</t>
  </si>
  <si>
    <t>57205871594;6506952390;8666760100;8666816700;36146211500;7003499959;6602002794;7004987139;7003491459</t>
  </si>
  <si>
    <t>Hoffmann, W.;Rhein, K. H.;Wojcik, F.;Noeske, R.;Seifert, F.;Wlodarczyk, W.;F√§hling, H.;Wust, P.;Rinneberg, H.</t>
  </si>
  <si>
    <t>Braunschweig;Berlin</t>
  </si>
  <si>
    <t>Physikalisch-Technische Bundesanstalt;Humboldt-Universit√§t zu Berlin</t>
  </si>
  <si>
    <t>60010962;60000762</t>
  </si>
  <si>
    <t>Hoffmann W.</t>
  </si>
  <si>
    <t>Performance and use of current sheet antennae for RF-hyperthermia of a phantom monitored by 3 tesla MR-thermography</t>
  </si>
  <si>
    <t>10.1080/02656730210129754</t>
  </si>
  <si>
    <t>2-s2.0-0036740410</t>
  </si>
  <si>
    <t>['substances obtained', 'substances extracted', 'substances could', 'solid injection', 'screen substances', 'resistant bees', 'phase microextraction', 'one ester', 'one alcohol', 'olfactory receptors', 'major pest', 'mainly dimethylalkanes', 'living varroa', 'induce uncapping', 'immature varroa', 'healthy pupae', 'greatest dissimilarity', 'gas chromatography', 'foundress varroa', 'finding suggests', 'faecal material', 'dead varroa', 'compounds would', 'compounds may', 'characteristic components', 'cells infested', 'cell contents', 'brood cells', 'bee antennae', 'alternative means', 'aliphatic acids']</t>
  </si>
  <si>
    <t>Apis mellifera | Chemical communication | Electroantennography | Solid-injection technique | Solid-phase microextraction | Varroa destructor</t>
  </si>
  <si>
    <t>The parasitic mite Varroa destructor Anderson &amp; Trueman is a major pest of the honeybee Apis mellifera L. throughout the world. Chemical agents currently used for mite control leave contaminating residues and promote pesticide resistance. As an alternative means of control, it would be useful to identify natural substances enabling bees to detect Varroa inside brood cells. These substances could then be used to trigger mite hygienic behaviour by bees. In this study several techniques were used to screen substances that might allow detection of infested brood cells by bees. Gas chromatography-mass spectrometry analysis was performed on substances extracted in dichloromethane from the contents of brood cells. Solid phase microextraction and solid injection were performed on substances obtained from living and dead Varroa, respectively. Electroantennography was performed to assess the sensitivity of olfactory receptors in bee antennae to some of these substances. Principal component analysis based on proportions of cuticular substances allowed discrimination between bees and other cell contents. Foundress Varroa exhibited the greatest dissimilarity to healthy pupae that were used as controls. Immature Varroa and faecal material were intermediate. High molecular weight compounds, mainly dimethylalkanes, were proportionally the most characteristic components of foundress Varroa. This finding suggests that these compounds would be the most apt to induce uncapping of cells infested by Varroa. Solid-phase microextraction and solid injection demonstrated the presence of aliphatic acids, esters, and one alcohol, eicosenol, in Varroa. Electroantennographic recordings showed that mite-resistant bees were more responsive to some acids and one ester. We speculate that these compounds may be involved in recognition of living Varroa by honeybees.</t>
  </si>
  <si>
    <t>175-188</t>
  </si>
  <si>
    <t>Physiological Entomology</t>
  </si>
  <si>
    <t>60112203-60031214;60008134;60008134;60102127;60008134;60112203</t>
  </si>
  <si>
    <t>18935921500;7003474571;7003282649;7202810546;35517874300;6603929265</t>
  </si>
  <si>
    <t>Martin, Caroline;Provost, Eric;Bagn√®res, Anne Genevi√®ve;Roux, Maurice;Cl√©ment, Jean Luc;Le Conte, Yves</t>
  </si>
  <si>
    <t>Avignon;Marseille;Avignon;Paris</t>
  </si>
  <si>
    <t>INRAE ‚Äã‚ÄãProvence-Alpes-C√¥te d¬¥Azur Research Centre;Aix Marseille Universit√©;Universit√© d'Avignon et des Pays du Vaucluse;CNRS Centre National de la Recherche Scientifique</t>
  </si>
  <si>
    <t>60112203;60102127;60031214;60008134</t>
  </si>
  <si>
    <t>Potential mechanism for detection by Apis mellifera of the parasitic mite Varroa destructor inside sealed brood cells</t>
  </si>
  <si>
    <t>10.1046/j.1365-3032.2002.00284.x</t>
  </si>
  <si>
    <t>2-s2.0-0036741971</t>
  </si>
  <si>
    <t>['two genes', 'results indicate', 'repression tended', 'reaction center', 'prominent even', 'partially recovered', 'mutants deficient', 'mrnas accumulation', 'mrna level', 'major lhc', 'lowering temperature', 'light conditions', 'lhc genes', 'high light', 'harvesting chlorophyll', 'gene regulation', 'energy input', 'coordinately repressed', 'co2 concentration', 'co2 assimilation', 'chlamydomonas reinhardtii']</t>
  </si>
  <si>
    <t>Excessive light conditions repressed the levels of mRNAs accumulation of multiple Lhc genes encoding light-harvesting chlorophyll-a/b (LHC) proteins of photosystem (PS)II in the unicellular green alga, Chlamydomonas reinhardtii. The light intensity required for the repression tended to decrease with lowering temperature or CO2 concentration. The responses of six LhcII genes encoding the major LHC (LHCII) proteins and two genes (Lhcb4 and Lhcb5) encoding the minor LHC proteins of PSII (CP29 and CP26) were similar. The results indicate that the expression of these Lhc genes is coordinately repressed when the energy input through the antenna systems exceeds the requirement for CO2 assimilation. The Lhc mRNA level repressed under high-light conditions was partially recovered by adding the electron transport inhibitor 3-(3,4-dichlorophenyl)-1,1-dimethylurea, suggesting that redox signaling via photosynthetic electron carriers is involved in the gene regulation. However, the mRNA level was still considerably lower under high-light than under low-light conditions even in the presence of 3-(3,4-dichlorophenyl)-1,1-dimethylurea. Repression of the Lhc genes by high light was prominent even in the mutants deficient in the reaction center(s) of PSII or both PSI and PSII. The results indicate that two alternative processes are involved in the repression of Lhc genes under high-light conditions, one of which is independent of the photosynthetic reaction centers and electron transport events.</t>
  </si>
  <si>
    <t>325-333</t>
  </si>
  <si>
    <t>60021116;60021116;60021116;60021116</t>
  </si>
  <si>
    <t>7005933448;6603392129;7004033199;7403947256</t>
  </si>
  <si>
    <t>Teramoto, Haruhiko;Nakamori, Akira;Minagawa, Jun;Ono, Taka Aki</t>
  </si>
  <si>
    <t>Wako</t>
  </si>
  <si>
    <t>RIKEN (The Institute of Physical and Chemical Research)</t>
  </si>
  <si>
    <t>Teramoto H.</t>
  </si>
  <si>
    <t>Light-intensity-dependent expression of Lhc gene family encoding light-harvesting chlorophyll-a/b proteins of photosystem II in Chlamydomonas reinhardtii</t>
  </si>
  <si>
    <t>10.1104/pp.004622</t>
  </si>
  <si>
    <t>2-s2.0-0036742743</t>
  </si>
  <si>
    <t>['us produces', 'us induces', 'us component', 'us ).', 'three uss', 'sucrose reward', 'respective role', 'preexposure effect', 'possible us', 'olfactory learning', 'odor stimulus', 'new learning', 'functional model', 'contralateral side', 'conditioning process', 'conditioning experiments', 'compound stimulation', 'brain side', 'bilaterally symmetrical', 'bilateral input', 'bilateral effects', 'bees lick', 'bee brain']</t>
  </si>
  <si>
    <t>In honeybees, Apis mellifera L, the proboscis extension reflex (PER) can be conditioned by associating an odor stimulus (CS) with a sucrose reward (US). As the neural structures involved in the detection and integration of CS and US are bilaterally symmetrical in the bee brain, we ask what respective role each brain side plays in the conditioning process. More specifically, the US normally used in conditioning experiments is the compound stimulation of the antennae (which triggers the PER) and of the proboscis (where bees lick the sucrose solution). Anatomically, the brain receives unilateral US input through each antenna, but bilateral input from the proboscis. By controlling each US component, we show that an antenna-US produces unilateral sensitization, whereas a proboscis-US or a compound-US induces bilateral sensitization. Bees can learn a unilateral odor CS with all three USs, but when a proboscis-US is used, new learning is inhibited on the contralateral side, owing to a possible US-preexposure effect. Furthermore, we show that the antenna-US induces both unilateral and bilateral reinforcement processes, whereas the proboscis-US produces only bilateral effects. Based on these data, we propose a functional model of the role of each brain side in processing lateralized CSs and USs in olfactory learning in honeybees.</t>
  </si>
  <si>
    <t>337-348</t>
  </si>
  <si>
    <t>Learning and Memory</t>
  </si>
  <si>
    <t>60030718-60027245;60030718;60030718</t>
  </si>
  <si>
    <t>7004322034;36864129400;7102000725</t>
  </si>
  <si>
    <t>Sandoz, Jean Christophe;Hammer, Martin;Menzel, Randolf</t>
  </si>
  <si>
    <t>Germany;France</t>
  </si>
  <si>
    <t>Berlin;Toulouse</t>
  </si>
  <si>
    <t>Freie Universit√§t Berlin;Universite Paul Sabatier Toulouse III</t>
  </si>
  <si>
    <t>60030718;60027245</t>
  </si>
  <si>
    <t>Sandoz J.</t>
  </si>
  <si>
    <t>Side-specificity of olfactory learning in the honeybee: US input side</t>
  </si>
  <si>
    <t>10.1101/lm.50502</t>
  </si>
  <si>
    <t>2-s2.0-0036743670</t>
  </si>
  <si>
    <t>N00014-01-1-0224</t>
  </si>
  <si>
    <t>['multiband operations', 'microstrip antennas', 'laboratory measurements', 'genetic algorithm', 'designated frequencies', 'band operation', 'also generated', '4 substrate']</t>
  </si>
  <si>
    <t>Genetic algorithms | Microstrip antennas | Multifrequency antennas</t>
  </si>
  <si>
    <t>A genetic algorithm (GA) is used to design patch shapes of microstrip antennas for multiband operations. For dual-band operation, the optimized patches show that arbitrary frequency spacing ranging from 1:1.1 to 1:2 can be achieved. Tri-band and quad-band microstrip shapes are also generated and the resulting designs show good operations at the designated frequencies. All results were verified by laboratory measurements on FR-4 substrate.</t>
  </si>
  <si>
    <t>345-347</t>
  </si>
  <si>
    <t>60000251-60013372;60000251-60013372</t>
  </si>
  <si>
    <t>14009489300;7202062608</t>
  </si>
  <si>
    <t>Choo, H.;Ling, H.</t>
  </si>
  <si>
    <t>Choo H.</t>
  </si>
  <si>
    <t>Design of multiband microstrip antennas using a genetic algorithm</t>
  </si>
  <si>
    <t>10.1109/LMWC.2002.803144</t>
  </si>
  <si>
    <t>2-s2.0-0036743923</t>
  </si>
  <si>
    <t>['work closely', 'telemetry services', 'supply low', 'sufficient numbers', 'service provider', 'regulatory restrictions', 'regular basis', 'rate command', 'permit command', 'nanosatellite user', 'nanosatellite constellation', 'earth orbit', 'desired communications', 'currently permit', 'assumed configuration', 'antenna effects', 'access times', 'access time']</t>
  </si>
  <si>
    <t>Nanosatellite communications | Satellite service simulation | Telecommunications networks</t>
  </si>
  <si>
    <t>This is an investigation to determine if a low-Earth telecommunications constellation can be used to support data services for small satellites also in Low-Earth Orbit. The intent is to use the telecommunications service provider satellites to supply low-rate command and telemetry services as well as inter-satellite data communications. In this study, we determine access potential via simulations of the orbital contact time using current telecommunications constellation configurations and the assumed configuration for a nanosatellite user. From the access times, we conclude that there are sufficient numbers of contacts to permit command and telemetry services for the nanosatellite constellation. In addition to the access time, we consider Doppler effects, antenna effects, and regulatory restrictions on such communications. However, the regulations do not currently permit such operations on a regular basis. From this analysis, we conclude that the desired communications are possible but the nanosatellite user will need to work closely with the service provider.</t>
  </si>
  <si>
    <t>347-361</t>
  </si>
  <si>
    <t>5 SPEC.</t>
  </si>
  <si>
    <t>Horan, Stephen</t>
  </si>
  <si>
    <t>Las Cruces</t>
  </si>
  <si>
    <t>New Mexico State University</t>
  </si>
  <si>
    <t>Horan S.</t>
  </si>
  <si>
    <t>The potential for using LEO telecommunications constellations to support nanosatellite formation flying</t>
  </si>
  <si>
    <t>10.1002/sat.732</t>
  </si>
  <si>
    <t>2-s2.0-0036744478</t>
  </si>
  <si>
    <t>['two codes', 'toroidal full', 'thermal region', 'theoretical efficiency', 'suprathermal electrons', 'sufficient absorption', 'reasonable agreement', 'quasilinear plateau', 'kinetic equation', 'karney based', 'guarantee consistency', 'evidence characteristics', 'efficiency proposed', 'efficiency achievable', 'detailed analysis', 'current drive', 'cd scheme', 'asdex upgrade', 'antenna close', 'adjoint method']</t>
  </si>
  <si>
    <t>To perform realistic simulations of radio-frequency current drive in tokamaks in the ion cyclotron range of frequencies, the wave fields evaluated by the toroidal full-wave code TORIC have been used to build the quasilinear electron diffusion coefficient, which, in turn, is used by a recently developed solver of the bounce-averaged quasilinear Fokker-Planck kinetic equation, QLEFOPS. Applications to possible fast wave current drive experiments in ASDEX Upgrade are presented. The effects of varying the target electron temperature, the background Ohmic current, and, within the relatively limited possibilities, the directivity of the antenna have been investigated. The results are in reasonable agreement with the predictions of the parametrization of the current drive (CD) efficiency proposed by Ehst and Karney based on the adjoint method for the solution of the kinetic equation. The detailed analysis which was necessary to guarantee consistency between the two codes, on the other hand, has put into evidence characteristics of this CD scheme, which, to some extent, are likely to limit the efficiency achievable in practice. In particular, the normalized quasilinear diffusion coefficient for realistic power densities turns out to be far too small for the development of a quasilinear plateau. In the absence of suprathermal electrons, sufficient absorption can be achieved only by positioning the spectrum of parallel phase velocities excited by the antenna close to the thermal region, where the theoretical efficiency is poor.</t>
  </si>
  <si>
    <t>1085-1093</t>
  </si>
  <si>
    <t>60026838;60026838;60000145-60027251;60026838</t>
  </si>
  <si>
    <t>6602715761;7005473290;7005718813;7004426629</t>
  </si>
  <si>
    <t>Bilato, R.;Brambilla, M.;Pavlenko, I.;Meo, F.</t>
  </si>
  <si>
    <t>Ukraine;Germany;Belgium</t>
  </si>
  <si>
    <t>Kharkiv;Garching bei Munchen;Brussels</t>
  </si>
  <si>
    <t>V. N. Karazin Kharkiv National University;Max Planck Institute for Plasma Physics;Universit√© Libre de Bruxelles</t>
  </si>
  <si>
    <t>60027251;60026838;60000145</t>
  </si>
  <si>
    <t>Bilato R.</t>
  </si>
  <si>
    <t>Simulation of fast wave current drive in tokamaks in the ion cyclotron frequency range</t>
  </si>
  <si>
    <t>S002955150238102X</t>
  </si>
  <si>
    <t>10.1088/0029-5515/42/9/306</t>
  </si>
  <si>
    <t>2-s2.0-0036744742</t>
  </si>
  <si>
    <t>['vector modulator', 'noise figure', 'module draws', 'maximum gain', 'chip size', 'calibration switches', '7 dbm', '7 db', '6 mm', '5 db', '2 ghz']</t>
  </si>
  <si>
    <t>802.11a | Adaptive antenna combining | HIPERLAN | Microwave monolithic integrated circuits | Wireless local area networks</t>
  </si>
  <si>
    <t>A low-power consuming adaptive antenna receiver module at C-band for 802.11a and HIPERLAN is presented. The highly integrated GaAs microwave monolithic integrated circuit consists of low noise amplifiers, calibration switches and a vector modulator with 360¬∞ phase control and over 15-dB gain control. At 5.2 GHz, the module has a maximum gain of 12.5 dB, a noise figure of 2.7 dB, and a 1-dB output compression point of - 7 dBm. The module draws only 2.3 mA up to 3.5 mA from a 2.7 V supply. Chip size is 1.9 mm √ó 1.6 mm.</t>
  </si>
  <si>
    <t>348-350</t>
  </si>
  <si>
    <t>56259557900;7006187666</t>
  </si>
  <si>
    <t>Ellinger, Frank;B√§chtold, Werner</t>
  </si>
  <si>
    <t>Adaptive antenna receiver module for WLAN at C-band with low-power consumptions</t>
  </si>
  <si>
    <t>10.1109/LMWC.2002.803143</t>
  </si>
  <si>
    <t>2-s2.0-0036746022</t>
  </si>
  <si>
    <t>['medical bands', 'industrial scientific', 'ground plate', 'frequency bands', 'experimental results', 'discusses using', 'antenna parameters']</t>
  </si>
  <si>
    <t>Wideband printed dipole antenna for multiple wireless services was discusses using a coax-fed printed fat dipole backed by a ground plate. The antenna parameters were investigated, and the effects of each parameter was described. Numerical and experimental results for a design which offered bandwidth results, that covered a range of frequency bands were presented. This antenna showed good voltage standing wave ratio, gain and useful radiation patterns over mobile communications 1800, personal communication service, international mobile telecommunication 2000 and industrial scientific and medical bands.</t>
  </si>
  <si>
    <t>70-77</t>
  </si>
  <si>
    <t>60001558;60001558;60001558</t>
  </si>
  <si>
    <t>36598472000;56124653200;7402126718</t>
  </si>
  <si>
    <t>Kim, Jeong Il;Lee, Byung Moo;Yoon, Young Joong</t>
  </si>
  <si>
    <t>Wideband printed dipole antenna for multiple wireless services</t>
  </si>
  <si>
    <t>2-s2.0-0036747309</t>
  </si>
  <si>
    <t>['stored energy', 'resonated system', 'region outside', 'radiated power', 'quality factor', 'modes corresponding', 'measurable impedance', 'feed point', 'circumscribing sphere', 'article attempts', 'antenna q']</t>
  </si>
  <si>
    <t>Antenna | Bandwidth | Input impedance | Quality factor | Stored energy</t>
  </si>
  <si>
    <t>This article attempts to clarify the concept of quality factor (Q) in connection with ideal radiating systems. Three different aspects are covered: Q (i) as a relation between the stored energy and radiated power in the modes corresponding to a given radiation field outside a spherical source volume, (ii) as a function of the measurable impedance or admittance and (iii) as a function of the bandwidth of a resonated system. The first approach yields a theoretical lower limit: the larger the sphere, the more inconceivable in practice. The second approach approximates the observable stored energy and incorporates the minimum energy necessary for the transport of energy from the feed point to the region outside the circumscribing sphere. The third method yields the antenna Q on condition that the input impedance corresponds to a single resonance phenomena.</t>
  </si>
  <si>
    <t>189-195</t>
  </si>
  <si>
    <t>Electrical Engineering</t>
  </si>
  <si>
    <t>60033191;60033191</t>
  </si>
  <si>
    <t>7004233674;6603076451</t>
  </si>
  <si>
    <t>Sten, J. C.E.;Hujanen, A.</t>
  </si>
  <si>
    <t>Sten J.</t>
  </si>
  <si>
    <t>Notes on the quality factor and bandwidth of radiating systems</t>
  </si>
  <si>
    <t>10.1007/s00202-002-0122-x</t>
  </si>
  <si>
    <t>2-s2.0-0036747361</t>
  </si>
  <si>
    <t>['varying space', 'unstructured estimation', 'time channel', 'subspace method', 'reasonable number', 'path parameters', 'numerical analysis', 'multipath propagation', 'faded amplitudes', 'explicit computation', 'different rates', 'asymptotic performance']</t>
  </si>
  <si>
    <t>Antenna array | Channel estimation | Multi-slot | Subspace method | TD-CDMA | TD-SCDMA | ULTRA-TDD</t>
  </si>
  <si>
    <t>In this letter we propose a subspace method to estimate the time-varying space-time channel by taking into account the different rates of variation between delays/directions of arrival (slowly-varying) and faded amplitudes (fast-varying) of the multipath propagation. The stationarity of angles and delays across several time-slots is exploited to perform an unstructured estimation that avoids the explicit computation of the path parameters. Numerical analysis for a TD-CDMA system shows that the asymptotic performance is reached with a reasonable number of slots.</t>
  </si>
  <si>
    <t>376-378</t>
  </si>
  <si>
    <t>60000251-60023256;60000251-60023256;60000251-60023256</t>
  </si>
  <si>
    <t>35577193000;23993347300;7003978442</t>
  </si>
  <si>
    <t>Nicoli, M.;Simeone, O.;Spagnolini, U.</t>
  </si>
  <si>
    <t>Milan;New York</t>
  </si>
  <si>
    <t>Politecnico di Milano;IEEE</t>
  </si>
  <si>
    <t>60023256;60000251</t>
  </si>
  <si>
    <t>Multislot estimation of fast-varying space-time channels in TD-CDMA systems</t>
  </si>
  <si>
    <t>10.1109/LCOMM.2002.803476</t>
  </si>
  <si>
    <t>2-s2.0-0036747596</t>
  </si>
  <si>
    <t>['work differs', 'signal space', 'noise ratio', 'noise enhancement', 'maximum signal', 'interference suppression', 'forcing method', 'array processor', 'antenna systems']</t>
  </si>
  <si>
    <t>Array processing | Diversity | Space-time codes</t>
  </si>
  <si>
    <t>We consider the design of an array processor for space-time coded multi-antenna systems. As an alternative to the previously proposed zero-forcing method, in this paper, the maximum signal-to-noise ratio (SNR) criterion is used to obtain a balance between interference suppression and noise enhancement. Although the same in concept, this work differs from the conventional minimum mean-squared error method in that there is more than one desired signal dimension each corresponding to one of the space-time coded streams. It will be shown that the number of linear filters required by the maximum SNR array processor is no more than the dimension of the signal space or the number of collaborating transmit antennas. The advantages of this design are highly improved performance and reduced decoding complexity.</t>
  </si>
  <si>
    <t>1419-1422</t>
  </si>
  <si>
    <t>Maximum signal-to-noise ratio array processing for space-time coded systems</t>
  </si>
  <si>
    <t>10.1109/TCOMM.2002.802554</t>
  </si>
  <si>
    <t>2-s2.0-0036748142</t>
  </si>
  <si>
    <t>['well suited', 'transmit antennas', 'time layering', 'threaded space', 'threaded approach', 'square error', 'significant fraction', 'signalling scheme', 'reliable communication', 'reasonable complexity', 'realizable receiver', 'practical systems', 'multiantenna systems', 'minimum mean', 'main limitation', 'limited numbers', 'coherence interval', 'code words', 'certain scenarios', 'asymptotic result', 'also proposed']</t>
  </si>
  <si>
    <t>Algebraic space-time codes | Autocoding | Bit interleaved coded modulation | Diversity | Fading channels | Multiple transmit and receive antennas | Space-time layering</t>
  </si>
  <si>
    <t>Recently, Hochwald et al. have recognized that arbitrarily reliable communication is possible in multiantenna systems with coding over only a single coherence interval. In particular, they showed that reliable communication is possible for all rates R ‚â§ C a with code words that extend over a single coherence interval when the number of transmit antennas and coherence interval (n, T) ‚Üí ‚àû. They coined the names "autocoding" for this phenomenon and "autocapacity" for C a. They also proposed a signalling scheme based on random unitary matrices that achieves a significant fraction of this capacity. The main limitation, however, is that currently no decoder of reasonable complexity is known for this signalling scheme. In this paper, we investigate the application of space-time layering to autocoding. We show that properly constructed layered systems can achieve the autocapacity with a reasonable complexity receiver composed of minimum mean-square error (MMSE) decision feedback multiuser detectors and single user decoders. In addition to this asymptotic result, we propose a specific layering approach, the threaded space-time layering, that combines generalized bit interleaved space-time coded modulation, iterative signal processing and pilot symbol assisted channel estimation. We show that this approach is well suited for practical systems with limited numbers of transmit antennas and small coherence intervals. Finally, we report simulation results that demonstrate the ability of the threaded approach to achieve significant fractions of the autocapacity with a realizable receiver. The simulation results also indicate significant performance gains over the recently proposed Cayley differential space-time signalling scheme in certain scenarios.</t>
  </si>
  <si>
    <t>1451-1461</t>
  </si>
  <si>
    <t>60000251-60003500</t>
  </si>
  <si>
    <t>El Gamal, Hesham</t>
  </si>
  <si>
    <t>On the design of layered space-time systems for autocoding</t>
  </si>
  <si>
    <t>10.1109/TCOMM.2002.802560</t>
  </si>
  <si>
    <t>2-s2.0-0036748216</t>
  </si>
  <si>
    <t>['wideband transmission', 'two sets', 'time codes', 'system performance', 'required snrs', 'required signal', 'receive antennas', 'promising technique', 'noise ratios', 'multiple transmit', 'minimum number', 'mimo channels', 'input multiple', 'independent space', 'form multiple', 'doppler frequency', '9 %).', '8 db', '6 db', '5 db', '40 hz', '4 mb', '4 db']</t>
  </si>
  <si>
    <t>Multiple-input multiple-output channels (MIMO) | Orthogonal frequency division multiplexing (OFDM) | Parameter estimation | Wireless communications</t>
  </si>
  <si>
    <t>Multiple transmit and receive antennas can be used to form multiple-input multiple-output (MIMO) channels to increase the capacity by a factor of the minimum number of transmit and receive antennas. In this paper, orthogonal frequency division multiplexing (OFDM) for MIMO channels (MIMO-OFDM) is considered for wideband transmission to mitigate intersymbol interference and enhance system capacity. The MIMO-OFDM system uses two independent space-time codes for two sets of two transmit antennas. At the receiver, the independent space-time codes are decoded using prewhitening, followed by minimum-Euclidean-distance decoding based on successive interference cancellation. Computer simulation shows that for four-input and four-output systems transmitting data at 4 Mb/s over a 1.25 MHz channel, the required signal-to-noise ratios (SNRs) for 10% and 1% word error rates (WER) are 10.5 dB and 13.8 dB, respectively, when each codeword contains 500 information bits and the channel's Doppler frequency is 40 Hz (corresponding normalized frequency: 0.9%). Increasing the number of the receive antennas improves the system performance. When the number of receive antennas is increased from four to eight, the required SNRs for 10% and 1% WER are reduced to 4 dB and 6 dB, respectively. Therefore, MIMO-OFDM is a promising technique for highly spectrally efficient wideband transmission.</t>
  </si>
  <si>
    <t>1471-1477</t>
  </si>
  <si>
    <t>60000251-60021032;60000251-60012230;60000251-100434076</t>
  </si>
  <si>
    <t>57195633181;7102662778;7005307748</t>
  </si>
  <si>
    <t>Li, Ye;Winters, Jack H.;Sollenberger, Nelson R.</t>
  </si>
  <si>
    <t>Atlanta;Middletown;New York;Middletown</t>
  </si>
  <si>
    <t>Georgia Institute of Technology;AT&amp;T Laboratories Middletown;IEEE;Mobilink Telecom Inc.</t>
  </si>
  <si>
    <t>60021032;60012230;60000251;100434076</t>
  </si>
  <si>
    <t>MIMO-OFDM for wireless communications: Signal detection with enhanced channel estimation</t>
  </si>
  <si>
    <t>10.1109/TCOMM.2002.802566</t>
  </si>
  <si>
    <t>2-s2.0-0036748244</t>
  </si>
  <si>
    <t>['wire equations', 'widely used', 'subcell model', 'maxwell equations', 'fdtd method', 'dipole antennas', 'cell size', 'also shown', 'accurate way']</t>
  </si>
  <si>
    <t>FDTD | Maxwell's equations | Subcell model | Thin-wire model</t>
  </si>
  <si>
    <t>Thin-wire subcell models are widely used to allow the FDTD method to take wires thinner than the cell size into account. In this paper, a subcell model is generalized to handle arbitrarily oriented thin wires in an accurate way. The coupling of the Maxwell equations and the wire equations is discussed in detail. Stability of the subcell model is also shown and results for dipole antennas and loop antennas illustrates the performance of the new subcell model.</t>
  </si>
  <si>
    <t>503-515</t>
  </si>
  <si>
    <t>5-6 SPEC.</t>
  </si>
  <si>
    <t>Ledfelt, G.</t>
  </si>
  <si>
    <t>The Royal Institute of Technology (KTH)</t>
  </si>
  <si>
    <t>Ledfelt G.</t>
  </si>
  <si>
    <t>A stable subcell model for arbitrarily oriented thin wires for the FDTD method</t>
  </si>
  <si>
    <t>10.1002/jnm.466</t>
  </si>
  <si>
    <t>2-s2.0-0036748415</t>
  </si>
  <si>
    <t>['use ofdm', 'selective channels', 'modulation format', 'inherent diversity', 'grouping antennas', 'greatly reduced', 'fading channels', 'essentially reuse', 'capacity computations', 'basic equivalence']</t>
  </si>
  <si>
    <t>MIMO | OFDM | Space-time coding</t>
  </si>
  <si>
    <t>We consider the capacity of multiple-input-multiple-output (MIMO) systems that use OFDM as the modulation format. We point out a basic equivalence between antennas and OFDM-tones. This similarity immediately allows us to essentially reuse all space-time codes designed for flat-fading channels in MIMO-OFDM systems operating in frequency-selective channels. An optimum code would thus code across all antennas and tones (as well as time) simultaneously. Since this can become very complex, we propose a method for grouping antennas and codes in such a way that the inherent diversity is retained, while the complexity is greatly reduced. Capacity computations between the full-complexity and the reduced-complexity systems illustrate this tradeoff.</t>
  </si>
  <si>
    <t>60000251-60012230;60000251-60012230;60000251-60012230</t>
  </si>
  <si>
    <t>7006594890;7005052803;7102662778</t>
  </si>
  <si>
    <t>Molisch, Andreas F.;Win, Moe Z.;Winters, Jack H.</t>
  </si>
  <si>
    <t>Middletown;New York</t>
  </si>
  <si>
    <t>AT&amp;T Laboratories Middletown;IEEE</t>
  </si>
  <si>
    <t>60012230;60000251</t>
  </si>
  <si>
    <t>Molisch A.</t>
  </si>
  <si>
    <t>Space-time-frequency (STF) coding for MIMO-OFDM systems</t>
  </si>
  <si>
    <t>10.1109/LCOMM.2002.802047</t>
  </si>
  <si>
    <t>2-s2.0-0036748657</t>
  </si>
  <si>
    <t>['wide range', 'wavelength dipole', 'three techniques', 'three considered', 'tested studying', 'suitable technique', 'scale problems', 'radiative far', 'pure fdtd', 'obtained results', 'mom solution', 'induced inside', 'field scattered', 'field distributions', 'exposed target', 'difference time', 'compression techniques', 'associated errors', 'accurate evaluation']</t>
  </si>
  <si>
    <t>Electromagnetic scattering | FDTD | Hybrid techniques | Multiple-region/FDTD | Ray-tracing/FDTD | Specific absorption rate</t>
  </si>
  <si>
    <t>In this paper, the finite-difference time-domain (FDTD), multiple-region/FDTD (MR/FDTD) and ray-tracing/FDTD (RT/FDTD) techniques have been compared with reference to the study of the field scattered by and induced inside an exposed target. The three techniques have been validated on a free-space radiation problem through a comparison with the MoM solution. Compression techniques have been implemented to obtain a reduction of the computational costs associated with MR/FDTD, performing an accurate evaluation of the associated errors. The applicability and accuracy of the three techniques have then been tested studying the exposure of a sphere to a half-wavelength dipole. The obtained results have shown that the best computational performances are achieved employing RT/FDTD. However, this technique gives accurate results only in the radiative far-field of the antenna. MR/FDTD, instead, gives accurate predictions of field distributions for a wide range of distances between the scatterer and the antenna and, thanks to the introduction of compression techniques, requires acceptable computational costs. Pure FDTD, finally, is the most suitable technique, among the three considered, when the scatterer is close to the antenna but its computational costs become prohibitive for large-scale problems.</t>
  </si>
  <si>
    <t>579-593</t>
  </si>
  <si>
    <t>60032350;60032350;60003686;60003686;60032350;60032350</t>
  </si>
  <si>
    <t>56231427700;7003948945;6506533668;57159782100;6603887757;6603094570</t>
  </si>
  <si>
    <t>Bernardi, P.;Cavagnaro, M.;D'Atanasio, P.;Di Palma, E.;Pisa, S.;Piuzzi, E.</t>
  </si>
  <si>
    <t>Sapienza Universit√† di Roma;ENEA Centro Ricerche Casaccia</t>
  </si>
  <si>
    <t>60032350;60003686</t>
  </si>
  <si>
    <t>Bernardi P.</t>
  </si>
  <si>
    <t>FDTD, multiple-region/FDTD, ray-tracing/FDTD: A comparison on their applicability for human exposure evaluation</t>
  </si>
  <si>
    <t>10.1002/jnm.470</t>
  </si>
  <si>
    <t>2-s2.0-0036749346</t>
  </si>
  <si>
    <t>['source separation', 'similar goal', 'power minimization', 'performance comparisons', 'new method', 'multiple sources', 'leakage problem', 'independence criterion', 'frequency permutations', 'freedom provided', 'conventional cross', 'combining cross', 'blind algorithms', 'ambiguities inherent', 'additional sensors', 'adaptive beamforming']</t>
  </si>
  <si>
    <t>Cross-power spectra | Frequency permutation | Linear constraints | Reverberation | Source separation</t>
  </si>
  <si>
    <t>Convolutive blind source separation and adaptive beamforming have a similar goal-extracting a source of interest (or multiple sources) while reducing undesired interferences. A benefit of source separation is that it overcomes the conventional cross-talk or leakage problem of adaptive beamforming. Beamforming on the other hand exploits geometric information which is often readily available but not utilized in blind algorithms. In this work we propose to join these benefits by combining cross-power minimization of second-order source separation with geometric linear constraints used in adaptive beamforming. We find that the geometric constraints resolve some of the ambiguities inherent in the independence criterion such as frequency permutations and degrees of freedom provided by additional sensors. We demonstrate the new method in performance comparisons for actual room recordings of two and three simultaneous acoustic sources.</t>
  </si>
  <si>
    <t>352-362</t>
  </si>
  <si>
    <t>IEEE Transactions on Speech and Audio Processing</t>
  </si>
  <si>
    <t>60010547;60021032</t>
  </si>
  <si>
    <t>7006251470;6603446501</t>
  </si>
  <si>
    <t>Parra, Lucas C.;Alvino, Christopher V.</t>
  </si>
  <si>
    <t>Atlanta;Princeton</t>
  </si>
  <si>
    <t>Georgia Institute of Technology;Sarnoff Corporation</t>
  </si>
  <si>
    <t>60021032;60010547</t>
  </si>
  <si>
    <t>Parra L.</t>
  </si>
  <si>
    <t>Geometric source separation: Merging convolutive source separation with geometric beamforming</t>
  </si>
  <si>
    <t>10.1109/TSA.2002.803443</t>
  </si>
  <si>
    <t>2-s2.0-0036753896</t>
  </si>
  <si>
    <t>01-02-17380</t>
  </si>
  <si>
    <t>['interperiodica ".', 'horizontal directions', 'experimental data']</t>
  </si>
  <si>
    <t>Experimental data on the observation of a moving underwater acoustic screen by simplest antenna arrays extended in both vertical and horizontal directions are presented. New signal processing algorithms are proposed. ¬© 2002 MAIK "Nauka/Interperiodica".</t>
  </si>
  <si>
    <t>576-583</t>
  </si>
  <si>
    <t>60011774;60011774</t>
  </si>
  <si>
    <t>7004344048;6602110565</t>
  </si>
  <si>
    <t>Matveev, A. L.;Mityugov, V. V.</t>
  </si>
  <si>
    <t>Matveev A.L.</t>
  </si>
  <si>
    <t>Determination of the parameters of motion for an underwater object</t>
  </si>
  <si>
    <t>10.1134/1.1507202</t>
  </si>
  <si>
    <t>2-s2.0-0036754594</t>
  </si>
  <si>
    <t>['transmit diversity', 'system performance', 'spatial diversity', 'simulation results', 'significantly decreased', 'previous methods', 'peak signal', 'ofdm system', 'normally aimed', 'noise ratio', 'jscc focus', 'joint source', 'good status', 'feedback channel', 'fading channels', 'fading channel', 'doppler spread', 'doppler frequency', 'different number', 'current research', 'channel property', 'channel coding', 'broadcasting services', 'application environments', '4 db']</t>
  </si>
  <si>
    <t>Image transmission | Multimedia communications | OFDM</t>
  </si>
  <si>
    <t>A joint source-channel coding (JSCC) scheme for robust progressive image transmission over broadband wireless channels using orthogonal frequency division multiplexing (OFDM) systems with spatial diversity is proposed for the application environments where no feedback channel is available such as broadcasting services. Most of current research about JSCC focus on either binary symmetric channel (BSC) or additive white Gaussian noise (AWGN) channels. To deal with fading channels in most of previous methods, the fading channel is modeled as two state Gilber-Elliott channel model and the JSCC is normally aimed at the BER of bad channel status, which is not optimal when channel is at good status. By using diversity techniques and OFDM, the frequency selective fading effects in broadband wireless channels can be significantly decreased and we show that subchannels in OFDM systems approach Gaussian noisy channels when the diversity gain gets large, as a result, the system performance can be improved in terms of throughput and channel coding efficiency. After analyzing the channel property of OFDM system with spatial diversity, a practical JSCC scheme for OFDM system is proposed. The simulation results are presented for transmit diversity with different number of antennas and different multipath delay and Doppler spread. It is observed from simulations that the performance can be improved more than 4 dB in terms of peak signal-to-noise ratio (PSNR) of received image Lena and the performance is not very sensitive to different multipath spread and Doppler frequency.</t>
  </si>
  <si>
    <t>394-406</t>
  </si>
  <si>
    <t>IEEE Transactions on Multimedia</t>
  </si>
  <si>
    <t>60018708;60000251-60078684</t>
  </si>
  <si>
    <t>55500857500;7404200118</t>
  </si>
  <si>
    <t>Song, Jie;Liu, K. J.Ray</t>
  </si>
  <si>
    <t>College Park;Milpitas;New York</t>
  </si>
  <si>
    <t>A. James Clark School of Engineering;LSI Corporation;IEEE</t>
  </si>
  <si>
    <t>60078684;60018708;60000251</t>
  </si>
  <si>
    <t>Song J.</t>
  </si>
  <si>
    <t>Robust progressive image transmission over OFDM systems using space-time block code</t>
  </si>
  <si>
    <t>10.1109/TMM.2002.802845</t>
  </si>
  <si>
    <t>2-s2.0-0036755153</t>
  </si>
  <si>
    <t>Verband der Chemischen Industrie</t>
  </si>
  <si>
    <t>23.0521/96</t>
  </si>
  <si>
    <t>VCI</t>
  </si>
  <si>
    <t>['responses indicated', 'response thresholds', 'responded strongly', 'quantitatively dominant', 'ng level', 'naturally occurring', 'natural occurrence', 'ips typographus', 'ips species', 'impurity -(', 'electroantennographic detection', 'ead dose', 'ead ).', 'dendroctonus micans', 'behavioral activity', 'antennally inactive', 'antennal responses', '100 ng', '1 ng']</t>
  </si>
  <si>
    <t>(E)- conophthorin | 1-hexanol | Antennae | Dendroctonus micans | Dose-response | Enantiomers | GC-EAD | Hylesinus | Ips duplicatus | Ips subelongatus | Ips typographus | Nonhost volatiles | Phloeophthorus | Scolytus</t>
  </si>
  <si>
    <t>Optically pure synthetic enantiomers of (E)-conophthorin [(E)-7-methyl-1,6-dioxaspiro[4.5]decane], one of the volatiles affecting coniferophagous bark beetles, were tested on antennae of Ips typographus, I. duplicatus, I. subelongatus, Dendroctonus micans, and five Scolytus spp. by using combined gas chromatography-electroantennographic detection (GC-EAD). EAD dose-responses indicated that all three Ips species perceived only the naturally occurring and quantitatively dominant (5S,7S)-enantiomer, while its antipode, (5R,7R)-(E)-conophthorin was antennally inactive. Response thresholds for the Ips species were estimated as between 0.1 ng and 1 ng, or lower. The antennal responses of the Ips species caused by 100 ng of the (5R,7R)-enantiomer might be due to 1% impurity-(the active (5S,7S)-enantiomer) in the (5R,7R)-sample. At the 50-ng level, D. micans and five angiosperm Scolytus species (S. intracatus, S. mali, S. ratzeburgi, S. rugulosus, and S. scolytus) responded strongly to the (5S,7S)-enantiomer, while the (5R,7R)-enantiomer was antennally inactive. Currently updated knowledge on the natural occurrence, and electrophysiological and behavioral activity of (E)-conophthorin is summarized.</t>
  </si>
  <si>
    <t>1839-1852</t>
  </si>
  <si>
    <t>60027152-60000635;60028229;60027152;60028229</t>
  </si>
  <si>
    <t>7406717249;57202595848;55908956300;7006506442</t>
  </si>
  <si>
    <t>Zhang, Qing He;Tolasch, Till;Schlyter, Fredrik;Francke, Wittko</t>
  </si>
  <si>
    <t>Germany;Sweden;United States</t>
  </si>
  <si>
    <t>Hamburg;Uppsala;Beltsville</t>
  </si>
  <si>
    <t>Universit√§t Hamburg;Sveriges lantbruksuniversitet;USDA ARS Beltsville Agricultural Research Center</t>
  </si>
  <si>
    <t>60028229;60027152;60000635</t>
  </si>
  <si>
    <t>Enantiospecific antennal response of bark beetles to spiroacetal (E)-conophthorin</t>
  </si>
  <si>
    <t>10.1023/A:1020569303433</t>
  </si>
  <si>
    <t>2-s2.0-0036755661</t>
  </si>
  <si>
    <t>['znevobp3 ).', 'termopsidae ).', 'specific protein', 'specific cdnas', 'scarab beetles', 'primitive termite', 'primitive species', 'phasmid species', 'minor proteins', 'major antennae', 'insects belonging', 'hindlegs ).', 'full characterization', 'first time', 'dampwood termite', 'control tissues', 'chemosensory proteins', 'binding proteins', 'also absent']</t>
  </si>
  <si>
    <t>Chemosensory protein | Dampwood termite | Isoptera | Odorant-binding protein | Olfaction | Termopsidae | Zootermopsis nevadensis nevadensis</t>
  </si>
  <si>
    <t>Hitherto, odorant-binding proteins (OBPs) have been identified from insects belonging to more highly evolved insect orders (Lepidoptera, Coleoptera, Diptera, Hymenoptera, and Hemiptera), whereas only chemosensory proteins have been identified from more primitive species, such as orthopteran and phasmid species. Here, we report for the first time the isolation and cloning of odorant-binding proteins from a primitive termite species, the dampwood termite, Zootermopsis nevadensis nevadensis (Isoptera: Termopsidae). A major antennae-specific protein was detected by native PAGE along with four other minor proteins, which were also absent in the extract from control tissues (hindlegs). Multiple cDNA cloning led to the full characterization of the major antennae-specific protein (ZnevOBP1) and to the identification of two other antennae-specific cDNAs, encoding putative odorant-binding proteins (ZnevOBP2 and ZnevOBP3). N-terminal amino acid sequencing of the minor antennal bands and cDNA cloning showed that olfaction in Z. n. nevadensis may involve multiple odorant-binding proteins. Database searches suggest that the OBPs from this primitive termite are homologues of the pheromone-binding proteins from scarab beetles and antennal-binding proteins from moths.</t>
  </si>
  <si>
    <t>1887-1893</t>
  </si>
  <si>
    <t>60014439;60014439;60002418;60014439</t>
  </si>
  <si>
    <t>55314270400;36640158100;7003718043;35569644800</t>
  </si>
  <si>
    <t>Ishida, Yuko;Chiang, Vicky P.;Haverty, Michael I.;Leal, Walter S.</t>
  </si>
  <si>
    <t>Davis;Albany</t>
  </si>
  <si>
    <t>University of California, Davis;USDA Forest Service Pacific Southwest Research Station</t>
  </si>
  <si>
    <t>60014439;60002418</t>
  </si>
  <si>
    <t>Odorant-binding proteins from a primitive termite</t>
  </si>
  <si>
    <t>10.1023/A:1020537319805</t>
  </si>
  <si>
    <t>2-s2.0-0036755675</t>
  </si>
  <si>
    <t>Massey University</t>
  </si>
  <si>
    <t>['zorion guttigerum', 'yb ones', 'yb males', 'solitary males', 'solitary females', 'similar length', 'significantly larger', 'sexual selection', 'new zealand', 'mating success', 'mating sites', 'males tend', 'males increases', 'longer antennae', 'important role', 'flowers ),', 'elytral length', 'different sexes', 'db males', 'db individuals', 'dark blue', 'color forms', 'color form', 'color also', 'bonded males', 'bonded females', 'body size', 'antennal length', 'also preferred']</t>
  </si>
  <si>
    <t>Aggression | Body size | Cerambycidae | Cerambycinae | Color | Mating system | Sex ratio | Sexual selection | Zorion guttigerum</t>
  </si>
  <si>
    <t>Zorion guttigerum is a flower-visiting longhorned beetle endemic to New Zealand. Sexual selection of this species in relation to the body size and color form of different sexes was investigated in the field. The population sex ratio, based on censuses of feeding and mating sites (flowers), is male-biased. Females are significantly larger than males. Both sexes have antennae of similar length but the antennal length relative to the elytral length is greater in males than in females, and the antennal length of males increases more with an increase in body size than that of females. Both sexes have dark blue (DB) and yellowish-brown (YB) individuals. Both pair-bonded and solitary males are similar in elytral and antennal length. In pair-bonded males, DB individuals are significantly more numerous than YB ones, but in solitary males, the number of both color forms is similar. Males tend to have territory protection behavior, fighting with and chasing away rival males from feeding and mating sites. Larger males usually win the fight but the size-dependent fighting advantage does not translate into mating success. Male color plays an important role in mating success, with DB males having a significantly better chance to mate than YB males. Furthermore, male body size and color also have interactions in mating success: males of DB color morph obtain a greater mating advantage according to body size. Pair-bonded females are significantly larger and have longer antennae than solitary females, suggesting that males prefer larger females for mating. In addition, females of DB color morph with longer antennae are also preferred by males for mating. The significance of these findings is discussed.</t>
  </si>
  <si>
    <t>675-687</t>
  </si>
  <si>
    <t>Wang, Qiao</t>
  </si>
  <si>
    <t>New Zealand</t>
  </si>
  <si>
    <t>Palmerston North</t>
  </si>
  <si>
    <t>Wang Q.</t>
  </si>
  <si>
    <t>Sexual selection of Zorion guttigerum Westwood (Coleoptera: Cerambycidae: Cerambycinae) in relation to body size and color</t>
  </si>
  <si>
    <t>10.1023/A:1020747907490</t>
  </si>
  <si>
    <t>2-s2.0-0036759432</t>
  </si>
  <si>
    <t>['vehicle communication', 'top three', 'related costs', 'rear windscreen', 'key need', 'infotainment systems', 'commonly used', 'assembly plant', 'antennas integrated']</t>
  </si>
  <si>
    <t>An approach to test the advanced in-vehicle communication and infotainment systems to keep the associated warranty costs under control was presented. Industry research suggested that radio-related costs average out at around $2.50 per vehicle and rank in the top three of all warranty-related costs. Antennas integrated into the rear windscreen were commonly used and are connected to the TV receiver module through another feeder cable. The key need of the assembly plant was to test to a level that identifies process related defects.</t>
  </si>
  <si>
    <t>57-58</t>
  </si>
  <si>
    <t>Engineering (London)</t>
  </si>
  <si>
    <t>Radio city</t>
  </si>
  <si>
    <t>2-s2.0-0036760539</t>
  </si>
  <si>
    <t>430-9601</t>
  </si>
  <si>
    <t>['parabolic profile', 'misell algorithm', 'microwave lenses', 'feed translation', 'domain simulation', 'difference time', 'defocuscd far', 'circular waveguides', 'axially move', 'alternative method']</t>
  </si>
  <si>
    <t>Microwave holography | Reflector antennas</t>
  </si>
  <si>
    <t>The Misell phase retrieval algorithm for microwave holography requires the capability to axially move an antenna's subreflector or feed to obtain a defocuscd far-field magnitude pattern. A microwave lens may be used as an alternative method of defocusing an antenna. In this paper, a metal plate lens has been designed and constructed for use in phase retrieval holography at the Georgia Tech Woodbury Research Facility. Its phase variation across the aperture was chosen to have a parabolic profile in order to imitate the effect of subreflector or feed translation. A two-dimensional (2-D) finite-difference time-domain simulation has been performed to characterize the lens. Measurements, using the measured aperture phase of the lens transfer function as a phase correction term in the Misell algorithm, show the results to be comparable with that of phase coherent holography. Other types of microwave lenses such as a Fresnel zone plate, a bed of circular waveguides, and a standard dielectric lens are also being studied.</t>
  </si>
  <si>
    <t>1274-1284</t>
  </si>
  <si>
    <t>60021032;60007478</t>
  </si>
  <si>
    <t>6507340029;7005954631</t>
  </si>
  <si>
    <t>Chalodhorn, Wonchalerm;DeBoer, David R.</t>
  </si>
  <si>
    <t>Atlanta;Mountain View</t>
  </si>
  <si>
    <t>Georgia Institute of Technology;SETI Institute</t>
  </si>
  <si>
    <t>Chalodhorn W.</t>
  </si>
  <si>
    <t>Use of microwave lenses in phase retrieval microwave holography of reflector antennas</t>
  </si>
  <si>
    <t>10.1109/TAP.2002.801401</t>
  </si>
  <si>
    <t>2-s2.0-0036760565</t>
  </si>
  <si>
    <t>['surface waves', 'reflection coefficients', 'moments solution', 'dielectric slab']</t>
  </si>
  <si>
    <t>Antenna arrays | Periodic structures | Surface waves</t>
  </si>
  <si>
    <t>The behavior of surface waves in truncated periodic arrays is examined through analysis of the currents. The surface waves to be studied are guided by the perfectly conducting elements of the array itself and are to be distinguised from the dielectric slab-guided surface waves encountered elsewhere in the literature. The conditions under which surface waves may arise will be given. The surface wave currents will be extracted from the method of moments solution for the finite by an infinite array using a least squares algorithm. Surface wave excitation and reflection coefficients will then be determined from the data and compared with the semi-infinite array solution.</t>
  </si>
  <si>
    <t>1254-1265</t>
  </si>
  <si>
    <t>Effects of surface waves on the currents of truncated periodic arrays</t>
  </si>
  <si>
    <t>10.1109/TAP.2002.801378</t>
  </si>
  <si>
    <t>2-s2.0-0036760580</t>
  </si>
  <si>
    <t>['theoretical method', 'strong appearance', 'scan performance', 'metallic boxes', 'improved significantly', 'higher frequencies', 'equivalence principle', 'element pattern', 'current distribution', 'close agreement', 'antenna elements']</t>
  </si>
  <si>
    <t>Antenna arrays | Microstrip antennas | Moment methods</t>
  </si>
  <si>
    <t>A theoretical method is presented to analyze the scan performance of infinite phased arrays of printed folded dipoles em, bedded in metallic boxes. By using the equivalence principle, each unit-cell is divided into an inhomogeneous interior region and a homogeneous exterior region. The exact dyadic Green's function for both regions is derived. The current distribution on the antenna elements and the corresponding active impedance are found by solving the pertaining integral equations with the method of moments. Numerical results show that the E-plane scan performance is improved significantly by placing the folded dipoles inside metallic boxes. Without the use of additional matching circuits a bandwidth of more than 16% was obtained over a wide scan range. A disadvantage of the use of metallic boxes is the strong appearance of a blind scan angle at the higher frequencies. Measurements of the element pattern of an 1152-element prototype show a very close agreement with the presented theoretical computations.</t>
  </si>
  <si>
    <t>1266-1273</t>
  </si>
  <si>
    <t>60032882;60027905;60032882;60001882;60001882</t>
  </si>
  <si>
    <t>9846690700;7006537861;6701449031;57224245296;6507438344</t>
  </si>
  <si>
    <t>Van Beurden, M. C.;Smolders, A. B.;Jeuken, M. E.J.;Van Werkhoven, G. H.C.;Kolk, E. W.</t>
  </si>
  <si>
    <t>Eindhoven;Eindhoven;Hengelo</t>
  </si>
  <si>
    <t>Technische Universiteit Eindhoven;NXP Semiconductors;Thales Nederland B.V.</t>
  </si>
  <si>
    <t>60032882;60027905;60001882</t>
  </si>
  <si>
    <t>Van Beurden M.C.</t>
  </si>
  <si>
    <t>Analysis of wide-band infinite phased arrays of printed folded dipoles embedded in metallic boxes</t>
  </si>
  <si>
    <t>10.1109/TAP.2002.802079</t>
  </si>
  <si>
    <t>2-s2.0-0036760581</t>
  </si>
  <si>
    <t>['strongly affect', 'slot antenna', 'radiation patterns', 'operating frequencies', 'muitifrequency microstrip', 'moment method', 'microstrip stub', 'microstrip feed', 'guided wavelength', 'experimental results', 'exceed half', 'also reported']</t>
  </si>
  <si>
    <t>Broadside radiation patterns | Dual-frequency array | Microstrip antenna | Multifrequency slot antenna | Slot ring antenna</t>
  </si>
  <si>
    <t>Operating frequencies and radiation patterns of microstrip-fed ring slot antennas are investigated. The microstrip feed is shown to strongly affect the operating frequencies of the slot antenna. As the length of the microstrip stub is increased to exceed half the guided wavelength of the first operating frequency, then multiple operating frequencies with broadside radiation patterns become available. By extending the single microstrip feed to couple to two slot locations, the antenna's operating frequency ratios and polarizations can be tuned. A number of muitifrequency microstrip-fed slot ring antennas are demonstrated. Numerical analysis based on moment method is compared with the experimental results. A dual-frequency antenna array is also reported.</t>
  </si>
  <si>
    <t>1299-1308</t>
  </si>
  <si>
    <t>60020547;60020547</t>
  </si>
  <si>
    <t>6603902779;7404879378</t>
  </si>
  <si>
    <t>Tehrani, Hooman;Chang, Kai</t>
  </si>
  <si>
    <t>College Station</t>
  </si>
  <si>
    <t>Texas A&amp;M University</t>
  </si>
  <si>
    <t>Tehrani H.</t>
  </si>
  <si>
    <t>Multifrequency operation of microstrip-fed slot-ring antennas on thin low-dielectric permittivity substrates</t>
  </si>
  <si>
    <t>10.1109/TAP.2002.800697</t>
  </si>
  <si>
    <t>2-s2.0-0036760949</t>
  </si>
  <si>
    <t>['symmetric collocation', 'slot dimensions', 'resonance frequencies', 'polarization levels', 'parametric analysis', 'one involving', 'multifrequency operation', 'measurements showing', 'good agreement', 'etc .)']</t>
  </si>
  <si>
    <t>Entire domain basis functions | Method of moments (MoM) | Patch antenna</t>
  </si>
  <si>
    <t>Slot-loaded trapezoidal patch antennas are analyzed in order to achieve a multifrequency operation. A moment method formulation based on new analytical entire domain basis functions is developed and compared to the one involving the RWG triangular discretization. The numerical results obtained through the new efficient implemented code are compared to the measurements showing a good agreement. A parametric analysis of such antennas is also presented leading to useful design graphs showing the main antenna properties (resonance frequencies, cross-polarization levels, matching, etc.) as a function of the patch geometrical dimensions, symmetric collocation of the slots on the patch, and slot dimensions.</t>
  </si>
  <si>
    <t>1291-1298</t>
  </si>
  <si>
    <t>60073283;60012630</t>
  </si>
  <si>
    <t>56627149300;7004207954</t>
  </si>
  <si>
    <t>Vegni, Claudio;Bilotti, Filiberto</t>
  </si>
  <si>
    <t>Alenia Aeronautica;Universit√† degli Studi Roma Tre</t>
  </si>
  <si>
    <t>Vegni C.</t>
  </si>
  <si>
    <t>Parametric analysis of slot-loaded trapezoidal patch antennas</t>
  </si>
  <si>
    <t>10.1109/TAP.2002.802153</t>
  </si>
  <si>
    <t>2-s2.0-0036760960</t>
  </si>
  <si>
    <t>['uniform theory', 'technique proposed', 'technical literature', 'solution takes', 'previously reported', 'po ),', 'physical optics', 'numerical results', 'numerical evaluation', 'major advantage', 'large number', 'existing formulation', 'edge height', 'computing time', 'also presented']</t>
  </si>
  <si>
    <t>Multiple diffraction | Physical optics radio propagation | Uniform theory of diffraction (UTD)</t>
  </si>
  <si>
    <t>In this paper, a formulation for plane wave incidence by an array of perfectly conducting wedges is proposed. The solution takes the advantages of the uniform theory of diffraction (UTD) and physical optics (PO), and allows for numerical evaluation of a large number of perfectly conducting wedges. The solution has the major advantage of shortening the computing time over existing formulation when the number of wedges is very large. The source is assumed to be above, bellow, or level with the edge height. The technique proposed is validated with numerical results from technical literature. Results for cases not previously reported in the technical literature are also presented.</t>
  </si>
  <si>
    <t>1207-1211</t>
  </si>
  <si>
    <t>60014907;60011476</t>
  </si>
  <si>
    <t>6602146523;56390378400</t>
  </si>
  <si>
    <t>Juan-Ll√°cer, Leandro;Rodr√≠guez, Jorge Luis</t>
  </si>
  <si>
    <t>Cartagena;Valencia</t>
  </si>
  <si>
    <t>Universidad Politecnica de Cartagena;Universitat Polit√®cnica de Val√®ncia</t>
  </si>
  <si>
    <t>Juan-Ll√°cer L.</t>
  </si>
  <si>
    <t>A UTD-PO solution for diffraction of plane waves by an array of perfectly conducting wedges</t>
  </si>
  <si>
    <t>10.1109/TAP.2002.802077</t>
  </si>
  <si>
    <t>2-s2.0-0036761379</t>
  </si>
  <si>
    <t>['thin structure', 'reciprocal space', 'paper introduces', 'new explanation', 'increased compared', 'high gain', 'frequency domain', 'electromagnetic bandgap', 'ebg structures', 'ebg antenna']</t>
  </si>
  <si>
    <t>Electromagnetic bandgap (EBG) | High directivity | Resonator antenna</t>
  </si>
  <si>
    <t>This paper introduces a new explanation of the electromagnetic bandgap (EBG) material properties using the study of the EBG structures in the frequency domain and reciprocal space. Once the behavior of such a material is understood, properties of the EBG are used in order to make an EBG antenna. The antenna is realized with dielectric EBG rods. Its directivity is increased compared to a simple patch antenna. Such a device allows us to obtain a high gain with a very thin structure.</t>
  </si>
  <si>
    <t>1285-1290</t>
  </si>
  <si>
    <t>60027892;60027892;60027892;60027892;60027892;60027892</t>
  </si>
  <si>
    <t>57195445047;6508370575;7004028651;6603055868;7004363654;7006402070</t>
  </si>
  <si>
    <t>Cheype, Cyril;Serier, C√©dric;Th√®venot, Marc;Mon√©di√®re, Thierry;Reineix, Alain;Jecko, Bernard</t>
  </si>
  <si>
    <t>XLIM Institut de Recherche</t>
  </si>
  <si>
    <t>Cheype C.</t>
  </si>
  <si>
    <t>An electromagnetic bandgap resonator antenna</t>
  </si>
  <si>
    <t>10.1109/TAP.2002.800699</t>
  </si>
  <si>
    <t>2-s2.0-0036761384</t>
  </si>
  <si>
    <t>['three times', 'space wavelength', 'shorted square', 'proposed antenna', 'planar monopole', 'patch antenna', 'new design', 'monopolar plate', 'experimentally studied', 'circular patch', 'antenna ground']</t>
  </si>
  <si>
    <t>Low profile | Planar monopole | Wide band</t>
  </si>
  <si>
    <t>A new design of a monopolar plate-patch antenna is proposed and experimentally studied. The proposed antenna is a planar rectangular monopole top-loaded with a shorted Square or circular patch, which is shorted to the antenna ground by two ground plates placed symmetrically on each side of the planar monopole. Prototypes have been constructed and experimental results show, that with an antenna height less than 10% of the free-space wavelength of the center operating frequency, the proposed antenna can have a monopole radiation pattern with an impedance bandwidth larger than three times that of a corresponding monopolar wire-patch antenna.</t>
  </si>
  <si>
    <t>1328-1330</t>
  </si>
  <si>
    <t>60008495;60011357;60011357</t>
  </si>
  <si>
    <t>7004026337;7402085798;35460663000</t>
  </si>
  <si>
    <t>Row, Jeen Sheen;Yeh, Shih Huang;Wong, Kin Lu</t>
  </si>
  <si>
    <t>Kaohsiung;Changhua</t>
  </si>
  <si>
    <t>National Sun Yat-Sen University;Chienkuo Technology University Taiwan</t>
  </si>
  <si>
    <t>60011357;60008495</t>
  </si>
  <si>
    <t>Row J.</t>
  </si>
  <si>
    <t>A wide-band monopolar plate-patch antenna</t>
  </si>
  <si>
    <t>10.1109/TAP.2002.804452</t>
  </si>
  <si>
    <t>2-s2.0-0036761408</t>
  </si>
  <si>
    <t>Regione Campania</t>
  </si>
  <si>
    <t>['transmitting antenna', 'synthetic data', 'space measurements', 'simulated data', 'shape reconstruction', 'scattered field', 'priori knowledge', 'multifrequency configuration', 'measurement setup', 'experimentally validated', 'different locations', 'collected via', 'automatic system']</t>
  </si>
  <si>
    <t>Electromagnetic inverse scattering problems | Experimental data | Linear inversion | Physical optics (PO) approximation | Shape reconstruction</t>
  </si>
  <si>
    <t>The effectiveness of a linear inverse scattering algorithm for the shape reconstruction of perfectly conducting objects is experimentally validated by processing measured data. The data are collected via an automatic system for free-space measurements under reflection mode geometry. The amplitude and phase of the scattered field is measured in a multistatic and multifrequency configuration for different locations (views) of the transmitting antenna. The reliability of the measurement setup is shown by a comparison with simulated data. No a priori knowledge of the shape of the scatterers is assumed. The results of inversions of experimental data collected under single-view illumination agree well with those of inversions of synthetic data, so showing the robustness of the algorithm.</t>
  </si>
  <si>
    <t>2093-2099</t>
  </si>
  <si>
    <t>60026777;60020167;60026777;60001111</t>
  </si>
  <si>
    <t>7006282232;56963446400;7005281565;6603673875</t>
  </si>
  <si>
    <t>Brancaccio, Adriana;Leone, Giovanni;Pierri, Rocco;Soldovieri, Francesco</t>
  </si>
  <si>
    <t>Naples;Reggio Calabria;Naples</t>
  </si>
  <si>
    <t>Universit√† degli Studi della Campania Luigi Vanvitelli;Universit√† degli Studi di Reggio Calabria;Consiglio Nazionale delle Ricerche, Institute for Electromagnetic Sensing of the Environment</t>
  </si>
  <si>
    <t>60026777;60020167;60001111</t>
  </si>
  <si>
    <t>Brancaccio A.</t>
  </si>
  <si>
    <t>Experimental validation of a PO-based shape reconstruction algorithm</t>
  </si>
  <si>
    <t>10.1109/TGRS.2002.803715</t>
  </si>
  <si>
    <t>2-s2.0-0036762737</t>
  </si>
  <si>
    <t>294-300</t>
  </si>
  <si>
    <t>Doklady Mathematics</t>
  </si>
  <si>
    <t>Application of the Bolzano function to the theory of fractal antennas</t>
  </si>
  <si>
    <t>2-s2.0-0036763633</t>
  </si>
  <si>
    <t>['substantially reduce', 'sinr levels', 'simulations presented', 'significant increase', 'qos index', 'paper addresses', 'noise ratio', 'multimedia users', 'iterative method', 'interference conditions', 'different users', 'desired levels', 'channel fading', 'algorithm uses', 'adaptive quality']</t>
  </si>
  <si>
    <t>Antenna arrays | Interference suppression | Mobile communication | Multimedia communication | Power control</t>
  </si>
  <si>
    <t>This paper addresses the problem of adaptive quality-of-service (QoS) for mobile multimedia services under a power controlled wireless network using smart antennas. Given the nature of multimedia, we chose the signal-to-interference and noise ratio (SINR) of each user's channel as the QoS index. We direct our attention toward two problems. The first is to increase the SINR levels for multimedia users as much as the system can provide for, under the channel fading and interference conditions. Different users have distinct desired SINR levels according to their requested service types; our algorithm uses an iterative method to drive the SINR levels as close as possible to those desired levels. The SINR levels are improved without deteriorating quality for other types of users. Simulations presented here show a significant increase in the average SINR levels for multimedia users. The second problem considered in this paper, is how to speedily initiate new users into the network by using lower complexity algorithms that yield reliable results. As shown in the simulations, our fast activation scheme can substantially reduce the time for activating new users into the system.</t>
  </si>
  <si>
    <t>1223-1233</t>
  </si>
  <si>
    <t>7005194301;57218985068</t>
  </si>
  <si>
    <t>Adaptive QoS for wireless multimedia networks using power control and smart antennas</t>
  </si>
  <si>
    <t>10.1109/TVT.2002.801739</t>
  </si>
  <si>
    <t>2-s2.0-0036766188</t>
  </si>
  <si>
    <t>F19628-00-C-0002</t>
  </si>
  <si>
    <t>['system performance', 'satellite communications', 'presented based', 'paper presents', 'joint statistics', 'individual elements', 'highly dependent', 'fluctuations due', 'floating hose', 'element combining', 'design procedure', 'communications requirements', 'coherent multi', 'array design', 'analyzed using']</t>
  </si>
  <si>
    <t>Adaptive | Antenna | Array | Beamforming | Diversity combining | Fading channel</t>
  </si>
  <si>
    <t>This paper presents an analysis and design procedure for a buoyant cable array antenna used for satellite communications. The towed multi element array is susceptible to washovers and fluctuations due to the ocean wave interaction with the floating hose where the elements are housed. A model of system performance for coherent multi-element combining is presented based on the dropouts and fades of the individual elements. The array design, including the number and spacing of elements, is shown to be highly dependent on the individual element exposure characteristics and the degree of correlation of the fades between channels. The joint statistics of the array are analyzed using a binary conditional element exposure model and a first-order Markov interelement correlation model. Using this analysis, a family of array designs meeting the communications requirements is produced.</t>
  </si>
  <si>
    <t>799-807</t>
  </si>
  <si>
    <t>7201821965;57197636083</t>
  </si>
  <si>
    <t>Carlson, Blair D.;Goodman, Leonard M.</t>
  </si>
  <si>
    <t>Carlson B.</t>
  </si>
  <si>
    <t>Adaptive antenna system design for multi-element combining with transient interrupted channels</t>
  </si>
  <si>
    <t>10.1109/TVT.2002.800627</t>
  </si>
  <si>
    <t>2-s2.0-0036766416</t>
  </si>
  <si>
    <t>HYU</t>
  </si>
  <si>
    <t>['strong interferers', 'simulation results', 'processing gain', 'output signals', 'noise ratio', 'maximum signal', 'high enough', 'given code', 'effectively deal', 'division multiple', 'desired signal', 'cdma systems', 'become dominant', 'array system', 'antenna elements', '3 ],', '15 ].']</t>
  </si>
  <si>
    <t>Adaptive arrays | Code-division multiple access (CDMA) | Generalized eigenvector | Lagrange multiplier | Maximum signal-to-(interference plus noise) ratio (MSINR) beamforming</t>
  </si>
  <si>
    <t>Blind beamforming based on the maximum signal-to-noise ratio (MSNR) can improve the performance of the array system only when the processing gain of the given code-division multiple-access (CDMA) system is high enough such that the desired signal can become dominant after the despreading [3], [15]. In this paper, we consider a maximum signal-to-(interference plus noise) ratio (MSINR) beamforming. The MSINR performance criterion is chosen to effectively deal with strong interferers. It is shown in this paper that a blind MSINR beamforming is possible by directly utilizing input and output signals of correlators of the CDMA systems. In addition, we propose an adaptive beamforming algorithm at a lower computational complexity - about O(7.5N) - where N is the number of antenna elements of the array system. Simulation results are presented in various signal environments to show the performance of the proposed adaptive algorithm.</t>
  </si>
  <si>
    <t>808-816</t>
  </si>
  <si>
    <t>60024872;60028333;60024872;60012704</t>
  </si>
  <si>
    <t>55413900600;7501393707;7102695583;7402755121</t>
  </si>
  <si>
    <t>Choi, Seungwon;Choi, Jinho;Im, Heung Jae;Choi, Byungcho</t>
  </si>
  <si>
    <t>Australia;South Korea;South Korea</t>
  </si>
  <si>
    <t>Sydney;Seoul;Daegu</t>
  </si>
  <si>
    <t>UNSW Sydney;Hanyang University;Kyungpook National University</t>
  </si>
  <si>
    <t>60028333;60024872;60012704</t>
  </si>
  <si>
    <t>Choi S.</t>
  </si>
  <si>
    <t>A novel adaptive beamforming algorithm for antenna array CDMA systems with strong interferers</t>
  </si>
  <si>
    <t>10.1109/TVT.2002.801546</t>
  </si>
  <si>
    <t>2-s2.0-0036766426</t>
  </si>
  <si>
    <t>['synthesising improved', 'quality images', 'optical imaging', 'obtained images', 'good agreement', 'experimental results', 'destructive factors']</t>
  </si>
  <si>
    <t>Gibbs effect | Millimetre wavelength range | Quasi-optical imaging system | Radiation coherence | Receiving antenna-coupled Schottky diode array | Synthesis of improved-quality images</t>
  </si>
  <si>
    <t>The possibilities of quasi-optical imaging of concealed objects illuminated by millimetre wavelength range radiation are demonstrated both theoretically and experimentally. The influence of the spatial Gibbs effect and of other destructive factors on the quality of the obtained images is studied. A method is proposed for synthesising improved-quality images with enhanced information content in the millimetre wavelength range. It is shown that the theoretical and experimental results are in good agreement.</t>
  </si>
  <si>
    <t>835-843</t>
  </si>
  <si>
    <t>Quantum Electronics</t>
  </si>
  <si>
    <t>60105253;60105253;60105253;60105253</t>
  </si>
  <si>
    <t>36721038500;6602161851;7006473993;56582804900</t>
  </si>
  <si>
    <t>Volkov, L. V.;Voronko, A. I.;Karapetyan, A. R.;Tikhomirov, S. A.</t>
  </si>
  <si>
    <t>Fryazino</t>
  </si>
  <si>
    <t>Kotel'nikov Institute of Radio Engineering and Electronics of Russian Academy of Sciences, Fryazino Branch</t>
  </si>
  <si>
    <t>Volkov L.V.</t>
  </si>
  <si>
    <t>Synthesis of improved-quality images in the millimetre wavelength range</t>
  </si>
  <si>
    <t>10.1070/QE2002v032n09ABEH002302</t>
  </si>
  <si>
    <t>2-s2.0-0036766447</t>
  </si>
  <si>
    <t>CCR-9725271</t>
  </si>
  <si>
    <t>['waveforms generated', 'simulating fading', 'receiver element', 'received signal', 'particular distribution', 'new method', 'multiplicative fading', 'models used', 'mobile transmitter', 'jakes method', 'fading waveforms', 'directly considering', 'azimuth dispersion', 'arrival angle', 'appropriately correlated', 'appropriate correlation', 'analytical correlation']</t>
  </si>
  <si>
    <t>Antenna arrays | Azimuth dispersion | Channel modeling | Jakes fading model</t>
  </si>
  <si>
    <t>A new method for simulating the multiplicative fading of the narrow-band, flat wireless channel for antenna array receivers is presented. The new approach produces a set of fading waveforms, one waveform associated with each receiver element, in which the waveforms are appropriately correlated to take into account the spread, or dispersion, in the azimuth (arrival angle) of the received signal. The new method is an extension of the Jakes method of simulating fading in which the appropriate correlation of the set of waveforms is accomplished by directly considering the azimuth of scatterers in a particular distribution about the mobile transmitter. The models used for this cluster of scatterers are a ring and a disk of scatterers. Further modifications of the disk model permit the generation of fading waveforms which are correlated in a manner which reflect actual field measurements of azimuth dispersion. Analytical correlation of these models is reviewed for purposes of verification with the waveforms generated by the method.</t>
  </si>
  <si>
    <t>968-977</t>
  </si>
  <si>
    <t>60004661;60004661;60004923</t>
  </si>
  <si>
    <t>6602432816;7102480501;7004157137</t>
  </si>
  <si>
    <t>Fulghum, Tracy L.;Molnar, Karl J.;Duel-Hallen, Alexandra</t>
  </si>
  <si>
    <t>Raleigh;Stockholm</t>
  </si>
  <si>
    <t>NC State University;Telefonaktiebolaget LM Ericsson</t>
  </si>
  <si>
    <t>60004923;60004661</t>
  </si>
  <si>
    <t>Fulghum T.L.</t>
  </si>
  <si>
    <t>The Jakes fading model for antenna arrays incorporating azimuth spread</t>
  </si>
  <si>
    <t>10.1109/TVT.2002.801742</t>
  </si>
  <si>
    <t>2-s2.0-0036766449</t>
  </si>
  <si>
    <t>['varying phases', 'varying channel', 'time diversity', 'supports space', 'smart antennas', 'smart antenna', 'small oscillations', 'signals generated', 'q carriers', 'novel merger', 'multicarrier code', 'merging mc', 'intended user', 'innovative fashion', 'increased capacity', 'employing mc', 'division multiple', 'cdma system', 'carefully controlled', 'bs ).', 'beam pattern', 'base station', 'array elements']</t>
  </si>
  <si>
    <t>Antenna array | Beam-pattern sweeping | Diversity | Multicarrier code-division multiple-access (MC-CDMA) | Space-division multiple access (SDMA) | Transmit diversity</t>
  </si>
  <si>
    <t>In this paper, we introduce a novel merger of smart antenna arrays and multicarrier code-division multiple-access (MC-CDMA) systems. Here, each group of Q carriers in the MC-CDMA system is applied to its own M-element smart antenna at the base station (BS). The smart antennas are separated by a distance that ensures that signals generated by each smart antenna are independent. Applying proper time-varying phases to array elements of each smart antenna array, the beam pattern is carefully controlled to generate a mainlobe at the position of the intended user and small oscillations in the beam pattern. This beam-pattern oscillation creates a time-varying channel with a controllable coherence time and a time diversity benefit at the receiver. Employing MC-CDMA with the proposed antenna array at the BS, we achieve: 1) directionality, which supports space-division multiple access (SDMA); 2) a time diversity gain; and 3) increased capacity and performance via MC-CDMA's ability to support both CDMA and frequency diversity benefits. Hence, merging MC-CDMA and BS antenna arrays in an innovative fashion, we achieve high performance at the mobile via joint frequency-time diversity, and high network capacity via joint space-code division multiple access.</t>
  </si>
  <si>
    <t>60016536;60009226;100510979</t>
  </si>
  <si>
    <t>Houghton;Fort Collins;Louisville</t>
  </si>
  <si>
    <t>Michigan Technological University;Colorado State University;Idris Communications</t>
  </si>
  <si>
    <t>Oscillating-beam smart antenna arrays and multicarrier systems: Achieving transmit diversity, frequency diversity, and directionality</t>
  </si>
  <si>
    <t>10.1109/TVT.2002.800628</t>
  </si>
  <si>
    <t>2-s2.0-0036766452</t>
  </si>
  <si>
    <t>['user holds', 'typically used', 'total efficiency', 'system specifications', 'spherical dual', 'sight situations', 'results show', 'result shows', 'power distribution', 'positive sides', 'mobile station', 'meg depends', 'maximum gain', 'little effect', 'incident power', 'head model', 'ghz frequency', 'free space', 'experimental data', 'environment type', 'different slopes', 'considerably lower', 'antenna type', '9 km', '5 dbi', '4 db']</t>
  </si>
  <si>
    <t>Angular power distribution | Mean effective gain | Mobile antenna | Polarization | Radio channel sounding</t>
  </si>
  <si>
    <t>We measured the elevation angle distribution and cross-polarization power ratio of the incident power at the mobile station in different radio propagation environments at 2.15-GHz frequency. A novel measurement technique was utilized, based on a wide-band channel sounder and a spherical dual-polarized antenna array at the receiver. Data were collected over 9 km of continuous measurement routes, both indoor and outdoor. Our results show that in non-line-of-sight situations, the power distribution in elevation has a shape of a double-sided exponential function, with different slopes on the negative and positive sides of the peak. The slopes and the peak elevation angle depend on the environment and base-station antenna height. The cross-polarization power ratio varied within 6.6 and 11.4 dB, being lowest for indoor and highest for urban microcell environments. We applied the experimental data for analysis of the mean effective gain (MEG) of several mobile handset antenna configurations, with and without the user's head. The obtained MEG values varied from approximately -5 dBi in free space to less than -11 dBi beside the head model. These values are considerably lower than what is typically used in system specifications. The result shows that considering only the maximum gain or total efficiency of the antenna is not enough to describe its performance in practical operating conditions. For most antennas, the environment type has little effect on the MEG, but clear differences exist between antennas. The effect of the user's head on the MEG depends on the antenna type and on which side of the head the user holds the handset.</t>
  </si>
  <si>
    <t>823-838</t>
  </si>
  <si>
    <t>60103653;60103653;60033191;60103653;60026638;60103653</t>
  </si>
  <si>
    <t>6603078359;6603263849;57197443598;6602383937;55881646500;7005441452</t>
  </si>
  <si>
    <t>Kalliola, Kimmo;Sulonen, Kati;Laitinen, Heikki;Kivek√§s, Outi;Krogerus, Joonas;Vainikainen, Pertti</t>
  </si>
  <si>
    <t>Finland;Finland;Finland</t>
  </si>
  <si>
    <t>Espoo;Espoo;Espoo</t>
  </si>
  <si>
    <t>Aalto University;VTT Technical Research Centre of Finland;Nokia Corporation</t>
  </si>
  <si>
    <t>60103653;60033191;60026638</t>
  </si>
  <si>
    <t>Kalliola K.</t>
  </si>
  <si>
    <t>Angular power distribution and mean effective gain of mobile antenna in different propagation environments</t>
  </si>
  <si>
    <t>10.1109/TVT.2002.800639</t>
  </si>
  <si>
    <t>2-s2.0-0036766505</t>
  </si>
  <si>
    <t>['unknown gain', 'signals could', 'rights reserved', 'reference user', 'prior knowledge', 'phase errors', 'linear array', 'code sequence', 'built w', 'asynchronous cdma', 'antenna gain']</t>
  </si>
  <si>
    <t>Array antennas | Asynchronous CDMA | Calibration | Direction of arrivals</t>
  </si>
  <si>
    <t>A new iterative calibration algorithm is presented for an asynchronous CDMA-based antenna array in the presence of unknown gain and phase errors. The algorithm is applicable to a non-linear array where the number of signals could be greater than the number of antennas. It does not require a prior knowledge of the direction of arrivals (DOAs) of the signals of any user but requires the code sequence of a reference user. The proposed algorithm provides us with estimates of the DOAs, the multi-path impulse response of the reference signal source, and the calibration of the antenna gain and phase, even under a multiple access interference. We verify the algorithm by using synthetic data as well as field data measured through a custom-built W-CDMA test bed. ¬© 2002 Elsevier Science B.V. All rights reserved.</t>
  </si>
  <si>
    <t>1255-1268</t>
  </si>
  <si>
    <t>8927219500;7202588575</t>
  </si>
  <si>
    <t>Lee, Chong Hyun;Chun, Joohwan</t>
  </si>
  <si>
    <t>Lee C.</t>
  </si>
  <si>
    <t>A subspace-based online calibration algorithm for an asynchronous CDMA-based antenna array</t>
  </si>
  <si>
    <t>S0165168402002487</t>
  </si>
  <si>
    <t>10.1016/S0165-1684(02)00248-7</t>
  </si>
  <si>
    <t>2-s2.0-0036768487</t>
  </si>
  <si>
    <t>['temperature transients', 'temperature oscillations', 'single cold', 'receptors cells', 'rapid step', 'rapid cooling', 'particular improving', 'parallel pathways', 'like warming', 'like cooling', 'instantaneous temperature', 'first contained', 'excited either', 'double dependence', 'discharge rates', 'cockroach antennae', 'antennal lobe', 'antennal cold']</t>
  </si>
  <si>
    <t>Cold-receptor cells | Warm- and cold-responsive projection neurons</t>
  </si>
  <si>
    <t>The temperature receptor cells on the cockroach antennae are all excited by rapid cooling. In the antennal lobe, however, cold- as well as warm-responsive neurons occur. They are excited either by rapid step-like cooling or rapid step-like warming. Responses to such temperature transients do not show, however, whether antennal lobe neurons convey information on slowly changing temperatures typical of temperature gradients used for orientation. In contrast slow temperature changes permit an analysis of the effects of both instantaneous temperature and its rate of change. We compared the effect of slow temperature oscillations on the responses of antennal cold-receptors cells and cold- and warm-responsive projection neurons. In all cases the discharge rates were modulated by the temperature oscillations. They displayed a double dependence on instantaneous temperature and its rate of change. Information about cooling and warming, first contained in the output of a single cold-receptor cell diverges to form the parallel pathways of cold- and warm-responsive projection neurons, thereby in particular improving the detection of fluctuations in temperature.</t>
  </si>
  <si>
    <t>643-648</t>
  </si>
  <si>
    <t>Journal of Comparative Physiology A: Neuroethology, Sensory, Neural, and Behavioral Physiology</t>
  </si>
  <si>
    <t>60069038;60069038</t>
  </si>
  <si>
    <t>57197477705;7004777373</t>
  </si>
  <si>
    <t>Fischer, H.;Tichy, H.</t>
  </si>
  <si>
    <t>Austria</t>
  </si>
  <si>
    <t>Vienna</t>
  </si>
  <si>
    <t>University of Vienna Institute of Zoology</t>
  </si>
  <si>
    <t>Fischer H.</t>
  </si>
  <si>
    <t>Cold-receptor cells supply both cold- and warm-responsive projection neurons in the antennal lobe of the cockroach</t>
  </si>
  <si>
    <t>10.1007/s00359-002-0339-1</t>
  </si>
  <si>
    <t>2-s2.0-0036771039</t>
  </si>
  <si>
    <t>['yet unidentified', 'varying mixture', 'ultrasoft agn', 'ultraluminous x', 'two situations', 'two classes', 'ray sources', 'ray emission', 'ray binaries', 'microquasar type', 'mass x', 'latter probably', 'host galaxy', 'generally ss433', 'eddington class', 'close analogy', 'boosted x', 'apparently super', '105 respectively']</t>
  </si>
  <si>
    <t>Accretion, accretion discs | Binaries: close | Galaxies: active | X-rays: galaxies | X-rays: stars</t>
  </si>
  <si>
    <t>I suggest that there are two classes of ultraluminous X-ray sources (ULXs), corresponding to super-Eddington mass inflow in two situations: (a) thermal-time-scale mass transfer in high-mass X-ray binaries, and (b) long-lasting transient outbursts in low-mass X-ray binaries. These two classes are exemplified by SS433 and microquasars like GRS 1915+105 respectively. The observed ULX population is a varying mixture of the two, depending on the star formation history of the host galaxy. ULXs in galaxies with vigorous star formation (such as the Antennae) are generally SS433-like, while ULXs in elliptical galaxies must be of the microquasar type. The latter probably have significantly anisotropic radiation patterns. They should also be variable, but demonstrating this may require observations over decades. The close analogy between models of X-ray binaries and active galactic nuclei (AGN) suggests that there should exist an apparently super-Eddington class of the latter, which may be the ultrasoft AGN, and a set of X-ray binaries with Doppler-boosted X-ray emission. These are presumably a subset of the ULXs, but remain as yet unidentified.</t>
  </si>
  <si>
    <t>King, A. R.</t>
  </si>
  <si>
    <t>Leicester</t>
  </si>
  <si>
    <t>University of Leicester</t>
  </si>
  <si>
    <t>King A.</t>
  </si>
  <si>
    <t>The brightest black holes</t>
  </si>
  <si>
    <t>10.1046/j.1365-8711.2002.05745.x</t>
  </si>
  <si>
    <t>2-s2.0-0038350125</t>
  </si>
  <si>
    <t>['‚ àº85', 'youngest clusters', 'weak correlation', 'ubvi colors', 'typically required', 'strong correlation', 'spectral index', 'showing correlations', 'reddening degeneracy', 'reach av', 'range 0', 'radio sources', 'radio properties', 'radio flux', 'optical matches', 'optical image', 'optical counterparts', 'optical characteristics', 'nonthermal sources', 'median value', 'hot gas', 'heckman models', 'geneva tracks', 'extincted cluster', 'equivalent width', 'earlier suggestions', 'developed using', 'charlot models', 'av suggests', 'ages 8', '6 mag', '4 myr', '37 radio', '13 myr', '10 myr', '1 mag']</t>
  </si>
  <si>
    <t>Galaxies: individual (NGC 4038, NGC 4039) | Galaxies: interactions | Galaxies: star clusters</t>
  </si>
  <si>
    <t>A reexamination of the correspondence between 6 cm radio continuum sources and young star clusters in the Antennae galaxies indicates that ‚àº85% of the strong thermal sources have optical counterparts, once the optical image is shifted 1.‚Ä≥2 to the southwest. A sample of 37 radio-optical matches are studied in detail, showing correlations between radio properties (i.e., total flux and spectral index) and a variety of optical characteristics (i.e., intrinsic cluster brightness, HŒ± flux and equivalent width, extinction, and cluster ages). There is a strong correlation between the radio flux and the intrinsic optical brightness. In particular, the brightest radio source is also the intrinsically brightest optical cluster (WS 80). It is also the most extincted cluster in the sample, the strongest CO source, and the strongest 15 micron source. Furthermore, the 10 brightest radio sources are all among the youngest clusters, with ages in the range 0-4 Myr and extinctions from A V = 0.5 to 7.6 mag (with a median value of 2.6 mag). A weak correlation between age and AV suggests that ‚àº6 Myr are typically required to remove enough dust to reach AV=1 mag. The radio-bright phase lasts only about 10 Myr in these clusters, consistent with the interpretation that most of the radio emission originates from hot gas. Many of the nondetections are probably individual supernova remnants since they have relatively steep radio indices typical of nonthermal sources. Only a few of the very red clusters originally discovered by Whitmore and Schweizer are radio sources, contrary to earlier suggestions. Finally, a new hybrid method of determining cluster ages has been developed using both UBVI colors and HŒ± equivalent widths to break the age-reddening degeneracy. We find that the Bruzual and Charlot models, which use the Padova spectral evolution tracks, fit the data reasonably well, while the Leitherer &amp; Heckman models, using the Geneva tracks, have a large red loop for ages 8-13 Myr that does not agree with the data.</t>
  </si>
  <si>
    <t>1418-1434</t>
  </si>
  <si>
    <t>3 1761</t>
  </si>
  <si>
    <t>Astronomical Journal</t>
  </si>
  <si>
    <t>60008158;60008158-60005248</t>
  </si>
  <si>
    <t>7003581599;46361941000</t>
  </si>
  <si>
    <t>Whitmore, Bradley C.;Zhang, Qing</t>
  </si>
  <si>
    <t>Baltimore;Baltimore</t>
  </si>
  <si>
    <t>Space Telescope Science Institute;Johns Hopkins University</t>
  </si>
  <si>
    <t>60008158;60005248</t>
  </si>
  <si>
    <t>Whitmore B.</t>
  </si>
  <si>
    <t>What fraction of the young clusters in the antennae galaxies are "missing"?</t>
  </si>
  <si>
    <t>10.1086/341822</t>
  </si>
  <si>
    <t>2-s2.0-0042129512</t>
  </si>
  <si>
    <t>['would like', 'voxel size', 'usually used', 'transaxial fwhm', 'tomograph geometry', 'storing space', 'spatial resolution', 'sparse properties', 'sparc ultra450', 'snr improves', 'severe increase', 'serious loss', 'routinely used', 'rights reserved', 'reconstruction time', 'pet tomograph', 'noise ratio', 'matrix elements', 'line computation', 'image reconstructions', 'image reconstruction', 'filtered backprojection', 'ferrara university', 'detector within', 'computation time', 'coincidence tube', 'allows us', 'acquired data', '5mm apart', '0mm fwhm']</t>
  </si>
  <si>
    <t>Estimation maximization | Iterative reconstruction | PET | YAP:Ce</t>
  </si>
  <si>
    <t>Objective. We would like to improve the image reconstructions for both signal-to-noise ratio (SNR) and spatial resolution characteristics for the small animal positron emission tomograph YAP-PET, built at the Department of Physics of Ferrara University. The three-dimensional (3D) filtered backprojection (FBP) algorithm, usually used for image reconstruction, has a limited angle restriction due to the tomograph geometry, which causes a serious loss in sensitivity. Methods. We implemented a 3D iterative reconstruction program using the symmetry and sparse properties of the 'probability matrix', which correlates the emission from each voxel to the detector within a coincidence tube. A fraction only of matrix elements are calculated before the reconstruction and stored on disk: this allows us to avoid on-line computation. A depth dependent function differentiates the voxels in a coincidence tube. Three experimental phantoms with no background were reconstructed by using the program, in comparison with traditionally used FBP. Results. The adopted method allowed us to reduce the computation time significantly. Furthermore, the simple depth dependent function improved the spatial resolution. With 64√ó64√ó20 voxels of 0.625√ó0.625√ó2.0mm3 in the field of view, the computation time was less than 4min per iteration on a Sparc Ultra450 Workstation, and less than 6min per iteration on a Mac-PPC G3 300MHz: the spatial resolution measured with a 0.8mm diameter 18F-FDG filled capillary reconstructed in this way was 2.0mm FWHM. By decreasing the voxel size to 0.3125√ó0.3125√ó2.0mm3 per voxel the transaxial FWHM was 1.7mm with a computation time of 15min per iteration on a Sparc Ultra450. By using all the acquired data, the SNR improves from 1.3 to 6.0 in the worst measured case, a pair of 0.8mm diameter 18F-FDG filled capillaries, which are 2.5mm apart each other. Conclusion. The adoption of iterative reconstruction allowed us to overcome the loss in sensitivity of previously used FBP: this improved the SNR. The studies of symmetry and sparse properties avoided a severe increase of the reconstruction time and of storing space on disk. This fast EM Algorithm is now routinely used for the image reconstruction with the YAP-PET tomograph. ¬© 2002 Elsevier Science Ltd. All rights reserved.</t>
  </si>
  <si>
    <t>293-302</t>
  </si>
  <si>
    <t>60028868;60024690-60028868;60028868;60024690;60024690</t>
  </si>
  <si>
    <t>7102068789;7004676269;7005468124;7003657014;7004998265</t>
  </si>
  <si>
    <t>Motta, Alfonso;Damiani, Chiara;Del Guerra, Alberto;Di Domenico, Giovanni;Zavattini, Guido</t>
  </si>
  <si>
    <t>Pisa;Ferrara</t>
  </si>
  <si>
    <t>Universit√† di Pisa;University of Ferrara</t>
  </si>
  <si>
    <t>60028868;60024690</t>
  </si>
  <si>
    <t>Motta A.</t>
  </si>
  <si>
    <t>Use of a fast EM algorithm for 3D image reconstruction with the YAP-PET tomograph</t>
  </si>
  <si>
    <t>S0895611102000344</t>
  </si>
  <si>
    <t>10.1016/S0895-6111(02)00034-4</t>
  </si>
  <si>
    <t>2-s2.0-0042630441</t>
  </si>
  <si>
    <t>['using information', 'two regions', 'tps structures', 'three types', 'thies ).', 'services offered', 'rural communes', 'rural areas', 'regional centres', 'regional antennas', 'project aimed', 'main villages', 'localities outside', 'idrc ).', 'financial support', 'experimental network', 'community antennas', 'communication technologies', 'called antennas', 'businessmen operating', 'acacia programme1']</t>
  </si>
  <si>
    <t>The Decentralization of Trade Point Senegal (TPS) Project (1998-2001) was implemented with the financial support of the Acacia Programme1/ of the International Development Research Centre (IDRC). The project aimed to experiment with the decentralization of services offered by the TPS to businessmen operating in localities outside of Dakar, the capital of Senegal, while using information and communication technologies (ICTs) through an experimental network of six TPS telecentres located in two regions of the country (Saint-Louis and Thies). Three types of TPS structures, called antennas, were created: regional antennas, situated in the regional centres; community antennas, located in the rural communes; and rural antennas situated in the main villages in the rural areas.</t>
  </si>
  <si>
    <t>85-103</t>
  </si>
  <si>
    <t>Regional Development Dialogue</t>
  </si>
  <si>
    <t>101168027;100774419;101168027</t>
  </si>
  <si>
    <t>6506214691;6504534184;6503867803</t>
  </si>
  <si>
    <t>Etta, Florence E.;Thioune, Ramata Aw;Adera, Edith</t>
  </si>
  <si>
    <t>Kenya;Senegal</t>
  </si>
  <si>
    <t>Nairobi;Dakar</t>
  </si>
  <si>
    <t>IDRC;IDRC</t>
  </si>
  <si>
    <t>101168027;100774419</t>
  </si>
  <si>
    <t>Etta F.E.</t>
  </si>
  <si>
    <t>Case study of acacia telecentres: Trade point Senegal and Uganda</t>
  </si>
  <si>
    <t>2-s2.0-0142072494</t>
  </si>
  <si>
    <t>Review of Scientific Instruments</t>
  </si>
  <si>
    <t>Crooker, S. A.</t>
  </si>
  <si>
    <t>Tallahassee</t>
  </si>
  <si>
    <t>National High Magnetic Field Laboratory Los Almos</t>
  </si>
  <si>
    <t>Crooker S.</t>
  </si>
  <si>
    <t>Fiber-coupled antennas for ultrafast coherent terahertz spectroscopy in low temperatures and high magnetic fields</t>
  </si>
  <si>
    <t>10.1063/1.1498904</t>
  </si>
  <si>
    <t>2-s2.0-18544369124</t>
  </si>
  <si>
    <t>['wave circuits', 'vertical transition', 'vertical integration', 'transition technique', 'shows less', 'return loss', 'microstrip modes', 'layer millimeter', 'insertion loss', 'double resonance', 'db bandwidth', 'cpw )-', 'coplanar waveguide', 'built using', 'band operation', 'band frequencies', '3 db', '12 db', '110 ghz']</t>
  </si>
  <si>
    <t>Microstrip antenna | Millimeter-wave circuits | Multi-layer circuit | Wideband transition</t>
  </si>
  <si>
    <t>A broadband vertical transition from coplanar waveguide (CPW)-to-microstrip modes is presented. The transition has a double resonance and can be tuned for very wide-band operation. The CPW-to-microstrip modes coupling technique is useful for the vertical integration of multi-layer millimeter-wave circuits, packaging and antenna feeding networks. A vertical transition has been fabricated on 100 Œºm silicon substrate for operation at W-band frequencies and shows less than 0.3 dB of insertion loss and better than 12 dB of return loss from 75 to 110 GHz. A 94 GHz CPW-fed microstrip antenna showing a 10-dB bandwidth of about 30% has been built using the same transition technique.</t>
  </si>
  <si>
    <t>1357-1369</t>
  </si>
  <si>
    <t>60025778;60000874</t>
  </si>
  <si>
    <t>7202589490;7006390970</t>
  </si>
  <si>
    <t>Ellis, Thomas J.;Raskin, Jean Pierre</t>
  </si>
  <si>
    <t>Ann Arbor;Louvain-la-Neuve</t>
  </si>
  <si>
    <t>University of Michigan, Ann Arbor;Universit√© Catholique de Louvain</t>
  </si>
  <si>
    <t>Ellis T.</t>
  </si>
  <si>
    <t>A broadband CPW-to-microstrip modes coupling technique</t>
  </si>
  <si>
    <t>10.1023/A:1020201709868</t>
  </si>
  <si>
    <t>2-s2.0-1942539028</t>
  </si>
  <si>
    <t>['satellite system', 'satellite scale', 'rain attenuation', 'major problem', 'large reflector', 'ghz band', 'feasibility study', 'also conducted']</t>
  </si>
  <si>
    <t>The 21-GHz band is much-expected as new satellite broadcasting band to realize more attractive digital broadcasting. However, rain attenuation in the 21-GHz band is a major problem for reliable program transmission. Hence, an efficient compensation technique for rain attenuation must be developed. To achieve adaptive rain attenuation compensation, a phased-array transmitting antenna with a large reflector and a miniature traveling wave tube(TWT) array are studied and the required transmitting power for a broadcasting satellite system in the 21-GHz band in Japan is estimated. A feasibility study of the satellite system in terms of the satellite scale is also conducted.</t>
  </si>
  <si>
    <t>0027657X</t>
  </si>
  <si>
    <t>NHK Laboratories Note</t>
  </si>
  <si>
    <t>109030536;109030536;109030536</t>
  </si>
  <si>
    <t>6505867947;55730303000;36853175700</t>
  </si>
  <si>
    <t>Minematsu, Fumiaki;Tanaka, Shoji;Nakagawa, Hitoshi</t>
  </si>
  <si>
    <t>NHK Sci. and Tech. Res. Laboratories</t>
  </si>
  <si>
    <t>Minematsu F.</t>
  </si>
  <si>
    <t>Estimation of transmitting power to compensate for rain attenuation for a broadcasting satellite system in the 21-GHz band</t>
  </si>
  <si>
    <t>2-s2.0-84888956470</t>
  </si>
  <si>
    <t>['wide class', 'sinusoidal character', 'proposed model', 'line approximation', 'insulated antenna', 'current distribution', 'conducting medium']</t>
  </si>
  <si>
    <t>The sinusoidal character of the current distribution over an insulated antenna immersed into a semi-conducting medium is validated in the long-line approximation. The applicability of the proposed model to solving a wide class of practical problems reducible to the analysis of an insulated antenna is demonstrated.</t>
  </si>
  <si>
    <t>956-960</t>
  </si>
  <si>
    <t>Selin, V. I.</t>
  </si>
  <si>
    <t>Selin V.</t>
  </si>
  <si>
    <t>Long-line approximation for an insulated antenna</t>
  </si>
  <si>
    <t>2-s2.0-9144251113</t>
  </si>
  <si>
    <t>['two real', 'thick center', 'small distances', 'mutual impedance', 'method gives', 'good agreement', 'fed dipoles', 'experimental results', 'compact formula', 'analytical expression']</t>
  </si>
  <si>
    <t>Dipole antennas | Mutual impedance | Near-field coupling</t>
  </si>
  <si>
    <t>A simple and compact formula of dipole mutual impedance is presented. This method gives an analytical expression of mutual impedance between two real, thick center-fed dipoles in a general geometrical configuration for small distances. The results of this new formulation show a good agreement with the numerical (NEC-2) and experimental results.</t>
  </si>
  <si>
    <t>371-374</t>
  </si>
  <si>
    <t>60029116;60029116</t>
  </si>
  <si>
    <t>8629097800;57203908624</t>
  </si>
  <si>
    <t>Kazemipour, A.;Begaud, X.</t>
  </si>
  <si>
    <t>T√©l√©com Paris</t>
  </si>
  <si>
    <t>Kazemipour A.</t>
  </si>
  <si>
    <t>A simple closed-form formula for the mutual impedance of dipoles</t>
  </si>
  <si>
    <t>10.1002/mop.10465</t>
  </si>
  <si>
    <t>2-s2.0-0037026377</t>
  </si>
  <si>
    <t>['wire antenna', 'transient responses', 'stable method', 'presented methodology', 'plane wave', 'numerical results', 'letter presents', 'implicit scheme', 'efie ).', 'domain electric', 'conducting plate']</t>
  </si>
  <si>
    <t>Antenna | Integral equation | Radiation | Scattering | Time domain</t>
  </si>
  <si>
    <t>This Letter presents an accurate and stable method for the solution of transient electromagnetic response from conducting wire structures with the use of the time-domain electric-field integral equation (TD-EFIE). By using an implicit scheme with the central finite difference for the TD-EFIE, the transient responses from a wire scatterer illuminated by a plane wave and a wire antenna with an impressed voltage source are obtained. Also, a wire above a conducting plate is considered. Numerical results that show the validity of the presented methodology are presented.</t>
  </si>
  <si>
    <t>354-359</t>
  </si>
  <si>
    <t>60024472;60030551;60030551;60030551</t>
  </si>
  <si>
    <t>7201805102;55650323300;34879664800;16047527600</t>
  </si>
  <si>
    <t>Jung, Baek Ho;Sarkar, Tapan Kumar;Chung, Young Seek;Ji, Zhong</t>
  </si>
  <si>
    <t>Syracuse;Asan</t>
  </si>
  <si>
    <t>Syracuse University;Hoseo University</t>
  </si>
  <si>
    <t>60030551;60024472</t>
  </si>
  <si>
    <t>Jung B.</t>
  </si>
  <si>
    <t>An accurate and stable implicit solution for transient scattering and radiation from wire structures</t>
  </si>
  <si>
    <t>10.1002/mop.10461</t>
  </si>
  <si>
    <t>2-s2.0-0037026378</t>
  </si>
  <si>
    <t>['simulated results', 'rectangular waveguide', 'narrow wall', 'mom method', 'measured results', 'irregular slots', 'inclined slot', 'hybrid fem', 'good agreement', 'bifurcated waveguide']</t>
  </si>
  <si>
    <t>Finite-difference time domain | Hybrid method | Slotted waveguide antenna</t>
  </si>
  <si>
    <t>A hybrid FEM/MoM method and a finite-difference-time-domain (FDTD) simulator have been employed for the modeling of irregular slot radiators in slotted waveguide antennas. Two typical examples of irregular slots are examined, namely, the T-shaped slot radiator in a bifurcated waveguide and the inclined slot in the narrow wall of rectangular waveguide. In both cases the simulated results are shown to be in good agreement with each other and with measured results.</t>
  </si>
  <si>
    <t>342-344</t>
  </si>
  <si>
    <t>118149993;100312555;60019656</t>
  </si>
  <si>
    <t>9244011700;7003370002;7007049394</t>
  </si>
  <si>
    <t>Wang, H. Y.;Simkin, J.;Sangster, A. J.</t>
  </si>
  <si>
    <t>Edinburgh;Farnborough;Oxford</t>
  </si>
  <si>
    <t>Heriot-Watt University;Nokia UK Ltd.;Vector Fields Ltd</t>
  </si>
  <si>
    <t>60019656;118149993;100312555</t>
  </si>
  <si>
    <t>Wang H.Y.</t>
  </si>
  <si>
    <t>Numerical analysis of irregular slots in slotted waveguide antennas</t>
  </si>
  <si>
    <t>10.1002/mop.10457</t>
  </si>
  <si>
    <t>2-s2.0-0037026379</t>
  </si>
  <si>
    <t>['reduced sar', 'microstrip line', 'loop antennas', 'letter describes', 'field radiation', 'estimated gain', '6 dbi', '33 designed', '2400 mhz']</t>
  </si>
  <si>
    <t>Beam tilt | Pattern shaping | Slot loop antenna</t>
  </si>
  <si>
    <t>This Letter describes a slot loop antenna that is partially short circuited in order to create beam tilt in the far-field radiation for the purpose of reduced SAR. Here the characteristics of a partly shorted slot loop constructed on low-dielectric-constant PCB material, Œµr = 2.33 designed to operate at 2400 MHz are illustrated. The loop is fed from a microstrip line, removing the requirement for the balun feed arrangement normally required for loop antennas. The resulting antenna exhibits a 30¬∞ beam tilt and has an estimated gain of 6 dBi.</t>
  </si>
  <si>
    <t>332-333</t>
  </si>
  <si>
    <t>57196559964;7102894931</t>
  </si>
  <si>
    <t>Subbarao, B.;Fusco, V. F.</t>
  </si>
  <si>
    <t>Subbarao B.</t>
  </si>
  <si>
    <t>Tilted beam slot loop antenna</t>
  </si>
  <si>
    <t>10.1002/mop.10453</t>
  </si>
  <si>
    <t>2-s2.0-0037026383</t>
  </si>
  <si>
    <t>['theoretical results', 'proposed designs', 'obtaining dual', 'coplanar waveguide']</t>
  </si>
  <si>
    <t>CPWG | Dual-frequency | Patch antenna</t>
  </si>
  <si>
    <t>Design of a rectangular coplanar patch antenna for obtaining dual-frequency operation using a coplanar waveguide with ground (CPWG) feed is presented. This is achieved by introducing an CPWG feed line attaching on the diagonal of the patch. Details of the proposed designs are described, and experimental and theoretical results are presented and discussed.</t>
  </si>
  <si>
    <t>397-398</t>
  </si>
  <si>
    <t>A CPWG-FED dual-frequency rectangular patch antenna</t>
  </si>
  <si>
    <t>10.1002/mop.10473</t>
  </si>
  <si>
    <t>2-s2.0-0037026389</t>
  </si>
  <si>
    <t>['human exposure', 'fdtd computations', 'electromagnetic fields']</t>
  </si>
  <si>
    <t>Cellular communications systems | FDTD methods | Prediction methods | Safety</t>
  </si>
  <si>
    <t>The validity of simple formulas based on cylindrical and far-field approximation models for calculating minimum safety distances for the assessment of human exposure to electromagnetic fields from base station antennas is analyzed by comparing with FDTD computations. Results for different actual antenna models show the suitability of each formulation.</t>
  </si>
  <si>
    <t>364-367</t>
  </si>
  <si>
    <t>60026859;60026859;60026859;60026859</t>
  </si>
  <si>
    <t>23109111300;23109336600;56955772600;57190851020</t>
  </si>
  <si>
    <t>MartÃÅnez-BÃÅrdalo, M.;No≈Ñdez, L.;MartÃÅn, A.;Villar, R.</t>
  </si>
  <si>
    <t>CSIC - Instituto de F&amp;iacute;sica Aplicada (IFA)</t>
  </si>
  <si>
    <t>MartÃÅnez-BÃÅrdalo M.</t>
  </si>
  <si>
    <t>On the calculation of safety distances for human exposure to electromagnetic fields from base-station antennas</t>
  </si>
  <si>
    <t>10.1002/mop.10463</t>
  </si>
  <si>
    <t>2-s2.0-0037026391</t>
  </si>
  <si>
    <t>['realistic estimate', 'radiation q', 'methodology involves', 'large loops', 'fields outside']</t>
  </si>
  <si>
    <t>Bandwidth | Loop antennas | Radiation Q</t>
  </si>
  <si>
    <t>An analysis of the radiation Q of electrically large loop antennas is presented and its characteristic are discussed. The methodology involves the spherical mode expansion for the fields outside the loop. It is found that higher-order modes need to be considered for a realistic estimate of the radiation Q of large loops.</t>
  </si>
  <si>
    <t>377-380</t>
  </si>
  <si>
    <t>60017161;60017161;60017161;60017161</t>
  </si>
  <si>
    <t>7201645008;7501449136;7102006113;35581072400</t>
  </si>
  <si>
    <t>Krishnan, Sivanand;Li, Le Wei;Leong, Mook Seng;Kooi, Pang Shyan</t>
  </si>
  <si>
    <t>Krishnan S.</t>
  </si>
  <si>
    <t>Radiation Q of electrically large loop antennas with nonuniform currents</t>
  </si>
  <si>
    <t>10.1002/mop.10467</t>
  </si>
  <si>
    <t>2-s2.0-0037026393</t>
  </si>
  <si>
    <t>['unique properties', 'short overview', 'promising technology', 'portable terminals', 'multisystem antennas', 'microstrip technology', 'microstrip antennas', 'growing demand', 'base stations', 'antenna arrays', 'also seems']</t>
  </si>
  <si>
    <t>The Letter describes problems related to use of microstrip antennas in cellular and wireless telecommunications systems. Because of the unique properties, microstrip technology is nowadays often used to manufacture small internal antennas for portable terminals as well as antenna arrays for base stations. It also seems to be a very promising technology for multisystem antennas, for which there is an ever-growing demand. The letter also presents a short overview of currently available solutions and ones under development by the authors, along with some key problems related to their design.</t>
  </si>
  <si>
    <t>380-384</t>
  </si>
  <si>
    <t>6603454430;23995080300</t>
  </si>
  <si>
    <t>S≈Çobodzian, P.;Borowiec, R.</t>
  </si>
  <si>
    <t>S≈Çobodzian P.</t>
  </si>
  <si>
    <t>Microstrip antennas for cellular and wireless communication systems</t>
  </si>
  <si>
    <t>10.1002/mop.10468</t>
  </si>
  <si>
    <t>2-s2.0-0037026394</t>
  </si>
  <si>
    <t>['stable across', 'shaped aperture', 'measured bandwidth', 'letter describes', 'high level', 'field patterns', 'experimental far', 'dual u', 'coupled u', 'approximately 84', '5 dbi']</t>
  </si>
  <si>
    <t>Antennas | Broadband antennas | Microstrip</t>
  </si>
  <si>
    <t>This Letter describes a U-shaped aperture-coupled U-slot triangular patch antenna fed by microstrip feed line. Because a thick aperture substrate with a dual U-slot patch radiator are used in the design, a high level of coupling to the feed line results. The measured bandwidth of approximately 84.9% (VSWR ‚â§ 2.0) and a gain of 6.5 dBi have been obtained. The experimental far-field patterns are stable across the passband.</t>
  </si>
  <si>
    <t>Experimental study of a broadband U-slot triangular patch antenna</t>
  </si>
  <si>
    <t>10.1002/mop.10451</t>
  </si>
  <si>
    <t>2-s2.0-0037026401</t>
  </si>
  <si>
    <t>['zeaxanthin cycle', 'use thermoluminescence', 'upon exposure', 'synechococcus sp', 's3 states', 'resulting non', 'redox properties', 'redox potential', 'reaction center', 'qb results', 'present work', 'preferred form', 'photosystem ii', 'low temperature', 'increased resistance', 'high light', 'g .,', 'exchanging d1', 'embo j', 'donor sides', 'dependent quenching', 'data indicate', 'd1 replacement', 'acclimated cells', '5466 ).', '2 imparts', '2 ).', '., zhou']</t>
  </si>
  <si>
    <t>Upon exposure to low temperature under constant light conditions, the cyanobacterium Synechococcus sp. PCC 7942 exchanges the photosystem II reaction center D1 protein form 1 (D1:1) with D1 protein form 2 (D1:2). This exchange is only transient, and after acclimation to low temperature the cells revert back to D1:1, which is the preferred form in acclimated cells (Campbell, D., Zhou, G., Gustafsson, P., √ñquist, G., and Clarke, A. K. (1995) EMBO J. 14, 5457-5466). In the present work we use thermoluminescence to study charge recombination events between the acceptor and donor sides of photosystem II in relation to D1 replacement. The data indicate that in cold-stressed cells exhibiting D1:2, the redox potential of QB becomes lower approaching that of QA. This was confirmed by examining the Synechococcus sp. PCC 7942 inactivation mutants R2S2C3 and R2K1, which possess only D1:1 or D1:2, respectively. In contrast, the recombination of QA- with the S2 and S3 states did not show any change in their redox characteristics upon the shift from D1:1 to D1:2. We suggest that the change in redox properties of QB results in altered charge equilibrium in favor of QA. This would significantly increase the probability of QA- and P680+ recombination. The resulting non-radiative energy dissipation within the reaction center of PSII may serve as a highly effective protective mechanism against photodamage upon excessive excitation. The proposed reaction center quenching is an important protective mechanism because antenna and zeaxanthin cycle-dependent quenching are not present in cyanobacteria. We suggest that lowering the redox potential of QB by exchanging D1:1 for D1-2 imparts the increased resistance to high excitation pressure induced by exposure to either low temperature or high light.</t>
  </si>
  <si>
    <t>32739-32745</t>
  </si>
  <si>
    <t>60031040-60010884;60031040-60010884;60031040-60010884;60031040-60010884;60031040-60010884</t>
  </si>
  <si>
    <t>7006718993;7404526755;8041543500;7005759492;56212852200</t>
  </si>
  <si>
    <t>Sane, P. V.;Ivanov, Alexander G.;Sveshnikov, Dmitry;Huner, Norman P.A.;√ñquist, Gunnar</t>
  </si>
  <si>
    <t>Sweden;Canada</t>
  </si>
  <si>
    <t>Umea;London</t>
  </si>
  <si>
    <t>Ume√• Universitet;The University of Western Ontario</t>
  </si>
  <si>
    <t>60031040;60010884</t>
  </si>
  <si>
    <t>Sane P.V.</t>
  </si>
  <si>
    <t>A transient exchange of the photosystem II reaction center protein D1:1 with D1:2 during low temperature stress of Synechococcus sp. PCC 7942 in the light lowers the redox potential of Q&lt;inf&gt;B&lt;/inf&gt;</t>
  </si>
  <si>
    <t>10.1074/jbc.M200444200</t>
  </si>
  <si>
    <t>2-s2.0-0037031869</t>
  </si>
  <si>
    <t>['¬© 2002', 'triplet energy', 'royal society', 'rc ii', 'quenching complex', 'ps ii', 'possible roles', 'photosystem ii', 'owner societies', 'one cis', 'involving zeaxanthin', 'existing evidence', 'core antennae']</t>
  </si>
  <si>
    <t>On the basis of existing evidence, a model is proposed for the topology of carotenoids in photosystem II (PS II) of chloroplasts, suggesting their possible roles in the photoprotection and stability of PS II complex. The presence of one cis and one transŒ≤-carotene at reaction centre II (RC II), with different photoprotective functions, is suggested. The core antennae (CP43, CP47) are presumed to contain Œ≤-carotene molecules in clusters. The possible molecular mechanism for formation of a quenching complex in the minor LHC II, involving zeaxanthin, chlorophyll a and the glutamic acid side chain of the light harvesting protein, is worked out. This complex is proposed to be an efficient triplet quencher, in addition to its role as a quencher of singlet chlorophyll energy. The migration of triplet energy from RC II to the quenching complex is surmised. It is suggested that the carotenoids in RC II and in different LHCs form an integrated photoprotective unit. ¬© 2002 The Royal Society of Chemistry and Owner Societies.</t>
  </si>
  <si>
    <t>629-631</t>
  </si>
  <si>
    <t>1474905X</t>
  </si>
  <si>
    <t>Photochemical and Photobiological Sciences</t>
  </si>
  <si>
    <t>60005302;100356723;60005302;60005302</t>
  </si>
  <si>
    <t>6701398347;6701356594;7005313515;6701788010</t>
  </si>
  <si>
    <t>Nayak, Lalitendu;Raval, Mukesh K.;Biswal, Basanti;Biswal, Udaya C.</t>
  </si>
  <si>
    <t>Sambalpur;</t>
  </si>
  <si>
    <t>Sambalpur University;Rajendra College</t>
  </si>
  <si>
    <t>60005302;100356723</t>
  </si>
  <si>
    <t>Nayak L.</t>
  </si>
  <si>
    <t>Topology and photoprotective role of carotenoids in photosystem II of chloroplast: A hypothesis</t>
  </si>
  <si>
    <t>10.1039/b200176b</t>
  </si>
  <si>
    <t>2-s2.0-0036768279</t>
  </si>
  <si>
    <t>['œ ¶)', 'upon photoexcitation', 'two pathways', 'tuned architectures', 'state energy', 'state configuration', 'standing donors', 'singlet excited', 'several generations', 'second contribution', 'rapid transfer', 'range couplings', 'quantum yields', 'photophysical investigations', 'phenylenevinylene dendrons', 'peripheral positions', 'intramolecular electron', 'fullerene core', 'four donors', 'focal point', 'electron donors', 'dendritic spacers', 'defined dendrons', 'covalently attached', 'c60 core', 'acceptor ensembles']</t>
  </si>
  <si>
    <t>Several generations of phenylenevinylene dendrons, covalently attached to a C60 core, have been developed as synthetic model systems with hierarchical, fine-tuned architectures. End-capping of these dendritic spacers with dibutylaniline or dodecyloxynaphthalene, as antennas/electron donors, yielded new donor-bridge-acceptor ensembles in which one, two, or four donors are allocated at the peripheral positions of the well-defined dendrons, while the electron accepting fullerene is placed at the focal point of the dendron. On the basis of our cyclic voltammetry experiments, which disclose a single anodic oxidation and several cathodic reduction processes, we rule out significant, long-range couplings between the fullerene core and the end-standing donors in their ground-state configuration. Photophysical investigations, on the other hand, show that upon photoexcitation an efficient and rapid transfer of singlet excited-state energy (6 √ó 1010 to 2.5 √ó 1012 s-1) controls the reactivity of the initially excited antenna portion. Spectroscopic and kinetic evidence suggests that yet a second contribution, that is, an intramolecular electron-transfer, exists, affording C60.--dendron.+ with quantum yields (Œ¶) as high as 0.76 and lifetimes (œÑ) that are on the order of hundreds of nanoseconds (220-725 ns). Variation of the energy gap modulates the interplay of these two pathways (i.e., competition or sequence between energy and electron transfer).</t>
  </si>
  <si>
    <t>10875-10886</t>
  </si>
  <si>
    <t>60007259;60007259;60007259;60027282;60027282;60027282</t>
  </si>
  <si>
    <t>7006253024;7004196404;7402442261;57199429317;7202394547;7401810319</t>
  </si>
  <si>
    <t>Guldi, Dirk M.;Swartz, Angela;Luo, Chuping;G√≥mez, Rafael;Segura, Jos√© L.;Mart√≠n, Nazario</t>
  </si>
  <si>
    <t>Madrid;Notre Dame</t>
  </si>
  <si>
    <t>Universidad Complutense de Madrid;Notre Dame Radiation Laboratory</t>
  </si>
  <si>
    <t>60027282;60007259</t>
  </si>
  <si>
    <t>Guldi D.M.</t>
  </si>
  <si>
    <t>Rigid dendritic donor-acceptor ensembles: Control over energy and electron transduction</t>
  </si>
  <si>
    <t>10.1021/ja012694x</t>
  </si>
  <si>
    <t>2-s2.0-0037063494</t>
  </si>
  <si>
    <t>['nonlinear relation', 'noise ratio', 'joint design']</t>
  </si>
  <si>
    <t>The performance of dynamic time slot allocation algorithms for the uplink of time division duplexing (TDD) direct sequence code division multiple access (DS-CDMA) systems was assessed. The signal-to-interference-plus-noise ratio and the throughput in multicellular packet switching networks was improved by the joint design of an uplink polling medium access control protocol. Nonlinear relation between throughput and processing gain due to channel load effects on the optimum AA response was determined.</t>
  </si>
  <si>
    <t>1131-1133</t>
  </si>
  <si>
    <t>Hoefel, Roger P.F.</t>
  </si>
  <si>
    <t>Hoefel R.</t>
  </si>
  <si>
    <t>Dynamic time slot scheduling schemes for uplink polling MAC TDD DS-CDMA protocol with adaptive antennas</t>
  </si>
  <si>
    <t>10.1049/el:20020743</t>
  </si>
  <si>
    <t>2-s2.0-0037068667</t>
  </si>
  <si>
    <t>['wide bandwidth', 'shaped aperture', 'presented antenna', 'polarisation levels', 'polarisation level', 'measured bandwidth', 'maximum gain', 'low cross', 'high gain', 'experimental implementation', 'centre frequency', '7 db', '4 dbi', '24 %.', '2 db', '17 ghz', '05 ghz']</t>
  </si>
  <si>
    <t>The design, fabrication, and experimental implementation of the one-patch microstrip antenna Coupled with an H-shaped aperture are presented. The presented antenna has a wide bandwidth, high gain, and low cross-polarisation levels with only one-patch. The measured bandwidth of this antenna is 56.2% for the voltage standing wave ratio ‚â§ 2.0. The cross-polarisation level is below -18.2 dB at the E-plane and below -25.7 dB at the H-plane. The maximum gain at 2.05 GHz is 10.4 dBi and the 3 dB gain bandwidth with a centre frequency at 2.17 GHz is 24%.</t>
  </si>
  <si>
    <t>1072-1073</t>
  </si>
  <si>
    <t>60004739;60004739</t>
  </si>
  <si>
    <t>7404011921;35494120000</t>
  </si>
  <si>
    <t>Shin, H. S.;Kim, N.</t>
  </si>
  <si>
    <t>Cheongju</t>
  </si>
  <si>
    <t>Chungbuk National University</t>
  </si>
  <si>
    <t>Shin H.S.</t>
  </si>
  <si>
    <t>Wideband and high-gain one-patch microstrip antenna coupled with H-shaped aperture</t>
  </si>
  <si>
    <t>10.1049/el:20020735</t>
  </si>
  <si>
    <t>2-s2.0-0037068694</t>
  </si>
  <si>
    <t>['tx signal', 'third harmonics', 'rx ports', 'return loss', 'radiation patterns', 'measured results', 'high isolation', 'high degree']</t>
  </si>
  <si>
    <t>A dual feeding active integrated antenna with high isolation between the Tx and Rx ports of a single triangular patch antenna is presented. The proposed antenna suppresses the third harmonics and isolates the Tx signal at the Rx ports to a high degree. The measured results of the return loss, isolation, and radiation patterns are provided.</t>
  </si>
  <si>
    <t>1073-1075</t>
  </si>
  <si>
    <t>56124560300;24436115100;7402126718</t>
  </si>
  <si>
    <t>Lee, Byoung Moo;Kwon, Se Woong;Yoon, Young Joong</t>
  </si>
  <si>
    <t>Dual feeding active integrated antenna</t>
  </si>
  <si>
    <t>10.1049/el:20020727</t>
  </si>
  <si>
    <t>2-s2.0-0037068696</t>
  </si>
  <si>
    <t>['two compared', 'specific design', 'sidelobe level', 'sample antenna', 'ray tracing', 'previous designs', 'found better', 'folded antennas', 'antenna depth', 'also presented', '90 mm', '60 ghz', '5 mm', '4 ¬∞', '15 db']</t>
  </si>
  <si>
    <t>A modification of folded antennas was studied by reducing the antenna depth by a factor of two compared to previous designs. The designs and results of such an antenna at 60 GHz were also presented. The specific design of the double folded reflector antenna was based on ray tracing. The diameter and height of the sample antenna were found to be 90 mm and 12.5 mm. The beamwidths were found to be 4¬∞ and the sidelobe level was found better than -15 dB.</t>
  </si>
  <si>
    <t>1075-1076</t>
  </si>
  <si>
    <t>60010586;60002510;60010586</t>
  </si>
  <si>
    <t>7102063968;7006221164;7003310137</t>
  </si>
  <si>
    <t>Menzel, W.;Pilz, D.;Al-Tikriti, M.</t>
  </si>
  <si>
    <t>Ulm;Thousand Oaks</t>
  </si>
  <si>
    <t>Universit√§t Ulm;Teledyne Scientific and Imaging</t>
  </si>
  <si>
    <t>60010586;60002510</t>
  </si>
  <si>
    <t>60 GHz triple folded reflector antenna</t>
  </si>
  <si>
    <t>10.1049/el:20020779</t>
  </si>
  <si>
    <t>2-s2.0-0037068712</t>
  </si>
  <si>
    <t>['spatial separation', 'polarisation diversity', 'correlation coefficient', '1920 mhz']</t>
  </si>
  <si>
    <t>The trade-off and benefits of spatial and polarisation diversity for indoor wireless applications were investigated. The polarisation diversity gain and correlation coefficient were measured within 1, 5, 10, 15, 20 MHz bandwidths centered on 1920 MHz. It was found that spatial separation of the elements offered improved performance over polarisation diversity.</t>
  </si>
  <si>
    <t>1133-1134</t>
  </si>
  <si>
    <t>7101660668;7102568206;6701513248</t>
  </si>
  <si>
    <t>Webber, Julian L.;Beach, M. A.;Canagarajah, C. N.</t>
  </si>
  <si>
    <t>Webber J.</t>
  </si>
  <si>
    <t>Indoor 2 GHz polarisation and spatial fading characteristics</t>
  </si>
  <si>
    <t>10.1049/el:20020784</t>
  </si>
  <si>
    <t>2-s2.0-0037068727</t>
  </si>
  <si>
    <t>['work mimics', 'time constant', 'thus able', 'taken together', 'study singlet', 's2 state', 's1 state', 'purpurin moiety', 'fluorescence anisotropy', 'extremely short', 'exponential rise', 'energy transfer', 'emission wavelengths', 'efficient singlet', 'cyclic tetrapyrrole', 'carotenopurpurin dyad', 'carotenoid moiety', 'carotenoid model', '8 ps', '699 nm', '64 fs', '44 fs', '40 fs']</t>
  </si>
  <si>
    <t>A model photosynthetic antenna system consisting of a carotenoid moiety covalently linked to a purpurin has been prepared to study singlet-singlet energy transfer from a carotenoid to a cyclic tetrapyrrole. Ultrafast fluorescence upconversion measurements of the carotenopurpurin dyad and an unlinked reference carotenoid demonstrate that the fluorescent S2 excited state of the carotenoid model has a lifetime of 150 ¬± 3 fs, whereas the corresponding excited state of the carotenoid in the carotenopurpurin dyad is quenched to 40 ¬± 3 fs. This quenching is assigned to energy transfer from the S2 state to the purpurin with a 73 ¬± 6% efficiency, which is in accord with the 67 ¬± 4% quantum yield obtained by steady-state fluorescence excitation measurements. Concomitant with the decay of the carotenoid S2 excited state, a single-exponential rise of the excited S1 state of the purpurin moiety was observed at 699 nm with a time constant of 64 fs. However, the decay of the fluorescence anisotropy was faster at this wavelength (40 fs) and isotropic rise times as short as 44 fs were determined at other emission wavelengths. The lifetime of the S1 state of the carotenoid (7.8 ps) was the same in both the carotenoid model and the dyad. Taken together, these results unequivocally demonstrate that the S2 state of the carotenoid moiety is the sole donor state in this efficient singlet-singlet energy transfer process. The simple dyad described in this work mimics the ultrafast energy transfer kinetics found in certain naturally occurring pigment protein complexes and is thus able to reproduce the high electronic coupling needed for efficient energy transfer from an extremely short-lived energy donor state.</t>
  </si>
  <si>
    <t>9424-9433</t>
  </si>
  <si>
    <t>60031040;60003892;60003892;60003892;60031040;60003892;60003892;60003892</t>
  </si>
  <si>
    <t>7101638460;56530415100;55904486700;6602747720;7004029175;26643239600;7403336040;35598466200</t>
  </si>
  <si>
    <t>Macpherson, Alisdair N.;Liddell, Paul A.;Kuciauskas, Darius;Tatman, Dereck;Gillbro, Tomas;Gust, Devens;Moore, Thomas A.;Moore, Ana L.</t>
  </si>
  <si>
    <t>Umea;Tempe</t>
  </si>
  <si>
    <t>Ume√• Universitet;Arizona State University</t>
  </si>
  <si>
    <t>60031040;60003892</t>
  </si>
  <si>
    <t>Macpherson A.N.</t>
  </si>
  <si>
    <t>Ultrafast energy transfer from a carotenoid to a chlorin in a simple artificial photosynthetic antenna</t>
  </si>
  <si>
    <t>10.1021/jp0212343</t>
  </si>
  <si>
    <t>2-s2.0-0037068887</t>
  </si>
  <si>
    <t>['tocerebral regions', 'suppress male', 'specific behavior', 'results show', 'previous studies', 'previous assumptions', 'mushroom bodies', 'expression pattern', 'expression drivers', 'drivers used', 'distributed pro', 'courtship suppression', 'courtship phenotype', 'courtship control', 'antennal lobes']</t>
  </si>
  <si>
    <t>Brain | Courtship | Drosophila | GAL4 enhancer trap | Mushroom body</t>
  </si>
  <si>
    <t>To elucidate the effect of feminization of male Drosophila brain cells on courtship control, we performed a large scale screening of expression drivers that can suppress male-specific behavior with transformer gene expression. Two drivers caused essentially total courtship suppression. The expression pattern of these drivers did not show any correlation with the mushroom bodies or the antennal lobes, the regions that have been suggested to play important roles in courtship. Ablation of mushroom bodies using hydroxyurea treatment did not affect this courtship suppression. The ablation did not change either wild-type heterosexual behavior or bisexual behavior caused by transformer expression driven by the same drivers used in the previous studies to suggest the involvement of the mushroom bodies in courtship. Our results show that feminization of different nonoverlapping cells in other parts of the protocerebrum was sufficient to cause the same bisexual or suppressed-courtship phenotype. Thus, contrary to previous assumptions, the mushroom bodies are not required for the control of courtship. Present evidence supports its mediation by other distributed pro. tocerebral regions. ¬© 2002 Wiley Periodicals, Inc.</t>
  </si>
  <si>
    <t>302-311</t>
  </si>
  <si>
    <t>60028586-60007912-60015682;60002443-60015682</t>
  </si>
  <si>
    <t>23109034100;35299317900</t>
  </si>
  <si>
    <t>Kido, Asami;Ito, Kei</t>
  </si>
  <si>
    <t>Okazaki;Kawaguchi;Tokyo;Machida</t>
  </si>
  <si>
    <t>National Institutes of Natural Sciences - National Institute for Basic Biology;Japan Science and Technology Agency;Ochanomizu University;Mitsubishi Kasei Institute of Life Sciences</t>
  </si>
  <si>
    <t>60028586;60015682;60007912;60002443</t>
  </si>
  <si>
    <t>Kido A.</t>
  </si>
  <si>
    <t>Mushroom bodies are not required for courtship behavior by normal and sexually mosaic Drosophila</t>
  </si>
  <si>
    <t>10.1002/neu.10100</t>
  </si>
  <si>
    <t>2-s2.0-0037105811</t>
  </si>
  <si>
    <t>['¬© 2002', 'superluminal behavior', 'strongly dependent', 'stochastic model', 'made within', 'integral analysis', 'field region']</t>
  </si>
  <si>
    <t>An experiment involving microwave propagation in the near-field region with two horn antennas demonstrated a superluminal behavior which is strongly dependent on the frequency. The models previously proposed are found to be inadequate for interpreting the results. An attempt is made within the framework of a stochastic model, which can be improved by a path-integral analysis. ¬© 2002 The American Physical Society.</t>
  </si>
  <si>
    <t>1063651X</t>
  </si>
  <si>
    <t>Physical Review E - Statistical Physics, Plasmas, Fluids, and Related Interdisciplinary Topics</t>
  </si>
  <si>
    <t>60002324-60021859;60002324;60021859;60021859;60021859</t>
  </si>
  <si>
    <t>8216191100;7005893745;8893094100;6506509518;57016509000</t>
  </si>
  <si>
    <t>Ranfagni, A.;Ruggeri, R.;Agresti, A.;Ranfagni, C.;Sandri, P.</t>
  </si>
  <si>
    <t>Florence;Florence</t>
  </si>
  <si>
    <t>Universit√† degli Studi di Firenze;Istituto Di Fisica Applicata Nello Carrara</t>
  </si>
  <si>
    <t>60021859;60002324</t>
  </si>
  <si>
    <t>Ranfagni A.</t>
  </si>
  <si>
    <t>Anomalous pulse delay in microwave propagation: A stochastic process interpretation</t>
  </si>
  <si>
    <t>10.1103/PhysRevE.66.036111</t>
  </si>
  <si>
    <t>2-s2.0-37649030536</t>
  </si>
  <si>
    <t>['two proteins', 'stretch receptors', 'proneural gene', 'partially substitute', 'null mice', 'mouse homolog', 'math1 serves', 'math1 might', 'functionally interchangeable', 'functionally homologous', 'fruit fly', 'fly cns', 'expressed math', 'drosophila homologs', 'chos ),', 'chordotonal organs', 'body wall', 'axonal arborization', 'auditory organs', 'arc acts', '7 ].', '6 ].', '12 ].', '11 ].']</t>
  </si>
  <si>
    <t>Many genes share sequence similarity between species, but their properties often change significantly during evolution. For example, the Drosophila genes engrailed and orthodenticle [1, 2] and the onychophoran gene Ultrabithorax [3] only partially substitute for their mouse or Drosophila homologs. We have been analyzing the relationship between atonal (arc) in the fruit fly and its mouse homolog, Math1. In flies, arc acts as a proneural gene that governs the development of chordotonal organs (CHOs), which serve as stretch receptors in the body wall and joints and as auditory organs in the antennae [4-6]. In the fly CNS, ato is important not for specification but for axonal arborization [7]. Math1, in contrast, is required for the specification of cells in both the CNS and the PNS [8-11]. Furthermore, Math1 serves a role in the development of secretory lineage cells in the gut, a function that does not parallel any known to be served by ato [12]. We wondered whether arc and Math1 might be more functionally homologous than they appear, so we expressed Math I in arc mutant flies and arc in Math I null mice. To our surprise, the two proteins are functionally interchangeable.</t>
  </si>
  <si>
    <t>1611-1616</t>
  </si>
  <si>
    <t>Current Biology</t>
  </si>
  <si>
    <t>60002441;60002441-60019793;60002441;60002441</t>
  </si>
  <si>
    <t>13103384300;7003337247;7005166130;7102095308</t>
  </si>
  <si>
    <t>Wang, Vincent Y.;Hassan, Bassem A.;Bellen, Hugo J.;Zoghbi, Huda Y.</t>
  </si>
  <si>
    <t>Belgium;United States</t>
  </si>
  <si>
    <t>Ghent;Houston</t>
  </si>
  <si>
    <t>Flanders Interuniversity Institute for Biotechnology;Baylor College of Medicine</t>
  </si>
  <si>
    <t>60019793;60002441</t>
  </si>
  <si>
    <t>Wang V.</t>
  </si>
  <si>
    <t>Drosophila atonal fully rescues the phenotype of Math1 null mice: New functions evolve in new cellular contexts</t>
  </si>
  <si>
    <t>S0960982202011442</t>
  </si>
  <si>
    <t>10.1016/S0960-9822(02)01144-2</t>
  </si>
  <si>
    <t>2-s2.0-0037125941</t>
  </si>
  <si>
    <t>['temperature affects', 'tem observation', 'spectroscopic characterization', 'salient features', 'pyrene substituted', 'preliminary results', 'organic media', 'monomer excitation', 'mixed assemblies', 'microfibrous self', 'microfibrous assemblies', 'low temperature', 'low concentration', 'glutamic acid', 'didodecyl l', 'circular dichroism', 'chromophoric probes', 'chromophoric groups', 'cd intensities', 'cd ),', 'also obtained', 'aggregation even']</t>
  </si>
  <si>
    <t>Microfibrous self-aggregation of chromophoric groups of porphyrin and/or pyrene substituted by didodecyl L-glutamic acid in organic media is confirmed by transmission electron microscopic (TEM) observation. Chromophoric probes of porphyrin and pyrene moieties enable evaluation of their assembling behavior photophysically through UV-vis, circular dichroism (CD), and fluorescence spectroscopic characterization. This spectroscopic characterization was able to compensate the lack of TEM observation for the aggregation even at a low concentration below the critical gel concentration. The temperature affects the salient features of the photophysics of porphyrin er pyrene in the microfibrous assemblies. Highly oriented network structures were formed at low temperature since the CD intensities of the porphyrin and pyrene systems increased with lowering the temperature. Fluorescence spectroscopic characterization confirmed the monomer excitation of porphyrin itself, and efficient excimer formation for the pyrene-pyrene charge transfer was detected at low temperature. In particular, we also obtained the preliminary results of fluorescence spectroscopic measurement on singlet-singlet energy migration from pyrene to porphyrin in the mixed assemblies for mimicry of the efficient energy transfer process of the photosynthetic antenna complex.</t>
  </si>
  <si>
    <t>7223-7228</t>
  </si>
  <si>
    <t>60011001;60021120;60021120;60021120</t>
  </si>
  <si>
    <t>7103093127;6506151711;7405974122;7201453781</t>
  </si>
  <si>
    <t>Sagawa, Takashi;Fukugawa, Sachiko;Yamada, Taisuke;Ihara, Hirotaka</t>
  </si>
  <si>
    <t>Kumamoto;Kyoto</t>
  </si>
  <si>
    <t>Kumamoto University;Kyoto University</t>
  </si>
  <si>
    <t>60021120;60011001</t>
  </si>
  <si>
    <t>Sagawa T.</t>
  </si>
  <si>
    <t>Self-assembled fibrillar networks through highly oriented aggregates of porphyrin and pyrene substituted by dialkyl L-glutamine in organic media</t>
  </si>
  <si>
    <t>10.1021/la0255267</t>
  </si>
  <si>
    <t>2-s2.0-0037126114</t>
  </si>
  <si>
    <t>Bi 262/10-1</t>
  </si>
  <si>
    <t>['using nadph', 'synthesizing cells', 'several hundred', 'schistocerca gregaria', 'rights reserved', 'releasing neurons', 'physiological investigations', 'nitric oxide', 'induced accumulation', 'immunocytochemical detection', 'general organization', 'four nadph', 'embryonic grasshopper', 'earliest appearance', 'differentiating neurons', 'diaphorase histochemistry', 'cgmp starts', 'brain hemisphere', 'brain areas', 'also report', 'adult locust', 'adult brain', '70 %,']</t>
  </si>
  <si>
    <t>Antennal lobe | Insect nervous system | Mushroom body | Neuroblast proliferation | Neurotransmitter | Optic lobe</t>
  </si>
  <si>
    <t>Biochemical, cytochemical, and physiological investigations have demonstrated the presence of the nitric oxide/cyclic GMP signaling system in the brain of the adult locust, Schistocerca gregaria. Here, we characterize nitric oxide (NO) releasing neurons and neurons that synthesize cyclic GMP (cGMP) in response to a NO stimulus in the brain of the embryonic grasshopper. Using NADPH-diaphorase histochemistry to detect NO synthesizing cells we describe the appearance of several individually identifiable neurons. At embryonic stage 50% four NADPH-diaphorase positive neurons can be detected in each brain hemisphere. In addition to the labeling of differentiating neurons, NADPH-diaphorase staining appears also in distinct proliferative cell clusters. At embryonic stage 70% the general organization of NADPH-diaphorase activity starts to resemble the adult brain. The immunocytochemical detection of NO-induced accumulation of cGMP starts at embryonic stage 45% resulting in the staining of large neuronal populations in all brain areas. During embryonic stages 50-70%, the number of cGMP-immunoreactive cells increases from 200 to several hundred in each brain hemisphere. Since all NADPH-diaphorase positive local interneurons of the adult antennal lobe express GABA-immunoreactivity, we also report on the earliest appearance of GABA-immunoreactivity in the embryonic antennal lobe. Thus, we present a first developmental investigation of nitrergic and GABAergic transmitter phenotypes in the brain of the embryonic grasshopper. ¬© 2002 Elsevier Science B.V. All rights reserved.</t>
  </si>
  <si>
    <t>71-79</t>
  </si>
  <si>
    <t>Developmental Brain Research</t>
  </si>
  <si>
    <t>60011610;60011610</t>
  </si>
  <si>
    <t>36640421300;7006119207</t>
  </si>
  <si>
    <t>Seidel, Claudia;Bicker, Gerd</t>
  </si>
  <si>
    <t>Tier√§rztliche Hochschule Hannover</t>
  </si>
  <si>
    <t>Seidel C.</t>
  </si>
  <si>
    <t>Developmental expression of nitric oxide/cyclic GMP signaling pathways in the brain of the embryonic grasshopper</t>
  </si>
  <si>
    <t>S0165380602004662</t>
  </si>
  <si>
    <t>10.1016/S0165-3806(02)00466-2</t>
  </si>
  <si>
    <t>2-s2.0-0037144202</t>
  </si>
  <si>
    <t>['spatial efficiency', 'simulation tool', 'shape element', 'implemented antenna', 'ghz band', 'f antenna', '580 mhz', '25 ghz']</t>
  </si>
  <si>
    <t>Inverted-F antenna | Planar antenna | Wireless LAN</t>
  </si>
  <si>
    <t>A compact, lightweight, and low-cost planar inverted-F antenna (PIFA) for wireless LAN communication in the 5-GHz band is designed. The antenna is designed with the use of the IE3D, a simulation tool by Zeland, Inc. The rectangular planar element of the standard type PIFA is modified as a L-shape element to increase the spatial efficiency. The characteristics of the implemented antenna are measured and analyzed. The antenna is resonated at 5.25 GHz, and its bandwidth is about 580 MHz under the condition of VSWR ‚â§ 1.5.</t>
  </si>
  <si>
    <t>469-475</t>
  </si>
  <si>
    <t>36065720100;57192514976</t>
  </si>
  <si>
    <t>Kim, Yongjin;Lee, Sangseol</t>
  </si>
  <si>
    <t>Design and fabrication of a planar inverted-F antenna for the wireless LAN in the 5-GHz band</t>
  </si>
  <si>
    <t>10.1002/mop.10498</t>
  </si>
  <si>
    <t>2-s2.0-0037144624</t>
  </si>
  <si>
    <t>['tx signal', 'third harmonics', 'rx ports', 'proposed dual', 'measured results', 'high degree']</t>
  </si>
  <si>
    <t>Dual-feeding active integrated antenna | Isolation | Power amplifier</t>
  </si>
  <si>
    <t>The proposed dual-feeding active integrated antenna suppresses the third harmonics and isolates the Tx signal at the Rx ports to a high degree. The characteristics of the measured results are provided and the transmitted output power of the 2 √ó 2 array for the spatial power combining effect is calculated.</t>
  </si>
  <si>
    <t>435-437</t>
  </si>
  <si>
    <t>56124560300;56566842900;24436115100;7402126718</t>
  </si>
  <si>
    <t>Lee, Byoung Moo;Kim, Hyungrak;Kwon, Sewoong;Yoon, Youngjoong</t>
  </si>
  <si>
    <t>Dual-feeding active integrated antenna for dual-resonant structure</t>
  </si>
  <si>
    <t>10.1002/mop.10487</t>
  </si>
  <si>
    <t>2-s2.0-0037144656</t>
  </si>
  <si>
    <t>['two equal', 'perpendicular sections', 'ground plane', 'dcs dual', 'antennas height', '960 mhz', '900 mhz', '7 mm', '1880 mhz']</t>
  </si>
  <si>
    <t>Dual-band monopole antennas | Mobile phone antennas | Planar monopole antennas</t>
  </si>
  <si>
    <t>By inserting several slits into a rectangular planar monopole, which meanders the monopole, and further bending it into two equal and perpendicular sections, a novel very-low-profile monopole antenna for applications in GSM/DCS dual-band mobile phones is presented. The antennas height is only 7 mm (about 2.1% of the wavelength at 900 MHz) from the ground plane, and the obtained impedance bandwidths cover the required operating bandwidths of the GSM (890-960 MHz) and DCS (1710-1880 MHz) bands.</t>
  </si>
  <si>
    <t>406-409</t>
  </si>
  <si>
    <t>7404851995;35460663000</t>
  </si>
  <si>
    <t>Lee, Gwo Yun;Wong, Kin Lu</t>
  </si>
  <si>
    <t>Very-low-profile bent planar monopole antenna for GSM/DCS dual-band mobile phone</t>
  </si>
  <si>
    <t>10.1002/mop.10477</t>
  </si>
  <si>
    <t>2-s2.0-0037144661</t>
  </si>
  <si>
    <t>['substrate condition', 'resonant frequency', 'microstrip antenna', 'mathematical formulation', 'h satisfying', 'good agreement', 'experimental results', 'anns ),']</t>
  </si>
  <si>
    <t>Artificial neural networks | Electrically thick substrate | Microstrip antenna | Resonant frequency | Tunneling</t>
  </si>
  <si>
    <t>The mathematical formulation of empirically developed formulas for the calculation of the resonant frequency of a thick-substrate (h &gt; 0.08151Œª0) microstrip antenna has been analyzed. With the use of tunnel-based artificial neural networks (ANNs), the resonant frequency of antennas with h satisfying the thick-substrate condition are calculated and compared with the existing experimental results and also with the simulation results obtained with the use of an IE3D software package. The artificial neural network results are in very good agreement with the experimental results.</t>
  </si>
  <si>
    <t>460-462</t>
  </si>
  <si>
    <t>Tunnel-based artificial neural network technique to calculate the resonant frequency of a thick-substrate microstrip antenna</t>
  </si>
  <si>
    <t>10.1002/mop.10495</t>
  </si>
  <si>
    <t>2-s2.0-0037144662</t>
  </si>
  <si>
    <t>['wave coefficients', 'slot model', 'patch design', 'patch antennas', 'letter presents', 'element array', 'coupling coefficient']</t>
  </si>
  <si>
    <t>Beam mispointing | Finite ground plane | Surface waves | Two-slot model</t>
  </si>
  <si>
    <t>This Letter presents a new radiation model for stacked-patch antennas. The model is based on the two-slot model and consists of a four- or six-element array, depending on the supposition of infinite ground plane. The parameters that can be extracted from this model, such as coupling coefficient, surface-wave coefficients, and phases are very useful in stacked-patch design.</t>
  </si>
  <si>
    <t>448-451</t>
  </si>
  <si>
    <t>60001741;60001741;60001741;60028442;60001741-60006754</t>
  </si>
  <si>
    <t>Madrid;Madrid;Madrid</t>
  </si>
  <si>
    <t>Universidad Polit√©cnica de Madrid;Consejo Superior de Investigaciones Cient√≠ficas;Universidad Carlos III de Madrid</t>
  </si>
  <si>
    <t>60028442;60006754;60001741</t>
  </si>
  <si>
    <t>An extension of the two-slot radiation model to stacked patches with infinite and finite ground plane</t>
  </si>
  <si>
    <t>10.1002/mop.10491</t>
  </si>
  <si>
    <t>2-s2.0-0037144665</t>
  </si>
  <si>
    <t>['radiation patterns', 'permits tailoring', 'bidirectional pattern', 'antenna provides']</t>
  </si>
  <si>
    <t>Bi-directional pattern | Multiband monopoles | Multilevel antennas</t>
  </si>
  <si>
    <t>A dual-band monopole antenna that permits tailoring the shape of the radiation patterns to provide bidirectional coverage is presented. The antenna provides an optimum input return loss and could be used in those applications where a bidirectional pattern is required.</t>
  </si>
  <si>
    <t>445-448</t>
  </si>
  <si>
    <t>100496992;100496992;100496992</t>
  </si>
  <si>
    <t>7202054016;7006058796;23109367100</t>
  </si>
  <si>
    <t>Soler, Jordi;Puente, Carles;Puerto, Alberto</t>
  </si>
  <si>
    <t>Sant Cugat del Valles</t>
  </si>
  <si>
    <t>Fractus S.A.</t>
  </si>
  <si>
    <t>Soler J.</t>
  </si>
  <si>
    <t>A dual-band bidirectional multilevel monopole antenna</t>
  </si>
  <si>
    <t>10.1002/mop.10490</t>
  </si>
  <si>
    <t>2-s2.0-0037144674</t>
  </si>
  <si>
    <t>['‚ àº70', 'simulated results', 'port dual', 'different radii', 'centers displaced', 'area reduction', '7 db']</t>
  </si>
  <si>
    <t>Dual frequency | Dual port | Microstrip antenna</t>
  </si>
  <si>
    <t>Experimental and simulated results for a dual-port dual-polarized microstrip antenna are presented. The antenna excites two orthogonally polarized resonant frequencies providing an isolation of ‚àº30 dB between the ports. The patch geometry consists of two circular arcs of different radii with their centers displaced by a distance. This new design offers an area reduction of ‚àº70% compared to a standard rectangular microstrip antenna with a reduction in gain of 1.7 dB.</t>
  </si>
  <si>
    <t>459-460</t>
  </si>
  <si>
    <t>Dual-port dual-polarized microstrip antenna</t>
  </si>
  <si>
    <t>10.1002/mop.10494</t>
  </si>
  <si>
    <t>2-s2.0-0037144702</t>
  </si>
  <si>
    <t>['test case', 'reradiated field', 'measured reflect', 'isolated reflect', 'field scattered', 'design requirements', 'design curve', 'approach neglects']</t>
  </si>
  <si>
    <t>Arrays | Microstrip reflect array</t>
  </si>
  <si>
    <t>The design of microstrip reflect arrays requires the use of a design curve to correlate the phase of the reradiated field and the size of the elements. In this Letter this parameter has been evaluated by analyzing the field scattered from an isolated reflect-array unit cell. As a test case a microstrip reflect array has been designed with the use of these data. Even if this approach neglects the mutual coupling effects, the measured reflect-array radiation pattern shows that the main beam steering agrees with the design requirements.</t>
  </si>
  <si>
    <t>411-414</t>
  </si>
  <si>
    <t>Design of microstrip reflect array using data from isolated patch analysis</t>
  </si>
  <si>
    <t>10.1002/mop.10479</t>
  </si>
  <si>
    <t>2-s2.0-0037144703</t>
  </si>
  <si>
    <t>['latter class', 'conventional materials', 'artificial materials']</t>
  </si>
  <si>
    <t>Distributed Bragg reflector | Negative index of refraction</t>
  </si>
  <si>
    <t>The Bragg regime shifts when conventional materials in a multilayer distributed Bragg reflector (DBR) are replaced by artificial materials with the so-called negative index of refraction. This provides an avenue for characterizing the latter class of materials.</t>
  </si>
  <si>
    <t>409-411</t>
  </si>
  <si>
    <t>56613213400;53877620200</t>
  </si>
  <si>
    <t>Gerardin, Jaline;Lakhtakia, Akhlesh</t>
  </si>
  <si>
    <t>Gerardin J.</t>
  </si>
  <si>
    <t>Negative index of refraction and distributed Bragg reflectors</t>
  </si>
  <si>
    <t>10.1002/mop.10478</t>
  </si>
  <si>
    <t>2-s2.0-0037144706</t>
  </si>
  <si>
    <t>['upright posture', 'specimens collected', 'septentrionalis mainly', 'quite similar', 'predominant mode', 'pereonite 5', 'north atlantic', 'mature males', 'gnathopod 2', 'geographical distribution', 'genital openings', 'described based', 'caprella linearis', 'body projections', 'arctic regions', 'antenna 1']</t>
  </si>
  <si>
    <t>Biogeography | Caprella linearis | Caprella septentrionalis | Caprellidea | Clinging behaviour | Ecology | Re-descriptions | Scotland</t>
  </si>
  <si>
    <t>Caprella linearis (Linnaeus, 1767) and C. septentrionalis Kr√∂yer, 1838 are re-described based on specimens collected from the coasts of Scotland. Mature males of C. linearis differ clearly from those of C. septentrionalis mainly in the features of antenna 1 and gnathopod 2. The pair of lateral projections present on pereonite 5 in females of C. linearis is lacking in females of C. septentrionalis. The gnathopod 2 propodus is wider and the genital openings more setose in females of C. septentrionalis than in C. linearis. The arrangement of the body projections and the abdomen during development is quite similar in C. linearis and C. septentrionalis. For both species the predominant mode of attachment to the substrate is the upright posture and feeding is by filtering, frequently using grooming behaviour. These species present basically the same geographical distribution, along the North Atlantic, Boreal and Arctic regions and they are not very specific in choosing their substrate.</t>
  </si>
  <si>
    <t>216-235</t>
  </si>
  <si>
    <t>Guerra-Garc√≠a, Jos√© Manuel</t>
  </si>
  <si>
    <t>Sevilla</t>
  </si>
  <si>
    <t>Universidad de Sevilla</t>
  </si>
  <si>
    <t>Guerra-Garc√≠a J.M.</t>
  </si>
  <si>
    <t>Re-descriptions of Caprella linearis (Linnaeus, 1767) and C. septentrionalis Kr√∂yer, 1838 (Crustacea: Amphipoda: Caprellidea) from Scotland, with an ontogenetic comparison between the species and a study of the clinging behaviour</t>
  </si>
  <si>
    <t>10.1080/00364820260294851</t>
  </si>
  <si>
    <t>2-s2.0-0037144913</t>
  </si>
  <si>
    <t>['specific p', 'social parasites', 'social integration', 'rufescens workers', 'rearing species', 'rare host', 'polyergus rufescens', 'mother colony', 'making workers', 'making broods', 'maker population', 'isolated p', 'host switching', 'host colony', 'high flexibility', 'formica cunicularia', 'communication code', 'colony foundation', 'chemical analyses', 'adult formica', 'abdominal trophallaxis']</t>
  </si>
  <si>
    <t>Chemical integration | Host specificity | Mimicry | Polyergus rufescens | Social parasitism</t>
  </si>
  <si>
    <t>Social parasites are able to exploit their host's communication code and achieve social integration. For colony foundation, a newly mated slave-making ant queen must usurp a host colony. The parasite's brood is cared for by the hosts and newly eclosed slave-making workers integrate to form a mixed ant colony. To elucidate the social integration strategy of the slave-making workers, Polyergus rufescens, behavioural and chemical analyses were carried out. Cocoons of P. rufescens were introduced into subcolonies of four potential host species: Formica subgenus Serviformica (Formica cunicularia and F. rufibarbis, usual host species; F. gagates, rare host; F. selysi, non-natural host). Slave-making broods were cared for and newly emerged workers showed several social interactions with adult Formica. We recorded the occurrence of abdominal trophallaxis, in which P. rufescens, the parasite, was the donor. Social integration of P. rufescens workers into host colonies appears to rely on the ability of the parasite to modify its cuticular hydrocarbon profile to match that of the rearing species. To study the specific P. rufescens chemical profile, newly emerged callows were reared in isolation from the mother colony (without any contact with adult ants). The isolated P. rufescens workers exhibited a chemical profile closely matching that of the primary host species, indicating the occurrence of local host adaptation in the slave-maker population. However, the high flexibility in the ontogeny of the parasite's chemical signature could allow for host switching.</t>
  </si>
  <si>
    <t>1911-1918</t>
  </si>
  <si>
    <t>Proceedings of the Royal Society B: Biological Sciences</t>
  </si>
  <si>
    <t>60030807;60030807;60030807;60030807</t>
  </si>
  <si>
    <t>9744321100;6701682308;56265093400;6603879914</t>
  </si>
  <si>
    <t>D'Ettorre, Patrizia;Mondy, N.;Lenoir, A.;Errard, C.</t>
  </si>
  <si>
    <t>Regensburg</t>
  </si>
  <si>
    <t>Universit√§t Regensburg</t>
  </si>
  <si>
    <t>D'Ettorre P.</t>
  </si>
  <si>
    <t>Blending in with the crowd: Social parasites integrate into their host colonies using a flexible chemical signature</t>
  </si>
  <si>
    <t>10.1098/rspb.2002.2110</t>
  </si>
  <si>
    <t>2-s2.0-0037159040</t>
  </si>
  <si>
    <t>['three types', 'sensillum could', 'sensillar type', 'receptor cell', 'pulchellus females', 'proteins isolated', 'protein kairomones', 'protein kairomone', 'parasitoid antennae', 'one implicated', 'ichneumonidae ).', 'host cocoon', 'host acceptance', 'female specific', 'electrophysiological studies', 'chemosensory function', 'apically multiporous', 'acrolepiopsis assectella', 'acceptance behaviour']</t>
  </si>
  <si>
    <t>Chemoreception | Electron microscopy | Electrophysiology | Host acceptance | Protein gustation</t>
  </si>
  <si>
    <t>Proteins isolated from the host cocoon of Acrolepiopsis assectella (Lepidoptera: Yponomeutoidea) act as kairomones for host acceptance by the endoparasitoid wasp Diadromus pulchellus Wesmael (Hymenoptera: Ichneumonidae). In this study, morphological, ultrastructural and electrophysiological studies were carried out in order to identify the contact chemoreceptive sensilla on the parasitoid antennae that perceive the protein kairomones. Three types of sensillum on the antennae of the females were found to have a chemosensory function. The receptor cell(s) of one sensillar type were shown to give a positive electrophysiological response to protein kairomones. This sensillar type is apically multiporous and female specific. Consequently, this sensillum could be the one implicated in the perception of the protein kairomone that triggers the host-acceptance behaviour of D. pulchellus females.</t>
  </si>
  <si>
    <t>1879-1886</t>
  </si>
  <si>
    <t>60032530;60032530;60032530;60032530;60032530;60032530</t>
  </si>
  <si>
    <t>57199542983;6603950454;56251817100;6701858039;7004163297;7005794958</t>
  </si>
  <si>
    <t>B√©n√©det, F.;Leroy, T.;Gauthier, N.;Thibaudeau, C.;Thibout, E.;Renault, S.</t>
  </si>
  <si>
    <t>Tours</t>
  </si>
  <si>
    <t>Universit√© de Tours</t>
  </si>
  <si>
    <t>B√©n√©det F.</t>
  </si>
  <si>
    <t>Gustatory sensilla sensitive to protein kairomones trigger host acceptance by an endoparasitoid</t>
  </si>
  <si>
    <t>10.1098/rspb.2002.2077</t>
  </si>
  <si>
    <t>2-s2.0-0037159046</t>
  </si>
  <si>
    <t>C1</t>
  </si>
  <si>
    <t>['usual 90', 'unusual organisation', 'terminal sequence', 'subunit composition', 'shaped complex', 'purified ps', 'polypeptide bands', 'particles exist', 'monomeric form', 'major lhc', 'known photosystem', 'isolated complexes', 'immunoblotting shows', 'image analysis', 'hypothetical proteins', 'gloeobacter reveals', 'gel filtration', 'fluorescence emission', 'extreme blue', 'cyanobacterial ps', 'complexes exhibit', 'antibody raised', 'antenna system']</t>
  </si>
  <si>
    <t>Antenna system | Electron microscopy | Fluorescence | Light harvesting | Photosynthesis | Plasma membrane</t>
  </si>
  <si>
    <t>Photosystem I (PS I) from the primitive cyanobacterium Gloeobacter violaceus has been purified and characterised. Despite the fact that the isolated complexes have the same subunit composition as complexes from other cyanobacteria, the amplitude of flash-induced absorption difference spectra indicates a much bigger antenna size with about 150 chlorophylls per P700 as opposed to the usual 90. Image analysis of the PS I preparation from Gloeobacter reveals that the PS I particles exist both in a trimeric and in a monomeric form and that their size and shape closely resembles other cyanobacterial PS I particles. However, the complexes exhibit a higher molecular weight as could be shown by gel filtration. The preparation contains novel polypeptides not related to known Photosystem I subunits. The N-terminal sequence of one of those polypeptides has been determined and reveals no homology to known or hypothetical proteins. Immunoblotting shows a cross-reaction of three of the polypeptide bands with an antibody raised against the major LHC from the diatom Cyclotella cryptica. Electron microscopy reveals a novel T-shaped complex which has never been observed in any other cyanobacterial PS I preparation. 77 K spectra of purified PS I show an extreme blue-shift of the fluorescence emission, indicating an unusual organisation of the PS I antenna system in Gloeobacter.</t>
  </si>
  <si>
    <t>307-319</t>
  </si>
  <si>
    <t>60008293;60005322;60005322;60005322;60010023;60008293</t>
  </si>
  <si>
    <t>57204275398;6701913675;7201835966;7003290055;7007149974;56269060400</t>
  </si>
  <si>
    <t>Mangels, D.;Kruip, J.;Berry, S.;R√∂gner, M.;Boekema, E. J.;Koenig, F.</t>
  </si>
  <si>
    <t>Netherlands;Germany;Germany</t>
  </si>
  <si>
    <t>Groningen;Bremen;Bochum</t>
  </si>
  <si>
    <t>University of Groningen;Universit√§t Bremen;Ruhr-Universitat Bochum</t>
  </si>
  <si>
    <t>60010023;60008293;60005322</t>
  </si>
  <si>
    <t>Mangels D.</t>
  </si>
  <si>
    <t>Photosystem I from the unusual cyanobacterium Gloeobacter violaceus</t>
  </si>
  <si>
    <t>10.1023/A:1019822316789</t>
  </si>
  <si>
    <t>2-s2.0-0036037721</t>
  </si>
  <si>
    <t>['œ ≤.', 'œ ±', 'still retain', 'stepwise dissociation', 'show evidence', 'rights reserved', 'rhodospirillum rubrum', 'may represent', 'harvesting complex', 'global analysis', 'electronic properties', 'dissociated form', 'core light', 'biochemistry 40', 'b820 equilibrium', 'b820 complex', 'association process', 'absorption spectra', 'absorption properties', '12924 ].']</t>
  </si>
  <si>
    <t>Light-harvesting complex | Membrane polypeptide oligomerization | Membrane protein | Transmembrane Œ±-helix</t>
  </si>
  <si>
    <t>The core light-harvesting complex (LH1) of Rhodospirillum rubrum is constituted of multiple heterodimeric subunits, each containing two transmembrane polypeptides, Œ± and Œ≤. The detergent octylglucoside induces the stepwise dissociation of LH1 into B820 (an Œ±Œ≤ dimer) and B777 (monomeric polypeptides), both of which still retain their bound bacteriochlorophyll molecules. We have investigated the absorption properties of B820 as a function of temperature, whereby a spectral population called 'B851' has been characterised. We show evidence that it is a dimer of the B820 complex. This may represent an intermediate oligomeric form in the process of the LH1 ring formation, as its existence was predicted from global analysis of the absorption spectra of the LH1/B820 equilibrium [Pandit et al. (2001) Biochemistry 40, 12913-12924]. Stabilisation of this dissociated form of LH1 may help in understanding both the electronic properties and the association process of these integral membrane proteins. ¬© 2002 Federation of European Biochemical Societies. Published by Elsevier Science B.V. All rights reserved.</t>
  </si>
  <si>
    <t>222-226</t>
  </si>
  <si>
    <t>60019615-60024812;60019615</t>
  </si>
  <si>
    <t>56370960400;7103125115</t>
  </si>
  <si>
    <t>V√©gh, Attila P.;Robert, Bruno</t>
  </si>
  <si>
    <t>Hungary;France</t>
  </si>
  <si>
    <t>Budapest;Gif-sur-Yvette</t>
  </si>
  <si>
    <t>Semmelweis Egyetem;CEA Saclay</t>
  </si>
  <si>
    <t>60024812;60019615</t>
  </si>
  <si>
    <t>V√©gh A.</t>
  </si>
  <si>
    <t>Spectroscopic characterisation of a tetrameric subunit form of the core antenna protein from Rhodospirillum rubrum</t>
  </si>
  <si>
    <t>S0014579302033148</t>
  </si>
  <si>
    <t>10.1016/S0014-5793(02)03314-8</t>
  </si>
  <si>
    <t>2-s2.0-0037174179</t>
  </si>
  <si>
    <t>['printed radiators', 'pod antenna', 'optically transparent', 'electronic display', 'electrically conductive', 'design method']</t>
  </si>
  <si>
    <t>A design method is presented for a printed-on-display (POD) antenna, which is intended to replace the traditional antennas installed on diverse wireless mobile terminals which have both an antenna and an electronic display. The POD antenna is composed of printed radiators which are made of a material being both electrically conductive and optically transparent.</t>
  </si>
  <si>
    <t>1162-1163</t>
  </si>
  <si>
    <t>60008504;60008504</t>
  </si>
  <si>
    <t>15925629400;55739294600</t>
  </si>
  <si>
    <t>Huang, Chi Fang;Chen, Li</t>
  </si>
  <si>
    <t>Tatung University</t>
  </si>
  <si>
    <t>Huang C.F.</t>
  </si>
  <si>
    <t>Realisation of printed-on-display antenna for mobile terminals</t>
  </si>
  <si>
    <t>10.1049/el:20020840</t>
  </si>
  <si>
    <t>2-s2.0-0037179849</t>
  </si>
  <si>
    <t>['wcdma system', 'proposed based', 'multiuser detector']</t>
  </si>
  <si>
    <t>An adaptive array antenna is proposed based on the radial basis function (RBF) network as a multiuser detector for a WCDMA system. The proposed system calculates the optimal combining weight coefficients using sample matrix inversion with a common correlation matrix algorithm and obtains the channel response vector using the RBF output signal.</t>
  </si>
  <si>
    <t>1208-1210</t>
  </si>
  <si>
    <t>Adaptive array antenna based on radial basis function network as multiuser detection for WCDMA</t>
  </si>
  <si>
    <t>10.1049/el:20020756</t>
  </si>
  <si>
    <t>2-s2.0-0037179853</t>
  </si>
  <si>
    <t>['spherical model', 'practical design', 'new concept', 'mobile phones', 'fundamental properties', 'efficiency demonstrate', 'antenna q']</t>
  </si>
  <si>
    <t>The fundamental properties of electrically small material loaded antennas are investigated by analysis of a spherical model. Data for antenna Q, resonance and efficiency demonstrate the new concept of compatible boundary conditions and its implication for practical design, particularly for mobile phones.</t>
  </si>
  <si>
    <t>60009658;60000891</t>
  </si>
  <si>
    <t>7403018268;35562114200</t>
  </si>
  <si>
    <t>James, J. R.;Vardaxoglou, J. C.</t>
  </si>
  <si>
    <t>Swindon;Loughborough</t>
  </si>
  <si>
    <t>Defence College of Management and Technology;Loughborough University</t>
  </si>
  <si>
    <t>James J.</t>
  </si>
  <si>
    <t>Investigation of properties of electrical-small spherical ceramic antennas</t>
  </si>
  <si>
    <t>10.1049/el:20020818</t>
  </si>
  <si>
    <t>2-s2.0-0037179857</t>
  </si>
  <si>
    <t>['technology selected', 'smos mission', 'shaped structure', 'redundant elements', 'element failure', 'array topology']</t>
  </si>
  <si>
    <t>Two-dimensional aperture synthesis radiometry is the technology selected for ESA's SMOS mission to provide high resolution L-band radiometric imagery. The array topology is a Y-shaped structure. The position and number of redundant elements to minimise instrument degradation in case of element failure(s) are studied.</t>
  </si>
  <si>
    <t>1205-1207</t>
  </si>
  <si>
    <t>60007592;60007592;60007592;60007592</t>
  </si>
  <si>
    <t>7003676233;7005018006;6602569719;6602926234</t>
  </si>
  <si>
    <t>Corbella, I.;Camps, A.;Duffo, N.;Vall-llossera, M.</t>
  </si>
  <si>
    <t>Corbella I.</t>
  </si>
  <si>
    <t>Optimum redundant array configurations for earth observation aperture synthesis microwave radiometers</t>
  </si>
  <si>
    <t>10.1049/el:20020816</t>
  </si>
  <si>
    <t>2-s2.0-0037179868</t>
  </si>
  <si>
    <t>['multiple output', 'effective reduction', 'channel training', 'channel deconvolution', 'air demonstration']</t>
  </si>
  <si>
    <t>An over-the-air demonstration of unsupervised (blind) multiple-input/multiple output (MIMO) channel deconvolution is presented. The results were obtained in an indoor multiple antenna (BLAST) context. A suitable unsupervised MIMO technique was used in order to avoid the effective reduction of spectral efficiency caused by the use of channel training. To the authors' knowledge, this may be the first reported experiment of successful over-the-air unsupervised MIMO deconvolution.</t>
  </si>
  <si>
    <t>1214-1216</t>
  </si>
  <si>
    <t>6602974001;8751989500;7101611306</t>
  </si>
  <si>
    <t>Samardzija, D.;Papadias, C.;Valenzuela, R.</t>
  </si>
  <si>
    <t>Samardzija D.</t>
  </si>
  <si>
    <t>Experimental evaluation of unsupervised channel deconvolution for wireless multiple-transmitter/multiple-receiver systems</t>
  </si>
  <si>
    <t>10.1049/el:20020845</t>
  </si>
  <si>
    <t>2-s2.0-0037179869</t>
  </si>
  <si>
    <t>['thus increasing', 'size reduction', 'reduced antenna', 'proposed size', 'new structure', 'electrical length', 'conventional one', 'considerable reduction', 'compact devices', 'achieved compared', '3 ghz']</t>
  </si>
  <si>
    <t>A new structure of microstrip patch antenna with considerable reduction in its size and wide impedance bandwidth, with marginally degraded antenna performances, is proposed. These merits are obtained by elevating the centre of the radiating metallic patch, and thus increasing the electrical length of that patch more effectively. These, for purpose of example, the proposed size-reduced antenna has been designed and tested at 3 GHz and 53% of size reduction is achieved compared with the conventional one. It showed the possibility that the non-planar antenna structure can provide new design opportunity for compact devices.</t>
  </si>
  <si>
    <t>1163-1165</t>
  </si>
  <si>
    <t>60013682;60030612;60013682;60013682;60030612</t>
  </si>
  <si>
    <t>57200902416;6504043472;22334016200;7402276259;7006898501</t>
  </si>
  <si>
    <t>Kim, Yonghoon;Farcich, N. J.;Kim, Seong Cheol;Nam, Sangwook;Asbeck, P. M.</t>
  </si>
  <si>
    <t>San Diego;Seoul</t>
  </si>
  <si>
    <t>University of California, San Diego;Seoul National University</t>
  </si>
  <si>
    <t>60030612;60013682</t>
  </si>
  <si>
    <t>Size reduction of microstrip antenna by elevating centre of patch</t>
  </si>
  <si>
    <t>10.1049/el:20020798</t>
  </si>
  <si>
    <t>2-s2.0-0037179873</t>
  </si>
  <si>
    <t>['sidelobe levels', 'possible solution', 'ground station', 'frequencies assigned', 'broadband telecommunications', 'antenna beamwidth', 'altitude platforms', '48 ghz']</t>
  </si>
  <si>
    <t>High-altitude platforms (HAPs) provide a possible solution to the 'last-mile' problem in broadband telecommunications. The frequencies assigned for HAPs (28 and 48 GHz) are subject to attenuation and scatter by rain. These effects are explored in relation to ground station (GS) antenna beamwidth and sidelobe levels.</t>
  </si>
  <si>
    <t>1211-1213</t>
  </si>
  <si>
    <t>60016418;60016418;60016418;60016418</t>
  </si>
  <si>
    <t>6603523595;7004927899;55429538200;7005522039</t>
  </si>
  <si>
    <t>Spillard, C. L.;Grace, D.;Thornton, J.;Tozer, T. C.</t>
  </si>
  <si>
    <t>Spillard C.</t>
  </si>
  <si>
    <t>Effect of ground station antenna beamwidth on rain scatter interference in high-altitude platform links</t>
  </si>
  <si>
    <t>10.1049/el:20020823</t>
  </si>
  <si>
    <t>2-s2.0-0037179885</t>
  </si>
  <si>
    <t>Joseph Rowntree Foundation</t>
  </si>
  <si>
    <t>JRF</t>
  </si>
  <si>
    <t>['structurally characterised', 'reported complexes', 'pyrazolate ion', 'physicochemical measurements', 'order dependence', 'new dihydroxy', 'linear relationship', 'kinetic experiments', 'investigated spectrophotometrically', 'investigate whether', 'initial rates', 'fixed 3', 'ferromagnetically coupled', 'exogenous pyrazolate', 'exogenous hydroxo', 'endogenous phenoxo', 'elemental analysis', 'dtbc concentration', 'diverse family', 'dinuclear copper', 'determined ).', 'copper centre', 'complexes 1', 'complex concentration', 'complex 4', 'complex 1', 'catecholase activity', 'catalyst concentration', 'bridges present', 'bridged copper', 'antiferromagnetically coupled', 'amino ]-', 'aerial oxidation', 'active catalyst', '6 ).', '4 ),', '3 ),', '2 ),', '1 ),', ')( œº']</t>
  </si>
  <si>
    <t>3,5-di-tert-butylcatechol | Catechol oxidase model | Dicopper complexes | Kinetics</t>
  </si>
  <si>
    <t>A group of a diverse family of dinuclear copper(II) complexes [Cu2(L1-O)(Œº-OH)][ClO4]2 (1), [Cu2(L2-O)(Œº-OH)][ClO4]2 (2), [Cu2(L3-O)(Œº-C3H3N 2)(OClO3)(H2O)][ClO4]¬∑H 2O (3), [Cu2(L4)(Œº-OH)2][ClO4] 2¬∑H2O (4), [Cu2(L5-O)2(OClO3)2] (5) and [Cu2(bpy)2(Œº-OH)(Œº-OH2)(Œº-O 2CMe)][ClO4]2 (6) has been chosen to investigate their potential as catalysts for the aerial oxidation of 3,5-di-tert-butylcatechol (3,5-DTBC) to 3,5-di-tert-butylquinone (3,5-DTBQ) (catecholase activity) [L1-OH, 2,6-[N-methyl-N-(2-pyridylethyl)aminomethyl]phenol; L2-OH, 2,6-bis[N-(2-pyridylethyl)iminomethyl]phenol; L3-OH, 1,3-bis[N-methyl-N-(2-pyridylethyl)amino]propan-2-ol; L4, Œ±,Œ±‚Ä≤-bis[N-(6-methyl-2-pyridylmethyl)-N-(pyrazol-1- ylmethyl)amino]-m-xylene; L5-OH, 4-methyl-2,6-bis(pyrazol-1-ylmethy)phenol; bpy, 2,2‚Ä≤-bipyridine; C3H3N2, pyrazolate ion; H, dissociable hydrogen atom]. The synthesis of a new m-xylyl-based dinucleating ligand L4 is described. Using this ligand a new dihydroxy-bridged copper(II) complex 4 has been synthesised and characterised by elemental analysis and physicochemical measurements. The types of bridges present are endogenous phenoxo- and exogenous hydroxo- (1 and 2), endogenous alkoxo- and exogenous pyrazolate- (3), exogenous hydroxo- (4), endogenous diphenoxo-bridge (5) and exogenous hydroxo-, aqua- and acetate- (6). Barring complex 6, which is ferromagnetically coupled, all other complexes are antiferromagnetically coupled and all reported complexes are structurally characterised. The reaction between the dicopper(II) complexes and tetrachlorocatechol was investigated spectrophotometrically to investigate whether or not, during catalysis, binding of 3,5-DTBC is occurring to the copper centre(s). Kinetic experiments have been performed to determine initial rate of reactions and the activity order follows: 17gt;2‚â´3&gt;4‚â´6 (for 5 initial rate could not be determined). For a fixed 3,5-DTBC concentration, a linear relationship for the initial rates and the complex concentration is obtained, suggestive of a first-order dependence on the catalyst concentration. Analysis of Michaelis-Menten kinetic treatment has been done for complexes 1, 2, 3 and 4. Complex 1 is the most active catalyst to show catecholase activity. ¬© 2002 Published by Elsevier Science B.V.</t>
  </si>
  <si>
    <t>429-438</t>
  </si>
  <si>
    <t>Inorganica Chimica Acta</t>
  </si>
  <si>
    <t>60021988;60021988</t>
  </si>
  <si>
    <t>7102914999;7202797149</t>
  </si>
  <si>
    <t>Mukherjee, Jhumpa;Mukherjee, Rabindranath</t>
  </si>
  <si>
    <t>Kanpur</t>
  </si>
  <si>
    <t>Indian Institute of Technology Kanpur</t>
  </si>
  <si>
    <t>Mukherjee J.</t>
  </si>
  <si>
    <t>Catecholase activity of dinuclear copper(II) complexes with variable endogenous and exogenous bridge</t>
  </si>
  <si>
    <t>S0020169302011064</t>
  </si>
  <si>
    <t>10.1016/S0020-1693(02)01106-4</t>
  </si>
  <si>
    <t>2-s2.0-0037179961</t>
  </si>
  <si>
    <t>['transient grating', 'time development', 'theory beyond', 'resolved experiments', 'red edge', 'present theories', 'optical coherence', 'occurs within', 'novel effect', 'nonlinear polarization', 'markov limit', 'lasting oscillations', 'impulsive excitation', 'general expressions', 'finite system', 'femtosecond two', 'experimental observations', 'effect cannot', 'characteristic time', 'absorption spectrum', '27 k', '250 fs']</t>
  </si>
  <si>
    <t>We report on the novel effect of the growing-in of optical coherence in the FMO antenna complexes. The rise of coherence, monitored by femtosecond two-pulse photon echo spectroscopy at 1.27 K, occurs within a characteristic time of 150-250 fs after impulsive excitation at the red edge of the absorption spectrum and is accompanied by strong and long-lasting oscillations. We show that this effect cannot be explained in the framework of present theories for the photon echo formation. To account for the observations, we take into consideration a finite system-bath interaction time and develop the theory beyond the Markov limit. We show that the coherence does not follow the impulsive excitation promptly, instead its time development is delayed. General expressions are obtained for the nonlinear polarization, which can also be applied for analysis of other time-resolved experiments (three-pulse photon echoes, transient grating, transient absorption etc.). Model calculations fully support our experimental observations.</t>
  </si>
  <si>
    <t>9923-9933</t>
  </si>
  <si>
    <t>60072285;60072285;60003878;60003878</t>
  </si>
  <si>
    <t>55396155700;35501122300;57214514481;7003777767</t>
  </si>
  <si>
    <t>Prokhorenko, V. I.;Holzwarth, A. R.;Nowak, F. R.;Aartsma, T. J.</t>
  </si>
  <si>
    <t>Mulheim an der Ruhr;Leiden</t>
  </si>
  <si>
    <t>Max Planck Institute for Chemical Energy Conversion;Sterrewacht Leiden</t>
  </si>
  <si>
    <t>60072285;60003878</t>
  </si>
  <si>
    <t>Growing-in of optical coherence in the FMO antenna complexes</t>
  </si>
  <si>
    <t>10.1021/jp025758e</t>
  </si>
  <si>
    <t>2-s2.0-0037180020</t>
  </si>
  <si>
    <t>OTKA T-029328</t>
  </si>
  <si>
    <t>['standard model', 'signal definition', 'rights reserved', 'processes e', 'opal detector', 'mass energies', 'invariant masses', 'fermion pairs', 'extracted cross', 'current interactions', 'applied requiring', '650 pb', '209 gev', '183 gev', '1 recorded']</t>
  </si>
  <si>
    <t>Four-fermion final states qqe+e- and qqŒº+Œº- from neutral-current interactions in e+e- collisions are studied in the OPAL detector at LEP at centre-of-mass energies from 183 GeV to 209 GeV. The data analysed correspond to a total integrated luminosity of about 650 pb-1 recorded from 1997 to 2000. Corresponding to the acceptance of the OPAL detector, a signal definition is applied requiring both leptons to have a scattering angle satisfying \cos Œ∏\ &lt; 0.95. Further requirements are made on the invariant masses of the fermion pairs. The extracted cross-sections for the processes e+e- ‚Üí qqe+e- and e+e- ‚Üí qqŒº+Œº- are consistent with the expectations from the Standard Model. ¬© 2002 Elsevier Science B.V. All rights reserved.</t>
  </si>
  <si>
    <t>259-273</t>
  </si>
  <si>
    <t>60028218;60121115;60007493;60005681;60172343;60025597;60019702;60025597;60028218;60025272;60010365;60009507-60000731;60003122;60019778;60172343;60121115;60028229;60028229;60023254;60019702;60005681;60017592;60029526;60008743;60028717;60019702;60025641;60016908;60028218;60028717;60019778;60028218;60023254;60028229;60019778;60029526;60017592;60030835;60022109;60121115;60020304;60019702-110495002;60019778-60003548;60028218;60022403;60028218;60172343;60019778;60019778;60028229;60002536;60017592;60028717;60017563;60028717;60172343;60009507;60005681;60028218;60025641;60019778;60028717;60025641;60121115;60019778;60019778;60021121;60029526;60028229;60007493;60028218;60028218;60029526;60022403;60017563;60005681;60019778;60007493;60025597;60003548;60028229;60029526;60028229;60022403;60029526;60019778;60028229;60019702;60019778;60017592;60028229;60025641;60028229;60121115;60025597;60019702;60003548-60002536;60010365;60028229;60016908</t>
  </si>
  <si>
    <t>25940940600;7004694495;7006621839;56978658700;57202527267;35313687900;35285477800;57214463366;7007022411;34567554700;24451989100;35355659000;57217049716;7005222422;36039377800;7004127874;35226939400;55865071400;36048279900;26425509700;36041695200;25941222400;55537292300;7101801755;7006875836;35350908200;35226975400;55317715900;7006316549;35953120200;35221177400;35274580000;36039739000;6603726227;24583359300;36553829600;36042016500;35313718000;36049804800;35354020600;36044991100;7103267315;7006651328;56448205100;7005698683;7006944872;57207895008;55663482300;36051279500;8546455200;7004575291;7005416030;7007069241;36046804800;34569623400;7006052153;6602883214;7007013278;57213967128;55538312300;7202597250;35227144500;56598617700;7202873147;34569178400;35953647600;35926776400;36041136800;57202556734;36044578700;55549857900;7006418936;35227267800;7403090000;56806290300;8228468700;7006208822;7006117211;25649648600;35278066400;7102851651;7201565848;36489311600;35227282600;7004703253;8622033400;7003835223;56438842500;8453153600;7004498903;35227418400;7005947314;7005146078;7404772262;35353250500;24487503800;14719607800;35953752500;6603442871;22957455300</t>
  </si>
  <si>
    <t>Abbiendi, G.;Ainsley, C.;√Ökesson, P. F.;Alexander, G.;Allison, J.;Amaral, P.;Anagnostou, G.;Anderson, K. J.;Arcelli, S.;Asai, S.;Axen, D.;Azuelos, G.;Bailey, I.;Barberio, E.;Barlow, R. J.;Batley, R. J.;Bechtle, P.;Behnke, T.;Bell, K. W.;Bell, P. J.;Bella, G.;Bellerive, A.;Benelli, G.;Bethke, S.;Biebel, O.;Bloodworth, I. J.;Boeriu, O.;Bock, P.;Bonacorsi, D.;Boutemeur, M.;Braibant, S.;Brigliadori, L.;Brown, R. M.;Buesser, K.;Burckhart, H. J.;Campana, S.;Carnegie, R. K.;Caron, B.;Carter, A. A.;Carter, J. R.;Chang, C. Y.;Charlton, D. G.;Csilling, A.;Cuffiani, M.;Dado, S.;Dallavalle, G. M.;Dallison, S.;de Roeck, A.;de Wolf, E. A.;Desch, K.;Dienes, B.;Donkers, M.;Dubbert, J.;Duchovni, E.;Duckeck, G.;Duerdoth, I. P.;Elfgren, E.;Etzion, E.;Fabbri, F.;Feld, L.;Ferrari, P.;Fiedler, F.;Fleck, I.;Ford, M.;Frey, A.;F√ºrtjes, A.;Gagnon, P.;Gary, J. W.;Gaycken, G.;Geich-Gimbel, C.;Giacomelli, G.;Giacomelli, P.;Giunta, M.;Goldberg, J.;Gross, E.;Grunhaus, J.;Gruw√©, M.;G√ºnther, P. O.;Gupta, A.;Hajdu, C.;Hamann, M.;Hanson, G. G.;Harder, K.;Harel, A.;Harin-Dirac, M.;Hauschild, M.;Hauschildt, J.;Hawkes, C. M.;Hawkings, R.;Hemingway, R. J.;Hensel, C.;Herten, G.;Heuer, R. D.;Hill, J. C.;Hoffman, K.;Homer, R. J.;Horv√°th, D.;Howard, R.;H√ºntemeyer, P.;Igo-Kemenes, P.</t>
  </si>
  <si>
    <t>United Kingdom;United Kingdom;Canada;United States;Germany;Germany;Italy;Germany;United States;Japan;United Kingdom;Israel;United Kingdom;United States;United States;Switzerland;United Kingdom;Canada;Israel;Germany;Canada;Canada;Germany;Germany;Israel;Hungary;Canada;Hungary;Canada;United States</t>
  </si>
  <si>
    <t>Manchester;Cambridge;Edmonton;Riverside;Munich;Hamburg;Bologna;Freiburg im Breisgau;Chicago;Tokyo;Didcot;Haifa;London;Bloomington;College Park;Geneva;Birmingham;Ottawa;Rehovot;Heidelberg;Vancouver;Montreal;Munich;Bonn;Tel Aviv-Yafo;Budapest;Victoria;Debrecen;Vancouver;</t>
  </si>
  <si>
    <t>Faculty of Science and Engineering;Department of Physics;University of Alberta;University of California, Riverside;Ludwig-Maximilians-Universit√§t M√ºnchen;Universit√§t Hamburg;Alma Mater Studiorum Universit√† di Bologna;Universit√§t Freiburg im Breisgau;The Enrico Fermi Institute;The University of Tokyo;Rutherford Appleton Laboratory;Technion - Israel Institute of Technology;Queen Mary University of London;Indiana University Bloomington;University of Maryland, College Park;European Organization for Nuclear Research;University of Birmingham;Carleton University;Weizmann Institute of Science Israel;Universit√§t Heidelberg;The University of British Columbia;University of Montreal;Max Planck Institute for Physics (Werner Heisenberg Institute);Universit√§t Bonn;Tel Aviv University;Wigner Research Centre for Physics;University of Victoria;Atommagkutat√≥ Int√©zet;TRIUMF;Royal Society University Research Fellow</t>
  </si>
  <si>
    <t>60172343;60121115;60030835;60029526;60028717;60028229;60028218;60025641;60025597;60025272;60023254;60022403;60022109;60021121;60020304;60019778;60019702;60017592;60017563;60016908;60010365;60009507;60008743;60007493;60005681;60003548;60003122;60002536;60000731;110495002</t>
  </si>
  <si>
    <t>Abbiendi G.</t>
  </si>
  <si>
    <t>Measurement of neutral-current four-fermion production at LEP2</t>
  </si>
  <si>
    <t>S0370269302024681</t>
  </si>
  <si>
    <t>10.1016/S0370-2693(02)02468-1</t>
  </si>
  <si>
    <t>2-s2.0-0037180066</t>
  </si>
  <si>
    <t>['xanthophyll hound', 'stronger interactions', 'spectroscopic methods', 'specific characteristic', 'sites a5', 'site l2', 'single residue', 'single chlorophyll', 'qy transition', 'one chromophore', 'mutant proteins', 'individual chromophores', 'helix c', 'energy levels', 'directed mutagenesis', 'chromophores bound', 'chlorophyll interactions', 'binding sites', 'binding residue', 'antenna system', 'although targeted', '701 nm', '688 nm', '686 nm', '10 chlorophyll']</t>
  </si>
  <si>
    <t>The light harvesting complex Lhca1, one of the four gene products comprising the photosystem I antenna system, has been analyzed by site-directed mutagenesis with the aim of determining the chromophore(s) responsible for its long wavelength chlorophyll spectral form, a specific characteristic of the LHCI antenna complex. A family of mutant proteins, each carrying a mutation at a single chlorophyll-binding residue, was obtained and characterized by biochemical and spectroscopic methods. A map of the chromophores bound to each of the 10 chlorophyll-binding sites was drawn, and the energy levels of the Qy transition were determined in most cases. When compared with Lhcb proteins previously analyzed, Lhca1 is characterized by stronger interactions between individual chromophores as detected by both biochemical and spectroscopic methods; most mutations, although targeted to a single residue, lead to the loss of more than one chromophore and of conservative CD signals typical of chlorophyll-chlorophyll interactions. The lower energy absorption form (686 nm at 100K, 688 nm at room temperature), which is responsible for the red-shifted emission components at 690 and 701 nm, typical of Lhca1, is associated with a chlorophyll a/chlorophyll a excitonic interaction originating from a pigment cluster localized in the protein domain situated between helix C and the helix A/helix B cross. This cluster includes chlorophylls bound to sites A5-B5-B6 and a xanthophyll hound to site L2.</t>
  </si>
  <si>
    <t>36253-36261</t>
  </si>
  <si>
    <t>60032256-60019615;60032256-60019615;60032256-60019615;60032256-60019615-60021199;60032256-60019615</t>
  </si>
  <si>
    <t>6602309011;6507300015;24310010600;35553979700;7005812451</t>
  </si>
  <si>
    <t>Morosinotto, Tomas;Castelletti, Simona;Breton, Jacques;Bassi, Roberto;Croce, Roberta</t>
  </si>
  <si>
    <t>Italy;Italy;France</t>
  </si>
  <si>
    <t>Verona;Rome;Gif-sur-Yvette</t>
  </si>
  <si>
    <t>Universit√† degli Studi di Verona;Consiglio Nazionale delle Ricerche;CEA Saclay</t>
  </si>
  <si>
    <t>60032256;60021199;60019615</t>
  </si>
  <si>
    <t>Morosinotto T.</t>
  </si>
  <si>
    <t>Mutation analysis of Lhca1 antenna complex: Low energy absorption forms originate from pigment-pigment interactions</t>
  </si>
  <si>
    <t>10.1074/jbc.M205062200</t>
  </si>
  <si>
    <t>2-s2.0-0037183991</t>
  </si>
  <si>
    <t>R01CA033895</t>
  </si>
  <si>
    <t>['used individually', 'unpolysialylated antennas', 'two polysialyltransferases', 'thus longer', 'synergistic effect', 'subtle increase', 'st8sia iv', 'st8sia ii', 'sixth n', 'reverse order', 'present study', 'polysialylated ncam', 'polysialylated antenna', 'polysialic acid', 'oligosialylated oligosaccharides', 'neural development', 'ncam n', 'least one', 'individual roles', 'heretofore unknown', 'glycosylation sites', 'glycans containing', 'glycans attached', 'first demonstrated', 'critical role']</t>
  </si>
  <si>
    <t>Polysialylation of the neural cell adhesion molecule (NCAM) is thought to play a critical role in neural development. Two polysialyltransferases, ST8Sia II and ST8Sia IV, play dominant roles in polysialic acid synthesis on NCAM. However, the individual roles and mechanisms by which these two enzymes form large amounts of polysialic acid on NCAM were heretofore unknown. Previous studies indicate that ST8Sia IV forms more highly polysialylated N-glycans on NCAM than ST8Sia II in vitro. In the present study, we first demonstrated that a combination of ST8Sia II and ST8Sia IV cooperatively polysialylated NCAM, resulting in NCAM N-glycans containing more, and thus longer, polysialic acid than when the enzymes were used individually. There was also an increase in polysialylated NCAM when we used ST8Sia II and ST8Sia IV sequentially, whereas there appeared to be a subtle increase when the enzymes were used in the reverse order. Furthermore, ST8Sia IV was able to add polysialic acid to oligosialylated oligosaccharides and unpolysialylated antennas in N-glycans attached to NCAM, even when polysialic acid was attached to at least one of the other antennas. By contrast, ST8Sia II added little polysialic acid to the same acceptors. On the other hand, neither ST8Sia II nor ST8Sia IV could add polysialic acid to a polysialylated antenna of NCAM N-glycans. These combined results indicate that the synergistic effect of ST8Sia II and ST8Sia IV is caused by: 1) the ability of ST8Sia IV to add polysialic acid to oligosialic acid formed by ST8Sia II, 2) the potential of ST8Sia IV to act on more antennas of N-glycans than ST8Sia II, and 3) the ability of ST8Sia II and ST8Sia IV in combination to act on the fifth and sixth N-glycosylation sites of NCAM.</t>
  </si>
  <si>
    <t>36808-36817</t>
  </si>
  <si>
    <t>60023242;60023242;60023242</t>
  </si>
  <si>
    <t>6701425937;56160749500;35392436200</t>
  </si>
  <si>
    <t>Angata, Kiyohiko;Suzuki, Misa;Fukuda, Minoru</t>
  </si>
  <si>
    <t>San Diego CA</t>
  </si>
  <si>
    <t>Sanford Burnham Prebys Medical Discovery Institute</t>
  </si>
  <si>
    <t>Angata K.</t>
  </si>
  <si>
    <t>ST8Sia II and ST8Sia IV polysialyltransferases exhibit marked differences in utilizing various acceptors containing oligosialic acid and short polysialic acid. The basis for cooperative polysialylation by two enzymes</t>
  </si>
  <si>
    <t>10.1074/jbc.M204632200</t>
  </si>
  <si>
    <t>2-s2.0-0037184058</t>
  </si>
  <si>
    <t>['zone b', 'whereas none', 'various techniques', 'spatial positioning', 'smaller areas', 'repeated decreasing', 'profile spacing', 'processed data', 'probably related', 'preliminary survey', 'noise ratio', 'necropolis dating', 'main advantages', 'higher one', 'envelope stacks', 'calcarenitic basement', 'bedrock reflection', 'bedding planes', 'archaeological applications', 'anomaly interpreted', 'amplitude surfaces', '3d space', '3d projection', '2d sections', '200 mhz']</t>
  </si>
  <si>
    <t>Archaeological investigations | Ground-penetrating radar | Visualization techniques</t>
  </si>
  <si>
    <t>In this work, some results of a GPR survey carried out in a 10 000 m2 large archaeological site, located in Lecce (Italy) near to a necropolis dating from the Messapian to the Roman imperial age, are reported. After a preliminary survey, performed on the entire area along parallel 1 m spaced profiles using a 200 MHz and a 500 MHz antenna in single-fold continuous mode, some smaller areas were selected, where the survey was repeated decreasing the profile spacing down to 0.50 m for the lower frequency antenna and to 0.25 m for the higher one. For two selected zones (D and B) the processed data were visualized in 3D space not only by the standard time slice technique, but also by two recently proposed approaches, namely by iso-amplitude surfaces of the complex trace amplitude and by 3D projection of energy and envelope stacks. The immediacy in revealing the spatial positioning of highly reflecting bodies, such as the anomaly interpreted as an old refilled cistern in zone D, makes 3D visualization techniques very attractive in archaeological applications of GPR. Their sensitivity to the signal/noise ratio is, on the other hand, highlighted by the quite poor performance in zone B, where the only reliable result provided by all the techniques was the soil/bedrock reflection, whereas none of them could effectively enhance the visibility of weak dipping reflections noted on 2D sections and probably related to fractures or bedding planes in the calcarenitic basement. The performance of the various techniques in these two different situations allowed insights into their main advantages and drawbacks to be gained.</t>
  </si>
  <si>
    <t>321-338</t>
  </si>
  <si>
    <t>Annals of Geophysics</t>
  </si>
  <si>
    <t>60024353;60024353;60024353;60024353;60024353</t>
  </si>
  <si>
    <t>35613179400;6507852479;7006572559;7007134341;6602730285</t>
  </si>
  <si>
    <t>Nuzzo, Luigia;Leucci, Giovanni;Negri, Sergio;Carrozzo, Maria Teresa;Quarta, Tatiana</t>
  </si>
  <si>
    <t>Nuzzo L.</t>
  </si>
  <si>
    <t>Application of 3D visualization techniques in the analysis of GPR data for archaeology</t>
  </si>
  <si>
    <t>2-s2.0-0036376586</t>
  </si>
  <si>
    <t>['umts system', 'terminal performance', 'significant improvement', 'doppler shift', 'also shown']</t>
  </si>
  <si>
    <t>Blind equalization | CMA | Fractionally spaced equalization | Spatial equalization</t>
  </si>
  <si>
    <t>In this paper we present fractionally spaced adaptive equalization techniques and space diversity combined receiver and evaluate their performance for the downlink of S-UMTS system. The conventional 'training' (or non-blind) and the 'unsupervised' (or blind) adaptive equalization algorithms are both investigated. Simulation results show that the equalizers are robust to Doppler shift and non-linearity effects due to TWT amplifiers aboard the satellite. It is also shown that even with a moderate array size of two antenna elements, a significant improvement in terminal performance is achieved.</t>
  </si>
  <si>
    <t>541-555</t>
  </si>
  <si>
    <t>8 SPEC.</t>
  </si>
  <si>
    <t>International Journal of Adaptive Control and Signal Processing</t>
  </si>
  <si>
    <t>60016636;60016636;60031226;60016636</t>
  </si>
  <si>
    <t>6603761740;56110906300;7005690573;7004956558</t>
  </si>
  <si>
    <t>Nordberg, J√∂rgen;Mohammed, Abbas;Nordholm, Sven;Claesson, Ingvar</t>
  </si>
  <si>
    <t>Australia;Sweden</t>
  </si>
  <si>
    <t>Perth;Karlskrona</t>
  </si>
  <si>
    <t>Curtin University;Blekinge Tekniska H√∂gskola</t>
  </si>
  <si>
    <t>60031226;60016636</t>
  </si>
  <si>
    <t>Nordberg J.</t>
  </si>
  <si>
    <t>Fractionally spaced spatial adaptive equalization of S-UMTS mobile terminals</t>
  </si>
  <si>
    <t>10.1002/acs.724</t>
  </si>
  <si>
    <t>2-s2.0-0036772104</t>
  </si>
  <si>
    <t>['wave regions', 'two configurations', 'theoretical predictions', 'separation cuts', 'rugged layer', 'rf characteristics', 'practical technique', 'photonic crystals', 'paper presents', 'mechanical machining', 'measured behavior', 'layer structure', 'initial demonstration', 'incident radiation', 'automatic alignment', 'asymmetrical example', 'alternating layers', 'agree well']</t>
  </si>
  <si>
    <t>Photonic crystal | Planar antennas | Submillimeter-wave antennas | Surface-wave modes</t>
  </si>
  <si>
    <t>This paper presents a rapid, versatile, and practical technique for the manufacture of layer-by-layer photonic crystals in the millimeter- and submillimeter-wave regions. Mechanical machining is used to derive a rugged layer-by-layer structure from high-resistivity silicon wafers. Unlike traditional anisotropic etching techniques, this method does not rely on any particular crystal orientation of the substrate and allows greater flexibility in the photonic crystal design. Automatic alignment of alternating layers is achieved via careful placement of the separation cuts. Using this ability, two configurations of photonic crystals are realized and their RF characteristics are measured and presented. Firstly, a symmetrical photonic crystal is studied as an initial demonstration of the technique. This is followed by an asymmetrical example, where a different frequency response is observed for the two orthogonal polarization of the incident radiation. Two measurement techniques are used to characterize the photonic crystals and the merits of each are discussed. Theoretical predictions are seen to agree well with the measured behavior.</t>
  </si>
  <si>
    <t>2384-2392</t>
  </si>
  <si>
    <t>60000251-60033019;60033019;60023254;60016653;60016653;60000251-60031159</t>
  </si>
  <si>
    <t>7003903508;25640131000;7201448185;6604041353;6508211446;7003592642</t>
  </si>
  <si>
    <t>Gonzalo, Ramon;Martinez, Beatriz;Mann, Chris M.;Pellemans, Harm;Bolivar, Peter Haring;De Maagt, Peter</t>
  </si>
  <si>
    <t>Spain;Netherlands;United Kingdom;Germany;United States</t>
  </si>
  <si>
    <t>Pamplona;Noordwijk aan Zee;Didcot;Aachen;New York</t>
  </si>
  <si>
    <t>Universidad P√∫blica de Navarra;ESTEC - European Space Research and Technology Centre;Rutherford Appleton Laboratory;Rheinisch-Westf√§lische Technische Hochschule Aachen;IEEE</t>
  </si>
  <si>
    <t>60033019;60031159;60023254;60016653;60000251</t>
  </si>
  <si>
    <t>Gonzalo R.</t>
  </si>
  <si>
    <t>A low-cost fabrication technique for symmetrical and asymmetrical layer-by-layer photonic crystals at submillimeter-wave frequencies</t>
  </si>
  <si>
    <t>10.1109/TMTT.2002.803446</t>
  </si>
  <si>
    <t>2-s2.0-0036772107</t>
  </si>
  <si>
    <t>['used basically', 'thz detection', 'extremely helpful']</t>
  </si>
  <si>
    <t>Circuit model | Double-electron layer tunneling transistor (DELTT) | THz detector</t>
  </si>
  <si>
    <t>An equivalent circuit model for the double-electron layer tunneling transistor (DELTT) integrated with an antenna is presented in this paper. This device is used basically for THz detection, and the antenna is used to efficiently couple THz radiation into the device for processing. Developing an equivalent circuit model is extremely helpful in matching the antenna to the device.</t>
  </si>
  <si>
    <t>1701-1708</t>
  </si>
  <si>
    <t>60000251-60033021;60000251-60033021;60000251-60007843</t>
  </si>
  <si>
    <t>6602668789;35465847700;57210475236</t>
  </si>
  <si>
    <t>Khodier, Majid M.;Christodoulou, Christos G.;Simmons, Jerry A.</t>
  </si>
  <si>
    <t>Albuquerque;Albuquerque;New York</t>
  </si>
  <si>
    <t>The University of New Mexico;Sandia National Laboratories, New Mexico;IEEE</t>
  </si>
  <si>
    <t>60033021;60007843;60000251</t>
  </si>
  <si>
    <t>Equivalent circuit model for a THz detector based on the double-electron layer tunneling transistor (DELTT)</t>
  </si>
  <si>
    <t>10.1109/TED.2002.803641</t>
  </si>
  <si>
    <t>2-s2.0-0036772260</t>
  </si>
  <si>
    <t>['weak dependence', 'usually tested', 'term reliability', 'statistics obtained', 'second one', 'reference devices', 'plasma treatments', 'plasma processing', 'oxide thickness', 'microbroken oxides', 'micro breakdown', 'mb ),', 'may lead', 'lower voltages', 'latent plasma', 'latent damage', 'large antenna', 'intrinsic nature', 'induced damage', 'hb ),', 'gate oxides', 'gate leakage', 'gate current', 'e .,', 'double trap', 'device long', 'cmos components', 'breakdown occurs', 'breakdown modes', 'breakdown current', 'assisted tunneling', 'always stopped', 'abrupt jump', '2 v', '2 nm']</t>
  </si>
  <si>
    <t>Gate-oxide | MOSFET | Oxide reliability | Plasma damage</t>
  </si>
  <si>
    <t>Plasma treatments, indispensable for manufacturing of ULSI integrated circuits, may lead to a latent damage in gate oxides of CMOS components. Latent damage may endanger the device long-term reliability, which is usually tested over large-area MOS devices. In this work, we investigated the impact of latent plasma-induced damage (PID) on the reliability of nMOSFETs with small gate area and gate-oxide thickness of 3.2 nm. To this purpose, we stressed 1500 devices with different antenna areas by using a staircase-like stress voltage and by monitoring the gate leakage at the gate voltage V G = +2 V. The stress was always stopped because of an abrupt jump in the gate current. The statistics obtained for the breakdown current are characterized by two different oxide-breakdown modes. The first is the well-known hard breakdown (HB), while the second one, which we called micro breakdown (MB), can be modeled as a double trap-assisted tunneling (D-TAT) mechanism and is characterized by a very small leakage current (around 100 pA at the gate voltage V G = 2 V). In devices with large antenna, i.e., more prone to be damaged by plasma processing, the number of microbroken oxides is larger and breakdown occurs at lower voltages than in reference devices (non plasma damaged). Conversely, the hard breakdown statistics shows only a weak dependence on the gate antenna ratio of plasma damaged devices. This has been explained by considering the intrinsic nature of latent plasma-induced oxide defects, linked to the different generation mechanisms involved in micro breakdown and hard breakdown phenomena.</t>
  </si>
  <si>
    <t>1768-1774</t>
  </si>
  <si>
    <t>60000251-60000481;60000251-60000481;60000481;60000251-60000481</t>
  </si>
  <si>
    <t>6701831529;6603668511;35614398500;57212030125</t>
  </si>
  <si>
    <t>Cellere, Giorgio;Larcher, Luca;Valentini, M. G.;Paccagnella, Alessandro</t>
  </si>
  <si>
    <t>Padua;New York</t>
  </si>
  <si>
    <t>Universit√† degli Studi di Padova;IEEE</t>
  </si>
  <si>
    <t>60000481;60000251</t>
  </si>
  <si>
    <t>Plasma-induced micro breakdown in small-area MOSFETs</t>
  </si>
  <si>
    <t>10.1109/TED.2002.803637</t>
  </si>
  <si>
    <t>2-s2.0-0036772475</t>
  </si>
  <si>
    <t>['two subfamilies', 'south africa', 'rhodesaclerdinae hodgson', 'rhodesaclerda belong', 'nipponaclerda ).', 'new species', 'macropoda hodgson', 'loranthi hodgson', 'lecanaclerda hodgson', 'kwazulaclerda hodgson', 'known stages', 'instar male', 'instar female', 'insleyae hodgson', 'include rhodesaclerda', 'include aclerda', 'halli mcconnell', 'existing species', 'combreticola mcconnell', 'closely related', 'also described', 'adult male', 'aclerdinae cockerell']</t>
  </si>
  <si>
    <t>A new aclerdid genus, Lecanaclerda Hodgson &amp; Millar, closely related to Aclerda but with fully developed legs and antennae, is introduced for a new new species, L. macropoda Hodgson &amp; Millar, for which the male and female are described. In addition, genus Rhodesaclerda McConnell is revised and all known stages of existing species, R. combreticola McConnell and R. halli McConnell, are redescribed. The crawler, second-instar female, pupa and the adult male and female of a new species, R. insleyae Hodgson &amp; Millar, from South Africa are also described. Another new genus, Kwazulaclerda Hodgson &amp; Millar, close to Rhodesaclerda, is introduced and the crawler, second-instar female, second-instar male, pupa and adult male and female of the new species K. loranthi Hodgson &amp; Millar from Kwazulu-Natal are described. A phylogenetic analysis based on adult macropterous male characters was undertaken to look at the relationships of these species with other Coccoidea. It is concluded that Lecanaclerda is closely related to Aclerda, Kwazulaclerda is closely related to Rhodesaclerda, Kwazulaclerda and Rhodesaclerda belong to Aclerdidae, and Aclerdidae should be split into two subfamilies, Rhodesaclerdinae Hodgson &amp; Millar (to include Rhodesaclerda and Kwazulaclerda) and Aclerdinae Cockerell (to include Aclerda, Lecanaclerda and Nipponaclerda). These two subfamilies are diagnosed and a key is given for the separation of the genera now included in Aclerdidae. The relationships of Aclerdidae and Coccidae are discussed.</t>
  </si>
  <si>
    <t>469-517</t>
  </si>
  <si>
    <t>60017250;60026262</t>
  </si>
  <si>
    <t>7102252332;7005446081</t>
  </si>
  <si>
    <t>Hodgson, Chris J.;Millar, Ian M.</t>
  </si>
  <si>
    <t>South Africa;United Kingdom</t>
  </si>
  <si>
    <t>Pretoria;Cardiff</t>
  </si>
  <si>
    <t>Plant Protection Research Institute, Pretoria;National Museum of Wales</t>
  </si>
  <si>
    <t>60026262;60017250</t>
  </si>
  <si>
    <t>Hodgson C.</t>
  </si>
  <si>
    <t>A new subfamily, two new genera and three new species of Aclerdidae (Hemiptera: Coccoidea) from southern Africa, with a phylogenetic analysis of relationships</t>
  </si>
  <si>
    <t>10.1046/j.1365-3113.2002.00189.x</t>
  </si>
  <si>
    <t>2-s2.0-0036772482</t>
  </si>
  <si>
    <t>['wave range', 'wave irradiation', 'wave exposure', 'vivo ),', 'vitro ).', 'transfer simulation', 'three parts', 'third part', 'thermal bio', 'temperature measurements', 'temperature changes', 'skin tissue', 'sar inside', 'power density', 'porcine eye', 'new applications', 'measurements showed', 'make use', 'layered model', 'investigated numerically', 'human skin', 'human safety', 'human eye', 'horn antenna', 'good agreement', 'frequency range', 'eye tissue', 'exposure setup', 'electromagnetic fields', 'electromagnetic field', 'domain method', 'difference time', 'detailed model', 'automotive industry', 'analytical method', '77 ghz', '2 w', '100 ghz', '10 mw', '1 w', '1 mw']</t>
  </si>
  <si>
    <t>Basic restrictions | Bio-heat-transfer equation | Biological tissues | Dielectric properties | Dosimetry | Finite-difference time-domain (FDTD) method | Finite-element method (FEM) | Numerical simulation | Safety guidelines | Thermal imaging system | W-band</t>
  </si>
  <si>
    <t>There are new applications in the automotive industry that make use of electromagnetic fields in the centimeter/millimeter-wave range, e.g., radar systems for adaptive cruise control. In this frequency range, only few data are available from the point of human safety and dosimetry. This investigation is divided into three parts. First, the W-band dielectric properties of different biological tissues are determined. Afterwards the electromagnetic field in the human eye and skin is simulated for plane-wave exposure. An analytical method is used to investigate the specific absorption rate (SAR) inside a layered model of the human skin between 3-100 GHz. Furthermore, the SAR inside a detailed model of the human eye is investigated numerically by the finite-difference time-domain method for a frequency of 77 GHz. Maximum local SAR values of 27.2 W/kg in skin tissue and 45.1 W/kg in eye tissue are found for 77 GHz and an incident power density of 1 mW/cm2. In the third part of this investigation, the temperature changes of superficial tissue caused by millimeter-wave irradiation are measured by a thermal infrared imaging system. The exposure setup is based on a horn antenna with a Gunn oscillator operating at 15.8-dBm output power. The measurements showed a maximum temperature increase of 0.7 ¬∞C for a power density of 10 mW/cm2 and less than 0.1 ¬∞C for 1 mW/cm2, both in human skin (in vivo), as well as in porcine eye (in vitro). The comparison of the temperature measurements with a thermal bio-heat-transfer simulation of a layered skin model showed a good agreement.</t>
  </si>
  <si>
    <t>2393-2400</t>
  </si>
  <si>
    <t>60072505;60072505</t>
  </si>
  <si>
    <t>6603169737;56225169300</t>
  </si>
  <si>
    <t>Gustrau, Frank;Bahr, Achim</t>
  </si>
  <si>
    <t>Kamp-Lintfort</t>
  </si>
  <si>
    <t>IMST GmbH</t>
  </si>
  <si>
    <t>Gustrau F.</t>
  </si>
  <si>
    <t>W-band investigation of material parameters, SAR distribution, and thermal response in human tissue</t>
  </si>
  <si>
    <t>10.1109/TMTT.2002.803445</t>
  </si>
  <si>
    <t>2-s2.0-0036772887</t>
  </si>
  <si>
    <t>['œºm cmos', 'usually combined', 'thereby eliminating', 'rf frequency', 'power consumption', 'power amplification', 'output power', 'multiplexing two', 'gsm 900', 'error specifications', 'digital domain', 'die area', 'derived spectrum', 'chip digital', 'burst ramping', '706 mw', '52 mhz', '3 v']</t>
  </si>
  <si>
    <t>Direct digital frequency synthesizer | GMSK modulator | Interleaved D/A converter | Multicarrier | Power control</t>
  </si>
  <si>
    <t>A multicarrier Gaussian minimum shift keying (GMSK) modulator with a 14-bit on-chip digital-to-analog (D/A) converter is presented. The design contains four GMSK modulators, which generate GMSK modulated carriers at the user-defined center frequencies. In wireless base stations, the modulated transmit signals are usually combined at the RF frequency after power amplification. The multicarrier modulator combines four GMSK modulated signals in the digital domain, thereby eliminating the need for an antenna microwave combiner. A new digital ramp generator and output power-level controller performs both the burst ramping and the dynamic power control in the digital domain. The maximum dynamic performance is obtained by multiplexing two D/A converters with output sampling switches. The digital multicarrier GMSK modulator is designed to fulfill the derived spectrum and phase-error specifications of the GSM 900/1800/1900 base stations for pico-, micro-, and macrocells. The die area of the chip is 26.8 mm 2 in 0.35-Œºm CMOS (in BiCMOS) technology. Power consumption is 706 mW at 3.3 V with 52 MHz.</t>
  </si>
  <si>
    <t>1226-1234</t>
  </si>
  <si>
    <t>60000251-60103653;60026638;60103653;60026638;60103653</t>
  </si>
  <si>
    <t>7004021882;6602102734;6506454691;7003325410;35501096600</t>
  </si>
  <si>
    <t>Vankka, Jouko;Pyyk√∂nen, Jaakko;Sommarek, Johan;Honkanen, Mauri;Halonen, Kari A.I.</t>
  </si>
  <si>
    <t>Vankka J.</t>
  </si>
  <si>
    <t>A multicarrier GMSK modulator with on-chip D/A converter for base stations</t>
  </si>
  <si>
    <t>10.1109/JSSC.2002.803057</t>
  </si>
  <si>
    <t>2-s2.0-0036773174</t>
  </si>
  <si>
    <t>['useful guidelines', 'two semi', 'superconducting devices', 'superconducting device', 'seven mixers', 'resonating frequency', 'remaining circuitry', 'recently developed', 'reactances due', 'propagation constant', 'parasitics due', 'network model', 'mixer device', 'measured results', 'measured data', 'input impedance', 'infinite media', 'improved equivalent', 'first time', 'first propose', 'fed coplanar', 'detailed geometry', 'coplanar waveguide', 'complete set', 'characteristic impedance', 'basically caused', 'also given', '500 ghz', '3 thz']</t>
  </si>
  <si>
    <t>Characteristic impedance | Coplanar waveguide | CPW transitions | Hot electron bolometer | Leaky waves | Slot antennas</t>
  </si>
  <si>
    <t>Series-fed coplanar-waveguide embedding circuits have been recently developed for terahertz mixers using, in particular, superconducting devices as sensors. Although these mixers show promising performance, they usually also show a considerable downward shift in the resonating frequency when compared with calculations using simplified models. This effect is basically caused by parasitics due to the extremely small details (in terms of wavelength) of the device and to the connection of the remaining circuitry (i.e., RF filter). In this paper, we present an improved equivalent-network model of such devices that agrees with measured results. We first propose a method to calculate the characteristic impedance and propagation constant of the coplanar waveguide, etched between two semi-infinite media, which connect the receiving slot antennas to the superconducting device. In the formulation, we take into account, for the first time, the radiation power leakage. We then describe the procedure to calculate the reactances due to the detailed geometry of the mixer device and circuit and we correct the input impedance, calculated with a commonly used simplified network. Finally, by comparing our results with a complete set of measured data, for seven mixers in the range between 500 GHz-3 THz, we analyze the features of our model and propose further improvements. Useful guidelines for designing terahertz mixer circuits are also given.</t>
  </si>
  <si>
    <t>2374-2383</t>
  </si>
  <si>
    <t>60009037;60009037;60000251-60019984</t>
  </si>
  <si>
    <t>35944424300;7102618489;7006448685</t>
  </si>
  <si>
    <t>Focardi, Paolo;Neto, Andrea;McGrath, William R.</t>
  </si>
  <si>
    <t>The Hague;Pasadena;New York</t>
  </si>
  <si>
    <t>Nederlandse Organisatie voor toegepast natuurwetenschappelijk onderzoek- TNO;Jet Propulsion Laboratory;IEEE</t>
  </si>
  <si>
    <t>60019984;60009037;60000251</t>
  </si>
  <si>
    <t>Focardi P.</t>
  </si>
  <si>
    <t>Coplanar-waveguide-based terahertz hot-electron-bolometer mixers - Improved embedding circuit description</t>
  </si>
  <si>
    <t>10.1109/TMTT.2002.803448</t>
  </si>
  <si>
    <t>2-s2.0-0036773492</t>
  </si>
  <si>
    <t>['vertical cut', 'study confirms', 'strata joints', 'radar sections', 'limestone quarries', 'like clay', 'karstic cavities', 'irregular geometry', 'geological sections', 'easily detectable', 'detection capability', 'constrained mainly', 'conducting materials', 'clay deposits', '50 mhz']</t>
  </si>
  <si>
    <t>Fracture | Georadar | Massive sedimentary rock | Vertical and lateral resolution</t>
  </si>
  <si>
    <t>A comparison of geological and radar sections allowed us to test the capability of georadar to detect single fractures, sets of fractures, karstic cavities, strata joints, etc. In order to assess this detection capability, we acquired radar using 50, 100 and 200 MHz antennae, in travertine and limestone quarries on the top of benches, locating sections parallel to the vertical cut. The radar sections were compared with geological sections. We found that steep or nearly vertical fractures are detectable when they have irregular geometry and are filled by clay deposits. Strata joints filled by clay are easily detectable. The 50, 100 and 200 MHz antennae have different signal penetration depths, the maximum being reached by 50 MHz and the minimum by 200; the study confirms that the penetration is constrained mainly by conducting materials, like clay, and the signal power emitted by the antenna. The 100 and 200 MHz antennae showed similar resolution but different penetration depths.</t>
  </si>
  <si>
    <t>265-279</t>
  </si>
  <si>
    <t>Orlando, L.</t>
  </si>
  <si>
    <t>Orlando L.</t>
  </si>
  <si>
    <t>Ground penetrating radar in massive rock: A case history</t>
  </si>
  <si>
    <t>2-s2.0-0036773914</t>
  </si>
  <si>
    <t>['specimens collected', 'southern spain', 'related species', 'pereonites length', 'new species', 'mud bottoms', 'gnathopod 2', 'genus caprella', 'found living', 'described based', 'caprella rapax', 'caprella caulerpensis', 'antenna 1']</t>
  </si>
  <si>
    <t>A new species of the genus Caprella (Crustacea: Amphipoda: Caprellidea) is described based on the specimens collected from the Strait of Gibraltar, southern Spain. The new species, Caprella caulerpensis, was found living in mud bottoms with the seaweed Caulerpa prolifera (Forsk√•l) Lamouroux. Caprella caulerpensis can be distinguished from the most related species, Caprella rapax, mainly by the number of articles in the flagellum of antenna 1, the morphology of the dactylus of gnathopod 2 and the pereonites length.</t>
  </si>
  <si>
    <t>843-846</t>
  </si>
  <si>
    <t>Journal of the Marine Biological Association of the United Kingdom</t>
  </si>
  <si>
    <t>60033284;60033284;60033284</t>
  </si>
  <si>
    <t>7003906814;6602545813;7004099514</t>
  </si>
  <si>
    <t>Guerra-Garc√≠a, J. M.;S√°nchez-Moyano, J. E.;Garc√≠a-G√≥mez, J. C.</t>
  </si>
  <si>
    <t>Caprella caulerpensis (Crustacea: Amphipoda), a new species associated with Caulerpa prolifera from the Strait of Gibraltar</t>
  </si>
  <si>
    <t>10.1017/S0025315402006215</t>
  </si>
  <si>
    <t>2-s2.0-0036775219</t>
  </si>
  <si>
    <t>TIC2001-0586</t>
  </si>
  <si>
    <t>['rights reserved', 'obtain formulae', 'mandelbrot set', 'harmonic tool', 'family tree', 'external arguments', 'explicit formulae']</t>
  </si>
  <si>
    <t>External arguments | External rays | Mandelbrot set antenna</t>
  </si>
  <si>
    <t>The external argument theory of Douady and Hubbard allows us to know both the potential and the field-lines in the exterior of the Mandelbrot set. Nonetheless, there are no explicit formulae to operate with external arguments, and the external argument theory is difficult to apply. In this paper we introduce some tools in order to obtain formulae to operate with external arguments in the Mandelbrot set antenna. Thus, we introduce the harmonic tool to calculate both the external arguments of the period-doubling cascade hyperbolic components and the external arguments of the last appearance hyperbolic components. Likewise, we introduce composition rules applied to external arguments that, with the aid of the concept of heredity, allows the calculation of all the external arguments that constitutes the family tree of a given external argument. ¬© 2002 Elsevier Science B.V. All rights reserved.</t>
  </si>
  <si>
    <t>52-71</t>
  </si>
  <si>
    <t>Physica D: Nonlinear Phenomena</t>
  </si>
  <si>
    <t>35583724300;7005305122;56217406300;7005663245</t>
  </si>
  <si>
    <t>Pastor, G.;Romera, M.;√Ålvarez, G.;Montoya, F.</t>
  </si>
  <si>
    <t>Pastor G.</t>
  </si>
  <si>
    <t>Operating with external arguments in the Mandelbrot set antenna</t>
  </si>
  <si>
    <t>S0167278902005390</t>
  </si>
  <si>
    <t>10.1016/S0167-2789(02)00539-0</t>
  </si>
  <si>
    <t>2-s2.0-0036776649</t>
  </si>
  <si>
    <t>Asahi Glass Foundation</t>
  </si>
  <si>
    <t>['total pressure', 'substrate temperature', 'spoke antenna', 'rights reserved', 'novel high', 'microwave power', 'microcrystalline silicon', 'film crystallinity', 'fast deposition', 'deposition parameters', 'defect density', 'crystal orientation']</t>
  </si>
  <si>
    <t>Œºc-Si:H | Fast deposition | High-density plasma | Spoke antenna</t>
  </si>
  <si>
    <t>A novel high-density and low-temperature microwave discharge utilizing a spoke antenna has been applied for the fast deposition of microcrystalline silicon (Œºc-Si:H) films with preferred (2 2 0) orientation. Systematic deposition studies were performed from pure and H2-diluted SiH4 systems with microwave power, total pressure, H2 dilution ratio and substrate temperature as variables, combined with plasma diagnostics using optical emission spectroscopy and Langmuir probe techniques. The effects of deposition parameters on the film crystallinity, crystal orientation and defect density are demonstrated. ¬© 2002 Elsevier Science B.V. All rights reserved.</t>
  </si>
  <si>
    <t>505-511</t>
  </si>
  <si>
    <t>Solar Energy Materials and Solar Cells</t>
  </si>
  <si>
    <t>60028263;60028263;100438704;60028263</t>
  </si>
  <si>
    <t>7401650880;6506283555;7102921642;7202945191</t>
  </si>
  <si>
    <t>Yoshino, Koichi;Ohkawara, Go;Ueyama, Hiroyuki;Shirai, Hajime</t>
  </si>
  <si>
    <t>Saitama;Yokohama</t>
  </si>
  <si>
    <t>Saitama University;Nihon Koshuha Co., Ltd.</t>
  </si>
  <si>
    <t>60028263;100438704</t>
  </si>
  <si>
    <t>Yoshino K.</t>
  </si>
  <si>
    <t>Fast deposition of microcrystalline silicon films with preferred (2 2 0) crystallographic texture using the high-density microwave plasma</t>
  </si>
  <si>
    <t>S0927024802000661</t>
  </si>
  <si>
    <t>10.1016/S0927-0248(02)00066-1</t>
  </si>
  <si>
    <t>2-s2.0-0036778636</t>
  </si>
  <si>
    <t>['œ ≤-', 'œ ≤', 'œ ±', 'rhodospirillum rubrum', 'reversibly dissociated', 'results suggest', 'reassociation process', 'protein interactions', 'particular interest', 'monomeric polypeptides', 'mainly driven', 'local organization', 'heterodimeric complexes', 'harvesting protein', 'form b820', 'core light', 'containing dimers', 'chemical nature', 'bound bacteriochlorophyll', 'biochemistry 26', 'biochemical point', 'bchl molecules', 'b777 consist', 'absorption properties', '5062 ).']</t>
  </si>
  <si>
    <t>The core light-harvesting protein from Rhodospirillum rubrum is of particular interest for studying membrane polypeptide association, as it can be reversibly dissociated in the presence of n-octyl-Œ≤-D-glucopyranoside (Œ≤OG) into smaller subunit forms, which exhibit dramatically blue-shifted absorption properties (Miller et al. (1987) Biochemistry 26, 5055-5062). During this dissociation/reassociation process, two main spectroscopic forms are observed, absorbing at 820 (B820) and 777 (B777) nm, respectively. By using polyacrylamide gel electrophoresis in the presence of Œ≤OG, these forms were characterized from a biochemical point of view. B777 consist of a mixture of Œ± or Œ≤ polypeptide chains, retaining their bound bacteriochlorophyll (BChl) molecules. The absorption properties of the BChl molecules bound to the monomeric polypeptides do not depend on the chemical nature of the polypeptides they are bound to. B820 is more complex and consist of equilibrium between Œ±Œ≤-containing oligomers and Œ≤ only containing dimers, all exhibiting very similar electronic absorption properties. Resonance Raman spectroscopy indicates that the binding site provided by the Œ≤-only B820 to the BChl molecules is very similar to that provided by the Œ±Œ≤ B820. This, together with the observation that the Œ± polypeptide alone is unable to form B820, suggests that the local organization of the BChl molecules tightly depends on BChl-protein interactions. On the other hand, our results suggest that the affinity of the Œ≤-BChl complexes for itself and for the Œ±-BChl ones are of the same order of magnitude, the formation of heterodimeric complexes being mainly driven by the inability of Œ±-BChl complexes to self-associate.</t>
  </si>
  <si>
    <t>11812-11819</t>
  </si>
  <si>
    <t>60008134;60008134;60008134</t>
  </si>
  <si>
    <t>6603309477;7103083586;7103125115</t>
  </si>
  <si>
    <t>Arluison, V√©ronique;Seguin, J√©r√¥me;Robert, Bruno</t>
  </si>
  <si>
    <t>Arluison V.</t>
  </si>
  <si>
    <t>Biochemical characterization of the dissociated forms from the core antenna proteins from purple bacteria</t>
  </si>
  <si>
    <t>10.1021/bi0202124</t>
  </si>
  <si>
    <t>2-s2.0-0036785259</t>
  </si>
  <si>
    <t>['œº1 droplets', 'week period', 'vertical position', 'upper parts', 'tree crown', 'strong influence', 'population density', 'pheromone released', 'might influence', 'male moths', 'insecticidal efficacy', 'insecticidal activity', 'horizontal position', 'gradual declines', 'field experiments', 'field conditions', 'factors affecting', 'environmental exposure', 'electroantennogram responses', 'different lengths', 'current study', 'contact insecticide', 'commercial orchards', 'codling moths', 'chemical industry', 'biological testing', 'based insect', 'attracticide strategy', 'attracticide formulation', 'attracticide depends', 'also investigated', 'aged formulations', '40 mgg', '1 cyfluthrin']</t>
  </si>
  <si>
    <t>Attract and kill | Attracticide | Behaviour | Cydia pomonella | Electroantennogram (EAG) | Pheromone | Population dynamics</t>
  </si>
  <si>
    <t>Factors affecting the efficacy of an attracticide strategy for the control of the codling moth Cydia pomonella L (Lepidoptera: Tortricidae) were investigated using laboratory and field experiments. The sex-pheromone-based insect-control strategy utilises 100-Œº1 droplets of a sticky, paste-like formulation containing 1mgg-1 (E,E)-8,10-dodecadien-1-ol (codlemone) as an attractant for male moths and 40 mgg-1 cyfluthrin, a contact insecticide, applied to branches in the upper parts of the tree crown. The longevity of the treatment under field conditions was assessed in the laboratory by biological testing of variously aged samples of the attracticide formulation which had been applied to the bark of apple trees growing in commercial orchards. Electroantennogram responses of male moth antennae were used to compare codlemone release from the attracticide after different lengths of environmental exposure. Changes in insecticidal efficacy of the same samples were assessed with reference to the speed of knockdown (KT50) and the mortalities after 48 h among populations of male moths confined in cages containing samples of fresh and field-aged formulations. Gradual declines in both the amount of pheromone released and insecticidal activity were observed over the 10-week period of the experiments. Various factors associated with the behaviour of codling moths in the field which might influence the attracticide strategy were also investigated. Although the vertical position of attracticide sources within apple trees had a strong influence on their attractiveness, their horizontal position had none. Results of field trials showed that efficacy of the attracticide depends on the population density of the pest. Under the conditions of the current study a density of three or more sources per tree (=4500 sources per ha) was required to attain satisfactory levels of codling moth control. ¬© 2002 Society of Chemical Industry.</t>
  </si>
  <si>
    <t>1029-1037</t>
  </si>
  <si>
    <t>60006680;60004156;60006680;60006680</t>
  </si>
  <si>
    <t>6601976089;57192171266;6506623528;55968996900</t>
  </si>
  <si>
    <t>L√∂sel, Peter M.;Potting, Roel P.J.;Ebbinghaus, Dirk;Scherkenbeck, J√ºrgen</t>
  </si>
  <si>
    <t>Leverkusen;Wageningen</t>
  </si>
  <si>
    <t>Bayer AG;Wageningen University &amp; Research</t>
  </si>
  <si>
    <t>60006680;60004156</t>
  </si>
  <si>
    <t>L√∂sel P.M.</t>
  </si>
  <si>
    <t>Factors affecting the field performance of an attracticide against the codling moth Cydia pomonella</t>
  </si>
  <si>
    <t>10.1002/ps.577</t>
  </si>
  <si>
    <t>2-s2.0-0036787529</t>
  </si>
  <si>
    <t>['time course', 'term acclimation', 'sequential events', 'rich structure', 'resumed growth', 'results show', 'recent discovery', 'psi might', 'present study', 'photosynthetic apparatus', 'photochemical efficiencies', 'partly replaced', 'observed functional', 'monomeric form', 'measured components', 'largest effects', 'known drop', 'iron deficiency', 'initial step', 'increased degradation', 'growth ceases', 'found predominantly', 'decreased rate', 'blue shift', 'also describe', 'added back', 'acclimation capacity']</t>
  </si>
  <si>
    <t>In the present study, we describe the sequential events by which the cyanobacterium Synechococcus sp. PCC 7942 adapts to iron deficiency. In doing so, we have tried to elucidate both short and long-term acclimation to low iron stress in order to understand how the photosynthetic apparatus adjusts to low iron conditions. Our results show that after an initial step, where CP43‚Ä≤ is induced and where ferredoxin is partly replaced by flavodoxin, the photosynthetic unit starts to undergo major rearrangements. All measured components of Photosystem I (PSI), PSII and cytochrome (Cyt) f decrease relative to chlorophyll (Chl) a. The photochemical efficiencies of the two photosystems also decline during this phase of acclimation. The well-known drop in phycobilisome content measured as phycocyanin (PC)/Chl was not due to an increased degradation, but rather to a decreased rate of synthesis. The largest effects of iron deficiency were observed on PSI, the most iron-rich structure of the photosynthetic apparatus. In the light of the recent discovery of an iron deficiency induced CP43‚Ä≤ ring around PSI a possible dual function of this protein as both an antenna and a quencher is discussed. We also describe the time course of a blue shift in the low temperature Chl emission peak around 715 nm, which originates in PSI. The shift might reflect the disassembly and/or degradation of PSI during iron deficiency and, as a consequence, PSI might under these conditions be found predominantly in a monomeric form. We suggest that the observed functional and compositional alterations represent cellular acclimation enabling growth and development under iron deficiency, and that growth ceases when the acclimation capacity is exhausted. However, the cells remain viable even after growth has ceased, since they resumed growth once iron was added back to the culture.</t>
  </si>
  <si>
    <t>255-263</t>
  </si>
  <si>
    <t>Physiologia Plantarum</t>
  </si>
  <si>
    <t>60031040;60010884;60022417;60031040;60031040</t>
  </si>
  <si>
    <t>7003443175;7404526755;7405372282;56212852200;7005371473</t>
  </si>
  <si>
    <t>Sandstr√∂m, S.;Ivanov, A. G.;Park, Y. I.;√ñquist, G.;Gustafsson, P.</t>
  </si>
  <si>
    <t>Sweden;South Korea;Canada</t>
  </si>
  <si>
    <t>Umea;Daejeon;London</t>
  </si>
  <si>
    <t>Ume√• Universitet;Chungnam National University;The University of Western Ontario</t>
  </si>
  <si>
    <t>60031040;60022417;60010884</t>
  </si>
  <si>
    <t>Sandstr√∂m S.</t>
  </si>
  <si>
    <t>Iron stress responses in the cyanobacterium Synechococcus sp. PCC7942</t>
  </si>
  <si>
    <t>10.1034/j.1399-3054.2002.1160216.x</t>
  </si>
  <si>
    <t>2-s2.0-0036787697</t>
  </si>
  <si>
    <t>European Science Foundation</t>
  </si>
  <si>
    <t>ESF</t>
  </si>
  <si>
    <t>['well known', 'state dynamics', 'spectroscopic properties', 'room temperature', 'ps phases', 'ps phase', 'protein subunits', 'pigment analysis', 'peripheral antenna', 'n subunit', 'lhca4 dominate', 'lhca3 dominate', 'k lack', 'isolated psi', 'g protein', 'excitation equilibration', 'charge separation', 'bind pigments', '667 nm', '5000 ps', '200 particles']</t>
  </si>
  <si>
    <t>Green plant photosystem I (PSI) consists of at least 18 different protein subunits. The roles of some of these protein subunits are not well known, in particular those that do not occur in the well characterized PSI complexes from cyanobacteria. We investigated the spectroscopic properties and excited-state dynamics of isolated PSI-200 particles from wild-type and mutant Arabidopsis thaliana plants devoid of the PSI-G, PSI-K, PSI-L, or PSI-N subunit. Pigment analysis and a comparison of the 5 K absorption spectra of the various particles suggests that the PSI-L and PSI-H subunits together bind approximately five chlorophyll a molecules with absorption maxima near 688 and 667 nm, that the PSI-G subunit binds approximately two red-shifted Œ≤-carotene molecules, that PSI-200 particles without PSI-K lack a part of the peripheral antenna, and that the PSI-N subunit does not bind pigments. Measurements of fluorescence decay kinetics at room temperature with picosecond time resolution revealed lifetimes of -0.6, 5, 15, 50, 120, and 5000 ps in all particles. The 5-and 15-ps phases could, at least in part, be attributed to the excitation equilibration between bulk and red chlorophyll forms, though the 15-ps phase also contains a contribution from trapping by charge separation. The 50- and 120-ps phases predominantly reflect trapping by charge separation. We suggest that contributions from the core antenna dominate the 15-ps trapping phase, that those from the peripheral antenna proteins Lhca2 and Lhca3 dominate the 50-ps phase, and that those from Lhca1 and Lhca4 dominate the 120-ps phase. In the PSI-200 particles without PSI-K or PSI-G protein, more excitations are trapped in the 15-ps phase and less in 50- and 120-ps phases, which is in agreement with the notion that these subunits are involved in the interaction between the core and peripheral antenna proteins.</t>
  </si>
  <si>
    <t>2190-2201</t>
  </si>
  <si>
    <t>60032398;60007971;60007971;60008734;60008734;60007971;60008734</t>
  </si>
  <si>
    <t>6701516212;7402088684;6602884251;7006261095;35599806700;55664625200;7202457418</t>
  </si>
  <si>
    <t>Ihalainen, Janne A.;Jensen, Poul Erik;Haldrup, Anna;Van Stokkum, Ivo H.M.;Van Grondelle, Rienk;Scheller, Henrik Vibe;Dekker, Jan P.</t>
  </si>
  <si>
    <t>Finland;Netherlands;Denmark</t>
  </si>
  <si>
    <t>Jyvaskyla;Amsterdam;Copenhagen</t>
  </si>
  <si>
    <t>University of Jyv√§skyl√§;Vrije Universiteit Amsterdam;University of Copenhagen, Faculty of Life Sciences</t>
  </si>
  <si>
    <t>60032398;60008734;60007971</t>
  </si>
  <si>
    <t>Ihalainen J.</t>
  </si>
  <si>
    <t>Pigment organization and energy transfer dynamics in isolated photosystem I (PSI) complexes from Arabidopsis thaliana depleted of the PSI-G, PSI-K, PSI-L, or PSI-N subunit</t>
  </si>
  <si>
    <t>S0006349502739799</t>
  </si>
  <si>
    <t>10.1016/S0006-3495(02)73979-9</t>
  </si>
  <si>
    <t>2-s2.0-0036788599</t>
  </si>
  <si>
    <t>['wavelength spacing', 'temporal wavelength', 'switching characteristics', 'suppression ratio', 'ring cavity', 'relaxation oscillation', 'pump power', 'perot filter', 'novel wavelength', 'laser source', 'first time', 'ffpf ),', 'configured within', 'array antenna', '6 nm', '40 db', '3 mw']</t>
  </si>
  <si>
    <t>Fiber ring laser | Optically controlled phased-array antenna | Relaxation oscillation | Sampled fiber Bragg grating</t>
  </si>
  <si>
    <t>A novel wavelength-switching fiber laser source for optically controlled phased-array antenna (OCPAA) is presented for the first time. It can individually scan 25 required wavelengths of the fiber Bragg grating (FBG) array in the OCPAA within 80 ms. The laser source was configured within a unidirectional ring cavity, with a tunable fiber Fabry-Perot filter (FFPF), and two sampled fiber Bragg gratings (SFBG) having a wavelength spacing of 1.6 nm. The average output power of 1.3 mW and the side-mode-suppression ratio of greater than 40 dB for each wavelength were realized. The temporal wavelength-switching characteristics, limited by the relaxation oscillation of the laser and related to the losses and the pump power in the ring cavity, were studied. ¬© 2002 Published by Elsevier Science B.V.</t>
  </si>
  <si>
    <t>147-151</t>
  </si>
  <si>
    <t>60005510;60005510;60005510;60005510;60031307;60031307</t>
  </si>
  <si>
    <t>7601487776;35586113900;7403503395;7403503344;55074296900;6603303243</t>
  </si>
  <si>
    <t>Wang, Yong;Tjin, Swee Chuan;Yao, Jian;Yao, Jian Ping;He, Liming;Ngoi, Kok Ann</t>
  </si>
  <si>
    <t>School of Mechanical and Aerospace Engineering;Nanyang Technological University</t>
  </si>
  <si>
    <t>60031307;60005510</t>
  </si>
  <si>
    <t>Wavelength-switching fiber laser for optically controlled phased-array antenna</t>
  </si>
  <si>
    <t>S0030401802018886</t>
  </si>
  <si>
    <t>10.1016/S0030-4018(02)01888-6</t>
  </si>
  <si>
    <t>2-s2.0-0036788912</t>
  </si>
  <si>
    <t>['type levels', 'two strains', 'terminal domain', 't473 ),', 'specific herbicide', 'remained photoautotrophic', 'provide evidence', 'potential interaction', 'photosystem ii', 'oxidation kinetics', 'near wild', 'mutants œî', 'mutant œî', 'loops b', 'loop b', 'helix vi', 'helices ii', 'five residues', 'directed mutagenesis', 'deletions introduced', 'deletions adjacent', 'deletion adjacent', 'd1 protein', 'binding protein', 'assemble psii', 'antibody raised']</t>
  </si>
  <si>
    <t>CP47 | D1 | Oligonucleotide-directed mutagenesis | Photosystem II | Synechocystis</t>
  </si>
  <si>
    <t>The Photosystem II (PSII) core antenna chlorophyll a-binding protein, CP47, contains six membrane-spanning Œ±-helices separated by five hydrophilic loops: A-E. To identify important hydrophilic cytosolic regions, oligonucleotide-directed mutagenesis was employed to introduce short segment deletions into loops B and D, and the C-terminal domain. Four strains carrying deletions of between three and five residues were created in loop B. Two strains, with deletions adjacent to helices II and III, did not assemble PSII; however, the mutants Œî(F123-D125) and Œî(R127-S131) remained photoautotrophic with near wild-type levels of assembled reaction centers. In contrast, all deletions introduced into loop D, connecting helices IV and V, failed to assemble significant levels of PSII and were obligate photoheterotrophic mutants. However, deletions in the C-terminal domain did not prevent the assembly of PSII reaction centers although the mutant Œî(S471-T473), with a deletion adjacent to helix VI, exhibited retarded QA- oxidation kinetics and the PSII-specific herbicide, atrazine, bound less tightly in the Œî(S471-T473) and Œî(F475-D477) strains. Deletions in the C-terminal domain also created mutants with large protein aggregates that were recognized by an antibody raised against the PSII reaction center D1 protein. Low-temperature fluorescence emission spectra of photoautotrophic strains carrying deletions in either the C-terminal domain or loop B did not provide evidence for impaired energy transfer from the phycobilisomes to the PSII reaction center. The data therefore suggest an important structural role for loop D in the assembly of PSII and a potential interaction between the C-terminal domain of CP47 and the PSII reaction center that, when perturbed, results in photoinduced protein aggregates involving the D1 protein.</t>
  </si>
  <si>
    <t>563-572</t>
  </si>
  <si>
    <t>60017311;60159889-60028378;60159889;60017311;60159889;60017311</t>
  </si>
  <si>
    <t>7402969681;7102175069;17340722300;7004889245;7004600337;6603924381</t>
  </si>
  <si>
    <t>Clarke, Shannon M.;Funk, Christiane;Hendry, Garth S.;Shand, Jackie A.;Wydrzynski, Tom;Eaton-Rye, Julian J.</t>
  </si>
  <si>
    <t>Australia;Sweden;New Zealand</t>
  </si>
  <si>
    <t>Canberra;Stockholm;Dunedin</t>
  </si>
  <si>
    <t>ANU Research School of Biology;Stockholms universitet;University of Otago</t>
  </si>
  <si>
    <t>60159889;60028378;60017311</t>
  </si>
  <si>
    <t>Clarke S.M.</t>
  </si>
  <si>
    <t>Amino acid deletions in the cytosolic domains of the chlorophyll a-binding protein CP47 slow Q&lt;inf&gt;A&lt;/inf&gt;&lt;sup&gt;-&lt;/sup&gt; oxidation and/or prevent the assembly of Photosystem II</t>
  </si>
  <si>
    <t>10.1023/A:1019865909130</t>
  </si>
  <si>
    <t>2-s2.0-0036790240</t>
  </si>
  <si>
    <t>['telescope array', 'results matched', 'pointing errors', 'pointing error', 'investigated theoretically', 'experimental investigations', 'differential telescope', 'data corruption', 'complex objects', 'aperture diameter']</t>
  </si>
  <si>
    <t>We report our experimental investigations of the influence of differential telescope-pointing errors on data corruption in an optical stellar interferometer. This effect was investigated theoretically as a function of the telescope antenna diagram, which depends on the aperture diameter. Using a laboratory breadboard consisting of a three-telescope array, we carried out the experiments with various aperture diameters and complex objects. The results matched the simulation and demonstrate that, when there is no error in pointing, a large aperture size induces correctible error but that, with a pointing error, data corruption becomes critical. In both cases, the larger the apertures, the more corrupt the data. ¬© 2002 Optical Society of America.</t>
  </si>
  <si>
    <t>5835-5844</t>
  </si>
  <si>
    <t>60027892;60027892;60027892</t>
  </si>
  <si>
    <t>35618435800;6701540263;7006318562</t>
  </si>
  <si>
    <t>Longueteau, Emmanuel;Delage, Laurent;Reynaud, Franc√ßois</t>
  </si>
  <si>
    <t>Longueteau E.</t>
  </si>
  <si>
    <t>Influence of the antenna diagram on a stellar interferometer that is suffering from telescope-pointing errors</t>
  </si>
  <si>
    <t>10.1364/AO.41.005835</t>
  </si>
  <si>
    <t>2-s2.0-0036792932</t>
  </si>
  <si>
    <t>['turbo code', 'theoretic arguments', 'serial concatenation', 'receive antennas', 'noncoherent communication', 'n 0', 'multiple transmit', 'modulation code', 'iterative decoder', 'form guidelines', 'evaluate performance', 'e b', 'coding rates', 'code design', 'capacity limit', 'bit energy', '8 db']</t>
  </si>
  <si>
    <t>Capacity limit | Differential modulation | Joint iterative decoding | Multiantenna | Space-time | Turbo-code | Unitary matrix</t>
  </si>
  <si>
    <t>Noncoherent communication over the Rayleigh flat fading channel with multiple transmit and receive antennas is investigated. Codes achieving bit error rate (BER) lower than 10 -4 at bit energy over the noise spectral density ratio (E b/N 0) of 0.8 to 2.8 dB from the capacity limit were found with coding rates of 0.5 to 2.25 bits per channel use. The codes are serial concatenation of a turbo code and a unitary matrix differential modulation code. The receiver is based on a high-performance joint iterative decoding of the turbo code and the modulation code. Information-theoretic arguments are harnessed to form guidelines for code design and to evaluate performance of the iterative decoder.</t>
  </si>
  <si>
    <t>2385-2395</t>
  </si>
  <si>
    <t>60000251-60022403;60000251-60022403;60000251-60022403</t>
  </si>
  <si>
    <t>7202824217;7102417544;35564142000</t>
  </si>
  <si>
    <t>Steiner, Avi;Peleg, Michael;Shamai, Shlomo</t>
  </si>
  <si>
    <t>Israel;United States</t>
  </si>
  <si>
    <t>Haifa;New York</t>
  </si>
  <si>
    <t>Technion - Israel Institute of Technology;IEEE</t>
  </si>
  <si>
    <t>60022403;60000251</t>
  </si>
  <si>
    <t>Steiner A.</t>
  </si>
  <si>
    <t>Iterative decoding of space-time differentially coded unitary matrix modulation</t>
  </si>
  <si>
    <t>10.1109/TSP.2002.803348</t>
  </si>
  <si>
    <t>2-s2.0-0036793109</t>
  </si>
  <si>
    <t>CCR-0096164</t>
  </si>
  <si>
    <t>['work well', 'transmit antennas', 'spatial coding', 'signal constellation', 'rich environments', 'receive antennas', 'proposed codes', 'multiple transmit', 'high complexity', 'fewer receive', 'efficient near', 'diversity tradeoffs', 'diversity tradeoff', 'desired rate', 'achieving full']</t>
  </si>
  <si>
    <t>Blind channel identifiability | Fading channels | Multi-antenna systems | Receive diversity | Space-time codes | Transmit diversity | Wireless communications</t>
  </si>
  <si>
    <t>Space-time (ST) coding techniques exploit the spatial diversity afforded by multiple transmit and receive antennas to achieve reliable transmission in scattering-rich environments. ST block codes are capable of realizing full diversity and spatial coding gains at relatively low rates; ST trellis codes can achieve better rate-diversity tradeoffs at the cost of high complexity. On the other hand, V-BLAST supports high rates but has no built-in spatial coding and does not work well with fewer receive than transmit antennas. We propose a novel linear block-coding scheme based on the Khatri-Rao matrix product. The proposed scheme offers flexibility for achieving full-rate or full-diversity, or a desired rate-diversity tradeoff, and it can handle any transmit/receive antenna configuration or signal constellation. The proposed codes are shown to have numerous desirable properties, including guaranteed unique linear decodability, built-in blind channel identifiability, and efficient near-maximum likelihood decoding.</t>
  </si>
  <si>
    <t>2396-2407</t>
  </si>
  <si>
    <t>60029445;60000251-60029445</t>
  </si>
  <si>
    <t>35555347100;6504620768</t>
  </si>
  <si>
    <t>Sidiropoulos, Nicholas D.;Budampati, Ramakrishna S.</t>
  </si>
  <si>
    <t>Sidiropoulos N.</t>
  </si>
  <si>
    <t>Khatri-Rao space-time codes</t>
  </si>
  <si>
    <t>10.1109/TSP.2002.803341</t>
  </si>
  <si>
    <t>2-s2.0-0036793125</t>
  </si>
  <si>
    <t>['time coding', 'selection process', 'selection algorithms', 'selection algorithm', 'selected based', 'results assume', 'performance analysis', 'orthogonal space', 'input multiple', 'general space', 'first consider', 'eck ).', 'diversity gain', 'derive expressions', 'coding gain', 'based selection', 'average snr', 'antenna subsets', 'antenna set']</t>
  </si>
  <si>
    <t>Antenna subset selection | MIMO | Space-time coding</t>
  </si>
  <si>
    <t>This paper treats multiple-input multiple-output (MIMO) antenna subset selection employing space-time coding. We consider two cases differentiated based on the type of channel knowledge used in the selection process. We address both the selection algorithms and the performance analysis. We first consider the case when the antenna subsets are selected based on exact channel knowledge (ECK). Our results assume the transmission of orthogonal space-time block codes (with emphasis on the Alamouti code). Next, we treat the case of antenna subset selection when statistical channel knowledge (SCK) is employed by the selection algorithm. This analysis is applicable to general space-time coding schemes. When ECK is available, we show that the selection algorithm chooses the antenna set that maximizes the channel Frobenius norm leading to both coding and diversity gain. When SCK is available, the selection algorithm chooses the antenna set that maximizes the determinant of the covariance of the vectorized channel leading mostly to a coding gain. In case of ECK-based selection, we provide analytical expressions for average SNR and outage probability improvement. For the case when SCK-based selection is used, we derive expressions for coding gain. We also present extensive simulation studies, validating our results.</t>
  </si>
  <si>
    <t>2580-2588</t>
  </si>
  <si>
    <t>60012708;60000251-60012708</t>
  </si>
  <si>
    <t>7102413527;7004920065</t>
  </si>
  <si>
    <t>Gore, Dhananjay A.;Paulraj, Arogyaswami J.</t>
  </si>
  <si>
    <t>Palo Alto;New York</t>
  </si>
  <si>
    <t>Stanford University;IEEE</t>
  </si>
  <si>
    <t>60012708;60000251</t>
  </si>
  <si>
    <t>Gore D.</t>
  </si>
  <si>
    <t>MIMO antenna subset selection with space-time coding</t>
  </si>
  <si>
    <t>10.1109/TSP.2002.803337</t>
  </si>
  <si>
    <t>2-s2.0-0036793149</t>
  </si>
  <si>
    <t>CCR-0081476</t>
  </si>
  <si>
    <t>['user flat', 'transmitted sequence', 'transmit antennas', 'time codes', 'stcs considered', 'special cases', 'selective fading', 'redundancy introduced', 'received data', 'rank deficient', 'paper presents', 'linear receiver', 'general framework', 'fewer receive', 'fading case', 'certain conditions', 'block codes', 'blind estimation', 'algorithms based']</t>
  </si>
  <si>
    <t>Array signal processing | Communication channels | Diversity methods | Equalizers | Fading channels | MIMO systems | Multipath channels</t>
  </si>
  <si>
    <t>This paper presents a general framework for space-time codes (STCs) that encompasses a number of recently proposed STC schemes as special cases. The STCs considered are block codes that employ arbitrary redundant linear precoding of a given data sequence together with embedded training symbols, if any. The redundancy introduced by the linear precoding imposes structure on the received data that under certain conditions can be exploited for blind or semi-blind estimation of the transmitted sequence, a linear receiver that recovers the sequence, or both simultaneously. Algorithms based on this observation are developed for the single-user flat-fading case and then extended to handle multiple users, frequency-selective fading, as well as situations where the channel is rank deficient, or there are fewer receive than transmit antennas.</t>
  </si>
  <si>
    <t>2489-2498</t>
  </si>
  <si>
    <t>60000251-60006832;60025063</t>
  </si>
  <si>
    <t>55665154800;35474798400</t>
  </si>
  <si>
    <t>Swindlehurst, A. Lee;Leus, Geert</t>
  </si>
  <si>
    <t>Belgium;United States;United States</t>
  </si>
  <si>
    <t>3000 Leuven;Provo;New York</t>
  </si>
  <si>
    <t>KU Leuven;Brigham Young University;IEEE</t>
  </si>
  <si>
    <t>60025063;60006832;60000251</t>
  </si>
  <si>
    <t>Swindlehurst A.</t>
  </si>
  <si>
    <t>Blind and semi-blind equalization for generalized space-time block codes</t>
  </si>
  <si>
    <t>10.1109/TSP.2002.803319</t>
  </si>
  <si>
    <t>2-s2.0-0036793166</t>
  </si>
  <si>
    <t>['yields codes', 'various techniques', 'modes available', 'mimo systems', 'input multiple', 'focused primarily', 'finding codes', 'error probability', 'ergodic capacity']</t>
  </si>
  <si>
    <t>Diversity methods | MIMO systems | Smart antennas | Space-time codes</t>
  </si>
  <si>
    <t>Multiple-input multiple-output (MIMO) wireless communication systems provide high capacity due to the plurality of modes available in the channel. Existing signaling techniques for MIMO systems have focused primarily on multiplexing for high data rate or diversity for high link reliability. In this paper, we present a new linear dispersion code design for MIMO Rayleigh fading channels. The proposed design bridges the gap between multiplexing and diversity and yields codes that typically perform well both in terms of ergodic capacity as well as error probability. This is important because, as we show, designs performing well from an ergodic capacity point of view do not necessarily perform well from an error probability point of view. Various techniques are presented for finding codes with good error probability performance. Monte Carlo simulations illustrate performance of some example code designs in terms of ergodic capacity, codeword error probability, and bit error probability.</t>
  </si>
  <si>
    <t>2429-2441</t>
  </si>
  <si>
    <t>60000251-60013372;60000251-60012708</t>
  </si>
  <si>
    <t>Austin;Palo Alto;New York</t>
  </si>
  <si>
    <t>The University of Texas at Austin;Stanford University;IEEE</t>
  </si>
  <si>
    <t>60013372;60012708;60000251</t>
  </si>
  <si>
    <t>Linear dispersion codes for MIMO systems based on frame theory</t>
  </si>
  <si>
    <t>10.1109/TSP.2002.803325</t>
  </si>
  <si>
    <t>2-s2.0-0036794286</t>
  </si>
  <si>
    <t>['utilize dscm', 'user environments', 'time coding', 'proposed receivers', 'proposed differential', 'numerical examples', 'multiuser interference', 'g .,', 'division multiple', 'differential space', 'differential receivers', 'different users', 'desired user', 'decorrelative schemes', 'coherent receivers', 'coherent receiver', 'code modulation', 'also propose']</t>
  </si>
  <si>
    <t>Code-division | Interference suppression | Multiple-access | Multiuser receiver | Space-time coding | Time-varying fading</t>
  </si>
  <si>
    <t>Recently, we proposed a differential space-code modulation (DSCM) scheme that integrates the strength of differential space-time coding and spreading to achieve interference suppression and resistance to time-varying channel fading in single-user environments. In this paper, we consider the problem of multiuser receiver design for code-division multiple-access (CDMA) systems that utilize DSCM for transmission. In particular, we propose two differential receivers for such systems. These differential receivers do not require the channel state information (CSI) for detection and, still, are resistant to multiuser interference (MUI) and time-varying channel fading. We also propose a coherent receiver that requires only the CSI of the desired user for detection. The coherent receiver yields improved performance over the differential receivers when reliable channel estimates are available (e.g., in slowly fading channels). The proposed differential/coherent receivers are decorrelative schemes that decouple the detection of different users. Both long and short spreading codes can be employed in these schemes. Numerical examples are presented to demonstrate the effectiveness of the proposed receivers.</t>
  </si>
  <si>
    <t>2529-2537</t>
  </si>
  <si>
    <t>60000251-60027392;60000251-60013959</t>
  </si>
  <si>
    <t>21743342100;7410065637</t>
  </si>
  <si>
    <t>Li, Hongbin;Li, Jian</t>
  </si>
  <si>
    <t>Hoboken;Gainesville;New York</t>
  </si>
  <si>
    <t>Stevens Institute of Technology;University of Florida;IEEE</t>
  </si>
  <si>
    <t>60027392;60013959;60000251</t>
  </si>
  <si>
    <t>Differential and coherent decorrelating multiuser receivers for space-time-coded CDMA systems</t>
  </si>
  <si>
    <t>10.1109/TSP.2002.803346</t>
  </si>
  <si>
    <t>2-s2.0-0036794287</t>
  </si>
  <si>
    <t>NCR-9706372</t>
  </si>
  <si>
    <t>['varying fading', 'time coding', 'soft receiver', 'quasistatic fading', 'power efficiency', 'often harder', 'moderate complexity', 'memory inherent', 'linear modulations', 'iterative processing', 'interleaved space', 'digital transmission', 'data detection', 'coherent performance', 'channel response', 'channel estimation']</t>
  </si>
  <si>
    <t>Channel estimation | Continuous phase modulation | Iterative decoding | Space-time coding</t>
  </si>
  <si>
    <t>Space-time coding has shown great promise for digital transmission in wireless communication links, especially when the channel response is known at the receiver. Space time coding combined with continuous phase modulation (CPM) can offer better tradeoffs in bandwidth and power efficiency. Because of the memory inherent in CPM, channel estimation is often harder than for linear modulations. In this paper, we present an adaptive soft algorithm that performs joint channel estimation and data detection for space-time CPM systems. Property designed pilot symbols are inserted at the very beginning to give good initial estimates of the channels. This soft receiver is further applied to the interleaved space-time CPM system to yield better performance with moderate complexity through iterative processing. Simulation results show that the receiver can often achieve near-coherent performance in quasistatic fading as well as in time-varying fading.</t>
  </si>
  <si>
    <t>2589-2598</t>
  </si>
  <si>
    <t>101367078;60000251-60027550</t>
  </si>
  <si>
    <t>55715711300;7006406317</t>
  </si>
  <si>
    <t>Zhang, Xiaoxia;Fitz, Michael P.</t>
  </si>
  <si>
    <t>Los Angeles;New York;San Diego</t>
  </si>
  <si>
    <t>University of California, Los Angeles;IEEE;Standards Group</t>
  </si>
  <si>
    <t>60027550;60000251;101367078</t>
  </si>
  <si>
    <t>Soft-output demodulator in space-time-coded continuous phase modulation</t>
  </si>
  <si>
    <t>10.1109/TSP.2002.803344</t>
  </si>
  <si>
    <t>2-s2.0-0036794288</t>
  </si>
  <si>
    <t>J1868-TEC</t>
  </si>
  <si>
    <t>['transmit diversity', 'spatial multiplexing', 'signaling strategies', 'promising cost', 'polarized antennas', 'polarization diversity', 'performance loss', 'paper investigates', 'often required', 'input multiple', 'highly dependent', 'effective alternative', 'diversity gain', 'derive estimates', 'antenna height', 'alamouti scheme']</t>
  </si>
  <si>
    <t>Alamouti scheme | MIMO | Polarization diversity | Spatial multiplexing | Transmit diversity</t>
  </si>
  <si>
    <t>Multiple-input multiple-output (MIMO) antenna systems employ spatial multiplexing to increase spectral efficiency or transmit diversity to improve link reliability. The performance of these signaling strategies is highly dependent on MIMO channel characteristics, which, in turn, depend on antenna height and spacing and richness of scattering. In practice, large antenna spacings are often required to achieve significant multiplexing or diversity gain. The use of dual-polarized antennas (polarization diversity) is a promising cost- and space-effective alternative, where two spatially separated uni-polarized antennas are replaced by a single antenna structure employing orthogonal polarizations. This paper investigates the performance of spatial multiplexing and transmit diversity (Alamouti scheme) in MIMO wireless systems employing dual-polarized antennas. In particular, we derive estimates for the uncoded average symbol error rate of spatial multiplexing and transmit diversity and identify channel conditions where the use of polarization diversity yields performance improvements. We show that while improvements in terms of symbol error rate of up to an order of magnitude are possible in the case of spatial multiplexing, the presence of polarization diversity generally incurs a performance loss for transmit diversity techniques. Finally, we provide simulation results to demonstrate that our estimates closely match the actual symbol error rates.</t>
  </si>
  <si>
    <t>2553-2562</t>
  </si>
  <si>
    <t>60012708;60000251-60025858;101753080;60010348;60000251-60012708</t>
  </si>
  <si>
    <t>6701859878;7006024277;7003706051;7004295903;7004920065</t>
  </si>
  <si>
    <t>Nabar, Rohit U.;B√∂lcskei, Helmut;Erceg, Vinko;Gesbert, David;Paulraj, Arogyaswami J.</t>
  </si>
  <si>
    <t>Zurich ZH,;Palo Alto;Oslo;New York;San Diego</t>
  </si>
  <si>
    <t>ETH Zurich;Stanford University;Universitetet i Oslo;IEEE;Zyray Wireless</t>
  </si>
  <si>
    <t>60025858;60012708;60010348;60000251;101753080</t>
  </si>
  <si>
    <t>Nabar R.</t>
  </si>
  <si>
    <t>Performance of multiantenna signaling techniques in the presence of polarization diversity</t>
  </si>
  <si>
    <t>10.1109/TSP.2002.803322</t>
  </si>
  <si>
    <t>2-s2.0-0036794308</t>
  </si>
  <si>
    <t>['trellis codes', 'stf coding', 'stf block', 'resulting codes', 'performance merits', 'gstf system', 'group stf', 'first convert', 'existing alternatives', 'enables simplification', 'division multiplexing', 'corroborating simulations', 'complexity decoding', 'coding gains', 'affording low']</t>
  </si>
  <si>
    <t>Diversity methods | Fading channels | Space-frequency codes | Space-time codes | Space-time-frequency codes | Transmit antenna diversity</t>
  </si>
  <si>
    <t>This paper proposes novel space-time-frequency (STF) coding for multiantenna orthogonal frequency-division multiplexing (OFDM) transmissions over frequency-selective Rayleigh fading channels. Incorporating subchannel grouping and choosing appropriate system parameters, we first convert our system into a set of group STF (GSTF) systems. This enables simplification of STF coding within each GSTF system. We derive design criteria for STF coding and exploit existing ST coding techniques to construct both STF block and trellis codes. The resulting codes are shown to be capable of achieving maximum diversity and coding gains, while affording low-complexity decoding. The performance merits of our design is confirmed by corroborating simulations and compared with existing alternatives.</t>
  </si>
  <si>
    <t>2465-2476</t>
  </si>
  <si>
    <t>60024324;60000251-60029445;60000251-60029445</t>
  </si>
  <si>
    <t>Minneapolis;Iowa City;New York</t>
  </si>
  <si>
    <t>University of Minnesota Twin Cities;University of Iowa;IEEE</t>
  </si>
  <si>
    <t>60029445;60024324;60000251</t>
  </si>
  <si>
    <t>Space-time-frequency coded OFDM over frequency-selective fading channels</t>
  </si>
  <si>
    <t>10.1109/TSP.2002.803332</t>
  </si>
  <si>
    <t>2-s2.0-0036794313</t>
  </si>
  <si>
    <t>['whole code', 'vertical blast', 'transmit antennas', 'square error', 'spatial interference', 'mildly suboptimal', 'gain matrix', 'error probabilities', 'blast architecture', 'also study', 'also examine', 'algorithms intended']</t>
  </si>
  <si>
    <t>Antenna arrays | MIMO systems | Space-time codes</t>
  </si>
  <si>
    <t>We introduce a coding/decoding scheme matched to a "vertical" BLAST architecture; a code has its words evenly split among the transmit antennas. The subcodes so transmitted by each antenna are decoded in sequence to cancel the spatial interference while a final decoding step is performed on the whole code. We also examine the behavior of zero-forcing (ZF) and minimum-mean-square error (MMSE) BLAST by comparing their error probabilities with those resulting from optimum, i.e., maximum-likelihood (ML), processing. Since, with vertical BLAST, ordering of the columns of the channel-gain matrix is crucial, we also study the performance of algorithms intended to find an optimal (or mildly suboptimal) ordering.</t>
  </si>
  <si>
    <t>2547-2552</t>
  </si>
  <si>
    <t>60000251-60012162;60000251-60012162;60004300</t>
  </si>
  <si>
    <t>10.1109/TSP.2002.803342</t>
  </si>
  <si>
    <t>2-s2.0-0036794323</t>
  </si>
  <si>
    <t>CCR-0113385</t>
  </si>
  <si>
    <t>['wireless communications', 'virtual framework', 'transparent interpretation', 'stationary process', 'spatial zooming', 'simple rules', 'scattering environment', 'scattering characteristics', 'physical modeling', 'parallel channels', 'numerical results', 'gains associated', 'full potential', 'existing models', 'channel statistics', 'channel capacity', 'antenna spacing', 'antenna arrays']</t>
  </si>
  <si>
    <t>Beamforming | Capacity | Channel modeling | Diversity | Fading | MIMO channels | Scattering | Spectral representation</t>
  </si>
  <si>
    <t>Accurate and tractable channel modeling is critical to realizing the full potential of antenna arrays in wireless communications. Current approaches represents two extremes: idealized statistical models representing a rich scattering environment and parameterized physical models that describe realistic scattering environments via the angles and gains associated with different propagation paths. However, simple rules that capture the effects of scattering characteristics on channel capacity and diversity are difficult to infer from existing models. In this paper, we propose an intermediate virtual channel representation that captures the essence of physical modeling and provides a simple geometric interpretation of the scattering environment. The virtual representation corresponds to a fixed coordinate transformation via spatial basis functions defined by fixed virtual angles. We show that in an uncorrelated scattering environment, the elements of the channel matrix form a segment of a stationary process and that the virtual channel coefficients are approximately uncorrelated samples of the underlying spectral representation. For any scattering environment, the virtual channel matrix clearly reveals the two key factors affecting capacity: the number of parallel channels and the level of diversity. The concepts of spatial zooming and aliasing are introduced to provide a transparent interpretation of the effect of antenna spacing on channel statistics and capacity. Numerical results are presented to illustrate various aspects of the virtual framework.</t>
  </si>
  <si>
    <t>2563-2579</t>
  </si>
  <si>
    <t>60000251-60032179</t>
  </si>
  <si>
    <t>Sayeed, Akbar M.</t>
  </si>
  <si>
    <t>Sayeed A.</t>
  </si>
  <si>
    <t>Deconstructing multiantenna fading channels</t>
  </si>
  <si>
    <t>10.1109/TSP.2002.803324</t>
  </si>
  <si>
    <t>2-s2.0-0036794421</t>
  </si>
  <si>
    <t>['wireless channel', 'various environments', 'transmission rate', 'st coding', 'st codes', 'signal design', 'sight channels', 'recent progress', 'quasistatic model', 'promising technologies', 'prior knowledge', 'primarily concerned', 'performance robustness', 'necessary tradeoff', 'diversity degrees', 'design criteria', 'characterization supports', 'channel spatio', 'challenges imposed', 'case scenario', 'analysis demonstrates']</t>
  </si>
  <si>
    <t>Fading channels | Space-time codes | Transmit diversity | Wireless communication</t>
  </si>
  <si>
    <t>Recently, space-time (ST) coding has emerged as one of the most promising technologies for meeting the challenges imposed by the wireless channel. This technology is primarily concerned with two-dimensional (2-D) signal design for multitransmit antenna wireless systems. Despite the recent progress in ST coding, several important questions remain unanswered. In a practical multiuser setting, one would expect different users to experience different channel conditions. This motivates the design of robust ST codes that exhibit satisfactory performance in various environments. In this paper, we investigate the robustness of ST codes in line-of-sight and correlated Rayleigh fading channels. We develop the design criteria that govern the performance of ST codes in these environments. Our analysis demonstrates that full-diversity ST codes are essential to achieving satisfactory performance in line-of-sight channels. We further show that a simple phase randomization approach achieves significant performance gains in the line-of-sight case without affecting the performance in Rayleigh fading channels. In the correlated fading environments, we characterize the achievable diversity order based on the number of diversity degrees of freedom in the channel. This characterization supports the recent experimental observations that suggest that the quasistatic model is not a worst-case scenario and establishes the necessary tradeoff between the transmission rate and performance robustness. Finally, we consider the design of ST codes using some prior knowledge about the channel spatio-temporal correlation function.</t>
  </si>
  <si>
    <t>2417-2428</t>
  </si>
  <si>
    <t>On the robustness of space-time coding</t>
  </si>
  <si>
    <t>10.1109/TSP.2002.803328</t>
  </si>
  <si>
    <t>2-s2.0-0036794432</t>
  </si>
  <si>
    <t>['type space', 'time trellis', 'time block', 'symbol periods', 'sttcs ),', 'simulation results', 'shortening prefilter', 'paper describes', 'level implementation', 'impulse response', 'global evolution', 'frequency domains', 'end finite', 'delay spread', 'complexity trellis', 'coded transmissions', 'coded dual']</t>
  </si>
  <si>
    <t>Broadband wireless | EDGE | Equalizers | MIMO | Space-time coding</t>
  </si>
  <si>
    <t>This paper describes and compares several practical equalization schemes for space-time-coded transmissions over broadband wireless channels. For space-time trellis codes (STTCs), we describe and compare two reduced-complexity trellis-based joint equalization and decoding schemes whose performance is further optimized by a front-end finite-impulse response (FIR) channel-shortening prefilter. For space-time block codes, we describe and compare three joint equalization and decoding schemes based on a block-level implementation of the well-known Alamouti scheme either in the time or frequency domains. We consider the third-generation time division multiple access (TDMA) cellular system known as enhanced data rates for global evolution (EDGE) and recommend a promising equalization scheme for space-time trellis-coded and for Alamouti-type space-time block-coded dual-antenna transmissions based on simulation results for typical urban channel conditions where the delay spread is few symbol periods.</t>
  </si>
  <si>
    <t>2477-2488</t>
  </si>
  <si>
    <t>60000251-60008383</t>
  </si>
  <si>
    <t>Al-Dhahir, Naofal</t>
  </si>
  <si>
    <t>Al-Dhahir N.</t>
  </si>
  <si>
    <t>Overview and comparison of equalization schemes for space-time-coded signals with application to EDGE</t>
  </si>
  <si>
    <t>10.1109/TSP.2002.803321</t>
  </si>
  <si>
    <t>2-s2.0-0036794486</t>
  </si>
  <si>
    <t>['time interleaving', 'spectral efficient', 'simple fashion', 'rlst codes', 'random space', 'optimal turbo', 'operating conditions', 'new transceiver', 'net result', 'magnitude smaller', 'like receiver', 'following ideas', 'error performance', 'coding scheme', 'channel matrix', 'antenna scheme', 'also yields']</t>
  </si>
  <si>
    <t>High-rate layered space-time methods | Multi-transmit multireceive antennas | Turbo principle</t>
  </si>
  <si>
    <t>TURBO-BLAST is a novel multitransmit multireceive (MTMR) antenna scheme for high-throughput wireless communications. It exploits the following ideas: the Bell Labs layered space time (BLAST) architecture; random layered space-time (RLST) coding scheme by using independent block codes and random space-time interleaving; sub-optimal turbo-like receiver that performs iterative decoding of the RLST codes and estimation of the channel matrix in an iterative and, most important, simple fashion. The net result is a new transceiver that is not only computationally efficient compared with the optimal maximum likelihood decoder, but it also yields a probability of error performance that is orders of magnitude smaller than traditional BLAST schemes for the same operating conditions. This paper also presents experimental results using real-life indoor channel measurements demonstrating the high-spectral efficient of TURBO-BLAST.</t>
  </si>
  <si>
    <t>2538-2546</t>
  </si>
  <si>
    <t>60089889-60031828-60018714;60089889-60031828</t>
  </si>
  <si>
    <t>6701538512;7101764513</t>
  </si>
  <si>
    <t>Sellathurai, Mathini;Haykin, Simon</t>
  </si>
  <si>
    <t>Dundas;Hamilton;Ottawa</t>
  </si>
  <si>
    <t>IEEE Canada;McMaster University;Communications Research Centre</t>
  </si>
  <si>
    <t>60089889;60031828;60018714</t>
  </si>
  <si>
    <t>Sellathurai M.</t>
  </si>
  <si>
    <t>TURBO-BLAST for wireless communications: Theory and experiments</t>
  </si>
  <si>
    <t>10.1109/TSP.2002.803327</t>
  </si>
  <si>
    <t>2-s2.0-0036795461</t>
  </si>
  <si>
    <t>['widely applied', 'upper bound', 'underlying channels', 'regularly updated', 'rate penalty', 'propagation channel', 'orthogonal space', 'optimality pertains', 'noise ratios', 'noise ratio', 'mean values', 'large range', 'known perfectly', 'filling principle', 'expected signal', 'estimated channel', 'directional eigen', 'directional beamforming', 'deterministically known', 'correlation matrix', 'conventional one', 'better performance', 'beamforming emerges', 'attractive choice', 'also capable']</t>
  </si>
  <si>
    <t>Beamforming | Mean feedback | Space-time block codes | Transmit diversity</t>
  </si>
  <si>
    <t>Optimal transmitter designs obeying the water-filling principle are well-documented; they are widely applied when the propagation channel is deterministically known and regularly updated at the transmitter. Because channel state information is impossible to be known perfectly at the transmitter in practical wireless systems, we design, in this paper, an optimal multiantenna transmitter based on the knowledge of mean values of the underlying channels. Our optimal transmitter design turns out to be an eigen-beamformer with multiple beams pointing to orthogonal directions along the eigenvectors of the correlation matrix of the estimated channel at the transmitter and with proper power loading across beams. The optimality pertains to minimizing an upper bound on the symbol error rate, which leads to better performance than maximizing the expected signal-to-noise ratio (SNR) at the receiver. Coupled with orthogonal space-time block codes, two-directional eigen-beamforming emerges as a more attractive choice than conventional one-directional beamforming with uniformly improved performance, without rate reduction, and without essential increase in complexity. With multiple receive antennas and reasonably good feedback quality, the two-directional eigen-beamformer is also capable of achieving the best possible performance in a large range of transmit-power-to-noise ratios, without a rate penalty.</t>
  </si>
  <si>
    <t>2599-2613</t>
  </si>
  <si>
    <t>7404165407;36049280600</t>
  </si>
  <si>
    <t>Zhou, Shengli;Giannakis, Georgios B.</t>
  </si>
  <si>
    <t>Optimal transmitter eigen-beamforming and space-time block coding based on channel mean feedback</t>
  </si>
  <si>
    <t>10.1109/TSP.2002.803355</t>
  </si>
  <si>
    <t>2-s2.0-0036795562</t>
  </si>
  <si>
    <t>['stcs ).', 'rate adaptation', 'outperforms stcs', 'orthogonal frequency', 'mutual information', 'modulation cardinality', 'ideal fast', 'frequency interleaving', 'first study', 'fast fading', 'ergodic channel', 'division multiplexing', 'dispersive channels']</t>
  </si>
  <si>
    <t>BICM | Bit interleaving | Capacity | Fast fading | Multiple antennas | OFDM | Space-time channel coding | STC | Wireless</t>
  </si>
  <si>
    <t>Multiple-antenna channel coding for orthogonal frequency-division multiplexing (OFDM) transmission over dispersive channels is reconsidered because with frequency interleaving, the effective channel characteristic across subcarriers is rather fast fading. The channel does not comply with the quasistatic model widely assumed for space-time trellis codes (STCs). For that reason, we first study the ideal fast-fading multiple transmit and receive antenna channel and then compare the performance of STCs with that of bit-interleaved coded modulation in fast fading. Mutual information of the ergodic channel is evaluated for numerous modulation scenarios, and capacity comparisons generate guidelines on how to jointly adjust coding rate and modulation cardinality. Bit-based coding offers large flexibility in rate adaptation, and simulation results show that it outperforms STCs in ideal fast fading and, finally, in a realistic OFDM application as well.</t>
  </si>
  <si>
    <t>2442-2450</t>
  </si>
  <si>
    <t>60000251-60012230-60021681</t>
  </si>
  <si>
    <t>M√ºller-Weinfurtner, Stefan H.</t>
  </si>
  <si>
    <t>Amsterdam;Middletown;New York</t>
  </si>
  <si>
    <t>Royal Philips;AT&amp;T Laboratories Middletown;IEEE</t>
  </si>
  <si>
    <t>60021681;60012230;60000251</t>
  </si>
  <si>
    <t>M√ºller-Weinfurtner S.</t>
  </si>
  <si>
    <t>Coding approaches for multiple antenna transmission in fast fading and OFDM</t>
  </si>
  <si>
    <t>10.1109/TSP.2002.803351</t>
  </si>
  <si>
    <t>2-s2.0-0036795568</t>
  </si>
  <si>
    <t>['wave channel', 'two buildings', 'transmission rate', 'rectangular buildings', 'rectangular building', 'receiver location', 'multipath fading', 'multipath channels', 'indoor millimetre', 'impulse responses', 'four forward', 'delay spread', 'bouncing ray', 'arched building', 'also found', 'also calculated', '20 mbps']</t>
  </si>
  <si>
    <t>DFE | Diversity | Millimetre-wave | Multipath | SBR/Image</t>
  </si>
  <si>
    <t>Wideband communication characteristics of wireless indoor millimetre-wave channel for arched and rectangular buildings are investigated. The impulse responses of arched and rectangular buildings for any transmitter-receiver location are computed by shooting and bouncing ray/image (SBR/Image) techniques. By using the impulse responses of these multipath channels, the impact of shapes of building is presented and the bit error rate performance of binary phase shift keying (BPSK) system with phase and timing recovery circuits are also calculated. Moreover, dual space antenna diversity technique and decision feedback equalizer (DFE) with four forward and three feedback taps are used to combat the multipath fading. Numerical results show that the mean root mean square (rms) delay spread for the arched building is smaller than that for the rectangular building. In addition, it is also found that the transmission rate can be up to 20 Mbps for indoor millimetre-wave channel of these two buildings by using dual space diversity and DFE. Copyright ¬© 2002 John Wiley &amp; Sons, Ltd.</t>
  </si>
  <si>
    <t>701-711</t>
  </si>
  <si>
    <t>60018405;60018405;60018405</t>
  </si>
  <si>
    <t>7402303547;8202164400;56252855600</t>
  </si>
  <si>
    <t>Chiu, Chien Ching;Hung, Shi Cheng;Chen, Chien Hung</t>
  </si>
  <si>
    <t>New Taipei City</t>
  </si>
  <si>
    <t>Tamkang University</t>
  </si>
  <si>
    <t>Chiu C.</t>
  </si>
  <si>
    <t>Dual diversity combining and decision feedback equalizer in indoor millimetre-wave channel</t>
  </si>
  <si>
    <t>10.1002/dac.559</t>
  </si>
  <si>
    <t>2-s2.0-0036796932</t>
  </si>
  <si>
    <t>['undersized c', 'survival rate', 'survival data', 'study found', 'solway firth', 'small shrimps', 'significantly reduce', 'sea alive', 'rights reserved', 'riddling process', 'riddles used', 'remaining 11', 'minimum size', 'marketable size', 'living c', 'juvenile c', 'crangon entering', 'crangon crangon', 'count would', 'cooked along', 'bird predation', '9 mm', '5 %.', '24 h']</t>
  </si>
  <si>
    <t>Crangon crangon | Management suggestions | Sea bird predation | Survival | Trawling</t>
  </si>
  <si>
    <t>The extent of discarding and the survival of juvenile brown shrimps (Crangon crangon) was investigated during a 3 year study of the commercial fishing fleet in the Solway Firth (UK) brown shrimp fishery. Shrimps of 9 mm carapace length and above were considered of marketable size, while those below 9 mm were regarded as undersized. Of all C. crangon captured 52% were below the marketable size. The riddles used to separate the catch rejected 89% of these undersized C. crangon, the remaining 11% were cooked along with the commercial sized shrimps. This study found that 99% of discarded undersized shrimps were returned to the sea alive and after 24 h it was estimated that 92% would have survived. The riddling process did not significantly reduce their survival rate, however, riddling occasionally resulted in the loss of antennae or a telson. Estimates of bird predation on living C. crangon discards ranged from 0.5 to 4.5%. Combining these survival data it was estimated that between 77 and 80% of all undersized C. crangon entering a shrimp beam trawl would survive, depending on the level of bird predation. In view of this high survival level the introduction of a minimum size/count would be an effective management measure to ensure that juvenile C. crangon are not landed if market conditions became favourable for small shrimps. ¬© 2002 Elsevier Science B.V. All rights reserved.</t>
  </si>
  <si>
    <t>95-107</t>
  </si>
  <si>
    <t>Fisheries Research</t>
  </si>
  <si>
    <t>60006222;60006222</t>
  </si>
  <si>
    <t>15749460900;7003576761</t>
  </si>
  <si>
    <t>Lancaster, Jane;Frid, Christopher L.J.</t>
  </si>
  <si>
    <t>Newcastle University</t>
  </si>
  <si>
    <t>Lancaster J.</t>
  </si>
  <si>
    <t>The fate of discarded juvenile brown shrimps (Crangon crangon) in the Solway Firth UK fishery</t>
  </si>
  <si>
    <t>S0165783601003575</t>
  </si>
  <si>
    <t>10.1016/S0165-7836(01)00357-5</t>
  </si>
  <si>
    <t>2-s2.0-0036800803</t>
  </si>
  <si>
    <t>['time lag', 'short period', 'reaction centers', 'psi degraded', 'pigment content', 'photosynthetic performance', 'photosynthetic apparatus', 'palmaria decipiens', 'maximal values', 'initial increase', 'harvesting antennae', 'fm started', 'determined monthly', 'decrease considerably', 'decipiens started', 'decipiens reduced', 'data show', 'darkness experienced', 'accumulate chl', '7 days', '4 months', '30 days', '3 months']</t>
  </si>
  <si>
    <t>Antarctica | Darkness | Day length | Palmaria decipiens | Photoacclimation | Photosynthesis | Phycobiliproteins | Rhodophyta | Seasonality</t>
  </si>
  <si>
    <t>The influence of seasonally fluctuating photoperiods on the photosynthetic apparatus of Palmaria decipiens (Reinsch) Ricker was studied in a year-round culture experiment. The optimal quantum yield (Fv/Fm) and the maximal relative electron transport rate (ETRmax), measured by in vivo chl fluorescence and pigment content, were determined monthly. During darkness, an initial increase in pigment content was observed. After 3 months in darkness, ETRmax and Fv/Fm started to decrease considerably. After 4 months in darkness, degradation of the light-harvesting antennae, the phycobilisomes, began, and 1 month later the light harvesting complex I and/or the reaction centers of PSII and/or PSI degraded. Pigment content and photosynthetic performance were at their minimum at the end of the 6-month dark period. Within 24 h after re-illumination, P. decipiens started to accumulate chl a and to photosynthesize. The phycobiliprotein accumulation began after a time lag of about 7 days. Palmaria decipiens reached ETRmax values comparable with the values before darkness 7 days after re-illumination and maximal values after 30 days of re-illumination. Over the summer, P. decipiens reduced its photosynthetic performance and pigment content, probably to avoid photodamage caused by excess light energy. The data show that P. decipiens is able to adapt to the short period of favorable light conditions and to the darkness experienced in the field.</t>
  </si>
  <si>
    <t>904-913</t>
  </si>
  <si>
    <t>60019578;;60032200</t>
  </si>
  <si>
    <t>6508094112;54899308800;6602072663</t>
  </si>
  <si>
    <t>L√ºder, Ulrike H.;Wiencke, Christian;Knoetzel, J√ºrgen</t>
  </si>
  <si>
    <t>Denmark;Australia</t>
  </si>
  <si>
    <t>Bagsvard;Melbourne</t>
  </si>
  <si>
    <t>Novozymes A/S;Monash University</t>
  </si>
  <si>
    <t>60032200;60019578</t>
  </si>
  <si>
    <t>L√ºder U.H.</t>
  </si>
  <si>
    <t>Acclimation of photosynthesis and pigments during and after six months of darkness in Palmaria decipiens (Rhodophyta): A study to simulate antarctic winter sea ice cover</t>
  </si>
  <si>
    <t>10.1046/j.1529-8817.2002.t01-1-01071.x</t>
  </si>
  <si>
    <t>2-s2.0-0036801317</t>
  </si>
  <si>
    <t>['wireless communications', 'oppic ),', 'multicode cdma', 'every time', 'decision feedback', 'conventional algorithms', 'combat co', 'blast architecture', 'better performance', 'attractive scheme', 'antenna interference']</t>
  </si>
  <si>
    <t>Co-antenna interference | Multicode CDMA | Multiple access interference | Parallel interference cancellation | V-BLAST architecture</t>
  </si>
  <si>
    <t>Multicode CDMA with V-BLAST architecture is an attractive scheme to achieve high data rate transmission in wireless communications. We propose an improved detection algorithm, order partial parallel interference cancellation with decision feedback (DF-OPPIC), to combat co-antenna interference and multiple access interference in the system. Compared with the conventional algorithms, DF-OPPIC has better performance on the frame error ratio in flat and multipath Rayleigh fading channel. Moreover, due to avoid calculating pseudo-inverse and optimal detection order in every time of iteration, DF-OPPIC has lower arithmetic complexity.</t>
  </si>
  <si>
    <t>506-509</t>
  </si>
  <si>
    <t>Chinese Journal of Electronics</t>
  </si>
  <si>
    <t>60005244;60005244;60005244;60005244</t>
  </si>
  <si>
    <t>57218361398;8984356900;7406351617;7404685467</t>
  </si>
  <si>
    <t>Wu, Gang;Wang, Haifeng;Chen, Ming;Cheng, Shixin</t>
  </si>
  <si>
    <t>Improving detection algorithm for multicode CDMA systems with V-BLAST architecture</t>
  </si>
  <si>
    <t>2-s2.0-0036803723</t>
  </si>
  <si>
    <t>['usual case', 'two cases', 'reflector antenna', 'physical optics', 'numerical results', 'incident source', 'go caustics', 'equivalent currents', 'engineering application', 'conventional aperture', 'aperture provided', 'aperture approach', '3d reflectors']</t>
  </si>
  <si>
    <t>Aperture field integration method | Field equivalence principle | Physical optics | Smooth reflector antenna</t>
  </si>
  <si>
    <t>Aperture field integration method (AFIM) is modified to be equivalent to physical optics (PO) in full observation regions by involving incident component into the equivalent currents and choosing suitable apertures for reflector antenna, then AFIM is used to calculate efficiently PO field. Two cases in which the equivalence is degraded are pointed out: (1) when the caustics of GO are near to the conventional aperture, or (2) the incident source is near to the aperture provided only far radiation pattern is available, which is usual case in the viewpoint of engineering application. Two-aperture approach in which the aperture is set far away from the GO caustics and the source, is presented to overcome the difficulty for two dimensional problems. The numerical results for 2D and 3D reflectors are given to illuminate the effectiveness and accuracy of AFIM and two-aperture approach.</t>
  </si>
  <si>
    <t>557-562</t>
  </si>
  <si>
    <t>60025578;60025578;60025578</t>
  </si>
  <si>
    <t>57201610325;57194128107;13103988200</t>
  </si>
  <si>
    <t>Cui, Suomin;Ando, Makoto;Wu, Zhensen</t>
  </si>
  <si>
    <t>Cui S.</t>
  </si>
  <si>
    <t>Efficient computation of PO field of reflector antenna in full observation regions with use of aperture field integration method</t>
  </si>
  <si>
    <t>2-s2.0-0036804151</t>
  </si>
  <si>
    <t>['spherical coordinates', 'results presented', 'provides easy', 'numerical results', 'nervous system', 'model using', 'model based', 'increasing concern', 'em fields', 'dyadic green', 'dipole antenna', 'difference time', 'critical evaluation', 'close proximity', 'biological head', 'analytical expressions', 'accurate modeling']</t>
  </si>
  <si>
    <t>Antennas | Dipole | Dyadic Green's function | Electromagnetic | Head model | Mobile phone | Scatterer | Spheres</t>
  </si>
  <si>
    <t>The accurate modeling of electromagnetic (EM) effects is now an increasingly important design requirement for the advancement of PCS (personal communication services). Also, possible adverse effects of EM fields, especially on the brain and the nervous system, are of increasing concern, particularly with reference to mobile transceivers held close to the head. The spherical head model, while not accurate, provides easy and reasonably effective means for the estimation of the "worst case SAR (specific absorption rate)" either through modeling or experimentation. The purpose of this work is to analyze a model based on a solution of DGF (dyadic Green's function) in spherical coordinates that will describe the field distributions inside a biological head. Numerical results from analytical expressions are computed for the problem of the spherical head model (multilayered homogeneous lossy dielectric spherical model) in close proximity to a dipole antenna and then compared with the results from the same model using the finite-difference time-domain, EMU-FDTD electromagnetic simulator. The medium is assumed to be homogeneous, isotropic, linear, nondispersive, and stationary. A critical evaluation of the method is discussed. The results presented here show that this method correlates well with other techniques.</t>
  </si>
  <si>
    <t>535-552</t>
  </si>
  <si>
    <t>Reyhani, S. M.S.</t>
  </si>
  <si>
    <t>Uxbridge</t>
  </si>
  <si>
    <t>Brunel University London</t>
  </si>
  <si>
    <t>Reyhani S.</t>
  </si>
  <si>
    <t>Electromagnetic modeling of a spherical phantom head by a dyadic Green's function approach</t>
  </si>
  <si>
    <t>10.1080/02726340290084102</t>
  </si>
  <si>
    <t>2-s2.0-0036804664</t>
  </si>
  <si>
    <t>['unique solution', 'successful modification', 'substantial errors', 'retractable roll', 'recent trends', 'paper describes', 'new system', 'new rigid', 'minimal cost', 'directivity measurement', 'axis mechanism', 'antenna positioner']</t>
  </si>
  <si>
    <t>Antenna efficiency measurement | Small antennas</t>
  </si>
  <si>
    <t>Recent trends in communications technology call for miniaturized components including antennas. The measurement of electrically small antennas poses unique challenges since reflections from the antenna positioner can now contribute to substantial errors in gain and directivity measurement. This paper describes a unique solution to the problem. An existing anechoic chamber was modified by using a new rigid but low dielectric constant antenna support and a retractable roll-axis mechanism. System validation tests illustrate the applicability of the new system. The technical solutions proposed in this paper can be used for successful modification of existing antenna test facilities at minimal cost.</t>
  </si>
  <si>
    <t>513-534</t>
  </si>
  <si>
    <t>60026306;60026306;60026306;60026306</t>
  </si>
  <si>
    <t>7202724032;6506181307;55451416600;7402683789</t>
  </si>
  <si>
    <t>Narayanan, Ram M.;Borissov, Evgueni;Sullivan, Jon L.;Winter, J. Blake</t>
  </si>
  <si>
    <t>Narayanan R.</t>
  </si>
  <si>
    <t>A test facility for efficiency characterization of electrically small antennas</t>
  </si>
  <si>
    <t>10.1080/02726340290084094</t>
  </si>
  <si>
    <t>2-s2.0-0036805427</t>
  </si>
  <si>
    <t>['xdsl technology', 'unbundling consists', 'technical issues', 'special access', 'provide value', 'physical access', 'new operator', 'network infrastructure', 'major driver', 'italian operators', 'italian case', 'interference evaluation', 'interested mainly', 'deploy services', 'copper loop', 'available loops']</t>
  </si>
  <si>
    <t>Unbundling consists of the possibility for a new operator to have special access to an incumbent's network infrastructure in order to provide value-added services without the necessity to duplicate the infrastructure itself. Local loop unbundling has received the most attention in Europe and in Italy. Most Italian operators are interested mainly in physical access to copper loop, which gives the opportunity to offer broadband services pervasively by exploiting the capabilities of xDSL technology. Technical issues to be faced in offering these services are severe and include loop qualification, interference evaluation, and shortage of available loops. Nonetheless, the Italian case, where more than 20 incoming operators are planning to deploy services on unbundled local loops, demonstrates that this opportunity can be a major driver for the development of the broadband services market.</t>
  </si>
  <si>
    <t>86-93</t>
  </si>
  <si>
    <t>60023256;60005400</t>
  </si>
  <si>
    <t>7003896139;35778633500</t>
  </si>
  <si>
    <t>Bregni, Stefano;Melen, Riccardo</t>
  </si>
  <si>
    <t>Milan;Varese</t>
  </si>
  <si>
    <t>Politecnico di Milano;Universit√† degli Studi dell'Insubria</t>
  </si>
  <si>
    <t>Bregni S.</t>
  </si>
  <si>
    <t>Local loop unbundling in the Italian network</t>
  </si>
  <si>
    <t>10.1109/MCOM.2002.1039862</t>
  </si>
  <si>
    <t>2-s2.0-0036805477</t>
  </si>
  <si>
    <t>['time receivers', 'time equalizer', 'state performance', 'simulations show', 'simplified version', 'one 2d', 'multipath fading', 'multipath environment', 'limited information', 'existing receivers', 'efficient algorithm', 'drda ).', 'cdma system', 'better steady']</t>
  </si>
  <si>
    <t>Code division multiple access (CDMA) | Despread respread directed algorithm | Gradient descent method with variable step size | Smart antenna | Space-time processing</t>
  </si>
  <si>
    <t>Multiple access interference and multipath fading are the major factors limiting the performance of a DS-CDMA system. Some space-time processing structures and algorithms have been proposed to combat them. But a lot of them can only be used in periodic spreading systems or require much prior knowledge and computation. In this paper, three new blind adaptive space-time receivers, one 2D-DRAKE, its simplified version and a space-time equalizer, are developed for DS-CDMA system reception in multipath environment. They only need to know or estimate desired user's limited information for processing and can be applied to both periodic and aperiodic spreading system. They all are based on a powerful and efficient algorithm: Block RLS despread respread directed algorithm (BRLS-DRDA). Simulations show that all of them have very high converging rate and better steady-state performance than some existing receivers.</t>
  </si>
  <si>
    <t>502-505</t>
  </si>
  <si>
    <t>60016930;60016930;60016930</t>
  </si>
  <si>
    <t>55007271300;57190280744;7407080091</t>
  </si>
  <si>
    <t>Du, Zhimin;Wan, Peng;Wu, Weiling</t>
  </si>
  <si>
    <t>Beijing University of Posts and Telecommunications</t>
  </si>
  <si>
    <t>Du Z.</t>
  </si>
  <si>
    <t>Robust blind space-time receivers for CDMA system</t>
  </si>
  <si>
    <t>2-s2.0-0036806258</t>
  </si>
  <si>
    <t>['stretching ratio', 'stereolithograpy process', 'rights reserved', 'perfect bandgap', 'microwave transmission', 'lattice spacing', 'directional transmission', 'changed according', 'based particles']</t>
  </si>
  <si>
    <t>A. Electromagnetic crystal | B. Photonic crystal | C. Diamond structure | D. Stereolithography | E. Microwave emission</t>
  </si>
  <si>
    <t>Millimeter order electromagnetic crystals composed of epoxy lattices containing titania-based particles and having a three-dimensional diamond structure were fabricated by using a stereolithograpy process. The diamond lattice structure formed a perfect bandgap to microwave transmission, while the directional diamond structures with stretched lattice spacing showed the directional transmission of microwaves. The stretching ratio of the lattice spacing was changed according to the band calculation using a plane wave propagation method. A microwave antenna head composed of normal and stretched diamond structures was fabricated which achieved unidirectional transmission. ¬© 2002 Elsevier Science Ltd. All rights reserved.</t>
  </si>
  <si>
    <t>135-139</t>
  </si>
  <si>
    <t>Solid State Communications</t>
  </si>
  <si>
    <t>60016717;60031955;60014652;60016717</t>
  </si>
  <si>
    <t>7003850191;26324099900;7006308146;7403108502</t>
  </si>
  <si>
    <t>Kirihara, Soshu;Takeda, Mitsuo Wada;Sakoda, Kazuaki;Miyamoto, Yoshinari</t>
  </si>
  <si>
    <t>Matsumoto;Ibaraki;Sapporo</t>
  </si>
  <si>
    <t>Shinshu University;Joining and Welding Research Institute;Hokkaido University</t>
  </si>
  <si>
    <t>60031955;60016717;60014652</t>
  </si>
  <si>
    <t>Kirihara S.</t>
  </si>
  <si>
    <t>Control of microwave emission from electromagnetic crystals by lattice modifications</t>
  </si>
  <si>
    <t>S0038109802004520</t>
  </si>
  <si>
    <t>10.1016/S0038-1098(02)00452-0</t>
  </si>
  <si>
    <t>2-s2.0-0036806495</t>
  </si>
  <si>
    <t>['radiation characteristics', 'paper analyses', 'input impedance', 'difference time']</t>
  </si>
  <si>
    <t>Antenna arrays | FDTD method | Transverse electromagnetic (TEM) horn antenna</t>
  </si>
  <si>
    <t>In this paper, the finite-difference time-domain (FDTD) method is used to study the ultrawide band arrays composed of the interconnected transverse electromagnetic (TEM) horns. This paper analyses the radiation characteristics of arrays, such as the input impedance, voltage standing wave ratio, and so on. The calculated results show that the low frequency performance has been improved by using the array, and the higher field strength can be produced by the low-voltage sources fed to each element.</t>
  </si>
  <si>
    <t>575-577</t>
  </si>
  <si>
    <t>7102029721;55870045500;7601430454;7006758730</t>
  </si>
  <si>
    <t>Tian, Chunming;Wang, Jianguo;Chen, Yusheng;Ge, Debiao</t>
  </si>
  <si>
    <t>Tian C.</t>
  </si>
  <si>
    <t>Numerical studies on two-element TEM horn array for radiating ultrawide band pulses</t>
  </si>
  <si>
    <t>2-s2.0-0036806613</t>
  </si>
  <si>
    <t>['new algorithms', 'effective reduced', 'computer simulations']</t>
  </si>
  <si>
    <t>Code division multiple access (CDMA) | Reduced-rank filters | Space-time adaptive processing</t>
  </si>
  <si>
    <t>The multistage Wiener filter (MWF) is an effective reduced-rank method proposed recently for space-time multiuser detection. In this paper, two new modified MWF algorithms (SMWF1 and SMWF2) with much lower complexity have been developed. Despite of their lower computational cost, these new algorithms can achieve the same performances as the MWF. The newly derived algorithms have been tested with computer simulations.</t>
  </si>
  <si>
    <t>523-527</t>
  </si>
  <si>
    <t>60013789;60013789;60013789;60013789</t>
  </si>
  <si>
    <t>57192621310;7409236343;7202387494;55583285600</t>
  </si>
  <si>
    <t>Wang, Wei;Li, Shaohong;Mao, Shiyi;Yang, Chenyang</t>
  </si>
  <si>
    <t>Beihang University</t>
  </si>
  <si>
    <t>Low-complexity reduced-rank space-time multiuser detector for DS-CDMA communications</t>
  </si>
  <si>
    <t>2-s2.0-0036806637</t>
  </si>
  <si>
    <t>['using sat', 'three types', 'sum pattern', 'still achieved', 'received aperture', 'quadrature channels', 'original one', 'ordinary type', 'general types', 'difference patterns', 'difference pattern', 'aperture technique', 'aperture distribution']</t>
  </si>
  <si>
    <t>Difference beamforming | Partial aperture technique | Phased array | Semi-aperture technique | Sum beamforming</t>
  </si>
  <si>
    <t>Traditionally, the aperture distribution of the sum pattern for the receive array antenna is symmetrical and the aperture distribution of the difference pattern is anti-symmetrical. In this paper, it is proposed that if the semi-aperture technique (SAT) is used in the receive array antenna, the sum pattern and difference pattern of the original full aperture distribution can be obtained from the inphase and quadrature channels of the output of the array. Therefore, using SAT, the same beamwidth as that of the original full aperture distribution can be obtained. It means that the received aperture is decreased to half the original one and the desired original beamwidth is still achieved. In this paper, ordinary type of architecture for sum and difference patterns is described. Universal and general types of architectures are proposed. Examples are given and the three types are compared and discussed.</t>
  </si>
  <si>
    <t>567-569</t>
  </si>
  <si>
    <t>7405914208;57218984209;8923908200;55478210000</t>
  </si>
  <si>
    <t>Liu, Tinghua;Jiang, Wei;Guo, Yanchang;Xie, Jidong</t>
  </si>
  <si>
    <t>Three types of architectures for sum and difference beamforming</t>
  </si>
  <si>
    <t>2-s2.0-0036806723</t>
  </si>
  <si>
    <t>['sequence code', 'selection combiner', 'rake reception', 'multipath fading', 'multipath decorrelator', 'mai cancellation', 'division multiple', 'diversity order', 'also considered', 'access interference']</t>
  </si>
  <si>
    <t>Decorrelator detector | Diversity reception | DS-CDMA | Mobile radio | Nakagami fading channels</t>
  </si>
  <si>
    <t>Multiple-access interference (MAI) and multipath fading are two of the most significant factors limiting the capacity and performance of direct-sequence code-division multiple-access (DS-CDMA) systems. In this letter, synchronous multiuser receivers that combine antenna diversity, RAKE reception, and a multipath decorrelator for MAI cancellation are analyzed in a Nakagami faded environment using a maximal ratio combiner or a selection combiner. A coherent binary phase-shift keying employing DS-CDMA is considered. Arbitrary branch correlation is also considered for any diversity order in the case of identical severity fading on the branches.</t>
  </si>
  <si>
    <t>1566-1570</t>
  </si>
  <si>
    <t>60000251-60002575;60002575</t>
  </si>
  <si>
    <t>7005492000;6602967549</t>
  </si>
  <si>
    <t>Al-Hussaini, Emad K.;Sayed, Iman M.</t>
  </si>
  <si>
    <t>Egypt;United States</t>
  </si>
  <si>
    <t>Cairo;New York</t>
  </si>
  <si>
    <t>Cairo University, Faculty of Engineering;IEEE</t>
  </si>
  <si>
    <t>60002575;60000251</t>
  </si>
  <si>
    <t>Al-Hussaini E.</t>
  </si>
  <si>
    <t>Performance of the decorrelator receiver for DS-CDMA mobile radio system employing RAKE and diversity through Nakagami fading channel</t>
  </si>
  <si>
    <t>10.1109/TCOMM.2002.803975</t>
  </si>
  <si>
    <t>2-s2.0-0036810732</t>
  </si>
  <si>
    <t>['wireless communication', 'upper bounds', 'time codes', 'sufficient conditions', 'simple lower', 'new simple', 'new codes', 'first papers', 'design procedure', 'combined diversity', 'coding gain', 'code performance', 'calculations needed', 'also suggested']</t>
  </si>
  <si>
    <t>Convolutional coding | Space-time coding | Space-time modulation | Transmit diversity</t>
  </si>
  <si>
    <t>Space-time convolutional codes have shown considerable promise for providing improved performance for wireless communication through combined diversity and coding gain. An efficient design procedure is presented here for optimizing the coding and diversity gain measures proposed in the first papers on space-time codes. The procedure is based on some simple lower and upper bounds on coding gain. The same calculations needed to compute these bounds can be used to check either necessary or sufficient conditions on space-time codes which achieve maximum diversity gain. A new simple, but useful, measure of code performance is also suggested which augments existing measures. The use of the design procedure is illustrated and new codes are provided. These codes are shown to outperform the space-time convolutional codes provided in the initial papers introducing space-time codes.</t>
  </si>
  <si>
    <t>1593-1599</t>
  </si>
  <si>
    <t>60000251-60000060</t>
  </si>
  <si>
    <t>Blum, Rick S.</t>
  </si>
  <si>
    <t>New York;Bethlehem</t>
  </si>
  <si>
    <t>IEEE;Lehigh University</t>
  </si>
  <si>
    <t>60000251;60000060</t>
  </si>
  <si>
    <t>Some analytical tools for the design of space-time convolutional codes</t>
  </si>
  <si>
    <t>10.1109/TCOMM.2002.803973</t>
  </si>
  <si>
    <t>2-s2.0-0036810745</t>
  </si>
  <si>
    <t>CCR-9902864</t>
  </si>
  <si>
    <t>['uplink receptions', 'uplink cycle', 'two algorithms', 'traffic pattern', 'tdd system', 'tdd ).', 'system complexity', 'subscriber site', 'strong interference', 'station site', 'slots region', 'sir }.', 'severely limited', 'sectored antennas', 'sector antennas', 'reference cell', 'performance difference', 'performance benchmark', 'outage probability', 'outage performance', 'omnidirectional antennas', 'max min', 'interference ratio', 'evaluated using', 'efficient algorithm', 'dynamic range', 'cochannel cell', 'assigning subscribers', 'array antennas', 'analytical model', 'algorithm combined']</t>
  </si>
  <si>
    <t>Cochannel interference | Dynamic time-division duplex | Wireless cellular networks</t>
  </si>
  <si>
    <t>In this paper, we consider a fixed wireless cellular network that uses dynamic time division duplex (D-TDD). We analyze the signal-to-interference ratio (SIR) outage performance of a D-TDD fixed cellular system, and propose a scheme to improve the outage probability performance. First, outage probability is evaluated using an analytical model, when omnidirectional antennas are deployed at a base-station site and a subscriber site. Our model is verified, using Monte Carlo simulations. According to our investigation, the outage performance of the D-TDD system is severely limited by a strong interference from the cochannel cell on the downlink, while the reference cell is in the uplink cycle. To improve the outage performance during uplink receptions, we introduce two time-slot allocation methods, combined with sector antennas: the Max Min{SIR} and Max{SIR}. The Max Min{SIR} is an exhaustive search algorithm for assigning subscribers to a few extra uplink time slots, so as to maximize the minimum SIR expectation value over the extra uplink time-slots region. It is used as a performance benchmark in our analysis. Meanwhile, the Max{SIR} is a simpler and efficient algorithm for improving the outage performance. It is established that the performance difference between the two algorithms is not noticeable. Especially, the difference is negligible, when the dynamic range of the traffic pattern between uplink and downlink is small. Also, the outage performance of a system that employs the Max{SIR} algorithm combined with sectored antennas is compared to that of a system employing adaptive-array antennas. The proposed system shows promise, and offers a compromise between system complexity and network guaranteed availability.</t>
  </si>
  <si>
    <t>1627-1636</t>
  </si>
  <si>
    <t>60001439;60000251-60001439</t>
  </si>
  <si>
    <t>36913368100;7005636245</t>
  </si>
  <si>
    <t>Jeong, Wuncheol;Kavehrad, Mohsen</t>
  </si>
  <si>
    <t>University Park;New York</t>
  </si>
  <si>
    <t>Pennsylvania State University;IEEE</t>
  </si>
  <si>
    <t>60001439;60000251</t>
  </si>
  <si>
    <t>Jeong W.</t>
  </si>
  <si>
    <t>Cochannel interference reduction in dynamic-TDD fixed wireless applications, using time slot allocation algorithms</t>
  </si>
  <si>
    <t>10.1109/TCOMM.2002.803991</t>
  </si>
  <si>
    <t>2-s2.0-0036811322</t>
  </si>
  <si>
    <t>['varying delays', 'varying channel', 'time diversity', 'stochastically model', 'small ),', 'simulations based', 'significantly improves', 'oscillations create', 'ms ).', 'ms ),', 'mobile station', 'introducing oversampling', 'gscm show', 'gscm ),', 'error performance', 'coherence time', 'channel model', 'called geometric', 'beam pattern', 'base station', 'array elements']</t>
  </si>
  <si>
    <t>Antenna arrays | Diversity methods | Geometric modeling | Time varying channels</t>
  </si>
  <si>
    <t>By applying carefully selected time-varying delays to the array elements of a smart antenna located at the base station (BS), small oscillations are generated in the beam pattern. These oscillations create a time-varying channel demonstrating intra-symbol time variation and characterized by coherence time T C. At a single-antenna mobile station (MS), the time-varying channel (with coherence time T C) creates a time diversity which is exploited to enhance the mobile's performance (by introducing oversampling to the mobile receiver). In this work, we present a channel model which characterizes the time-varying channel that results from beam pattern oscillation. We then use our channel model to evaluate the coherence time, T C, at the mobile station (MS). The channel model presented corresponds to the so-called geometric-based stochastic channel model (GSCM), with a semi-elliptic coverage area. This geometric approach allows us to stochastically model the parameters of the time-varying channel impulse response. Simulations based on the GSCM show that 7-fold time diversity can be exploited at the MS (when beam pattern movement is small), which significantly improves the MS receiver probability-of-error performance.</t>
  </si>
  <si>
    <t>1549-1556</t>
  </si>
  <si>
    <t>60000251-60009226-60016536;60000251-60009226</t>
  </si>
  <si>
    <t>7004189729;7004531373</t>
  </si>
  <si>
    <t>Zekavat, Seyed Alireza;Nassar, Carl R.</t>
  </si>
  <si>
    <t>Houghton;Fort Collins;New York</t>
  </si>
  <si>
    <t>Michigan Technological University;Colorado State University;IEEE</t>
  </si>
  <si>
    <t>60016536;60009226;60000251</t>
  </si>
  <si>
    <t>Smart antenna arrays with oscillating beam patterns: Characterization of transmit diversity in semi-elliptic coverage</t>
  </si>
  <si>
    <t>10.1109/TCOMM.2002.803974</t>
  </si>
  <si>
    <t>2-s2.0-0036811338</t>
  </si>
  <si>
    <t>Research Grants Council, University Grants Committee</t>
  </si>
  <si>
    <t>HKUST 6030/01E</t>
  </si>
  <si>
    <t>RGC, UGC</t>
  </si>
  <si>
    <t>['wireless systems', 'time structure', 'time coding', 'proposed method', 'powerful scheme', 'input multiple', 'combat fading']</t>
  </si>
  <si>
    <t>Adaptive antenna arrays | Interference cancellation | MIMO-MMSE spatial filtering | Transmit diversity | Wireless communications</t>
  </si>
  <si>
    <t>Space-time coding is a powerful scheme that combines channel coding, modulation, and multiple transmit antennas to achieve higher data rates and combat fading in wireless systems. In this letter, we propose a multiple-input multiple-output minimum mean-square error spatial-filtering-based adaptive antenna arrays method to suppress cochannel interference (CCI) in space-time coded systems. It is shown that the proposed method can effectively suppress CCI while preserving the space-time structure, thereby significantly improving the system's interference suppression ability without significant bit error rate performance degradation.</t>
  </si>
  <si>
    <t>1580-1583</t>
  </si>
  <si>
    <t>60025278;60008592;60000251-60025278</t>
  </si>
  <si>
    <t>55720772600;55666697100;42161044900</t>
  </si>
  <si>
    <t>Li, Junqiang;Letaief, K. B.;Cao, Zhigang</t>
  </si>
  <si>
    <t>China;Hong Kong;United States</t>
  </si>
  <si>
    <t>Beijing;Hong Kong;New York</t>
  </si>
  <si>
    <t>Tsinghua University;Hong Kong University of Science and Technology;IEEE</t>
  </si>
  <si>
    <t>60025278;60008592;60000251</t>
  </si>
  <si>
    <t>Adaptive cochannel interference cancellation in space-time coded communication systems</t>
  </si>
  <si>
    <t>10.1109/TCOMM.2002.803982</t>
  </si>
  <si>
    <t>2-s2.0-0036811361</t>
  </si>
  <si>
    <t>Ministerio de Ciencia y Tecnolog√≠a</t>
  </si>
  <si>
    <t>TIC2001-0287</t>
  </si>
  <si>
    <t>MICYT</t>
  </si>
  <si>
    <t>['transmission schemes', 'simple way', 'rotated trellis', 'phase rotations', 'phase rotation', 'paper analyzes', 'optimum fixed', 'optimum adaptive', 'fading channels', 'exact calculation', 'error probability', 'dual transmission', 'average bit']</t>
  </si>
  <si>
    <t>Nakagami fading | Rotated trellis-coded modulation | Space-time block codes | Transmission diversity</t>
  </si>
  <si>
    <t>This paper analyzes the bit-error rate performance of a dual transmission-multiple reception antenna system in conjunction with a rotated trellis-coded modulation scheme over Nakagami fading channels. A simple way to combine the exact calculation of the pairwise error event probability with the transfer function bounding techniques is described. This approach allows us to evaluate an extremely tight theoretical upper bound on the average bit-error probability. The parameters which dominate the performance of these transmission schemes on fading channels are extracted from this evaluation. Optimum adaptive and fixed-phase rotations have been calculated, showing that most of the power efficiency obtained by using the optimum adaptive-phase rotation can be retained by using the optimum fixed-phase rotation.</t>
  </si>
  <si>
    <t>1609-1616</t>
  </si>
  <si>
    <t>60000251-60009780;60000251-60009780</t>
  </si>
  <si>
    <t>6602095987;7003374416</t>
  </si>
  <si>
    <t>Furi√≥, Ignasi;Femenias, Guillem</t>
  </si>
  <si>
    <t>Palma;New York</t>
  </si>
  <si>
    <t>Universitat de les Illes Balears;IEEE</t>
  </si>
  <si>
    <t>60009780;60000251</t>
  </si>
  <si>
    <t>Furi√≥ I.</t>
  </si>
  <si>
    <t>Rotated TCM systems with dual transmit and multiple receive antennas on Nakagami fading channels</t>
  </si>
  <si>
    <t>10.1109/TCOMM.2002.803983</t>
  </si>
  <si>
    <t>2-s2.0-0036811844</t>
  </si>
  <si>
    <t>['rake receivers', 'lower bound', 'also compute']</t>
  </si>
  <si>
    <t>Antenna arrays | DS-CDMA | Rake | Rayleigh fading</t>
  </si>
  <si>
    <t>In this letter, we extend the method that has been proposed in the literature for calculating the bit error probability of two-dimensional (2D) Rake receivers in asynchronous direct sequence code-division multiple access (DS-CDMA) over flat, slow Rayleigh fading channels to the case of frequency-selective, slow Rayleigh fading channels. We also compute and plot the lower bound on the performance that can be achieved in the above system.</t>
  </si>
  <si>
    <t>434-436</t>
  </si>
  <si>
    <t>60000251-60015457;60000251-60015457</t>
  </si>
  <si>
    <t>6602385097;57199185913</t>
  </si>
  <si>
    <t>Vijayan, Logeshwaran;Roberts, James</t>
  </si>
  <si>
    <t>Lawrence;New York</t>
  </si>
  <si>
    <t>University of Kansas;IEEE</t>
  </si>
  <si>
    <t>60015457;60000251</t>
  </si>
  <si>
    <t>Vijayan L.</t>
  </si>
  <si>
    <t>BER performance of 2D-rake receivers in DS-CDMA over frequency-selective, slow rayleigh fading channels</t>
  </si>
  <si>
    <t>10.1109/LCOMM.2002.804239</t>
  </si>
  <si>
    <t>2-s2.0-0036811853</t>
  </si>
  <si>
    <t>['underlying increase', 'unbiased estimate', 'two components', 'total number', 'synapses present', 'synapse proliferation', 'synapse number', 'synapse density', 'synapse densities', 'synapse counts', 'study tests', 'structural plasticity', 'significant increase', 'selected sections', 'results demonstrate', 'remained unchanged', 'predictable size', 'plasticity appear', 'neuropil volume', 'independent processes', 'identified according', 'highly compartmentalized', 'glomerulus volume', 'glomerulus t1', 'embedded brains', 'electron microscopy', 'electron micrographs', 'discrete spheres', 'determined using', 'antennal lobes', 'activity dependent', '1 ).']</t>
  </si>
  <si>
    <t>Apis mellifera | Olfactory bulbs | Stereology | Structural plasticity | Synapse | Transmission electron microscopy</t>
  </si>
  <si>
    <t>The primary antennal sensory centers (antennal lobes) in the brain of the honeybee are highly compartmentalized into discrete spheres of synaptic neuropil called glomeruli, many of which can be identified according to their predictable size and location. Glomeruli undergo significant changes in volume during the lifetime of the adult worker bee, at least some of which are activity dependent. This study tests the commonly expressed assumption that increases in neuropil volume are accompanied by an underlying increase in the number of synapses present in the tissue. A combination of light and electron microscopy was used to determine total synapse number within two glomeruli, T1-44 and T4-2(1). The Cavalieri direct estimator of volume was applied to 1.5 Œºm sections of resin-embedded brains. Selected sections were then re-embedded and prepared for transmission electron microscopy. Synapse densities were determined using the physical disector method on electron micrographs, Synapse density and glomerulus volume were combined to give an unbiased estimate of the total number of synapses. In glomerulus T1-44, a significant increase in volume was accompanied by a significant increase in the total number of synapses. In contrast, synapse counts in T4-2(1) remained unchanged, despite a significant increase in the volume of this glomerulus. These results demonstrate that synapse proliferation in antennal lobes of the adult worker bee is highly site specific. Although volumetric changes and changes in synapse number both contribute to the structural plasticity of the antennal lobes, these two components of plasticity appear to be independent processes.</t>
  </si>
  <si>
    <t>8514-8522</t>
  </si>
  <si>
    <t>Journal of Neuroscience</t>
  </si>
  <si>
    <t>60017311;;60017311;60017311</t>
  </si>
  <si>
    <t>13807960600;6603469043;7404237760;7102052083</t>
  </si>
  <si>
    <t>Brown, Sheena M.;Napper, Ruth M.;Thompson, Caryn M.;Mercer, Alison R.</t>
  </si>
  <si>
    <t>Dunedin</t>
  </si>
  <si>
    <t>University of Otago</t>
  </si>
  <si>
    <t>Brown S.M.</t>
  </si>
  <si>
    <t>Stereological analysis reveals striking differences in the structural plasticity of two readily identifiable glomeruli in the antennal lobes of the adult worker honeybee</t>
  </si>
  <si>
    <t>10.1523/jneurosci.22-19-08514.2002</t>
  </si>
  <si>
    <t>2-s2.0-0036812514</t>
  </si>
  <si>
    <t>['stimulated side', 'spontaneous recovery', 'slow component', 'sensory stimulus', 'provides evidence', 'pka cascade', 'pka activation', 'pharmacologically dissectible', 'observed throughout', 'nitric oxide', 'local manipulation', 'gradual increase', 'graded decline', 'corresponding side', 'behavioral response', 'associative learning', 'antennal lobe', 'animal kingdom', 'al contributes']</t>
  </si>
  <si>
    <t>Antennal lobes | CAMP-dependent protein kinase | Dishabituation | Habituation | Insect | Plasticity | Recovery from habituation | Second messenger</t>
  </si>
  <si>
    <t>Habituation, a form of non-associative learning, is observed throughout the animal kingdom. However, in contrast to associative learning, little is known about the underlying molecular mechanisms. Using the appetitive proboscis extension reflex in honeybees, we show that the cAMP-dependent protein kinase A (PKA) in the antennal lobe (AL) is implicated in the graded decline of behavioral response during habituation. Repeated stimulation leads to a slow and gradual increase in PKA activity superimposed on a fast transient PKA activation induced by each stimulus. These temporally distinct components of PKA activation are pharmacologically dissectible and are restricted to the AL on the stimulated side. Whereas the transient PKA activation induced by each stimulus requires monoaminergic transmission, the slow component of PKA activation is mediated by the nitric oxide (NO)/cGMP system. Local manipulation of the slow component of PKA activation in single ALs specifically interferes with the dynamic of habituation on the corresponding side. Our results provide strong evidence that NO/ cGMP-mediated PKA activation in each AL contributes to temporal signal integration during habituation. Dishabituation by a sensory stimulus or spontaneous recovery from habituation does not require the PKA cascade. This provides evidence that the mechanisms underlying dishabituation and spontaneous recovery differ from those underlying temporal signal integration during habituation of the proboscis extension response.</t>
  </si>
  <si>
    <t>8739-8747</t>
  </si>
  <si>
    <t>60030718;60018373</t>
  </si>
  <si>
    <t>57213782844;7005676226</t>
  </si>
  <si>
    <t>M√ºller, Uli;Hildebrandt, Herbert</t>
  </si>
  <si>
    <t>Berlin;Stuttgart</t>
  </si>
  <si>
    <t>Freie Universit√§t Berlin;Universit√§t Hohenheim</t>
  </si>
  <si>
    <t>M√ºller U.</t>
  </si>
  <si>
    <t>Nitric oxide/cGMP-mediated protein kinase A activation in the antennal lobes plays an important role in appetitive reflex habituation in the honeybee</t>
  </si>
  <si>
    <t>10.1523/jneurosci.22-19-08739.2002</t>
  </si>
  <si>
    <t>2-s2.0-0036813656</t>
  </si>
  <si>
    <t>['two terminals', 'temporal fadings', 'stationary receiver', 'local multi', 'human motion', 'fixed transmitter', 'empty room', 'either moving', 'antenna directivity', '2 ghz']</t>
  </si>
  <si>
    <t>Antenna directivity | Duration of fade | EHF band | Human motion | Indoor propagation | Level crossing rate | Path loss gradient</t>
  </si>
  <si>
    <t>This paper reports line-of-sight propagation measurements performed at 37.2 GHz between two terminals in an empty room in order to investigate the spatial and temporal fadings in terms of antenna directivity and human motion, respectively. The empirical data base consists of recordings of CW envelope fading waveforms with a fixed transmitter and either moving or stationary receiver. The reported results include amplitude fading distributions, propagation loss gradients, level crossing rates and fade durations statistics. These results can be used in the modeling, design reliable operation of local multi-point communication systems.</t>
  </si>
  <si>
    <t>Talbi, Larbi</t>
  </si>
  <si>
    <t>Gatineau</t>
  </si>
  <si>
    <t>Universit√© du Qu√©bec en Outaouais</t>
  </si>
  <si>
    <t>Talbi L.</t>
  </si>
  <si>
    <t>Spatial and temporal variations of the indoor wireless EHF channel</t>
  </si>
  <si>
    <t>10.1023/A:1020961625979</t>
  </si>
  <si>
    <t>2-s2.0-0036814750</t>
  </si>
  <si>
    <t>['wireless communications', 'virtual cell', 'vcn infrastructure', 'typically propagation', 'symbol diversity', 'svd ),', 'substantial knowledge', 'still present', 'spatial diversity', 'simulations give', 'several ways', 'results show', 'realistic performance', 'rate 1', 'qam compared', 'poor direction', 'path diversity', 'past years', 'paper describes', 'ofdm ).', 'n0 improvement', 'important factors', 'frequency band', 'distributed antennas', 'different levels', 'convolutional code', 'coded reference', 'channel characterization', 'architecture operating', 'add coherently']</t>
  </si>
  <si>
    <t>60 GHz | Beamforming | MIMO | Modified Saleh-Valenzuela model | OFDM | Virtual cellular network | WLAN</t>
  </si>
  <si>
    <t>During the past years, research covering propagation, channel characterization and wireless systems performance have yield a substantial knowledge of the 60 GHz channel. The unlicensed 60 GHz frequency band presents many attractive properties for wireless communications. The environments in which the 60 GHz infrastructure are to be designed are typically propagation- and coverage-limited. This paper describes the important factors that must be taken into account when designing a wireless local area network (WLAN) architecture operating in this frequency band. Therefore, we motivate the reasons of using distributed transmitting antennas and multiple receiving antennas (MRA) in order to mitigate the poor Direction of Arrival (DoA) diversity and to exploit the spatial diversity at the receiver. Such a system can be considered as a multiple input multiple output (MIMO) system. We investigate the advantages of combining a Virtual Cellular Network (VCN) (using single frequency network and distributed antennas) and MRA for the downlink. Several ways to combine the signals with different levels of complexity are presented. In the most complex case using Singular Value Decomposition (SVD), it is possible to add coherently the contribution of each antenna in a virtual cell while retaining the path diversity inherent to the VCN infrastructure. The schemes yield several advantages: symbol diversity is improved, path diversity is still present, antenna gain using multiple beamformers is increased and the multipath can be reduced. The concept is applicable to most types of single frequency networks but it is especially well appropriate for the 60 GHz VCN/WLAN using orthogonal frequency division multiplexing (OFDM). Simulations give a realistic performance for QPSK, 8-PSK, and 16-QAM baseband modulations with a 256-subcarrier OFDM using a rate 1/2-convolutional code for a 2 √ó 2 VCN system. Results show a Eb/N0 improvement of up to 6.2 dB using the singular value decomposition method with 16-QAM compared to the single input single output (SISO) coded reference.</t>
  </si>
  <si>
    <t>15-29</t>
  </si>
  <si>
    <t>60000990;60000990;60091252</t>
  </si>
  <si>
    <t>56243223900;25032095300;7102640968</t>
  </si>
  <si>
    <t>Flament, Maxime;Svensson, Arne;Cioffi, John M.</t>
  </si>
  <si>
    <t>Stanford;Gothenburg</t>
  </si>
  <si>
    <t>STAR Lab;Chalmers University of Technology</t>
  </si>
  <si>
    <t>60091252;60000990</t>
  </si>
  <si>
    <t>Flament M.</t>
  </si>
  <si>
    <t>Performance of 60 GHz virtual cellular networks using multiple receiving antennas</t>
  </si>
  <si>
    <t>10.1023/A:1020993005506</t>
  </si>
  <si>
    <t>2-s2.0-0036815459</t>
  </si>
  <si>
    <t>['wideband time', 'using snell', 'undulating interface', 'surface variations', 'surface topography', 'relatively smooth', 'radar returns', 'ppb algorithm', 'plane backpropagation', 'penetrating radar', 'paper describes', 'often advantageous', 'nonplanar interface', 'nonplanar air', 'nonnegligible distance', 'modified ppb', 'measurements taken', 'measurements must', 'incorrectly estimating', 'ground interface', 'echo ground', 'collected remotely', 'also formulated', 'acquired data', 'acquire pulse']</t>
  </si>
  <si>
    <t>Ground-penetrating radar | Microwave tomography | Synthetic aperture radar</t>
  </si>
  <si>
    <t>It is often advantageous to acquire pulse-echo ground-penetrating radar (GPR) measurements from antennas that are offset from the air-ground interface by a nonnegligible distance, either because the ground's surface is rough, or because measurements must be collected remotely. This paper describes the effects of incorrectly estimating the location of the air-ground interface on GPR images created with the plane-to-plane backpropagation (PPB) method. To compensate for a nonplanar air-ground interface, the wideband time-domain synthetic aperture method is reviewed and reformulated, using Snell's law of refraction, to account for measurements taken some distance above an undulating interface. A modification of the PPB algorithm that accounts for a nonplanar interface is also formulated, and examples of imaging with both methods are given to validate the algorithms' performance for surface variations that are relatively smooth with respect to the radar waveform wavelengths. Additionally, a method for inferring the surface topography from the radar returns is described. Finally, the modified PPB is demonstrated by imaging buried targets sensed in field-acquired data.</t>
  </si>
  <si>
    <t>2213-2223</t>
  </si>
  <si>
    <t>100324032;60009254</t>
  </si>
  <si>
    <t>36855964800;18036484200</t>
  </si>
  <si>
    <t>Walker, Paul D.;Bell, Mark R.</t>
  </si>
  <si>
    <t>West Lafayette;Ann Arbor</t>
  </si>
  <si>
    <t>Purdue University;Veridian Systems Division</t>
  </si>
  <si>
    <t>60009254;100324032</t>
  </si>
  <si>
    <t>Walker P.</t>
  </si>
  <si>
    <t>Noniterative techniques for GPR imaging through a nonplanar air-ground interface</t>
  </si>
  <si>
    <t>10.1109/TGRS.2002.802458</t>
  </si>
  <si>
    <t>2-s2.0-0036821332</t>
  </si>
  <si>
    <t>ECS-9819861</t>
  </si>
  <si>
    <t>['sleeve helix', 'sleeve around', 'resulting structure', 'parasitic wires', 'measured vswr', 'height reduction', 'good agreement', 'genetic algorithms', 'fabricated sleeve', 'computed data', 'cage monopole', 'bandwidth ratio', 'bandwidth enhancement', 'appropriate placement']</t>
  </si>
  <si>
    <t>Genetic algorithms | Helical antennas | Monopole antennas</t>
  </si>
  <si>
    <t>A sleeve-cage monopole has parasitic wire elements that form a sleeve around the driven cage antenna. Appropriate placement and dimensions of the wire parasites lead to bandwidth enhancement. Genetic algorithms and an integral equation solver are employed to determine the position and lengths of the parasitic wires in order to minimize voltage standing wave ratio (VSWR) over a band. The cage is replaced by a normal-mode quadrifilar helix for height reduction and the resulting structure is referred to as a sleeve helix. Measured VSWR and input impedance data are in good agreement with computed data. A fabricated sleeve-cage monopole has a bandwidth ratio of 4.4:1 and a sleeve helix has a bandwidth ratio of 3.5:1 for measured VSWR less than 3.5.</t>
  </si>
  <si>
    <t>1409-1414</t>
  </si>
  <si>
    <t>60026610;60026610</t>
  </si>
  <si>
    <t>7402159848;7201550943</t>
  </si>
  <si>
    <t>Rogers, Shawn D.;Butler, Chalmers M.</t>
  </si>
  <si>
    <t>Wide-band sleeve-cage and sleeve-helical antennas</t>
  </si>
  <si>
    <t>10.1109/TAP.2002.802168</t>
  </si>
  <si>
    <t>2-s2.0-0036821341</t>
  </si>
  <si>
    <t>['whole band', 'radiation patterns', 'proposed antenna', 'novel broad', 'conventional e', '9 %.', '8 %.']</t>
  </si>
  <si>
    <t>Broad-band antennas | Stacked microstrip antennas</t>
  </si>
  <si>
    <t>A novel broad-band stacked E-shaped patch antenna is proposed in this paper. The proposed antenna has the input impedance bandwidth of about 38.41%, better than the conventional E-shaped microstrip patch antenna, which has an input impedance bandwidth of 33.8%. Through the use of the washer on the probe of the stacked patch antenna, the input impedance bandwidth is improved further to 44.9%. The radiation patterns are found to be relatively constant throughout the whole band. Comparisons of these antennas are presented in this paper.</t>
  </si>
  <si>
    <t>1391-1395</t>
  </si>
  <si>
    <t>7202267270;7202726686;7102006113</t>
  </si>
  <si>
    <t>Ooi, Ban Leong;Qin, Shen;Leong, Mook Seng</t>
  </si>
  <si>
    <t>Ooi B.</t>
  </si>
  <si>
    <t>Novel design of broad-band stacked patch antenna</t>
  </si>
  <si>
    <t>10.1109/TAP.2002.802087</t>
  </si>
  <si>
    <t>2-s2.0-0036821353</t>
  </si>
  <si>
    <t>ECS-9901361</t>
  </si>
  <si>
    <t>['several methods', 'optimum locations', 'optimum location', 'optimization problem', 'indoor environment', 'final results', 'cost function']</t>
  </si>
  <si>
    <t>Indoor wireless communication | Optimization | Path loss | Propagation model</t>
  </si>
  <si>
    <t>When designing wireless communication systems, it is very important to know the optimum locations for the base station antennas. In this letter, a model has been developed to set up an optimization problem, the solution of which provides the information for the optimum location of the base station antennas particularly for an indoor environment. Several methods for the optimization of the cost function are presented and the final results are compared with each other. This methodology can be applied for the design and planning of location of base station antennas for indoor wireless communication systems. Two numerical examples have been presented to illustrate the application of this methodology.</t>
  </si>
  <si>
    <t>1481-1483</t>
  </si>
  <si>
    <t>60030551;60030551;60025084</t>
  </si>
  <si>
    <t>16047527600;55650323300;57199786286</t>
  </si>
  <si>
    <t>Ji, Zhong;Kumar Sarkar, Tapan;Li, Bin Hong</t>
  </si>
  <si>
    <t>United States;China</t>
  </si>
  <si>
    <t>Syracuse;Shanghai</t>
  </si>
  <si>
    <t>Syracuse University;Shanghai Jiao Tong University</t>
  </si>
  <si>
    <t>60030551;60025084</t>
  </si>
  <si>
    <t>Ji Z.</t>
  </si>
  <si>
    <t>Methods for optimizing the location of base stations for indoor wireless communications</t>
  </si>
  <si>
    <t>10.1109/TAP.2002.802155</t>
  </si>
  <si>
    <t>2-s2.0-0036821355</t>
  </si>
  <si>
    <t>F33615-95-D-1616-0002</t>
  </si>
  <si>
    <t>['thereby reducing', 'tapered sub', 'specified number', 'rf implementation', 'proposed method', 'nonadaptive beamformer', 'interference cancellation', 'fundamentally different', 'first k', 'designed using', 'design approach', 'beam space', 'adaptive processing']</t>
  </si>
  <si>
    <t>Adaptive arrays | Interference | Interference suppression | Subarrays</t>
  </si>
  <si>
    <t>A method for designing near optimal, tapered sub-arrays for adaptive interference cancellation is proposed. The design method simultaneously produces a complete ordered set of fixed beam definitions, or nonadaptive weight vectors. The designer may choose to implement the first K of these if he or she wishes to have exactly K adaptive weights. In other words, the digital-adaptive processing is done in beam space, such that the beams are designed using the proposed method. To facilitate a RF implementation of the nonadaptive beamformer, each auxiliary beam uses only a designer-specified number of the elements in the aperture, thereby reducing the number of waveguide connections required. This design approach is fundamentally different from conventional subarray design approaches in that the new designs utilize cost functions related to interference cancellation.</t>
  </si>
  <si>
    <t>1453-1459</t>
  </si>
  <si>
    <t>102061139;60021032</t>
  </si>
  <si>
    <t>54680371800;7101699285</t>
  </si>
  <si>
    <t>Yang, Ho;Ingram, Mary Ann</t>
  </si>
  <si>
    <t>Atlanta;San Jose</t>
  </si>
  <si>
    <t>Georgia Institute of Technology;Nixxo Technologies, Inc.</t>
  </si>
  <si>
    <t>60021032;102061139</t>
  </si>
  <si>
    <t>Subarray design for adaptive interference cancellation</t>
  </si>
  <si>
    <t>10.1109/TAP.2002.801391</t>
  </si>
  <si>
    <t>2-s2.0-0036821369</t>
  </si>
  <si>
    <t>['two scenarios', 'rotating antenna', 'proposed method', 'proposed estimator', 'multiple targets', 'maximum likelihood', 'like approach', 'exploiting knowledge', 'difference channel', 'crlb ).']</t>
  </si>
  <si>
    <t>We propose a beamsplitting-like approach to estimate the directions of arrival (DOA) of multiple radar targets present in the mainlobe of a rotating antenna. The proposed method is based on the maximum likelihood (ML) technique and it avoids the need for a difference channel by exploiting knowledge of the antenna main beam pattern. Two scenarios are considered: multiple targets with unknown deterministic complex amplitudes and multiple targets with Gaussian distributed random complex amplitudes. The performance of the proposed estimator is investigated through Monte Carlo simulation and it is compared with the Cram√©r-Rao lower bound (CRLB).</t>
  </si>
  <si>
    <t>1276-1286</t>
  </si>
  <si>
    <t>60073283;60028868;60028868</t>
  </si>
  <si>
    <t>57202472103;55257576900;7201504182</t>
  </si>
  <si>
    <t>Farina, Alfonso;Gini, Fulvio;Greco, Maria</t>
  </si>
  <si>
    <t>Rome;Pisa</t>
  </si>
  <si>
    <t>Alenia Aeronautica;Universit√† di Pisa</t>
  </si>
  <si>
    <t>60073283;60028868</t>
  </si>
  <si>
    <t>DOA estimation by exploiting the amplitude modulation induced by antenna scanning</t>
  </si>
  <si>
    <t>10.1109/TAES.2002.1145749</t>
  </si>
  <si>
    <t>2-s2.0-0036821521</t>
  </si>
  <si>
    <t>['target area', 'straight path', 'side acceleration', 'sar resolution', 'sar image', 'mapping rate', 'mapping geometry', 'line sar']</t>
  </si>
  <si>
    <t>Curved path | Defocusing | Resolution | SAR</t>
  </si>
  <si>
    <t>Synthetic aperture radar (SAR) mapping is usually performed along a straight path. Curved paths away from the target area will increase the mapping rate significantly. Drawbacks are more complex signal processing and decreased azimuth resolution due to the reduced dwell time. In this paper, curved SAR mapping is analyzed in more detail, including squinted beam geometry. Relationships are derived how the SAR resolution and mapping rate are influenced by the curved SAR path. The nonlinear phase error, which defocuses the SAR image, is more accentuated than for straight-line SAR, in particular at squinted observation angles. Simulation examples show how the nonlinear phase error depends on side acceleration and mapping geometry after scene center motion compensation.</t>
  </si>
  <si>
    <t>2224-2228</t>
  </si>
  <si>
    <t>Axelsson, Sune R.J.</t>
  </si>
  <si>
    <t>Axelsson S.</t>
  </si>
  <si>
    <t>Mapping performance of curved-path SAR</t>
  </si>
  <si>
    <t>10.1109/TGRS.2002.803740</t>
  </si>
  <si>
    <t>2-s2.0-0036821664</t>
  </si>
  <si>
    <t>Ministerie van Economische Zaken</t>
  </si>
  <si>
    <t>EZ</t>
  </si>
  <si>
    <t>['time ringing', 'penetrating radar', 'new modification', 'metal flairs', 'landmine detection', 'horn antenna', 'gpr system', 'domain model', 'different types', 'difference time', 'dielectric wedge']</t>
  </si>
  <si>
    <t>Finite-difference time-domain (FDTD) | Ground penetrating radar | TEM-horn antenna | Transient antenna | Ultra-wideband antenna</t>
  </si>
  <si>
    <t>A new modification of the TEM-horn antenna has been developed for ground-penetrating radar (GPR) applications. The antenna is based on a dielectric wedge, and thus, was named the dielectric wedge antenna. Tapering of the metal flairs has been used to match the antenna to the ground and to reduce the late-time ringing. The finite-difference time-domain model of the antenna has been created to investigate physical processes within the antenna and to optimize its performance. The dielectric wedge antenna has shown a superior (in comparison with the TEM-horn) performance by radiation in different types of the ground and has been used in a novel antenna configuration within a GPR system, which is dedicated for landmine detection.</t>
  </si>
  <si>
    <t>1460-1472</t>
  </si>
  <si>
    <t>60006288;60097378;60097378;60006288</t>
  </si>
  <si>
    <t>Yarovoy, Alexander G.;Schukin, Alexander D.;Kaploun, Igor V.;Ligthart, Leo P.</t>
  </si>
  <si>
    <t>The dielectric wedge antenna</t>
  </si>
  <si>
    <t>10.1109/TAP.2002.803968</t>
  </si>
  <si>
    <t>2-s2.0-0036821680</t>
  </si>
  <si>
    <t>['resonant frequency', 'metallic cap', '6 %.']</t>
  </si>
  <si>
    <t>Dielectric antennas | Loaded antennas</t>
  </si>
  <si>
    <t>By covering a cylindrical dielectric resonator antenna with a metallic cap, the resonant frequency of the antenna can be reduced by 30.6%. The result finds applications in designing small antennas for wireless communication systems.</t>
  </si>
  <si>
    <t>1485-1487</t>
  </si>
  <si>
    <t>56143045200;55510527400;56415172000;57206566319</t>
  </si>
  <si>
    <t>Lee, M. T.;Luk, K. M.;Leung, K. W.;Leung, M. K.</t>
  </si>
  <si>
    <t>A small dielectric resonator antenna</t>
  </si>
  <si>
    <t>10.1109/TAP.2002.806539</t>
  </si>
  <si>
    <t>2-s2.0-0036821683</t>
  </si>
  <si>
    <t>['square loop', 'small gap', 'radiation pattern', 'phase difference', 'numerical simulation', 'novel wire', 'necessary conditions', 'loop antenna', 'experimental results', 'design frequency', 'demonstrator operating', 'circular polarization', 'broad beamwidth', 'analyzed based', '1 ghz']</t>
  </si>
  <si>
    <t>Circular polarization | Loop antenna | Wire antenna</t>
  </si>
  <si>
    <t>A novel wire-loop antenna is introduced for circular polarization. By introducing a small gap at the middle of two nonradiating sides of a one-wavelength square wire loop, a 90¬∞ time-phase difference between the currents on the other two radiating sides can be achieved. Then by twisting the square loop to make the radiating sides orthogonal the necessary conditions are satisfied for circularly polarized radiation. The antenna yields nearly ideally circular polarization at broadside as well as excellent input impedance properties near the design frequency. The radiation pattern has a broad beamwidth and good rotational symmetry about the axis. For a demonstrator operating at 1 GHz, a 3-dB axial ratio was maintained over ¬±30¬∞. The mechanism of circular polarization is analyzed based on numerical simulation. Experimental results are presented to verify the theoretical predictions made.</t>
  </si>
  <si>
    <t>1377-1381</t>
  </si>
  <si>
    <t>Li, Rong Lin;Fusco, Vincent F.</t>
  </si>
  <si>
    <t>Circularly polarized twisted loop antenna</t>
  </si>
  <si>
    <t>10.1109/TAP.2002.802158</t>
  </si>
  <si>
    <t>2-s2.0-0036821688</t>
  </si>
  <si>
    <t>['simulation results', 'narrow slot', 'given followed', 'dielectric resonator', 'desired frequency', 'cpw ).', 'coplanar waveguide', 'achieve resonance', 'accurate design']</t>
  </si>
  <si>
    <t>Coplanar waveguide (CPW) | Dielectric resonators | Measurement | Radiation</t>
  </si>
  <si>
    <t>A novel coupling scheme to rectangular dielectric resonator antenna is proposed and investigated. In particular, coupling to the resonator is achieved through narrow slot at the end of a coplanar waveguide (CPW). The objectives of this design are to maximize the coupling, match the dielectric resonator to the CPW feed line, achieve resonance at the desired frequency, obtain linear polarization with low-cross polarization components, and minimize back radiation without using back conductor. An approximate and quick design approach is given followed by more accurate design and analysis using commercial software. The antenna was fabricated and tested. Measurements match well with simulation results.</t>
  </si>
  <si>
    <t>1415-1419</t>
  </si>
  <si>
    <t>60051534;60026338;60007248</t>
  </si>
  <si>
    <t>6603635222;35566584200;7003337590</t>
  </si>
  <si>
    <t>Al Salameh, M. S.;Antar, Yahia M.M.;S√©guin, Guy</t>
  </si>
  <si>
    <t>Jordan;Canada;Canada</t>
  </si>
  <si>
    <t>Irbid;Kingston;Longueuil</t>
  </si>
  <si>
    <t>Jordan University of Science and Technology;Royal Military College of Canada;Canadian Space Agency</t>
  </si>
  <si>
    <t>Al Salameh M.</t>
  </si>
  <si>
    <t>Coplanar-waveguide-fed slot-coupled rectangular dielectric resonator antenna</t>
  </si>
  <si>
    <t>10.1109/TAP.2002.802097</t>
  </si>
  <si>
    <t>2-s2.0-0036821698</t>
  </si>
  <si>
    <t>ST175</t>
  </si>
  <si>
    <t>['theoretical appraisal', 'specific recommendations', 'retransmission response', 'real components', 'quantified experimentally', 'paper allows', 'occur due', 'mutual coupling', 'insights provided', 'first comprehensive', 'element rda', 'design limitations', 'deleterious effects', 'behavioral characteristics']</t>
  </si>
  <si>
    <t>Active array | Retrodirective antenna</t>
  </si>
  <si>
    <t>We examine the behavioral characteristics of PON type heterodyne retrodirective arrays (RDAs) and provide a simple, yet comprehensive modeling equation that allows the retransmission response of the RDA to be determined. Using the modeling philosophy developed, the optimum array size required for a prespecified beam pointing error is determined. Then, deleterious effects such as mixer-leakage, phase-conjugate circuit gain imbalance, and cable phase error that occur due to the presence of real components are quantified experimentally for a four-element RDA, these are then correlated with theory. Specific recommendations on the permissible tolerances allowable for these parameters are given in order to assist design specification adherence. In addition, it is shown in theory and confirmed by measurement, how radiation element aberration due to diffraction and mutual coupling can be used to enhance the azimuthal tracking response of the array. This paper allows the first comprehensive, practical, and theoretical appraisal of the design limitations that exist for this type of array. The insights provided by this paper should be of value to practicing antenna engineers.</t>
  </si>
  <si>
    <t>1425-1432</t>
  </si>
  <si>
    <t>7004398421;7102894931;7101716005</t>
  </si>
  <si>
    <t>Toh, Bee Yen;Fusco, Vincent F.;Buchanan, Niel B.</t>
  </si>
  <si>
    <t>Toh B.</t>
  </si>
  <si>
    <t>Assessment of performance limitations of PON retrodirective arrays</t>
  </si>
  <si>
    <t>10.1109/TAP.2002.802089</t>
  </si>
  <si>
    <t>2-s2.0-0036821699</t>
  </si>
  <si>
    <t>['upper limit', 'track translation', 'track displacements', 'theoretical predictions', 'ping estimates', 'ping cross', 'p increases', 'number p', 'lower bounds', 'khz sonar', 'higher accuracy', 'experimental results', 'elementary ping', 'dpca sway', 'displaced phase', 'center antenna', 'bounds set', 'beampattern specification', 'accuracy required', '20 microns']</t>
  </si>
  <si>
    <t>Correlation | Sonar navigation | Synthetic aperture sonar (SAS)</t>
  </si>
  <si>
    <t>The Cram√©r-Rao lower bounds on the cross-track translation and rotation of a displaced phase-center antenna (DPCA) in the slant range plane between two successive pings (known as DPCA sway and yaw in what follows) are computed, assuming statistically homogeneous backscatter. These bounds are validated using experimental data from a 118-182-kHz sonar, showing an accuracy of the order of 20 microns on the ping-to-ping cross-track displacements. Next, the accuracy required on the DPCA sway and yaw in order to achieve a given synthetic aperture sonar (SAS) beampattern specification, specified by the expected SAS array gain, is computed as a function of the number P of pings in the SAS. Higher accuracy is required when P increases to counter the accumulation of errors during the integration of the elementary ping-to-ping estimates: the standard deviation must decrease as P-1/2 for the DPCA sway and P-3/2 for the yaw. Finally, by combining the above results, the lower bounds on DPCA micronavigation accuracy are established. These bounds set an upper limit to the SAS length achievable in practice. The maximum gain Q in cross-range resolution achievable by a DPCA micronavigated SAS is computed as a function of the key SAS parameters. These theoretical predictions are compared with simulations and experimental results.</t>
  </si>
  <si>
    <t>780-789</t>
  </si>
  <si>
    <t>IEEE Journal of Oceanic Engineering</t>
  </si>
  <si>
    <t>60004559-60022148;60004559</t>
  </si>
  <si>
    <t>56617240200;7202889624</t>
  </si>
  <si>
    <t>Bellettini, Andrea;Pinto, Marc A.</t>
  </si>
  <si>
    <t>United Kingdom;Italy</t>
  </si>
  <si>
    <t>London;La Spezia</t>
  </si>
  <si>
    <t>University College London;NATO Undersea Research Centre</t>
  </si>
  <si>
    <t>60022148;60004559</t>
  </si>
  <si>
    <t>Bellettini A.</t>
  </si>
  <si>
    <t>Theoretical accuracy of synthetic aperture sonar micronavigation using a displaced phase-center antenna</t>
  </si>
  <si>
    <t>10.1109/JOE.2002.805096</t>
  </si>
  <si>
    <t>2-s2.0-0036821922</t>
  </si>
  <si>
    <t>['thin single', 'theoretical results', 'systematical study', 'substantially better', 'similar dual', 'polarized corner', 'polarized arrays', 'polarization patterns', 'polarization level', 'new dual', 'layer structure', 'impedance matrices', 'good agreement', 'fed patches', 'experimental results', 'experimental ones', 'emnm ).', 'conventional edge', 'arrays achieve', 'antenna element', 'analyzed based', 'also analyzed']</t>
  </si>
  <si>
    <t>Antenna array | Impedance | Isolation | Microstrip antenna | Patterns | Polarization</t>
  </si>
  <si>
    <t>A systematical study on the dual-polarized corner-fed microstrip antenna element and arrays with thin single-layer structure is presented. The impedance matrices and S-parameters of the element and arrays are investigated by the proposed extended multiport network method (EMNM). The co- and cross-polarization patterns are also analyzed. It is shown that this kind of antenna element has the isolation about 10 dB higher than that of a conventional edge-fed square patch. A series of new dual-polarized arrays of corner-fed patches have been designed and analyzed based on the EMNM. The experimental results of five arrays indicate that these arrays achieve the isolation of 27‚àº38 dB with maximum of higher than 28‚àº58 dB and the cross-polarization level of lower than -23‚àº -30 at boresight, which are substantially better than those of similar dual-polarized arrays of edge-fed patches. All theoretical results are in good agreement with experimental ones.</t>
  </si>
  <si>
    <t>1473-1480</t>
  </si>
  <si>
    <t>60023813;60023813;60023813;60023813</t>
  </si>
  <si>
    <t>7202152603;25650927100;7403257414;7401811428</t>
  </si>
  <si>
    <t>Zhong, Shun Shi;Yang, Xue Xia;Gao, Shi Chang;Cui, Jun Hai</t>
  </si>
  <si>
    <t>Shanghai</t>
  </si>
  <si>
    <t>Shanghai University</t>
  </si>
  <si>
    <t>Zhong S.</t>
  </si>
  <si>
    <t>Corner-fed microstrip antenna element and arrays for dual-polarization operation</t>
  </si>
  <si>
    <t>10.1109/TAP.2002.801289</t>
  </si>
  <si>
    <t>2-s2.0-0036821962</t>
  </si>
  <si>
    <t>['wind vector', 'wind measurement', 'wave height', 'sea surface', 'sea interaction', 'scatter characteristics', 'rescue operations', 'radar designed', 'provide safety', 'obtained result', 'mostly narrow', 'microwave narrow', 'measuring algorithms', 'many studies', 'looking wide', 'hydroplane landing', 'flying apparatus', 'doppler filtering', 'considerable size', 'coastal areas', 'climate change', 'beam antennas', 'beam antenna']</t>
  </si>
  <si>
    <t>Backscattering | Radar altimeter | Sea wind retrieval</t>
  </si>
  <si>
    <t>A pilot needs operational information about wind over sea as well as wave height to provide safety for a hydroplane landing on water. Near-surface wind speed and direction can be obtained with an airborne microwave scatterometer, a radar designed for measuring the scatter characteristics of a surface. Mostly narrow-beam antennas are applied for such wind measurement. Unfortunately, a microwave narrow-beam antenna has considerable size that hampers its placement on flying apparatus. In this connection, a possibility to apply a conventional airborne radar altimeter as a scatterometer with a nadir-looking wide-beam antenna in conjunction with Doppler filtering for recovering the wind vector over sea is discussed, and measuring algorithms of sea surface wind speed and direction are proposed. The obtained result can be interesting for many studies in oceanography, meteorology, air-sea interaction, and climate change and for creation of an airborne radar system for amphibious airplane safe landing on the sea surface, in particular for search and rescue operations in coastal areas.</t>
  </si>
  <si>
    <t>2111-2116</t>
  </si>
  <si>
    <t>Nekrassov, Alexei</t>
  </si>
  <si>
    <t>Rostov-on-Don</t>
  </si>
  <si>
    <t>Southern Federal University</t>
  </si>
  <si>
    <t>On airborne measurement of the sea surface wind vector by a scatterometer (altimeter) with a nadir-looking wide-beam antenna</t>
  </si>
  <si>
    <t>10.1109/TGRS.2002.803621</t>
  </si>
  <si>
    <t>2-s2.0-0036822028</t>
  </si>
  <si>
    <t>['wave antenna', 'total length', 'printed wire', 'nonresonant traveling', '5 db']</t>
  </si>
  <si>
    <t>Circular polarization | Method of moments (MOM) | Printed antenna</t>
  </si>
  <si>
    <t>A new printed wire antenna with circular polarization properties is presented. The geometry of the printed wire which takes the form of a figure-of-eight has a total length of 1.3Œª0 and serves as a nonresonant traveling-wave antenna. It is shown that a 3-dB axial ratio bandwidth of 15% can be achieved. The half-power and 3-dB axial ratio beamwidth is approximately ¬±45¬∞, while its gain is of the order of 6.5 dB.</t>
  </si>
  <si>
    <t>1487-1490</t>
  </si>
  <si>
    <t>Printed figure-of-eight wire antenna for circular polarization</t>
  </si>
  <si>
    <t>10.1109/TAP.2002.802169</t>
  </si>
  <si>
    <t>2-s2.0-0036822029</t>
  </si>
  <si>
    <t>['various constraints', 'orthogonal perturbation', 'orthogonal method', 'element type', 'computer tool', 'case study', 'array geometry', 'academic classroom']</t>
  </si>
  <si>
    <t>Antenna arrays | Antenna radiation patterns | Linear arrays</t>
  </si>
  <si>
    <t>A computer tool (ORAMA) for the synthesis of linear antenna arrays is presented. The Orthogonal Method (OM) and the Orthogonal Perturbation (OP) Method are used. The Orthogonal Method derives the excitations of the elements of the array, while the Orthogonal Perturbation Method quantizes the excitation and determines the position of the elements. The user has the options to select the array geometry, the case study for a specific desired pattern, the method to be used, and the element type. Several design cases with various constraints are presented. ORAMA [a demo of the software is available at http://rcl.physics.auth.gr] has been designed as a Windows MDI application for the academic classroom, as well as for professional antenna engineers. A set of examples for different array patterns shows the usefulness of the tool.</t>
  </si>
  <si>
    <t>62-74</t>
  </si>
  <si>
    <t>60015331;60015331;60015331;60015331;60015331</t>
  </si>
  <si>
    <t>6602797923;55949432800;6505473298;22995779600;7005683394</t>
  </si>
  <si>
    <t>Miaris, G. S.;Goudos, S. K.;Lakovidis, Chr;Vafiadis, E.;Sahalos, J. N.</t>
  </si>
  <si>
    <t>Miaris G.</t>
  </si>
  <si>
    <t>Orthogonal advanced methods for antennas: The ORAMA computer tool</t>
  </si>
  <si>
    <t>10.1109/MAP.2002.1077777</t>
  </si>
  <si>
    <t>2-s2.0-0036822236</t>
  </si>
  <si>
    <t>['wireless systems', 'wideband operation', 'wide bandwidth', 'slot antenna', 'return loss', 'radiation pattern', 'proposed designs', 'patch dimensions', 'parametric study', 'operating frequency', 'input impedance', 'easily tuned', 'coplanar waveguide', 'coplanar patch', 'antenna designs', 'also introduced', '75 ghz']</t>
  </si>
  <si>
    <t>Coplanar waveguides | Microstrip antennas | Slot antennas | Wideband antennas | Wireless LAN</t>
  </si>
  <si>
    <t>Antenna designs were achieved for wideband operation by the use of a coplanar patch-slot antenna, fed by a coplanar waveguide. This design is easily tuned to operate at 2.45 and 5.75 GHz, with wide bandwidth for wireless systems. The operating frequency is controlled by modifying the patch dimensions. The return loss, input impedance, radiation pattern, directivity, gain, and efficiency of the proposed designs are computed and presented. A parametric study of the antenna is also introduced.</t>
  </si>
  <si>
    <t>146-155</t>
  </si>
  <si>
    <t>60010491;60010491;60010491;60010491</t>
  </si>
  <si>
    <t>6603341974;7005949569;35556538100;7501501369</t>
  </si>
  <si>
    <t>Eldek, Abdelnasser A.;Elsherbeni, Atef Z.;Smith, Charles E.;Lee, Kai Fong</t>
  </si>
  <si>
    <t>Eldek A.A.</t>
  </si>
  <si>
    <t>Wideband rectangular slot antenna for personal wireless communication systems</t>
  </si>
  <si>
    <t>10.1109/MAP.2002.1077794</t>
  </si>
  <si>
    <t>2-s2.0-0036822237</t>
  </si>
  <si>
    <t>['without regard', 'typical trends', 'size small', 'sar problems', 'recent progress', 'rapid increase', 'performance due', 'particular considerations', 'mobile terminals', 'mobile systems', 'integration technology', 'future structures', 'future perspective', 'existing near', 'etc .,', 'equipment case', 'design concept', 'conventional design', 'conducting material', 'changed along', 'body effect', 'antenna technology', 'antenna systems', 'antenna system', 'antenna element', 'advanced concept', 'adaptive control']</t>
  </si>
  <si>
    <t>Antenna proximity factors | Antennas | Electromagnetic radiation effects | Land mobile radio cellular equipment | Land mobile radio cellular systems | Portable radio communication | Telephone sets</t>
  </si>
  <si>
    <t>With the recent progress and rapid increase in mobile terminals, the design of antennas for small mobile terminals is acquiring great importance. In view of this situation, the design concept of antenna systems for small mobile terminals and its future perspective are discussed, referring to the trends in modern mobile communications and the demands for the antenna system. The design concept of antenna systems has changed along with the progress of mobile systems. In the conventional design, the conducting material of the equipment case, existing near the antenna element, is included as a part of the radiator in the antenna system, without regard to whether or not it has been considered. In the latest mobile phones, the design concept has been advanced to aim at improving the antenna's performance, and the treatment of the case, etc., has become a part of this. Some particular considerations for the design are to relieve the degradation of the antenna's performance due to the human-body effect, to overcome the SAR problems, and yet to make the size small. Furthermore, it is now time to proceed to the more-advanced concept, in which implementation of adaptive control and software is considered, even in small mobile terminals. Typical trends in modern communications systems are discussed, and the demands of these trends - which are summarized as down-sizing, function, and intelligence - are taken up for future antenna structures. Small-antenna technology and the application of the integration technology to antenna systems are essential for realizing such future structures.</t>
  </si>
  <si>
    <t>30-43</t>
  </si>
  <si>
    <t>60004176;60004176;60014256</t>
  </si>
  <si>
    <t>35595653100;57193733851;7403304145</t>
  </si>
  <si>
    <t>Morishita, Hisashi;Kim, Yongho;Fujimoto, Kyohei</t>
  </si>
  <si>
    <t>Tsukuba;Yokosuka</t>
  </si>
  <si>
    <t>University of Tsukuba;National Defense Academy of Japan</t>
  </si>
  <si>
    <t>60014256;60004176</t>
  </si>
  <si>
    <t>Design concept of antennas for small mobile terminals and the future perspective</t>
  </si>
  <si>
    <t>10.1109/MAP.2002.1077775</t>
  </si>
  <si>
    <t>2-s2.0-0036822245</t>
  </si>
  <si>
    <t>['tribe nematopodini', 'stenoquintius reclusa', 'stenoquintius matogrossensis', 'nematopus berthold', 'nectoquintius alajuelensis', 'hind legs', 'costa rica', 'coreidae ),']</t>
  </si>
  <si>
    <t>Coreidae | Hemiptera | Heteroptera | Insecta | Nematopodini | Neotropical region | New genera | New species</t>
  </si>
  <si>
    <t>Two new genera (Nectoquintius and Stenoquintius) and three new species (Nectoquintius alajuelensis, Stenoquintius matogrossensis, and Stenoquintius reclusa) from Brasil, Costa Rica, Ecuador and Venezuela are described in the tribe Nematopodini (Coreidae), and compared with the related genera Grammopoecilus St√•l, Nematopus Berthold, Quintius St√•l, and Saguntus St√•l. Dorsal habitus illustrations and drawings of antennae, hind legs, and male genital capsule are provided.</t>
  </si>
  <si>
    <t>265-275</t>
  </si>
  <si>
    <t>Pan-Pacific Entomologist</t>
  </si>
  <si>
    <t>60032442;60032442</t>
  </si>
  <si>
    <t>7005433349;7005033686</t>
  </si>
  <si>
    <t>Brailovsky, Harry;Barrera, Ernesto</t>
  </si>
  <si>
    <t>New genera and new species of neotropical nematopodini (Hemiptera: Heteroptera: Coreidae: Coreinae)</t>
  </si>
  <si>
    <t>2-s2.0-0036822432</t>
  </si>
  <si>
    <t>['two dipoles', 'pulsed communications', 'numerical values', 'matching source', 'load resistors', 'link loss', 'frequency domain', 'fourier transform', 'familiar frequency', 'domain results', 'domain expression', 'distance away', 'bandwidth communications']</t>
  </si>
  <si>
    <t>Dipole antennas | Electromagnetic radiation | Link loss | Pulse excited antennas | Pulse modulation | Pulsed communications | Radio communication | Time domain analysis | Ultra-wide bandwidth</t>
  </si>
  <si>
    <t>A time-domain expression for characterizing a link between two dipole antennas is derived by considering the Fourier transform of the familiar frequency-domain results. The expression is evaluated for the case of a pulse-excited transmitting dipole and a similar receiving dipole some distance away, and examples are shown for pulsed communications between these two dipoles. Reflection-matching source and load resistors are used, and the link loss is compared to that between the same two dipoles in the frequency domain. Numerical values are given for characterizing a pair of 2 m center-fed dipoles 100 m apart. The potential for ultra-wide-bandwidth communications between dipoles is demonstrated.</t>
  </si>
  <si>
    <t>75-82</t>
  </si>
  <si>
    <t>Bantin, Colin C.</t>
  </si>
  <si>
    <t>C.C. Bantin and Associates Ltd.</t>
  </si>
  <si>
    <t>Bantin C.</t>
  </si>
  <si>
    <t>Pulsed communications link between two dipoles</t>
  </si>
  <si>
    <t>10.1109/MAP.2002.1077778</t>
  </si>
  <si>
    <t>2-s2.0-0036822747</t>
  </si>
  <si>
    <t>['thick substrates', 'relative permittivity', 'hand calculator', 'form expressions', 'accurately computing']</t>
  </si>
  <si>
    <t>Antenna directivity | Antenna radiation patterns | Cylindrical antennas | Microstrip antennas | Radiation conductance</t>
  </si>
  <si>
    <t>We present two sets of simple, closed-form expressions for accurately computing the directivity of a circular microstrip antenna on thin and thick substrates of any relative permittivity. These expressions are useful for computation by a hand calculator and, therefore, useful to a practical antenna designer.</t>
  </si>
  <si>
    <t xml:space="preserve">Verma, K.;Nasimuddin, </t>
  </si>
  <si>
    <t>Verma K.</t>
  </si>
  <si>
    <t>Simple expressions for the directivity of a circular microstrip antenna</t>
  </si>
  <si>
    <t>10.1109/MAP.2002.1077780</t>
  </si>
  <si>
    <t>2-s2.0-0036822748</t>
  </si>
  <si>
    <t>TIC97-0821</t>
  </si>
  <si>
    <t>['usually ships', 'paper presents', 'one hand', 'numerical results', 'modeled using', 'integrated approach', 'hybrid method', 'growing number', 'electromagnetic threats', 'electromagnetic methodology', 'electromagnetic analysis', 'complex platforms', 'combining method', 'aided design']</t>
  </si>
  <si>
    <t>Antenna proximity factors | Antenna radiation patterns | Electromagnetic compatibility | Electromagnetic radiation effects | Electromagnetic scattering | HF antennas | Hybrid methods | Moment methods | Onboard antennas | Physical optics | VHF antennas</t>
  </si>
  <si>
    <t>The increasing operational requirements in modern naval units imply a growing number of onboard radiating systems and, at the same time, impose increasing requirements for survivability against electromagnetic threats. This paper presents a new and integrated approach for analyzing and controlling the electromagnetic-compatibility (EMC) performance of radiating systems mounted on complex platforms. The platforms (usually ships) are modeled using any computer-aided design (CAD) package. The electromagnetic analysis is based on a hybrid method, combining Method-of-Moments (MoM) and Physical-Optics (PO) techniques. The aim of this paper is two-fold: On the one hand, we show the electromagnetic methodology; and on the other, we describe the engineering, focusing on some new and interesting aspects concerning both implementation and numerical results.</t>
  </si>
  <si>
    <t>44-61</t>
  </si>
  <si>
    <t>60026134;60026134;60026134;60026134</t>
  </si>
  <si>
    <t>7003784434;7006470289;7404696540;6505962107</t>
  </si>
  <si>
    <t>Obelleiro, F.;Taboada, J. M.;Rodr√≠guez, J. L.;B√©rtolo, J. M.</t>
  </si>
  <si>
    <t>HEMCUVI: A software package for the electromagnetic analysis and design of radiating systems on board real platforms</t>
  </si>
  <si>
    <t>10.1109/MAP.2002.1077776</t>
  </si>
  <si>
    <t>2-s2.0-0036822763</t>
  </si>
  <si>
    <t>Instituto Nacional de T√©cnica Aeroespacial</t>
  </si>
  <si>
    <t>INTA</t>
  </si>
  <si>
    <t>['would save', 'steerable beams', 'receiving bands', 'paper describes', 'feed network', 'beam specifications']</t>
  </si>
  <si>
    <t>Antenna arrays | Antenna radiation patterns | Array signal processing | Satellite antennas | Satellite communication</t>
  </si>
  <si>
    <t>Given the frequencies of the transmitting and receiving bands, and the desired coverage angles and directivities of the steerable beams, it was estimated that it would be possible to achieve a solution with an antenna of about 60√ó60 cm in size. By simplifying the feed network, this would save both expense and weight. This paper describes the process by which an antenna synthesis problem was tackled, given certain hardware possibilities and beam specifications.</t>
  </si>
  <si>
    <t>60028419;60028419;60026134;60028419</t>
  </si>
  <si>
    <t>57217764562;7006865572;7006386299;7202825573</t>
  </si>
  <si>
    <t>Rodriguez, J. A.;Ares, F.;Pino, A. G.;Moreno, E.</t>
  </si>
  <si>
    <t>Santiago de Compostela;Vigo</t>
  </si>
  <si>
    <t>Universidad de Santiago de Compostela;Universidade de Vigo</t>
  </si>
  <si>
    <t>60028419;60026134</t>
  </si>
  <si>
    <t>Rodriguez J.A.</t>
  </si>
  <si>
    <t>Synthesis of a geostationary antenna with eight independently variable beams</t>
  </si>
  <si>
    <t>10.1109/MAP.2002.1077774</t>
  </si>
  <si>
    <t>2-s2.0-0036822832</t>
  </si>
  <si>
    <t>['sufficiently accurate', 'radiation integrals', 'radiation characteristics', 'possible applications', 'microstrip antennas', 'antenna theory', 'analytical solution']</t>
  </si>
  <si>
    <t>Analytical methods | Antenna theory | Bessel functions | Circular loop antenna | Circular microstrip antenna | Cylindrical antennas | Directivity | Loop antennas | Microstrip antennas | Power radiation integrals | Radiation resistance</t>
  </si>
  <si>
    <t>A novel analytical solution for a class of power-radiation integrals, arising in antenna theory, is presented. These integrals are then applied to the analysis of circular-loop and circular-microstrip antennas, and the results are compared to published results obtained using numerical integration. The analytical solution is shown to be sufficiently accurate and efficient for the calculation of the radiation characteristics of these types of antennas. Possible applications to other types of antennas are discussed.</t>
  </si>
  <si>
    <t>Savov, Sava V.</t>
  </si>
  <si>
    <t>Savov S.</t>
  </si>
  <si>
    <t>An efficient solution of a class of integrals arising in antenna theory</t>
  </si>
  <si>
    <t>10.1109/MAP.2002.1077781</t>
  </si>
  <si>
    <t>2-s2.0-0036822833</t>
  </si>
  <si>
    <t>['several tens', 'scattered field', 'reflector antennas', 'presence causes', 'polar level', 'po analysis', 'passive intermodulation', 'may rise', 'junction problem', 'heuristic model', 'communication antenna', 'astronomy antenna', 'antenna parameters', 'antenna design', 'analytical model']</t>
  </si>
  <si>
    <t>Electromagnetic scattering by nonlinear media | Intermodulation distortion | Passive intermodulation | Physical optics | Radio astronomy | Reflector antennas | Satellite communication | Time domain analysis</t>
  </si>
  <si>
    <t>In this work, an analytical model for the study of passive intermodulation (PIM) on large reflector antennas is presented. Passive intermodulation, in the scattered field, arises when the scatterer is nonlinear, or when it presents junctions connecting linear materials. Its presence causes a degradation of some antenna parameters and, especially, the cross-polar level, which may rise by several tens of dB. It would then be useful to develop a technique to predict its influence, in order to take appropriate steps during antenna design. A heuristic model for the junction problem has recently been derived and validated with measurements in a Time-Domain Physical Optics (TD-PO) framework. These results are applied here to a TD-PO analysis of reflector antennas, in particular, for a satellite-communication antenna and for a radio-astronomy antenna.</t>
  </si>
  <si>
    <t>13-20</t>
  </si>
  <si>
    <t>7005617252;36554911300;7102464308</t>
  </si>
  <si>
    <t>Bolli, Pietro;Selleri, Stefano;Pelosi, Giuseppe</t>
  </si>
  <si>
    <t>Bolli P.</t>
  </si>
  <si>
    <t>Passive intermodulation on large reflector antennas</t>
  </si>
  <si>
    <t>10.1109/MAP.2002.1077773</t>
  </si>
  <si>
    <t>2-s2.0-0036822865</t>
  </si>
  <si>
    <t>['water conditions', 'vertical resolution', 'uppermost 4', 'unfrozen parts', 'summer using', 'resolution seismic', 'permafrost margins', 'lake nikolay', 'gpr sections', 'geophysical data', 'frozen lake', 'combined use']</t>
  </si>
  <si>
    <t>Permafrost geophysics | Seismic and GPR | Siberia | Thermokarst lake</t>
  </si>
  <si>
    <t>High-resolution seismic and ground-penetrating-radar (GPR) data have been acquired over Lake Nikolay in the western Lena Delta in order to study the uppermost basin fill and the bordering frozen margins. GPR (100 MHz antenna pair) measurements were completed on the frozen lake and its permafrost margins, while high-resolution seismic data were acquired from the lake during open-water conditions in summer using a 1.5-11.5 kHz Chirp profiler. The combined use of the two profiling systems allows stratigraphic profiling in both frozen and unfrozen parts of the lake. Shallow seismic reflection images of the uppermost 4 to 5 m of sediments are compared to GPR sections, which have approximately the same horizontal and vertical resolution. Short sediment cores aid calibrate the geophysical data. Copyright ¬© 2002 John Wiley and Sons, Ltd.</t>
  </si>
  <si>
    <t>259-269</t>
  </si>
  <si>
    <t>Permafrost and Periglacial Processes</t>
  </si>
  <si>
    <t>60023131;60010934;60010934;60023131</t>
  </si>
  <si>
    <t>6602542422;7005667435;7202139484;6701741615</t>
  </si>
  <si>
    <t>Schwamborn, G. J.;Dix, J. K.;Bull, J. M.;Rachold, V.</t>
  </si>
  <si>
    <t>Bremerhaven;Southampton</t>
  </si>
  <si>
    <t>Alfred-Wegener-Institut Helmholtz-Zentrum f√ºr Polar- und Meeresforschung;National Oceanography Centre Southampton</t>
  </si>
  <si>
    <t>60023131;60010934</t>
  </si>
  <si>
    <t>Schwamborn G.</t>
  </si>
  <si>
    <t>High-resolution seismic and ground penetrating radar-geophysical profiling of a thermokarst lake in the western Lena Delta, northern Siberia</t>
  </si>
  <si>
    <t>10.1002/ppp.430</t>
  </si>
  <si>
    <t>2-s2.0-0036824858</t>
  </si>
  <si>
    <t>['proposed method', 'proper orientation', 'novel direction', 'method uses', 'method improves', 'finding method', 'directional beams', 'communication link']</t>
  </si>
  <si>
    <t>Direction of arrival (DoA) estimation | Directive antennas | IEEE80211 | Indoor radio communications | Wireless LAN</t>
  </si>
  <si>
    <t>A novel direction-finding method for stations of IEEE802.11 wireless local area networks is presented in this paper. The method uses a switched beam array for determining the direction of arrival of the incident electromagnetic field in a time efficient way and associates certain medium access control MAC layer functions with different radiation patterns of the switched antenna array, in order to determine the proper orientation of directional beams on both entities of a communication link. The application of the proposed method to an IEEE802.11 wireless network is presented and it is depicted how the method improves the network performance without requiring any modifications to the existing MAC protocol.</t>
  </si>
  <si>
    <t>60031155;60031155</t>
  </si>
  <si>
    <t>11440755700;7003458202</t>
  </si>
  <si>
    <t>Kalis, Antonis;Antonakopoulos, Theodore</t>
  </si>
  <si>
    <t>Direction finding in IEEE802.11 wireless networks</t>
  </si>
  <si>
    <t>10.1109/TIM.2002.807806</t>
  </si>
  <si>
    <t>2-s2.0-0036825355</t>
  </si>
  <si>
    <t>367-369</t>
  </si>
  <si>
    <t>Radiologia Medica</t>
  </si>
  <si>
    <t>60016182;60016182;60016182;60016182;60016182</t>
  </si>
  <si>
    <t>6508335232;7003837033;23570765600;6603126512;7004418113</t>
  </si>
  <si>
    <t>Magenta Biasina, Alberto;Curti, Alessandra;Bonifacio, Cristina;Soldi, Simone;Cornalba, Gian Paolo</t>
  </si>
  <si>
    <t>Ospedale San Paolo</t>
  </si>
  <si>
    <t>Magenta Biasina A.</t>
  </si>
  <si>
    <t>CT diagnosis of pancreatic lipoma: A case report and literature review</t>
  </si>
  <si>
    <t>2-s2.0-0036826207</t>
  </si>
  <si>
    <t>['structure parameters', 'reflection coefficient', 'individual elements', 'fdtd method', 'element array', 'different effects', 'antenna parameters', 'also studied']</t>
  </si>
  <si>
    <t>The effects of a dual-polarised patch antenna's structure parameters, such as the width of the feedline, the relative dielectric constant and the depth of the substrate, on the antenna resonant frequency, reflection coefficient and isolation are analysed by means of the FDTD method. The different effects of the structure parameters on the two-element array are compared with that of individual elements. The changes in the array's coupling with the antenna parameters are also studied by means of the FDTD method.</t>
  </si>
  <si>
    <t>60023813;60023813;60025084</t>
  </si>
  <si>
    <t>25650927100;7202152603;7403296470</t>
  </si>
  <si>
    <t>Yang, X. X.;Zhong, S. S.;Zhao, G. Q.</t>
  </si>
  <si>
    <t>Shanghai;Shanghai</t>
  </si>
  <si>
    <t>Shanghai Jiao Tong University;Shanghai University</t>
  </si>
  <si>
    <t>60025084;60023813</t>
  </si>
  <si>
    <t>Yang X.</t>
  </si>
  <si>
    <t>Analysis of the dual-polarised patch antenna and two-element array by FDTD</t>
  </si>
  <si>
    <t>10.1049/ip-map:20020577</t>
  </si>
  <si>
    <t>2-s2.0-0036826272</t>
  </si>
  <si>
    <t>['usually solved', 'spectral domain', 'required green', 'planar circuits', 'optimal use', 'numerical results', 'multilayered media', 'hybrid dyadic', 'homogeneous medium', 'essential elements', 'closed form', 'analytical expressions']</t>
  </si>
  <si>
    <t>The electric field integral equation for planar circuits and antennas in multilayered media is usually solved with a spectral domain approach to compute the required Green's functions. The fact that these Green's functions are available in closed form in the spectral domain has not been exploited to the utmost up to now. Optimal use of the analytical expressions can be made when the structure is composed of horizontal and strictly vertical conducting surfaces. For such a geometry, a hybrid dyadic-mixed potential field formulation is presented. The essential elements of the theory are worked out for a homogeneous medium above an infinite ground plane. The principle can, however, be extended to arbitrarily multilayered media. Numerical results for circuits and antennas are provided.</t>
  </si>
  <si>
    <t>265-270</t>
  </si>
  <si>
    <t>Hybrid dyadic-mixed potential integral equation analysis of 3-D planar circuits and antennas</t>
  </si>
  <si>
    <t>10.1049/ip-map:20020578</t>
  </si>
  <si>
    <t>2-s2.0-0036826276</t>
  </si>
  <si>
    <t>['two baluns', 'poor characteristics', 'phase balances', 'phase balance', 'measured results', 'investigated theoretically', 'different lengths', 'cps ),', 'coplanar waveguide', 'coplanar line', 'circuited stubs', '8 ¬∞.', '14 ghz', '1 db']</t>
  </si>
  <si>
    <t>Amplitude and phase balances in a double-Y balun, which transforms a coplanar waveguide with finite ground plane (CPWFGP) into a coplanar line (CPS), are investigated theoretically and experimentally. Measured results are presented for two baluns with different lengths of open- and short-circuited stubs. The balun with longer stubs demonstrated better amplitude balance. In the frequency range 3 to 14 GHz the measured amplitude balance is better than 1 dB and the phase balance is better than 8¬∞. At the frequencies where resonances of the parasitic even mode appear, the balun has poor characteristics.</t>
  </si>
  <si>
    <t>257-260</t>
  </si>
  <si>
    <t>100568663;100568663;100568663</t>
  </si>
  <si>
    <t>21934283200;6602644035;23393994400</t>
  </si>
  <si>
    <t>Jokanoviƒá, B.;Trifunoviƒá, V.;Reljiƒá, B.</t>
  </si>
  <si>
    <t>Yugoslavia</t>
  </si>
  <si>
    <t>Novi Beograd</t>
  </si>
  <si>
    <t>Institute IMTEL</t>
  </si>
  <si>
    <t>Jokanoviƒá B.</t>
  </si>
  <si>
    <t>Balance measurements in double-Y baluns</t>
  </si>
  <si>
    <t>10.1049/ip-map:20020575</t>
  </si>
  <si>
    <t>2-s2.0-0036826435</t>
  </si>
  <si>
    <t>['vswr 1', 'varactor diode', 'previously reported', 'impedance match', 'circular loop', '1 balun']</t>
  </si>
  <si>
    <t>The near-field current distribution along a circular loop wire antenna is modified by the inclusion of an electronically controllable reactive load, a varactor diode, into the antenna to provide beam pattern shaping. Modifications to a 4:1 balun are shown which permit varactor biasing while facilitating the impedance match of the circular loop, VSWR 1.3 to 1.9; this VSWR is superior to that previously reported for a reactively loaded wire antenna. In addition, it is shown that a reactively loaded dipole structure can provide only 10¬∞ beam tilt while the circular wire loop structure provides up to 27¬∞ beam tilt.</t>
  </si>
  <si>
    <t>271-274</t>
  </si>
  <si>
    <t>Electronic beam tilting using a single reactively loaded circular wire loop antenna</t>
  </si>
  <si>
    <t>10.1049/ip-map:20020580</t>
  </si>
  <si>
    <t>2-s2.0-0036826645</t>
  </si>
  <si>
    <t>['wide band', 'radiating elements', 'polarisation level', 'phasing necessary', 'orthogonal configuration', 'new type', 'measured results', 'gaps provide', 'frequencies 1', 'backfire radiation', 'back ratio', 'axis cross', 'axial ratio', '5 ghz', '4 ghz', '4 db', '3 vswr', '25 db', '22 db', '2 ghz', '16 db']</t>
  </si>
  <si>
    <t>A new type of broadband printed loop antenna is presented. The antenna produces backfire linearly polarised signals over a wide band of frequencies 1.2 to 2.2 GHz, with &lt; 3 VSWR. The front-to-back ratio of the antenna is 22 dB; its on-axis cross-polarisation level is around -25 dB at 1.5 GHz and is better than -16 dB; over the entire frequency band. Backfire radiation is achieved by using a novel wide printed rectangular loop radiating element with integral tapered gaps. These gaps provide the phasing necessary for the radiating elements of the antenna to enable backfire radiation in the plane of the loop. Two such printed tapered gap loops are arranged in an orthogonal configuration to produce broadband circularly polarised radiation. Here for a VSWR ‚â•3 the bandwidth is more than an octave (1.1 to 2.4 GHz) with an axial ratio of &gt;4 dB. Simulated and measured results are presented for both configurations.</t>
  </si>
  <si>
    <t>261-264</t>
  </si>
  <si>
    <t>7102894931;7404660772</t>
  </si>
  <si>
    <t>Fusco, V.;Rao, P. H.</t>
  </si>
  <si>
    <t>Printed backfire wideband circularly polarised tapered gap loop antenna</t>
  </si>
  <si>
    <t>10.1049/ip-map:20020581</t>
  </si>
  <si>
    <t>2-s2.0-0036826655</t>
  </si>
  <si>
    <t>['ultrashort pulse', 'susceptibility investigations', 'simulator consists', 'first measurements', 'compact ultrawide', 'calculated fields', 'band source']</t>
  </si>
  <si>
    <t>Reflector antenna | Short pulse | Ultrawide-band (UWB) | UWB simulator</t>
  </si>
  <si>
    <t>In this paper, the setup of a short pulse simulator for susceptibility investigations is presented. This simulator consists of a compact ultrawide-band source and a half impulse radiating antenna. First measurements of the simulator are compared with calculated fields. The application of interest is the generation of a ultrashort pulse with a high electromagnetic field strength.</t>
  </si>
  <si>
    <t>1722-1727</t>
  </si>
  <si>
    <t>101355681;101355681;60114893;60114893</t>
  </si>
  <si>
    <t>6603044901;56243823200;7402549911;15754708800</t>
  </si>
  <si>
    <t>Sabath, Frank;Nitsch, Daniel;Jung, Markus;Weise, Thomas H.G.G.</t>
  </si>
  <si>
    <t>Dusseldorf;Munster</t>
  </si>
  <si>
    <t>Rheinmetall AG;Federal Forces Scientific Institute</t>
  </si>
  <si>
    <t>60114893;101355681</t>
  </si>
  <si>
    <t>Sabath F.</t>
  </si>
  <si>
    <t>Design and setup of a short pulse simulator for susceptibility investigations</t>
  </si>
  <si>
    <t>10.1109/TPS.2002.805331</t>
  </si>
  <si>
    <t>2-s2.0-0036826729</t>
  </si>
  <si>
    <t>['transient radar', 'transfer efficiency', 'technology organization', 'system design', 'resonant transformer', 'resonant frequency', 'produces high', 'present results', 'power output', 'numerical simulations', 'high voltage', 'gap switch', 'frequency effects', 'electronic systems', 'discuss areas', 'defence science', 'bicone center']</t>
  </si>
  <si>
    <t>Biconical antenna | Electric field measurement | Electromagnetic pulses | Finite difference time domain (FDTD) | High-power RF sources | Pulsed power system | Pulsed resonant transformer</t>
  </si>
  <si>
    <t>High-power electromagnetic pulse sources are of interest for a variety of applications such as transient radar and for investigations concerning radio-frequency effects on electronic systems. For such work, a simple, mobile, and robust source system has been developed at the Defence Science and Technology Organization, Edinburgh, Australia. It is comprised of a pulsed-resonant transformer, a spark-gap switch, and a modified biconical antenna. The antenna is charged to a high voltage, in the order of hundreds of kV, by the transformer and then is shorted at the bicone center by the spark-gap switch. The charge energy stored in the antenna then oscillates at the resonant frequency of the system and produces high-power electromagnetic pulses. In this paper, we describe the system design, present results of numerical simulations and measurements, and discuss areas for further improvements in energy-transfer efficiency, and power output.</t>
  </si>
  <si>
    <t>1705-1711</t>
  </si>
  <si>
    <t>60003480;60003480</t>
  </si>
  <si>
    <t>7402515834;57198857261</t>
  </si>
  <si>
    <t>Hong, Kevin D.;Braidwood, Sean W.</t>
  </si>
  <si>
    <t>Edinburgh</t>
  </si>
  <si>
    <t>Defence Science and Technology Group</t>
  </si>
  <si>
    <t>Hong K.</t>
  </si>
  <si>
    <t>Resonant antenna-source system for generation of high-power wideband pulses</t>
  </si>
  <si>
    <t>10.1109/TPS.2002.806637</t>
  </si>
  <si>
    <t>2-s2.0-0036826781</t>
  </si>
  <si>
    <t>['working zone', 'undoubted advantage', 'two concentrators', 'solar energy', 'rights reserved', 'plane facets', 'optimum configuration', 'minimum area', 'maximum use', 'guarantees forming', 'given dimension', 'focal spot', 'facets taking', 'facets reflecting', 'economic efficiency', 'diameter manufactured', 'diameter concentrators', 'cse surface', 'cse structure', 'annular packing', 'achieve temperatures', '2000 k']</t>
  </si>
  <si>
    <t>The experience of the 25 years operation of two concentrators of solar energy (CSE) of 2.8 and 5.0 m diameter manufactured by gluing plane facets of thin glass onto metal radio antennae convincingly demonstrates their technical and economic efficiency. Besides (or in addition to) simplicity of manufacturing and the possibility to achieve temperatures up to 2000 K and more, there is one more undoubted advantage of such concentrators: it is possible to get a focal spot with rather uniform distribution of the irradiance. The problem of determining the plane facets' optimum configuration and the structure of their arrangement on the CSE surface which guarantees forming a focal spot of the given dimension is solved by this work. Perfect geometric configuration of the facets and paraboloid is assumed. The working zone of the facets reflecting the incident solar radiation at the circular focal spot is approximately an ellipse. Trapezoid is an optimum configuration for the facets taking up a minimum area and ensuring the maximum use of CSE surface. A system of equations is obtained for calculation of a CSE structure with annular packing of the facets. The results of calculations for the 1.8 m and 15 m diameter concentrators are presented. ¬© 2003 Elsevier Science Ltd. All rights reserved.</t>
  </si>
  <si>
    <t>293-301</t>
  </si>
  <si>
    <t>60011313;60011313</t>
  </si>
  <si>
    <t>6506298948;6701415095</t>
  </si>
  <si>
    <t>Pasichny, V. V.;Uryukov, B. A.</t>
  </si>
  <si>
    <t>National Academy of Sciences in Ukraine</t>
  </si>
  <si>
    <t>Pasichny V.</t>
  </si>
  <si>
    <t>Theoretical aspects for optimization of solar radiation concentrators with plane facets</t>
  </si>
  <si>
    <t>S0038092X02000488</t>
  </si>
  <si>
    <t>10.1016/S0038-092X(02)00048-8</t>
  </si>
  <si>
    <t>2-s2.0-0036986308</t>
  </si>
  <si>
    <t>['trimeric state', 'totally lack', 'significant formation', 'rights reserved', 'results seem', 'possible roles', 'photosynthetic membrane', 'photosynthetic complexes', 'low rates', 'indeed required', 'increased level', 'increased instability', 'hexadecenoic acid', 'harvesting chlorophyll', 'harvesting antenna', 'core complex', 'consequently reduced', 'chlamydomonas reinhardtii', 'arabidopsis thaliana', '3t ))']</t>
  </si>
  <si>
    <t>Chlamydomonas | Light-harvesting complex | Phosphatidylglycerol | Photosystem I | Photosystem II | Trans-Œî -hexadecenoic acid 3</t>
  </si>
  <si>
    <t>Possible roles of trans-Œî3-hexadecenoic acid containing phosphatidylglycerol (PG) in the organisation of photosynthetic complexes were studied using two mutants of Chlamydomonas reinhardtii, mf1 and mf2, that totally lack this lipid and in which the level of the others remaining PG was consequently reduced to about 30% of the wild-type. Both the mutants have lost the capacity to stabilise the light-harvesting chlorophyll a/b-protein complex LHC II in a trimeric state and display an increased instability of the PS I light-harvesting-core complex after detergent mediated solubilisation. In this paper, we show that a very reduced growth rate of the mutant cells largely reduces the extent of these defects, allowing a significant formation of trimeric LHC II and a stabilisation of the PS I complex, in the absence of synthesis of trans-Œî3-hexadecenoic acid or of increased level of PG. These results seem to be at variance with the generally accepted role of trans-Œî3-hexadecenoic fatty acid (16:1(3t)) in the formation of the PS II light-harvesting antenna. On the other hand, they appear to be consistent with the observation that trimeric LHC II can be formed in the presence of 16:1(3t)-lacking PG in a mutant of Arabidopsis thaliana and in chloroplasts from cotyledons of some Orchideae. We conclude that 16:1(3t)-PG is indeed required for the stabilisation of the trimeric LHC II and of the PS I complex under conditions of high biosynthesis rate, and that it is not essential when these components of the photosynthetic membrane are synthesised at low rates. ¬© 2002 √âditions scientifiques et m√©dicales Elsevier SAS. All rights reserved.</t>
  </si>
  <si>
    <t>829-836</t>
  </si>
  <si>
    <t>60106138;60106138;60106138</t>
  </si>
  <si>
    <t>6603141799;6506369408;6603798324</t>
  </si>
  <si>
    <t>Dubertret, Guy;Gerard-Hirne, Catherine;Tr√©moli√®res, Antoine</t>
  </si>
  <si>
    <t>Gif-sur-Yvette</t>
  </si>
  <si>
    <t>Institut des Sciences des Plantes de Paris-Saclay</t>
  </si>
  <si>
    <t>Dubertret G.</t>
  </si>
  <si>
    <t>Importance of trans-Œî&lt;sup&gt;3&lt;/sup&gt;-hexadecenoic acid containing phosphatidylglycerol in the formation of the trimeric light-harvesting complex in chlamydomonas</t>
  </si>
  <si>
    <t>S0981942802014420</t>
  </si>
  <si>
    <t>10.1016/S0981-9428(02)01442-0</t>
  </si>
  <si>
    <t>2-s2.0-0038719199</t>
  </si>
  <si>
    <t>['yaw steering', 'tool presented', 'software tool', 'shuttler endeavour', 'shown along', 'several aspects', 'rights reserved', 'relevant principles', 'range migration', 'prf selection', 'preparation phase', 'performance analysis', 'parameter prediction', 'parameter optimization', 'paper describes', 'near realtime', 'efficient modeling', 'design example', 'antenna dimensions', 'also used']</t>
  </si>
  <si>
    <t>High resolution SAR | Interferometric SAR | SAR performance analysis | Spotlight SAR</t>
  </si>
  <si>
    <t>This paper describes a software tool for performance analysis and parameter prediction for conventional and special SAR modes. Several aspects of design, performance analysis and parameter optimization for Spotlight and interferometric SAR systems are examined. After the description of relevant principles the synthesis of antenna dimensions and efficient modeling of parabolic reflector antenna patterns are demonstrated. The influences of range migration and yaw steering on the PRF selection are shown along with a design example. The tool presented here was used on the Shuttle Radar Topography Mission (SRTM) flown on the Shuttler Endeavour for the X-SAR performance prediction in the preparation phase and was also used in near realtime during the mission. ¬© 2002 √âditions scientifiques et m√©dicales Elsevier SAS. All rights reserved.</t>
  </si>
  <si>
    <t>451-457</t>
  </si>
  <si>
    <t>Aerospace Science and Technology</t>
  </si>
  <si>
    <t>60007798;60007798;60007798</t>
  </si>
  <si>
    <t>36907011500;7004727248;7005882652</t>
  </si>
  <si>
    <t>Schroeder, Reinhard;Suess, Helmut;Zeller, Karl Heinz</t>
  </si>
  <si>
    <t>Schroeder R.</t>
  </si>
  <si>
    <t>Performance analysis of spaceborne SAR systems</t>
  </si>
  <si>
    <t>S1270963802011884</t>
  </si>
  <si>
    <t>10.1016/S1270-9638(02)01188-4</t>
  </si>
  <si>
    <t>2-s2.0-0038893881</t>
  </si>
  <si>
    <t>['ulxs studied', 'ulxs may', 'ulxs ),', 'ulx range', 'ultraluminous x', 'softer spectrum', 'runaway binaries', 'ray spectrum', 'ray spectra', 'ray sources', 'ray positions', 'predominantly associated', 'obscured regions', 'ngc 4038', 'nearby galaxies', 'luminous x', 'large concentrations', 'corrected luminosities', 'chandra acis', 'average x', 'average displaced', 'antennae galaxies', 'added x', 'added spectrum', 'accretion binaries', '72 ks', '5 kev', '1039 ergs', '1 range']</t>
  </si>
  <si>
    <t>Galaxies: individual (NGC 4038/4039) | Galaxies: interactions | Galaxies: peculiar | X-rays: galaxies</t>
  </si>
  <si>
    <t>We investigate the nature of the luminous X-ray source population detected in a (72 ks) Chandra ACIS-S observation of NGC 4038/4039, the Antennae galaxies. We derive the average X-ray spectral properties of sources in different luminosity ranges, and we correlate the X-ray positions with radio, IR, and optical (Hubble Space Telescope) data. The X-ray sources are predominantly associated with young stellar clusters, indicating that they belong to the young stellar population. Based on both their co-added X-ray spectrum and the lack of associated radio emission, we conclude that the ultraluminous X-ray sources (ULXs), with LX ‚â• 1039 ergs s-1, are not young compact supernova remnants (SNRs) but accretion binaries. While their spectrum is consistent with those of ULXs studied in nearby galaxies and interpreted as the counterparts of intermediate-mass black holes (M &gt; 10-1000 M‚äô), comparison with the position of star clusters suggests that some of the ULXs may be runaway binaries, thus suggesting lower mass binary systems. The co-added spectrum of the sources in the 3 √ó 1038 to 1039 ergs s-1 luminosity range is consistent with those of Galactic black hole candidates. These sources are also on average displaced from neighboring star clusters. The softer spectrum of the less luminous sources suggests the presence of SNRs or of hot interstellar medium in the Chandra source extraction area. Comparison with H I and CO observations shows that most sources are detected in the outskirts of large concentrations of gas. The absorbing columns inferred from these observations would indeed absorb X-rays up to 5 keV, so there may be several hidden X-ray sources. Associated with these obscured regions, we find six sources with heavily absorbed X-ray spectra and absorption-corrected luminosities in the ULX range. We detect the nuclei of both galaxies, with luminosities in the 10 39 ergs s-1 range and soft, possibly thermal X-ray spectra.</t>
  </si>
  <si>
    <t>710-725</t>
  </si>
  <si>
    <t>60020680;60020680;60020680;60020680</t>
  </si>
  <si>
    <t>7003747227;7005599650;6603595919;7402408876</t>
  </si>
  <si>
    <t>Zezas, A.;Fabbiano, G.;Rots, A. H.;Murray, S. S.</t>
  </si>
  <si>
    <t>Zezas A.</t>
  </si>
  <si>
    <t>Chandra observations of "the antennae" galaxies (NGC 4038/4039). III. X-ray properties and multiwavelength associations of the X-ray source population</t>
  </si>
  <si>
    <t>10.1086/342160</t>
  </si>
  <si>
    <t>2-s2.0-0041327213</t>
  </si>
  <si>
    <t>['‚ äô', 'œ ±', 'young high', 'well represented', 'well explained', 'ulxs cannot', 'ulxs ).', 'ultraluminous sources', 'type galaxies', 'supercritical accretion', 'result associates', 'ray binaries', 'paper iii', 'ngc 4038', 'neutron star', 'mass x', 'length properties', 'forming systems', 'forming galaxies', 'cumulative xlf', 'chandra observation', 'beaming scenario', 'beamed emission', 'antennae ).', '1039 ergs']</t>
  </si>
  <si>
    <t>We derive the X-ray luminosity function (XLF) of the X-ray source population detected in the Chandra observation of NGC 4038/4039 (the Antennae). We explicitly include photon-counting and spectral parameter uncertainties in our calculations. The cumulative XLF is well represented by a flat power law (Œ± = -0.47), similar to those describing the XLFs of other star-forming systems (e.g., M82, the disk of M81) but different from those of early-type galaxies. This result associates the X-ray source population in the Antennae with young high-mass X-ray binaries. In comparison with less actively star-forming galaxies, the XLF of the Antennae has a highly significant excess of sources with luminosities above 1039 ergs s-1 (ultraluminous sources; ULXs). We discuss the nature of these sources, based on the XLF and on their general spectral properties, as well as their optical counterparts discussed in Paper III. We conclude that the majority of the ULXs cannot be intermediate-mass black hole (M &gt; 10-1000 M‚äô ) binaries, unless they are linked to the remnants of massive Population III stars (the Madau &amp; Rees model). Instead, their spatial and multiwave-length properties can be well explained by beamed emission as a consequence of supercritical accretion. Binaries with a neutron star or moderate-mass black hole (up to 20 M‚äô) and B2 to A type star companions would be consistent with our data. In the beaming scenario, the XLF should exhibit characteristic breaks that would be visible in future deeper observations of the Antennae.</t>
  </si>
  <si>
    <t>726-737</t>
  </si>
  <si>
    <t>60020680;60020680</t>
  </si>
  <si>
    <t>7003747227;7005599650</t>
  </si>
  <si>
    <t>Zezas, A.;Fabbiano, G.</t>
  </si>
  <si>
    <t>Chandra observations of "the antennae" galaxies (NGC 4038/4039). IV. The X-ray source luminosity function and the nature of ultraluminous X-ray sources</t>
  </si>
  <si>
    <t>10.1086/342135</t>
  </si>
  <si>
    <t>2-s2.0-0041639354</t>
  </si>
  <si>
    <t>['variability suggest', 'ulxs may', 'ulxs ).', 'ultraluminous x', 'term variability', 'supernova remnants', 'source luminosity', 'softer sources', 'ray sources', 'ray properties', 'extended component', 'discrete sources', 'detection limit', 'detailed analysis', 'chandra acis', 'broadly correlated', 'antennae galaxies', '72 ks', '49 sources', '18 sources']</t>
  </si>
  <si>
    <t>Galaxies: Individual (NGC 4038/4039) | Galaxies: Interactions | Galaxies: Peculiar | X-rays: Galaxies</t>
  </si>
  <si>
    <t>We report the detailed analysis of the X-ray properties of the discrete sources detected in a long (72 ks) Chandra ACIS-S observation of the Antennae galaxies. We detect 49 sources, down to a detection limit of ‚àº10 38 ergs s-1; 18 sources have LX &gt; 10 39 ergs s-1 (ultraluminous X-ray sources; ULXs). Six of the 49 sources have an extended component. Two sources show evidence for variability during this observation, and three sources exhibit long-term variability in timescales of a few years. The spectra of the discrete sources are diverse, suggesting different emission mechanisms, broadly correlated with the source luminosity: the most luminous sources exhibit harder emission, while the spectra of fainter sources appear softer. Spectra and variability suggest that the ULXs may be binary accretion sources; Supernova remnants or hot interstellar medium in the Chandra beam may be responsible for some of the softer sources.</t>
  </si>
  <si>
    <t>239-260</t>
  </si>
  <si>
    <t>Astrophysical Journal, Supplement Series</t>
  </si>
  <si>
    <t>Chandra observations of "the Antennae" galaxies (NGC 4038/4039). II. Detection and analysis of galaxian x-ray sources</t>
  </si>
  <si>
    <t>10.1086/342010</t>
  </si>
  <si>
    <t>2-s2.0-0042632079</t>
  </si>
  <si>
    <t>['wave fields', 'study lies', 'studied within', 'significant feature', 'poloidal number', 'magnetic field', 'infinite discontinuity', 'helical inhomogeneity', 'helical coils', 'fundamental harmonic', 'consideration contains']</t>
  </si>
  <si>
    <t>Distribution of antenna-driven electromagnetic wave fields was studied within the local Alfv√©n resonance. The poloidal number of the fundamental harmonic was twice as small as the polarity of the helical coils. It was found that it is possible to remove the infinite discontinuity of the wave fields if the helical inhomogeneity of the steady magnetic field is taken into account. The most significant feature of the study lies in the fact that the magnetic field under consideration contains a non-zero periodic radial component.</t>
  </si>
  <si>
    <t>Journal of Plasma Physics</t>
  </si>
  <si>
    <t>60027251;60027251</t>
  </si>
  <si>
    <t>7004125956;7102261559</t>
  </si>
  <si>
    <t>Girka, I. O.;Lapshin, V. I.</t>
  </si>
  <si>
    <t>Girka I.</t>
  </si>
  <si>
    <t>Helicity resonant influence on the local alfv√©n resonance structure in straight stellarators</t>
  </si>
  <si>
    <t>10.1017/S0022377802001927</t>
  </si>
  <si>
    <t>2-s2.0-0346903264</t>
  </si>
  <si>
    <t>['wave generation', 'vibration excitation', 'tromso observations', 'threshold power', 'threshold level', 'studied numerically', 'steep drop', 'spectral intensity', 'ohmic heating', 'nonlinear evolutions', 'neutral particles', 'n2 ),', 'modulation frequency', 'modulated high', 'modulated accordingly', 'mainly due', 'low value', 'low levels', 'instability saturates', 'inelastic collisions', 'indeed causes', 'generated elf', 'field intensity', 'energy regime', 'elf radiation', 'efficiency enhancement', 'also evaluated']</t>
  </si>
  <si>
    <t>Extra and very low-frequency (ELF/VLF) wave generation by modulated polar electrojet currents is studied numerically. Through Ohmic heating by the amplitude-modulated high-frequency heating wave, the conductivity and thus the current of the electrojet are modulated accordingly to set up the ionospheric antenna current. Stimulated thermal instability, which can further enhance the electrojet current modulation, is studied. It is first analysed analytically to determine the threshold heating power for its excitation. The nonlinear evolutions of the generated ELF/VLF waves enhanced by the instability are then studied numerically. Their spectra are also evaluated. The field intensity of the emission at the fundamental modulation frequency is found to increase with the modulation frequency in agreement with the Tromso observations. The efficiency enhancement by the stimulated thermal instability is hampered by inelastic collisions of electrons with neutral particles (mainly due to vibration excitation of N2), which cause this instability to saturate at low levels. However, the electron inelastic collision loss rate drops rapidly to a low value in the energy regime from 3.5 to 6eV. As the heating power exceeds a threshold level, significant electron heating enhanced by the instability is shown, which indeed causes a steep drop in the electron inelastic collision loss rate. Consequently, this instability saturates at a much higher level, resulting to a near step increase (of about 10-13 dB depending on the modulation wave form) in the spectral intensity of ELF radiation. The dependence of the threshold power of the HF heating wave on the modulation frequency is determined.</t>
  </si>
  <si>
    <t>Kuo, S. P.</t>
  </si>
  <si>
    <t>Kuo S.</t>
  </si>
  <si>
    <t>Generation of extra and very low-frequency (ELF/VLF) radiation by ionospheric electrojet modulation using high-frequency (HF) heating waves</t>
  </si>
  <si>
    <t>10.1017/S0022377802001964</t>
  </si>
  <si>
    <t>2-s2.0-0348163725</t>
  </si>
  <si>
    <t>13N7496</t>
  </si>
  <si>
    <t>['unshielded environments', 'substrate edge', 'squid gradiometers', 'rights reserved', 'restricted size', 'improved design', 'gradiometer bases', 'bicrystalline substrate', 'antenna efficiency', '1 hz']</t>
  </si>
  <si>
    <t>DC-SQUID gradiometers | Superconducting antennas | YBCO</t>
  </si>
  <si>
    <t>We describe an improved design of galvanically coupled DC-SQUID gradiometers on a substrate with a restricted size of 10√ó10 mm2. Considering this design the planar gradiometer antennas are placed in the diagonal of a bicrystalline substrate. The galvanically coupled DC-SQUID in the centre of the gradiometer bases on bicrystal grain boundary Josephson junctions. This new antenna geometry improves the product of the baselength and the antenna efficiency by 50% compared to usual planar gradiometer designs with the gradiometer axis parallel to the substrate edge. Field gradient resolutions of 218 fT/(cm‚àöHz) in the white noise region and 1.75 pT/(cm‚àöHz) at 1 Hz can be obtained in electrically and magnetically unshielded environment. With a considerably improved gradiometer balance higher than 100, this sensor design enables measurements in unshielded environments. ¬© 2002 Elsevier Science B.V. All rights reserved.</t>
  </si>
  <si>
    <t>1385-1390</t>
  </si>
  <si>
    <t>PART 2</t>
  </si>
  <si>
    <t>378-381</t>
  </si>
  <si>
    <t>60029507;60029507;60029507;60029507;60029507;60074072;60029507</t>
  </si>
  <si>
    <t>6506652986;7003708906;7007075836;15745868900;7801371479;8055278600;7102870634</t>
  </si>
  <si>
    <t>Peiselt, K.;Wunderlich, S.;Schmidl, F.;Schrey, F.;Steigmeier, C.;H√ºbner, U.;Seidel, P.</t>
  </si>
  <si>
    <t>Jena;Jena</t>
  </si>
  <si>
    <t>Institut f√ºr Photonische Technologien;Friedrich-Schiller-Universit√§t Jena</t>
  </si>
  <si>
    <t>60074072;60029507</t>
  </si>
  <si>
    <t>Peiselt K.</t>
  </si>
  <si>
    <t>Improvement of the field gradient resolution of galvanically coupled DC-SQUID gradiometers on 10√ó10 mm&lt;sup&gt;2&lt;/sup&gt; bicrystal substrates</t>
  </si>
  <si>
    <t>S0921453402017264</t>
  </si>
  <si>
    <t>10.1016/S0921-4534(02)01726-4</t>
  </si>
  <si>
    <t>2-s2.0-18844478836</t>
  </si>
  <si>
    <t>CCR-9902846</t>
  </si>
  <si>
    <t>['tdd bandwidth', 'steady interference', 'smart antennas', 'rf design', 'reduced complexity', 'omnidirectional antenna', 'many benefits', 'downlink transmissions', 'channel reciprocity', 'cellular systems', 'cell caused', 'base stations']</t>
  </si>
  <si>
    <t>Cellular | FDD | Fixed wireless | Smart antenna | TDD</t>
  </si>
  <si>
    <t>There are many benefits in using time division duplex (TDD) instead of frequency division duplex (FDD) schemes in fixed wireless cellular systems. For example, channel reciprocity for a single carrier frequency used on both uplinks and downlinks will allow easy access to channel state information, reduced complexity of RF design, much higher flexibility in handling dynamic traffic, simpler frequency plan, etc. However, there exists a serious limiting factor in using dynamic TDD (D-TDD) in cellular systems. This is due to a steady interference on an uplink in any cell caused by downlink transmissions in other cells. Simulation results show in D-TDD cellular systems, performance is unacceptable, when an omnidirectional antenna is used at base stations. Simulation results also suggest great potential for smart antennas in achieving substantial performance improvement in fixed D-TDD bandwidth-on-demand wireless systems.</t>
  </si>
  <si>
    <t>227-241</t>
  </si>
  <si>
    <t>60001439;60001439;60001439;60021378</t>
  </si>
  <si>
    <t>7410061828;6602927853;7005636245;7101611306</t>
  </si>
  <si>
    <t>Li, Junsong;Farahvash, Shayan;Kavehrad, Mohsen;Valenzuela, Reinaldo</t>
  </si>
  <si>
    <t>Murray;University Park</t>
  </si>
  <si>
    <t>Nokia Bell Labs;Pennsylvania State University</t>
  </si>
  <si>
    <t>60021378;60001439</t>
  </si>
  <si>
    <t>Dynamic TDD Fixed Cellular Systems Using Smart and Sectored Antennas</t>
  </si>
  <si>
    <t>10.1023/A:1021099812131</t>
  </si>
  <si>
    <t>2-s2.0-1942486699</t>
  </si>
  <si>
    <t>['proposed technique', 'fuzzy network', 'fruitfully used', 'fast method']</t>
  </si>
  <si>
    <t>Microstrip Antennas | Microwave and Millimeter wave CAD Model | Neuro-Fuzzy Network</t>
  </si>
  <si>
    <t>A fast method for the design of circular and equilateral triangular microstrip antennas, based on a Neuro-Fuzzy Network, is presented. Numerical results obtained by using this technique agree quite well with the Moment Method results. The proposed technique can be fruitfully used in microwave and millimeter wave CAD applications.</t>
  </si>
  <si>
    <t>1513-1520</t>
  </si>
  <si>
    <t>60020167;60020167</t>
  </si>
  <si>
    <t>55891919100;6601979970</t>
  </si>
  <si>
    <t>Angiulli, Giovanni;Versaci, Mario</t>
  </si>
  <si>
    <t>Reggio Calabria</t>
  </si>
  <si>
    <t>Universit√† degli Studi di Reggio Calabria</t>
  </si>
  <si>
    <t>Angiulli G.</t>
  </si>
  <si>
    <t>A Neuro-Fuzzy Network for the design of circular and triangular equilateral microstrip antennas</t>
  </si>
  <si>
    <t>10.1023/A:1020333704205</t>
  </si>
  <si>
    <t>2-s2.0-1942507256</t>
  </si>
  <si>
    <t>['wave activity', 'tidal components', 'spectrally analyzed', 'spectral resolution', 'south pole', 'similar features', 'short period', 'seasonal dependence', 'periods ranging', 'mesospheric winds', 'long sequences', 'june solstice', 'global nature', 'four years', 'christmas island', 'also seen', '92 km', '8 h', '69 ¬∞', '6 h', '5 h', '34 ¬∞', '2 h', '12 h']</t>
  </si>
  <si>
    <t>Long sequences of the hourly average zonal and meridional wind components obtained by MF spaced antenna radars at Davis (69¬∞S, 78¬∞E), Buckland Park (34¬∞S, 138¬∞E) and Christmas Island (2¬∞N, 157¬∞W) are spectrally analyzed to study the short period oscillations in mesospheric winds. Data lengths covering a minimum of four years at each of the stations, five altitudes used for averaging (84-92 km) and the windows of 10, 20 and 40 days used in estimating power spectra give high reliability and spectral resolution. Apart from the tidal components at 24, 12, 8 and 6 h there are oscillations with periods ranging between 4.8 h and 12 h. Moving power spectra are obtained to study the seasonal dependence of the short period (smaller than 12 h) oscillations. The wave activity is strongest during June solstice and weakest during equinoxes at each of the locations. The presence of similar features at high, mid and low latitudes indicates the global nature of such oscillations. The seasonal dependence of the wave activity is in agreement with the recently reported observations of waves with periods between 7.5 and 10.5 h seen in the meteor radar data at south pole. Oscillations with periods of 4.9-5.2 h and 7.2-7.5 h are also seen.</t>
  </si>
  <si>
    <t>237-249</t>
  </si>
  <si>
    <t>60014901;60009512;60009512</t>
  </si>
  <si>
    <t>8551026500;56462811500;7202620125</t>
  </si>
  <si>
    <t>Chandra, H.;Kovalam, S.;Vincent, R. A.</t>
  </si>
  <si>
    <t>India;Australia</t>
  </si>
  <si>
    <t>Ahmedabad;Adelaide</t>
  </si>
  <si>
    <t>Physical Research Laboratory India;The University of Adelaide</t>
  </si>
  <si>
    <t>60014901;60009512</t>
  </si>
  <si>
    <t>Chandra H.</t>
  </si>
  <si>
    <t>Short period oscillations in mesosphere</t>
  </si>
  <si>
    <t>2-s2.0-33749359470</t>
  </si>
  <si>
    <t>['pelvic tumors', 'patient limb', 'joint functions', 'joint function', 'good limb', 'fair function', '6 patients', '51 patients', '36 patients']</t>
  </si>
  <si>
    <t>Evaluation | Function | Hyperthermia | Microwave | Pelvis | Tumor</t>
  </si>
  <si>
    <t>Objective: To evaluate the limb and joint function after treatment the pelvic bone tumors by the microwave hyperthermia inserted antenna arrays. Methods: 51 patients were treated by inserted microwave antenna arrays induced hyperthermia. All patient limb and joint functions were observed and analyzed from oncology, function and complications. Results: There were 9 recurred cases and 7 of them died. Among the remaining 42 patients, 36 patients had excellent and good limb and joint function, 6 patients had fair function. Conclusions: By the method of inserted microwave antenna arrays induced hyperthermia to treat the pelvic tumors the limb and joint function was excellent.</t>
  </si>
  <si>
    <t>3144-3145</t>
  </si>
  <si>
    <t>Chinese Journal of Clinical Rehabilitation</t>
  </si>
  <si>
    <t>60088188;60088188;60088188;60088188;60088188</t>
  </si>
  <si>
    <t>57079352700;7202878463;7403301036;56331275200;7103379389</t>
  </si>
  <si>
    <t>Zhou, Yong;Fan, Qing Yu;Ma, Bao An;Zhang, Ming Hua;Sheng, Wan An</t>
  </si>
  <si>
    <t>Tangdu Hospital, Fourth Military Medical University</t>
  </si>
  <si>
    <t>Evaluation the limb and joint function after treatment the pelvic bone tumors by the microwave hyperthermia</t>
  </si>
  <si>
    <t>2-s2.0-33750683347</t>
  </si>
  <si>
    <t>['wave time', 'wave forms', 'transient fields', 'overburden height', 'numerical examples', 'layer ground', 'important features', 'harmonic solution', 'form expressions', 'features provide', 'domain solutions', 'displacement currents', 'derived full', 'complex plane', 'branch cuts', 'analytical form', 'air region']</t>
  </si>
  <si>
    <t>The transient fields in the time-domain of a thin circular loop antenna on a two-layer conducting earth model are expressed in analytical form. In these expressions, the displacement currents both in the two-layer ground and in the air region are taken into consideration. The closed-form expressions of the time-domain are obtained as the inverse Laplace transform of the derived full-wave time-harmonic solution. These time-domain solutions are obtained as a summation of wave-guide modes plus contributions from branch cuts in the complex plane of the longitudinal wave number. Numerical examples are given to indicate the important features in the wave forms of the surface fields due to step and pulsed current excitation. These features provide the means of detecting the earth's stratification, measuring the overburden height, and determining the ratio of the conductivities of the layers.</t>
  </si>
  <si>
    <t>995-1003</t>
  </si>
  <si>
    <t>60016618;60016618</t>
  </si>
  <si>
    <t>35608826600;6602621944</t>
  </si>
  <si>
    <t>Bishay, Samira T.;Sami, Ghada M.</t>
  </si>
  <si>
    <t>Cairo</t>
  </si>
  <si>
    <t>Ain Shams University</t>
  </si>
  <si>
    <t>Bishay S.</t>
  </si>
  <si>
    <t>Time-domain study of transient fields for a thin circular loop antenna</t>
  </si>
  <si>
    <t>10.1139/p02-049</t>
  </si>
  <si>
    <t>2-s2.0-57249115731</t>
  </si>
  <si>
    <t>CCR 99-79381</t>
  </si>
  <si>
    <t>['xpd ),', 'use fixed', 'turn depend', 'transmit diversity', 'transmission mode', 'time coding', 'spatial multiplexing', 'single dual', 'signaling techniques', 'several orders', 'results indicate', 'results hint', 'proper selection', 'polarized antennas', 'polarization discrimination', 'one mode', 'input multiple', 'highly dependent', 'gathered data', 'effective alternative', 'different combinations', 'channel statistics', 'channel measurements', 'channel characteristics', 'antenna height', 'alamouti scheme', '5 ghz']</t>
  </si>
  <si>
    <t>Alamouti scheme | Channel measurements | MIMO wireless | Polarization diversity | Preferred-mode switching distance | Spatial multiplexing</t>
  </si>
  <si>
    <t>Multiple-input multiple-output (MIMO) wireless systems employ spatial multiplexing to increase spectral efficiency or transmit diversity (space-time coding) techniques to improve link reliability. The performance of these signaling techniques is highly dependent on channel characteristics which in turn depend on antenna height and spacing and richness of scattering. The use of dual-polarized antennas is a cost and space-effective alternative where two spatially separated uni-polarized antennas can be replaced by a single dual-polarized antenna element. In this paper, we use fixed-wireless experimental data collected in a typical suburban environment at 2.5 GHz to investigate the performance of spatial multiplexing and transmit diversity (Alamouti scheme) for a dual-polarized antenna setup. Channel measurements were conducted over a cell of radius 7 radius 7 km and channel statistics such as K-factor, cross-polarization discrimination (XPD), and fading signal correlation were extracted from the gathered data. At each location, different combinations of these parameters yield different performance (measured in terms of average uncoded bit error rate) of spatial multiplexing and the Alamouti scheme. The results indicate that proper selection of the transmission mode through feedback, if possible, can reduce the bit error rate by several orders of magnitude. Furthermore, the results hint at the existence of a preferred-mode switching distance within a cell - above/below which one mode of transmission exhibits generally superior performance.</t>
  </si>
  <si>
    <t>31-44</t>
  </si>
  <si>
    <t>60025858;100476407;60025858;60012708</t>
  </si>
  <si>
    <t>6701859878;7003706051;7006024277;7004920065</t>
  </si>
  <si>
    <t>Nabar, Rohit U.;Erceg, Vinko;B√∂lcskei, Helmut;Paulraj, Arogyaswami J.</t>
  </si>
  <si>
    <t>Zurich ZH,;Palo Alto;San Diego</t>
  </si>
  <si>
    <t>ETH Zurich;Stanford University;Zyray Wireless</t>
  </si>
  <si>
    <t>60025858;60012708;100476407</t>
  </si>
  <si>
    <t>Performance of multi-antenna signaling strategies using dual-polarized antennas: Measurement results and analysis</t>
  </si>
  <si>
    <t>10.1023/A:1020997106414</t>
  </si>
  <si>
    <t>2-s2.0-6444244285</t>
  </si>
  <si>
    <t>['three complexes', 'spectroscopic properties', 'spectroscopic features', 'selectively bound', 'rights reserved', 'recombinant preparations', 'monomers lhca1', 'lhci complex', 'lhca4 monomers', 'lhca3 complexes', 'exclusively associated', 'dimerization changes', 'b ratio', '4 heterodimer', '4 dimer']</t>
  </si>
  <si>
    <t>Chlorophyll-protein | Photosynthesis | Recombinant Lhc protein</t>
  </si>
  <si>
    <t>The Lhca antenna complexes of photosystem I (PSI) have been characterized by comparison of native and recombinant preparations. Eight Lhca polypeptides have been found to be all organized as dimers in the PSI-LHCI complex. The red emission fluorescence is associated not only with Lhca1-4 heterodimer, but also with dimers containing Lhca2 and/or Lhca3 complexes. Reconstitution of Lhca1 and Lhca4 monomers as well as of the Lhca1-4 dimer in vitro was obtained. The biochemical and spectroscopic features of these three complexes are reported. The monomers Lhca1 and Lhca4 bind 10 Chls each, while the Chl a/b ratio is lower in Lhca4 as compared to Lhca1. Three carotenoid binding sites have been found in Lhca1, while only two are present in Lhca4. Both complexes contain lutein and violaxanthin while Œ≤-carotene is selectively bound to the Lhca1-4 dimer in substoichiometric amounts upon dimerization. Spectral analysis revealed the presence of low energy absorption forms in Lhca1 previously thought to be exclusively associated with Lhca4. It is shown that the process of dimerization changes the spectroscopic properties of some chromophores and increases the amplitude of the red absorption tail of the complexes. The origin of these spectroscopic features is discussed. ¬© 2002 Elsevier Science B.V. All rights reserved.</t>
  </si>
  <si>
    <t>29-40</t>
  </si>
  <si>
    <t>60032256;60032256;60032256-101146357;100342965;60032256</t>
  </si>
  <si>
    <t>7005812451;6602309011;6507300015;24310010600;35553979700</t>
  </si>
  <si>
    <t>Croce, Roberta;Morosinotto, Tomas;Castelletti, Simona;Breton, Jacques;Bassi, Roberto</t>
  </si>
  <si>
    <t>Italy;France;France</t>
  </si>
  <si>
    <t>Verona;Saclay;Gif-sur-Yvette</t>
  </si>
  <si>
    <t>Universit√† degli Studi di Verona;Departement de Biologie Cellular et Moleculaire;Section de Bio√©nerg√©tique</t>
  </si>
  <si>
    <t>60032256;101146357;100342965</t>
  </si>
  <si>
    <t>The Lhca antenna complexes of higher plants photosystem I</t>
  </si>
  <si>
    <t>S0005272802003043</t>
  </si>
  <si>
    <t>10.1016/S0005-2728(02)00304-3</t>
  </si>
  <si>
    <t>2-s2.0-0037015693</t>
  </si>
  <si>
    <t>['zeaxanthin via', 'zeaxanthin exchange', 'xanthophyll exchange', 'xanthophyll cycle', 'vitro showed', 'upon exposure', 'transforms violaxanthin', 'thermal dissipation', 'spectroscopic analysis', 'recombinant vde', 'previous work', 'monogalactosyl diacylglycerol', 'low ph', 'light stress', 'lhc proteins', 'intrinsic capacity', 'intermediate antheraxanthin', 'higher plants', 'high light', 'found primarily', 'fluorescence quenching', 'findings suggest', 'exchange violaxanthin', 'epoxidation system', 'binding site', 'antenna system']</t>
  </si>
  <si>
    <t>Three plant xanthophylls are components of the xanthophyll cycle in which, upon exposure of leaves to high light, the enzyme violaxanthin de-epoxidase (VDE) transforms violaxanthin into zeaxanthin via the intermediate antheraxanthin. Previous work (1) showed that xanthophylls are bound to Lhc proteins and that substitution of violaxanthin with zeaxanthin induces conformational changes and fluorescence quenching by thermal dissipation. We have analyzed the efficiency of different Lhc proteins to exchange violaxanthin with zeaxanthin both in vivo and in vitro. Light stress of Zea mays leaves activates VDE, and the newly formed zeaxanthin is found primarily in CP26 and CP24, whereas other Lhc proteins show a lower exchange capacity. The de-epoxidation system has been reconstituted in vitro by using recombinant Lhc proteins, recombinant VDE, and monogalactosyl diacylglycerol (MGDG) to determine the intrinsic capacity for violaxanthin-to-zeaxanthin exchange of individual Lhc gene products. Again, CP26 was the most efficient in xanthophyll exchange. Biochemical and spectroscopic analysis of individual Lhc proteins after de-epoxidation in vitro showed that xanthophyll exchange occurs at the L2-binding site. Xanthophyll exchange depends on low pH, implying that access to the binding site is controlled by a conformational change via lumenal pH. These findings suggest that the xanthophyll cycle participates in a signal transduction system acting in the modulation of light harvesting versus thermal dissipation in the antenna system of higher plants.</t>
  </si>
  <si>
    <t>36913-36920</t>
  </si>
  <si>
    <t>60032256;60032256;60032256</t>
  </si>
  <si>
    <t>6602309011;57225272481;35553979700</t>
  </si>
  <si>
    <t>Morosinotto, Tomas;Baronio, Roberta;Bassi, Roberto</t>
  </si>
  <si>
    <t>Universit√† degli Studi di Verona</t>
  </si>
  <si>
    <t>Dynamics of chromophore binding to Lhc proteins in vivo and in vitro during operation of the xanthophyll cycle</t>
  </si>
  <si>
    <t>10.1074/jbc.M205339200</t>
  </si>
  <si>
    <t>2-s2.0-0037020088</t>
  </si>
  <si>
    <t>['proposed single', 'microstrip antenna', 'measured isolations', 'high gain', 'feeding structure', 'easy feeding', 'e plane', 'aperture feeding', '48 db']</t>
  </si>
  <si>
    <t>Dual feeding | H-shaped aperture | High isolation</t>
  </si>
  <si>
    <t>In this Letter, a dual-feeding structure with microstrip and an H-shaped aperture feeding for a microstrip antenna is proposed to achieve high isolation with high gain, easy feeding, and few layers. The measured isolations of the proposed single and 1 √ó 4-array antenna along the E plane of the aperture feeding are less than -49 and -48 dB, respectively.</t>
  </si>
  <si>
    <t>45-47</t>
  </si>
  <si>
    <t>Dual-feeding microstrip antenna with high isolation</t>
  </si>
  <si>
    <t>10.1002/mop.10511</t>
  </si>
  <si>
    <t>2-s2.0-0037026973</t>
  </si>
  <si>
    <t>['slot width', 'simulated fa', 'previously reported', 'field patterns', '65 ghz', '20 db']</t>
  </si>
  <si>
    <t>Antenna array | Antennas | Radial line | Slot</t>
  </si>
  <si>
    <t>This Letter demonstrates low cross polarization with improved return loss and bandwidth for a single concentric ring linearly polarized radial line slot array (LPRLSA) operating at 10.65 GHz, gain 14 dB. This was achieved by narrowing the slot width and optimizing the placement of each slot pair relative to the edge of a short-circuited radial waveguide. Measured return loss and cross polarization levels were better than -20 dB over a 10% bandwidth (cf. 3.5% previously reported) at VSWR of 2. The measured and simulated fa- field patterns are presented.</t>
  </si>
  <si>
    <t>Effect of slot geometry on linearly polarized radial line slot, array characteristics</t>
  </si>
  <si>
    <t>10.1002/mop.10503</t>
  </si>
  <si>
    <t>2-s2.0-0037026974</t>
  </si>
  <si>
    <t>['wave band', 'investigated experimentally', 'broadband applications', 'bandwidth operation', '60 ghz']</t>
  </si>
  <si>
    <t>Planar antenna structures for broadband applications in the millimeter-wave band at 60 GHz are investigated experimentally. Feeding through a waveguide is used to achieve high performances such as wide-bandwidth operation and to enable a choice of designs by means of a low-cost technological process.</t>
  </si>
  <si>
    <t>71-73</t>
  </si>
  <si>
    <t>60105585;60105585</t>
  </si>
  <si>
    <t>23109153500;7003701045</t>
  </si>
  <si>
    <t>Marzolf, Eric;Drissi, M'Hamed</t>
  </si>
  <si>
    <t>Marzolf E.</t>
  </si>
  <si>
    <t>Waveguide-fed planar antennas for millimeter waveband</t>
  </si>
  <si>
    <t>10.1002/mop.10519</t>
  </si>
  <si>
    <t>2-s2.0-0037026975</t>
  </si>
  <si>
    <t>['study shows', 'sensitivity curve', 'quantitative detail', 'optimized detector', 'moving mass', 'however appears', 'heavy traffic', 'gw antenna', 'fake signals', 'external masses', 'disturbances result', 'antenna mass']</t>
  </si>
  <si>
    <t>In this paper we analyse in quantitative detail the effect of a moving mass on a spherical gravitational wave detector. This applies to situations where heavy traffic or similar disturbances occur near the GW antenna. Such disturbances result in quadrupole tidal stresses in the antenna mass, and they therefore precisely fake a real gravitational signal. The study shows that there are always characteristic frequencies, depending on the motion of the external masses, at which the fake signals are most intense. It however appears that, even at those frequencies, fake signals should be orders of magnitude below the sensitivity curve of an optimized detector, in likely realistic situations.</t>
  </si>
  <si>
    <t>4845-4854</t>
  </si>
  <si>
    <t>60001576;60000481;60001576</t>
  </si>
  <si>
    <t>8510639400;7006358007;7102239217</t>
  </si>
  <si>
    <t>Lobo, Alberto;Cerdonio, Massimo;Montero, √Ålvaro</t>
  </si>
  <si>
    <t>Spain;Italy</t>
  </si>
  <si>
    <t>Barcelona;Padua</t>
  </si>
  <si>
    <t>Universitat de Barcelona;Universit√† degli Studi di Padova</t>
  </si>
  <si>
    <t>60001576;60000481</t>
  </si>
  <si>
    <t>Lobo A.</t>
  </si>
  <si>
    <t>Fake signals caused by heavy-mass motions near a sensitive spherical gravitational wave antenna</t>
  </si>
  <si>
    <t>S0264938102382091</t>
  </si>
  <si>
    <t>10.1088/0264-9381/19/19/304</t>
  </si>
  <si>
    <t>2-s2.0-0036389951</t>
  </si>
  <si>
    <t>['various lengths', 'thermal therapy', 'potential use', 'infrared camera', 'helix manufacture', 'coil spacing', 'coaxial cable', 'antenna length', '915 mhz', '5 mm', '37 mm', '3 mm']</t>
  </si>
  <si>
    <t>A set of helical microwave antennas was designed to investigate their potential use in thermal therapy of Barrett's oesophagus. The antennas had a diameter of up to 3.3 mm and various lengths between 20 and 37 mm; these were designed to operate at 915 MHz. Sets of polytetrafluoroethylene (PTFE) formers were constructed to improve the repeatability and reproducibility of the helix manufacture. Small diameter copper wire was wound over the formers and connected to the coaxial cable at the inner and outer conductor junctions. The power deposition profiles of the antennas were measured in a muscle-equivalent phantom using an infrared camera. The effects of antenna length and coil spacing were characterized. It was observed that uniform temperature profiles along the antenna length were achieved with a length of wire of 99 mm ¬± 2 mm. The effective heating length (length of the antenna that exhibits &gt;50% of the maximum temperature rise) was comparable to the antenna length. The radial penetration depth of 50% of the antenna surface temperature for the optimum 20 mm antenna was 2.5 mm from the antenna outer surface.</t>
  </si>
  <si>
    <t>3557-3564</t>
  </si>
  <si>
    <t>60010088;60010088;60010088;60121115</t>
  </si>
  <si>
    <t>8911606200;56206705500;19035371100;7202591977</t>
  </si>
  <si>
    <t>Reeves, J.;Birch, M.;Munro, K.;Collier, R.</t>
  </si>
  <si>
    <t>Cambridge;London</t>
  </si>
  <si>
    <t>Department of Physics;The Royal London Hospital</t>
  </si>
  <si>
    <t>60121115;60010088</t>
  </si>
  <si>
    <t>Reeves J.</t>
  </si>
  <si>
    <t>Investigation into the thermal distribution of microwave helical antennas designed for the treatment of Barrett's oesophagus</t>
  </si>
  <si>
    <t>S0031915502370751</t>
  </si>
  <si>
    <t>10.1088/0031-9155/47/19/309</t>
  </si>
  <si>
    <t>2-s2.0-0037037782</t>
  </si>
  <si>
    <t>['wave propagation', 'rx direction', 'office scenario', 'nearly independent', 'mimo capacity', 'input multiple', 'directional receive', 'channel capacity', 'antenna array', '2 ghz']</t>
  </si>
  <si>
    <t>Using a directional receive (RX) antenna array the channel capacity of an 8 √ó 8 multiple-input multiple-output (MIMO) system in an office scenario at 5.2 GHz for different RX directions and positions is measured. The average MIMO capacity can be related to dominant-wave propagation. However, when path-loss is normalised out, MIMO capacity is nearly independent of RX direction and position.</t>
  </si>
  <si>
    <t>1283-1285</t>
  </si>
  <si>
    <t>100430674;100430674;60009854;100430674</t>
  </si>
  <si>
    <t>8964245600;7003751593;7006040045;7007067644</t>
  </si>
  <si>
    <t>Herdin, M.;√ñzcelik, H.;Hofstetter, H.;Bonek, E.</t>
  </si>
  <si>
    <t>Forschungszentrum Telekommunikation Wien;Institut f√ºr Nachrichtentechnik und Hochfrequenztechnik</t>
  </si>
  <si>
    <t>60009854;100430674</t>
  </si>
  <si>
    <t>Herdin M.</t>
  </si>
  <si>
    <t>Variation of measured indoor MIMO capacity with receive direction and position at 5.2 GHz</t>
  </si>
  <si>
    <t>10.1049/el:20020813</t>
  </si>
  <si>
    <t>2-s2.0-0037057251</t>
  </si>
  <si>
    <t>['phase shifters', 'overlapped subarrays', 'objective lens', 'feed array', 'dynamic range', 'antenna system']</t>
  </si>
  <si>
    <t>An antenna system with an objective lens and phase shifters at each output radiating element, combined with a multiple beam feed network, is known to provide a set of overlapped subarrays for broadband beam steering. Such systems require extremely high dynamic range from any T/R module used at the front-face of the feed. Here, it is shown that by displacing the feed array and refocusing fie individual subarrays, the dynamic range and power distribution problems can be avoided.</t>
  </si>
  <si>
    <t>1241-1243</t>
  </si>
  <si>
    <t>Mailloux, R. J.</t>
  </si>
  <si>
    <t>Bedford</t>
  </si>
  <si>
    <t>Air Force Cambridge Research Laboratories</t>
  </si>
  <si>
    <t>Mailloux R.</t>
  </si>
  <si>
    <t>Space-fed subarrays using displaced feed</t>
  </si>
  <si>
    <t>10.1049/el:20020877</t>
  </si>
  <si>
    <t>2-s2.0-0037057260</t>
  </si>
  <si>
    <t>['œµr 3', 'rf path', 'novel way', 'measured isolation', 'feeding single', 'electromagnetically coupled', '0 substrate']</t>
  </si>
  <si>
    <t>A novel way of feeding single-layer microstrip patch antennas using electromagnetically coupled microstrip-T junctions is proposed. The measured isolation and 10 dB bandwidth of an X-band dual polarised antenna are ‚àº 32 dB and 2.1%, respectively, on an Œµr 3.0 substrate. Since both ports of the antenna are electromagnetically coupled, the proposed antenna eliminates the need for capacitors in the RF path for active antenna applications.</t>
  </si>
  <si>
    <t>1240-1241</t>
  </si>
  <si>
    <t>60003858;60003858;60030553</t>
  </si>
  <si>
    <t>6602512213;7004485449;7003723658</t>
  </si>
  <si>
    <t>Kurup, D. G.;Rydberg, A.;Himdi, M.</t>
  </si>
  <si>
    <t>Rennes;Uppsala</t>
  </si>
  <si>
    <t>Universite de Rennes 1;Uppsala Universitet</t>
  </si>
  <si>
    <t>60030553;60003858</t>
  </si>
  <si>
    <t>Kurup D.</t>
  </si>
  <si>
    <t>Compact microstrip-T coupled patch antenna for dual polarisation and active antenna applications</t>
  </si>
  <si>
    <t>10.1049/el:20020866</t>
  </si>
  <si>
    <t>2-s2.0-0037057265</t>
  </si>
  <si>
    <t>['rectangular patch', 'pull mode', 'patch modifications', 'operating frequency', 'degradation due', 'circular instead']</t>
  </si>
  <si>
    <t>A new oscillating circular patch antenna with two bipolar transistors operating in push-pull mode is presented. By using a circular instead of a rectangular patch the stability of the operating frequency is increased and second-harmonic radiated power is decreased. High radiated power and very linear frequency tuning are observed. Radiation patterns show no degradation due to patch modifications.</t>
  </si>
  <si>
    <t>1238-1240</t>
  </si>
  <si>
    <t>60159855;60159855;60159855</t>
  </si>
  <si>
    <t>6602371741;35618374900;6503876212</t>
  </si>
  <si>
    <t>Bonefaƒçiƒá, D.;Bartoliƒá, J.;Mustiƒá, Z.</t>
  </si>
  <si>
    <t>University of Zagreb, Faculty of Electrical Engineering and Computing</t>
  </si>
  <si>
    <t>Bonefaƒçiƒá D.</t>
  </si>
  <si>
    <t>Circular active integrated antenna with push-pull oscillator</t>
  </si>
  <si>
    <t>10.1049/el:20020861</t>
  </si>
  <si>
    <t>2-s2.0-0037057266</t>
  </si>
  <si>
    <t>['weighted summation', 'volcanic tremor', 'vertical sensors', 'time delays', 'structural heterogeneities', 'stable directions', 'spectral method', 'sources located', 'source position', 'source location', 'slowness vectors', 'sliding window', 'several tremors', 'sensors calculated', 'seismogenic zone', 'resulting pdfs', 'probabilistic approach', 'pdf ).', 'method requiring', 'maximum likelihood', 'lp events', 'limited amount', 'four arrays', 'experiment carried', 'emergent events', 'covariance analysis', 'costa rica', 'array configuration', 'arenal volcano', 'adopted whereby', 'active crater']</t>
  </si>
  <si>
    <t>Arenal | Array | Seismology | Slowness | Tremor | Volcano</t>
  </si>
  <si>
    <t>We address the issue of locating the sources of volcanic tremor and emergent events with a method requiring a limited amount of equipment. A network of several triangular seismic antennas made of vertical sensors is used. The slowness vectors are estimated at each array on a sliding window by inverting the time delays between the sensors calculated with the cross-spectral method. A probabilistic approach is adopted whereby each measure and its error are represented by a probability density function (PDF). A weighted summation of the PDFs is carried out in which the stable directions of propagation are enhanced. The effects of the structural heterogeneities are taken into account by introducing an additional error associated to a robust hyperbolic secant (sech)- type PDF. The resulting PDFs of the back-azimuth are combined to calculate a PDF of the source location. The maximum likelihood of this PDF is taken as an estimate of the source position and its spread is characterized by a covariance analysis. Data from an experiment carried out at Arenal volcano (Costa Rica) with four arrays are analyzed. The precision and robustness of the method are tested by exploring the influence of the array configuration and other parameters. The mean standard deviation on the position of the sources is 600 m for the tremor and 400 m for the explosions and long-period (LP) events. Several tremors, explosions and LP events are analyzed and their sources located. The seismogenic zone is located in a 600 m radius area centered on the active crater.</t>
  </si>
  <si>
    <t>60019513;60019513;60019513</t>
  </si>
  <si>
    <t>6506590953;7003336814;7003987559</t>
  </si>
  <si>
    <t>M√©taxian, Jean Philippe;Lesage, Philippe;Valette, Bernard</t>
  </si>
  <si>
    <t>Chambery</t>
  </si>
  <si>
    <t>Universit√© Savoie Mont Blanc</t>
  </si>
  <si>
    <t>M√©taxian J.</t>
  </si>
  <si>
    <t>Locating sources of volcanic tremor and emergent events by seismic triangulation: Application to Arenal volcano, Costa Rica</t>
  </si>
  <si>
    <t>2-s2.0-0037058187</t>
  </si>
  <si>
    <t>['¬© 2002', 'parametric low', 'increasing frequency', 'granular media', 'diffusion regime', 'diffusion manifests', 'dependent scattering', 'dependent absorption', 'acoustic waves']</t>
  </si>
  <si>
    <t>A model of parametric transmitting antenna in granular media is developed, which takes into account velocity dispersion, frequency-dependent absorption, and frequency-dependent scattering of acoustic waves in granular media. The latter process may induce a transition from the ballistics to the diffusion regime of pump (primary) high-frequency wave propagation with increasing frequency. The conditions under which the transition from ballistics to diffusion manifests itself in the change of the demodulated (rectified) low-frequency acoustic pulse profile are established. It is demonstrated that parametric low-frequency radiation contains information on both absorption and scattering of high-frequency acoustic waves. ¬© 2002 The American Physical Society.</t>
  </si>
  <si>
    <t>60105506;60004848;60105506</t>
  </si>
  <si>
    <t>8963476900;35611098100;7003387751</t>
  </si>
  <si>
    <t>Tournat, V.;Gusev, V. E.;Castagn√®de, B.</t>
  </si>
  <si>
    <t>Tournat V.</t>
  </si>
  <si>
    <t>Influence of ballistics to diffusion transition in primary wave propagation on parametric antenna operation in granular media</t>
  </si>
  <si>
    <t>10.1103/PhysRevE.66.041303</t>
  </si>
  <si>
    <t>2-s2.0-37649026719</t>
  </si>
  <si>
    <t>['trichloroacetic acid', 'spermine ).', 'series arrangement', 'sensitive quantification', 'pair clean', 'methanol gradient', 'lower limits', 'kg ).', 'hplc analysis', 'fluorimetric detector', 'flow rate', 'coffee matrix', 'chromatographic separation', 'also reported', '5 mg', '1 ml']</t>
  </si>
  <si>
    <t>An high-performance liquid chromatography (HPLC) method is described for specific and sensitive quantification of seven biogenic amines in coffee (putrescine, cadaverine, histamine, serotonine, tyramine, spermidine, and spermine). They are extracted from the coffee matrix with trichloroacetic acid, followed by an ion-pair clean-up procedure with bis-2-ethylhexylphosphate. Finally, they are converted to the corresponding dansyl derivatives for HPLC analysis. The factors that influence the determination were carefully adjusted according to coffee matrix characteristics (extraction, clean-up, and derivatization conditions). Chromatographic separation is performed in a Kromasil C18 column, using a 0.5 mM phosphoric acid/acetonitrile/methanol gradient, at a flow rate of 1 mL/min. The effluent is monitored by a series arrangement of a diode-array detector followed by a fluorimetric detector. The present analytical method proved to be accurate, linear, and with lower limits of quantification (less than 0.5 mg/kg). Data concerning recovery and repeatability of the method are also reported.</t>
  </si>
  <si>
    <t>2535-2549</t>
  </si>
  <si>
    <t>Journal of Liquid Chromatography and Related Technologies</t>
  </si>
  <si>
    <t>60007249;60007249;60007249</t>
  </si>
  <si>
    <t>57220384476;36861443600;56329946700</t>
  </si>
  <si>
    <t>Casal, S.;Oliveira, M. B.P.P.;Ferreira, M. A.</t>
  </si>
  <si>
    <t>Casal S.</t>
  </si>
  <si>
    <t>Determination of biogenic amines in coffee by an optimized liquid chromatographic method</t>
  </si>
  <si>
    <t>10.1081/JLC-120014273</t>
  </si>
  <si>
    <t>2-s2.0-0036382586</t>
  </si>
  <si>
    <t>['southern hemisphere', 'short antennae', 'notably characterized', 'new species', 'momp √°', 'like chaetae', 'intertidal substratum']</t>
  </si>
  <si>
    <t>Exogone (Exogone) mompasensis, a new species of Exogoninae (Syllidae, Polychaeta) from the intertidal substratum of Momp√°s, coastal area located near San Sebasti√°n (Iberian Peninsula), is described. The new species is most notably characterized by the short antennae and shape of strongly modified compound spiniger-like chaetae. The new species is very similar to two other species of the Southern Hemisphere.</t>
  </si>
  <si>
    <t>676-680</t>
  </si>
  <si>
    <t>101114257;101114257;101114257</t>
  </si>
  <si>
    <t>56308993100;7801455516;7003654437</t>
  </si>
  <si>
    <t>Mart√≠nez, Juli√°n;Adarraga, Idoia;San Mart√≠n, Guillermo</t>
  </si>
  <si>
    <t>Donostia-San Sebastian</t>
  </si>
  <si>
    <t>Museo Okendo</t>
  </si>
  <si>
    <t>Mart√≠nez J.</t>
  </si>
  <si>
    <t>Exogone (Exogone) mompasensis (Polychaeta: Syllidae: Exogoninae), a new species from the Iberian Peninsula (Basque Country, Spain)</t>
  </si>
  <si>
    <t>2-s2.0-0037078151</t>
  </si>
  <si>
    <t>['œ ∏)', 'wetter range', 'water contents', 'water content', 'standard deviation', 'silt loam', 'sandy loam', 'rights reserved', 'measured range', 'm3 using', 'lysimeter data', 'lysimeter could', 'loamy sand', 'high accuracy', 'function gives', 'four lysimeters', 'depth 1', 'data results', 'comparing gpr', 'best results', '1 ghz', '01 m3', '0026 m3']</t>
  </si>
  <si>
    <t>Calibration | Dielectric constant | Ground penetrating radar | Lysimeter | Soil water content</t>
  </si>
  <si>
    <t>The ground penetration radar (GPR) can be used for soil water content measurements. To prove the accuracy of the GPR, measurements were carried out on four lysimeters (surface 1 m2, depth 1.5 m) during one vegetation period. The lysimeters were planted with lucerne and filled with three different soils: a loamy sand, a sandy loam and a silt loam. The ground water tables were at 1.35 and 2.1 m. The lysimeters were weighed, so that it was possible to calculate the changes in water content with very high accuracy. For the GPR-measurements a 1 GHz-antenna was used. Only in the sandy loam reflected signal from the bottom of the lysimeter could be obtained. The standard deviation between the GPR and the lysimeter data was 0.01 m3/m3 using all data and 0.0026 m3/m3 using only measurements in the wetter range. For this material an experimental calibration curve between the soil water content (Œ∏) and the relative dielectric constant (Œµ) was calculated by comparing GPR-results with lysimeter data. The data results in a linear function Œ∏(Œµ) for the measured range of water contents. Compared to published calibration curves used for TDR-technique, the Topp-function gives the best results. ¬© 2002 Elsevier Science B.V. All rights reserved.</t>
  </si>
  <si>
    <t>Journal of Hydrology</t>
  </si>
  <si>
    <t>60011604;60011604;60011604</t>
  </si>
  <si>
    <t>9844187000;57119712000;6602563885</t>
  </si>
  <si>
    <t>Stoffregen, H.;Zenker, T.;Wessolek, G.</t>
  </si>
  <si>
    <t>Technical University of Berlin</t>
  </si>
  <si>
    <t>Stoffregen H.</t>
  </si>
  <si>
    <t>Accuracy of soil water content measurements using ground penetrating radar: Comparison of ground penetrating radar and lysimeter data</t>
  </si>
  <si>
    <t>S0022169402001506</t>
  </si>
  <si>
    <t>10.1016/S0022-1694(02)00150-6</t>
  </si>
  <si>
    <t>2-s2.0-0037108331</t>
  </si>
  <si>
    <t>['spontaneous emission', 'special attention', 'resonance condition', 'quantum electrodynamics', 'prospective uses', 'optical components', 'numerical task', 'near fields', 'microdisk lasers', 'methods also', 'integral equations', 'given distribution', 'g .,', 'free space', 'far fields', 'emission rate', 'dieletric structure', 'cylindrical symmetry', 'also shown', '13 times']</t>
  </si>
  <si>
    <t>A full-vectorial integral equation method is presented for calculating near fields and far fields generated by a given distribution of sources located inside finite-sized dielectric structures. Special attention is given to the treatment of the singularity of the dipole source field. A method is presented for removing the dipole source field singularity from the integral equations to be solved. It is also shown how the numerical task can be reduced in the case of structures with cylindrical symmetry. The methods are applied to calculate the near fields, far fields, and the emission rate of light from a dipole source located in the center of a cylindrically symmetric dielectric disk. The emission for certain disk diameters, where a resonance condition is fulfilled, is enhanced by 13 times as compared to the emission from the same dipole source located in free space. The methods have prospective uses for analyzing the emission of light by sources in some antennas and optical components such as vertical cavity surface emitting lasers, microdisk lasers, and light emitting diodes. The methods also have prospective uses in quantum electrodynamics for studies of spontaneous emission from, e.g., an excited atom located inside a dieletric structure.</t>
  </si>
  <si>
    <t>1553091-15530913</t>
  </si>
  <si>
    <t>2-s2.0-1542278137</t>
  </si>
  <si>
    <t>['surface mounting', 'side surfaces', 'prototype using', 'experimental results', 'dual side', 'ceramic chip', '5 mm3', '1575 mhz']</t>
  </si>
  <si>
    <t>Ceramic chip antennas | GPS antennas | Microstrip antennas | Surface mountable antennas</t>
  </si>
  <si>
    <t>A novel dual side-feed circularly polarized ceramic chip antenna suitable for surface mounting on a system circuit board is presented. The antenna mainly comprises a square radiating patch, a square ground plane, and two vertical conformal strips for the dual side-feed, which are printed on the top, bottom and side surfaces of a ceramic chip. For obtaining circular polarization (CP) radiation for global positioning system (GPS) operation at 1575 MHz, a prototype using a square-disk ceramic chip of dimensions 4 √ó 17.5 √ó 17.5 mm3 and relative permittivity 45 was studied, and the experimental results are presented. ¬© 2002 Wiley Periodicals, Inc. Microwave Opt Technol Lett 35.</t>
  </si>
  <si>
    <t>137-138</t>
  </si>
  <si>
    <t>Surface-mountable dual side-feed circularly polarized ceramic chip antenna</t>
  </si>
  <si>
    <t>10.1002/mop.10538</t>
  </si>
  <si>
    <t>2-s2.0-0037145352</t>
  </si>
  <si>
    <t>['wave monopoles', 'two types', 'resonant antennas', 'peak gain', 'input impedance', 'experimentally characterized', 'acceptable bandwidth', '8 dbi']</t>
  </si>
  <si>
    <t>Meander antennas | Self-resonance antennas | Wireless communications</t>
  </si>
  <si>
    <t>Two types of self-resonant antennas, meander and sinusoidal are experimentally characterized. Input impedance, bandwidth, and radiation pattern data for such antennas are given. It is demonstrated that antennas that are 34% shorter than quarter-wave monopoles and have 3.8 dBi of peak gain can be designed with acceptable bandwidth. ¬© 2002 Wiley Periodicals, Inc. Microwave Opt Technol Lett 35.</t>
  </si>
  <si>
    <t>60018179;60003122;60003122</t>
  </si>
  <si>
    <t>7404486537;56803516700;6701392456</t>
  </si>
  <si>
    <t>Ali, M.;Stuchly, S. S.;Caputa, K.</t>
  </si>
  <si>
    <t>An experimental study of small self-resonant antennas for wireless applications</t>
  </si>
  <si>
    <t>10.1002/mop.10541</t>
  </si>
  <si>
    <t>2-s2.0-0037145354</t>
  </si>
  <si>
    <t>['two elements', 'simulated results', 'phase yield', 'phase difference', 'microwave opt', 'linearly polarized', 'equal amplitude', 'conical beam', 'circularly polarized', 'broadside pattern', 'along either', '90 ¬∞', '270 ¬∞.', '180 ¬∞', '0 ¬∞']</t>
  </si>
  <si>
    <t>Microstrip antenna | Microstrip antenna array | Shorting-post loaded microstrip antenna</t>
  </si>
  <si>
    <t>In this paper an array of four shorting post loaded square microstrip antennas (SMSA) in a cross fashion yielding conical as well as broadside radiation pattern is presented. Each element of the array is loaded with two shorting posts. The elements when fed with equal amplitude and phase yield a conical beam. A linearly polarized (LP) broadside pattern is obtained when two elements of the array, along either of the axis is fed with equal amplitude but a phase difference of 180¬∞ while a circularly polarized (CP) broadside pattern is obtained when all the elements of the array are fed with a phase difference of 0¬∞ -90¬∞ -180¬∞ -270¬∞. Experimental and simulated results are presented and are in agreement. ¬© 2002 Wiley Periodicals, Inc. Microwave Opt. Technol. Lett. 35.</t>
  </si>
  <si>
    <t>97-99</t>
  </si>
  <si>
    <t>57210543274;7102894931</t>
  </si>
  <si>
    <t>Srinivasan, Vijay;Fusco, V. F.</t>
  </si>
  <si>
    <t>Srinivasan V.</t>
  </si>
  <si>
    <t>Shorting-post loaded microstrip antenna array formation for conical and broadside radiation pattern</t>
  </si>
  <si>
    <t>10.1002/mop.10527</t>
  </si>
  <si>
    <t>2-s2.0-0037145357</t>
  </si>
  <si>
    <t>['various bistatic', 'system operated', 'return signal', 'reasonable level', 'rate mode', 'range dependence', 'optic interconnects', 'lowphotocount regime', 'expected performance', 'doppler estimates', 'data obtained', '548 œºm']</t>
  </si>
  <si>
    <t>The antenna and the Doppler estimation characteristics of a coherent pulsed lidar intended for shortrange aerosol backscatter applications have been analyzed. The system used fiber-optic interconnects and operated at a wavelength of 1.548 Œºm. The range dependence of the signal for various bistatic and monostatic antenna configurations has been determined. The system operated in a low-pulse-energy, high-pulse-repetition-rate mode, and the Doppler estimates from the return signal were achieved with a multipulse accumulation procedure. The expected performance of the accumulation in this lowphotocount regime was compared with the data obtained from the system, and a reasonable level of agreement was demonstrated. ¬© 2002 Optical Society of America.</t>
  </si>
  <si>
    <t>6442-6450</t>
  </si>
  <si>
    <t>60002731;60002731;60002731;60002731</t>
  </si>
  <si>
    <t>7201899383;35509230900;6505829497;55953007700</t>
  </si>
  <si>
    <t>Pearson, Guy N.;Roberts, P. John;Eacock, Justin R.;Harris, Michael</t>
  </si>
  <si>
    <t>Pearson G.</t>
  </si>
  <si>
    <t>Analysis of the performance of a coherent pulsed fiber lidar for aerosol backscatter applications</t>
  </si>
  <si>
    <t>10.1364/AO.41.006442</t>
  </si>
  <si>
    <t>2-s2.0-0037145480</t>
  </si>
  <si>
    <t>['time scale', 'rights reserved', 'produced hits', 'polarization measurement', 'individually read', 'incident high', 'bonn university', 'accumulated rather']</t>
  </si>
  <si>
    <t>Compton scattering | Microstrip detector | Polarimetry | Polarization</t>
  </si>
  <si>
    <t>A detector for the detection of laser photons backscattered off an incident high-energy electron beam for precision Compton polarimetry in the 3.5 GeV electron stretcher ring ELSA at Bonn University has been developed using individual photon counting. The photon counting detector is based on a silicon microstrip detector system using dedicated ASIC chips. The produced hits by the pair converted Compton photons are accumulated rather than individually read out. A transverse profile displacement can be measured with Œºm accuracy rendering a polarization measurement of the order of 1% on the time scale of 10-15 min possible. ¬© 2002 Elsevier Science B.V. All rights reserved.</t>
  </si>
  <si>
    <t>356-364</t>
  </si>
  <si>
    <t>Nuclear Instruments and Methods in Physics Research, Section A: Accelerators, Spectrometers, Detectors and Associated Equipment</t>
  </si>
  <si>
    <t>60007493;60007493;60007493;60007493;60007493;60007493</t>
  </si>
  <si>
    <t>57198021488;57202725828;24288947400;57223630390;15753086200;8903094300</t>
  </si>
  <si>
    <t>Doll, D.;Fischer, P.;Hillert, W.;Kr√ºger, H.;Stammschroer, K.;Wermes, N.</t>
  </si>
  <si>
    <t>Bonn</t>
  </si>
  <si>
    <t>Universit√§t Bonn</t>
  </si>
  <si>
    <t>Doll D.</t>
  </si>
  <si>
    <t>A counting silicon microstrip detector for precision compton polarimetry</t>
  </si>
  <si>
    <t>S0168900202013967</t>
  </si>
  <si>
    <t>10.1016/S0168-9002(02)01396-7</t>
  </si>
  <si>
    <t>2-s2.0-0037152365</t>
  </si>
  <si>
    <t>['‚ äô', 'white dwarf', 'radius ra', 'probability pr', 'period p', 'p )(', 'nearby galaxies', 'law cusp', 'galactic cusps', 'function k', 'formation rate', 'cusp profile', 'compact object', 'black hole', 'amplitude sufficient', '9 k', '5 k', '3 [(', '2 yr']</t>
  </si>
  <si>
    <t>Black hole physics | Galaxies: nuclei</t>
  </si>
  <si>
    <t>The formation rate of a close binary consisting of a super-massive black hole and a compact object (presumably a white dwarf) in galactic cusps is calculated with the help of the so-called loss cone approximation. For a power-law cusp of radius ra, the black hole mass M ‚àº 106 M‚äô, and the fraction of the compact objects Œ¥ ‚àº 0.1, this rate ·πÑwd ‚àº 4 ¬∑ 10-5 K (p) ‚àö[(GM)/(r3a)] ‚âà 3 √ó 10-9 K (p)(M/106M‚äô)1/2(ra/1 pc)-3/2 yr-1. The function K (p) depends on parameter p determining the cusp profile, and for the standard cusp profiles with p = 1/4, K (p) ‚àº 2. We estimate the probability Pr of finding of a compact object orbiting around a black hole with the period P in one particular galaxy to be Pr ‚àº 10-7[(P/103 s)(M/106 M‚äô)]8/3[(M/106 M‚äô)/(ra/1 pc)]3/2. The object with the period P ‚àº 103 s emits gravitational waves with amplitude sufficient to be detected by the LISA-type gravitational wave antenna from the distance ‚àº103 Mpc. Based on estimates of masses of super-massive black holes in nearby galaxies, we speculate that LISA would detect several such events during its mission.</t>
  </si>
  <si>
    <t>373-381</t>
  </si>
  <si>
    <t>60009114-60022109</t>
  </si>
  <si>
    <t>Ivanov, P. B.</t>
  </si>
  <si>
    <t>United Kingdom;Russian Federation</t>
  </si>
  <si>
    <t>London;Moscow</t>
  </si>
  <si>
    <t>Queen Mary University of London;P.N. Lebedev Physical Institute of the Russian Academy of Sciences</t>
  </si>
  <si>
    <t>60022109;60009114</t>
  </si>
  <si>
    <t>Ivanov P.</t>
  </si>
  <si>
    <t>On the formation rate of close binaries consisting of a super-massive black hole and a white dwarf</t>
  </si>
  <si>
    <t>10.1046/j.1365-8711.2002.05733.x</t>
  </si>
  <si>
    <t>2-s2.0-0042814884</t>
  </si>
  <si>
    <t>['test facility', 'statorless rotors', 'stability analysis', 'spinning rotor', 'sometimes equipped', 'rotating systems', 'herewith analyzed', 'galileo galilei', 'fixed rotors', 'experimental investigation', 'dynamic behaviour', 'classical rotordynamics']</t>
  </si>
  <si>
    <t>Dynamic stability | FEM | Rotordynamics | Unbalance</t>
  </si>
  <si>
    <t>Some small scientific satellites can be regarded as free, multi-body, supercritical and statorless rotors. Classical rotordynamics does not cover the dynamic behaviour and the stability analysis of such rotating systems, being focused on fixed rotors. Attitude dynamics usually deals with single rigid spacecrafts, sometimes equipped with flexible appendices like solar arrays or antennas. The case of the Galileo Galilei Ground (GGG) test facility is herewith analyzed through a numerical and experimental investigation on the dynamic behaviour of a fixed multibody fast-spinning rotor in order to validate the design approach proposed for Galileo Galilei (GG) spacecraft.</t>
  </si>
  <si>
    <t>239-254</t>
  </si>
  <si>
    <t>60025965;60012162</t>
  </si>
  <si>
    <t>6602178629;7801441036</t>
  </si>
  <si>
    <t>Brusa, Eugenio;Zolfini, Giacomo</t>
  </si>
  <si>
    <t>Udine;Turin</t>
  </si>
  <si>
    <t>Universit√† degli Studi di Udine;Politecnico di Torino</t>
  </si>
  <si>
    <t>Brusa E.</t>
  </si>
  <si>
    <t>Dynamics of multi-body rotors: Numerical and experimental FEM analysis of the scientific earth experiment Galileo Galilei Ground</t>
  </si>
  <si>
    <t>10.1023/A:1020147020815</t>
  </si>
  <si>
    <t>2-s2.0-0036391302</t>
  </si>
  <si>
    <t>FMRX-CT98-0214</t>
  </si>
  <si>
    <t>['smaller antennas', 'rights reserved', 'rich antenna', 'reaction centres', 'reaction centre', 'protein via', 'possible organisation', 'photosynthetic antenna', 'large antenna', 'estimated number', 'cyanobacterial type', 'cp43 associated', 'axial ligand', 'antenna bacteriochlorophylls', 'also extended']</t>
  </si>
  <si>
    <t>Bacteriochlorophyll | Chlorophyll | Light harvesting | Membrane protein | Photosynthesis | Reaction centre</t>
  </si>
  <si>
    <t>The (bacterio)chlorophylls of photosynthetic antenna and reaction centre complexes are bound to the protein via a fifth, axial ligand to the central magnesium atom. A number of the amino acids identified as providing such ligands are conserved between the large antenna of the cyanobacterial Type-I reaction centre and smaller antennas of the Type-I reaction centres of green sulphur bacteria and heliobacteria, and these numbers match closely the estimated number of antenna bacteriochlorophylls in the latter. The possible organisation of the antenna in the latter reaction centres is discussed, as is the mechanism by which the more pigment-rich antenna of the cyanobacterial reaction centre evolved. The homology modelling approach is also extended to the six-helix antenna proteins CP47 and CP43 associated with the Photosystem II reaction centre. ¬© 2002 Federation of European Biochemical Societies. Published by Elsevier Science B.V. All rights reserved.</t>
  </si>
  <si>
    <t>117-123</t>
  </si>
  <si>
    <t>60020650;60020650;60022109</t>
  </si>
  <si>
    <t>6701644096;8247663200;7006179200</t>
  </si>
  <si>
    <t>Fyfe, Paul K.;Jones, Michael R.;Heathcote, Peter</t>
  </si>
  <si>
    <t>London;Bristol</t>
  </si>
  <si>
    <t>Queen Mary University of London;University of Bristol</t>
  </si>
  <si>
    <t>60022109;60020650</t>
  </si>
  <si>
    <t>Fyfe P.K.</t>
  </si>
  <si>
    <t>Insights into the evolution of the antenna domains of Type-I and Type-II photosynthetic reaction centres through homology modelling</t>
  </si>
  <si>
    <t>S0014579302034361</t>
  </si>
  <si>
    <t>10.1016/S0014-5793(02)03436-1</t>
  </si>
  <si>
    <t>2-s2.0-0037163880</t>
  </si>
  <si>
    <t>['uses chlorophyll', 'upon excitation', 'time constants', 'rights reserved', 'reaction center', 'primary photochemistry', 'primary charge', 'femtosecond spectroscopy', 'excitation quenching', 'acaryochloris marina', '630 nm']</t>
  </si>
  <si>
    <t>Acaryochloris marina | Charge separation | Chlorophyll d | Photosynthesis | Photosystem I | Reaction center</t>
  </si>
  <si>
    <t>Primary photochemistry in photosystem I (PS I) reaction center complex from Acaryochloris marina that uses chlorophyll d instead of chlorophyll a has been studied with a femtosecond spectroscopy. Upon excitation at 630 nm, almost full excitation equilibration among antenna chlorophylls and 40% of the excitation quenching by the reaction center are completed with time constants of 0.6(¬±0.1) and 4.9(¬±0.6) ps, respectively. The rise and decay of the primary charge-separated state proceed with apparent time constants of 7.2(¬±0.9) and 50(¬±10) ps, suggesting the reduction of the primary electron acceptor chlorophyll (A0) and its reoxidation by phylloquinone (A1), respectively. ¬© 2002 Federation of European Biochemical Societies. Published by Elsevier Science B.V. All rights reserved.</t>
  </si>
  <si>
    <t>153-157</t>
  </si>
  <si>
    <t>60011375;60011375;60027553;60022148;60000264</t>
  </si>
  <si>
    <t>6701808838;15752589900;55974981900;7201981957;55684257100</t>
  </si>
  <si>
    <t>Kumazaki, Shigeichi;Abiko, Kazuki;Ikegami, Isamu;Iwaki, Masayo;Itoh, Shigeru</t>
  </si>
  <si>
    <t>Japan;United Kingdom;Japan;Japan</t>
  </si>
  <si>
    <t>Tokyo;London;Nomi;Nagoya</t>
  </si>
  <si>
    <t>Teikyo University;University College London;Japan Advanced Institute of Science and Technology;Nagoya University</t>
  </si>
  <si>
    <t>60027553;60022148;60011375;60000264</t>
  </si>
  <si>
    <t>Kumazaki S.</t>
  </si>
  <si>
    <t>Energy equilibration and primary charge separation in chlorophyll d-based photosystem I reaction center isolated from Acaryochloris marina</t>
  </si>
  <si>
    <t>S0014579302034464</t>
  </si>
  <si>
    <t>10.1016/S0014-5793(02)03446-4</t>
  </si>
  <si>
    <t>2-s2.0-0037163899</t>
  </si>
  <si>
    <t>McKnight Endowment Fund for Neuroscience</t>
  </si>
  <si>
    <t>['three classes', 'synaptic transmission', 'symmetric ensemble', 'specific ensemble', 'projection neurons', 'odor specificity', 'odor presentations', 'natural odors', 'local interneurons', 'insect counterpart', 'input suggest', 'dynamic templates', 'antennal lobe']</t>
  </si>
  <si>
    <t>Three classes of neurons form synapses in the antennal lobe of Drosophila, the insect counterpart of the vertebrate olfactory bulb: olfactory receptor neurons, projection neurons, and inhibitory local interneurons. We have targeted a genetically encoded optical reporter of synaptic transmission to each of these classes of neurons and visualized population responses to natural odors. The activation of an odor-specific ensemble of olfactory receptor neurons leads to the activation of a symmetric ensemble of projection neurons across the glomerular synaptic relay. Virtually all excited glomeruli receive inhibitory input from local interneurons. The extent, odor specificity, and partly interglomerular origin of this input suggest that inhibitory circuits assemble combinatorially during odor presentations. These circuits may serve as dynamic templates that extract higher order features from afferent activity patterns.</t>
  </si>
  <si>
    <t>463-474</t>
  </si>
  <si>
    <t>Neuron</t>
  </si>
  <si>
    <t>60009343;60009343;60009343;60009343;60009343;60009343</t>
  </si>
  <si>
    <t>7202076463;7004690302;8410261400;6603388863;6603479914;6604040842</t>
  </si>
  <si>
    <t>Ng, Minna;Roorda, Robert D.;Lima, Susana Q.;Zemelman, Boris V.;Morcillo, Patrick;Miesenb√∂ck, Gero</t>
  </si>
  <si>
    <t>Memorial Sloan-Kettering Cancer Center</t>
  </si>
  <si>
    <t>Ng M.</t>
  </si>
  <si>
    <t>Transmission of olfactory information between three populations of neurons in the antennal lobe of the fly</t>
  </si>
  <si>
    <t>S0896627302009753</t>
  </si>
  <si>
    <t>10.1016/S0896-6273(02)00975-3</t>
  </si>
  <si>
    <t>2-s2.0-0037168107</t>
  </si>
  <si>
    <t>['thin 48', 'silicon wafer', 'results showed', 'package cavity', 'microstrip antenna', 'impedance bandwidth', 'ball cavity', '6 dbi', '15 ghz']</t>
  </si>
  <si>
    <t>The integration of a microstrip antenna on a thin 48-ball cavity-down ceramic grid array package was studied. A piece of silicon wafer was loaded to the package cavity to model the bare wireless tranceiver. The results showed that the integrated antenna achieved an impedance bandwidth of 1.25% and gain of 4.6 dBi at 5.15 GHz.</t>
  </si>
  <si>
    <t>1307-1308</t>
  </si>
  <si>
    <t>Integration of microstrip antenna on cavity-down ceramic ball grid array package</t>
  </si>
  <si>
    <t>10.1049/el:20020937</t>
  </si>
  <si>
    <t>2-s2.0-0037168135</t>
  </si>
  <si>
    <t>['squinted case', 'results showed', 'quality enhancement', 'phase corrections', 'mapping applications', 'interferometric techniques']</t>
  </si>
  <si>
    <t>Synthetic aperture radar (SAR) interferometric techniques for mapping applications were presented. The phase corrections in the squinted case for digital elevation models (DEM) quality enhancement were validated. Results showed the presence of limitations that were overcome by the proposed phase correction.</t>
  </si>
  <si>
    <t>1380-1382</t>
  </si>
  <si>
    <t>7005813194;6701487431;7004104911;57211128068</t>
  </si>
  <si>
    <t>Bara, M.;Prats, P.;Mallorqui, J. J.;Lopez, J.</t>
  </si>
  <si>
    <t>Bara M.</t>
  </si>
  <si>
    <t>Validation of SAR interferometric phase corrections in the squinted case for DEM quality enhancement</t>
  </si>
  <si>
    <t>10.1049/el:20020894</t>
  </si>
  <si>
    <t>2-s2.0-0037168166</t>
  </si>
  <si>
    <t>['standard equations', 'resonant frequencies', 'experimental values', 'error less', 'circular arcs', '2 %.']</t>
  </si>
  <si>
    <t>The formula for the calculation of the resonant frequencies of a circular sided compact dual-port microstrip antenna was studied. The standard equations were modified to take into the account the effect of different arc radius and the displacement between the centres of circular arcs in geometry. The results showed good agreement with experimental values with an error less than 2%.</t>
  </si>
  <si>
    <t>1310-1311</t>
  </si>
  <si>
    <t>6603090729;7004989005;7004362848;57218539158;56259735900</t>
  </si>
  <si>
    <t>Kundukulam, S. O.;Paulson, M.;Aanandan, C. K.;Mohanan, P.;Nair, K. G.</t>
  </si>
  <si>
    <t>Resonant frequencies of circular-sided dual-port microstrip antenna</t>
  </si>
  <si>
    <t>10.1049/el:20020956</t>
  </si>
  <si>
    <t>2-s2.0-0037168187</t>
  </si>
  <si>
    <t>['smaller length', 'slotted arms', 'shaped slots', 'proposed design', 'proposed antenna', 'embedded u', 'band operation']</t>
  </si>
  <si>
    <t>Dual-band operation of a printed dipole antenna with U-slotted arms is presented. Due to the embedded U-shaped slots, two additional dipole arms are obtained in the proposed design, which form a second dipole antenna with a smaller length and which can generate a higher resonant mode for the 5.2 GHz band operation. By incorporating the original dipole arms designed for the 2.4 GHz band operation, the proposed antenna can perform WLAN operations in the 2.4 and 5.2 GHz bands.</t>
  </si>
  <si>
    <t>1308-1309</t>
  </si>
  <si>
    <t>60011357;60002069;60011357</t>
  </si>
  <si>
    <t>7402819936;7501612418;35460663000</t>
  </si>
  <si>
    <t>Su, Chih Ming;Chen, Hong Twu;Wong, Kin Lu</t>
  </si>
  <si>
    <t>Printed dual-band dipole antenna with U-slotted arms for 2.4/5.2 GHz WLAN operation</t>
  </si>
  <si>
    <t>10.1049/el:20020919</t>
  </si>
  <si>
    <t>2-s2.0-0037168196</t>
  </si>
  <si>
    <t>['shaped feedline', 'operation bandwidth', 'measured bandwidth', 'low value', 'investigated experimentally', 'antenna gain']</t>
  </si>
  <si>
    <t>A annular slot antenna with cross-shaped feedline has been investigated experimentally to obtain a large bandwidth enhancement. The voltage standing wave ratio (VSWR), radiation pattern, and antenna gain of this configuration are presented. Although the use of a high relative permittivity (Œµr=4.3) substrate usually restricts the operation bandwidth, the radiation resistance also was a low value. The measured bandwidth is ‚àº 108.4% (2.0 ‚â•VSWR).</t>
  </si>
  <si>
    <t>1305-1307</t>
  </si>
  <si>
    <t>Experimental study of wideband printed annular slot antenna with cross-shaped feedline</t>
  </si>
  <si>
    <t>10.1049/el:20020938</t>
  </si>
  <si>
    <t>2-s2.0-0037168201</t>
  </si>
  <si>
    <t>['vacuum chamber', 'structural characterizations', 'rights reserved', 'results showed', 'raman spectroscopy', 'psii ).', 'ni tubes', 'metal tubes', 'inner diameters', 'implanted surfaces', 'generated plasma', 'extract ions', 'carbon ions', 'carbon implantation', 'acetylene psii', 'acetylene gases', '6 mm', '15 kv', '10 œºs', '1 khz']</t>
  </si>
  <si>
    <t>DLC | Implantation | Inner | PSII | Tube</t>
  </si>
  <si>
    <t>Nitrogen and carbon ions were implanted into the inner wall surface of 304 austenitic type stainless steel and Ni tubes with inner diameters of 0.9, 2 and 1.6 mm, by a plasma source ion implantation (PSII). These 30 mm long substrate tubes were fixed to an alumina ceramic tube in a vacuum chamber, fed with nitrogen and acetylene gases. A 2.45 GHz microwave was supplied to an antenna in the alumina ceramic tube and plasma was produced by a coaxial electron cyclotron resonance (ECR) discharge in this tube. A negative high voltage pulse of 15 kV (1 kHz, 10 Œºs) was applied to the steel and Ni tubes to extract ions from the generated plasma. The compositional and structural characterizations of the implanted surfaces were carried out using Auger electron spectroscopy and Raman spectroscopy. The results showed that uniform nitrogen ion implantation into the millimeter size inner wall surface of metal tubes was achieved by the PSII. Carbon implantation and subsequent diamond like carbon (DLC) coating was confirmed for the inner wall surface treated by acetylene PSII. ¬© 2002 Elsevier Science B.V. All rights reserved.</t>
  </si>
  <si>
    <t>741-743</t>
  </si>
  <si>
    <t>158-159</t>
  </si>
  <si>
    <t>60028815;60028815</t>
  </si>
  <si>
    <t>55964930200;7004211941</t>
  </si>
  <si>
    <t>Baba, Koumei;Hatada, Ruriko</t>
  </si>
  <si>
    <t>Omura</t>
  </si>
  <si>
    <t>Industrial Technology Center of Nagasaki</t>
  </si>
  <si>
    <t>Baba K.</t>
  </si>
  <si>
    <t>Ion implantation into inner wall surface of millimeter size diameter steel tube by plasma source ion implantation</t>
  </si>
  <si>
    <t>S0257897202002840</t>
  </si>
  <si>
    <t>10.1016/S0257-8972(02)00284-0</t>
  </si>
  <si>
    <t>2-s2.0-0036396048</t>
  </si>
  <si>
    <t>['trichoid sensilla', 'studied using', 'sixth instars', 'similar numbers', 'siblings reared', 'numbers added', 'major reductions', 'lettuce resulted', 'individual insect', 'greater numbers', 'fourth instars', 'first instar', 'exuviae produced', 'coeloconic sensilla', 'artificial diet']</t>
  </si>
  <si>
    <t>Antenna | Development | Exuviae | Grasshopper | Phenotypic variation | Sensilla</t>
  </si>
  <si>
    <t>The development of diet-induced phenotypic differences in numbers of sensilla on the antennae of the grasshopper Schistocerca americana was studied using the exuviae produced at each molt. This made it possible to follow changes within an individual insect. In the first instar, insects had similar numbers of four sensillum types: uniporous trichoid sensilla, coeloconic sensilla, and large and small multiporous basiconic sensilla. Rearing on lettuce resulted in sixth instars with greater numbers of three sensillum types than siblings reared on an artificial diet. The first statistically significant differences between treatments in numbers of trichoid sensilla and large basiconic sensilla occurred in the third and fourth instars, respectively. No major reductions in sensillum numbers occurred at any time and the phenotypic differences resulted from differences in the numbers added at each molt. ¬© 2002 Wiley-Liss, Inc.</t>
  </si>
  <si>
    <t>186-194</t>
  </si>
  <si>
    <t>Chapman, R. F.</t>
  </si>
  <si>
    <t>Chapman R.</t>
  </si>
  <si>
    <t>Development of phenotypic differences in sensillum populations on the antennae of a grasshopper, Schistocerca americana</t>
  </si>
  <si>
    <t>10.1002/jmor.10026</t>
  </si>
  <si>
    <t>2-s2.0-0036829165</t>
  </si>
  <si>
    <t>['testing methods', 'successfully launched', 'rights reserved', 'reasonable complexity', 'paper describes', 'maximum diameter', 'many features', 'deployable antenna', 'characteristics verification', 'cause difficulties', 'basic study']</t>
  </si>
  <si>
    <t>A deployable antenna of 10 m maximum diameter has been developed in the so-called tensioned cable truss scheme. This type of antennas have many features in comparison with conventional deployable antennas, some of which cause difficulties in characteristics verification. This paper describes the verification and testing methods of the antenna with a reasonable complexity and cost in the stages of basic study and manufacturing, and after launch. As a result, the antenna was successfully launched and deployed in February, 1997. ¬© 2002 Elsevier Science Ltd. All rights reserved.</t>
  </si>
  <si>
    <t>771-778</t>
  </si>
  <si>
    <t>60000809;60000809;60101699;60101699</t>
  </si>
  <si>
    <t>7402167894;8591515900;7202855118;55471626900</t>
  </si>
  <si>
    <t>Takano, Tadashi;Natori, Michihiro;Miyoshi, Kazuo;Inoue, Toshio</t>
  </si>
  <si>
    <t>Tokyo;Sagamihara</t>
  </si>
  <si>
    <t>Mitsubishi Electric Corporation;JAXA Institute of Space and Astronautical Science</t>
  </si>
  <si>
    <t>60101699;60000809</t>
  </si>
  <si>
    <t>Takano T.</t>
  </si>
  <si>
    <t>Characteristics verification of a deployable onboard antenna of 10 m maximum diameter</t>
  </si>
  <si>
    <t>S0094576502000255</t>
  </si>
  <si>
    <t>10.1016/S0094-5765(02)00025-5</t>
  </si>
  <si>
    <t>2-s2.0-0036836655</t>
  </si>
  <si>
    <t>Foundation for Research, Science and Technology</t>
  </si>
  <si>
    <t>CO6702</t>
  </si>
  <si>
    <t>FRST</t>
  </si>
  <si>
    <t>['wild populations', 'tetradecenyl acetate', 'tetradecadienyl acetate', 'taken together', 'specific pcr', 'slow forms', 'six substitutions', 'sex pheromone', 'ser63thr ).', 'segregating pattern', 'rights reserved', 'radio labelled', 'protein away', 'postvittana pheromone', 'pbps ).', 'pbp may', 'pbp locus', 'pbp gene', 'one substitution', 'native western', 'native page', 'mapping onto', 'genomic dna', 'gel assays', 'female e', 'female antennae', 'fast form', 'fall close', 'epiphyas postvittana', 'eleven cdnas', 'distinct mobilities', 'dimensional structure', 'bombyx mori', 'biochemical data', 'amplified using', 'also expressed', '3 ).']</t>
  </si>
  <si>
    <t>Epiphyas postvittana | Pheromone | Pheromone binding protein</t>
  </si>
  <si>
    <t>The light brown apple moth, Epiphyas postvittana (Tortricidae: Lepidoptera) uses a blend of (E)-11-tetradecenyl acetate and (E,E)-9,11-tetradecadienyl acetate as its sex pheromone. Odorant binding proteins, abundant in the antennae of male and female E. postvittana, were separated by native PAGE to reveal four major proteins with distinct mobilities. Microsequencing of their N-terminal residues showed that two were general odorant binding proteins (GOBPs) while two were pheromone binding proteins (PBPs). Full length cDNAs encoding these proteins were amplified using a combination of PCR and RACE-PCR. Sequence of the GOBPs revealed two genes (EposGOBP1, EposGOBP2), similar to orthologues in other species of Lepidoptera. Eleven cDNAs of the PBP gene were amplified, cloned and sequenced revealing two major phylogenetic clusters of PBP sequences differing by six amino acid substitutions. The position of the six amino acid differences on the protein was predicted by mapping onto the three-dimensional structure of PBP of Bombyx mori. All six substitutions were predicted to fall on the outside of the protein away from the inner pheromone binding pocket. One substitution does fall close to the putative dimerisation region of the protein (Ser63Thr). Expression of three of the cDNAs in a baculovirus expression system revealed that one class encodes an electrophoretically slow form (EposPBP1-12) while the other encodes a fast form (EposPBP1-2, EposPBP1-3). A native Western of these expressed proteins compared with antennal protein extracts demonstrated that PBP is also expressed in female antennae and that PBP may be present as a dimer as well as a monomer in E. postvittana. The fast and slow forms of EposPBP1 are allelic. Westerns on single antennal pair protein extracts and allele-specific PCR from genomic DNA both show a segregating pattern of inheritance in laboratory and wild populations. Radio labelled (E)-11-tetradecenyl acetate binds to both fast and slow PBP forms in gel assays. Taken together, the genetic and biochemical data do not support the hypothesis that these PBPs are specific for each component of the E. postvittana pheromone. However, duplication of this PBP locus in the future might allow such diversification to evolve, as observed in the other species. ¬© 2002 Elsevier Science Ltd. All rights reserved.</t>
  </si>
  <si>
    <t>1543-1554</t>
  </si>
  <si>
    <t>Insect Biochemistry and Molecular Biology</t>
  </si>
  <si>
    <t>60003436;60003436-60115431;60003436;60003436</t>
  </si>
  <si>
    <t>7103019398;6508218985;15749301400;35233357400</t>
  </si>
  <si>
    <t>Newcomb, R. D.;Sirey, T. M.;Rassam, M.;Greenwood, D. R.</t>
  </si>
  <si>
    <t>Auckland;Auckland</t>
  </si>
  <si>
    <t>School of Biological Sciences;Horticulture and Food Research Institute of New Zealand Ltd.</t>
  </si>
  <si>
    <t>60115431;60003436</t>
  </si>
  <si>
    <t>Newcomb R.D.</t>
  </si>
  <si>
    <t>Pheromone binding proteins of Epiphyas postvittana (Lepidoptera: Tortricidae) are encoded at a single locus</t>
  </si>
  <si>
    <t>S0965174802000759</t>
  </si>
  <si>
    <t>10.1016/S0965-1748(02)00075-9</t>
  </si>
  <si>
    <t>2-s2.0-0036837104</t>
  </si>
  <si>
    <t>OPG0090391</t>
  </si>
  <si>
    <t>['wireless communications', 'theoretically satisfying', 'system theory', 'standard linear', 'spectral masks', 'real lemmas', 'provide include', 'practical interest', 'often approximated', 'narrowband beamformers', 'lower bounds', 'known positive', 'infinite number', 'fir filtering', 'diverse class', 'discretization techniques', 'current practice', 'allows us']</t>
  </si>
  <si>
    <t>Beamforming | FIR digital filter design | Optimization | Spectral masks</t>
  </si>
  <si>
    <t>The design of a finite impulse response (FIR) filter often involves a spectral "mask" that the magnitude spectrum must satisfy. The mask specifies upper and lower bounds at each frequency and, hence, yields an infinite number of constraints. In current practice, spectral masks are often approximated by discretization, but in this paper, we will derive a result that allows us to precisely enforce piecewise constant and piecewise trigonometric polynomial masks in a finite and convex manner via linear matrix inequalities. While this result is theoretically satisfying in that it allows us to avoid the heuristic approximations involved in discretization techniques, it is also of practical interest because it generates competitive design algorithms (based on interior point methods) for a diverse class of FIR filtering and narrowband beamforming problems. The examples we provide include the design of standard linear and nonlinear phase FIR filters, robust "chip" waveforms for wireless communications, and narrowband beamformers for linear antenna arrays. Our main result also provides a contribution to system theory, as it is an extension of the well-known Positive-Real and bounded-real Lemmas.</t>
  </si>
  <si>
    <t>2702-2715</t>
  </si>
  <si>
    <t>60089889-60031828;60089889-60031828;60017145</t>
  </si>
  <si>
    <t>24530118000;26643071000;7202195315</t>
  </si>
  <si>
    <t>Davidson, Timothy N.;Luo, Zhi Quan;Sturm, Jos F.</t>
  </si>
  <si>
    <t>Canada;Canada;Netherlands</t>
  </si>
  <si>
    <t>Dundas;Hamilton;Tilburg</t>
  </si>
  <si>
    <t>IEEE Canada;McMaster University;Tilburg University</t>
  </si>
  <si>
    <t>60089889;60031828;60017145</t>
  </si>
  <si>
    <t>Davidson T.N.</t>
  </si>
  <si>
    <t>Linear matrix inequality formulation of spectral mask constraints with applications to FIR filter design</t>
  </si>
  <si>
    <t>10.1109/TSP.2002.804079</t>
  </si>
  <si>
    <t>2-s2.0-0036842590</t>
  </si>
  <si>
    <t>['transcendental equations', 'rather difficult', 'presented methods', 'numerical solution', 'numerical methods', 'numerical examples', 'novel approach', 'kuhn algorithm', 'iterative methods', 'initial values', 'first time', 'electromagnetic theory', 'electromagnetic problems', 'contour integral', 'complex polynomial', 'also described']</t>
  </si>
  <si>
    <t>Complex transcendental equation | Computational electromagnetics | Kuhn algorithm | Polynomial</t>
  </si>
  <si>
    <t>In the fields of electromagnetic theory and engineering the numerical solution to complex polynomial and transcendental equations is a frequently encountered problem. In general, iterative methods are used to resolve those equations. However, the iterative method needs the initial values and the selection of those is rather difficult. In this article the Kuhn algorithm is introduced for the first time and a novel approach (the Kuhn algorithm with contour integral) for resolving complex transcendental equations in electromagnetic theory is reported. Numerical examples are given to confirm the validity of the numerical methods. The application of the approaches to electromagnetic problems is also described. The presented methods are ultraconvenient because no initial value selection is required. ¬© 2002 Wiley Periodicals, Inc. Int. J. RF and Microwave CAE 12.</t>
  </si>
  <si>
    <t>540-547</t>
  </si>
  <si>
    <t>60021182;60013983</t>
  </si>
  <si>
    <t>55911335300;7101878862</t>
  </si>
  <si>
    <t>Long, Yunliang;Yung, Edward K.N.</t>
  </si>
  <si>
    <t>Guangzhou;Kowloon</t>
  </si>
  <si>
    <t>Sun Yat-Sen University;City University of Hong Kong</t>
  </si>
  <si>
    <t>Kuhn algorithm: Ultraconvenient solver to complex polynomial and transcendental equations without initial value selection</t>
  </si>
  <si>
    <t>10.1002/mmce.10054</t>
  </si>
  <si>
    <t>2-s2.0-0036843425</t>
  </si>
  <si>
    <t>['slot width', 'shaped microstrip', 'return loss', 'radiation resistance', 'radiation pattern', 'proposed antenna', 'low value', 'good agreement', 'frequency domain', 'fourier transforming', 'fed structure', 'experimental data', 'experimental bandwidth', 'conventional antenna', 'center frequency', 'calculated results', 'approximately 50', 'analyzed using', '3 ghz', '16 mm']</t>
  </si>
  <si>
    <t>Feed line | Finite difference time domain | Large band | Microstrip antenna</t>
  </si>
  <si>
    <t>The characteristics of a reverse-L-shaped microstrip-fed structure is analyzed using the finite difference time domain method, and the characteristics of the proposed antenna are compared with a conventional antenna. The return loss, radiation resistance, and voltage-standing wave ratio in the frequency domain are calculated by Fourier transforming the time domain results. When the proposed feed structure is used, the bandwidth is extended in proportion to the slot width and the radiation resistance has the low value. When the slot width is 16 mm, the experimental bandwidth is approximately 50% (-10 dB ‚â• S11) at the center frequency of 2.3 GHz. In addition, the experimental data for the impedance and radiation pattern of the antenna are described. They are in good agreement with the calculated results. ¬© 2002 Wiley Periodicals, Inc. Int. J. RF and Microwave CAE 12.</t>
  </si>
  <si>
    <t>496-502</t>
  </si>
  <si>
    <t>Characteristic analysis of reverse-L-shaped microstrip-fed large-bandwidth printed slot antenna</t>
  </si>
  <si>
    <t>10.1002/mmce.10055</t>
  </si>
  <si>
    <t>2-s2.0-0036844684</t>
  </si>
  <si>
    <t>['transmission lines', 'single antennas', 'resulting amplitudes', 'numerical methods', 'multichannel three', 'measured data', 'interaction matrices', 'impedance matching', 'forward waves', 'fed independently', 'difference time', 'calculations made', 'average difference', 'antenna feed', '20 ¬∞']</t>
  </si>
  <si>
    <t>Antenna phased array | Differential probe measurements | FDTD method | Hyperthermia | Impedance matching networks</t>
  </si>
  <si>
    <t>Experimental and numerical methods were used to determine the coupling of energy in a multichannel three-dimensional hyperthermia applicator (SIGMA-Eye), consisting of 12 short dipole antenna pairs with stubs for impedance matching. The relationship between the amplitudes and phases of the forward waves from the amplifiers, to the resulting amplitudes and phases at the antenna feed-points was determined in terms of interaction matrices. Three measuring methods were used: 1) a differential probe soldered directly at the antenna feed-points; 2) an E-field sensor placed near the feed-points; and 3) measurements were made at the outputs of the amplifier. The measured data were compared with finite-difference time-domain (FDTD) calculations made with three different models. The first model assumes that single antennas are fed independently. The second model simulates antenna pairs connected to the transmission lines. The measured data correlate best with the latter FDTD model, resulting in an improvement of more than 20% and 20¬∞ (average difference in amplitudes and phases) when compared with the two simpler FDTD models.</t>
  </si>
  <si>
    <t>1348-1359</t>
  </si>
  <si>
    <t>60000251-60026245;60026245;60000251-60016827;60016827;60026245;60026245;60032824;60026245</t>
  </si>
  <si>
    <t>6701796687;6602002794;15741018800;7402095441;7003499959;6603902469;7003738543;7004987139</t>
  </si>
  <si>
    <t>Nadobny, Jacek;F√§hling, Horst;Hagmann, Mark J.;Turner, Paul F.;Wlodarczyk, Waldemar;Gellermann, Johanna M.;Deuflhard, Peter;Wust, Peter</t>
  </si>
  <si>
    <t>Germany;Germany;United States;United States</t>
  </si>
  <si>
    <t>Berlin;Berlin;Salt Lake City;New York</t>
  </si>
  <si>
    <t>Zuse Institute Berlin;Charit√© ‚Äì Universit√§tsmedizin Berlin;BSD Medical Corporation;IEEE</t>
  </si>
  <si>
    <t>60032824;60026245;60016827;60000251</t>
  </si>
  <si>
    <t>Nadobny J.</t>
  </si>
  <si>
    <t>Experimental and numerical investigation of feed-point parameters in a 3-D hyperthermia applicator using different FDTD models of feed networks</t>
  </si>
  <si>
    <t>10.1109/TBME.2002.804585</t>
  </si>
  <si>
    <t>2-s2.0-0036846031</t>
  </si>
  <si>
    <t>TIC2000-1674</t>
  </si>
  <si>
    <t>['spectral periodicity', 'set equal', 'fiber length', 'fiber dispersion', 'dispersive fiber', 'delay line', 'awg port', 'array elements']</t>
  </si>
  <si>
    <t>Arrayed-waveguide gratings (AWGs) | Optical beamforming | Optical delay lines | Optical fiber dispersion | Phased arrays | True-time-delay lines</t>
  </si>
  <si>
    <t>A novel optical beamformer based on the spectral periodicity of arrayed waveguide gratings (AWGs) and dispersive fiber is proposed. This architecture uses multiple sets of wavelengths with a spectral spacing among the signals on each set equal to the free spectral range of the AWG in such a way that all the wavelengths of each set are routed to the same AWG port and pass through the same fiber length in order to obtain multiple simultaneous delays. A wavelength-to-antenna element correspondence is established so fiber dispersion will introduce an equal delay amongst signals of the array elements. This architecture presents straightforward multibeam capability. Experimental results demonstrating the feasibility of the delay line are presented.</t>
  </si>
  <si>
    <t>1614-1616</t>
  </si>
  <si>
    <t>60000251-60011476;60011476;60000251-60011476;60000251-60011476</t>
  </si>
  <si>
    <t>7005797171;56060276700;7102958075;55948266500</t>
  </si>
  <si>
    <t>Vidal, Borja;Madrid, Daniel;Corral, Juan Luis;Marti, Javier</t>
  </si>
  <si>
    <t>Valencia;New York</t>
  </si>
  <si>
    <t>Universitat Polit√®cnica de Val√®ncia;IEEE</t>
  </si>
  <si>
    <t>60011476;60000251</t>
  </si>
  <si>
    <t>Novel photonic true-time-delay beamformer based on the free-spectral-range periodicity of arrayed waveguide gratings and fiber dispersion</t>
  </si>
  <si>
    <t>10.1109/LPT.2002.803323</t>
  </si>
  <si>
    <t>2-s2.0-0036851084</t>
  </si>
  <si>
    <t>GBI 33.2997</t>
  </si>
  <si>
    <t>['rights reserved', 'response profiles', 'receptor cells', 'palpal surface', 'olfactory cells', 'moderate clustering', 'largest responses', 'large variability', 'housefly showed', 'electrophysiological responses', 'clearly separated', 'cells responding', 'attract flies', 'antennal cells', 'amyl acetate', 'acetic acid']</t>
  </si>
  <si>
    <t>Musca domestica | Odour-coding | Olfaction | Single-cell electrophysiology</t>
  </si>
  <si>
    <t>A set of odours was presented to the housefly Musca domestica and the electrophysiological responses of single olfactory receptor cells in the antennae and palps were recorded. The olfactory cells in the antennae of the housefly showed a large variability of response profiles, but multidimensional cluster analysis suggested a moderate clustering in olfactory response types. Receptor cells with similar or with different odour response profiles can reside in one and the same sensillum. No fixed spatial distribution of olfactory response types over the antennal of palpal surface was found. The odours of 1-octen-3-ol, amyl acetate, 3-methylphenol, 2-pentanone and R(+)limonene elicited the largest responses in antennal cells. Most odours elicited responses in cells of only a few of the clusters, but 1-octen-3-ol was detected by cells of almost all clusters of the antenna. Surprisingly, rather low responses were found to acetic acid, skatole, indole and muscalure, odours that are known to attract flies. Response profiles of palpal cells differed considerably from those of antennal cells. Palpal cells mostly responded to 3-methylphenol and 2-pentanone. In the palps, the clusters of cells responding to 3-methylphenol and 2-pentanone are clearly separated from the other olfactory cells. ¬© 2002 Elsevier Science Ltd. All rights reserved.</t>
  </si>
  <si>
    <t>997-1008</t>
  </si>
  <si>
    <t>6602575928;6505832183;6701818609</t>
  </si>
  <si>
    <t>Kelling, F. J.;Biancaniello, G.;Den Otter, C. J.</t>
  </si>
  <si>
    <t>Electrophysiological characterization of olfactory cell types in the antennae and palps of the housefly</t>
  </si>
  <si>
    <t>S0022191002001877</t>
  </si>
  <si>
    <t>10.1016/S0022-1910(02)00187-7</t>
  </si>
  <si>
    <t>2-s2.0-0036851358</t>
  </si>
  <si>
    <t>['st solenoid', 'st operation', 'small compared', 'rotamak ),', 'rmf fields', 'resistive path', 'probably extinguish', 'oh coils', 'flinders st', 'experiments show', 'critical value', 'could operate']</t>
  </si>
  <si>
    <t>The Flinders ST is a spherical tokamak project which has concentrated on the production by induction, of a low resistivity target plasma suitable for rotating magnetic field (RMF) current drive tests. Antennas for the production of the RMF fields were installed on the spherical tokamak device, so that it could operate as a device with pure RMF current drive (Rotamak), or purely as an inductively driven ST Experiments with combinations of inductive and RMF current drive have been made. Experimental results obtained in this small Flinders ST device indicate areas of concern for the RMF current drive technique. First, the experiments show that the strong steady magnetic fields required for the spherical tokamak configuration degrade, and probably extinguish the RMF created plasma, when these transverse steady fields exceed some critical value, which is small compared to that required for ST operation. Second, a measure of the resistance of the pure RMF current drive device, using the ST solenoid and OH coils to create a small loop voltage purely as a diagnostic, shows that the RMF steady current is driven in a very resistive path.</t>
  </si>
  <si>
    <t>1304-1313</t>
  </si>
  <si>
    <t>McCarthy, Lance</t>
  </si>
  <si>
    <t>Flinders University</t>
  </si>
  <si>
    <t>McCarthy L.</t>
  </si>
  <si>
    <t>Steady magnetic fields degrade plasma created by rotating magnetic fields in the Flinders ST</t>
  </si>
  <si>
    <t>S0029551502526120</t>
  </si>
  <si>
    <t>10.1088/0029-5515/42/11/303</t>
  </si>
  <si>
    <t>2-s2.0-0036851680</t>
  </si>
  <si>
    <t>['yba2cu3 o7', 'system configuration', 'superconducting film', 'signal efficiency', 'signal amplitude', 'sample layout', 'prba2cu3o7 layers', 'multilayer structure', 'mobile holes', 'intrinsic properties', 'experimental results', 'excitation conditions', 'emission amplitude', 'electromagnetic pulses', 'dpbco influences', 'content x']</t>
  </si>
  <si>
    <t>The emission amplitude of terahertz radiation pulses emitted by YBa2Cu3O7-Œ¥ thin film antennas increases if thin PrBa2Cu3O7 layers are introduced into the film. Using the same system configuration, sample layout and excitation conditions, the signal efficiency of the electromagnetic pulses, emitted from the device, appears to be dependent on the number of mobile charge carriers inside the superconducting film. Twenty one PrBa2Cu3O7/YBa2Cu3 O7-Œ¥ double layers are deposited to form one multilayer structure. The PrBa2Cu3O7 layers are used to reduce the number of mobile holes in YBa2Cu3 O7-Œ¥ without changing the intrinsic properties of the material itself. The thickness of the PrBa2Cu3O7 layers, dPBCO, is varied. dPBCO influences the mobile hole density, i.e. connected to the content x of Pr ions inside the whole multilayer structure: PrxY1-x. The signal amplitude of the emitted terahertz signal increases with increasing dPBCO within the observed thickness range. Calculations of the dependence of the signal efficiency of the emitted terahertz pulses on the transmission of the multilayer structure in the terahertz frequency range agreed well with the experimental results of Y1-xPrxBa2Cu3O7-Œ¥ alloys in the case of a doping x less than 0.3.</t>
  </si>
  <si>
    <t>1494-1498</t>
  </si>
  <si>
    <t>60029507-60024322;60029507;60029507-60024322;60024322</t>
  </si>
  <si>
    <t>56248697100;57214393682;7102870634;7006497099</t>
  </si>
  <si>
    <t>Wald, H.;Schmidt, F.;Seidel, P.;Tonouchi, M.</t>
  </si>
  <si>
    <t>Germany;Japan</t>
  </si>
  <si>
    <t>Jena;Suita</t>
  </si>
  <si>
    <t>Friedrich-Schiller-Universit√§t Jena;Osaka University</t>
  </si>
  <si>
    <t>60029507;60024322</t>
  </si>
  <si>
    <t>Terahertz radiation emitted by dipole antennas of YBa&lt;inf&gt;2&lt;/inf&gt;Cu&lt;inf&gt;3&lt;/inf&gt;O&lt;inf&gt;7-Œ¥&lt;/inf&gt;/PrBa&lt;inf&gt;2&lt;/inf&gt; Cu&lt;inf&gt;3&lt;/inf&gt;O&lt;inf&gt;7&lt;/inf&gt; multilayers</t>
  </si>
  <si>
    <t>S095320480239403X</t>
  </si>
  <si>
    <t>10.1088/0953-2048/15/11/304</t>
  </si>
  <si>
    <t>2-s2.0-0036852144</t>
  </si>
  <si>
    <t>['test carried', 'power amplifier', 'paper proposes', 'output ports', 'new technique', 'hpa array', 'eodics confirms', 'distortion products', 'carrier power']</t>
  </si>
  <si>
    <t>Intermodulation (IM) distortion | Monolithic microwave integrated circuits (MMICs) | Power amplifiers | Satellite communication onboard systems</t>
  </si>
  <si>
    <t>This paper proposes a new technique for reducing the intermodulation (IM) distortion products in a high-power amplifier (HPA) array. The proposed technique dissolves the relations between carriers and IMs by applying IM phase control. As a result, IMs are distributed to all the output ports in the array, and the carrier power to intermodulation power ratio (C/IM) of the HPA array can be increased. The improvement in C/IM is as high as 10 log N dB, where N is the number of HPAs. Newly developed even-order distortion implemented intermodulation distortion controllers (EODICs) are used to achieve the IM phase control. A test carried out using a four-parallel HPA array with EODICs confirms that the technique noticeably improves C/IM and demonstrates its validity.</t>
  </si>
  <si>
    <t>2505-2512</t>
  </si>
  <si>
    <t>11 SPEC</t>
  </si>
  <si>
    <t>60025555;60025555;60000251-60025555;60025555;60000251-60025555</t>
  </si>
  <si>
    <t>35616964900;6602917005;35405107400;7402551341;7102628926</t>
  </si>
  <si>
    <t>Kaho, Takana;Nakasuga, Yoshinori;Okazaki, Hiroshi;Araki, Katsuhiko;Horikawa, Kohji</t>
  </si>
  <si>
    <t>A distortion control technique for achieving high power efficiency in an HPA array</t>
  </si>
  <si>
    <t>10.1109/TMTT.2002.804621</t>
  </si>
  <si>
    <t>2-s2.0-0036852220</t>
  </si>
  <si>
    <t>['¬± 0', 'tx portions', 'switching p', 'several gigahertz', 'saw filter', 'rx portions', 'required characteristics', 'pass filters', 'particularly required', 'n diodes', 'module developed', 'mobile communications', 'harmonic frequencies', 'end modules', 'drastically reduce', 'dc demodulation', 'circuit elements', 'band cellular', 'attenuation characteristics', 'assuming direct', 'also obtained', '5 db', '40 db', '2 db']</t>
  </si>
  <si>
    <t>Direct conversion (DC) | Dual band | Front-end | Global system for mobile communication (GSM) | SAW filter | Surface acoustic wave (SAW)</t>
  </si>
  <si>
    <t>Assuming direct-conversion (DC) demodulation, the required characteristics for surface-acoustic-wave (SAW) front-end modules (FEMs) have been investigated. A new FEM configuration is described that consists of not only transmitter (Tx) switching p-i-n diodes and a diplexer with low-pass/high-pass filters, but also SAW filters and baluns. A direct parallel connection between a SAW filter and a p-i-n diode makes it possible to drastically reduce the number of circuit elements. A module developed for an extended global system for mobile communications (EGSM)/digital cellular system (DCS) dual-band cellular-phone transceiver achieved insertion losses in the receiver (Rx) portions as small as 3.0 and 3.3. dB for EGSM and DCS, respectively. The Rx portions had attenuation characteristics as high as 30-40 dB at harmonic frequencies up to several gigahertz and complete differential output signals with amplitude and phase imbalances less than ¬±0.5 dB and ¬±4¬∞, respectively. These characteristics are particularly required for DC demodulation. Small insertion losses in the Tx portions, 1.0 and 1.2 dB for EGSM and DCS, respectively, were also obtained.</t>
  </si>
  <si>
    <t>2629-2638</t>
  </si>
  <si>
    <t>60000251-60003381;60003381;60003381;60003381;60003381</t>
  </si>
  <si>
    <t>7102360893;7202095792;36823396300;7003490307;7006510764</t>
  </si>
  <si>
    <t>Hikita, Mitsutaka;Matsuura, Naoki;Yokoyama, Kazuyuki;Shibagaki, Nobuhiko;Sakiyama, Kazuyuki</t>
  </si>
  <si>
    <t>Hitachi, Ltd.;IEEE</t>
  </si>
  <si>
    <t>60003381;60000251</t>
  </si>
  <si>
    <t>Hikita M.</t>
  </si>
  <si>
    <t>SAW front-end module for GSM-based dual-band cellular phones with direct-conversion demodulation</t>
  </si>
  <si>
    <t>10.1109/TMTT.2002.804516</t>
  </si>
  <si>
    <t>2-s2.0-0036852235</t>
  </si>
  <si>
    <t>['substrate thickness', 'space wavelength', 'radiation pattern', 'operating characteristics', 'frequency region', 'free space', 'dielectric substrate', 'dielectric constant', 'coplanar waveguide', 'also found', 'absorption coefficient', '700 ghz', '5 thz']</t>
  </si>
  <si>
    <t>Coplanar waveguide | Skin depth | Slot antenna | Submillimeter wave | Thin film antenna</t>
  </si>
  <si>
    <t>With a view to the design and fabrication of slot array antennas operating in the submillimeter wave region above 2.5 THz, the operating characteristics of a thin-film slot antenna on a dielectric substrate are studied with emphasis on the radiation pattern. It is found that unlike the thin-film slot antenna in the frequency region below 700 GHz, the thin-film slot antenna itself is likely to be operated at the free-space wavelength, but the antenna is not that in free space and is influenced by the dielectric constant and absorption coefficient of the substrate and the substrate thickness. It is also found that the coplanar waveguide is operating at a mean wavelength derived from the average dielectric constant of free space and the dielectric substrate, like that in the frequency region below 700 GHz.</t>
  </si>
  <si>
    <t>55218900300;7004555963</t>
  </si>
  <si>
    <t>Abe, Yasuhiko;Yasuoka, Yoshizumi</t>
  </si>
  <si>
    <t>Abe Y.</t>
  </si>
  <si>
    <t>Operating properties of thin-film slot antennas at 2.5-THz submillimeter wave band</t>
  </si>
  <si>
    <t>10.1002/ecjb.10053</t>
  </si>
  <si>
    <t>2-s2.0-0036852279</t>
  </si>
  <si>
    <t>['symmetrical capacity', 'cellular networks', '25 km2']</t>
  </si>
  <si>
    <t>The base station density Point-to-Multipoint microwave transmission for cellular networks was discussed. The Point-to-multipoint technique deployed in the 24-28GHz frequency spectrums provided a symmetrical capacity of up to 37 Mbps per carrier channel over areas between 9 and 25 km2. Point-to-multi-point microwave transmission was found to cover a large geographic area and it provided immediate coverage gains. The point-to-multi-point hub needed a single antenna per sector irrespective of the number of 3G base stations that were connected to it.</t>
  </si>
  <si>
    <t>27-28</t>
  </si>
  <si>
    <t>Electronic Engineering (London)</t>
  </si>
  <si>
    <t>Bolle, Aldo</t>
  </si>
  <si>
    <t>Bolle A.</t>
  </si>
  <si>
    <t>Capacity without ties-microwave transmission for cellular networks</t>
  </si>
  <si>
    <t>2-s2.0-0036852621</t>
  </si>
  <si>
    <t>['three configurations', 'theoretically using', 'theoretical predictions', 'sector patch', 'qualitative agreement', 'patch oscillator', 'low resistance', 'harmonic radiation', 'form expressions', 'experimental results', 'examined experimentally', 'dual parallel']</t>
  </si>
  <si>
    <t>Active integrated antennas | Antennas | Harmonic radiation</t>
  </si>
  <si>
    <t>Harmonic radiation from microstrip patch oscillators is examined experimentally and theoretically using both a single and dual parallel-tuned circuit Van der Pol oscillator model. Closed-form expressions are obtained for the fundamental and first harmonic voltage amplitudes, and results show reasonably good agreement with a commercial circuit simulator. Such expressions will be useful for designers of active integrated antennas, giving them greater physical insight into their operation. Experimental results are presented for three configurations of a patch oscillator, i.e., rectangular patch, circular-sector patch, and quarter-wave shorted patch. The latter two configurations present very low resistance at the first harmonic frequency and this leads to improved harmonic suppression performance. This is in qualitative agreement with theoretical predictions.</t>
  </si>
  <si>
    <t>2639-2646</t>
  </si>
  <si>
    <t>60000251-60020650;60019702;60000251-60019702</t>
  </si>
  <si>
    <t>16554512900;8127277800;57213425197</t>
  </si>
  <si>
    <t>Cryan, Martin J.;Buesnel, G. R.;Hall, Peter S.</t>
  </si>
  <si>
    <t>Bristol;Birmingham;New York</t>
  </si>
  <si>
    <t>University of Bristol;University of Birmingham;IEEE</t>
  </si>
  <si>
    <t>60020650;60019702;60000251</t>
  </si>
  <si>
    <t>Cryan M.</t>
  </si>
  <si>
    <t>Analysis and control of harmonic radiation from active integrated oscillator antennas</t>
  </si>
  <si>
    <t>10.1109/TMTT.2002.804634</t>
  </si>
  <si>
    <t>2-s2.0-0036853168</t>
  </si>
  <si>
    <t>['systematic method', 'spectral domain', 'space domains', 'propagation constants', 'obtained via', 'multiconductor structures', 'magnetic walls', 'equivalent circuit', 'either done', 'dyadic green', 'circumferentially closed', 'azimuthal direction']</t>
  </si>
  <si>
    <t>Cylindrical microstrip networks and antennas | Cylindrical sector structures | Cylindrical waveguides | Dyadic Green's function</t>
  </si>
  <si>
    <t>A clear and systematic method to derive the spectral- and space-domain dyadic Green's function of arbitrary cylindrical multilayer and multiconductor structures is proposed. The derivation is either done for a circumferentially closed or a cylindrical sector structure, which is bounded by electric or magnetic walls in an azimuthal direction. The solution for the dyadic Green's function in the spectral domain is obtained via an equivalent circuit. Relations between the spectral and space domains for the dyadic Green's functions are derived using eigensolution expansions. Finally, the dyadic Green's function is applied to the problem of finding the propagation constants of the two-layer dielectric rod.</t>
  </si>
  <si>
    <t>2576-2579</t>
  </si>
  <si>
    <t>60007798;60000251-60007798</t>
  </si>
  <si>
    <t>57197481919;7005096144</t>
  </si>
  <si>
    <t>Thiel, Michael;Dreher, Achim</t>
  </si>
  <si>
    <t>¬†Cologne;New York</t>
  </si>
  <si>
    <t>Deutsches Zentrum fur Luft- Und Raumfahrt;IEEE</t>
  </si>
  <si>
    <t>60007798;60000251</t>
  </si>
  <si>
    <t>Thiel M.</t>
  </si>
  <si>
    <t>Dyadic Green's function of multilayer cylindrical closed and sector structures for waveguide, microstrip-antenna, and network analysis</t>
  </si>
  <si>
    <t>10.1109/TMTT.2002.804637</t>
  </si>
  <si>
    <t>2-s2.0-0036853180</t>
  </si>
  <si>
    <t>G1998010100</t>
  </si>
  <si>
    <t>CAS</t>
  </si>
  <si>
    <t>['xanthophyll cycle', 'substantial decrease', 'steady state', 'smaller decrease', 'slight decrease', 'senescence progressing', 'results suggest', 'psii occurred', 'psii centers', 'psii antennae', 'progressive senescence', 'positively correlated', 'photochemical quenching', 'maximal efficiency', 'leaf area', 'excitation capture', 'epoxidation status', 'due mainly', 'chlorophyll basis']</t>
  </si>
  <si>
    <t>Chlorophyll a fluorescence | Photosynthesis | Photosystem II photochemistry | Wheat (Triticum aestivum L.) | Xanthophyll cycle</t>
  </si>
  <si>
    <t>The characteristics of photosynthetic gas exchange, chlorophyll a fluorescence, and xanthophyll cycle pigments during flag leaf senescence of field-grown wheat plants were investigated. With senescence progressing, the light-saturated net CO2 assimilation rate expressed either on a basis of leaf area or chlorophyll decreased significantly. The apparent quantum yield of net photosynthesis decreased when expressed on a leaf area basis but increased when expressed on a chlorophyll basis. The maximal efficiency of PSII photochemislry decreased very little while actual PSII efficiency, photochemical quenching, and the efficiency of excitation capture by open PSII centers decreased considerably. At the same time, non-photochemical quenching increased significantly. A substantial decrease in the contents of violaxanthin and zeaxanthin, but a slight decrease in the content of antheraxanthin were observed. However, the de-epoxidation status of the xanthophyll cycle was positively correlated with progressive senescence. This increase was due mainly to a smaller decrease in zeaxanthin than in violaxanthin. Our results suggest that PSII apparatus remained functional, but a down-regulation of PSII occurred under the steady state of photosynthesis in senescent flag leaves. Such a down-regulation was associated with the closure of PSII centers and an enhanced xanthophyll cycle-related thermal dissipation in the PSII antennae.</t>
  </si>
  <si>
    <t>1173-1178</t>
  </si>
  <si>
    <t>60014773;60014773;60014347;60014773</t>
  </si>
  <si>
    <t>7401444493;7404805926;55072483300;7004899916</t>
  </si>
  <si>
    <t>Lu, Qingtao;Lu, Congming;Zhang, Jianhua;Kuang, Tingyun</t>
  </si>
  <si>
    <t>Beijing;</t>
  </si>
  <si>
    <t>Institute of Botany Chinese Academy of Sciences;Hong Kong Baptist University</t>
  </si>
  <si>
    <t>60014773;60014347</t>
  </si>
  <si>
    <t>Lu Q.</t>
  </si>
  <si>
    <t>Photosynthesis and chlorophyll a fluorescence during flag leaf senescence of field-grown wheat plants</t>
  </si>
  <si>
    <t>S0176161704703405</t>
  </si>
  <si>
    <t>10.1078/0176-1617-00727</t>
  </si>
  <si>
    <t>2-s2.0-0036856431</t>
  </si>
  <si>
    <t>['yl acetate', 'whereas 2r', 'tridecadien -(', 'traps baited', 'single compound', 'sex pheromone', 'renewed gc', 'racemic z4z7', 'racemic standard', 'possible tridecen', 'pheromone extract', 'oregonensis suggested', 'oregonensis populations', 'new ead', 'monitoring c', 'male antennae', 'field test', 'female douglas', 'elicited responses', 'electroantennographic detection', 'ead analysis', 'ead analyses', 'contarinia oregonensis', 'comparable catches', 'commercial douglas', 'cecidomyiidae ).', 'candidate pheromone', 'behaviorally benign', 'baseline resolution', 'b ).', 'analytical columns', 'active compound', ')- 2']</t>
  </si>
  <si>
    <t>(Z,Z)-4,7-tridecadien-(R)-2-yl acetate | (Z,Z)-4,7-tridecadien-(S)-2-yl acetate | Cecidomyiidae | Contarinia oregonensis | Douglas-fir cone gall midge | Enantiomers | Sex pheromone</t>
  </si>
  <si>
    <t>Our objectives were to identify and field test the sex pheromone of female Douglas-fir cone gall midge, Contarinia oregonensis (Diptera: Cecidomyiidae). Coupled gas chromatographic-electroantennographic detection (GC-EAD) analyses of pheromone extract revealed a single compound (A) that elicited responses from male antennae. Hydrogenation of pheromone extract, followed by renewed GC-EAD analysis, revealed a new EAD-active compound with chromatographic characteristics identical to those of tridecan-2-yl acetate on five fused silica columns (DB-5, DB-210, DB-23, SP-1000, and Cyclodex-B). Syntheses, chromatography, and retention index calculations of all possible tridecen-2-yl acetates suggested that the candidate pheromone A was a tridecadien-2-yl acetate with nonconjugated double bonds. Synthetic candidate pheromone component (Z,Z)-4,7-tridecadien-2-yl acetate (Z4Z7) cochromatographed with A on all analytical columns and elicited comparable antennal activity. In GC-EAD analyses that separated the enantiomers (Z,Z)-4,7-tridecadien-(S)-2-yl acetate (2S-Z4Z7) and (Z,Z)-4,7-tridecadien-(R)-2-yl acetate (2R-Z4Z7) with baseline resolution, only 2S-Z4Z7 as a component in a racemic standard or in pheromone extract elicited antennal responses. In Douglas-fir seed orchards, sticky traps baited with 2S-Z4Z7 captured male C. oregonensis, whereas 2R-Z4Z7 was behaviorally benign. Comparable catches of males in traps baited with racemic Z4Z7 (50Œºg) or virgin female C. oregonensis suggested that synthetic pheromone baits could be developed for monitoring C. oregonensis populations in commercial Douglas-fir seed orchards.</t>
  </si>
  <si>
    <t>2283-2297</t>
  </si>
  <si>
    <t>60018491;60018491;60018491;60079205;60018491;60018491;60018491;60018491</t>
  </si>
  <si>
    <t>7006335669;6603292105;7006196798;55338874000;7402995610;6507954676;7003978932;6602162478</t>
  </si>
  <si>
    <t>Gries, Regine;Khaskin, Grigori;Gries, Gerhard;Bennett, Robb G.;King, G. G.Skip;Morewood, Petra;Slessor, Keith N.;Morewood, W. Dean</t>
  </si>
  <si>
    <t>Victoria;Burnaby</t>
  </si>
  <si>
    <t>Ministry of Forests and Range;Simon Fraser University</t>
  </si>
  <si>
    <t>60079205;60018491</t>
  </si>
  <si>
    <t>Gries R.</t>
  </si>
  <si>
    <t>(Z,Z)-4,7-tridecadien-(S)-2-YL acetate: Sex pheromone of Douglas-fir cone gall midge, Contarinia oregonensis</t>
  </si>
  <si>
    <t>10.1023/A:1021005517389</t>
  </si>
  <si>
    <t>2-s2.0-0036856932</t>
  </si>
  <si>
    <t>00-02-17720</t>
  </si>
  <si>
    <t>['special configuration', 'output power', 'output harmonics', 'operating mode', 'interperiodica ".', 'interaction region', 'input signal', 'input frequency', 'higher modes', 'fundamental frequency', 'efficiently controlled', 'dielectric rod', 'circular waveguide', 'certain parameters', 'cerenkov maser', 'amplified signal', 'amplification bands', '2 ])']</t>
  </si>
  <si>
    <t>A theory is developed for the one-dimensional nonlinear multimode simulation of a Cerenkov maser of special configuration (antenna-amplifier [1, 2]) where a tubular relativistic electron beam propagates along a circular waveguide with a dielectric rod. The operating mode is the fundamental azimuthally asymmetric HE11 mode. Harmonics at the input signal frequency can be amplified because they fall into the amplification bands for higher modes. At certain parameters, the output power at the second or third harmonic may considerably exceed that of the amplified signal at the fundamental frequency. The powers of output harmonics can be efficiently controlled by varying the point of electron beam extraction from the interaction region, as well as by varying the input frequency or by switching the polarization of the input signal from linear to circular. ¬© 2002 MAIK "Nauka/Interperiodica".</t>
  </si>
  <si>
    <t>1434-1439</t>
  </si>
  <si>
    <t>60084528;60033021;60084528</t>
  </si>
  <si>
    <t>6602461409;7006390232;6602424771</t>
  </si>
  <si>
    <t>Shlapakovskii, A. S.;Schamiloglu, E.;Grushin, I. I.</t>
  </si>
  <si>
    <t>Russian Federation;United States</t>
  </si>
  <si>
    <t>Tomsk;Albuquerque</t>
  </si>
  <si>
    <t>Institute of Nuclear Physics at Tomsk Polytechnic University;The University of New Mexico</t>
  </si>
  <si>
    <t>60084528;60033021</t>
  </si>
  <si>
    <t>Shlapakovskii A.S.</t>
  </si>
  <si>
    <t>Multiplication of the drive signal frequency in a relativistic microwave amplifier with a rod slow-wave structure</t>
  </si>
  <si>
    <t>10.1134/1.1522113</t>
  </si>
  <si>
    <t>2-s2.0-0036860541</t>
  </si>
  <si>
    <t>['two sympatric', 'two orchids', 'specifically pollinated', 'significantly different', 'selective attraction', 'relative amounts', 'pollinator bees', 'ophrys fusca', 'investigated differences', 'gas chromatography', 'floral odor', 'earlier studies', 'andrena nigroaenea']</t>
  </si>
  <si>
    <t>Braune Ragwurz | Floral odor | GC-EAD | Ophrys bilunulata Risso | Ophrys fusca Link | Pollination by sexual deception | Pseudocopulation</t>
  </si>
  <si>
    <t>We investigated differences in floral odor between two sympatric, closely related sexually deceptive orchid species, Ophrys fusca and O. bilunulata, which are specifically pollinated by Andrena nigroaenea and A. flavipes, respectively. We identified biologically active compounds by gas chromatography with electroantennographic detection using antennae of the pollinator bees. Alkanes, alkenes, aldehydes, and farnesyl hexanoate released electroantennographic reactions. The relative amounts of alkanes were mostly the same between the two orchid species, whereas the relative amounts of most alkenes were significantly different. On the grounds of these findings and behavioral experiments conducted in earlier studies, we suggest that the difference in relative amounts of alkenes is responsible for the selective attraction of pollinators in the two orchids. Speciation in this group of Ophrys orchids may be brought about by changes in pattern of alkenes, which lead to attraction of a different pollinator species and therefore reproductive isolation.</t>
  </si>
  <si>
    <t>111-119</t>
  </si>
  <si>
    <t>Plant Systematics and Evolution</t>
  </si>
  <si>
    <t>60069038-60025858;60069038</t>
  </si>
  <si>
    <t>6603811931;6602073801</t>
  </si>
  <si>
    <t>Schiestl, Florian P.;Ayasse, Manfred</t>
  </si>
  <si>
    <t>Austria;Switzerland</t>
  </si>
  <si>
    <t>Vienna;Zurich ZH,</t>
  </si>
  <si>
    <t>University of Vienna Institute of Zoology;ETH Zurich</t>
  </si>
  <si>
    <t>60069038;60025858</t>
  </si>
  <si>
    <t>Schiestl F.</t>
  </si>
  <si>
    <t>Do changes in floral odor cause speciation in sexually deceptive orchids?</t>
  </si>
  <si>
    <t>10.1007/s00606-002-0187-z</t>
  </si>
  <si>
    <t>2-s2.0-0036860905</t>
  </si>
  <si>
    <t>['rf power', 'rf coupling', 'plasma density', 'ion source', 'extracted beam', 'energy spread', 'emittance measurements', 'electron temperature', 'around 3', 'argon gas', 'argon beam', '56 mhz', '500 w', '5 ev']</t>
  </si>
  <si>
    <t>The characteristics of a radiofrequency (rf)-driven multicusp ion source are investigated. The ion source is an Nd-Fe-B magnetic multicusp type operated at 13.56 MHz with an internal quartz covered antenna. The source has been diagnosed by an rf-compensated Langmuir probe for uniformity, density and electron temperature. A retarding field energy analyser, and a multi-wire beam profile monitor and quadrupole magnet system have been used for beam energy spread and emittance measurements. Experiments were performed with argon gas and rf power up to 500 W. A plasma density of up to 1.5 √ó 1018 m-3 was obtained. The rms beam emittance is found to be about 32 ‚àì 4 mm mrad, and the energy spread of the argon beam is around 3.1 ‚àì 0.5 eV at 3 kV extraction. The rf coupling to the extracting voltage could be suppressed by a 1.2 mH rf choke, which results in the reduction of the axial energy spread in the extracted beam.</t>
  </si>
  <si>
    <t>389-396</t>
  </si>
  <si>
    <t>60000881;60000881;60000881</t>
  </si>
  <si>
    <t>6603186827;6504233093;7004836570</t>
  </si>
  <si>
    <t>Boonyawan, Dherawan;Chiraphatpimol, N.;Vilaithong, Thirapat</t>
  </si>
  <si>
    <t>Chiang Mai</t>
  </si>
  <si>
    <t>Chiang Mai University</t>
  </si>
  <si>
    <t>Boonyawan D.</t>
  </si>
  <si>
    <t>Characteristics of a 13.56 Mhz radiofrequency-driven multicusp ion source</t>
  </si>
  <si>
    <t>S0963025202400576</t>
  </si>
  <si>
    <t>10.1088/0963-0252/11/4/305</t>
  </si>
  <si>
    <t>2-s2.0-0036861411</t>
  </si>
  <si>
    <t>['time channel', 'several authors', 'recent technique', 'rate feedback', 'quantized low', 'ostbc system', 'orthogonal space', 'feedback consisting', 'establish conditions', 'also analyze']</t>
  </si>
  <si>
    <t>Antenna selection | Diversity | Feedback | MIMO technology | Space-time coding</t>
  </si>
  <si>
    <t>Orthogonal space-time block coding (OSTBC) is a recent technique that provides maximal diversity gains on a space-time channel at a very modest computational cost. Recently, several authors have suggested to improve the performance of an OSTBC system by using a feedback of channel state information from the receiver to the transmitter. In this letter, we study the performance of an OSTBC system with quantized low-rate feedback. We establish conditions under which the system achieves full diversity and we also analyze the performance of a method that employs a feedback consisting of only one information bit.</t>
  </si>
  <si>
    <t>487-489</t>
  </si>
  <si>
    <t>60013959;60003858;60003858;60013959</t>
  </si>
  <si>
    <t>35555550500;7003620876;36040796700;7403972119</t>
  </si>
  <si>
    <t>Larsson, Erik G.;Ganesan, Girish;Stoica, Petre;Wong, Wing Hin</t>
  </si>
  <si>
    <t>On the performance of orthogonal space-time block coding with quantized feedback</t>
  </si>
  <si>
    <t>10.1109/LCOMM.2002.805545</t>
  </si>
  <si>
    <t>2-s2.0-0036862638</t>
  </si>
  <si>
    <t>['mobile station', 'letter mentioned', 'doppler psd', 'correctly stated']</t>
  </si>
  <si>
    <t>Directional antenna | Doppler PSD | Fading channel</t>
  </si>
  <si>
    <t>In the letter mentioned above, the Doppler PSD when using directional antenna at the mobile station was derived. However, the ranges in some equations in this letter were not correctly stated. In this letter, we point out the discrepancies and give correct range of values.</t>
  </si>
  <si>
    <t>472-474</t>
  </si>
  <si>
    <t>55438636700;7005789635</t>
  </si>
  <si>
    <t>Ng, Wee Teck;Dubey, V. K.</t>
  </si>
  <si>
    <t>Ng W.</t>
  </si>
  <si>
    <t>Comments on "On the doppler spectrum at the mobile unit employing a directional antenna"</t>
  </si>
  <si>
    <t>10.1109/LCOMM.2002.805542</t>
  </si>
  <si>
    <t>2-s2.0-0036862675</t>
  </si>
  <si>
    <t>['wavelength spacing', 'switching speed', 'switching characteristics', 'studied experimentally', 'relaxation oscillation', 'polarization insensitivity', 'perot filter', 'novel wavelength', 'lasing wavelength', 'laser source', 'laser output', 'individually scan', 'configured within', 'array antenna', '6 nm', '40 db']</t>
  </si>
  <si>
    <t>Fiber ring laser | Optically controlled phased-array antenna | Sampled fiber Bragg grating | Tunable fiber Fabry-Perot filter</t>
  </si>
  <si>
    <t>The static and switching characteristics of a novel wavelength-switching fiber laser source for an optically controlled phased-array antenna (OCPAA) has been studied experimentally. The laser source was configured within a unidirectional ring cavity, with a tunable fiber Fabry-Perot filter, containing two sampled fiber Bragg gratings with a wavelength spacing of about 1.6 nm. It can individually scan the 25 required wavelengths in the fiber Bragg grating array in the OCPAA within 0.08 s. The switching speed, limited by relaxation oscillation, was analyzed. The polarization insensitivity of the ring cavity made the laser output at each wavelength very stable. Side-mode suppression ratios greater than 40 dB for each lasing wavelength were realized. ¬© 2002 Society of Photo-Optical Instrumentation Engineers.</t>
  </si>
  <si>
    <t>2783-2792</t>
  </si>
  <si>
    <t>Optical Engineering</t>
  </si>
  <si>
    <t>60005510;60005510;60031307;60031307</t>
  </si>
  <si>
    <t>7601487776;35586113900;55074296900;7006095230</t>
  </si>
  <si>
    <t>Wang, Yong;Tjin, Swee Chuan;He, Liming;Ngoi, Bryan Kok Ann</t>
  </si>
  <si>
    <t>Characteristics of a wavelength-switching fiber laser source</t>
  </si>
  <si>
    <t>10.1117/1.1511245</t>
  </si>
  <si>
    <t>2-s2.0-0036863106</t>
  </si>
  <si>
    <t>['uplink detectors', 'square error', 'significantly enhanced', 'sdma processors', 'optimal ones', 'nonlinear tomlinson', 'nonlinear mmse', 'multipath propagation', 'mmse precoder', 'limited availability', 'likelihood processors', 'indoor channel', 'individual suhcarriers', 'form equations', 'effectively tackle', 'effectively halves', 'easily mitigated', 'dual precoders', 'dual detectors', 'distortion due', 'dfe detector', 'derive expressions', 'cost acceptable', 'constellation distribution', 'computational complexity', 'combined orthogonal', 'channel conditions', 'ber ).', 'based precoder', 'bandwidth efficiency', 'adaptive loading', '9 db', '5 db', '3 db']</t>
  </si>
  <si>
    <t>Adaptive antennas | Adaptive loading | Orthogonal-frequency division multiplexing (OFDM) | Spatial-diversity multiple access (SDMA)</t>
  </si>
  <si>
    <t>The two major obstacles toward high-capacity indoor wireless networks are distortion due to the indoor channel and the limited availability of bandwidth which necessitates a high spectral efficiency. A combined orthogonal-frequency division multiplexing/spatial-diversity multiple access (OFDM/SDMA) approach can effectively tackle both obstacles. The channel distortion due to multipath propagation is easily mitigated with OFDM while the bandwidth efficiency can be increased with the use of SDMA. In order to keep the network's cost acceptable, simplified SDMA processors are preferred over the exponentially complex optimal maximum-likelihood processors. However, these simplified processors perform significantly worse than the optimal ones in terms of average bit error rate (BER). In this paper, we show that by adapting the constellation sizes applied on the individual suhcarriers to the channel conditions, the performance of OFDM/SDMA processors can be significantly enhanced. In the uplink, we derive simple closed-form equations for the optimal constellation sizes for both a simple linear minimum mean-square error (MMSE) detector and for a nonlinear MMSE decision feedback equalizer (DFE) detector. Furthermore, for each detector, we introduce a simplified loading algorithm which lowers the computational and signaling complexity substantially at a small performance penalty. In the downlink, we study the dual precoders of the uplink detectors, respectively, the linear MMSE precoder and the nonlinear Tomlinson-Harashima (TH) MMSE-based precoder. For both precoders, we derive expressions for the optimal and the simplified constellation sizes. Additionally, we show that in time-division duplexing systems, the constellation distribution of a set of dual detectors/precoders is identical for up- and downlink, which effectively halves the computational complexity of adaptive loading. In the fully loaded uplink, the proposed adaptive loading algorithm results in a gain of 9 dB for a BER = 10-3 for the linear MMSE detector and a gain of 4.5 dB for the nonlinear MMSE-DFE detector. In the fully loaded downlink, a gain of 6.3 dB is achieved for the MMSE precoder and 5.5 dB for the TH-MMSE precoder.</t>
  </si>
  <si>
    <t>1798-1810</t>
  </si>
  <si>
    <t>100523607;60070034;60070034;60070034</t>
  </si>
  <si>
    <t>6602472564;7003295393;7102990580;7101684209</t>
  </si>
  <si>
    <t>Thoen, Steven;Van der Perre, Liesbet;Engels, Marc;De Man, Hugo</t>
  </si>
  <si>
    <t>Leuven;Leuven</t>
  </si>
  <si>
    <t>Interuniversity Micro-Electronics Center at Leuven;Resonext Communications</t>
  </si>
  <si>
    <t>60070034;100523607</t>
  </si>
  <si>
    <t>Thoen S.</t>
  </si>
  <si>
    <t>Adaptive loading for OFDM/SDMA-based wireless networks</t>
  </si>
  <si>
    <t>10.1109/TCOMM.2002.805260</t>
  </si>
  <si>
    <t>2-s2.0-0036863491</t>
  </si>
  <si>
    <t>NCR-9725778</t>
  </si>
  <si>
    <t>['unified approach', 'thereby derived', 'system parameters', 'signal strengths', 'relative influence', 'numerically computable', 'lower bounds', 'low noise', 'interfering users', 'give insights', 'essential behavior', 'error rate', 'error probability', 'average bit', 'asymptotic efficiency', 'antenna diversity']</t>
  </si>
  <si>
    <t>Antenna diversity | Code-division multiple-access | Error analysis | Frequency-selective Rayleigh fading | Multipath diversity | Multiuser detection | Noncoherent detection | Nonlinear modulation</t>
  </si>
  <si>
    <t>The optimum noncoherent multiuser detector is obtained for generalized diversity symbol-synchronous communication systems that employ nonorthogonal multipulse modulation. A unified approach is adopted to simultaneously address various forms of diversity such as time, frequency, multipath, and/or receiver-antenna diversity. Upper and lower bounds on the average bit-error probability of the optimum noncoherent detector are derived. While these bounds are numerically computable, they are too complicated to give insights about the relative influence of system parameters on the essential behavior of the bit-error rate. To address this issue, an asymptotic (low noise) analysis of the bit-error probability is undertaken. It is shown that the upper and lower bounds are indeed asymptotically convergent. A formula for the asymptotic efficiency of the optimum noncoherent detector is thereby derived. Interestingly, the asymptotic efficiency is found to be positive, and independent of the signal strengths of the interfering users.</t>
  </si>
  <si>
    <t>1828-1840</t>
  </si>
  <si>
    <t>60000221-60111363;60000221</t>
  </si>
  <si>
    <t>7004679533;7005070484</t>
  </si>
  <si>
    <t>Russ, Artur;Varanasi, Mahesh K.</t>
  </si>
  <si>
    <t>Munich;Boulder</t>
  </si>
  <si>
    <t>Bavarian Motor Works Group;University of Colorado Boulder</t>
  </si>
  <si>
    <t>60111363;60000221</t>
  </si>
  <si>
    <t>Russ A.</t>
  </si>
  <si>
    <t>An error probability analysis of the optimum noncoherent multiuser detector for multipath and multiantenna diversity communications over Rayleigh-fading channels</t>
  </si>
  <si>
    <t>10.1109/TCOMM.2002.805277</t>
  </si>
  <si>
    <t>2-s2.0-0036864482</t>
  </si>
  <si>
    <t>['weighted chi', 'weight equal', 'two cases', 'squared variable', 'noise ratio', 'kth stream', 'channel statistics', 'average probability']</t>
  </si>
  <si>
    <t>In this letter we solve the transmit antenna selection problem for a zero forcing spatial multiplexing system with knowledge of the channel statistics at the transmitter. We show through Wishart matrix analysis that the signal-to-noise ratio on the kth stream is a weighted Chi-squared variable with the weight equal to the kth diagonal entry of the inverted transmit correlation matrix. We use this result to develop selection algorithms for two cases-maximizing ergodic capacity and minimizing the average probability of error. Monte Carlo simulations illustrate potential performance improvements.</t>
  </si>
  <si>
    <t>491-493</t>
  </si>
  <si>
    <t>60012708;60013372;60012708</t>
  </si>
  <si>
    <t>7102413527;55934670700;7004920065</t>
  </si>
  <si>
    <t>Gore, Dhananjay A.;Heath, Robert W.;Paulraj, Arogyaswami J.</t>
  </si>
  <si>
    <t>Transmit selection in spatial multiplexing systems</t>
  </si>
  <si>
    <t>10.1109/LCOMM.2002.805517</t>
  </si>
  <si>
    <t>2-s2.0-0036864743</t>
  </si>
  <si>
    <t>['interperiodica ".', 'electrical pathlengths', 'directivity pattern', 'approximately calculated', 'angles œü', '90 ¬∞']</t>
  </si>
  <si>
    <t>The field phase distribution over the aperture of a Luneberg lens composed of radial dielectric rods is approximately calculated, and the influence of this distribution on the directivity pattern of this antenna is estimated. The results of calculations of the difference of electrical pathlengths for the angles œÜ = 0 and 90¬∞ for ŒîŒµ = 0.2 are presented. ¬© 2002 MAIK "Nauka/Interperiodica".</t>
  </si>
  <si>
    <t>925-926</t>
  </si>
  <si>
    <t>60072485;60072485</t>
  </si>
  <si>
    <t>6603640937;6602334221</t>
  </si>
  <si>
    <t>Meshkovsky, Igor K.;Shannikov, D. V.</t>
  </si>
  <si>
    <t>Saint Petersburg National Research University of Information Technologies, Mechanics and Optics University ITMO</t>
  </si>
  <si>
    <t>Meshkovsky I.K.</t>
  </si>
  <si>
    <t>Phase distortions in an anisotropic Luneberg lens</t>
  </si>
  <si>
    <t>10.1134/1.1526885</t>
  </si>
  <si>
    <t>2-s2.0-0036864862</t>
  </si>
  <si>
    <t>['subfamilies within', 'southern part', 'solitary ascidians', 'seven subfamilies', 'scandinavian waters', 'primitively fused', 'north atlantic', 'buproridae thorell', 'branchial cavities', 'ascidicolid series', 'appropriate model', 'adult female']</t>
  </si>
  <si>
    <t>The adult female of Buprorus loveni Thorell, 1859, a cyclopoid copepod inhabiting the branchial cavities of solitary ascidians, is redescribed in detail from new material collected in Scandinavian waters and from the southern part of the North Atlantic off Mauritania. The antennal segmentation pattern exhibited by all seven subfamilies of the family Ascidicolidae Thorell, 1860 is compared. The segmentation of the Buprorinae is different from that of all other subfamilies within the ascidicolid series. It is concluded that the antenna of Buprorus is not an appropriate model for interpreting the segmentation of other ascidicolids because the Buprorinae is the only subfamily in which the first and second endopodal segments are primitively fused and the third is distinct. The Buproridae Thorell, 1859 is here treated as a separate family within the Cyclopoida.</t>
  </si>
  <si>
    <t>191-198</t>
  </si>
  <si>
    <t>60101968;60025352</t>
  </si>
  <si>
    <t>6603749290;7005517485</t>
  </si>
  <si>
    <t>Marchenkov, Andrey;Boxshall, Geoff A.</t>
  </si>
  <si>
    <t>Russian Federation;United Kingdom</t>
  </si>
  <si>
    <t>Saint Petersburg (ex Leningrad);London</t>
  </si>
  <si>
    <t>Zoological Institute of the Russian Academy of Sciences;The Natural History Museum, London</t>
  </si>
  <si>
    <t>Marchenkov A.</t>
  </si>
  <si>
    <t>The Buproridae Thorell, 1859, a family of ascidicolous copepods (Copepoda: Cyclopoida)</t>
  </si>
  <si>
    <t>10.1023/A:1021147124817</t>
  </si>
  <si>
    <t>2-s2.0-0036868006</t>
  </si>
  <si>
    <t>['well known', 'ventricular triggering', 'two steps', 'taken away', 'symmetrically located', 'seven patients', 'second step', 'r pacemaker', 'pacemaker sensitivity', 'pacemaker pocket', 'pacemaker functions', 'one ddd', 'nominal values', 'negative effects', 'negative effect', 'mobile phones', 'minimal value', 'lead polarity', 'independent factor', 'first step', 'either sides', 'different systems', 'close contact', 'chamber pacemakers', 'certain conditions', 'bipolar state', 'asynchronous mode', '679 patients', '5 %).', '33 vvi', '10 cm', '05 ).']</t>
  </si>
  <si>
    <t>Electromagnetic interference | Mobile telephone | Pacemaker</t>
  </si>
  <si>
    <t>The negative effect of the electromagnetic field generated by different systems on the pacemaker functions is very well known. The aim of this study is to evaluate the effect of mobile phones on pacemaker functions. A total of 679 patients with permanent pacemakers enrolled in this study. The study was performed in two steps. Pacemaker lead polarity was unipolar in the first step and bipolar in the second step. Pacemaker sensitivity was first at nominal values, yet it was reduced to the minimal value for that pacemaker and then tested. Two mobile phones (power output 2W, GSM 900 MHz) were symmetrically located on either sides of the pacemaker pocket with the antenna being at distances of 50, 30, 20 and 10 cm and at close contact with the pocket. The tests were performed when both mobiles were opened, on stand-by, receiving a call, during the call and were closed. Thirty-seven patients with pacemakers were affected (5.5%). When the lead polarity was unipolar, the rate of being affected was higher when compared to the bipolar state (4.12% and 1.40%, respectively, p&lt;0.05). The increase in sensitivity was not an independent factor on the rate of being affected (p&gt;0.05). There was not any difference between the single and dual-chamber pacemakers in the rate of being affected. There was ventricular triggering in one DDD-R pacemaker, transition to asynchronous mode in 33 VVI(R) pacemakers and inhibition in 3 VVI pacemakers. The rate of being affected was increased as the pacemaker got age (p&lt;0.05). All of these episodes were reversible. In conclusion, mobile phones might have negative effects on pacemaker functions under certain conditions. This does not result in any symptoms other than the inhibition of pacemakers and returns to normal when the mobile phones are taken away.</t>
  </si>
  <si>
    <t>699-709+667</t>
  </si>
  <si>
    <t>Turk Kardiyoloji Dernegi Arsivi</t>
  </si>
  <si>
    <t>60015585;101968941;60015585;101968941;101968941;101968941;101968941;60015585;60012603</t>
  </si>
  <si>
    <t>6603604490;55874244400;7004009443;6602327419;55907513700;6603505581;6603383193;6603696319;7006799727</t>
  </si>
  <si>
    <t>Tando«ßan, Izzet;Temizhan, Ahmet;Yetkin, Ertan;G√ºray, Ye≈üim;Ileri, Mehmet;Duru, Erdal;≈ûa≈ümaz, Ali;√áehreli, ≈ûeng√ºl;K√∂se, Kenan</t>
  </si>
  <si>
    <t>Turkey;Turkey;Turkey</t>
  </si>
  <si>
    <t>Malatya;Ankara;Ankara</t>
  </si>
  <si>
    <t>In√∂n√º √úniversitesi;Ankara √úniversitesi;Turkey Advanced Specialty Education and Research Hospital</t>
  </si>
  <si>
    <t>60015585;60012603;101968941</t>
  </si>
  <si>
    <t>The effects of mobile phones on pacemaker functions</t>
  </si>
  <si>
    <t>2-s2.0-0036868366</t>
  </si>
  <si>
    <t>Council on grants of the President of the Russian Federation</t>
  </si>
  <si>
    <t>00-15-96526</t>
  </si>
  <si>
    <t>['uniform along', 'plasma periphery', 'plasma column', 'magnetic field', 'interperiodica ".', 'frequencies close', 'external antenna', 'electron density']</t>
  </si>
  <si>
    <t>Eigenmodes of an axisymmetric plasma column that is uniform along the magnetic field are investigated. It is shown that, as the plasma density increases, eigenmodes with frequencies close to the electron gyrofrequency tend to localize at the plasma periphery. This effect is likely to restrict the electron density at which the plasma can be heated by means of such modes. A theory is developed for the excitation of the eigenmodes of a plasma column in a weakly nonuniform magnetic field by an external antenna. ¬© 2002 MAIK "Nauka/Interperiodica".</t>
  </si>
  <si>
    <t>906-915</t>
  </si>
  <si>
    <t>Timofeev, A. V.</t>
  </si>
  <si>
    <t>National Research Centre "Kurchatov Institute"</t>
  </si>
  <si>
    <t>Timofeev A.</t>
  </si>
  <si>
    <t>ECR heating of a dense plasma by helicon waves</t>
  </si>
  <si>
    <t>10.1134/1.1520284</t>
  </si>
  <si>
    <t>2-s2.0-0036869797</t>
  </si>
  <si>
    <t>['random refraction', 'random function', 'possible explanation', 'phenomenon lies', 'internal waves', 'horizontal refraction', 'horizontal angle', 'function behaves', 'experimental investigation']</t>
  </si>
  <si>
    <t>An experimental investigation of the horizontal refraction of acoustic signals traversing a distance of about four thousand kilometers in the ocean is given. The signals were recorded with the two-dimensional antenna array of the North Pacific Acoustic Laboratory (NPAL) over a year. The horizontal angle of refraction as a function of time was obtained as a result of processing these signals. This function behaves as a random function and shows no clearly defined temporal trend. A possible explanation of this phenomenon lies in random refraction of signals by internal waves.</t>
  </si>
  <si>
    <t>716-719</t>
  </si>
  <si>
    <t>Izvestiya - Atmospheric and Ocean Physics</t>
  </si>
  <si>
    <t>60027716;60027716;60027716;60027716;60027716;60027716;60027716;60027716;60027716;60027716</t>
  </si>
  <si>
    <t>7003868704;23022921200;6701683897;7003835595;6603065369;6701795004;7005843275;35451422000;7003402061;7003343707</t>
  </si>
  <si>
    <t>Voronovich, A. G.;Ostashev, V. E.;Colosi, J. A.;Cornuelle, B. D.;Dushaw, B. D.;Dzieciuch, M. A.;Howe, B. M.;Mercer, J. A.;Spindel, R. C.;Worcester, P. F.</t>
  </si>
  <si>
    <t>Voronovich A.G.</t>
  </si>
  <si>
    <t>Experimental investigation of the horizontal refraction of acoustic signals in the ocean</t>
  </si>
  <si>
    <t>2-s2.0-0036873695</t>
  </si>
  <si>
    <t>['special case', 'lossy circular', 'excellent agreement', 'electromagnetic scattering', 'complex arguments', 'analytic solutions']</t>
  </si>
  <si>
    <t>The aim of this paper is to outline the theory for calculating the angular and radial Mathieu functions of complex arguments. These functions are required for the computation of analytic solutions of electromagnetic scattering by lossy dielectric elliptic cylinders and waveguides. The backscattered echo width of a lossy dielectric elliptic cylinder is compared with the special case of lossy circular and weakly lossy elliptic cylinders and excellent agreement is obtained in all cases. Tabulated and plotted numerical results of typical Mathieu functions are presented.</t>
  </si>
  <si>
    <t>209-217</t>
  </si>
  <si>
    <t>60070813;60008665;60009506;60000705</t>
  </si>
  <si>
    <t>56260300500;7201898632;7006917371;7103051886</t>
  </si>
  <si>
    <t>Hamid, A. K.;Hussein, M. I.;Ragheb, H. A.;Hamid, M.</t>
  </si>
  <si>
    <t>United Arab Emirates;Saudi Arabia;United Arab Emirates;United States</t>
  </si>
  <si>
    <t>Sharjah;Dhahran;Al Ain;Mobile</t>
  </si>
  <si>
    <t>University of Sharjah;King Fahd University of Petroleum and Minerals;United Arab Emirates University;University of South Alabama</t>
  </si>
  <si>
    <t>60070813;60009506;60008665;60000705</t>
  </si>
  <si>
    <t>Hamid A.</t>
  </si>
  <si>
    <t>Mathieu functions of complex argument and their applications to the scattering by lossy elliptic cylinders</t>
  </si>
  <si>
    <t>2-s2.0-0036875830</t>
  </si>
  <si>
    <t>['substantial fraction', 'spatial variation', 'sources induced', 'source approximations', 'simple scatterer', 'sampling density', 'samples needed', 'radiation patterns', 'radiating currents', 'procedure based', 'point sampling', 'pattern estimate', 'often used', 'obtaining far', 'observation window', 'linear interpolation', 'large objects', 'incidence angle', 'fourier models', 'fitting models', 'field values', 'field patterns', 'field lobe', 'far field', 'employs windowed', 'effective rank', 'easily computed', 'continuous representation', 'computationally expensive', 'cases investigated', 'aperture size', 'although generally', '1 db']</t>
  </si>
  <si>
    <t>Obtaining far-field patterns in electromagnetics or acoustics, although generally not as computationally expensive as solving for the sources induced on an object, can none-the-less at times be a substantial fraction of the overall computer time required for some problems. This can be especially the case in determining the monostatic radar cross section of large objects, since the current distribution must be computed for each incidence angle, or when computing the radiation patterns of large reflector antennas using physical optics. In addition, when employing the point sampling and linear interpolation of the far field that is most often used to develop such patterns, it can be necessary to sample very finely in angle to avoid missing fine details such as nulls. A procedure based on model-based parameter estimation is described here that offers the opportunity of reducing the number of samples needed while developing an easily computed and continuous representation of the pattern. It employs windowed, low-order, overlapping fitting models whose parameters are estimated from the sparsely sampled far-field values. The fitting models themselves employ either discrete-source approximations to the radiating currents or Fourier models of the far field. For the cases investigated, as few as 1.5 to 2 samples per far-field lobe are found to be sufficient to develop a radiation-pattern estimate that is accurate to 0.1 dB, and 2.5 samples per lobe for a simple scatterer. In general, however, the sampling density is not determined by the lobe count alone, but by the effective rank of the field over the observation window, which in turn is a function of both the aperture size and the spatial variation of the source distribution within that aperture.</t>
  </si>
  <si>
    <t>176-186</t>
  </si>
  <si>
    <t>Miller, Edmund K.</t>
  </si>
  <si>
    <t>Miller E.</t>
  </si>
  <si>
    <t>Using adaptive estimation to minimize the number of samples needed to develop a radiation or scattering pattern to a specified uncertainty</t>
  </si>
  <si>
    <t>2-s2.0-0036876021</t>
  </si>
  <si>
    <t>['waveguide technology', 'theoretical considerations', 'single block', 'rotman lenses', 'rotman lens', 'predominantly performed', 'overall size', 'one plane', 'new design', 'multiple beam', 'microstrip technology', 'many applications', 'experimental results', 'electromagnetic simulations', 'completely realized', 'broadband performance', 'antenna array']</t>
  </si>
  <si>
    <t>Many applications in radar and communications require antennas with multiple beam and beam steering capabilities. Rotman lenses are useful as multiple beam forming networks for linear antennas providing the advantage of broadband performance and frequency invariant beam pointing. For microwave bands lens design is predominantly performed in stripline or microstrip technology to meet the requirements for compact and robust antenna systems. In the millimeter wave range, however, a parallel plate cavity forming with waveguide ports arranged around the contour is more appropriate to avoid increasing losses with decreasing operating wavelengths. To reduce the overall size of such a waveguide fed antenna system and to minimize the losses further a new design was developed at W-band around 94 GHz combining a parallel plate cavity, antenna array and the interconnecting transmission lines in one plane and in a single block. The design and development of Rotman lens at 94 GHz feeding an antenna array for beam steering applications is presented. The construction is completely realized in waveguide technology. Experimental results are compared with theoretical considerations and electromagnetic simulations.</t>
  </si>
  <si>
    <t>244-248</t>
  </si>
  <si>
    <t>6506293057;7201916947</t>
  </si>
  <si>
    <t>N√º√üer, Dirk;Fuchs, Hans Hellmuth</t>
  </si>
  <si>
    <t>N√º√üer D.</t>
  </si>
  <si>
    <t>A Rotman lens at W-band</t>
  </si>
  <si>
    <t>2-s2.0-0036876323</t>
  </si>
  <si>
    <t>['wcdma systems', 'vehicle speed', 'user terminals', 'target space', 'stationary channel', 'soft handoff', 'simulation results', 'receiver consists', 'rate equalizer', 'one followed', 'link receiver', 'improved performance', 'fdd systems', 'adaptive multi', '50 km']</t>
  </si>
  <si>
    <t>An adaptive multi-target space-time down-link receiver for user terminals of WCDMA systems under soft handoff is presented. The receiver consists of M antennas and K array processors, each one followed by a chip-rate equalizer and a despreader. The resulting K signals are combined in an "adaptive ratio combiner" which is updated by pilot common channel information in UTRA-FDD systems. All the structure in the FDD WCDMA downlink signal is exploited for improved performance. Simulation results for a stationary channel and for COST-259 channel models, for vehicle speed of 50 km/h, are presented.</t>
  </si>
  <si>
    <t>1082-1090</t>
  </si>
  <si>
    <t>7005873551;7202947679;6602506368</t>
  </si>
  <si>
    <t>Cardoso, Fabbryccio A.C.M.;Fernandas, Marcelo A.C.;Arantes, Dalton S.</t>
  </si>
  <si>
    <t>Cardoso F.A.C.M.</t>
  </si>
  <si>
    <t>Space-time processing for smart antennas in advanced receivers for the user terminal in 3G WCDMA systems</t>
  </si>
  <si>
    <t>10.1109/TCE.2003.1196442</t>
  </si>
  <si>
    <t>2-s2.0-0036877293</t>
  </si>
  <si>
    <t>['reception performance', 'many forms', 'indoor use', 'field tests', 'captured data', 'antenna diversity']</t>
  </si>
  <si>
    <t>Antenna Diversity | Digital Terrestrial Television</t>
  </si>
  <si>
    <t>Antenna diversity algorithms are presented and are shown to improve the reception performance of an ATSC A/53 compliant Digital Terrestrial TV receiver. A Maximum Ratio Combining algorithm is outlined and the results of field tests of a prototype are presented. An improved beamforming algorithm is described and computer simulation results on captured data are presented. Antenna Diversity (in many forms) provides many gains over current single antenna Digital Terrestrial TV receivers, in particular for indoor use.</t>
  </si>
  <si>
    <t>Meehan, J.</t>
  </si>
  <si>
    <t>Meehan J.</t>
  </si>
  <si>
    <t>Antenna diversity for improved indoor reception of US Digital Terrestrial Television receivers</t>
  </si>
  <si>
    <t>10.1109/TCE.2003.1196412</t>
  </si>
  <si>
    <t>2-s2.0-0036878959</t>
  </si>
  <si>
    <t>['user identification', 'urban environment', 'tracking concept', 'time processor', 'sophisticated doa', 'snr ),', 'smart antennas', 'signal reconstruction', 'real time', 'processing steps', 'primary concern', 'noise ratio', 'new parameter', 'interferer signals', 'interference ratio', 'gsm standard', 'frequency hopping', 'estimation range', 'entire suite', 'enhances robustness', 'eight half', 'doa estimation', 'contributions due', 'broad nulls', 'angular spread', '18 db', '1 ms']</t>
  </si>
  <si>
    <t>Angular diversity | Carrier-to-interference ratio (C/I) improvement | Component angular spread | Direction-of-arrival estimation | Smart antenna | Wireless communications</t>
  </si>
  <si>
    <t>We designed, built, and tested a real-time processor for a direction-of-arrival-based smart antenna GSM 1800 base station with eight half-wavelength spaced antenna elements. Its processing steps include direction-of-arrival (DOA) estimation, user identification, tracking, beamforming, and signal reconstruction. We demonstrate that the accuracy of DOA estimation is not of primary concern, but the robustness is. This can be assessed by a new parameter, the estimation range. Tracking of reliable user DOAs only, increases the robustness against interference. Our tracking concept is compatible with frequency hopping. We quantify the benefits of smart antennas by the statistics of the gain in carrier-to-interference ratio (C/I) and in signal-to-noise ratio (SNR), both measured at the 90 or 99% levels with actual transmitted data. In an urban environment with large angular spread and overlap of user and interferer signals, the C/I gain is as high as 18 dB. Interferer nulling increases the C/I gain only slightly, but enhances robustness against angular spread, particularly if broad nulls are applied. Separating SNR gain in its contributions due to beam-forming and diversity gives valuable insight into the way of operation. In uplink, the processor can exploit angular diversity. The entire suite of processing steps is done within less than 1 ms. demonstrating that sophisticated DOA-based smart antenna processing is feasible in real time. Our solution does not require any change in the GSM standard.</t>
  </si>
  <si>
    <t>1279-1293</t>
  </si>
  <si>
    <t>60009854;60026638;60009854-60018163</t>
  </si>
  <si>
    <t>7005327175;6603214285;7007067644</t>
  </si>
  <si>
    <t>Kuchar, Alexander;Tangemann, Michael;Bonek, Ernst</t>
  </si>
  <si>
    <t>Finland;Austria;Austria</t>
  </si>
  <si>
    <t>Espoo;Vienna;Vienna</t>
  </si>
  <si>
    <t>Nokia Corporation;Technische Universit√§t Wien;Forschungszentrum Telekommunikation Wien</t>
  </si>
  <si>
    <t>60026638;60018163;60009854</t>
  </si>
  <si>
    <t>Kuchar A.</t>
  </si>
  <si>
    <t>A real-time DOA-based smart antenna processor</t>
  </si>
  <si>
    <t>10.1109/TVT.2002.801737</t>
  </si>
  <si>
    <t>2-s2.0-0036879593</t>
  </si>
  <si>
    <t>91-2213-E-260-024</t>
  </si>
  <si>
    <t>['spectrum communications', 'sequence spread', 'problems caused', 'noncoherent detectors', 'noncoherent counterpart', 'marched filter', 'extensively investigated', 'confidently exploited', 'attractive improvements', 'asynchronous environments']</t>
  </si>
  <si>
    <t>Acquisition | Differentially coherent detection | Direct-sequence spread-spectrum (DS/SS) | Matched filter</t>
  </si>
  <si>
    <t>A pseudonoise code acquisition technique based on a marched filter with differentially coherent detection is proposed for direct-sequence spread-spectrum communications in chip-asynchronous environments. Such a technique can be confidently exploited as an alternative to noncoherent detectors, which have been extensively investigated, because it can provide very attractive improvements over its noncoherent counterpart as well as overcome the problems caused by chip asynchronization without increasing hardware complexity. The results of statistical analyses show that the proposet technique certainly can achieve much lower error probabilities.</t>
  </si>
  <si>
    <t>1596-1599</t>
  </si>
  <si>
    <t>Lin, Jia Chin</t>
  </si>
  <si>
    <t>Nantau</t>
  </si>
  <si>
    <t>National Chi Nan University</t>
  </si>
  <si>
    <t>Lin J.</t>
  </si>
  <si>
    <t>Differentially coherent PN code acquisition based on a matched filter for chip-asynchronous DS/SS communications</t>
  </si>
  <si>
    <t>10.1109/TVT.2002.804867</t>
  </si>
  <si>
    <t>2-s2.0-0036879597</t>
  </si>
  <si>
    <t>['two variables', 'numerical results', 'new method', 'nearly axial', 'moments solution', 'fourier series', 'appropriate green']</t>
  </si>
  <si>
    <t>Coated cylinders | Green's function | Paraxial representation</t>
  </si>
  <si>
    <t>A new method to evaluate the surface fields excited within the paraxial (nearly axial) region of an electrically large dielectric coated circular cylinder is presented. This representation is obtained by performing the Watson's transformation in the standard eigenfunction solution and using the fact that the circumferentially propagating series representation of the appropriate Green's function is periodic in one of its two variables. Therefore, it can be approximated by a Fourier series where the two leading terms of the expansion yield engineering accuracy in most cases. This work can be used in conjunction with a method of moments solution for the design/analysis of conformal microstrip antennas and arrays. Numerical results are presented and compared with a standard eigenfunction expansion.</t>
  </si>
  <si>
    <t>1577-1587</t>
  </si>
  <si>
    <t>60014808;60003500</t>
  </si>
  <si>
    <t>35591439300;35595967100</t>
  </si>
  <si>
    <t>Ert√ºrk, V. B.;Rojas, R. G.</t>
  </si>
  <si>
    <t>Bilkent √úniversitesi;The Ohio State University</t>
  </si>
  <si>
    <t>Ert√ºrk V.</t>
  </si>
  <si>
    <t>Paraxial space-domain formulation for surface fields on a large dielectric coated circular cylinder</t>
  </si>
  <si>
    <t>10.1109/TAP.2002.803955</t>
  </si>
  <si>
    <t>2-s2.0-0036879612</t>
  </si>
  <si>
    <t>RP3981619</t>
  </si>
  <si>
    <t>NUS</t>
  </si>
  <si>
    <t>['œü direction', 'tangential fields', 'solved using', 'simplified solution', 'radiation patterns', 'method used', 'matrix form', 'magnetic fields', 'linear system', 'iterative technique', 'first time', 'electromagnetic radiation', 'confocal radome', 'boundary conditions']</t>
  </si>
  <si>
    <t>The solution of electromagnetic radiation from a prolate spheroidal antenna, excited by a delta voltage across an infinitesimally narrow gap and enclosed in a confocal radome, is obtained. The method used is that of separating the scalar wave equation in prolate spheroidal coordinates and representing the solution in terms of prolate spheroidal wave functions. A simplified solution of the electric and magnetic fields, taking into account the symmetry of the antenna in the œÜ direction, is obtained. Boundary conditions are then applied on the tangential fields to obtain a linear system of equations. The system of equations is cast into matrix form and solved using an iterative technique for the unknown expansion coefficients of the fields. Radiation patterns of the antenna are obtained and presented here for the first time.</t>
  </si>
  <si>
    <t>1525-1533</t>
  </si>
  <si>
    <t>60017161-60026293;60017161;60017161;60017161</t>
  </si>
  <si>
    <t>7501449136;7102006113;7102523120;7102646632</t>
  </si>
  <si>
    <t>Li, Le Wei;Leong, Mook Seng;Yeo, Tat Soon;Gan, Yeow Beng</t>
  </si>
  <si>
    <t>United States;Singapore</t>
  </si>
  <si>
    <t>Cambridge;Singapore City</t>
  </si>
  <si>
    <t>Singapore-MIT Alliance;National University of Singapore</t>
  </si>
  <si>
    <t>60026293;60017161</t>
  </si>
  <si>
    <t>Electromagnetic radiation from a prolate spheroidal antenna enclosed in a confocal spheroidal radome</t>
  </si>
  <si>
    <t>10.1109/TAP.2002.803950</t>
  </si>
  <si>
    <t>2-s2.0-0036879620</t>
  </si>
  <si>
    <t>Fonds De La Recherche Scientifique - FNRS</t>
  </si>
  <si>
    <t>RW 971/3641</t>
  </si>
  <si>
    <t>FNRS</t>
  </si>
  <si>
    <t>['urban areas', 'typical imt', 'tracing tool', 'system characteristics', 'spread accounting', 'single diffraction', 'simulated power', 'signal bandwidth', 'satisfying matching', 'rms delay', 'resulting performance', 'radiowave propagation', 'paper describes', 'microcellular wide', 'measured power', 'measured channels', 'makes use', 'dtd ray', 'deterministic three', 'delay profiles', 'antenna beamwidth', 'also compared', 'allows simulation', '87 ghz', '2000 service', '2000 modems']</t>
  </si>
  <si>
    <t>Communications system performances | Ray tracing | Wide-band radio channel measurements</t>
  </si>
  <si>
    <t>To evaluate the performance of future microcellular IMT-2000 modems, simple physical models are required, so that a number of system characteristics, such as the signal bandwidth, the antenna beamwidth, or the base station height can be accounted for at a limited computational cost. This paper describes a deterministic three-dimensional electromagnetic model, which allows simulation of the radiowave propagation for microcellular wide-band communication systems in urban areas. The model is based on a DTD ray-tracing tool and makes use of an improved mirror method. Simulated power-delay profiles are plotted against measured power-delay profiles recorded at 1.87 GHz in a street of Louvain-la-Neuve, Belgium, by means of an 80-MHz channel sounder. Despite several discrepancies, a satisfying matching is found considering three orders of reflection and single diffraction. Predictions of rms delay-spread accounting for the sounder limited bandwidth are presented. Finally, simulated and measured channels are also compared through the resulting performance of a typical IMT-2000 service in the presence of multiple access interference.</t>
  </si>
  <si>
    <t>1422-1430</t>
  </si>
  <si>
    <t>60000874;60000874;60019894;60000874</t>
  </si>
  <si>
    <t>7004104722;6602876632;6602622743;6603820262</t>
  </si>
  <si>
    <t>Oestges, Claude;Clerckx, Bruno;Raynaud, Lidwine;Vanhoenacker-Janvier, Danielle</t>
  </si>
  <si>
    <t>Toulouse;Louvain-la-Neuve</t>
  </si>
  <si>
    <t>Thales Alenia Space;Universit√© Catholique de Louvain</t>
  </si>
  <si>
    <t>60019894;60000874</t>
  </si>
  <si>
    <t>Oestges C.</t>
  </si>
  <si>
    <t>Deterministic channel modeling and performance simulation of microcellular wide-band communication systems</t>
  </si>
  <si>
    <t>10.1109/TVT.2002.804846</t>
  </si>
  <si>
    <t>2-s2.0-0036879623</t>
  </si>
  <si>
    <t>NAG-1-1082</t>
  </si>
  <si>
    <t>['updated using', 'three methods', 'radiation patterns', 'radiation characteristics', 'ptd )]', 'physical theory', 'physical optics', 'mom domain', 'iterative algorithm', 'input impedances', 'inaccuracy due', 'hybrid methods', 'hybrid method', 'hfats ).', 'hfat domain', 'gtd ),', 'geometrical theory', 'feed point', 'element method', 'electrical dimensions', 'currents obtained', 'corresponding results', 'computational costs', 'calculated based', 'antenna system', 'almost independent']</t>
  </si>
  <si>
    <t>Finite-element method | High frequency | High-frequency symptotic technique | Hybrid technique | Iterative method | Reflector antenna</t>
  </si>
  <si>
    <t>The analysis of a reflector antenna system consisting of a feeder, a sub-reflector, and a main-reflector in microwave frequency bands, where the electrical dimensions of the antenna become prohibitively large for the use of a rigorous numerical method, has been performed by high-frequency asymptotic techniques (HFATs). As a result, the radiation patterns and input impedances of the antenna system were calculated based on an approximation: the radiation characteristics of the feed, sub-reflector and main-reflector are independent from each other. In this study, as an effort to alleviate the inaccuracy due to the exclusion of higher order mutual interactions existing among those subsystems, three different hybrid methods [finite-element method/method of moment (FEM/MOM) + physical optics (PO), FEM/MOM + geometrical theory of diffraction (GTD), and FEM/MOM + PO + physical theory of diffraction (PTD)] are introduced in the context of an iterative algorithm. The interactions between the feed and sub-reflector are accounted by a hybrid method which combines the FEM with the MOM; FEM/MOM. Whereas, the interactions between the objects in the FEM/MOM domain and the main-reflector are taken into account through the iteration: the fields and currents in the FEM/MOM domain are updated using the fields and currents obtained from the HFAT domain and vise-versa. These three methods are applied to two-dimensional reflector configurations, and corresponding results are compared in terms of accuracy and efficiency. The accuracy of the hybrid methods, especially those of FEM/MOM + GTD and FEM/MOM + PO + PTD, is found to be comparable to that of a rigorous numerical method. Furthermore, their computational costs are almost independent to the size of the main-reflector and to the distance from the feed point to the main-reflector.</t>
  </si>
  <si>
    <t>1514-1524</t>
  </si>
  <si>
    <t>60033010;;60003892</t>
  </si>
  <si>
    <t>57207445717;7005461077;35583458100</t>
  </si>
  <si>
    <t>Han, Dong Ho;Polycarpou, Anastasis C.;Balanis, Constantine A.</t>
  </si>
  <si>
    <t>Santa Clara;Tempe</t>
  </si>
  <si>
    <t>Intel Corporation;Arizona State University</t>
  </si>
  <si>
    <t>60033010;60003892</t>
  </si>
  <si>
    <t>Han D.</t>
  </si>
  <si>
    <t>Hybrid analysis of reflector antennas including higher order interactions and blockage effects</t>
  </si>
  <si>
    <t>10.1109/TAP.2002.803952</t>
  </si>
  <si>
    <t>2-s2.0-0036879625</t>
  </si>
  <si>
    <t>['past years', 'multiantenna cases', 'last method', 'great diffusion', 'flexible approach', 'exposure due', 'entire territory', 'conceptual method', 'cellular systems', 'bs antennas', 'base stations', 'antenna installations', 'accurate evaluation']</t>
  </si>
  <si>
    <t>Cellular system | Exposure levels | Measurements | Propagation</t>
  </si>
  <si>
    <t>During the past years, the number of antenna installations has considerably increased mainly as a consequence of the great diffusion of cellular systems. While the emissions of mobile terminals principally concern cellular system users, the exposure due to base stations (BSs) is permanent and spread over the entire territory. In this paper, a flexible approach for the evaluation of exposure levels generated by cellular systems BSs is proposed. Both a conceptual method for the evaluation of the overall exposure level and a site specific method for the computation of the field in the surroundings of BS antennas are proposed. This last method is based on a combination of three different propagation models which enable an accurate evaluation of the field both close to the antenna and farther off. The validity of the approach is checked by comparison with measurements in single-antenna and multiantenna cases.</t>
  </si>
  <si>
    <t>1322-1329</t>
  </si>
  <si>
    <t>60028218;60038102;60028218;60028218</t>
  </si>
  <si>
    <t>6602890557;6603059988;6701720057;7004214026</t>
  </si>
  <si>
    <t>Barbiroli, Marina;Carciofi, Claudia;Degli-Esposti, Vittorio;Falciasecca, Gabriele</t>
  </si>
  <si>
    <t>Rome;Bologna</t>
  </si>
  <si>
    <t>Fondazione Ugo Bordoni;Alma Mater Studiorum Universit√† di Bologna</t>
  </si>
  <si>
    <t>60038102;60028218</t>
  </si>
  <si>
    <t>Barbiroli M.</t>
  </si>
  <si>
    <t>Evaluation of exposure levels generated by cellular systems: Methodology and results</t>
  </si>
  <si>
    <t>10.1109/TVT.2002.804854</t>
  </si>
  <si>
    <t>2-s2.0-0036879627</t>
  </si>
  <si>
    <t>['withdrew inwardly', 'wider ranged', 'walking condition', 'w pattern', 'voluntary movement', 'tactile object', 'stimulated movements', 'single antenna', 'significantly decreased', 'significant effects', 'p )"', 'object presentation', 'object outwardly', 'metal plate', 'mechanosensory organ', 'hp ablation', 'hp ),', 'horizontal movements', 'four patterns', 'crucial roles', 'cockroach antenna', 'blinded cockroaches', 'antennal movements', '90 ¬∞:', '45 ¬∞', '20 ¬∞']</t>
  </si>
  <si>
    <t>Antenna | Cockroach | Hair plate | Mechanoreceptor | Tactile sense</t>
  </si>
  <si>
    <t>The voluntary movement of antennae of blinded cockroaches was examined in the tethered-walking condition. An object of metal plate was presented to a tip of a single antenna in order to induce tactile orientation behavior. Horizontal movements of the antenna before and during the object presentation were analyzed both before and after ablation of a mechanosensory organ, the scapal hair plate (S-HP), at the base of antenna. The resting antennal position shifted outwardly by about 20¬∞ after the S-HP ablation. Spontaneous antennal movements in ablated animals became stiff and wider ranged. The tactile object was set at two different horizontal positions, 45¬∞ and 90¬∞ clockwise to the head, for the right side antenna. The number of contacts in a constant test period was significantly decreased in the tests at 45¬∞ after ablation. Trajectories of antennal movements before and after contacts were categorized into four patterns. In the case that an antenna made contact with the object during its abduction (outward) movement, it then passed the object outwardly or withdrew inwardly. These were termed "outward-pass (O-P)" and "outward-withdrawal (O-W)" patterns, respectively. Similarly, contacts during the adduction (inward) movement were divided into "inward-pass (I-P)" or "inward-withdrawal (I-W)" pattern. Significant effects of the S-HP ablation appeared in the tests at 90¬∞: the I-P pattern mostly disappeared and was replaced by the I-W pattern. The results strongly suggest that the S-HP has crucial roles for controlling both spontaneous and stimulated movements of the cockroach antenna.</t>
  </si>
  <si>
    <t>1201-1210</t>
  </si>
  <si>
    <t>60011047;60011047;60011047</t>
  </si>
  <si>
    <t>7102406019;7003678300;7103300201</t>
  </si>
  <si>
    <t>Okada, Jiro;Kanamaru, Yoshio;Toh, Yoshihiro</t>
  </si>
  <si>
    <t>Fukuoka</t>
  </si>
  <si>
    <t>Kyushu University</t>
  </si>
  <si>
    <t>Okada J.</t>
  </si>
  <si>
    <t>Mechanosensory control of antennal movement by the scapal hair plate in the American cockroach</t>
  </si>
  <si>
    <t>10.2108/zsj.19.1201</t>
  </si>
  <si>
    <t>2-s2.0-0036879878</t>
  </si>
  <si>
    <t>['wireless systems', 'two antennas', 'transmit diversity', 'training sequence', 'training requirements', 'time transmission', 'time coding', 'system throughput', 'special case', 'spatial multiplexing', 'several space', 'receiver processing', 'proposed schemes', 'processing techniques', 'practical system', 'packet data', 'multipath channels', 'key requirements', 'intersymbol interference', 'good auto', 'general schemes', 'frequency hopping', 'four transmit', 'edge system', 'deployment scenarios', 'correlation properties', 'channel estimation', 'antenna diversity', '3 gain']</t>
  </si>
  <si>
    <t>Interference cancellation | Link adaptation | Space-time coding | Spatial multiplexing | Training sequence design</t>
  </si>
  <si>
    <t>Several space-time coding and processing techniques have been introduced in the literature for enhancing the capacity of wireless systems through antenna diversity or spatial multiplexing. We study the application of such techniques to an adaptive coded modulation system in multipath channels with intersymbol interference. One of the key requirements for application of these schemes is the use of appropriate training symbols for channel estimation at the receiver. We determine the training requirements for coherent receiver operation when multiple transmit antennas are used. We show that for the special case of the delay diversity scheme, transmitting the same training sequence from the two antennas is optimal. For more general schemes, we present training sequences that have good auto-correlation and cross-correlation properties that can be used in a practical system such as EDGE. We present detailed link level simulations that include channel estimation for the proposed schemes. We then determine the system throughput that is achieved for packet data with ideal link adaptation for deployment scenarios with 1/3, 3/9, 4/12, and 7/21 frequency reuse. We conclude that the gains from transmit diversity are not significant when there is frequency hopping as in an EDGE system and that a factor of 3 gain in throughput can be achieved when four transmit and four receive antennas are available using simple space-time transmission and receiver processing.</t>
  </si>
  <si>
    <t>1522-1533</t>
  </si>
  <si>
    <t>60026638;60007776-60015272</t>
  </si>
  <si>
    <t>35511016000;57201817926</t>
  </si>
  <si>
    <t>Viswanathan, Harish;Balakrishnan, Jaiganesh</t>
  </si>
  <si>
    <t>Finland;United States;United States</t>
  </si>
  <si>
    <t>Espoo;Dallas;Ithaca</t>
  </si>
  <si>
    <t>Nokia Corporation;Texas Instruments;Cornell University</t>
  </si>
  <si>
    <t>60026638;60015272;60007776</t>
  </si>
  <si>
    <t>Viswanathan H.</t>
  </si>
  <si>
    <t>Space-time signaling for high data rates in EDGE</t>
  </si>
  <si>
    <t>10.1109/TVT.2002.804862</t>
  </si>
  <si>
    <t>2-s2.0-0036879977</t>
  </si>
  <si>
    <t>PGIDT00PXI20603PR</t>
  </si>
  <si>
    <t>['œ ∏', 'relative phases', 'excitation amplitudes', 'conical beam', 'concentric rings', 'certain sets', '50 ¬∞', '35 ¬∞', '3 db']</t>
  </si>
  <si>
    <t>Antenna arrays | Optimization methods | Pattern synthesis | Satellite communication</t>
  </si>
  <si>
    <t>In this article, we describe a mobile communications antenna consisting of concentric rings of elliptically polarized circular patches. For certain sets of relative phases, optimization of geometry and excitation amplitudes by simulated annealing synthesizes a conical beam with a maximum at a desired Œ∏ and satisfactory directivity within a desired Œ∏ range. An example of a two-ring array 50 cm in diameter with directivity &gt;3 dB between Œ∏ = 35¬∞ and Œ∏ = 50¬∞ is presented.</t>
  </si>
  <si>
    <t>1555-1559</t>
  </si>
  <si>
    <t>60028419;60017293-60027550;60028419;60028419</t>
  </si>
  <si>
    <t>6602260861;7006413404;7006865572;7202825573</t>
  </si>
  <si>
    <t>Vicente-Lozano, Manuel;Franceschetti, Giorgio;Ares-Pena, Francisco J.;Moreno-Piquero, Eduardo</t>
  </si>
  <si>
    <t>Spain;United States;Italy</t>
  </si>
  <si>
    <t>Santiago de Compostela;Los Angeles;Naples</t>
  </si>
  <si>
    <t>Universidad de Santiago de Compostela;University of California, Los Angeles;Universit√† degli Studi di Napoli Federico II</t>
  </si>
  <si>
    <t>60028419;60027550;60017293</t>
  </si>
  <si>
    <t>Vicente-Lozano M.</t>
  </si>
  <si>
    <t>Analysis and synthesis of a printed array for satellite communication with moving vehicles</t>
  </si>
  <si>
    <t>10.1109/TAP.2002.803953</t>
  </si>
  <si>
    <t>2-s2.0-0036879981</t>
  </si>
  <si>
    <t>['unknown field', 'transformation features', 'standard mom', 'slot antennas', 'radiated fields', 'observation point', 'numerical results', 'mom ).', 'gaussian beams', 'gabor frame', 'fully rigorous', 'frame theory', 'flexible tool', 'first time', 'based discretization', 'attractive characteristics', 'antenna analysis', 'analytic terms']</t>
  </si>
  <si>
    <t>Gabor frame-based representation | Gaussian beams expansion | Method of moments (MoM) | Printed antennas</t>
  </si>
  <si>
    <t>Gabor frame-based discretization is proposed for the first time as a fully rigorous and flexible tool in the context of antenna analysis. A rigorous discretization procedure based on frame theory is presented and applied to integral equations solution through a method of moments (MoM). In this approach, the unknown field or current is expanded in a set of spatially and spectrally translated elementary functions. The use of a Gaussian window function as basis element allows for the representation of radiated fields as a superposition of shifted and rotated Gaussian beams. By exploiting the well understood propagation and transformation features of Gaussian beams, the fields can be evaluated by summations of analytic terms, at any observation point. This method seems well suited to model antennas embedded in complex systems including arbitrary interfaces. Numerical results are presented for slot antennas at the interface between two dielectric half spaces and compared to a standard MoM to validate the approach and illustrate its attractive characteristics.</t>
  </si>
  <si>
    <t>1588-1597</t>
  </si>
  <si>
    <t>60003674;60104223-60106273</t>
  </si>
  <si>
    <t>6602643116;6602180191</t>
  </si>
  <si>
    <t>Lugara, Delphine;Letrou, Christine</t>
  </si>
  <si>
    <t>Evry;Evry;Paris</t>
  </si>
  <si>
    <t>Services r√©partis, architecture mod√©lisation validation administration de r√©seaux;Telecom &amp; Management SudParis;L'Observatoire de Paris</t>
  </si>
  <si>
    <t>60106273;60104223;60003674</t>
  </si>
  <si>
    <t>Lugara D.</t>
  </si>
  <si>
    <t>Printed antennas analysis by a gabor frame-based method of moments</t>
  </si>
  <si>
    <t>10.1109/TAP.2002.804023</t>
  </si>
  <si>
    <t>2-s2.0-0036879982</t>
  </si>
  <si>
    <t>['traditional arrays', 'single element', 'signals received', 'physical mechanism', 'one element', 'novel way', 'multiple modes', 'multimode antenna', 'low enough', 'e .,', 'diversity branches', 'different modes', 'channel capacity', 'antenna array', 'analytical expressions']</t>
  </si>
  <si>
    <t>Antenna radiation patterns | Array antennas | Channel capacity | Correlation methods | Diversity reception | Land mobile radio | Microstrip antennas | Multiple-input-multiple-output (MIMO) channels</t>
  </si>
  <si>
    <t>A novel way of exploiting higher modes of antennas as diversity branches in multiple-input-multiple-output (MIMO) systems is introduced. Essentially, antennas employing multiple modes offer characteristics similar to an antenna array, through multiple modes and using only a single element. The physical mechanism that yields different received signals is the fact that each mode has a different radiation pattern. Analytical expressions for the correlation between signals received by different modes are presented for a biconical and a circular microstrip antenna that employs higher order modes. It is found that the correlation is low enough to yield a significant diversity gain. Furthermore, the channel capacity of a MIMO system using a multimode antenna, i.e., an antenna employing multiple modes, is found to be comparable to the capacity of an array. Since only one element is needed, the multimode antenna offers several advantages over traditional arrays, and is an interesting antenna solution for future high capacity MIMO systems.</t>
  </si>
  <si>
    <t>1304-1312</t>
  </si>
  <si>
    <t>Svantesson, Thomas</t>
  </si>
  <si>
    <t>Svantesson T.</t>
  </si>
  <si>
    <t>Correlation and channel capacity of MIMO systems employing multimode antennas</t>
  </si>
  <si>
    <t>10.1109/TVT.2002.804856</t>
  </si>
  <si>
    <t>2-s2.0-0036880068</t>
  </si>
  <si>
    <t>Center for Arabic Study Abroad, University of Texas, Austin</t>
  </si>
  <si>
    <t>CASA</t>
  </si>
  <si>
    <t>['theoretical principles', 'requirements related', 'radiation pattern', 'pol levels', 'particular design', 'low sidelobe', 'horn antennas', 'hispasat 1c', 'frequency band', 'experimental results', 'excellent agreement', 'conversion efficiency', 'conventional counterparts', 'best solution', 'also valid']</t>
  </si>
  <si>
    <t>Gaussian profiled horn antennas (GPHA) | Microwave | Millimeter waves | Quasi-optics</t>
  </si>
  <si>
    <t>In this paper, a new horn antenna profile is presented. This new profile based on Gaussian techniques offers the best solution when the requirements related to the radiation pattern are very stringent. Short-horn antennas with high-conversion efficiency to a fundamental Gaussian beam, and therefore, very low sidelobe and cross-pol levels in a wide-frequency band, could be obtained by using the design technique presented here. Once the theoretical principles of the Gaussian profiled horn antennas (GPHA) are presented, some other possibilities involving Gaussian profiles will be studied and compared with their conventional counterparts. Finally, as an example of the design technique proposed, a particular design of a GPHA for HISPASAT 1C and now also valid for the new HISPASAT 1D satellite will be presented, showing the excellent agreement between the theoretical and experimental results.</t>
  </si>
  <si>
    <t>1505-1513</t>
  </si>
  <si>
    <t>7003903508;6602670718;7101889305</t>
  </si>
  <si>
    <t>Gonzalo, Ram√≥n;Teniente, Jorge;Del R√≠o, Carlos</t>
  </si>
  <si>
    <t>Improved radiation pattern performance of Gaussian profiled horn antennas</t>
  </si>
  <si>
    <t>10.1109/TAP.2002.804002</t>
  </si>
  <si>
    <t>2-s2.0-0036880084</t>
  </si>
  <si>
    <t>['use sinusoidal', 'two parts', 'short waveforms', 'remote sensing', 'properties directly', 'practical problem', 'particular importance', 'paper compares', 'failed elements', 'emerging technology', 'domain communications', 'arrays densely', 'appreciably degrade', 'antenna elements', 'antenna arrays', 'analytic results', 'analytic approach', 'analysis shows', 'also reducing']</t>
  </si>
  <si>
    <t>Antennas | Arrays | Beam forming | Sparse arrays | Time-domain signals | Ultra-wideband</t>
  </si>
  <si>
    <t>This paper compares the performance of antenna arrays that use sinusoidal and ultra-short pulse waveforms. There are two parts to the paper: first, a comparison of narrowband versus ultra-wideband linear arrays using an analytic approach and second, a series of computer simulations used to extend the analytic results and to show the characteristics of nonstandard array configurations. Analysis shows that antennas using ultra-short waveforms have highly desirable pattern properties that do not appreciably degrade under conditions of high array sparsity, failed elements, or antenna element position errors. Patterns are given that show these properties directly. These results are of particular importance to the emerging technology of base-band or time-domain communications and remote sensing. It addresses the practical problem of designing extremely large aperture space-based arrays without populating those arrays densely with antenna elements and also reducing the traditional fabrication tolerances.</t>
  </si>
  <si>
    <t>1560-1566</t>
  </si>
  <si>
    <t>DiDomenico, Leo D.</t>
  </si>
  <si>
    <t>DiDomenico L.</t>
  </si>
  <si>
    <t>A comparison of time versus frequency domain antenna patterns</t>
  </si>
  <si>
    <t>10.1109/TAP.2002.803960</t>
  </si>
  <si>
    <t>2-s2.0-0036880085</t>
  </si>
  <si>
    <t>['transmit diversity', 'transmit antennas', 'receive antennas', 'rake receiver', 'overall space', 'general nakagami', 'g .,', 'fading severity', 'directly evaluated', 'coding gain', 'band cdma', 'array configuration', 'arbitrary number', 'angular spread']</t>
  </si>
  <si>
    <t>Convolutional coding | Correlated Nakagami fading | Multiple-input-multiple-output (MIMO) systems | Pairwise error probability | Space-path diversity | Two-dimensional (2-D) RAKE receiver</t>
  </si>
  <si>
    <t>The bit error rate (BER) performance of a two-dimensional (2-D) RAKE receiver, in combination with transmit diversity on the downlink of a wide-band CDMA (W-CDMA) system, is presented. The analyses assume correlated fading between receive antenna array elements, and an arbitrary number of independent but nonidentical resolvable multipaths combined by the RAKE receiver in the general Nakagami-m fading channel framework. The impact of the array configuration (e.g., the number of transmit antennas and receive antennas, the antenna element separation) and the operating environment parameters (such as the fading severity, angular spread and path delay profile) on the overall space-path diversity gain can be directly evaluated. In addition, the exact pairwise error probability of a convolutional coded system is obtained, and the coding gain of a space-path diversity receiver is quantified.</t>
  </si>
  <si>
    <t>1502-1516</t>
  </si>
  <si>
    <t>60121655;60121655-60032503;60121655-60028628</t>
  </si>
  <si>
    <t>7404183082;35602298100;7005879349</t>
  </si>
  <si>
    <t>Luo, Jianxia;Zeidler, James R.;Proakis, John G.</t>
  </si>
  <si>
    <t>San Diego;San Diego;Boston</t>
  </si>
  <si>
    <t>The Electrical and Computer Engineering Department;Space and Naval Warfare Systems Center San Diego;Northeastern University</t>
  </si>
  <si>
    <t>60121655;60032503;60028628</t>
  </si>
  <si>
    <t>Luo J.</t>
  </si>
  <si>
    <t>Error probability performance for W-CDMA systems with multiple transmit and receive antennas in correlated Nakagami fading channels</t>
  </si>
  <si>
    <t>10.1109/TVT.2002.804861</t>
  </si>
  <si>
    <t>2-s2.0-0036880336</t>
  </si>
  <si>
    <t>['wave structure', 'wave frequencies', 'wave antenna', 'uniplanur leaky', 'uniplanar nature', 'uniform lwa', 'structure makes', 'forward direction', 'configuration results', 'bidirectional versions', 'bias voltages', 'antenna appropriate', 'adjacent elements', '30 ghz']</t>
  </si>
  <si>
    <t>Beam scanning | Coplanar waveguide (CPW) | Integrated-circuit antennas | Leaky-wave antennas (LWAs) | Millimeter-waves | Slots</t>
  </si>
  <si>
    <t>A uniplanur leaky-wave antenna (LWA) suitable for operation at millimeter-wave frequencies is introduced. Both unidirectional and bidirectional versions of the antenna are presented. The proposed structure consists of a coplanar waveguide fed linear array of closely spaced capacitive transverse slots. This configuration results in a fast-wave structure in which the n = 0 spatial harmonic radiates in the forward direction. Since the distance, d, between adjacent elements of the array is small d ‚â™ Œª0, the slot array essentially becomes a uniform LWA. A comprehensive transmission line model is developed based upon the theory of truncated periodic transmission lines to explain the operation of the antenna and provide a tool for its design. Measured and simulated radiation patterns, directivity, gain, and an associated loss budget are presented for a 32-element antenna operating at 30 GHz. The uniplanar nature of the structure makes the antenna appropriate for integration of shunt variable capacitors such as diode or micro-electromechanical system varactors for fixed frequency beam steering at low-bias voltages.</t>
  </si>
  <si>
    <t>1494-1504</t>
  </si>
  <si>
    <t>6602191591;7004469751</t>
  </si>
  <si>
    <t>Grbic, Anthony;Eleftheriades, George V.</t>
  </si>
  <si>
    <t>Grbic A.</t>
  </si>
  <si>
    <t>Leaky CPW-based slot antenna arrays for millimeter-wave applications</t>
  </si>
  <si>
    <t>10.1109/TAP.2002.804259</t>
  </si>
  <si>
    <t>2-s2.0-0036880341</t>
  </si>
  <si>
    <t>['solution may', 'sidelobe bounds', 'planar arrays', 'performance parameters', 'overall problem', 'optimize directivity', 'optimal far', 'nonrectangular boundary', 'latter case', 'first shown', 'field focusing', 'equivalent solutions', 'approach proposed', 'also given', 'also developed']</t>
  </si>
  <si>
    <t>Antenna synthesis and design | Array antenna synthesis | Optimal focussing | Pencil beams | Sum patterns</t>
  </si>
  <si>
    <t>A new approach providing new theoretical results to the optimal far-field focusing of uniformly spaced arrays, subject to a completely arbitrary mask for sidelobe bounds, is presented and discussed. In both cases of linear or planar arrays (with rectangular boundaries), it is first shown that the problem can be formulated, without any loss to performances on the maximum, as a linear programming one, guaranteeing a globally optimal solution. Second, a sufficient uniqueness criterion for the solution of the overall problem is also developed, which shows how the solution may not be unique (as is actually the case) when planar arrays are considered. In addition, further globally effective optimization procedures are proposed for the latter case in order to optimize directivity, smoothness of excitations, or other performance parameters in the set of equivalent solutions. Last, an extension to planar arrays with a nonrectangular boundary is also given. A thorough numerical analysis confirms the effectiveness of the approach proposed and of the solution codes developed.</t>
  </si>
  <si>
    <t>1539-1554</t>
  </si>
  <si>
    <t>60017293;60017293;60017293</t>
  </si>
  <si>
    <t>7006499276;6507007735;7003402426</t>
  </si>
  <si>
    <t>Bucci, Ovidio M.;Caccavale, Luigi;Isernia, Tommaso</t>
  </si>
  <si>
    <t>Optimal far-field focusing of uniformly spaced arrays subject to arbitrary upper bounds in nontarget directions</t>
  </si>
  <si>
    <t>10.1109/TAP.2002.803959</t>
  </si>
  <si>
    <t>2-s2.0-0036880417</t>
  </si>
  <si>
    <t>['traffic scenarios', 'natural extension', 'factor 2', 'directional power', 'cell load', 'capacity gain', 'ac decision']</t>
  </si>
  <si>
    <t>Admission control | Smart antennas | Wideband code division multiple access (WCDMA)</t>
  </si>
  <si>
    <t>A directional power-based admission control (AC) scheme is proposed for base stations deploying beamforming antenna arrays. The proposed AC algorithm is a natural extension of the conventional power based AC scheme for cells using standard sector antennas. The directional scheme takes the load per beam/direction into account in the AC decision, so the cell load is controlled in accordance with the spatial filtering gain provided by using beamforming antenna arrays. The scheme is tested by means of Monte Carlo simulations in a multicell wideband code division multiple access (WCDMA) network, where users with different bit rates are present. The obtained results demonstrate that the directional power based AC scheme allows a higher traffic load in cells using beamforming antenna arrays without jeopardizing the stability of the network. Application of a four element antenna array is found to provide a capacity gain of a factor 2.7 for a network with many low bit rate users, while the gain is reduced to a factor 2.3 for traffic scenarios with a mixture of high and low bit rate users.</t>
  </si>
  <si>
    <t>1294-1303</t>
  </si>
  <si>
    <t>60101003;60101003</t>
  </si>
  <si>
    <t>7201733345;35584209600</t>
  </si>
  <si>
    <t>Pedersen, Klaus Ingemann;Mogensen, Preben Elgaard</t>
  </si>
  <si>
    <t>Nokia Danmark AS</t>
  </si>
  <si>
    <t>Pedersen K.</t>
  </si>
  <si>
    <t>Directional power-based admission control for WCDMA systems using beamforming antenna array systems</t>
  </si>
  <si>
    <t>10.1109/TVT.2002.804855</t>
  </si>
  <si>
    <t>2-s2.0-0036880418</t>
  </si>
  <si>
    <t>['time onset', 'stroke currents', 'pulse function', 'nonlinear curve', 'lightning return', 'fitting method', 'first derivation']</t>
  </si>
  <si>
    <t>Double-integral | LEMP field | Lightning current model | Pulse function</t>
  </si>
  <si>
    <t>A Pulse function was presented to represent the lightning return-stroke currents. This function has the continuity of the first derivation at the time onset t = 0, is time-integrable, and can be used in the calculations of lightning electromagnetic pulse (LEMP) fields. The parameters of the Pulse function representing the return-stroke current waveforms were obtained with the nonlinear curve-fitting method.</t>
  </si>
  <si>
    <t>112782345;60073671</t>
  </si>
  <si>
    <t>6508134808;6507315004</t>
  </si>
  <si>
    <t>Feizhou, Zhang;Shanghe, Liu</t>
  </si>
  <si>
    <t>Shijiazhuang;Beijing</t>
  </si>
  <si>
    <t>Shijiazhuang Mechanical Engineering College;Inst. Appl. Phys./Computational M.</t>
  </si>
  <si>
    <t>60073671;112782345</t>
  </si>
  <si>
    <t>Feizhou Z.</t>
  </si>
  <si>
    <t>A new function to represent the lightning return-stroke currents</t>
  </si>
  <si>
    <t>10.1109/TEMC.2002.801779</t>
  </si>
  <si>
    <t>2-s2.0-0036881361</t>
  </si>
  <si>
    <t>IST-2000-25390</t>
  </si>
  <si>
    <t>['time delay', 'simulation model', 'experimental results', 'dispersive media', 'also provided']</t>
  </si>
  <si>
    <t>Arrayed waveguide gratings | Microwave photonics | Optical beamforming | Optical delay lines | Optical fiber dispersion | True-time-delay lines</t>
  </si>
  <si>
    <t>An optical delay line (ODL) based on the free spectral range periodicity of arrayed waveguide gratings (AWGs) and dispersive media is analyzed with emphasis on the AWG physical features that limit its performance as photonic antenna beamforming network. This ODL presents multiple simultaneous true-time delay, straightforward multibeam capability and a drastic cost reduction against previously reported schemes. Moreover, a simulation model of the ODL that takes into account the AWG frequency misalignments is presented. Finally, experimental results are also provided for 40-GHz electrical signals.</t>
  </si>
  <si>
    <t>1202-1210</t>
  </si>
  <si>
    <t>1077260X</t>
  </si>
  <si>
    <t>IEEE Journal on Selected Topics in Quantum Electronics</t>
  </si>
  <si>
    <t>60011476;60011476;60011476;60011476</t>
  </si>
  <si>
    <t>7005797171;7102958075;6701770071;55948266500</t>
  </si>
  <si>
    <t>Vidal, Borja;Corral, Juan Luis;Piqueras, Miguel Angel;Marti, Javier</t>
  </si>
  <si>
    <t>Optical delay line based on arrayed waveguide gratings' spectral periodicity and dispersive media for antenna beamforming applications</t>
  </si>
  <si>
    <t>10.1109/JSTQE.2002.805984</t>
  </si>
  <si>
    <t>2-s2.0-0036881365</t>
  </si>
  <si>
    <t>['waveguide method', 'special techniques', 'paper describes', 'numerical experiments', 'ionosphere waveguide', 'good agreement', 'fdtd scheme', 'fdtd method', 'domain method', 'difference time', 'artificial anisotropy']</t>
  </si>
  <si>
    <t>Computational time | Earth ionosphere waveguide | Electromagnetic wave propagation | Finite difference method | Ground effect | Ionospheric reflection | Kilometric wave | Myriametric wave | Numerical method | Stability | Surface impedance | Time domain method | Vertical antenna</t>
  </si>
  <si>
    <t>This paper describes the application of the finite-difference time-domain method (FDTD) to the calculation O/VLF-LF radiowave propagation in the Earth-ionosphere waveguide. Special techniques have been developed to render the computational time acceptable, namely the use of a moving computational domain and the introduction of an artificial anisotropy in view of reducing the anisotropy of the FDTD scheme. Numerical experiments are provided to illustrate the good agreement of the FDTD method with the waveguide method.</t>
  </si>
  <si>
    <t>1059-1090</t>
  </si>
  <si>
    <t>B√©renger, Jean Pierre</t>
  </si>
  <si>
    <t>Arcueil</t>
  </si>
  <si>
    <t>Centre d'Analyse de D√©fense</t>
  </si>
  <si>
    <t>B√©renger J.</t>
  </si>
  <si>
    <t>FDTD computation of VLF-LF propagation in the earth-ionosphere waveguide</t>
  </si>
  <si>
    <t>2-s2.0-0036881575</t>
  </si>
  <si>
    <t>['unit cells', 'unit cell', 'two simple', 'second model', 'proposed model', 'panel antennas', 'panel antenna', 'obtained via', 'low coupling', 'interactive tool', 'first model', 'field approximation', 'exposure limits', 'exposure assessment', 'electric field', 'antenna array', 'accurate models']</t>
  </si>
  <si>
    <t>Base-station panel antennas | Exposure assessment | Mobile communication | Unit cell</t>
  </si>
  <si>
    <t>Two simple and accurate models for base-station (BS) panel antennas are proposed for human-exposure assessment. Panel antennas comprise an antenna array with low coupling between its unit cells. The proposed model is based on the superposition of shifted radiating field contributions in amplitude and phase of a unit cell of the panel antenna. In the first model, the electric field is obtained via a full wave analysis of the antenna unit cell. In the second model, a far-field approximation of the unit cell is utilized, and is valid at about two wavelengths away from the antenna. It is shown that the second model can be used as an interactive tool for the verification of compliance to exposure limits of BS panel antennas as required by standards.</t>
  </si>
  <si>
    <t>588-592</t>
  </si>
  <si>
    <t>60104081;100623346;60104081;60009081;60104081;60104081;60020709</t>
  </si>
  <si>
    <t>56028199700;6506447965;7005938084;55301786100;57203046526;7403907957;6508330337</t>
  </si>
  <si>
    <t>Altman, Zwi;Begasse, Brigitte;Dale, Christian;Karwowski, Andrzej;Wiart, Joe;Wong, Man Fai;Gattoufi, Laroussi</t>
  </si>
  <si>
    <t>France;France;Poland;France</t>
  </si>
  <si>
    <t>Issy-les-Moulineaux;Paris;Gliwice;Paris</t>
  </si>
  <si>
    <t>Orange Labs;Bouygues;Silesian University of Technology;Cegetel</t>
  </si>
  <si>
    <t>60104081;60020709;60009081;100623346</t>
  </si>
  <si>
    <t>Altman Z.</t>
  </si>
  <si>
    <t>Efficient models for base station antennas for human exposure assessment</t>
  </si>
  <si>
    <t>10.1109/TEMC.2002.801776</t>
  </si>
  <si>
    <t>2-s2.0-0036881683</t>
  </si>
  <si>
    <t>['unbalanced transformers', 'traditional approach', 'sometimes referred', 'readily reconciled', 'numerical models', 'network relations', 'isolated port', 'hybrid network', 'hybrid behaves', 'derived relating', 'current baluns', 'current balun', 'called voltage', 'baluns ).', 'balancing networks', 'appropriate balun', '0 ¬∞']</t>
  </si>
  <si>
    <t>Balancing network (balun) | Biconical antenna | Calculable dipole | Dipole | Hybrid | Site attenuation (SA)</t>
  </si>
  <si>
    <t>Emphasis has been placed on the quality of a metrology antenna system that allows it to be represented accurately using analytical or numerical models. Central to this capability is the efficacy of the balancing networks, sometimes referred to as balanced to unbalanced transformers (baluns). In this paper, we classify three fundamental types of baluns and show that all three can be derived from the 180¬∞, four-port hybrid network. Balanced antennas driven from coaxial feed lines and operated in the presence of an asymmetric scatterer present an intrinsically unbalanced load to the balun. We show that in such situations the current balun is the only appropriate balun to employ. For numerous antenna metrology applications, in particular, site attenuation measurements, 180¬∞, four-port hybrid networks have been employed as baluns. Network relations are derived relating the so-called voltage and current baluns to the 180¬∞, four-port hybrid network. It is shown that, in addition to acting as a 0¬∞ or 180¬∞ power divider, the hybrid network can serve as either a voltage or a current balun depending on the termination at the isolated port. In contrast to the traditional approach, it is shown that when using a 180¬∞ hybrid as a balun, the isolated port should be terminated in such a way that the hybrid behaves as a current balun as opposed to a 180¬∞ power divider. This will yield experimental results that can be more readily reconciled with models.</t>
  </si>
  <si>
    <t>503-514</t>
  </si>
  <si>
    <t>McLean, James S.</t>
  </si>
  <si>
    <t>Balancing networks for symmetric antennas - I: Classification and fundamental operation</t>
  </si>
  <si>
    <t>10.1109/TEMC.2002.804767</t>
  </si>
  <si>
    <t>2-s2.0-0036881689</t>
  </si>
  <si>
    <t>['wirebonding technique', 'shaped structure', 'second design', 'readily used', 'parametric studies', 'package lids', 'measuring 9', 'mass production', 'manufacturing facilities', 'layer c', 'isolated pads', 'impedance matching', 'first design', 'finite ground', 'electronic components', 'antenna performance', '45 ghz']</t>
  </si>
  <si>
    <t>A wirebonding technique is exploited to design novel miniature packaged antennas. Wirebond is readily used in manufacturing facilities for mass production of electronic components. Hence we have extended it to fabricate small antennas with a package for low cost mass consumption. Two new designs of small packaged antennas have been developed for the ISM band centred at about 2.45 GHz. The first design is a multilayer microstrip structure and the second design is a single-layer C-shaped structure with a novel proximal feed configuration to improve the impedance matching for thin microstrip antennas. The antennas feature 3.0-4.4% bandwidths, measuring 9.8% √ó 9.8% to about 10.9% √ó 10.9% of wavelength in length and width. Parametric studies are performed to investigate the performance of these antennas. The effects of finite ground, bondwires and isolated pads as well as package lids on the antenna performance have been evaluated.</t>
  </si>
  <si>
    <t>833-843</t>
  </si>
  <si>
    <t>100418077;60017161</t>
  </si>
  <si>
    <t>7006874542;7004839408</t>
  </si>
  <si>
    <t>Dou, Weiping;Chia, Y. W.M.</t>
  </si>
  <si>
    <t>Singapore City;Beltsville</t>
  </si>
  <si>
    <t>National University of Singapore;Antenna Research Associates Inc</t>
  </si>
  <si>
    <t>60017161;100418077</t>
  </si>
  <si>
    <t>Dou W.</t>
  </si>
  <si>
    <t>Design of packaged microstrip antennas using wirebonding technique</t>
  </si>
  <si>
    <t>10.1080/0020721031000118806</t>
  </si>
  <si>
    <t>2-s2.0-0037789549</t>
  </si>
  <si>
    <t>['tutorial focuses', 'systematic guidelines', 'reliable high', 'rate designs', 'powerful tool', 'options available', 'emerging performance', 'complexity trade', 'capacity analyses', 'available forms']</t>
  </si>
  <si>
    <t>Capacity | Complex field coding | Complexity | Diversity | Space-time coding</t>
  </si>
  <si>
    <t>The quest for reliable high-rate wireless links motivates fading-resilient and bandwidth-efficient communication systems capable of capitalizing on available forms of diversity. This tutorial focuses on linear complex field (LCF) coding - a powerful tool that complements the traditional Galois field (GF) coding, in enabling diversity transmissions over single- and multi-antenna fading channels. Performance and capacity analyses are provided, along with systematic guidelines for constructing LCF encoders, and options available to the designer for selecting LCF decoders. Emphasis is placed on high-performance and high-rate designs, and the emerging performance-rate-complexity trade-offs. Copyright ¬© 2002 John Wiley &amp; Sons, Ltd.</t>
  </si>
  <si>
    <t>693-717</t>
  </si>
  <si>
    <t>60029445-60025278-60021918;60029445</t>
  </si>
  <si>
    <t>Minneapolis;Beijing;Charlottesville</t>
  </si>
  <si>
    <t>University of Minnesota Twin Cities;Tsinghua University;University of Virginia</t>
  </si>
  <si>
    <t>60029445;60025278;60021918</t>
  </si>
  <si>
    <t>Complex field coded MIMO systems: Performance, rate, and trade-offs</t>
  </si>
  <si>
    <t>10.1002/wcm.92</t>
  </si>
  <si>
    <t>2-s2.0-0038695020</t>
  </si>
  <si>
    <t>['wave leaky', 'wave applications', 'wave antenna', 'small steps', 'radiation characteristics', 'proposed according', 'embedded switches', 'domain method', 'difference time', 'antenna operating', '90 ¬∞']</t>
  </si>
  <si>
    <t>Coplanar waveguide | FDTD method | Leaky-wave antenna | Millimeter-wave | Reconfigurable antenna</t>
  </si>
  <si>
    <t>A novel reconfigurable millimeter-wave leaky-wave antenna is proposed according to the radiation characteristics of periodically loaded coplanar waveguide and simulated by the finite-difference time-domain method. The simulated results demonstrate that the single main beam of this antenna operating at 35.0GHz can scan with small steps in the E-plane from -90¬∞ to 90¬∞ except the angle around 0¬∞. The main beam scanning is obtained by the antenna structure reconfiguration with nine discrete states controlled by embedded switches and two feed ports. The antenna is useful for millimeter-wave applications.</t>
  </si>
  <si>
    <t>1637-1648</t>
  </si>
  <si>
    <t>60005465;60005465;60005465;100804578</t>
  </si>
  <si>
    <t>7402022616;8945567500;7408598493;55658055598</t>
  </si>
  <si>
    <t>Xiao, Shaoqiu;Wang, Bing Zhong;Yang, Xue Song;Wang, Gaofeng</t>
  </si>
  <si>
    <t>A novel reconfigurable cpw leaky-wave antenna for millimeter-wave application</t>
  </si>
  <si>
    <t>10.1023/A:1020705903066</t>
  </si>
  <si>
    <t>2-s2.0-0041534180</t>
  </si>
  <si>
    <t>['wireless tdma', 'various origins', 'systems equipped', 'receive antennas', 'proposed scheme', 'proposed estimator', 'originally proposed', 'numerical examples', 'novel scheme', 'multipath rayleigh', 'multipath channels', 'multipath channel', 'mitigate interference', 'interference suppression', 'great interest', 'fading channels', 'extend space', 'cci ),']</t>
  </si>
  <si>
    <t>Equalization | Interference suppression | Space-time coding | Transmit diversity</t>
  </si>
  <si>
    <t>It is of great interest to provide high data rate services in wireless communication systems. In order to support such services, it is desirable to extend space-time (ST) coding, originally proposed for known, frequency-nonselective fading channels, to unknown, multipath channels. In this paper, we consider the problem of interference suppression for wireless TDMA (time division multiple access) systems equipped with multiple transmit antennas and receive antennas in frequency-selective fading channels. A novel scheme with space-time block coding based transmit diversity (STTD) is presented to estimate the multipath channel, coherently demodulate information symbols, and meanwhile suppress radio interference. The proposed scheme is simple to implement and able to mitigate interference of various origins, including intersymbol interference (ISI), cochannel interference (CCI), and others. Numerical examples are presented to illustrate the performance of the proposed estimator and detector in multipath Rayleigh-fading channels. Copyright ¬© 2002 John Wiley &amp; Sons, Ltd.</t>
  </si>
  <si>
    <t>751-761</t>
  </si>
  <si>
    <t>60027392-60005465;60027392-60005465-60013959;60027392-60009400-60005244-60017592-60013506-60013301</t>
  </si>
  <si>
    <t>55730852800;21743342100;7403567421</t>
  </si>
  <si>
    <t>Li, Ling;Li, Hongbin;Yao, Yu Dong</t>
  </si>
  <si>
    <t>United States;Canada;United States;Canada;United States;China;China;China</t>
  </si>
  <si>
    <t>Hoboken;Ottawa;Gainesville;Edmonton;San Diego;Nanjing;Chengdu;Nanjing</t>
  </si>
  <si>
    <t>Stevens Institute of Technology;Carleton University;University of Florida;L-3 Communications SPAR Aerospace Limited;Qualcomm Incorporated;Nanjing University of Post and TeleCommunications;University of Electronic Science and Technology of China;Southeast University</t>
  </si>
  <si>
    <t>60027392;60017592;60013959;60013506;60013301;60009400;60005465;60005244</t>
  </si>
  <si>
    <t>Channel estimation and interference suppression for space-time coded systems in frequency-selective fading channels</t>
  </si>
  <si>
    <t>10.1002/wcm.80</t>
  </si>
  <si>
    <t>2-s2.0-0141896583</t>
  </si>
  <si>
    <t>['voice links', 'vanishes quickly', 'time processor', 'speed mobiles', 'spectrum efficiency', 'slower mobility', 'simulation results', 'selective fading', 'receiver solutions', 'prospective array', 'pilot signal', 'orthogonal walsh', 'nonselective fading', 'may arise', 'increasing capacity', 'efficient detection', 'data links', 'correlation factor', 'conventional 2', 'capacity gains', 'better exploitation', 'base station', 'adaptive antennas', '6 kbps', '200 %.']</t>
  </si>
  <si>
    <t>A more efficient detection of orthogonal Walsh-modulated Code Division Multiple Access (CDMA) signals is required not only for better exploitation of current IS-95 CDMA systems but also for future cdma2000 3G networks. Integration of adaptive antennas at the base station has been recognized as one key lever to increasing capacity and spectrum efficiency. Prospective array-receiver solutions such as the 2-D-RAKE improve performance; however, in the absence of a pilot signal, they have to implement noncoherent detection. In this work, we propose a space-time processor that achieves coherent detection of orthogonal Walsh-modulated CDMA signals without a pilot. We assess its performance in spatially correlated Rayleigh-fading. Simulation results for voice links of 9.6 Kbps indicate that up to an antenna-correlation factor of 0.8, the proposed receiver outperforms the conventional 2-D-RAKE's capacity by 90% in nonselective fading. This gain shrinks fast at higher correlation factors. In selective fading, however, it maintains about a 130% gain in capacity over the entire correlation range. For data links of 153.6 Kbps, this performance advantage increases up to 180-200%. With high-speed mobiles, however, it vanishes quickly at correlation factors beyond 0.5. Overall, the capacity gains of the proposed spatiotemporal receiver structure increase with reduced relative Doppler (Doppler-frequency/symbol-rate ratio). This may arise from increased spatiotemporal diversity, higher transmission rates, and/or slower mobility. Copyright ¬© 2002 John Wiley &amp; Sons, Ltd.</t>
  </si>
  <si>
    <t>763-784</t>
  </si>
  <si>
    <t>60005415-60029116-100525703-106448896;60005415-106448896-60002494-60022195-60021378-60030102-60030813</t>
  </si>
  <si>
    <t>7003384623;35894775400</t>
  </si>
  <si>
    <t>Affes, Sofi√®ne;Mermelstein, Paul</t>
  </si>
  <si>
    <t>Canada;United States;France;United States;United States;Canada;Canada;Canada;Canada</t>
  </si>
  <si>
    <t>Toronto;New Haven;Palaiseau;Cambridge;Murray;Varennes;Montreal;Edmonton;</t>
  </si>
  <si>
    <t>Nortel Networks;Haskins Laboratories New Haven;T√©l√©com Paris;Massachusetts Institute of Technology;Nokia Bell Labs;Centre √ânergie Mat√©riaux T√©l√©communications;Universit√© McGill;Telecommunications Research;Personal Communications Group</t>
  </si>
  <si>
    <t>60030813;60030102;60029116;60022195;60021378;60005415;60002494;106448896;100525703</t>
  </si>
  <si>
    <t>A blind coherent spatiotemporal processor of orthogonal Walsh-modulated CDMA signals</t>
  </si>
  <si>
    <t>10.1002/wcm.76</t>
  </si>
  <si>
    <t>2-s2.0-0346388470</t>
  </si>
  <si>
    <t>01-02-17476</t>
  </si>
  <si>
    <t>['characterized experimentally', '800 w', '60 g']</t>
  </si>
  <si>
    <t>A spiral-antenna helicon plasma source is characterized experimentally at applied magnetic flux densities below 60 G and applied RF powers below 800 W. It is shown that, for a given RF power, a magnetostatic field applied to an inductively coupled plasma increases the electron concentration fourfold.</t>
  </si>
  <si>
    <t>341-345</t>
  </si>
  <si>
    <t>Russian Microelectronics</t>
  </si>
  <si>
    <t>6505779094;7005801551;57222996276</t>
  </si>
  <si>
    <t>Braginskii, O. V.;Vasil'eva, A. N.;Kovalev, A. S.</t>
  </si>
  <si>
    <t>Braginskii O.V.</t>
  </si>
  <si>
    <t>Helicon Plasma Source</t>
  </si>
  <si>
    <t>10.1023/A:1020921623656</t>
  </si>
  <si>
    <t>2-s2.0-0347649128</t>
  </si>
  <si>
    <t>['turbo space', 'time codes', 'symbol maximum', 'simulation results', 'scheme provides', 'receive diversity', 'receive antennas', 'psk schemes', 'proposed scheme', 'multiple transmit', 'multilevel modulation', 'macm combines', 'macm ).', 'log domain', 'iterative symbol', 'fading channel', 'decoding turbo', 'conventional space', 'comparable complexity', 'coding scheme', 'algorithm operating', '5 db']</t>
  </si>
  <si>
    <t>Channel coding | Decoding | Diversity methods | Fading channel | Rayleigh fading | Transmit antennas | Trellis codes</t>
  </si>
  <si>
    <t>A channel-coding scheme is introduced that features parallel concatenated recursive systematic codes with multilevel modulation and multiple transmit/receive antennas. The proposed scheme is a type of turbo space-time codes and is referred to as turbo multiple antenna coded modulation (turbo-MACM). Turbo-MACM combines the advantages of powerful turbo codes with the transmit/receive diversity of multiple antenna coded modulation. The scheme utilizes recursive and systematic constituent codes and features full rate and, as demonstrated by simulations, full spatial diversity. An iterative symbol-by-symbol maximum a posteriori (MAP) algorithm operating in the log domain is developed for decoding turbo-MACM. Simulation results are provided for 4-PSK and 8-PSK schemes over the block-fading channel. It is shown that the scheme provides an advantage of 3 to 5 dB over conventional space-time codes of comparable complexity. Copyright ¬© 2002 John Wiley &amp; Sons, Ltd.</t>
  </si>
  <si>
    <t>735-749</t>
  </si>
  <si>
    <t>60022904-60073458-60003977-106452496;60022904;60022904</t>
  </si>
  <si>
    <t>7202754565;7005000103;7501610893</t>
  </si>
  <si>
    <t>Cui, Dongzhe;Haimovich, Alexander M.;Chen, Hangjun</t>
  </si>
  <si>
    <t>China;United States;China;United States</t>
  </si>
  <si>
    <t>Beijing;Newark;Xi'an;Whippany</t>
  </si>
  <si>
    <t>China Aerospace Science and Industry Corporation;New Jersey Institute of Technology;Northwestern Polytechnical University;Wireless Networks Grp. Lucent T.</t>
  </si>
  <si>
    <t>60073458;60022904;60003977;106452496</t>
  </si>
  <si>
    <t>Cui D.</t>
  </si>
  <si>
    <t>Parallel concatenated turbo multiple antenna coded modulation: Principles and performance</t>
  </si>
  <si>
    <t>10.1002/wcm.79</t>
  </si>
  <si>
    <t>2-s2.0-0347649185</t>
  </si>
  <si>
    <t>['previous article', 'plasmon resonance', 'phase retardation', 'parameter space', 'mie theory', 'field enhancement', 'element methods', 'dephasing effects']</t>
  </si>
  <si>
    <t>The optical-field enhancement from plasmon resonance at spheroids is studied by solving Maxwell equations using spheroidal vector wave functions. This treatment is an extension of the Mie theory for spheres. The phase retardation or dephasing effects, as studied by finite-element methods in a previous article, are confirmed. Nevertheless, the optical-field enhancement is shown to be substantial under certain resonance conditions. It is suggested that the positions of the resonances in parameter space are determined by global antenna properties and the magnitude of the field enhancement by local plasmon resonance. ¬© 2002 American Institute of Physics.</t>
  </si>
  <si>
    <t>4878-4884</t>
  </si>
  <si>
    <t>6602491104;57204300619</t>
  </si>
  <si>
    <t>Calander, Nils;Willander, Magnus</t>
  </si>
  <si>
    <t>Calander N.</t>
  </si>
  <si>
    <t>Theory of surface-plasmon resonance optical-field enhancement at prolate spheroids</t>
  </si>
  <si>
    <t>10.1063/1.1512315</t>
  </si>
  <si>
    <t>2-s2.0-18744363933</t>
  </si>
  <si>
    <t>['superior performance', 'subway tunnels', 'st decoder', 'radio interfaces', 'mobile communications', 'iterative map', 'global system', 'fading channel', 'different space', 'decrease capacity', 'conveniently modeled', 'antenna arrays', 'affect receivers']</t>
  </si>
  <si>
    <t>GSM radio interfaces | Iterative Maximum a Posteriori (MAP) decoding | Multiple-Input Multiple-Output (MIMO) channels | Space-time receivers</t>
  </si>
  <si>
    <t>In this paper, we investigate how to increase the capacity of GSM (Global System for Mobile communications) radio interfaces in subway tunnel environments by means of antenna arrays and Space-Time (ST) receivers. We address the modeling, both theoretically and experimentally, of the multiple-antenna wireless channels encountered in subway tunnels. We demonstrate that propagation is conveniently modeled by a flat-fading channel, but there exist strong spatial correlations among channel components that decrease capacity and affect receivers' performance. Different space-time GSM receiving strategies have also been investigated. We first consider ST equalization techniques that only account for the noise and the controlled Intersymbol Interference (ISI) introduced by the modulation format employed in GSM. Then, we analyze the performance of receivers that incorporate ST coding capabilities and show the superior performance of iterative MAP (Maximum a Posteriori) receivers that interchange soft information among the equalizer and the ST decoder. All receivers are evaluated with experimental channels measured in the subway of Paris. Copyright ¬© 2002 John Wiley &amp; Sons, Ltd.</t>
  </si>
  <si>
    <t>719-733</t>
  </si>
  <si>
    <t>60023610;60023610;60023610;60104665;60104665;60003965;60003965</t>
  </si>
  <si>
    <t>24779654600;6603076454;57189299510;7004669030;7003924509;6504594560;35092367300</t>
  </si>
  <si>
    <t>Gonz√°lez-L√≥pez, Miguel;Dapena, Adriana;Castedo, Luis;Lienard, Martine;Degauque, Pierre;Asarta, Mar√≠a J.;Crespo, Pedro</t>
  </si>
  <si>
    <t>France;Spain;Spain</t>
  </si>
  <si>
    <t>Lille;A Coruna;Donostia-San Sebastian</t>
  </si>
  <si>
    <t>Universit√© de Lille;Universidade da Coru√±a;Centro de Estudios e Investigaciones T√©cnicas de Gipuzkoa, IK4</t>
  </si>
  <si>
    <t>60104665;60023610;60003965</t>
  </si>
  <si>
    <t>Gonz√°lez-L√≥pez M.</t>
  </si>
  <si>
    <t>Space-time receivers for GSM radio interfaces in subway tunnel environments</t>
  </si>
  <si>
    <t>10.1002/wcm.89</t>
  </si>
  <si>
    <t>2-s2.0-19044378589</t>
  </si>
  <si>
    <t>00‚Äì15‚Äì96620</t>
  </si>
  <si>
    <t>['total capacity', 'study multiple', 'simultaneous servicing', 'require estimation', 'rayleigh fading', 'parallel channels', 'noise ratios', 'mimo systems', 'mimo system', 'link ends', 'input multiple', 'high effectiveness', 'eigenchannel outputs', 'division multiple', 'data transmission', 'called eigenchannels', 'arrival directions', 'arbitrary number', 'antenna arrays', 'adaptive transmitting']</t>
  </si>
  <si>
    <t>We study multiple-input multiple-output (MIMO) cellular communication systems with antenna arrays at both link ends and parallel channels for data transmission. These channels (the so-called eigenchannels) are formed with the help of adaptive transmitting and receiving beamformer processors matched with a random fading environment. To increase the capacity of MIMO systems, we propose a space-division multiple-access (SDMA) method, which does not require estimation of signal-arrival directions and is based on orthogonalization of the parallel channels of all users. We find the signal-to-noise ratios at the eigenchannel outputs and the total capacity of a MIMO system in the case of simultaneous servicing of an arbitrary number of users. We present numerical results for the case of Rayleigh fading of signals, which confirm the high effectiveness of the proposed SDMA method.</t>
  </si>
  <si>
    <t>Flaksman, A. G.</t>
  </si>
  <si>
    <t>Flaksman A.</t>
  </si>
  <si>
    <t>Space division multiple access in mimo systems with parallel data transmission</t>
  </si>
  <si>
    <t>10.1023/A:1023521230623</t>
  </si>
  <si>
    <t>2-s2.0-33845656763</t>
  </si>
  <si>
    <t>['time gps', 'rtk networks', 'rover antennas', 'procedure allows', 'phase variations', 'multipath influence', 'less investigations', 'important due', 'geodetic antennas', 'geo ++', 'field measurements', 'calibration procedure', 'absolute pcv']</t>
  </si>
  <si>
    <t>Absolute Phase | Antenna Type | Azimuthal Variation | Field Calibration | Reference Network</t>
  </si>
  <si>
    <t>Phase variations of GPS receiving antennas are a significant error component in precise GPS applications. A calibration procedure has been developed by Geo++ and the Institut f√ºr Erdmessung, which directly determines absolute phase center variations (PCVs) without any multipath influence by field measurements. The precision and resolution of the procedure allows the determination of reliable azimuthal variations. PCV may affect long-term static GPS differently than real-time GPS, depending on the applications. At the same time, different antenna types are involved. Less investigations have been done on absolute PCV of rover antennas than on geodetic antennas which, however, becomes more important due to the mixed antenna situation in GPS reference networks and RTK networks. The concepts of the absolute PCV field calibration are summarized and emphasis is placed on a variety of absolute PCV patterns of geodetic and rover antennas.</t>
  </si>
  <si>
    <t>18-27</t>
  </si>
  <si>
    <t>121049289;121049289;121049289</t>
  </si>
  <si>
    <t>56241013600;55942280900;57203944991</t>
  </si>
  <si>
    <t>Schmitz, Martin;W√ºbbena, Gerhard;Boettcher, Gerald</t>
  </si>
  <si>
    <t>Garbsen</t>
  </si>
  <si>
    <t>Geo++ Gesellschaft f√ºr satellitengest√ºtzte geod√§tische und navigatorische Technologien GmbH</t>
  </si>
  <si>
    <t>Schmitz M.</t>
  </si>
  <si>
    <t>Tests of phase center variations of various GPS antennas, and some results</t>
  </si>
  <si>
    <t>10.1007/s10291-002-0008-4</t>
  </si>
  <si>
    <t>2-s2.0-77954725277</t>
  </si>
  <si>
    <t>00‚Äì15‚Äì 96710</t>
  </si>
  <si>
    <t>['zero value', 'windowed image', 'whole image', 'time necessary', 'sun obtained', 'spectrum domain', 'source response', 'sidelobe values', 'reconstructing images', 'reconstructing compact', 'reconstruct low', 'radio images', 'problems encountered', 'points near', 'phase distortions', 'opposite sidelobes', 'one hand', 'next maximum', 'mainly spent', 'latter sources', 'iterative analysis', 'initial image', 'images comprise', 'ideal pattern', 'high contrast', 'high accuracy', 'frequency distortions', 'first problem', 'extended sources', 'diffuse sources', 'cutoff levels', 'computer resources', 'clean algorithm', 'antenna pattern', 'amplitude distortions', 'also low', '2 cm']</t>
  </si>
  <si>
    <t>Reconstruction of radio images of the Sun obtained by the Siberian Solar Radio Telescope (SSRT) encounters two main problems. First, since the solar radio images at a wavelength of 5.2 cm have a high contrast, the amplitude‚Äìphase distribution in the antenna‚Äìfeeder section should be known with a very high accuracy. Second, since such images comprise not only bright compact components but also low-contrast diffuse areas, there is a problem of deconvolution of these diffuse sources, which is inherent to the CLEAN algorithm. To solve the first problem, we determine the amplitude‚Äìphase distortions by an iterative analysis of the image itself, in which the opposite sidelobes of the point-source response are compared. To suppress the influence of other sources on the response, we analyze several compact sources. The phase distortions are determined from the asymmetry of the sidelobes, and the amplitude distortions, from sidelobe values. The image is corrected in the spatial-spectrum domain after each iteration. On the one hand, the problems encountered when reconstructing extended sources are related to the fact that the CLEAN algorithm requires significant computer resources. On the other hand, reconstructing images of extended areas requires that the number of cycles of this algorithm should be increased. Another problem consists in the fact that the use of the same ‚Äúclean‚Äù antenna pattern for reconstructing compact and extended sources results in appearance of high-frequency distortions of the latter sources. If the CLEAN algorithm is applied, then the computer resources are mainly spent to shift the pattern and to find the maximum of the initial image. We decrease the time necessary for shifting the pattern by excluding the points near the zero value from the antenna-pattern data set and by sorting the remaining data points. The time of finding the maximum was decreased by using a local search window. In addition, we use a number of cutoff levels and search the next maximum in the whole image only after reconstructing the windowed image down to the current cut level. To reconstruct bright compact sources, we use the ‚Äùclean‚Äù antenna pattern close to the ideal pattern. To reconstruct low-contrast diffuse areas, we use the model patterns obtained by convolving the antenna pattern with the images of extended sources.</t>
  </si>
  <si>
    <t>865-871</t>
  </si>
  <si>
    <t>Lesovoy, S. V.</t>
  </si>
  <si>
    <t>Lesovoy S.</t>
  </si>
  <si>
    <t>Reconstruction of radio images of the sun obtained by the siberian solar radio telescope</t>
  </si>
  <si>
    <t>10.1023/A:1023512928805</t>
  </si>
  <si>
    <t>2-s2.0-84892695903</t>
  </si>
  <si>
    <t>['steel rulers', 'reflection gratings', 'diffraction gratings', 'crystal lattices', 'compact disks', 'become popular']</t>
  </si>
  <si>
    <t>Periodic structures ranging from crystal lattices through steel rulers to radio-antenna arrays may act as diffraction gratings. Because compact disks are so familiar to our students, their use as reflection gratings has become popular.</t>
  </si>
  <si>
    <t>468-469</t>
  </si>
  <si>
    <t>0031921X</t>
  </si>
  <si>
    <t>Physics Teacher</t>
  </si>
  <si>
    <t>Gluck, Paul</t>
  </si>
  <si>
    <t>Jerusalem</t>
  </si>
  <si>
    <t>Israel Academy for Science and Arts</t>
  </si>
  <si>
    <t>Gluck P.</t>
  </si>
  <si>
    <t>Compact disk optics</t>
  </si>
  <si>
    <t>10.1119/1.1526616</t>
  </si>
  <si>
    <t>2-s2.0-85006117413</t>
  </si>
  <si>
    <t>['water vapor', 'velocity field', 'total amount', 'time series', 'spatial interpolation', 'several occasions', 'routinely used', 'noise source', 'move across', 'interferometric sar', 'important component', 'ground receivers', 'gps networks', 'energy transport', 'different sites', 'delays caused', 'atmospheric delays', 'atmospheric delay']</t>
  </si>
  <si>
    <t>Energy Transport | Global Position System | Noise Source | Time Series | Water Vapor</t>
  </si>
  <si>
    <t>Water vapor is both an important component in the atmosphere for the transport of energy and a noise source for space geodetic observations of the Earth's surface, such as from GPS and interferometric SAR (InSAR) measurements. GPS data collected from ground receivers are sensitive to the total amount of water vapor above the antenna and data from continuously operating GPS receivers are routinely used to estimate delays caused by atmospheric water vapor. Using these time series of atmospheric delay, we have estimated the motion of atmospheric water vapor above GPS networks. The motion above each site is determined by comparing the time series from different sites and estimating relative time offsets in these time series. These are then used to determine the velocity field of the atmospheric delays as they move across the network. We have compared the results with similar estimates inferred from geostationary satellite data and found clear correlation on several occasions. Such results can be useful for improving the understanding of the energy transport in the atmosphere, the spatial interpolation of water vapor, and for calibrating InSAR observations for delays caused by water vapor.</t>
  </si>
  <si>
    <t>58-64</t>
  </si>
  <si>
    <t>60009037;60009037</t>
  </si>
  <si>
    <t>6701420715;7005069212</t>
  </si>
  <si>
    <t>Emardson, T.;Webb, F. H.</t>
  </si>
  <si>
    <t>Emardson T.</t>
  </si>
  <si>
    <t>Estimating the motion of atmospheric water vapor using the Global Positioning System</t>
  </si>
  <si>
    <t>10.1007/s10291-002-0012-8</t>
  </si>
  <si>
    <t>2-s2.0-85041260466</t>
  </si>
  <si>
    <t>['water reservoir', 'type antenna', 'located close', 'flooding electrodes', 'field radiated']</t>
  </si>
  <si>
    <t>An insulated wire lying on the bottom of a sweet-water reservoir is considered. The field radiated by a cable-type antenna with flooding electrodes and scattered from the wire is calculated and measured. The wire and antenna are located close to each other.</t>
  </si>
  <si>
    <t>1180-1187</t>
  </si>
  <si>
    <t>7005394366;6508021909;6603111711;36875630200;6701398779;7005172088;6507740777;6602911835</t>
  </si>
  <si>
    <t>Dyakin, V. A.;Gugin, A. S.;Kaevitser, V. I.;Kiselev, S. I.;Lishin, I. V.;Maksimenko, V. G.;Mikhalev, N. I.;Naryshkin, V. I.</t>
  </si>
  <si>
    <t>Dyakin V.</t>
  </si>
  <si>
    <t>Detection of a submarine cable from the electromagnetic field scattered by it</t>
  </si>
  <si>
    <t>2-s2.0-9144220925</t>
  </si>
  <si>
    <t>['zone fields', 'mutual impedances', 'geometric parameters', 'find near', 'coupling coefficients', 'circular cylinder']</t>
  </si>
  <si>
    <t>The induced emf method is used to find near-zone fields and derive design relationships for coupling coefficients in a system of N longitudinal electric dipoles placed near the circular cylinder with an anisotropic surface impedance. The dipole current distributions are expressed with the use of generalized current modes. The effect of electrodynamic and geometric parameters of the antenna on the mutual impedances and the self radiation resistance of the dipoles is studied.</t>
  </si>
  <si>
    <t>1175-1179</t>
  </si>
  <si>
    <t>Zvezdina, M. Yu</t>
  </si>
  <si>
    <t>Zvezdina M.</t>
  </si>
  <si>
    <t>Mutual coupling of longitudinal electric dipoles placed near a circular impedance cylinder</t>
  </si>
  <si>
    <t>2-s2.0-9144224927</t>
  </si>
  <si>
    <t>['resonant frequency', 'narrow slots', 'microwave opt', 'ground plane', 'experimental results', 'effectively tuning', 'dr antenna']</t>
  </si>
  <si>
    <t>Dielectric resonator | Dielectric resonator antenna | Frequency tuning</t>
  </si>
  <si>
    <t>A technique for effectively tuning the resonant frequency of a microstripline feed dielectric resonator (DR) antenna is demonstrated. By embedding a pair of narrow slots in the antenna's ground plane, the resonant frequency of the DR antenna can be varied by adjusting the embedded slot length. Experimental results of the proposed frequency tunable DR antenna are presented and discussed. ¬© 2002 Wiley Periodicals, Inc. Microwave Opt. Technol. Lett. 35.</t>
  </si>
  <si>
    <t>193-195</t>
  </si>
  <si>
    <t>Huang, Chih Yu</t>
  </si>
  <si>
    <t>National Kaohsiung Normal University</t>
  </si>
  <si>
    <t>Slotted ground plane for frequency tunable dielectric resonator antenna</t>
  </si>
  <si>
    <t>10.1002/mop.10554</t>
  </si>
  <si>
    <t>2-s2.0-0037027369</t>
  </si>
  <si>
    <t>['two kinds', 'transformation errors', 'squareheaded slot', 'results show', 'perimeter transformations', 'microwave opt', 'longitudinal slot', 'inclined slot', 'headed slot', 'engineering design', 'domain method', 'direct analysis', 'difference time', 'area transformation']</t>
  </si>
  <si>
    <t>MLC-FDTD | Radiating slot | Transformation error</t>
  </si>
  <si>
    <t>A modified locally conformal finite-difference time-domain method (MLC-FDTD) is presented in this paper, which is used to analyze broadwall radiating slots in a finite wall thickness waveguide, including the longitudinal slot and the inclined slot. In this paper, we make a direct analysis of the bulletheaded slots using MLC-FDTD, and give the transformation errors of two kinds of equivalent methods frequently employed in the engineering design; the equal-area and the equal-perimeter transformations from the squareheaded slot to bullet-headed slot. The results show that the equal-area transformation is more accurate. ¬© 2002 Wiley Periodicals, Inc. Microwave Opt. Technol. Lett. 35.</t>
  </si>
  <si>
    <t>198-201</t>
  </si>
  <si>
    <t>55730418300;36853042600;6603257632</t>
  </si>
  <si>
    <t>Yu, Zhang;Long, Li;Changhong, Liang</t>
  </si>
  <si>
    <t>Yu Z.</t>
  </si>
  <si>
    <t>A modified locally conformal FDTD for broadwall radiating slot in a finite wall thickness waveguide</t>
  </si>
  <si>
    <t>10.1002/mop.10556</t>
  </si>
  <si>
    <t>2-s2.0-0037027370</t>
  </si>
  <si>
    <t>['wireless systems', 'rigorously account', 'mutual coupling', 'microwave opt', 'hiperlan band', 'compact arrays', 'beamforming strategies', 'beam steering']</t>
  </si>
  <si>
    <t>Antenna array mutual coupling | Microstrip arrays | Shaped beam antennas</t>
  </si>
  <si>
    <t>Some beamforming strategies are presented for compact arrays in wireless systems. To rigorously account for mutual coupling, we rely on the exact active element pattern method. By considering a compact and low-cost array operating in the HiperLAN band, it is shown that the proposed method allows null steering and beam steering. ¬© 2002 Wiley Periodicals, Inc. Microwave Opt. Technol. Lett. 35.</t>
  </si>
  <si>
    <t>201-203</t>
  </si>
  <si>
    <t>60033316;60033316</t>
  </si>
  <si>
    <t>7004835032;7005517580</t>
  </si>
  <si>
    <t>Rogier, Hendrik;De Zutter, Dani√´l</t>
  </si>
  <si>
    <t>Ghent</t>
  </si>
  <si>
    <t>Universiteit Gent</t>
  </si>
  <si>
    <t>Rogier H.</t>
  </si>
  <si>
    <t>Beamforming strategies for compact arrays in mobile terminals using the exact active element pattern method</t>
  </si>
  <si>
    <t>10.1002/mop.10557</t>
  </si>
  <si>
    <t>2-s2.0-0037027371</t>
  </si>
  <si>
    <t>['single parch', 'reflection coefficient', 'plane wave', 'patch array', 'microwave opt', '2 dipole']</t>
  </si>
  <si>
    <t>Gain | Image current | PEC | PMC | Reflection coefficient</t>
  </si>
  <si>
    <t>A patch array is tested as reflector. The reflection coefficient for a plane wave is measured, the findings are explained by the functioning of a single parch. A Œª/2 dipole and a 2-arm spiral antenna are fitted with this reflector. It enhances the gain with the complete structure remaining small. ¬© 2002 Wiley Periodicals, Inc. Microwave Opt. Technol. Lett. 35.</t>
  </si>
  <si>
    <t>60029428;60029428;60029428</t>
  </si>
  <si>
    <t>55630825100;35846933700;7006593766</t>
  </si>
  <si>
    <t>Zhang, Ying;Von Hagen, J√ºrgen;Wiesbeck, Werner</t>
  </si>
  <si>
    <t>Karlsruhe</t>
  </si>
  <si>
    <t>Karlsruhe Institute of Technology, Campus South</t>
  </si>
  <si>
    <t>Patch array as artificial magnetic conductors for antenna gain improvement</t>
  </si>
  <si>
    <t>10.1002/mop.10548</t>
  </si>
  <si>
    <t>2-s2.0-0037027374</t>
  </si>
  <si>
    <t>['simple structures', 'proposed antenna', 'planar monopole', 'planar inverted', 'mobile phone', 'gsm bands', 'f antenna', 'experimentally studied', 'compact volume']</t>
  </si>
  <si>
    <t>Antennas | Mobile antennas | Monopole antennas | PIFAs</t>
  </si>
  <si>
    <t>A novel internal mobile phone antenna comprising a planar inverted-F antenna (PIFA) and a low-profile planar monopole, which are designed, respectively, for covering the DCS/PCS and GSM bands, is proposed in this paper. The PIFA and the planar monopole together occupy a compact volume of 6.8 √ó 7.0 √ó 34 mm3, and are suitable to be built-in within the housing of a mobile phone. In addition, both the PIFA and the planar monopole have simple structures, which makes the proposed antenna easy to design and implement with a relaxed fabrication tolerance. A prototype of the proposed antenna was constructed and experimentally studied. ¬© 2002 Wiley Periodicals, Inc. Microwave Opt Technol Lett 35.</t>
  </si>
  <si>
    <t>217-219</t>
  </si>
  <si>
    <t>7402085798;7403269798;35460663000</t>
  </si>
  <si>
    <t>Yeh, Shih Huang;Fang, Chi Yin;Wong, Kin Lu</t>
  </si>
  <si>
    <t>PIFA-monopole internal mobile phone antenna for GSM/DCS/PCS triple-band operations</t>
  </si>
  <si>
    <t>10.1002/mop.10561</t>
  </si>
  <si>
    <t>2-s2.0-0037027385</t>
  </si>
  <si>
    <t>['practical procedure', 'one acsma', 'microstrip antenna', 'important type', 'coupled stacked']</t>
  </si>
  <si>
    <t>Aperture-coupled | Broadband microstrip antenna | Stacked-microstrip antenna</t>
  </si>
  <si>
    <t>The aperture-coupled stacked-microstrip antenna (ACSMA) is an important type of broadband microstrip antenna. A simple and practical procedure for its design is presented in this letter. Utilizing the technique, one ACSMA of L-band has been designed. The experiments have been carried out and the measurement results verified the applicability of the method. ¬© 2002 Wiley Periodicals, Inc. Microwave Opt Technol Lett 35.</t>
  </si>
  <si>
    <t>244-247</t>
  </si>
  <si>
    <t>60025084;60025084;60025084</t>
  </si>
  <si>
    <t>55876325700;57199786286;55742145300</t>
  </si>
  <si>
    <t>Zhang, Yabin;Li, Binhong;Liu, Yijun</t>
  </si>
  <si>
    <t>Shanghai Jiao Tong University</t>
  </si>
  <si>
    <t>A procedure to design aperture-coupled stacked-microstrip antenna based on experiment</t>
  </si>
  <si>
    <t>10.1002/mop.10569</t>
  </si>
  <si>
    <t>2-s2.0-0037027388</t>
  </si>
  <si>
    <t>['numerical procedure', 'mother structure', 'microwave opt', 'impedance matrix', 'ground plane', 'design example', 'combined method', 'coaxial probe']</t>
  </si>
  <si>
    <t>Genetic Algorithms | Method of Moments | Multi-frequency antenna | Patch antenna</t>
  </si>
  <si>
    <t>A combined Method of Moment (MoM)/Genetic Algorithm (GA) numerical procedure for multi-frequency patch antenna design is presented in this paper. MoM is applied to analyse rectangular patches fed by a coaxial probe and suspended over a ground plane. The impedance matrix of such a mother structure is, then, manipulated by a GA optimisation procedure in order to detect the optimal patch shape matching the required frequency properties. GA adoption enables optimal shape detection among all the possible shapes allowed by the mother structure dimensions and discretization, without having to examine the whole shape set derived from the mother structure. In order to show the GA synthesis capabilities, a design example of a dual band patch is then presented. ¬© 2002 Wiley Periodicals, Inc. Microwave Opt. Technol. Lett. 35.</t>
  </si>
  <si>
    <t>7004207954;36894781600;7006242275</t>
  </si>
  <si>
    <t>Bilotti, Filiberto;Castellana, Francesco;Vegni, Lucio</t>
  </si>
  <si>
    <t>Multi-frequency patch antenna design via the method of moment and genetic algorithm</t>
  </si>
  <si>
    <t>10.1002/mop.10551</t>
  </si>
  <si>
    <t>2-s2.0-0037027395</t>
  </si>
  <si>
    <t>['wgpd impedance', 'waveguide photodetector', 'studied theoretically', 'star configuration', 'standard p', 'radio hub', 'photonic antenna', 'photodetector impedance', 'paper proposes', 'networked together', 'microwave signal', 'microwave opt', 'large number', 'insulating inp', 'input impedance', 'antenna built', '20 ghz']</t>
  </si>
  <si>
    <t>This paper proposes the integration of an antenna with a photodetector for high capacity wireless communications. A waveguide photodetector (WGPD), illuminated on the side, is used to convert the RF-modulated optical power into a microwave signal. That microwave signal is used to feed an antenna built on the same plane as the photodetector. The WGPD is a standard p-i-n device grown on a semi-insulating InP. The performance of this RF/photonic antenna in the frequency range 17-20 GHz is studied theoretically and experimentally. An equivalent circuit model for the WGPD is developed to predict the photodetector impedance as a function of frequency. The photodetector is matched to the input impedance of the antenna. The agreement between measurement and the circuit model results for the WGPD impedance is very good. It is envisioned that a large number of such RF/Photonic antenna elements could be networked together into a star configuration, feeding in and out of a radio hub. ¬© 2002 Wiley Periodicals, Inc. Microwave Opt. Technol. Lett. 35.</t>
  </si>
  <si>
    <t>179-184</t>
  </si>
  <si>
    <t>60033021;60033021;60030612;60030612</t>
  </si>
  <si>
    <t>6602668789;35465847700;7102718298;7403599573</t>
  </si>
  <si>
    <t>Khodier, Majid M.;Christodoulou, Christos G.;Liao, Tsai S.;Yu, Paul K.L.</t>
  </si>
  <si>
    <t>Antenna integration with a waveguide photodetector for high capacity wireless communications</t>
  </si>
  <si>
    <t>10.1002/mop.10550</t>
  </si>
  <si>
    <t>2-s2.0-0037027403</t>
  </si>
  <si>
    <t>['used conveniently', 'stable across', 'proposed antenna', 'pass band', 'field patterns', 'broadband communications', 'bandwidth enhancement']</t>
  </si>
  <si>
    <t>Bandwidth enhancement | Electromagnetic coupling | Microstrip antennas | T-shaped feed</t>
  </si>
  <si>
    <t>Bandwidth enhancement of a rectangular microstrip antenna using a T-shaped microstrip feed is explored in this paper. A 2:1 VSWR impedance bandwidth of 23% is achieved by employing this technique. The far-field patterns are stable across the pass band. The proposed antenna can be used conveniently in broadband communications. ¬© 2002 Wiley Periodicals, Inc. Microwave Opt Technol Lett 35.</t>
  </si>
  <si>
    <t>235-236</t>
  </si>
  <si>
    <t>57211466680;6603096440;7006249330;57218539158</t>
  </si>
  <si>
    <t>Menon, Sreedevi K.;Lethakumary, B.;Vasudevan, K.;Mohanan, P.</t>
  </si>
  <si>
    <t>Menon S.K.</t>
  </si>
  <si>
    <t>Wide band rectangular microstrip antenna using symmetric T-shaped feed</t>
  </si>
  <si>
    <t>10.1002/mop.10566</t>
  </si>
  <si>
    <t>2-s2.0-0037027406</t>
  </si>
  <si>
    <t>['unique solution', 'smallest poles', 'selected along', 'scattering parameters', 'proposed approach', 'phase reconstruction', 'phase component', 'pass filter', 'optimization variables', 'microwave filters', 'magnitude response', 'domain response', 'causal time', 'also utilized']</t>
  </si>
  <si>
    <t>Amplitude data | Cepstrum theorem | Non-minimum phase reconstruction</t>
  </si>
  <si>
    <t>A procedure for a non-minimum-phase reconstruction from magnitude data alone is presented. A non-minimum-phase component is recovered, based on the fact that the auto-correlation of the time domain sequence is equal to a discrete cosine transformation of the square of the magnitude response. An all-pass filter is also utilized in order to reduce the optimization variables. Since a non-minimum-phase reconstruction does not have a unique solution, a causal time-domain response is selected along with the smallest poles in magnitude. This theory is applied to antenna pattern synthesis and scattering parameters of microwave filters to illustrate the applicability of the proposed approach. ¬© 2002 Wiley Periodicals, Inc. Microwave Opt Technol Lett 35.</t>
  </si>
  <si>
    <t>212-216</t>
  </si>
  <si>
    <t>60012704;60012704;60030551</t>
  </si>
  <si>
    <t>7201756983;7404469777;55650323300</t>
  </si>
  <si>
    <t>Koh, Jinhwan;Cho, Young Ki;Sarkar, Tapan K.</t>
  </si>
  <si>
    <t>Syracuse;Daegu</t>
  </si>
  <si>
    <t>Syracuse University;Kyungpook National University</t>
  </si>
  <si>
    <t>60030551;60012704</t>
  </si>
  <si>
    <t>Koh J.</t>
  </si>
  <si>
    <t>Reconstruction of non-minimum phase function from only amplitude data</t>
  </si>
  <si>
    <t>10.1002/mop.10560</t>
  </si>
  <si>
    <t>2-s2.0-0037027409</t>
  </si>
  <si>
    <t>['successfully constructed', 'sequentially assembling', 'nanoscale walls', 'light reactions', 'less efficient', 'harvesting capsules', 'fluorescence spectroscopy', 'first time', 'dye combinations', 'different layers', 'capsule surface', 'antenna dyes']</t>
  </si>
  <si>
    <t>A variety of light-harvesting capsules were successfully constructed by assembling polyelectrolyte complexes and antenna dyes of graduated absorption energy into nanoscale walls (thickness of a single layer around 2 nm). Two-step downhill energy transfer was demonstrated with absorption and fluorescence spectroscopy for the first time on light-harvesting capsules. Energy transfer occurs parallel to the capsule surface if the dyes are coadsorbed to the preassembled capsule wall. Energy transfer perpendicular to the surface was achieved by sequentially assembling the dyes in different layers of the wall. Although perpendicular energy transfer is less efficient because of longer intermolecular distances, utilization of J-aggregates and optimization of dye combinations and dye ratios yielded an efficient energy cascade along three components. The light-harvesting capsules are analogous to the light reactions of photosynthesis in chloroplasts.</t>
  </si>
  <si>
    <t>11501-11508</t>
  </si>
  <si>
    <t>60006384;60006384;60008042;60006384</t>
  </si>
  <si>
    <t>Leipzig;Potsdam</t>
  </si>
  <si>
    <t>Universit√§t Leipzig;Max Planck Institute of Colloids and Interfaces</t>
  </si>
  <si>
    <t>60008042;60006384</t>
  </si>
  <si>
    <t>Downhill energy transfer via ordered multichromophores in light-harvesting capsules</t>
  </si>
  <si>
    <t>10.1021/jp0256490</t>
  </si>
  <si>
    <t>2-s2.0-0037038475</t>
  </si>
  <si>
    <t>['two continuous', 'numbers less', 'image noise', 'hyperboloidal lenses']</t>
  </si>
  <si>
    <t>We present an all-optoelectronic THz imaging system for ex vivo biomedical applications based on photomixing of two continuous-wave laser beams using photoconductive antennas. The application of hyperboloidal lenses is discussed. They allow for f-numbers less than 1/2 permitting better focusing and higher spatial resolution compared to off-axis paraboloidal mirrors whose f-numbers for practical reasons must be larger than 1/2. For a specific histological sample, an analysis of image noise is discussed.</t>
  </si>
  <si>
    <t>3743-3748</t>
  </si>
  <si>
    <t>60007762;60007762;60007762;60007762;60007762;60007762;60017134;60007762</t>
  </si>
  <si>
    <t>7005368748;7003519023;8847446200;57210598343;7202749702;7005296144;6507487605;7004848584</t>
  </si>
  <si>
    <t>Siebert, Karsten J.;L√∂ffler, Torsten;Quast, Holger;Thomson, Mark;Bauer, Tobias;Leonhardt, Rainer;Czasch, Stephanie;Roskos, Hartmut G.</t>
  </si>
  <si>
    <t>All-optoelectronic continuous wave THz imaging for biomedical applications</t>
  </si>
  <si>
    <t>S0031915502392716</t>
  </si>
  <si>
    <t>10.1088/0031-9155/47/21/310</t>
  </si>
  <si>
    <t>2-s2.0-0037038496</t>
  </si>
  <si>
    <t>['thus suitable', 'terahertz time', 'terahertz imaging', 'signal amplifier', 'large numbers', 'large background', 'detector arrays', 'cost effective', 'commercial lock', 'background pulses', 'alternate signal']</t>
  </si>
  <si>
    <t>We have developed a signal amplifier for the detection of weak repetitive pulsed signals superimposed on a large background. It is based on a double gated integrator principle with two channels locked to a sequence of alternate signal and background pulses. The circuit is compact and cost effective, and thus suitable for use in large numbers with detector arrays, for example in terahertz imaging. The performance was verified in terahertz time-domain spectroscopy based on an amplified femtosecond laser and found to be better than that of a commercial lock-in amplifier.</t>
  </si>
  <si>
    <t>3711-3718</t>
  </si>
  <si>
    <t>60032325;60032325;60032325;60032325</t>
  </si>
  <si>
    <t>57218941667;7202550229;55686686900;7404662230</t>
  </si>
  <si>
    <t>Herrmann, M.;Tani, M.;Watanabe, M.;Sakai, K.</t>
  </si>
  <si>
    <t>Herrmann M.</t>
  </si>
  <si>
    <t>An electronic read-out circuit for time-domain terahertz imaging with photoconductive antennas</t>
  </si>
  <si>
    <t>S0031915502526087</t>
  </si>
  <si>
    <t>10.1088/0031-9155/47/21/306</t>
  </si>
  <si>
    <t>2-s2.0-0037038570</t>
  </si>
  <si>
    <t>['threshold levels', 'described based', 'brief description', 'base station']</t>
  </si>
  <si>
    <t>Results of an ultrawideband propagation study are described based on 1 ns impulse response measurements obtained by using a directive horn antenna as a base station in relatively narrow rooms. A brief description of the propagation measurement technique is followed by data analysis using time domain statistical processing. The results are discussed in terms of threshold levels and base station location.</t>
  </si>
  <si>
    <t>1477-1479</t>
  </si>
  <si>
    <t>60020288;60005415</t>
  </si>
  <si>
    <t>6701605939;6701577028</t>
  </si>
  <si>
    <t>Talbi, L.;Denidni, A. T.</t>
  </si>
  <si>
    <t>Gatineau;Varennes</t>
  </si>
  <si>
    <t>Universit√© du Qu√©bec en Outaouais;Centre √ânergie Mat√©riaux T√©l√©communications</t>
  </si>
  <si>
    <t>Ultrawideband measurements for wireless indoor communication systems at 37.2 GHz</t>
  </si>
  <si>
    <t>10.1049/el:20020969</t>
  </si>
  <si>
    <t>2-s2.0-0037038618</t>
  </si>
  <si>
    <t>['significantly improve', 'results suggest', 'reduce interference', 'impedance surfaces', 'axial ratio', 'aperture antennas']</t>
  </si>
  <si>
    <t>High-impedance surfaces are studied as a means of improving the radiation pattern symmetry in aperture antennas. Compared to a solid metal ground plane, the results suggest that high-impedance surfaces can significantly improve the axial ratio of circularly polarised antennas. This can be used to reduce interference between left and right polarisation components.</t>
  </si>
  <si>
    <t>1411-1412</t>
  </si>
  <si>
    <t>60021939;60021939;60030821</t>
  </si>
  <si>
    <t>6701347150;7005066766;57213876582</t>
  </si>
  <si>
    <t>Sievenpiper, D.;Schaffner, J.;Navarro, J.</t>
  </si>
  <si>
    <t>Chicago;Malibu</t>
  </si>
  <si>
    <t>Boeing Corporation;HRL Laboratories</t>
  </si>
  <si>
    <t>60030821;60021939</t>
  </si>
  <si>
    <t>Axial ratio improvement in aperture antennas using high-impedance ground plane</t>
  </si>
  <si>
    <t>10.1049/el:20020984</t>
  </si>
  <si>
    <t>2-s2.0-0037038635</t>
  </si>
  <si>
    <t>['various transmit', 'sdc ).', 'results showed', 'receive antennas', 'mobile handset', 'also investigated']</t>
  </si>
  <si>
    <t>Transmit and receive diversity schemes for WCDMA in multipath fading channels (MRC) were discussed. Various transmit and receive antennas as well as the effect of dissimilar received signal strength at the mobile handset were also investigated. Results showed that the performance of MRC is ‚àº2 dB better than selection diversity combining (SDC).</t>
  </si>
  <si>
    <t>1471-1472</t>
  </si>
  <si>
    <t>112869924;112869924</t>
  </si>
  <si>
    <t>Vanganuru, Kiran S.;Annamalai, A.</t>
  </si>
  <si>
    <t>Mobile and Portable Radio Research</t>
  </si>
  <si>
    <t>Combined transmit and receive diversity schemes for WCDMA in multipath fading channels</t>
  </si>
  <si>
    <t>10.1049/el:20020959</t>
  </si>
  <si>
    <t>2-s2.0-0037038638</t>
  </si>
  <si>
    <t>['wave simulation', 'wave antenna', 'providing backward', 'positive values', 'measurement results']</t>
  </si>
  <si>
    <t>A novel dominant mode leaky-wave antenna is proposed. This antenna is a transmission line structure with radiating wavenumber increasing from negative to positive values, providing backward to forward scanning capability as frequency is increased. The characteristics and performances of the antenna are demonstrated by full-wave simulation and measurement results.</t>
  </si>
  <si>
    <t>1414-1416</t>
  </si>
  <si>
    <t>60027550;60027550;60027550</t>
  </si>
  <si>
    <t>57192593743;7004272195;36041035600</t>
  </si>
  <si>
    <t>Liu, Lei;Caloz, C.;Itoh, T.</t>
  </si>
  <si>
    <t>Liu L.</t>
  </si>
  <si>
    <t>Dominant mode leaky-wave antenna with backfire-to-endfire scanning capability</t>
  </si>
  <si>
    <t>10.1049/el:20020977</t>
  </si>
  <si>
    <t>2-s2.0-0037038639</t>
  </si>
  <si>
    <t>['phase signals', 'isolation achieved', 'compact two', 'antenna design']</t>
  </si>
  <si>
    <t>A compact two-way power combining antenna is presented which radiates in-phase signals while dissipating the out-of-phase signals in an internal lumped resistor. A transmission line model illustrates the operation and gives first order values for the antenna design. Measured radiation patterns for odd and even mode excitation demonstrate the isolation achieved.</t>
  </si>
  <si>
    <t>1413-1414</t>
  </si>
  <si>
    <t>8915954800;7201658579;7403257414</t>
  </si>
  <si>
    <t>Chiw, S. T.;Gardner, P.;Gao, S. C.</t>
  </si>
  <si>
    <t>Chiw S.</t>
  </si>
  <si>
    <t>Compact power combining patch antenna</t>
  </si>
  <si>
    <t>10.1049/el:20020987</t>
  </si>
  <si>
    <t>2-s2.0-0037038641</t>
  </si>
  <si>
    <t>['zeaxanthin associated', 'vivo configuration', 'relaxed configuration', 'recent conclusion', 'photosynthetic membranes', 'partial dissociation', 'molecular configurations', 'molecular configuration', 'lhcii trimers', 'largely lost', 'freely located', 'free pigment', 'characteristic c', 'binding locus', 'b .,', 'also found', '24870 ).', '., robert']</t>
  </si>
  <si>
    <t>The molecular configuration of the xanthophyll cycle carotenoids, violaxanthin and zeaxanthin, was studied in various isolated photosystem II antenna components in comparison to intact photosystem II membranes using resonance Raman combined with low-temperature absorption spectroscopy. The molecular configurations of zeaxanthin and violaxanthin in thylakoids and isolated photosystem II membranes were found to be the same within an isolated oligomeric LHCII antenna, confirming our recent conclusion that these molecules are not freely located in photosynthetic membranes (Ruban, A. V., Pascal, A. A., Robert, B., and Horton, P. (2001) J. Biol. Chem. 276, 24862-24870). In contrast, xanthophyll cycle carotenoids bound to LHCII trimers had largely lost their in vivo configuration, suggesting their partial dissociation from the binding locus. Violaxanthin and zeaxanthin associated with the minor antenna complexes, CP26 and CP29, were also found to be in a relaxed configuration, similar to that of free pigment. The origin of the characteristic C-H vibrational bands of violaxanthin and zeaxanthin in vivo is discussed by comparison with those of neoxanthin and lutein in oligomeric and trimeric LHCII respectively.</t>
  </si>
  <si>
    <t>42937-42942</t>
  </si>
  <si>
    <t>60001881-60019615;60001881;60001881;60000179;60000179</t>
  </si>
  <si>
    <t>7102944615;7006934557;8161614100;7103125115;57203184101</t>
  </si>
  <si>
    <t>Ruban, Alexander V.;Pascal, Andy;Lee, Pamela J.;Robert, Bruno;Horton, Peter</t>
  </si>
  <si>
    <t>France;United Kingdom;France</t>
  </si>
  <si>
    <t>Gif-sur-Yvette;Sheffield;Paris</t>
  </si>
  <si>
    <t>CEA Saclay;The University of Sheffield;√âcole Normale Sup√©rieure</t>
  </si>
  <si>
    <t>60019615;60001881;60000179</t>
  </si>
  <si>
    <t>Molecular configuration of xanthophyll cycle carotenoids in photosystem II antenna complexes</t>
  </si>
  <si>
    <t>10.1074/jbc.M207823200</t>
  </si>
  <si>
    <t>2-s2.0-0037044837</t>
  </si>
  <si>
    <t>['terms arising', 'symmetric body', 'rights reserved', 'principal term', 'oblate earth', 'newtonian potential', 'mean longitude', 'earth oblateness', 'canonical equations', 'assumed stabilized']</t>
  </si>
  <si>
    <t>Artificial satellite | Hamiltonian | Zonal harmonic</t>
  </si>
  <si>
    <t>The effects of direct solar radiation pressure (SRP) and Earth oblateness in the post-Newtonian potential (PN) approximation on an Earth artificial satellite are investigated. The potential of the oblate Earth is limited to the principal term and the second zonal harmonic. The model of the satellite is adopted to be an axially symmetric body plus an axially symmetric antenna emitting or receiving radio beam. The attitude of the satellite is assumed stabilized such that the axis of the symmetric body is along the tangent to the orbit. The Hamiltonian of the system is developed in terms of the Delaunay elements augmented so as to remove the explicit time dependence, due to the mean longitude of the Sun. The canonical equations of motion are formed retaining terms up to O(J24) so as to retain the terms arising from the coupling between SRP and the oblateness PN terms. ¬© 2002 Elsevier Science Inc. All rights reserved.</t>
  </si>
  <si>
    <t>505-514</t>
  </si>
  <si>
    <t>Applied Mathematics and Computation</t>
  </si>
  <si>
    <t>60030681;60025733</t>
  </si>
  <si>
    <t>6507368959;6507347922</t>
  </si>
  <si>
    <t>El-Saftawy, M. I.;El-Enna, A. A.</t>
  </si>
  <si>
    <t>Egypt;Egypt</t>
  </si>
  <si>
    <t>Cairo;Kafr el-Sheikh</t>
  </si>
  <si>
    <t>National Research Institute of Astronomy and Geophysics, Cairo;Kafrelsheikh University</t>
  </si>
  <si>
    <t>El-Saftawy M.I.</t>
  </si>
  <si>
    <t>The relativistic and direct solar radiation pressure effects on an axially symmetric spacecraft: I. The Hamiltonian and the canonical equations of motion</t>
  </si>
  <si>
    <t>S0096300301002089</t>
  </si>
  <si>
    <t>10.1016/S0096-3003(01)00208-9</t>
  </si>
  <si>
    <t>2-s2.0-0037058262</t>
  </si>
  <si>
    <t>['white light', 'volmer non', 'thermal dissipation', 'sunflower etioplasts', 'ps2 photochemistry', 'ps2 centers', 'protein complex', 'photochemical potential', 'oxidized state', 'optimum fraction', 'lacking photosystem', 'irradiation time', 'excitation capture', 'complete darkness', 'changed significantly', 'antennae pigment', 'antenna pigment', '18 h', '12 h']</t>
  </si>
  <si>
    <t>Chlorophyll a fluorescence | Etioplast | Non-photochemical dissipation | Sunflower</t>
  </si>
  <si>
    <t>Etiolated sunflower cotyledons developed in complete darkness and lacking photosystem (PS) 2 were exposed to continuous 200 Œºmol(photon) m-2 s-1 "white light" for 1, 3, 6, 12, and 18 h prior to evaluations of excitation-energy dissipation using modulated chlorophyll a fluorescence. Photochemical potential of PS2, measured as the dark-adapted quantum efficiency of PS2 (FV(M)/FM), and thermal dissipation from the antenna pigment-protein complex, measured as the Stem-Volmer non-photochemical quenching coefficient (NPQ), increased to 12 h of irradiation. Following 12 h of irradiation, thermal dissipation from the antennae pigment-protein complex decreased while the efficiency of excitation capture by PS2 centers (F'V/F'M) and light-adapted quantum efficiency of PS2 (Œ¶PS2) continued to increase to 18 h of irradiation. The fraction of the oxidized state of QA, measured by the photochemical quenching coefficient (qP), remained near optimal and was not changed significantly by irradiation time. Hence during the development of maximum photochemical potential of PS2 in sunflower etioplasts, which initially lacked PS2, enhanced thermal dissipation helps limit excitation energy reaching PS2 centers. Changes of the magnitude of thermal dissipation help maintain an optimum fraction of the oxidized state of QA during the development of PS2 photochemistry.</t>
  </si>
  <si>
    <t>60019081;60019081;60019081;60019081;60019081</t>
  </si>
  <si>
    <t>6603246083;6505577320;7403158758;7102664648;6506565144</t>
  </si>
  <si>
    <t>Lebkuecher, J. G.;Altmon, L. E.;Harris, G. K.;Wallace, K. L.;Wilding, A. R.</t>
  </si>
  <si>
    <t>Clarksville</t>
  </si>
  <si>
    <t>Austin Peay State University</t>
  </si>
  <si>
    <t>Lebkuecher J.</t>
  </si>
  <si>
    <t>Dissipation of excitation energy during development of photosystem 2 photochemistry in Helianthus annuus</t>
  </si>
  <si>
    <t>10.1023/A:1021366228791</t>
  </si>
  <si>
    <t>2-s2.0-0036033847</t>
  </si>
  <si>
    <t>['weighting factors', 'present method', 'prescribed nulls', 'pattern synthesis', 'imposed single', 'design specifications', 'chebyshev pattern', 'broad nulls', 'array element']</t>
  </si>
  <si>
    <t>A useful and flexible method based on the tabu search algorithm for the pattern synthesis of linear antenna arrays with the prescribed nulls is presented. Nulling of the pattern is achieved by controlling both the phase and the position of each array element. To show the versatility of the present method, some design specifications such as the maximum sidelobe level and the null depth level are considered by introducing a set of weighting factors in the cost function constructed for the tabu search algorithm. Several illustrative examples of a Chebyshev pattern with the imposed single, multiple and broad nulls are given.</t>
  </si>
  <si>
    <t>60003217;60003217</t>
  </si>
  <si>
    <t>35581650500;7005087231</t>
  </si>
  <si>
    <t>Akdagli, Ali;G√ºney, Kerim</t>
  </si>
  <si>
    <t>Array pattern nulling by phase and position perturbations with the use of a modified tabu search algorithm</t>
  </si>
  <si>
    <t>2-s2.0-0036404914</t>
  </si>
  <si>
    <t>['wave circuits', 'switch topologies', 'rf model', 'next generation', 'mem switch', 'low voltage', 'insertion loss', 'hinged topologies', 'frequency range', 'developed state', 'broadband rf', 'based counterparts', 'attractive devices', 'also established', '40 ghz', '25 db', '1 db']</t>
  </si>
  <si>
    <t>Low insertion loss, high isolation RF MEM switches have been thought of as one of the most attractive devices for space-based reconfigurable antenna and integrated circuit applications. Many RF MEMS switch topologies have been reported and they all show superior RF characteristics compared to semiconductor-based counterparts. At the University of Illinois, we developed state-of-the-art broadband low-voltage RF MEM switches using cantilever and hinged topologies. We demonstrated promising sub-10 volts operation for both switch topologies. The switches have an insertion loss of less than 0.1 dB, and an isolation of better than 25 dB over the frequency range from 0.25 to 40 GHz. The RF Model of the MEM switch was also established. The low voltage RF MEM switches will provide a solution for low voltage and highly linear switching methods for the next generation of broadband RF, microwave, and millimeter-wave circuits.</t>
  </si>
  <si>
    <t>97-111</t>
  </si>
  <si>
    <t>Active and Passive Electronic Components</t>
  </si>
  <si>
    <t>60000745;60000745;60000745;60000745;60000745</t>
  </si>
  <si>
    <t>7403431282;7003931751;7402099565;6603635918;24355301600</t>
  </si>
  <si>
    <t>Shen, S. C.;Becher, D.;Fan, Z.;Caruth, D.;Feng, Milton</t>
  </si>
  <si>
    <t>Shen S.C.</t>
  </si>
  <si>
    <t>Development of broadband low actuation voltage RF MEM switches</t>
  </si>
  <si>
    <t>10.1080/08827510211282</t>
  </si>
  <si>
    <t>2-s2.0-0036407652</t>
  </si>
  <si>
    <t>['wireless micro', 'systems networks', 'key components']</t>
  </si>
  <si>
    <t>Small antennas | Wireless micro-systems network</t>
  </si>
  <si>
    <t>This paper will describe the topology of wireless micro-systems networks and some of their key components. In particular we will deal with the antennas: loops, helices, F-antennas, patches and dielectrically loaded antennas.</t>
  </si>
  <si>
    <t>71-82</t>
  </si>
  <si>
    <t>Wansch, Rainer</t>
  </si>
  <si>
    <t>FIIS</t>
  </si>
  <si>
    <t>Wansch R.</t>
  </si>
  <si>
    <t>Small antennas for wireless micro-systems requirements, state of the art, future trends</t>
  </si>
  <si>
    <t>10.1080/08827510211276</t>
  </si>
  <si>
    <t>2-s2.0-0036408168</t>
  </si>
  <si>
    <t>['trans photoisomerization', 'three topics', 'thermal fluctuation', 'standing problem', 'significant role', 'secondary structures', 'rhodopsin occurs', 'rhodopseudomonas acidophila', 'recently obtained', 'protein structure', 'protein media', 'photosynthetic bacteria', 'mostly long', 'molecular mechanism', 'little winded', 'energy transfer', 'elementary processes', 'electron tunneling', 'electron transfer', 'detailed analysis', 'counterclockwise direction', 'c12 bond', 'biological systems', 'biological functions', 'b850 intra']</t>
  </si>
  <si>
    <t>Electron tunneling root | Excitation energy transfer | Exciton | Long-range electron transfer | Photoisomerization | Retinal chromophore</t>
  </si>
  <si>
    <t>We discuss unique mechanisms typical in the elementary processes of biological functions. We focus on three topics. Excitation energy transfer in the light-harvesting antenna systems of photosynthetic bacteria is unique in its structure and the energy transfer mechanism. In the case of LH2 of Rhodopseudomonas acidophila, the B850 intra-ring energy transfer and the inter-ring energy transfer between B800 and B850 take place by the intermediate coupling mechanism of energy transfer. The excitonic coherent domain shows a wave-like movement along the ring, and this property is expected to play a significant role in the inter-ring energy transfer between LH2's. The electron transfer in biological systems is mostly long-range electron transfer that occurs by the electron tunneling through the protein media. There is a long-standing problem that which part of protein media is used for the electron tunneling root. As a result of our detailed analysis, we found that the global electron tunneling root is a little winded with a width of a few angstrom, reflecting the property of tertiary and secondary structures of the protein and it is affected by the thermal fluctuation of protein structure. Photoisomerization of rhodopsin is very unique: The cis-trans photoisomerization of rhodopsin occurs only around the C11 = C12 bond in the counterclockwise direction. Its molecular mechanism is resolved by our MD simulation study using the structure of rhodopsin which was recently obtained by the X-ray crystallographic analysis.</t>
  </si>
  <si>
    <t>367-381</t>
  </si>
  <si>
    <t>Journal of Biological Physics</t>
  </si>
  <si>
    <t>60000264;60000264;60000264;60000264;60000264;60029787</t>
  </si>
  <si>
    <t>57211792449;55884730600;37104376000;55727927200;7101689021;7408530147</t>
  </si>
  <si>
    <t>Kakitani, T.;Kawatsu, T.;Kimura, A.;Yamada, A.;Yamato, T.;Yamamoto, S.</t>
  </si>
  <si>
    <t>Nagoya;Nagoya</t>
  </si>
  <si>
    <t>Chukyo University;Nagoya University</t>
  </si>
  <si>
    <t>60029787;60000264</t>
  </si>
  <si>
    <t>Unique mechanisms of excitation energy transfer, electron transfer and photoisomerization in biological systems</t>
  </si>
  <si>
    <t>10.1023/A:1020356404203</t>
  </si>
  <si>
    <t>2-s2.0-0036411480</t>
  </si>
  <si>
    <t>BL 469/1</t>
  </si>
  <si>
    <t>['tested whether', 'sucrose solution', 'sucrose responsiveness', 'sucrose correlates', 'rights reserved', 'measured using', 'increasing concentrations', 'honey bees', 'honey bee', 'foraging role', 'first foraging', 'either injected', 'data demonstrate', 'biogenic amines']</t>
  </si>
  <si>
    <t>Biogenic amines | Honey bee | Insect | Proboscis extension response | Sucrose responsiveness</t>
  </si>
  <si>
    <t>In the honey bee, responsiveness to sucrose correlates with many behavioural parameters such as age of first foraging, foraging role and learning. Sucrose responsiveness can be measured using the proboscis extension response (PER) by applying sucrose solutions of increasing concentrations to the antenna of a bee. We tested whether the biogenic amines octopamine, tyramine and dopamine, and the dopamine receptor agonist 2-amino-6,7-dihydroxy-1,2,3,4-tetrahydronaphthalene (6,7-ADTN) can modulate sucrose responsiveness. The compounds were either injected into the thorax or fed in sucrose solution to compare different methods of application. Injection and feeding of tyramine or octopamine significantly increased sucrose responsiveness. Dopamine decreased sucrose responsiveness when injected into the thorax. Feeding of dopamine had no effect. Injection of 6,7-ADTN into the thorax and feeding of 6,7-ADTN reduced sucrose responsiveness significantly. These data demonstrate that sucrose responsiveness in honey bees can be modulated by biogenic amines, which has far reaching consequences for other types of behaviour in this insect. ¬© 2002 Elsevier Science B.V. All rights reserved.</t>
  </si>
  <si>
    <t>545-553</t>
  </si>
  <si>
    <t>Behavioural Brain Research</t>
  </si>
  <si>
    <t>60011604;60011604;60011604;60021763;60011604</t>
  </si>
  <si>
    <t>6601940590;15745898900;15745987900;6602106977;7006073714</t>
  </si>
  <si>
    <t>Scheiner, Ricarda;Pl√ºckhahn, Stephanie;√ñney, Bahar;Blenau, Wolfgang;Erber, Joachim</t>
  </si>
  <si>
    <t>Potsdam;Berlin</t>
  </si>
  <si>
    <t>Universit√§t Potsdam;Technical University of Berlin</t>
  </si>
  <si>
    <t>60021763;60011604</t>
  </si>
  <si>
    <t>Scheiner R.</t>
  </si>
  <si>
    <t>Behavioural pharmacology of octopamine, tyramine and dopamine in honey bees</t>
  </si>
  <si>
    <t>S016643280200205X</t>
  </si>
  <si>
    <t>10.1016/S0166-4328(02)00205-X</t>
  </si>
  <si>
    <t>2-s2.0-0037112317</t>
  </si>
  <si>
    <t>['‚ àº0', 'vertical resolution', 'surface rearrangements', 'surface density', 'substantial increase', 'stroma lamellae', 'new vistas', 'molecular resolution', 'mobile light', 'mean size', 'lateral resolution', 'hydrated specimens', 'grana margins', 'grana margin', 'grana diameter', 'free chloroplasts', 'atp synthase', 'assisted assignment', '5 nm', '3 nm']</t>
  </si>
  <si>
    <t>Membrane stacking | Photosystems | Scanning force microscopy | State transitions | Thylakoid structure</t>
  </si>
  <si>
    <t>Envelope-free chloroplasts were imaged in situ by contact and tapping mode scanning force microscopy at a lateral resolution of 3-5 nm and vertical resolution of ‚àº0.3 nm. The images of the intact thylakoids revealed detailed structural features of their surface, including individual protein complexes over stroma, grana margin and grana-end membrane domains. Structural and immunogold-assisted assignment of two of these complexes, photosystem I (PS I) and ATP synthase, allowed direct determination of their surface density, which, for both, was found to be highest in grana margins. Surface rearrangements and pigment-protein complex redistribution associated with salt-induced membrane unstacking were followed on native, hydrated specimens. Unstacking was accompanied by a substantial increase in grana diameter and, eventually, led to their merging with the stroma lamellae. Concomitantly, PS IIŒ± effective antenna size decreased by 21% and the mean size of membrane particles increased substantially, consistent with attachment of mobile light-harvesting complex II to PS I. The ability to image intact photosynthetic membranes at molecular resolution, as demonstrated here, opens up new vistas to investigate thylakoid structure and function.</t>
  </si>
  <si>
    <t>6146-6153</t>
  </si>
  <si>
    <t>60017563-60022901;60017563;60017563;60017563;60017563</t>
  </si>
  <si>
    <t>6603186821;6701385172;6602320820;7006347719;55897445400</t>
  </si>
  <si>
    <t>Kaftan, David;Brumfeld, Vlad;Nevo, Reinat;Scherz, Avigdor;Reich, Ziv</t>
  </si>
  <si>
    <t>Czech Republic;Israel</t>
  </si>
  <si>
    <t>Nove Hrady;Rehovot</t>
  </si>
  <si>
    <t>√östavu syst√©mov√© biologie a ekologie;Weizmann Institute of Science Israel</t>
  </si>
  <si>
    <t>60022901;60017563</t>
  </si>
  <si>
    <t>Kaftan D.</t>
  </si>
  <si>
    <t>From chloroplasts to photosystems: In situ scanning force microscopy on intact thylakoid membranes</t>
  </si>
  <si>
    <t>10.1093/emboj/cdf624</t>
  </si>
  <si>
    <t>2-s2.0-0037112863</t>
  </si>
  <si>
    <t>['time monitoring', 'spatial resolution', 'spatial position', 'results showed', 'piezoelectric transducer', 'lying zones', 'linear array', 'internal temperature', 'fiber tip', 'experimental setup', 'experimental data', '5 k', '5 cm']</t>
  </si>
  <si>
    <t>An experimental setup with a linear array of piezoelectric transducer was reported. The capability of a device for real-time monitoring of internal temperature at depths up to 3.5 cm with a spatial resolution of about 5mm and a sensitivity of about 0.5 K was demonstrated. The results showed that the experimental data can be used to visualize heat diffusion effects in deep-lying zones and the spatial position of the fiber tip.</t>
  </si>
  <si>
    <t>3918-3920</t>
  </si>
  <si>
    <t>60011774;60011774;60011774;60011774;60024885</t>
  </si>
  <si>
    <t>6603231779;6506698864;6603315491;7102128204;7006319936</t>
  </si>
  <si>
    <t>Krotov, Eugene V.;Zhadobov, Maxim V.;Reyman, Alexander M.;Volkov, Grigory P.;Zharov, Vladimir P.</t>
  </si>
  <si>
    <t>Little Rock;Nizhny Novgorod</t>
  </si>
  <si>
    <t>University of Arkansas for Medical Sciences;Institute of Applied Physics of the Russian Academy of Sciences</t>
  </si>
  <si>
    <t>60024885;60011774</t>
  </si>
  <si>
    <t>Krotov E.V.</t>
  </si>
  <si>
    <t>Detection of thermal acoustic radiation from laser-heated deep tissue</t>
  </si>
  <si>
    <t>10.1063/1.1521245</t>
  </si>
  <si>
    <t>2-s2.0-0037132192</t>
  </si>
  <si>
    <t>['small size', 'return losses', 'radiation patterns', 'proposed antennas', 'mlc process', 'meander patch', 'increased capacity', 'frequency ratio', 'frequency operation']</t>
  </si>
  <si>
    <t>Dual-frequency operation | LTCC-MLC | Meander antenna | Small chip antenna</t>
  </si>
  <si>
    <t>In this paper, a small-chip meander antenna for dual-frequency operation is presented. This novel compact dual-frequency antenna uses a meander patch with increased capacity to adjust dual operating frequencies with small size and frequency ratio. The proposed antennas are fabricated by the LTCC-MLC process. The characteristics of return losses, radiation patterns, and gains are discussed.</t>
  </si>
  <si>
    <t>60016912;60016912;60025960;60016912;60025960;60025960;60025960</t>
  </si>
  <si>
    <t>55822964504;24436115100;7101953761;7402126718;7410138487;36838848100;7402312786</t>
  </si>
  <si>
    <t>Kim, Hyun Jun;Kwon, Sewoong;Sim, Sung Hun;Yoon, Young Joong;Kim, Huyn Jai;Yoon, Seok Ji;Kang, Chong Yun</t>
  </si>
  <si>
    <t>Kim H.J.</t>
  </si>
  <si>
    <t>Dual-frequency small-chip meander antenna</t>
  </si>
  <si>
    <t>10.1002/mop.10580</t>
  </si>
  <si>
    <t>2-s2.0-0037145945</t>
  </si>
  <si>
    <t>['voltage measured', 'properly exploited', 'nonredundant representation', 'minimum number', 'magnetic fields']</t>
  </si>
  <si>
    <t>Cylindrical scanning | NF-FF transformation techniques | Nonredundant sampling representation of electromagnetic fields | Probe compensation</t>
  </si>
  <si>
    <t>In this paper, an efficient sampling representation for reconstructing the voltage measured by a probe over a cylinder in the antenna NF region from a minimum number of data is proposed, and properly exploited to develop two probe compensated NF-FF transformation techniques. They are based on the theoretical results relevant to the nonredundant representation of electro-magnetic fields. Numerical examples assess the accuracy and stability of the techniques.</t>
  </si>
  <si>
    <t>60007061;60007061;60007061;60007061;60025235</t>
  </si>
  <si>
    <t>57206755151;57200511506;7003785247;57194244447;7004082336</t>
  </si>
  <si>
    <t>D'Agostino, F.;Ferrara, F.;Gennarelli, C.;Riccio, G.;Savarese, C.</t>
  </si>
  <si>
    <t>D'Agostino F.</t>
  </si>
  <si>
    <t>NF-FF transformation with cylindrical scanning from a minimum number of data</t>
  </si>
  <si>
    <t>10.1002/mop.10578</t>
  </si>
  <si>
    <t>2-s2.0-0037145946</t>
  </si>
  <si>
    <t>['proposed antenna', 'placed along', 'notebook computer', 'narrow width', 'experimental results', 'easily fed', 'constructed prototype', '484 ghz', '4 ghz', '35 ghz', '2 ghz']</t>
  </si>
  <si>
    <t>Dual-band antennas | Slot antennas | WLAN antennas</t>
  </si>
  <si>
    <t>A dual-band slot antenna comprising two narrow linear slots for wireless local area network (WLAN) operations in the 2.4 GHz (2.4-2.484 GHz) and 5.2 GHz (5.15-5.35 GHz) bands is presented. The two linear slots are arranged to be close and in parallel to each other, and are easily fed by using a single 50 Œ© coaxial cable to achieve two desired operating modes at about 2.4 GHz and 5.2 GHz. A prototype of the proposed antenna with a narrow width of 10 mm suitable to be placed along the perimeter of the display of a notebook computer is constructed and studied. Experimental results of the constructed prototype are presented.</t>
  </si>
  <si>
    <t>306-308</t>
  </si>
  <si>
    <t>60011357;60002069;60011357;60011357</t>
  </si>
  <si>
    <t>7402819936;7501612418;7403648871;35460663000</t>
  </si>
  <si>
    <t>Su, Chih Ming;Chen, Hong Twu;Chang, Fa Shian;Wong, Kin Lu</t>
  </si>
  <si>
    <t>Dual-band slot antenna for 2.4/5.2 GHz WLAN operation</t>
  </si>
  <si>
    <t>10.1002/mop.10591</t>
  </si>
  <si>
    <t>2-s2.0-0037145948</t>
  </si>
  <si>
    <t>['l antenna', 'f antennas', 'experimentally presented', 'electromagnetic coupling']</t>
  </si>
  <si>
    <t>Antenna feeds | Antenna radiation patterns | Antennas | Microstrip antennas | Mobile antennas</t>
  </si>
  <si>
    <t>A new broadband planar inverted-L antenna (PILA) with a vertical ground plane (VGN) is experimentally presented. With the electromagnetic coupling between the radiator and VGN, the 2:1 VSWR impedance bandwidth of &gt; 45% has been attained. The radiation patterns similar to those of conventional planar inverted-L or F antennas are applicable for land mobile communication systems.</t>
  </si>
  <si>
    <t>315-317</t>
  </si>
  <si>
    <t>7409485017;7004839408</t>
  </si>
  <si>
    <t>Chen, Zhi Ning;Chia, M. Y.W.</t>
  </si>
  <si>
    <t>A circular planar inverted-L antenna with a vertical ground plane</t>
  </si>
  <si>
    <t>10.1002/mop.10594</t>
  </si>
  <si>
    <t>2-s2.0-0037145957</t>
  </si>
  <si>
    <t>['thick substrate', 'rf patch', 'resonant frequencies', 'practical thickness', 'permittivity œµr', 'patch resonators', 'patch antennas', 'maximum errors', 'large œµr', 'fringe field', 'fringe extension', 'frequency invariance', 'dc capacitor', 'cad formula', '23 ),']</t>
  </si>
  <si>
    <t>Antenna | Capacitor | Fringe extension | Resonator</t>
  </si>
  <si>
    <t>Fringe field effect is equivalent to an extension in size of an RF patch, either as resonator or as antenna. A CAD formula for this extension is derived from DC capacitor and is shown to be applicable for all practical thickness and permittivity Œµr of the substrate. For example, for patch resonators of large Œµr and for patch antennas on thick substrate (h/Œª0 &lt; 0.23), the maximum errors in resonant frequencies are only 0.2% and 3%, respectively. The fringe extension through DC is understandable in physics from the point of view of the frequency invariance of fringe field with thin substrate asymptotically.</t>
  </si>
  <si>
    <t>293-297</t>
  </si>
  <si>
    <t>60010080;60013983;60010080</t>
  </si>
  <si>
    <t>8620055800;55664638500;56042261700</t>
  </si>
  <si>
    <t>Sun, Y. X.;Chow, Y. L.;Fang, D. G.</t>
  </si>
  <si>
    <t>Impedance formulas of RF patch resonators and antennas of cavity model using fringe extensions of patches from DC capacitors</t>
  </si>
  <si>
    <t>10.1002/mop.10587</t>
  </si>
  <si>
    <t>2-s2.0-0037145960</t>
  </si>
  <si>
    <t>['wave radiation', 'wave antenna', 'successfully excited', 'radiation patterns', 'phased array', 'novel leaky', 'local oscillators', 'impedance transformer', 'fixed locations', 'antenna radiates', '8 ghz']</t>
  </si>
  <si>
    <t>Impedance transformer | Leaky-wave antenna | Near field | Radiation pattern</t>
  </si>
  <si>
    <t>In this paper, we present the results of measuring the near-field and radiation patterns of a novel leaky-wave antenna. Although the first higher order mode in the antenna can be successfully excited in a wide frequency band, the leaky-wave radiation is limited to a relatively narrow frequency band of about 1.8 GHz. Outside this band, the antenna radiates as a phased array of local oscillators and demonstrates a multi-beam radiation pattern. Investigations of modified antenna design have revealed new opportunities to improve antenna characteristics by changing the width and location of the impedance transformer, as well as by inserting electrical dipoles at the fixed locations of standing waves formed along the radiating microstrip line.</t>
  </si>
  <si>
    <t>277-281</t>
  </si>
  <si>
    <t>60068535;60068535;60068504;60068535</t>
  </si>
  <si>
    <t>7004364003;23109078700;55436535200;6603683522</t>
  </si>
  <si>
    <t>Ivanchenko, I.;Ivanchenko, D.;Korolyov, A.;Popenko, N.</t>
  </si>
  <si>
    <t>Ivanchenko I.</t>
  </si>
  <si>
    <t>Experimental studies of X-band leaky-wave antenna performances</t>
  </si>
  <si>
    <t>10.1002/mop.10581</t>
  </si>
  <si>
    <t>2-s2.0-0037145961</t>
  </si>
  <si>
    <t>['mutual coupling', 'method proposed', 'applied successfully', 'adaptive array']</t>
  </si>
  <si>
    <t>Adaptive arrays | Moment method | Mutual coupling</t>
  </si>
  <si>
    <t>In this paper, the effect of mutual coupling on adaptive array antenna is investigated. Through an example of a two-element dipole array, it is shown that the effect of the mutual coupling is detrimental on adaptive array and can not be neglected. A method proposed in the literature to compensate for the effect of mutual coupling is tested and applied successfully.</t>
  </si>
  <si>
    <t>270-274</t>
  </si>
  <si>
    <t>55470925100;7004705420</t>
  </si>
  <si>
    <t>Ali, Maha A.;Wahid, Parveen</t>
  </si>
  <si>
    <t>Effect of mutual coupling in adaptive arrays</t>
  </si>
  <si>
    <t>10.1002/mop.10579</t>
  </si>
  <si>
    <t>2-s2.0-0037145963</t>
  </si>
  <si>
    <t>['theory application', 'implementation procedure', 'general formulation', 'experimental data']</t>
  </si>
  <si>
    <t>Fast Fourier transformation | Microstrip circuit | Spiral inductor</t>
  </si>
  <si>
    <t>An efficient method based on the wave concept introducing a Fast Fourier Transformation on the wave-guide environment Mode Fast Fourier Transformation (MFFT) for the investigation of a micro-strip spiral inductor is presented in this paper. This method is used to calculate S-parameters of an shielded microwave components including air bridges. The general formulation and implementation procedure of the method are described. The theory application is verified by a comparison with experimental data.</t>
  </si>
  <si>
    <t>302-306</t>
  </si>
  <si>
    <t>60091645;60091645;60091645;60028112</t>
  </si>
  <si>
    <t>6602619622;6506824283;6603916754;7007171277</t>
  </si>
  <si>
    <t>Mami, A.;Zairi, H.;Gharsallah, A.;Baudrand, H.</t>
  </si>
  <si>
    <t>Tunisia;France</t>
  </si>
  <si>
    <t>Tunis;Toulouse</t>
  </si>
  <si>
    <t>Universit√© de Tunis El Manar, Facult√© des Sciences de Tunis;ENSEEIHT Ecole Nationale Sup√©rieure d'Electrotechnique, d'Electronique, d'Informatique, d'Hydraulique et des T√©l√©communications</t>
  </si>
  <si>
    <t>60091645;60028112</t>
  </si>
  <si>
    <t>Mami A.</t>
  </si>
  <si>
    <t>Analysis of microstrip spiral inductor by using iterative method</t>
  </si>
  <si>
    <t>10.1002/mop.10590</t>
  </si>
  <si>
    <t>2-s2.0-0037145964</t>
  </si>
  <si>
    <t>['wire length', 'uniquely determined', 'resonant behavior', 'koch fractal']</t>
  </si>
  <si>
    <t>Fractal antennas | Fractals | Monopole antennas</t>
  </si>
  <si>
    <t>The resonant behavior of the Koch fractal monopole is considered as a function of its geometry, height and wire length. It is demonstrated that the resonant behavior of the Koch fractal is not uniquely determined by its geometry and that optimum resonant performance is exhibited by the simple Euclidean monopole.</t>
  </si>
  <si>
    <t>311-315</t>
  </si>
  <si>
    <t>On the resonant behavior of the small Koch fractal monopole antenna</t>
  </si>
  <si>
    <t>10.1002/mop.10593</t>
  </si>
  <si>
    <t>2-s2.0-0037145966</t>
  </si>
  <si>
    <t>['wideband antenna', 'tie elements', 'tie element', 'tie antenna', 'sharp edges', 'maximum bandwidth', 'includes modification', 'improved method', 'handheld device', 'feed positions', '8 %)']</t>
  </si>
  <si>
    <t>Bow-tie antenna | Handheld wireless device | Printed balun</t>
  </si>
  <si>
    <t>A bow-tie element with an orthogonal feed arrangement has been developed to conform to the shape of a handheld device. An improved method to feed the bow-tie antenna was realised, which includes modification to the printed Roberts balun with stubs to provide an exact feed location and broadening of the sharp edges at the feed positions of the bow-tie elements. A wideband antenna (maximum bandwidth of 22.8%) with dual band characteristics will be shown.</t>
  </si>
  <si>
    <t>255-257</t>
  </si>
  <si>
    <t>60003196;60003196;60003196;60005510</t>
  </si>
  <si>
    <t>7006685082;7501496689;7102646632;55540764000</t>
  </si>
  <si>
    <t>Teo, P. T.;Lee, K. S.;Gan, Y. B.;Lee, C. K.</t>
  </si>
  <si>
    <t>Development of bow-tie antenna with an orthogonal feed</t>
  </si>
  <si>
    <t>10.1002/mop.10575</t>
  </si>
  <si>
    <t>2-s2.0-0037145973</t>
  </si>
  <si>
    <t>['required bandwidths', 'new design', 'central arm', 'access points', '484 ghz', '35 ghz', '1 vswr']</t>
  </si>
  <si>
    <t>Access-point antennas | Antennas | Monopole antennas | WLAN antennas</t>
  </si>
  <si>
    <t>A new design of the printed trident monopole antenna for applications in 2.4/5.2 GHz dual-band wireless local area network (WLAN) access points is presented. The trident monopole antenna comprises a central arm for the 2.4 GHz band (2.4-2.484 GHz) operation and two side arms for the 5.2 GHz band (5.15-5.35 GHz) operation. The obtained impedance bandwidth (1.5:1 VSWR) for a constructed prototype covers the required bandwidths of the 2.4 and 5.2 GHz bands, and the maximum antenna gain reaches about 4.0 and 5.5 dBi across the 2.4 and 5.2 GHz bands, respectively.</t>
  </si>
  <si>
    <t>286-288</t>
  </si>
  <si>
    <t>7006351403;7402422499;35460663000</t>
  </si>
  <si>
    <t>Tung, Hao Chun;Fang, Shyh Tirng;Wong, Kin Lu</t>
  </si>
  <si>
    <t>Printed dual-band monopole antenna for 2.4/5.2 GHz WLAN access point</t>
  </si>
  <si>
    <t>10.1002/mop.10585</t>
  </si>
  <si>
    <t>2-s2.0-0037145974</t>
  </si>
  <si>
    <t>['vector autoregressive', 'interference ratio', 'division duplex', 'computational electromagnetic', '8 ghz']</t>
  </si>
  <si>
    <t>Antenna arrays | Array signal processing | Mobile communication</t>
  </si>
  <si>
    <t>In this paper, a Kalman-filter-based, vector autoregressive (VAR) model is used to forecast mobile user uplink spatial signatures and improve downlink signal-to-interference ratio in time-division duplex (TDD) systems. Results are presented from computational electromagnetic (CEM) simulations of a smart antenna system operating at 1.8 GHz in an urban microcellular environment.</t>
  </si>
  <si>
    <t>281-283</t>
  </si>
  <si>
    <t>60014662;60013372;60013372;60013372</t>
  </si>
  <si>
    <t>7004328694;7003578526;7202062608;7404265004</t>
  </si>
  <si>
    <t>Dandekar, Kapil R.;Arredondo, Alberto;Ling, Hao;Xu, Guanghan</t>
  </si>
  <si>
    <t>Philadelphia;Austin</t>
  </si>
  <si>
    <t>Drexel University;The University of Texas at Austin</t>
  </si>
  <si>
    <t>60014662;60013372</t>
  </si>
  <si>
    <t>Dandekar K.</t>
  </si>
  <si>
    <t>Modeling and prediction of the wireless vector channel encountered by smart antenna systems</t>
  </si>
  <si>
    <t>10.1002/mop.10582</t>
  </si>
  <si>
    <t>2-s2.0-0037145975</t>
  </si>
  <si>
    <t>['wire length', 'respective geometries', 'performance properties', 'performance independent']</t>
  </si>
  <si>
    <t>Fractal antennas | Fractals | Monopole antennas | Small antennas</t>
  </si>
  <si>
    <t>In this paper, the performance properties of the Hilbert curve fractal monopole are compared with those of simple meander line monopoles. It is demonstrated that small meander line monopoles of the same size and wire length as the Hilbert fractal exhibit similar behavior and performance independent of the difference in their respective geometries.</t>
  </si>
  <si>
    <t>Best S.R.</t>
  </si>
  <si>
    <t>A comparison of the performance properties of the Hilbert curve fractal and meander line monopole antennas</t>
  </si>
  <si>
    <t>10.1002/mop.10576</t>
  </si>
  <si>
    <t>2-s2.0-0037145977</t>
  </si>
  <si>
    <t>['radiation performance', 'novel technique', 'improved bandwidth', 'dielectric resonator', 'bandwidth enhancement']</t>
  </si>
  <si>
    <t>Bandwidth enhancement | Dielectric resonator | DR-loaded antenna | Microstrip antenna</t>
  </si>
  <si>
    <t>A novel technique for the bandwidth enhancement of conventional rectangular microstrip antenna is proposed in this paper. When a high permittivity dielectric resonator of suitable resonant frequency was loaded over the patch, the % bandwidth of the antenna was increased by more than five times without much affecting its gain and radiation performance. A much more improved bandwidth was obtained when the dielectric resonator was placed on the feedline. Experimental study shows a 2:1 VSWR bandwidth of more than 10% and excellent cross polarization performance with increased pass band and radiation coverage almost the same as that of rectangular microstrip antenna.</t>
  </si>
  <si>
    <t>327-330</t>
  </si>
  <si>
    <t>60075894;60031544;60075894;60031544</t>
  </si>
  <si>
    <t>6602649786;57211466680;35553813500;57218539158</t>
  </si>
  <si>
    <t>Bijumon, P. V.;Menon, Sreedevi K.;Sebastian, M. T.;Mohanan, P.</t>
  </si>
  <si>
    <t>Thiruvananthapuram;Kochi</t>
  </si>
  <si>
    <t>National Institute for Interdisciplinary Science and Technology;Cochin University of Science and Technology</t>
  </si>
  <si>
    <t>60075894;60031544</t>
  </si>
  <si>
    <t>Bijumon P.V.</t>
  </si>
  <si>
    <t>Enhanced bandwidth microstrip patch antennas loaded with high permittivity dielectric resonators</t>
  </si>
  <si>
    <t>10.1002/mop.10597</t>
  </si>
  <si>
    <t>2-s2.0-0037145982</t>
  </si>
  <si>
    <t>['theory behind', 'polarisation level', 'low cross', 'circular cross', 'aperture efficiency']</t>
  </si>
  <si>
    <t>A multi-step horn antenna with rectangular or circular cross-section is presented. The horn has about 90% aperture efficiency and low cross-polarisation level. The theory behind such high aperture efficiency is explained and the radiation and return loss characteristics are shown.</t>
  </si>
  <si>
    <t>1495-1496</t>
  </si>
  <si>
    <t>60030821;60030821</t>
  </si>
  <si>
    <t>7402673635;6602247469</t>
  </si>
  <si>
    <t>Bhattacharyya, A.;Goyette, G.</t>
  </si>
  <si>
    <t>Bhattacharyya A.</t>
  </si>
  <si>
    <t>Step-horn antenna with high aperture efficiency and low cross-polarisation</t>
  </si>
  <si>
    <t>10.1049/el:20021081</t>
  </si>
  <si>
    <t>2-s2.0-0037153501</t>
  </si>
  <si>
    <t>['employs cross', 'cell element', 'axial ratio']</t>
  </si>
  <si>
    <t>A circularly polarised millimetre-wave reflectarray antenna based on cross-slots of varying length couple through a patch as the cell element is introduced. Far-field radiation pattern, gain and axial ratio are presented and compared with a reflectarray that employs cross-dipoles as its cell element.</t>
  </si>
  <si>
    <t>1492-1493</t>
  </si>
  <si>
    <t>60018714;60018714;60018714;60009697</t>
  </si>
  <si>
    <t>Circularly polarised reflectarray with cross-slot of varying arms on ground plane</t>
  </si>
  <si>
    <t>10.1049/el:20021051</t>
  </si>
  <si>
    <t>2-s2.0-0037153509</t>
  </si>
  <si>
    <t>['linear array', 'estimated direction', 'arrival results', 'algorithms produce']</t>
  </si>
  <si>
    <t>The MUltiple SIgnal Classification (MUSIC) and Estimation of Signal Parameters via Rotational Invariance Techniques (ESPRIT) algorithms produce an ambiguity in the estimated direction-of-arrival results, when the antenna element spacing on a linear array is more than half a wavelength. The reason for this is investigated.</t>
  </si>
  <si>
    <t>1598-1600</t>
  </si>
  <si>
    <t>60020650;60020650;60020650;60020650</t>
  </si>
  <si>
    <t>7402817974;35888949400;7102568206;7007161122</t>
  </si>
  <si>
    <t>Tan, C. M.;Foo, S. E.;Beach, M. A.;Nix, A. R.</t>
  </si>
  <si>
    <t>Tan C.</t>
  </si>
  <si>
    <t>Ambiguity in MUSIC and ESPRIT for direction of arrival estimation</t>
  </si>
  <si>
    <t>10.1049/el:20021036</t>
  </si>
  <si>
    <t>2-s2.0-0037153515</t>
  </si>
  <si>
    <t>['third patch', 'simulated results', 'middle patch', 'measured results', 'first patch']</t>
  </si>
  <si>
    <t>A triple-stacked microstrip patch antenna is presented for a multiband system comprising cellular phone, global positioning system and personal communication services. It consists of three microstrip patches, and there is a slot on the middle patch to couple the first patch to the third patch. The measured results are in agreement with the simulated results at the frequencies of interest.</t>
  </si>
  <si>
    <t>1496-1497</t>
  </si>
  <si>
    <t>60001558;60032330;60032330;60032330</t>
  </si>
  <si>
    <t>7202276472;56329976900;55716483100;36024195200</t>
  </si>
  <si>
    <t>Ryu, Han Cheol;Ahn, Hee Ran;Lee, Sang Hwa;Park, Wee Sang</t>
  </si>
  <si>
    <t>Ryu H.</t>
  </si>
  <si>
    <t>Triple-stacked microstrip patch antenna for multiband system</t>
  </si>
  <si>
    <t>10.1049/el:20021089</t>
  </si>
  <si>
    <t>2-s2.0-0037153522</t>
  </si>
  <si>
    <t>['transmit signal', 'transmit antennas', 'proposed algorithm', 'phase adjustment', 'partial diversity', 'full diversity', 'correlated fading', 'considerable gain', 'antenna transmission']</t>
  </si>
  <si>
    <t>An algorithm for generalised closed loop transmit diversity is proposed. Full diversity or partial diversity is used and phase adjustment is applied between selected antennas controlled by SINR maximisation criterion. It is shown that the proposed algorithm offers a considerable gain in transmit signal-to-noise ratio per bit compared to all-antenna transmission and one-antenna selection transmit diversity for both uncorrelated and correlated fading between transmit antennas. Furthermore, the proposed algorithm is more robust to the channel estimation errors.</t>
  </si>
  <si>
    <t>1588-1589</t>
  </si>
  <si>
    <t>60001738;60001738;105993008</t>
  </si>
  <si>
    <t>6603671810;7004091452;7004156498</t>
  </si>
  <si>
    <t>Novakovic, D. M.;Juntti, M. J.;Dukic, M. L.</t>
  </si>
  <si>
    <t>Finland;Serbia</t>
  </si>
  <si>
    <t>Oulu;Belgrade</t>
  </si>
  <si>
    <t>Centre for Wireless Communications;Faculty of Electrical Engineering</t>
  </si>
  <si>
    <t>60001738;105993008</t>
  </si>
  <si>
    <t>Novakovic D.</t>
  </si>
  <si>
    <t>Generalised full/partial closed loop transmit diversity</t>
  </si>
  <si>
    <t>10.1049/el:20021070</t>
  </si>
  <si>
    <t>2-s2.0-0037153532</t>
  </si>
  <si>
    <t>['turbo tcm', 'ttcm schemes', 'quadrature phase', 'interleaved tcm', 'gaussian channels', 'diversity order', 'conventional symbol']</t>
  </si>
  <si>
    <t>Space-time block coded inphase-quadrature phase (IQ)-interleaved trellis coded modulation (TCM) and turbo TCM (TTCM) schemes are proposed, which are capable of quadrupling the diversity order of conventional symbol-interleaved TCM and TTCM schemes. The increased diversity order of the proposed schemes provides significant coding gains, when communicating over non-dispersive Rayleigh fading channels without compromising the coding gain achievable over Gaussian channels.</t>
  </si>
  <si>
    <t>1553-1555</t>
  </si>
  <si>
    <t>60025225;60025225</t>
  </si>
  <si>
    <t>57203646792;36043733600</t>
  </si>
  <si>
    <t>Ng, S. X.;Hanzo, L.</t>
  </si>
  <si>
    <t>Southampton</t>
  </si>
  <si>
    <t>University of Southampton</t>
  </si>
  <si>
    <t>Ng S.</t>
  </si>
  <si>
    <t>Space-time IQ-interleaved TCM and TTCM for AWGN and Rayleigh fading channels</t>
  </si>
  <si>
    <t>10.1049/el:20021069</t>
  </si>
  <si>
    <t>2-s2.0-0037153541</t>
  </si>
  <si>
    <t>['welch bound', 'special cases', 'sequence set', 'sequence length', 'sarwate bound', 'maximum cross', 'fan bound', 'family size', 'correlation value', 'binary zero']</t>
  </si>
  <si>
    <t>A general periodic correlation bound named generalised Sarwate bound for binary zero or low correlation zone (ZCZ/LCZ) sequence set with respect to family size, sequence length, maximum autocorrelation sidelobe, maximum cross-correlation value and the zero or low correlation zone, are derived. It is shown that all the previous periodic sequence bounds, such as Sarwate bound, Welch bound and Tang-Fan bound, are only special cases of the generalised Sarwate bound.</t>
  </si>
  <si>
    <t>1521-1523</t>
  </si>
  <si>
    <t>60010421;60010421</t>
  </si>
  <si>
    <t>7202530543;55423269000</t>
  </si>
  <si>
    <t>Peng, D. Y.;Fan, P. Z.</t>
  </si>
  <si>
    <t>Southwest Jiaotong University</t>
  </si>
  <si>
    <t>Peng D.</t>
  </si>
  <si>
    <t>Generalised sarwate bounds on periodic autocorrelations and cross-correlations of binary sequences</t>
  </si>
  <si>
    <t>10.1049/el:20021064</t>
  </si>
  <si>
    <t>2-s2.0-0037153550</t>
  </si>
  <si>
    <t>['time domain', 'properly designing', 'multiple antennas', 'ieee 802', 'etsi hiperlan', 'domain analysis', 'channel estimation', 'based multiple', '11a standards']</t>
  </si>
  <si>
    <t>A time-domain analysis of imperfect channel estimation in OFDM-based multiple-antenna transmission systems is studied. The channel estimator encountered with imperfect windowing results in an additional estimation error. By properly designing each preamble for multiple antennas to be orthogonal in the time domain, however, the channel estimation can be applied to the ETSI HIPERLAN/2 and IEEE 802.11a standards in the case of more than two transmit antennas.</t>
  </si>
  <si>
    <t>1589-1591</t>
  </si>
  <si>
    <t>60027884;;;</t>
  </si>
  <si>
    <t>7202175625;7403030215;7006328532;7403936844</t>
  </si>
  <si>
    <t>You, Young Hwan;Jung, Hyeok Koo;Jeon, Won Gi;Cho, Hyung Rae</t>
  </si>
  <si>
    <t>Sejong University</t>
  </si>
  <si>
    <t>You Y.</t>
  </si>
  <si>
    <t>Impact of imperfect channel estimation in OFDM-based spatial multiplexing systems</t>
  </si>
  <si>
    <t>10.1049/el:20021063</t>
  </si>
  <si>
    <t>2-s2.0-0037153557</t>
  </si>
  <si>
    <t>['polarisation levels', 'dielectric substrate', 'conventional dra', 'array applications']</t>
  </si>
  <si>
    <t>A dielectric resonator antenna (DRA) is formed by perforating a dielectric substrate with a lattice of holes. The performance of several perforated DRA prototypes is compared to a conventional DRA and the results demonstrate better gain and cross-polarisation levels. This technique of fabricating DRAs using perforations is intended for array applications, eliminating the need to position and bond individual elements.</t>
  </si>
  <si>
    <t>1493-1495</t>
  </si>
  <si>
    <t>60018714;60018714;60018714</t>
  </si>
  <si>
    <t>7003819332;57027512900;6507777330</t>
  </si>
  <si>
    <t>Petosa, A.;Ittipiboon, A.;Thirakoune, S.</t>
  </si>
  <si>
    <t>Communications Research Centre</t>
  </si>
  <si>
    <t>Petosa A.</t>
  </si>
  <si>
    <t>Perforated dielectric resonator antennas</t>
  </si>
  <si>
    <t>10.1049/el:20021074</t>
  </si>
  <si>
    <t>2-s2.0-0037153563</t>
  </si>
  <si>
    <t>['several samples', 'direct observation']</t>
  </si>
  <si>
    <t>Mechanical thermal and excess noise</t>
  </si>
  <si>
    <t>The results of measurements of the effective noise temperature in fused silica fiber violin modes are presented. In these measurements the fibers were stressed and value of the effective noise temperature was obtained by direct observation of oscillations in the fundamental violin modes of several samples. Measured values indicate that effective noise temperature does not exceed the room temperature significantly. This result is important for the design of the advanced gravitational wave antennae. ¬© 2002 Published by Elsevier Science B.V.</t>
  </si>
  <si>
    <t>31-36</t>
  </si>
  <si>
    <t>6701766585;6603531307</t>
  </si>
  <si>
    <t>Bilenko, Igor A.;Lourie, S. L.</t>
  </si>
  <si>
    <t>Bilenko I.A.</t>
  </si>
  <si>
    <t>Measurements of effective noise temperature in fused silica fiber violin modes</t>
  </si>
  <si>
    <t>S0375960102014172</t>
  </si>
  <si>
    <t>10.1016/S0375-9601(02)01417-2</t>
  </si>
  <si>
    <t>2-s2.0-18244432266</t>
  </si>
  <si>
    <t>['œºmol min', 'type gdh', 'totally abrogated', 'structural basis', 'reaction mixture', 'r443s mutant', 'mutant enzyme', 'mm adp', 'intersubunit communication', 'human gdh', 'glud2 isoenzyme', 'glud1 gdh', 'functional differences', 'four residues', 'differ markedly', 'basal activity', 'allosteric regulation', 'allosteric function', '6 œºm', '443 lies', '10 mm', '1 mm', '1 mg', '1 ).', '000 %.', '0 mm']</t>
  </si>
  <si>
    <t>Human glutamate dehydrogenase (GDH) exists in GLUD1 (housekeeping) and in GLUD2-specified (brain-specific) isoforms, which differ markedly in their basal activity and allosteric regulation. To determine the structural basis of these functional differences, we mutagenized the GLUD1 GDH at four residues that differ from those of the GLUD2 isoenzyme. Functional analyses revealed that substitution of Ser for Arg-443 (but not substitution of Thr for Ser-331, Leu for Met-370, or Leu for Met-415) virtually abolished basal activity and totally abrogated the activation of the enzyme by L-leucine (1-10 mM) in the absence of other effectors. However, when ADP (0.025-0.1 mM) was present in the reaction mixture, L-leucine (0.3-6.0 mM) activated the mutant enzyme up to &gt;2,000%. The R443S mutant was much less sensitive to ADP (SC50 = 383.9 ¬± 14.6 ŒºM) than the GLUD1 GDH (SC50 = 31.7 ¬± 4.2ŒºM; p &lt; 0.001); however, at I mM ADP the Vmax for the mutant (136.67 Œºmol min-1 mg-1) was comparable with that of the GLUD1 GDH (152.95/Œºmol min-1 mg-1). Varying the composition and the pH of the reaction buffer differentially affected the mutant and the wild-type GDH. Arg-443 lies in the "antenna" structure, in a helix that undergoes major conformational changes during catalysis and is involved in intersubunit communication. Its replacement by Ser is sufficient to impair both the catalytic and the allosteric function of human GDH.</t>
  </si>
  <si>
    <t>46552-46558</t>
  </si>
  <si>
    <t>60012413;60012413;60012413;60012413</t>
  </si>
  <si>
    <t>6506306253;7801371332;7003931274;7006081491</t>
  </si>
  <si>
    <t>Zaganas, Ioannis;Spanaki, Cleanthe;Karpusas, Michael;Plaitakis, Andreas</t>
  </si>
  <si>
    <t>Heraklion</t>
  </si>
  <si>
    <t>University of Crete Medical School</t>
  </si>
  <si>
    <t>Zaganas I.</t>
  </si>
  <si>
    <t>Substitution of Ser for ARG-443 in the regulatory domain of human housekeeping (GLUD1) glutamate dehydrogenase virtually abolishes basal activity and markedly alters the activation of the enzyme by ADP and L-Leucine</t>
  </si>
  <si>
    <t>10.1074/jbc.M208596200</t>
  </si>
  <si>
    <t>2-s2.0-0037195942</t>
  </si>
  <si>
    <t>['valuable insights', 'user positions', 'user distance', 'thermal noise', 'spectral efficiency', 'spectral efficiencies', 'small compared', 'single transmitter', 'simple formula', 'simple analysis', 'shadow fadings', 'resulting formulas', 'receiver processing', 'propagation exponent', 'probability distribution', 'potential benefits', 'noise ratio', 'multipath fading', 'much higher', 'mean value', 'mean signal', 'link using', 'limited environment', 'latter results', 'key contribution', 'isolated cell', 'hz ),', 'highly vulnerable', 'general framework', 'form analysis', 'cell interference', 'cell boundary', 'analysis method', 'adaptive techniques', 'adaptive modulation', '8 bps', '77 bps', '4 bps', '2 bps']</t>
  </si>
  <si>
    <t>Adaptive modulation | Antenna arrays | Fading channels | Land mobile radio cellular systems | Multiple-input multiple-output</t>
  </si>
  <si>
    <t>We present a general framework to quantify the data throughput capabilities of a wireless communication system when it combines: 1) multiple transmit signals; 2) adaptive modulation for each signal; and 3) adaptive array processing at the receiver. We assume a noise-limited environment, corresponding to either an isolated cell or a multicell system whose out-of-cell interference is small compared with the thermal noise. We focus on the user data throughput, in bits per second/Hertz (bps/Hz), and its average over multipath fading, which we call the user spectral efficiency. First, an analysis method is developed to find the probability distribution and mean value of the spectral efficiency over the user positions and shadow fadings, both as a function of user distance from its serving base station and averaged over the cell coverage area. We assume fading conditions and receiver processing that lend themselves to closed-form analysis. The resulting formulas are simple and straightforward to compute, and they provide a number of valuable insights. Next, we run Monte Carlo simulations, both to confirm the analysis and to treat cases less amenable to simple analysis. A key contribution of this paper is a simple formula for the mean spectral efficiency in terms of the propagation exponent, mean signal-to-noise ratio at the cell boundary, number of antennas, and type of coding. Under typical propagation conditions, the mean spectral efficiency using three transmit and three receive antennas ranges from 19.2 bps/Hz (uncoded) to 26.8 bps/Hz (ideally coded), highlighting the potential benefits of multiple transmissions combined with adaptive techniques. This is much higher than the spectral efficiencies for a link using a single transmitter and a threefold receive diversity under the same conditions, where the range is from 8.77 bps/Hz to 11.4 bps/Hz. Moreover, the latter results are not nearly as practical to achieve, as they call for large signal constellations that would be highly vulnerable to impairments. ¬© 2002 IEEE.</t>
  </si>
  <si>
    <t>226-234</t>
  </si>
  <si>
    <t>IEEE Transactions on Wireless Communications</t>
  </si>
  <si>
    <t>100377464;60003122;60000251-60012230</t>
  </si>
  <si>
    <t>6602328165;7006761168;7004878411</t>
  </si>
  <si>
    <t>Catreux, Severine;Driessen, Peter F.;Greenstein, Larry J.</t>
  </si>
  <si>
    <t>Middletown;Victoria;New York;San Jose</t>
  </si>
  <si>
    <t>AT&amp;T Laboratories Middletown;University of Victoria;IEEE;Iospan Wireless Inc.</t>
  </si>
  <si>
    <t>60012230;60003122;60000251;100377464</t>
  </si>
  <si>
    <t>Data throughputs using Multiple-Input Multiple-Output (MIMO) techniques in a noise-limited cellular environment</t>
  </si>
  <si>
    <t>S1536127602020937</t>
  </si>
  <si>
    <t>10.1109/7693.994816</t>
  </si>
  <si>
    <t>2-s2.0-0011910232</t>
  </si>
  <si>
    <t>['tracking platform', 'switching scheme', 'receiving electronics', 'range 400', 'providing improved', 'powerful discriminant', 'power spectrum', 'performance details', 'orthogonal polarization', 'optical axis', 'northern chile', 'interferometer array', 'frequency pick', 'diameter antennas', 'cbi ),', 'axis mount', 'atacama desert', '13 0']</t>
  </si>
  <si>
    <t>Design and performance details are given for the Cosmic Background Imager (CBI), an interferometer array that is measuring the power spectrum of fluctuations in the cosmic microwave background radiation (CMBR) for multipoles in the range 400 &lt; l &lt; 3500. The CBI is located at an altitude of 5000 m in the Atacama Desert in northern Chile. It is a planar synthesis array with 13 0.9 m diameter antennas on a 6 m diameter tracking platform. Each antenna has a cooled, low-noise receiver operating in the 26-36 GHz band. Signals are cross-correlated in an analog filterbank correlator with 10 1 GHz bands. This allows spectral index measurements that can be used to distinguish CMBR signals from diffuse galactic foregrounds. A 1.2 kHz 180¬∞ phase-switching scheme is used to reject cross talk and low-frequency pick-up in the signal processing system. The CBI has a three-axis mount that allows the tracking platform to be rotated about the optical axis, providing improved (u, v) coverage and a powerful discriminant against false signals generated in the receiving electronics. Rotating the tracking platform also permits polarization measurements when some of the antennas are configured for the orthogonal polarization.</t>
  </si>
  <si>
    <t>83-97</t>
  </si>
  <si>
    <t>Publications of the Astronomical Society of the Pacific</t>
  </si>
  <si>
    <t>60031581;60031581;60031581;60031581;60031581;60031581;60031581;60031581;60031581;60031581;60031581;60025038;60029278;60011779;60021907;60013961</t>
  </si>
  <si>
    <t>7003450896;7202064136;7102286445;7007152642;57213213799;57224556968;7005439113;6603049194;7005491386;6602372514;7006278008;7101797383;35276941600;35310530500;7402640604;26644242300</t>
  </si>
  <si>
    <t>Padin, S.;Shepherd, M. C.;Cartwright, J. K.;Keeney, R. G.;Mason, B. S.;Pearson, T. J.;Readhead, A. C.S.;Schaal, W. A.;Sievers, J.;Udomprasert, P. S.;Yamasaki, J. K.;Holzapfel, W. L.;Carlstrom, J. E.;Joy, M.;Myers, S. T.;Otarola, A.</t>
  </si>
  <si>
    <t>United States;United States;United States;United States;Chile;United States</t>
  </si>
  <si>
    <t>Pasadena;Chicago;Berkeley;Socorro;Santiago;Huntsville</t>
  </si>
  <si>
    <t>California Institute of Technology;The University of Chicago;University of California, Berkeley;National Radio Astronomy Observatory Socorro;European Southern Observatory Santiago;NASA Marshall Space Flight Center</t>
  </si>
  <si>
    <t>60031581;60029278;60025038;60021907;60013961;60011779</t>
  </si>
  <si>
    <t>Padin S.</t>
  </si>
  <si>
    <t>The cosmic background imager</t>
  </si>
  <si>
    <t>10.1086/324786</t>
  </si>
  <si>
    <t>2-s2.0-0036106222</t>
  </si>
  <si>
    <t>['uniform meshing', 'understood examples', 'tetrahedral elements', 'related method', 'present formulation', 'method proved', 'inherent limitations', 'curved surface', 'circular cylinder', 'boundary integral', 'analyzing cylindrical']</t>
  </si>
  <si>
    <t>Conformal antennas | Hybrid finite element methods | Microstrip patch antennas</t>
  </si>
  <si>
    <t>A technique for characterizing and designing complex conformal antennas flush-mounted on a singly-curved surface is presented. This approach is based on the hybrid finite element-boundary integral (FE-BI) method. A related method was proposed in the past utilizing cylindrical-shell finite element and roof-top rectangular basis functions for the boundary integral. Although that method proved very powerful for analyzing cylindrical-rectangular patch arrays flush-mounted to a circular cylinder, the requirement for uniform meshing in the aperture ultimately limited its usefulness. In this present formulation, tetrahedral elements are used to expand the volumetric electric fields while similar basis functions are used for the boundary integral. The curvature of the aperture is explicitly included via the use of the circular cylinder dyadic Green's function. After presentation of the formulation and validation using several well-understood examples, example is presented that illustrates the capabilities of this method for modeling complex conformal antennas heretofore not examined by rigorous methods due to inherent limitations of the various published methods.</t>
  </si>
  <si>
    <t>191-209</t>
  </si>
  <si>
    <t>Advances in Computational Mathematics</t>
  </si>
  <si>
    <t>60031707;60031707;60025576</t>
  </si>
  <si>
    <t>Michigan State University;Wright-Patterson AFB</t>
  </si>
  <si>
    <t>60031707;60025576</t>
  </si>
  <si>
    <t>Macon C.A.</t>
  </si>
  <si>
    <t>Radiation and scattering by complex conformal antennas on a circular cylinder</t>
  </si>
  <si>
    <t>10.1023/A:1014425527687</t>
  </si>
  <si>
    <t>2-s2.0-0036108374</t>
  </si>
  <si>
    <t>['using maxwell', 'time stretches', 'time found', 'problem including', 'paper gives', 'paper augments', 'christoffel symbols', 'appendix gives']</t>
  </si>
  <si>
    <t>Cosmology | General relativity | Gravity waves | Metric | Stretching</t>
  </si>
  <si>
    <t>This paper gives a new physically informative method of a solution of the interferometric gravity wave detection problem; it thus is relevant to LIGO and LISA. Using Maxwell's equations in a general relativistic setting with a "generalized" metric, it gives the solution in closed from under conditions that obtain in most physically interesting situations. This paper augments and makes more precise the discussion of the principles of the stretching of space-time found in a companion preprint ("when Space-time Stretches, What Stretches and What Doesn't?"). An appendix gives a more direct algebraic solution to the problem including the Christoffel symbols for the gravity wave metric.</t>
  </si>
  <si>
    <t>403-413</t>
  </si>
  <si>
    <t>General Relativity and Gravitation</t>
  </si>
  <si>
    <t>Rizzi, Anthony</t>
  </si>
  <si>
    <t>Rizzi A.</t>
  </si>
  <si>
    <t>The effect of spacetime stretching on interferometeric gravity wave antennas</t>
  </si>
  <si>
    <t>10.1023/A:1015332620300</t>
  </si>
  <si>
    <t>2-s2.0-0036256582</t>
  </si>
  <si>
    <t>['system incorporates', 'signal received', 'sea level', 'radio seeing', 'previous designs', 'mexico ),', 'lock receiver', 'heterodyne phase', 'geostationary satellite', 'frequency may', 'final destination', 'element interferometer', 'best features', '715 ghz']</t>
  </si>
  <si>
    <t>A two-element interferometer for monitoring atmospheric phase fluctuations (radio seeing) is presented; this uses the unmodulated beacon signal at 11.715 GHz from a geostationary satellite. The system measures phase differences on the signal received by two small antennas separated by 50 m. The system incorporates the best features from previous designs: a heterodyne phase-lock receiver and an IQ demodulator system. Phase fluctuations measured at this frequency may be extrapolated to millimetric and submillimetric wavelengths since the atmosphere is not dispersive at these frequencies. The instrument has been tested at the Observatory San Pedro Martir (Mexico) at 2800 m above sea level. The final destination of the instrument is Cerro la Negra (Mexico), where the Large Millimeter Telescope is under construction, at an altitude of 4600 m.</t>
  </si>
  <si>
    <t>1150-1155</t>
  </si>
  <si>
    <t>60032442;60032442;60032563;60032563</t>
  </si>
  <si>
    <t>6602816178;57193349997;10144425400;57212805016</t>
  </si>
  <si>
    <t>Hiriart, David;Valdez, Jorge;Zaca, Placido;Medina, Jos√© L.</t>
  </si>
  <si>
    <t>Mexico;Mexico</t>
  </si>
  <si>
    <t>Ensenada;Ciudad de M√©xico</t>
  </si>
  <si>
    <t>Centro de Investigacion Cientifica y de Educacion Superior de Ensenada;Universidad Nacional Aut√≥noma de M√©xico</t>
  </si>
  <si>
    <t>60032563;60032442</t>
  </si>
  <si>
    <t>Hiriart D.</t>
  </si>
  <si>
    <t>Radio seeing monitor interferometer</t>
  </si>
  <si>
    <t>10.1086/342481</t>
  </si>
  <si>
    <t>2-s2.0-0036403548</t>
  </si>
  <si>
    <t>1999-2-304-004-3</t>
  </si>
  <si>
    <t>['wireless local', 'wide bandwidth', 'useful guide', 'two types', 'structural rigidity', 'simulation results', 'point bending', 'low losses', 'good agreement', 'flexural behavior', 'electrical performances', 'electrical measurements', 'conformal load', 'buckling tests', 'area network', 'aperture radar', 'antenna structures', 'antenna structure', 'antenna designers']</t>
  </si>
  <si>
    <t>Composite laminate | Microstrip antenna | Nomex honeycomb</t>
  </si>
  <si>
    <t>Two types of conformal load-bearing antenna structures (CLAS) were designed with microwave composite laminates and Nomex honeycomb cores to secure both the structural rigidity and a good electrical performance. One was a 4√ó8 array for the synthetic-aperture radar (SAR) system and the other was a 5√ó2 array for the wireless local-area network (LAN) system. The design was based on a wide bandwidth, high polarization purity, low losses, and high structural rigidity. The design, fabrication, and structural/electrical performances of the antenna structures were studied. Their flexural behavior was examined by three-point bending, impact, and buckling tests. The electrical measurements were in a good agreement with simulation results. The complex, antenna structures obtained have good flexural characteristics. The design of this antenna structure is extended to give a useful guide for sandwich panel manufacturers as well as antenna designers.</t>
  </si>
  <si>
    <t>447-460</t>
  </si>
  <si>
    <t>Mechanics of Composite Materials</t>
  </si>
  <si>
    <t>60032330;60032330;60032330;60032330;60032330;60032330</t>
  </si>
  <si>
    <t>55063196800;7102288698;57199972764;55996878100;56036161800;36024195200</t>
  </si>
  <si>
    <t>Jeon, J. H.;You, C. S.;Kim, C. K.;Hwang, W.;Park, H. C.;Park, W. S.</t>
  </si>
  <si>
    <t>Jeon J.H.</t>
  </si>
  <si>
    <t>Design of microstrip antennas with composite laminates considering their structural rigidity</t>
  </si>
  <si>
    <t>10.1023/A:1020990311302</t>
  </si>
  <si>
    <t>2-s2.0-0036417049</t>
  </si>
  <si>
    <t>['without recurrence', 'urine leakage', 'underwent non', 'successfully completed', 'sparing surgeries', 'small rcc', 'severe impairment', 'serum creatinine', 'renal tumor', 'renal function', 'renal detachment', 'radioisotope examination', 'postoperative bleeding', 'ordinary nephron', 'nine patients', 'mtc ).', 'minor bleeding', 'minimal peri', 'methodological usefulness', 'mean follow', 'major bleeding', 'intended cases', 'imperative indication', 'fibrin glue', 'excised along', 'enucleation bed', 'elective indication', 'demarcation line', 'creatinine clearance', 'controlled easily', 'coagulated zone', 'cases presented', 'case evaluated', 'cancer research', 'absorbable sutures', '61 kidneys', '60 w', '59 patients', '5 months', '15 kidneys', '13 patients', '10 mm']</t>
  </si>
  <si>
    <t>Complete enucleation | Microwave tissue coagulator | Non-ischemic procedure | Renal cell carcinoma</t>
  </si>
  <si>
    <t>Objective: To determine the methodological usefulness of non-ischemic complete enucleation for small renal cell carcinomas (RCC) using a microwave tissue coagulator (MTC). Methods: Fifty-nine patients (61 kidneys) underwent non-ischemic complete tumor enucleation by MTC. Of the 59 patients, 46 had an elective indication and 15 kidneys of 13 patients had an imperative indication. RCC was exposed with minimal peri-renal detachment. The demarcation line, 7-10 mm from the tumor, was coagulated at 8-10 mm intervals with a microwave antenna needle for 30-40 s at 50-60 W. The renal tumor was excised along the coagulated zone with normal surrounding tissue. The enucleation bed was covered with fibrin glue or fat tissue without approximation. Results: The operations were successfully completed in all intended cases. The mean operation time was 160 ¬± 43 (median: 160) min and the mean blood loss was 313 ¬± 370 (median: 158) ml. No major bleeding or urine leakage from the enucleation bed was observed in 62.2 and 88.5% of cases, respectively. The minor bleeding and urine leakage were controlled easily with absorbable sutures. None of the cases presented with postoperative bleeding or urine leakage from the enucleation bed. Severe impairment of the renal function was not observed in any case evaluated by means of serum creatinine, creatinine clearance and radioisotope examination. The 5-year overall survival rate was 87% without recurrence up to 23.1 ¬± 19.5 months of the mean follow-up. Conclusion: Non-ischemic complete tumor enucleation using MTC constitutes a simple, reliable and less invasive alternative to ordinary nephron-sparing surgeries for small RCC. ¬© 2002 Foundation for Promotion of Cancer Research.</t>
  </si>
  <si>
    <t>95-102</t>
  </si>
  <si>
    <t>Japanese Journal of Clinical Oncology</t>
  </si>
  <si>
    <t>60013473;60013473;60013473;60013473;60013473;60013473;60013473;60013473;60013473;60013473;60013473</t>
  </si>
  <si>
    <t>24530685100;56693660800;57213244455;36985398000;35310490400;7102985491;7004194851;35358335000;26427276600;16148215300;55359229600</t>
  </si>
  <si>
    <t>Hirao, Yoshihiko;Fujimoto, Kiyohide;Yoshii, Masahito;Tanaka, Nobumichi;Hayashi, Yoshiki;Momose, Hitoshi;Samma, Shoji;Okajima, Eijiro;Uemura, Hirotsugu;Yoshida, Katsunori;Ozono, Seiichiro</t>
  </si>
  <si>
    <t>Kashihara</t>
  </si>
  <si>
    <t>Nara Medical University</t>
  </si>
  <si>
    <t>Hirao Y.</t>
  </si>
  <si>
    <t>Non-ischemic nephron-sparing surgery for small renal cell carcinoma: Complete tumor enucleation using a microwave tissue coagulator</t>
  </si>
  <si>
    <t>10.1093/jjco/hyf023</t>
  </si>
  <si>
    <t>2-s2.0-0036518504</t>
  </si>
  <si>
    <t>['variable uncertainties', 'using frequencies', 'theoretical characterization', 'sounding mode', 'sensor characteristics', 'retrieval process', 'refraction must', 'part series', 'overall aim', 'linear situations', 'instrumental properties', 'implementation aspects', 'general issues', 'forward model', 'efficient algorithm', 'current paper', 'comprehensive formalism', 'common basis', 'band filter', 'atmospheric constituents', 'article series', 'analytical expression', 'also essential', 'also described', 'addresses primarily', '580 ghz', '15 km']</t>
  </si>
  <si>
    <t>The Odin satellite mission will include radiometric measurements of the Earth's atmosphere in a limb-sounding mode, using frequencies between 480 and 580 GHz, with the overall aim of retrieving vertical distributions of atmospheric constituents. The current paper, being one of a three-part series, addresses primarily the modelling of atmospheric radiative transfer and the effect of instrumental properties: the forward model. Such a model is required for the retrieval process and this presentation puts emphasis on refraction, sensor characteristics, systematic model errors, and some implementation aspects. Refraction must be considered below about 15 km and an efficient algorithm to include this effect is presented. Sensor parts treated are the antenna, the side-band filter, and the spectrometer. The forward model is also essential for determining the needed weighting functions. A semi-analytical expression for species-abundance weighting functions is derived. To form a common basis for the article series, a comprehensive formalism is reviewed and general issues, such as the separation between fixed and variable uncertainties, discussed. As a complement to the theoretical characterization, limited to linear situations, the possibility of using repeated simulations is also described.</t>
  </si>
  <si>
    <t>321-340</t>
  </si>
  <si>
    <t>60000990;60028378;60028378;100370345;100370345;100370345</t>
  </si>
  <si>
    <t>24460392200;7006550835;57199847019;7102981983;6603888503;6602126550</t>
  </si>
  <si>
    <t>Eriksson, P.;Merino, F.;Murtagh, D.;Baron, P.;Ricaud, P.;De la No√´, J.</t>
  </si>
  <si>
    <t>Sweden;Sweden;France</t>
  </si>
  <si>
    <t>Stockholm;Gothenburg;Floirac</t>
  </si>
  <si>
    <t>Stockholms universitet;Chalmers University of Technology;Observatoire de l'Universite de</t>
  </si>
  <si>
    <t>60028378;60000990;100370345</t>
  </si>
  <si>
    <t>Eriksson P.</t>
  </si>
  <si>
    <t>Studies for the Odin sub-millimetre radiometer: I. Radiative transfer and instrument simulation</t>
  </si>
  <si>
    <t>10.1139/P02-024</t>
  </si>
  <si>
    <t>2-s2.0-0036882205</t>
  </si>
  <si>
    <t>['two ways', 'two gold', 'thermal isolation', 'silicon wafer', 'rights reserved', 'radiating edges', 'narrow niobium', 'microstrip antennas', 'infrared microbolometers', 'incorporating air', 'directly connecting', 'detector response', 'dc leads', 'coupled microbolometer', 'contact pads', 'antenna substrate', 'also discussed']</t>
  </si>
  <si>
    <t>Infrared antenna | IR detector | Microbolometer | Microstrip dipole</t>
  </si>
  <si>
    <t>We report on various integration schemes of infrared microbolometers with microstrip antennas. The first integration design consists of two gold (Au) rectangular microstrip patches coupled along the radiating edges by a narrow niobium (Nb) strip. Devices using silicon oxide are compared to devices using amorphous silicon as antenna substrate. An extension of the twin-patch detector design is the microstrip dipole antenna-coupled microbolometer. Two ways of connecting the device to the contact pads via narrow dc leads are presented and compared. The contribution of the dc leads to the detector response is eliminated by directly connecting the dipole to the contact pads. The thermal isolation of the microbolometer from the silicon wafer is improved by incorporating air into the antenna dielectric substrate. This leads to higher detector responsivity and shifts the resonance towards longer antennas. The implementation of a bridge microstrip dipole antenna structure is also discussed. ¬© 2002 Elsevier Science B.V. All rights reserved.</t>
  </si>
  <si>
    <t>335-344</t>
  </si>
  <si>
    <t>Infrared Physics and Technology</t>
  </si>
  <si>
    <t>Integration of microbolometers with infrared microstrip antennas</t>
  </si>
  <si>
    <t>S1350449502001238</t>
  </si>
  <si>
    <t>10.1016/S1350-4495(02)00123-8</t>
  </si>
  <si>
    <t>2-s2.0-0036887412</t>
  </si>
  <si>
    <t>['tower parts', 'tower foundations', 'tower anchorages', 'supporting structures', 'structural capacity', 'rights reserved', 'repair process', 'repair methods', 'precautions necessary', 'introduced along', 'international standards', 'innovative system', 'include corrosion', 'guyed towers', 'great effort', 'fast becoming', 'factors affecting', 'directed toward', 'direct contact', 'critical importance', 'concrete footings', 'case study', 'antenna towers', 'anchor blocks', 'also discussed']</t>
  </si>
  <si>
    <t>Anchorages | Antenna towers | Corrosion | Foundations | Repair</t>
  </si>
  <si>
    <t>Deterioration of antenna tower foundations is fast becoming an issue of critical importance. A great effort has been carried out to develop the international standards for design and construction of antenna towers and antenna-supporting structures. Comparatively little attention has been directed toward the design against failure of buried tower components. In this paper a case study is introduced for the investigation of 51 defective foundations of self-supported and guyed antenna towers. Factors affecting the durability of tower anchorages and foundations are discussed. These include corrosion of tower parts in direct contact with soil, inadequate reinforcement detailing of tower foundations, and lack of maintenance of concrete footings. Repair methods of tower foundations are introduced along with tower shoring systems used to maintain the structural capacity during the repair process. Furthermore, precautions necessary for preventing failure due to corrosion of buried tower components and deterioration of anchor blocks and foundations are also discussed. An innovative system of surface anchor blocks for guyed towers is evaluated and compared to the conventional anchoring systems. ¬© 2002 Elsevier Science Ltd. All rights reserved.</t>
  </si>
  <si>
    <t>527-534</t>
  </si>
  <si>
    <t>Construction and Building Materials</t>
  </si>
  <si>
    <t>Abdalla, H. A.</t>
  </si>
  <si>
    <t>Cairo University, Faculty of Engineering</t>
  </si>
  <si>
    <t>Abdalla H.</t>
  </si>
  <si>
    <t>Assessment of damages and repair of antenna tower concrete foundations</t>
  </si>
  <si>
    <t>S0950061802000284</t>
  </si>
  <si>
    <t>10.1016/S0950-0618(02)00028-4</t>
  </si>
  <si>
    <t>2-s2.0-0036887841</t>
  </si>
  <si>
    <t>U.S. Department of Agriculture</t>
  </si>
  <si>
    <t>01-8500-0506-GR</t>
  </si>
  <si>
    <t>USDA</t>
  </si>
  <si>
    <t>['wild silkmoth', 'sequence gly214', 'sequence gly195', 'sensillar lymph', 'rights reserved', 'putative odorant', 'male antennae', 'low amounts', 'insect pheromones', 'insect carboxylesterases', 'insect antennae', 'glycosylation sites', 'genespecific primers', 'female antennae', 'fast deactivation', 'expressed specifically', 'degrading enzymes', 'degrading enzyme', 'control tissues', 'antheraea polyphemus', '994 da', '694 da']</t>
  </si>
  <si>
    <t>Active site serine | Bioinformatics | RACE | RT-PCR | Sensillar esterase</t>
  </si>
  <si>
    <t>Odorant-degrading enzymes have been postulated to participate in the fast deactivation of insect pheromones. These proteins are expressed specifically in the sensillar lymph of insect antennae in such low amounts that, hitherto, isolation and protein-based cDNA cloning has not been possible. Using degenerate primers based on conserved amino ac!d sequences of insect carboxylesterases and juvenile hormone esterases, we were able to amplify partial cDNA fragments, which were then used for the design of genespecific primers for RACE. This bioinformatics approach led us to the cloning of cDNAs, encoding a putative odorant-degrading enzyme (Apol-ODE) and a putative integumental esterase (Apol-IE) from the wild silkmoth, Antheraea polyphemus. Apol-ODE had a predicted molecular mass of 59,994 Da, pI of 6.63, three potential N-glycosylation sites, and a putative catalytic site Ser characterized by the sequence Gly195-Glu-Ser-Ala-Gly-Ala. Apol-IE gave calculated molecular mass of 61,694 Da, pI of 7.49, two potential N-glycosylation sites, and a putative active site with the sequence Gly214-Tyr-Ser-Ala-Gly. The transcript of Apol-ODE was detected by RT-PCR in male antennae and branches (sensillar tissues), but not in female antennae and other control tissues. Apol-IE was detected in male and female antennae as well as legs. ¬© 2002 Elsevier Science Ltd. All rights reserved.</t>
  </si>
  <si>
    <t>1775-1780</t>
  </si>
  <si>
    <t>60014439;60014439</t>
  </si>
  <si>
    <t>7004586046;35569644800</t>
  </si>
  <si>
    <t>Ishida, I.;Leal, Walter S.</t>
  </si>
  <si>
    <t>Ishida I.</t>
  </si>
  <si>
    <t>Cloning of putative odorant-degrading enzyme and integumental esterase cDNAs from the wild silkmoth, Antheraea polyphemus</t>
  </si>
  <si>
    <t>S0965174802001364</t>
  </si>
  <si>
    <t>10.1016/S0965-1748(02)00136-4</t>
  </si>
  <si>
    <t>2-s2.0-0036890725</t>
  </si>
  <si>
    <t>Atomic Energy Commission of Syria</t>
  </si>
  <si>
    <t>AECS</t>
  </si>
  <si>
    <t>['surface part', 'study site', 'sections revealed', 'rights reerved', 'massive rock', 'main goal', 'limestone plateau', 'karstified zones', 'karstic features', 'karstic environment', 'karstic conduits', 'gpr sections', 'gpr data', 'dozen meters', 'conduit extends', 'clayey coating', 'bedding planes']</t>
  </si>
  <si>
    <t>Cave | Epikarst | Ground penetrating radar (GPR) | Karst | Karst plateau | South of France</t>
  </si>
  <si>
    <t>The study site at Lamalou karst spring (Hortus karst plateau) is situated 40 km north of Montpellier in France. It consists of a limestone plateau, drained by a karst conduit discharging as a spring. This conduit extends for a few dozen meters in fractured and karstified limestone rocks, 15 to 70 m below the surface. The conduit is accessible from the surface. The main goal of this study is to analyze the surface part of the karst and to highlight the karstic features and among them the conduit, and to test the performances of ground penetrating radar (GPR) in a karstic environment. This method thus appears particularly well adapted to the analysis of the near-surface (&lt;30 m in depth) structure of a karst, especially when clayey coating or soil that absorbs and attenuates the radar is rare and discontinuous. A GPR pulseEKKO 100 (Sensors and Software) was used on the site with a 50-MHz antenna frequency. The results highlight structures characterizing the karstic environment: the epikarst, bedding planes, fractured and karstified zones, compact and massive rock and karrens, a typical karst landform. One of the sections revealed in detail the main conduit located at a depth of 20 m, and made it possible to determine its geometry. This site offers possibilities of validation of the GPR data by giving direct access to the karstic conduits and through two cored boreholes. These direct observations confirm the interpretation of all the GPR sections. ¬© 2002 Elsevier Science B.V. All rights reerved.</t>
  </si>
  <si>
    <t>97-106</t>
  </si>
  <si>
    <t>60108488-60072774;60108488;60105773;60025735</t>
  </si>
  <si>
    <t>7801677036;6701573556;55977697900;6505984011</t>
  </si>
  <si>
    <t>Al-fares, Walid;Bakalowicz, Michel;Gu√©rin, Roger;Dukhan, Michel</t>
  </si>
  <si>
    <t>France;France;Syrian Arab Republic;France</t>
  </si>
  <si>
    <t>Montpellier;Paris;Damascus;Montpellier</t>
  </si>
  <si>
    <t>Universit√© de Montpellier;Milieux Environnementaux, Transferts et Interactions dans les Hydrosyst√®mes et les Sols;Atomic Energy Commission of Syria;IRD Centre de Montpellier</t>
  </si>
  <si>
    <t>60108488;60105773;60072774;60025735</t>
  </si>
  <si>
    <t>Al-fares W.</t>
  </si>
  <si>
    <t>Analysis of the karst aquifer structure of the Lamalou area (H√©rault, France) with ground penetrating radar</t>
  </si>
  <si>
    <t>S092698510200215X</t>
  </si>
  <si>
    <t>10.1016/S0926-9851(02)00215-X</t>
  </si>
  <si>
    <t>2-s2.0-0036890754</t>
  </si>
  <si>
    <t>['two types', 'two sections', 'tagged 1', 'sibling groups', 'second family', 'salmonids deserves', 'reared together', 'predictions based', 'measure use', 'less frequently', 'kin theory', 'kin recognition', 'individually pit', 'hatchery tank', 'four individuals', 'f2 individuals', 'f1b ),', 'f1a individuals', 'enclosure consisted', 'enabled us', 'detecting antennae', 'brown trout', '11 weeks']</t>
  </si>
  <si>
    <t>Hatchery | Heterogeneous advantage | Kin selection | Passive integrated transponder | Salmonid | Sibling competition | Stream</t>
  </si>
  <si>
    <t>The effect of kinship on growth and use of space by individually PIT-tagged 1 + brown trout was studied for 11 weeks in eight stream enclosures. Each enclosure consisted of two sections, separated by a region containing PIT-detecting antennae, which enabled us to measure use of sections by all individuals. Two types of sibling groups were tested, a single sibling group, F1, consisting of four individuals that were reared together in hatchery tank 'a' (F1a) plus four additional siblings of the same family but raised in hatchery tank 'b' (F1b), and a mixed sibling group, consisting of four F1a individuals plus four siblings from a second family, F2. Based on kin theory and earlier laboratory studies, we expected that growth of the F1a individuals in the single sibling group to be greater than that of F1a individuals in the mixed family sibling group, but instead we found just the opposite. The variance of growth did not differ between treatments. Nor was there a difference in time F1a individuals spent together when they were in mixed versus single sibling groups. We did find that F1a individuals changed habitat more frequently than F2 individuals in the mixed sibling group but less frequently than F1b in the single sibling groups. Thus, our predictions based on kin theory for growth and behavior of brown trout were not supported by our data, and we suggest that the role of kin recognition for the ecology of salmonids deserves further attention.</t>
  </si>
  <si>
    <t>251-259</t>
  </si>
  <si>
    <t>Ecology of Freshwater Fish</t>
  </si>
  <si>
    <t>60029170-60002392;60029170;60029170;60029170;60029170;60021136</t>
  </si>
  <si>
    <t>7202104209;18934977800;7003905593;7202282504;6602273693;7202717255</t>
  </si>
  <si>
    <t>Greenberg, L. A.;Hernn√§s, B.;Br√∂nmark, C.;Dahl, J.;Ekl√∂v, A.;Ols√©n, K. H.</t>
  </si>
  <si>
    <t>Sweden;Sweden;Sweden</t>
  </si>
  <si>
    <t>Lund;Huddinge;Karlstad</t>
  </si>
  <si>
    <t>Lunds Universitet;S√∂dert√∂rn University;Karlstads Universitet</t>
  </si>
  <si>
    <t>60029170;60021136;60002392</t>
  </si>
  <si>
    <t>Greenberg L.</t>
  </si>
  <si>
    <t>Effects of kinship on growth and movements of brown trout in field enclosures</t>
  </si>
  <si>
    <t>10.1034/j.1600-0633.2002.00018.x</t>
  </si>
  <si>
    <t>2-s2.0-0036892483</t>
  </si>
  <si>
    <t>['thujyl alcohol', 'tested components', 'staining techniques', 'significant differences', 'rights reserved', 'response spectra', 'response characteristics', 'responding neurons', 'reared virgin', 'mating status', 'mated males', 'lobesia botrana', 'host plant', 'first investigated', 'different seasons', 'different generations', 'different dose', 'different compounds', 'antennal lobe', 'al structure']</t>
  </si>
  <si>
    <t>Antennal lobe | Central nervous processing | Electrophysiology | Lobesia botrana | Plant volatiles</t>
  </si>
  <si>
    <t>Moths of Lobesia botrana (Lepidoptera: Tortricidae) are confronted with different volatiles emitted from the host plant during the different seasons. To test the hypothesis of plasticity of central plant odour processing in moths of different generations in the future, we first investigated the responses of antennal lobe (AL) interneurons of laboratory-reared virgin and mated males and females. We used intracellular recording and staining techniques while stimulating the antenna with a range of host and non-host plant odours. The AL structure of L. botrana is similar to that found in other Lepidoptera species studied. The most frequent physiological responses for all types of moths were obtained with (E)-2-hexenal, and with thujyl alcohol and Œ≤-thujone, components of tansy, a behaviourally attractive non-host plant. Some broadly responding neurons were capable of distinguishing between different compounds through different response patterns (excitation/inhibition) and/or different dose-response characteristics. Response characteristics (response spectra, threshold and specificity) of neurons were similar, independent of sex or mating status of the moths. Significant differences between the groups were, however, found in the proportion of responding neurons for a few tested components. ¬© 2002 Elsevier Science Ltd. All rights reserved.</t>
  </si>
  <si>
    <t>1111-1121</t>
  </si>
  <si>
    <t>60070476;60070476;60029170-60027152</t>
  </si>
  <si>
    <t>15849063100;6603865546;7005809476</t>
  </si>
  <si>
    <t>Masante-Roca, I.;Gadenne, Christophe;Anton, S.</t>
  </si>
  <si>
    <t>France;Sweden;Sweden</t>
  </si>
  <si>
    <t>Villenave-d'Ornon;Lund;Uppsala</t>
  </si>
  <si>
    <t>Centre INRAE Nouvelle-Aquitaine Bordeaux;Lunds Universitet;Sveriges lantbruksuniversitet</t>
  </si>
  <si>
    <t>60070476;60029170;60027152</t>
  </si>
  <si>
    <t>Masante-Roca I.</t>
  </si>
  <si>
    <t>Plant odour processing in the antennal lobe of male and female grapevine moths, Lobesia botrana (Lepidoptera: Tortricidae)</t>
  </si>
  <si>
    <t>S0022191002002044</t>
  </si>
  <si>
    <t>10.1016/S0022-1910(02)00204-4</t>
  </si>
  <si>
    <t>2-s2.0-0036894799</t>
  </si>
  <si>
    <t>['somewhat improved', 'single antenna', 'significantly improved', 'showed ca', 'serial connection', 'parallel connection', 'noise levels', 'noise level', 'n ratio', 'improve signal', 'four antennae', 'fold improvement', 'eag amplitudes', 'eag amplitude', 'different numbers', 'antennae increased', 'amplitude noise']</t>
  </si>
  <si>
    <t>Antennae | Biosensor | EAG | Electroantennogram | Helicoverpa zea | S/N ratio | Signal-to-noise ratio</t>
  </si>
  <si>
    <t>Using an array of insect antennae connected in series or in parallel, electroantennogram (EAG) responses and noise levels were investigated in an attempt to improve signal-to-noise (S/N) ratio and sensitivity. Both the EAG response amplitude and noise level increased when the antennae of male Helicoverpa zea (Lepidoptera: Noctuidae) were connected in series. Due to lower relative increase in noise level than EAG amplitude as the number of antennae increased, the S/N ratio was also significantly improved by the serial connection. As a result the sensitivity of EAG was improved by the serial connection, which showed ca. ten-fold improvement in the threshold detection levels compared with a single antenna when four antennae were connected in series. In contrast to the serial connection, there were no differences in EAG amplitudes and overall noise levels when different numbers of antennae were connected in parallel. When only large-amplitude noise was taken into account, however, the S/N ratio was somewhat improved by the parallel connection. The frequency of overall noise remained at the same level both in the serial and in the parallel connection. However, the frequency of the large-amplitude noise increased in serial connection but decreased in parallel connection. The present study clearly indicates that both the sensitivity and S/N ratio of the EAG biosensor could be significantly improved by using the multiple antennal connections. ¬© 2002 Published by Elsevier Science Ltd.</t>
  </si>
  <si>
    <t>1139-1145</t>
  </si>
  <si>
    <t>60004354;60004354</t>
  </si>
  <si>
    <t>7408066828;7402604731</t>
  </si>
  <si>
    <t>Park, Kye Chung;Baker, Thomas C.</t>
  </si>
  <si>
    <t>Park K.</t>
  </si>
  <si>
    <t>Improvement of signal-to-noise ratio in electroantennogram responses using multiple insect antennae</t>
  </si>
  <si>
    <t>S002219100200207X</t>
  </si>
  <si>
    <t>10.1016/S0022-1910(02)00207-X</t>
  </si>
  <si>
    <t>2-s2.0-0036895009</t>
  </si>
  <si>
    <t>['sfm ),', 'rights reserved', 'present processes', 'photodiode tips', 'optical sensors', 'microwave regime', 'micrometer openings', 'measurements made', 'make coaxial', 'fabricating silicon', 'electrical interfaces', 'diode tips', 'create sub', 'comprehensive process', 'chip bodies', 'based near', 'appropriate cantilevers', '500 nm', '100 nm']</t>
  </si>
  <si>
    <t>Microfabricated silicon | Microwave microscopy | Near-field scanning</t>
  </si>
  <si>
    <t>We report a comprehensive process for fabricating silicon-based near-field electromagnetic antennas that are used with scanning force microscopy (SFM), and we also present initial results from measurements made with these tips. We present processes to make coaxial and diode tips. In both processes, anisotropic reactive ion etching (RIE) is used to define the tip and special resist spinning protocols are used to create sub-micrometer openings. One process results in a shielded coaxial tip structure used for electric field imaging in the microwave regime. By varying a few steps, Schottky diode junctions are formed at the tips and can act as optical sensors. The resulting tip opening is in the range of 100 nm for photodiode tips and 500 nm for open-ended coaxial tips. We have integrated such tips with the appropriate cantilevers, chip bodies, electrical interfaces and probe station necessary for routine experimental application. We show experimental data using both types of tips. ¬© 2002 Elsevier Science B.V. All rights reserved.</t>
  </si>
  <si>
    <t>185-194</t>
  </si>
  <si>
    <t>60032179-60023004;60010584;102021544;60032179</t>
  </si>
  <si>
    <t>7202920361;6603261071;57197963595;7004109084</t>
  </si>
  <si>
    <t>Rosner, Bj√∂rn T.;Bork, Toralf;Agrawal, Vivek;Van der Weide, Daniel W.</t>
  </si>
  <si>
    <t>Madison;Newark;New Brunswick;Research Triangle Park</t>
  </si>
  <si>
    <t>University of Wisconsin-Madison;University of Delaware;Johnson &amp; Johnson;MEMS Division</t>
  </si>
  <si>
    <t>60032179;60023004;60010584;102021544</t>
  </si>
  <si>
    <t>Microfabricated silicon coaxial field sensors for near-field scanning optical and microwave microscopy</t>
  </si>
  <si>
    <t>S0924424702003412</t>
  </si>
  <si>
    <t>10.1016/S0924-4247(02)00341-2</t>
  </si>
  <si>
    <t>2-s2.0-0036897323</t>
  </si>
  <si>
    <t>['spent characterizing', 'great deal', 'drastically reduced', 'deep null', 'communication systems', 'anechoic chamber', '8 db', '6 db']</t>
  </si>
  <si>
    <t>Antenna proximity factors | Fading channels | Radio propagation</t>
  </si>
  <si>
    <t>Ultra-wideband (UWB) communication systems are investigated for their ability to operate in dense multipath environments. While a great deal of time and effort has been spent characterizing both the indoor and outdoor UWB channels, the effects of human body interaction with a close proximity UWB antenna remains unexplored. Measurements of a commercially available UWB antenna performance in an anechoic chamber and in various indoor multipath environments were conducted. Comparisons of these measurement results indicate that while the human body creates a deep null (23.6 dB) in a light multipath environment, this null is drastically reduced (6.8 dB) in a dense multipath environment.</t>
  </si>
  <si>
    <t>1778-1782</t>
  </si>
  <si>
    <t>60032291;60022225;;;;;60023864</t>
  </si>
  <si>
    <t>7101732971;7007026545;6504309621;6504235597;7103392012;6504724004;7401828423</t>
  </si>
  <si>
    <t>Welch, Thad B.;Musselman, Randall L.;Emessiene, Bomono A.;Gift, Phillip D.;Choudhury, Daniel K.;Cassadine, Derek N.;Yano, Scott M.</t>
  </si>
  <si>
    <t>Annapolis;Huntsville;Colorado Springs</t>
  </si>
  <si>
    <t>US Naval Academy;Time Domain Corporation;United States Air Force Academy</t>
  </si>
  <si>
    <t>60032291;60023864;60022225</t>
  </si>
  <si>
    <t>Welch T.</t>
  </si>
  <si>
    <t>The effects of the human body on UWB signal propagation in an indoor environment</t>
  </si>
  <si>
    <t>10.1109/JSAC.2002.805243</t>
  </si>
  <si>
    <t>2-s2.0-0036902618</t>
  </si>
  <si>
    <t>['œ ±', 'tissues demodulate', 'short axis', 'rights reserved', 'radio receiver', 'precautionary policy', 'mw transmissions', 'lossy resonator', 'human heads', 'human head', 'head serving', 'energy specifically', 'effects state', 'effects result', 'digital transmission', 'cellular telephones', 'cellular telephone', 'brain tissue', 'brain cells', 'brain cancer', 'axis half', 'audio frequencies', 'absorbing much', '900 mhz', '1800 mhz', '17 cm']</t>
  </si>
  <si>
    <t>Headache and other neuropsychological symptoms occur in users of cellular telephones, and controversy exists concerning risks for brain cancer. We hypothesize these effects result from the head serving as an antenna and brain tissue as a radio receiver. The frequencies for transmission and reception by cellular telephones, about 900 MHz for analog and 1800 MHz for digital transmission, have wavelengths of 33-35 and 16-17 cm, respectively. Human heads are oval in shape with a short axis about 16 to 17 cm in length. Near the ear there will be a cross-section in the head with an axis half the wavelength of RF/MW transmissions of 900 MHz and equal to the wavelength of RF/MW transmissions at 1800 MHz. Therefore, the human head can serve as a lossy resonator for the electromagnetic radiation emitted by the cellular telephone, absorbing much of the energy specifically from these wavelengths. Brain cells and tissues demodulate the cell-phone's audio frequencies from the radio frequency carrier. Low audio frequencies in the ranges of Œ± and Œ≤ waves affect these waves and thereby influence brain function. These effects state the case for a precautionary policy. ¬© 2002 Elsevier Science Ltd. All rights reserved.</t>
  </si>
  <si>
    <t>703-705</t>
  </si>
  <si>
    <t>Medical Hypotheses</t>
  </si>
  <si>
    <t>60027414;60000087</t>
  </si>
  <si>
    <t>6506619968;7401582601</t>
  </si>
  <si>
    <t>Weinberger, Z.;Richter, Elihu D.</t>
  </si>
  <si>
    <t>Jerusalem;Jerusalem</t>
  </si>
  <si>
    <t>Jerusalem College of Technology;Hadassah University Medical Centre</t>
  </si>
  <si>
    <t>Weinberger Z.</t>
  </si>
  <si>
    <t>Cellular telephones and effects on the brain: The head as an antenna and brain tissue as a radio receiver</t>
  </si>
  <si>
    <t>S0306987702002980</t>
  </si>
  <si>
    <t>10.1016/S0306-9877(02)00298-0</t>
  </si>
  <si>
    <t>2-s2.0-0036904961</t>
  </si>
  <si>
    <t>['using simulations', 'tutorial study', 'system design', 'suboptimal structures', 'suboptimal implementations', 'practical limitations', 'new results', 'miso ),', 'inputs single', 'inputs multiple', 'input multiple', 'good perspective', 'fading correlation', 'detection techniques', 'channel knowledge', 'capacity expressions', 'antenna systems', 'antenna structure']</t>
  </si>
  <si>
    <t>Antenna arrays | Channel capacity | Channel fading | Information rates | MIMO systems | Multipath propagation | Spatial diversity | Wireless channels</t>
  </si>
  <si>
    <t>A tutorial study is performed on the capacity of multiple antenna wireless communication systems. Multiple antenna structures can be classified into single-input multiple-outputs (SIMO), multiple-inputs single-output (MISO), and multiple-inputs multiple-outputs (MIMO) systems. Assuming that the channel is known at receiver, capacity expressions are provided for each structure, under the conditions of quasi-static flat fading. Also, information rate limits are provided in each case for some suboptimal structures or detection techniques that may be used in practice. Using simulations for the case of flat Rayleigh fading, capacities of optimal/suboptimal implementations are contrasted for each multi-antenna structure. Discussions are made on system design, regarding implementation complexity and practical limitations on achieving these capacities. In particular, the problem of fading correlation and required antenna spacing, effect of fast channel fading, and lack of channel knowledge at receiver are discussed. Providing the results of the most recent researches considering the capacity of multi-antenna systems, as well as some new results, this paper can give a good perspective for designing appropriate architectures in different wireless communication applications.</t>
  </si>
  <si>
    <t>321-352</t>
  </si>
  <si>
    <t>60027384;60027384;60027384</t>
  </si>
  <si>
    <t>6701414344;55941076700;7006468231</t>
  </si>
  <si>
    <t>Khalighi, Mohammad Ali;Raoof, Kosai;Jourdain, Genevi√®ve</t>
  </si>
  <si>
    <t>Saint Martin d'Heres</t>
  </si>
  <si>
    <t>INP Grenoble - ENSIEG</t>
  </si>
  <si>
    <t>Khalighi M.</t>
  </si>
  <si>
    <t>Capacity of wireless communication systems employing antenna arrays, a tutorial study</t>
  </si>
  <si>
    <t>10.1023/A:1021211513679</t>
  </si>
  <si>
    <t>2-s2.0-0036905896</t>
  </si>
  <si>
    <t>['two methods', 'square plate', 'scatterer boundary', 'rigorously transformed', 'reflector antenna', 'rcs ).', 'radiation pattern', 'proposed method', 'present research', 'planar patches', 'often approximated', 'line integral', 'high frequencies', 'dimensional body', 'computational efficiency', 'computation time', 'circular disk', 'arbitrary shape']</t>
  </si>
  <si>
    <t>Boundary diffraction wave | Physical optics approximation | PO | Radar scattering cross section | RCS</t>
  </si>
  <si>
    <t>The physical optics approximation (PO) is a powerful calculation method in the analysis of the radiation pattern of a reflector antenna and of the radar cross section (RCS). At high frequencies, the computational efficiency of the radiation surface integration is poor. In the present research, a method is proposed in which the radiation surface integral of PO is rigorously transformed to a line integral along the scatterer boundary. Since the line integral is used in this method, the computation time can be reduced in comparison with PO. When the RCS of an arbitrary shape is computed, the shape is often approximated by a combination of planar patches. Therefore, PO and the proposed method are compared with respect to the numerically calculated scattering patterns of a circular disk and a square plate. It is confirmed that these two methods are similar in accuracy. An example of application to a three-dimensional body is presented. ¬© 2002 Wiley Periodicals, Inc. Electron. Comm. Jpn. Pt. 2.</t>
  </si>
  <si>
    <t>Murasaki, Tsutomu</t>
  </si>
  <si>
    <t>Technical Research and Development Institute, Japan Defense Agency</t>
  </si>
  <si>
    <t>Murasaki T.</t>
  </si>
  <si>
    <t>Transformation of the physical optics integral to the boundary integral and its application to metal scattering problems</t>
  </si>
  <si>
    <t>10.1002/ecjb.10059</t>
  </si>
  <si>
    <t>2-s2.0-0036908381</t>
  </si>
  <si>
    <t>['time coding', 'time codes', 'theory provides', 'studied extensively', 'special case', 'space diversity', 'shift keying', 'quaternary phase', 'new space', 'greatly simplified', 'existing codes', 'el gamal', 'design codes', 'binary phase', 'binary field', 'better performance', 'amplitude modulated']</t>
  </si>
  <si>
    <t>Codes over integer rings | Diversity | Fading channel | Multiple antennas | Quadrature and amplitude (QAM) modulation | Space-time codes | Turbo codes</t>
  </si>
  <si>
    <t>Space-time coding has been studied extensively as a powerful error correction coding for systems with multiple transmit antennas. An important design goal is to maximize the level of space diversity that a code can achieve. Toward this goal, the only systematic algebraic coding theory so far is binary rank theory by Hammons and El Gamal for binary phase-shift keying (BPSK) modulated codes defined over binary field and quaternary phase-shift keying (QPSK) modulated codes defined over modulo four finite ring. To design codes with higher bandwidth efficiency, we develop an algebraic rank theory to ensure full space diversity for 22Œ∫ quadrature and amplitude modulated (QAM) codes for any positive integer Œ∫. The theory provides the most general sufficient condition of full space diversity so far. It includes the BPSK binary rank theory as a special case. Since the condition is over the same domain that a code is defined, the full space diversity code design is greatly simplified. The usefulness of the theory is illustrated in examples, such as analyses of existing codes, constructions of new space-time codes with better performance, including the full diversity space-time turbo codes.</t>
  </si>
  <si>
    <t>3062-3079</t>
  </si>
  <si>
    <t>60000221;60027550;60003500</t>
  </si>
  <si>
    <t>7410225129;7006406317;6603794036</t>
  </si>
  <si>
    <t>Liu, Youjian;Fitz, Michael P.;Takeshita, Oscar Yassuo</t>
  </si>
  <si>
    <t>Los Angeles;Columbus;Boulder</t>
  </si>
  <si>
    <t>University of California, Los Angeles;The Ohio State University;University of Colorado Boulder</t>
  </si>
  <si>
    <t>60027550;60003500;60000221</t>
  </si>
  <si>
    <t>A rank criterion for QAM space-time codes</t>
  </si>
  <si>
    <t>10.1109/TIT.2002.805074</t>
  </si>
  <si>
    <t>2-s2.0-0036908625</t>
  </si>
  <si>
    <t>['wideband contiguous', 'theoretical studies', 'test results', 'test diplexer', 'simple method', 'linear interpolation', 'insertion loss', 'impedance characteristics', 'guard band', 'frequency dependence', 'first cavity', 'filter bandwidth', 'equivalent circuit', 'coupling slot', 'coupling coefficients', 'broadband iris', 'band diplexer', '8 %,', '5 db', '20 db']</t>
  </si>
  <si>
    <t>Diplexer | Microwave | Singly terminated filter | Waveguide | Wideband</t>
  </si>
  <si>
    <t>As a simple method to realize a wideband contiguous-band diplexer, interpolated coupling coefficient filters whose coupling coefficients are given by a linear interpolation of the coupling coefficients in a singly terminated filter and doubly terminated filter are applied. Its effectiveness is demonstrated by theoretical studies and experiment. First, with regard to the impedance characteristics of a broadband iris-type waveguide filter with a coupling slot for the first cavity, the variations from the characteristics of a singly terminated filter are presented with an equivalent circuit. Next, it is shown that the impedance variations due to the frequency dependence of the coupling slot can be eliminated by using an interpolated coupling coefficient filter. Finally, test results in the Ka band demonstrate that a contiguous-band diplexer with a filter bandwidth of about 4% can be obtained. The test diplexer has a filter bandwidth of about 4% √ó 2, a guard band of about 0.8%, an insertion loss of 0.5 dB, a VSWR of 1.2, and an isolation of 20 dB. ¬© 2002 Wiley Periodicals, Inc. Electron. Comm. Jpn. Pt. 2.</t>
  </si>
  <si>
    <t>49-58</t>
  </si>
  <si>
    <t>60101699;60101699;60101699;60028013</t>
  </si>
  <si>
    <t>6603694975;7402067958;35459666200;7404792804</t>
  </si>
  <si>
    <t>Isota, Yoji;Miyazaki, Moriyasu;Ishida, Osami;Hashimoto, Tsutomu</t>
  </si>
  <si>
    <t>Tokyo;Hachioji</t>
  </si>
  <si>
    <t>Mitsubishi Electric Corporation;Tokyo University of Technology</t>
  </si>
  <si>
    <t>60101699;60028013</t>
  </si>
  <si>
    <t>Isota Y.</t>
  </si>
  <si>
    <t>Wideband contiguous-band diplexer using interpolated coupling coefficient bandpass filters</t>
  </si>
  <si>
    <t>10.1002/ecjb.10052</t>
  </si>
  <si>
    <t>2-s2.0-0036909148</t>
  </si>
  <si>
    <t>['sole function', 'sir ),', 'relative number', 'receive antennas', 'providing ergodicity', 'multiple transmit', 'large number', 'interference ratios', 'frequency diversity', 'form solution', 'ergodic capacity', 'cochannel interference', 'closely even', 'asymptotic solution', 'antenna diversity']</t>
  </si>
  <si>
    <t>Adaptive antennas | Antenna arrays | Asymptotic analysis | Channel capacity | Diversity | Fading channels | Multiantenna communication | Multiuser detection</t>
  </si>
  <si>
    <t>The capacity of wireless communication architectures equipped with multiple transmit and receive antennas and impaired by both noise and cochannel interference is studied. We find a closed-form solution for the capacity in the limit of a large number of antennas. This asymptotic solution, which is a sole function of the relative number of transmit and receive antennas and the signal-to-noise and signal-to-interference ratios (SNR and SIR), is then particularized to a number of eases of interest. By verifying that antenna diversity can substitute for time and/or frequency diversity at providing ergodicity, we show that these asymptotic solutions approximate the ergodic capacity very closely even when the number of antennas is very small.</t>
  </si>
  <si>
    <t>3117-3128</t>
  </si>
  <si>
    <t>60021378;60003269</t>
  </si>
  <si>
    <t>24781002200;6701582212</t>
  </si>
  <si>
    <t>Lozano, Angel;Tulino, Antonia Maria</t>
  </si>
  <si>
    <t>Murray;Princeton</t>
  </si>
  <si>
    <t>Nokia Bell Labs;Princeton University</t>
  </si>
  <si>
    <t>Capacity of multiple-transmit multiple-receive antenna architectures</t>
  </si>
  <si>
    <t>10.1109/TIT.2002.805084</t>
  </si>
  <si>
    <t>2-s2.0-0036912821</t>
  </si>
  <si>
    <t>['usual methods', 'uncertain number', 'sensitivity analysis', 'proposed method', 'proposed algorithm', 'plural damages', 'paper proposes', 'numerical simulation', 'neural network', 'genetic algorithm', 'fitness ).', 'disconnected position', 'damage identification', 'binary code', 'basically available', 'basic capability']</t>
  </si>
  <si>
    <t>This paper proposes a method for damage identification of cable net structures for space application using the numerical simulation by genetic algorithm. In the algorithm the disconnected position of cables (expressed by binary code) is identified based upon shape errors of the surface (evaluated as fitness). Unlike the usual methods such as sensitivity analysis or neural network, the proposed method has basic capability for identification of cable net structures with uncertain number of damages. As a result of numerical simulations based on the proposed algorithm, it is recognized that identification of the plural damages is basically available and effective for the cable net structures such as large space antennas.</t>
  </si>
  <si>
    <t>345-352</t>
  </si>
  <si>
    <t>Theoretical and Applied Mechanics Japan</t>
  </si>
  <si>
    <t>Yamamoto, Kazuo</t>
  </si>
  <si>
    <t>Higashiosaka</t>
  </si>
  <si>
    <t>Kindai University</t>
  </si>
  <si>
    <t>Yamamoto K.</t>
  </si>
  <si>
    <t>Numerical simulations on damage identification of cable net structures for space application</t>
  </si>
  <si>
    <t>2-s2.0-0036915901</t>
  </si>
  <si>
    <t>CCR-0139398</t>
  </si>
  <si>
    <t>['two constructions', 'time codes', 'simple encoding', 'reception using', 'receiver knows', 'receive antennas', 'rate r', 'noncoherent maximum', 'n ),', 'given r', 'decoding algorithms', 'construct unitary', 'channel uses', 'channel coefficients', 'also amenable']</t>
  </si>
  <si>
    <t>Diversity | Multiple antennas | Noncoherent | Space-time codes | Wireless communications</t>
  </si>
  <si>
    <t>We consider transmission using N transmit and reception using M receive antennas in a wireless environment assuming that neither the transmitter nor the receiver knows the channel coefficients. For the scenario that the transmission employs noncoherent T √ó N unitary space-time codes and for a block-fading channel model where the channel is static during T channel uses and varies from T channel uses to the other, we establish the bound r ‚â§ min(T - N, N) on the diversity advantage rM provided by the code. In order to show that the requirement r ‚â§ min(T - N, N) cannot he relaxed, for any given R, N, T, and r ‚â§ min(T - N, N), we then construct unitary T √ó N space-time codes of rate R that guarantee diversity advantage rM. Two constructions are given that are also amenable to simple encoding and noncoherent maximum-likelihood (ML) decoding algorithms.</t>
  </si>
  <si>
    <t>3112-3117</t>
  </si>
  <si>
    <t>60022195-60009982;60022195-60009982</t>
  </si>
  <si>
    <t>7005206764;36040390300</t>
  </si>
  <si>
    <t>Tarokh, Vahid;Kim, Il Min</t>
  </si>
  <si>
    <t>Cambridge;Cambridge</t>
  </si>
  <si>
    <t>Massachusetts Institute of Technology;Harvard University</t>
  </si>
  <si>
    <t>60022195;60009982</t>
  </si>
  <si>
    <t>Tarokh V.</t>
  </si>
  <si>
    <t>Existence and construction of noncoherent unitary space-time codes</t>
  </si>
  <si>
    <t>10.1109/TIT.2002.805075</t>
  </si>
  <si>
    <t>2-s2.0-0036917453</t>
  </si>
  <si>
    <t>['recent mixed', 'potentially useful', 'plasma interactions', 'phasing experiments', 'frequency antennas', 'experimental results', 'different phasings', 'certain circumstances', 'adjacent antennas']</t>
  </si>
  <si>
    <t>The use of mixed(monopole-dipole)-phasing of a set of ion cyclotron range of frequency antennas is potentially useful to optimize tokamak performance. However, recent mixed-phasing experiments on JET, described here, showed undesirable antenna-plasma interactions under certain circumstances. A possible physical mechanism to explain the experimental results is discussed, namely, rf-driven dc parallel currents flowing between adjacent antennas with different phasings can lead to arcing on the antenna with the largest sheath voltage. Means of controlling the interaction are discussed.</t>
  </si>
  <si>
    <t>1357-1365</t>
  </si>
  <si>
    <t>60026358;60026358;60024266;60076619-60029640;60081151;100706160-60004280;60026838</t>
  </si>
  <si>
    <t>7004011751;7004139188;7402922192;7005982251;7102290215;6701841220;7003267283</t>
  </si>
  <si>
    <t>D'Ippolito, D. A.;Myra, J. R.;Ryan, P. M.;Righi, E.;Heikkinen, J.;Lamalle, P. U.;Noterdaeme, J. M.</t>
  </si>
  <si>
    <t>Finland;Germany;Belgium;Germany;United States;United States;Belgium;United Kingdom</t>
  </si>
  <si>
    <t>Helsinki;Garching bei Munchen;Brussels;Garching bei Munchen;Boulder;Oak Ridge;Brussels;Culham</t>
  </si>
  <si>
    <t>Tekes;European Fusion Development Agreement (EFDA);European Commission;Max Planck Institute for Plasma Physics;Lodestar Research Corporation;Oak Ridge National Laboratory;Koninklijke Militaire School - Ecole Royale Militaire;CSU</t>
  </si>
  <si>
    <t>60081151;60076619;60029640;60026838;60026358;60024266;60004280;100706160</t>
  </si>
  <si>
    <t>D'Ippolito D.A.</t>
  </si>
  <si>
    <t>Modelling of mixed-phasing antenna-plasma interactions on JET A2 antennas</t>
  </si>
  <si>
    <t>S0029551502539399</t>
  </si>
  <si>
    <t>10.1088/0029-5515/42/12/302</t>
  </si>
  <si>
    <t>2-s2.0-0036918770</t>
  </si>
  <si>
    <t>['wave frequencies', 'v characteristics', 'symmetrically placed', 'standard technique', 'rf losses', 'optical superconductor', 'nbn microstriplines', 'mgo substrate', 'mgo films', 'magnetron sputtering', 'link parts', 'link breaks', 'input noise', 'grown epitaxially', 'gap voltage', 'feed point', 'distributed junctions', 'current density', 'complementary log', 'behaviour may', 'antireflection cap', 'ambient temperature', 'although weak', '820 ghz', '6œºm wide', '678 ghz', '672 k', '5œºm long', '334 k', '200 k', '1œºm wide']</t>
  </si>
  <si>
    <t>We have designed, fabricated and tested a quasi-optical superconductor-insulator-superconductor (SIS) mixer employing distributed NbN/MgO/NbN tunnel junctions and NbN/MgO/NbN microstriplines at submillimetre-wave frequencies. These trilayers were fabricated by dc- and rf-magnetron sputtering on an MgO substrate at ambient temperature so that the NbN and MgO films were grown epitaxially. Our SIS mixer consists of an MgO hyperhemispherical lens with an antireflection cap and a self-complementary log-periodic antenna made of a single-crystal NbN film, on which the distributed SIS junctions and the two-section impedance transformers were mirror-symmetrically placed at the feed point of the antenna. As designed, the junctions are 0.6Œºm wide and 15.5Œºm long, which is sufficient to absorb the incoming signal along this lossy transmission tine, assuming a current density of 10 kA cm-2. The mixer showed good I-V characteristics, with subgap-to-normal resistance ratios of about 13, although weak-link breaks were observed above the gap voltage. The minimum double side band receiver noise temperature was 334 K at 678 GHz, including the input noise of about 200 K as estimated by the standard technique. The noise temperature gradually rose to 672 K at 820 GHz. This behaviour may be caused by RF losses from the weak-link parts, due to the steps between the distributed junctions and the microstriplines being less than 1Œºm wide.</t>
  </si>
  <si>
    <t>1760-1765</t>
  </si>
  <si>
    <t>60032325;60032325;60032325;60032325;60032325</t>
  </si>
  <si>
    <t>55555308200;7102838221;14047465400;55582833900;8352937800</t>
  </si>
  <si>
    <t>Uzawa, Y.;Kawakami, A.;Saito, A.;Takeda, M.;Wang, Z.</t>
  </si>
  <si>
    <t>Uzawa Y.</t>
  </si>
  <si>
    <t>A submillimetre-wave SIS mixer using NbN/MgO/NbN trilayers grown epitaxially on an MgO substrate</t>
  </si>
  <si>
    <t>S0953204802385634</t>
  </si>
  <si>
    <t>10.1088/0953-2048/15/12/328</t>
  </si>
  <si>
    <t>2-s2.0-0036918857</t>
  </si>
  <si>
    <t>['symmetric ones', 'planar arrays', 'linear equations', 'linear array', 'first time', 'easily extended', 'done since', 'complex distribution', '2 ].']</t>
  </si>
  <si>
    <t>Antenna | Array | Complex | Excitation | Least squares | Linear | Microstrip | Planar | Radiating pattern | Real | Synthesis</t>
  </si>
  <si>
    <t>In this paper, least squares method is applied to synthesise microstrip antennas arrays by complex and real excitation adjustments. This choice is done since it's able to synthesise any analytical pattern without need to construct a gradient type descent method [1,2]. In a first time, linear microstrip antennas arrays are obtained. Optimal excitation distribution is real for symmetric desired patterns but, for non-symmetric ones, only complex distribution is allowed. So, in this manner, proposed method must take into account elementary source radiation pattern. Least squares method generates system of linear equations where excitation are the unknowns. Planar arrays are easily extended from linear array.</t>
  </si>
  <si>
    <t>Modelling, Measurement and Control A</t>
  </si>
  <si>
    <t>Mekkioui, Zah√©ra</t>
  </si>
  <si>
    <t>Algeria</t>
  </si>
  <si>
    <t>Tlemcen</t>
  </si>
  <si>
    <t>Universit√© Abou Bekr Belkaid Tlemcen</t>
  </si>
  <si>
    <t>Mekkioui Z.</t>
  </si>
  <si>
    <t>Complex excitation microstrip antennas arrays synthesis and numerical computation</t>
  </si>
  <si>
    <t>2-s2.0-0036920425</t>
  </si>
  <si>
    <t>['two methods', 'surveys applied', 'prior knowledge', 'possible implications', 'paper uses', 'incorporating frequencies', 'field measurements', 'discrete frequencies', 'dielectric properties', 'broadband spectrum', 'broadband pulse', '100 mhz', '1 ghz']</t>
  </si>
  <si>
    <t>Interpretation of ground penetrating radar (GPR) surveys applied to concrete structures requires a prior knowledge of the dielectric properties of the concrete under investigation. Most GPR systems used for field investigations produce a broadband pulse, incorporating frequencies between 100 MHz to 1 GHz and above. A traditional laboratory method of measuring the dielectric properties of concrete at one particular frequency is to use a transmission line system. Measurements can be repeated over a range of discrete frequencies. However, this technique can only be used on special laboratory conditioned specimens. A novel method discussed in this paper uses a broadband GPR pulse, reflected from two discrete reinforcing bar targets within an in situ concrete slab to produce the dielectric properties of the concrete over the broadband spectrum of the antenna. Results of the two methods are compared and possible implications for field measurements are discussed.</t>
  </si>
  <si>
    <t>756-758</t>
  </si>
  <si>
    <t>Insight: Non-Destructive Testing and Condition Monitoring</t>
  </si>
  <si>
    <t>;60020661;60020661</t>
  </si>
  <si>
    <t>36851752200;7007138250;7005741924</t>
  </si>
  <si>
    <t>Shaari, A.;Millard, S. G.;Bungey, J. H.</t>
  </si>
  <si>
    <t>Shaari A.</t>
  </si>
  <si>
    <t>Measurement of radar properties of concrete for in situ structural elements</t>
  </si>
  <si>
    <t>2-s2.0-0036921127</t>
  </si>
  <si>
    <t>['wing hinge', 'three enhancers', 'tarsal segments', 'several functions', 'selective addition', 'regulatory region', 'proper segmentation', 'proper development', 'pox neuro', 'posterior lobes', 'partial enhancer', 'male genitalia', 'male courtship', 'leg disc', 'identified enhancers', 'homologous segments', 'functions crucial', 'fertility functions', 'female pheromones', 'entire cis', 'developing brain', 'copulate depend', 'chemosensory bristles', 'astounding complexity', 'antennal nerve', 'antennal disc']</t>
  </si>
  <si>
    <t>Appendages | CNS | Courtship behavior | Drossophila | Enhancer | Male fertility | PNS | Pox neuro</t>
  </si>
  <si>
    <t>We have dissected the entire cis-regulatory region of the Drosophila Pox neuro gene with regard to its enhancers, and have analyzed their functions by the selective addition to Pox neuro null mutant flies of one or several functions, each regulated by a complete or partial enhancer. We have identified at least 15 enhancers with an astounding complexity in arrangement and substructure that regulate Pox neuro functions required for the development of the peripheral and central nervous system and of most appendages. Many of these functions are essential for normal male courtship behavior and fertility. Two enhancers regulate the development of the penis, claspers and posterior lobes of male genitalia. Three enhancers, two of which overlap, control the development of chemosensory bristles in the labellum, legs and wings, some or all of which are required for the transmission of gustatory signals elicited by female pheromones. An additional enhancer regulates in the developing brain the connectivity of two specific neuronal clusters entrusted with processing olfactory pheromone signals from the antennal nerve. Finally, functions crucial for the ability of the male to copulate depend on an enhancer that activates Pox neuro expression in the embryonic ventral cord. In addition to these male courtship and fertility functions of Pox neuro, we have identified enhancers that regulate: (1) proper segmentation of tarsal segments in the leg disc and in homologous segments of the antennal disc; and (2) proper development of the wing hinge and hence the ability of the fly to fly.</t>
  </si>
  <si>
    <t>5667-5681</t>
  </si>
  <si>
    <t>60012614;60012614</t>
  </si>
  <si>
    <t>24300778800;7005032079</t>
  </si>
  <si>
    <t>Boll, Werner;Noll, Markus</t>
  </si>
  <si>
    <t>Boll W.</t>
  </si>
  <si>
    <t>The Drosophila Pox neuro gene: Control of male courtship behavior and fertility as revealed by a complete dissection of all enhancers</t>
  </si>
  <si>
    <t>10.1242/dev.00157</t>
  </si>
  <si>
    <t>2-s2.0-0036922856</t>
  </si>
  <si>
    <t>['zoeas due', 'zoeal morphogenesis', 'survival rate', 'supplementary effect', 'seven trials', 'seed production', 'second antennae', 'plumose setae', 'nutritional conditions', 'morphological features', 'minced mysid', 'megalops due', 'megalopal stage', 'megalopal features', 'mass mortality', 'long endopods', 'large chelipeds', 'increase depending', 'freshwater chlorella', 'fifth stage', 'different concentrations', 'artemia nauplii', 'also given', 'abnormal molting']</t>
  </si>
  <si>
    <t>Hyper-morphogenesis | Mass mortality | Megalop | Mud crab | Scylla serrata | Seed production | Zoea</t>
  </si>
  <si>
    <t>The phenomenon of mass mortality of larval mud crab Scylla serrata is described during the metamorphosis to megalops due to abnormal molting by morphologically advanced last stage zoeas (fifth stage) in the seed production. Seven Seed production trials were carried out using 100 kL concrete tanks. The larvae were reared on rotifers and after the third or fourth zoeal stage with Artemia nauplii. Minced mysid was also given from the megalopal stage. The seven trials were based on the addition of different concentrations of the marine phytoplankton Nannochloropsis or of the freshwater Chlorella to the larval rearing water. The survival rate, morphological features of the fifth stage zoeas, and frequency of abnormal molting during the metamorphosis to megalops were examined. The mass mortality occurred during the metamorphosis to megalops in tanks containing high concentrations of Nannochloropsis. The fifth stage zoeas in these tanks were equipped with some advanced morphological features similar to those of megalops, such as, long endopods of the second antennae, large chelipeds and pleopods with plumose setae. The frequency of abnormal molting tended to increase depending on the degree of megalopal features in the fifth zoeal stage. We propose that zoeal morphogenesis is accelerated by the nutritional conditions of zoeas due to the supplementary effect of Nannochloropsis, which contains eicosapentaenoic acid; an essential fatty acid for larval mud crab.</t>
  </si>
  <si>
    <t>1226-1232</t>
  </si>
  <si>
    <t>Fisheries Science</t>
  </si>
  <si>
    <t>60103245;60018357;60018357</t>
  </si>
  <si>
    <t>56704601900;7801558795;7404526996</t>
  </si>
  <si>
    <t>Hamasaki, Katsuyuki;Suprayudi, M. Agus;Takeuchi, Toshio</t>
  </si>
  <si>
    <t>Tokyo;Minato-ku</t>
  </si>
  <si>
    <t>Japan Sea Farming Associaiton;National University Corporation Tokyo University of Marine Science and Technology</t>
  </si>
  <si>
    <t>60103245;60018357</t>
  </si>
  <si>
    <t>Hamasaki K.</t>
  </si>
  <si>
    <t>Mass mortality during metamorphosis to megalops in the seed production of mud crab Scylla serrata (Crustacea, Decapoda, Portunidae)</t>
  </si>
  <si>
    <t>10.1046/j.1444-2906.2002.00559.x</t>
  </si>
  <si>
    <t>2-s2.0-0036928511</t>
  </si>
  <si>
    <t>['values calculated', 'unequivocal assignment', 'three isoforms', 'subsequently identified', 'species examined', 'psi antenna', 'plant species', 'plant material', 'photosystem ii', 'phase high', 'namely lhca1', 'migration behavior', 'lower heterogeneity', 'line hyphenation', 'lhca6 gene', 'lhca4 proteins', 'highly reproducible', 'harvesting proteins', 'good agreement', 'gel electrophoresis', 'future studies', 'four monocot', 'different species', 'comparison within']</t>
  </si>
  <si>
    <t>The light-harvesting proteins (Lhca) of photosystem I (PSI) from four monocot and five dicot species were extracted from plant material, separated by reversed-phase high-performance liquid chromatography (HPLC) and subsequently identified on the basis of their intact molecular masses upon on-line hyphenation with electrospray ionization mass spectrometry. Although their migration behavior in gel electrophoresis was very similar, the elution times among the four antenna types in reversed-phase-HPLC differed significantly, even more than those observed for the light-harvesting proteins of photosystem II. Identification of proteins is based on the good agreement between the measured intact molecular masses and the values calculated on the basis of their nucleotide-derived amino acid sequences, which makes the intact molecular masses applicable as intact mass tags. These values match excellently for Arabidopsis, most probably because of the availability of high-quality DNA sequence data. In all species examined, the four antennae eluted in the same order, namely Lhca1 &gt; Lhca3 &gt; Lhca4 &gt; Lhca2. These characteristic patterns enabled an unequivocal assignment of the proteins in preparations from different species. Interestingly, in all species examined, Lhca1 and Lhca2 were present in two or three isoforms. A fifth antenna protein, corresponding to the Lhca6 gene, was found in tomato (Lycopersicon esculentum). However PSI showed a lower heterogeneity than photosystem II. In most plant species, Lhca2 and Lhca4 proteins are the most abundant PSI antenna proteins. The HPLC method used in this study was found to be highly reproducible, and the chromatograms may serve as a highly confident fingerprint for comparison within a single and among different species for future studies of the PSI antenna.</t>
  </si>
  <si>
    <t>1938-1950</t>
  </si>
  <si>
    <t>60050715;60050715;60050715;60033241</t>
  </si>
  <si>
    <t>7004750167;8073989000;6505607625;7203045415</t>
  </si>
  <si>
    <t>Zolla, Lello;Rinalducci, Sara;Maria Timperio, Anna;Huber, Christian G.</t>
  </si>
  <si>
    <t>Viterbo;Saarbrucken</t>
  </si>
  <si>
    <t>Universit√† degli Studi della Tuscia Viterbo;Universit√§t des Saarlandes</t>
  </si>
  <si>
    <t>60050715;60033241</t>
  </si>
  <si>
    <t>Zolla L.</t>
  </si>
  <si>
    <t>Proteomics of light-harvesting proteins in different plant species. Analysis and comparison by liquid chromatography-electrospray ionization mass spectrometry. Photosystem I</t>
  </si>
  <si>
    <t>10.1104/pp.009803</t>
  </si>
  <si>
    <t>2-s2.0-0036929475</t>
  </si>
  <si>
    <t>['wingless signalling', 'wingless expression', 'whereas loss', 'type discs', 'specific structures', 'sine oculis', 'regional specification', 'previous reports', 'opposite effects', 'including defining', 'inappropriate structures', 'important part', 'imaginal structures', 'head cuticle', 'give rise', 'eye tissue', 'become retina', 'antennal disc']</t>
  </si>
  <si>
    <t>Axin | Dachshund | Drosophila | Eye | Eyes absent | Sine oculis | Transdetermination | Transdifferentiation | Wingless</t>
  </si>
  <si>
    <t>Organ formation requires early specification of the groups of cells that will give rise to specific structures. The Wingless protein plays an important part in this regional specification of imaginal structures in Drosophila, including defining the region of the eye-antennal disc that will become retina. We show that Wingless signalling establishes the border between the retina and adjacent head structures by inhibiting the expression of the eye specification genes eyes absent, sine oculis and dachshund. Ectopic Wingless signalling leads to the repression of these genes and the loss of eyes, whereas loss of Wingless signalling has the opposite effects. Wingless expression in the anterior of wild-type discs is complementary to that of these eye specification genes. Contrary to previous reports, we find that under conditions of excess Wingless signalling, eye tissue is transformed not only into head cuticle but also into a variety of inappropriate structures.</t>
  </si>
  <si>
    <t>5313-5322</t>
  </si>
  <si>
    <t>60010269;60010269</t>
  </si>
  <si>
    <t>6602894129;7402429427</t>
  </si>
  <si>
    <t>Baonza, Antonio;Freeman, Matthew</t>
  </si>
  <si>
    <t>The Medical Research Council Laboratory of Molecular Biology</t>
  </si>
  <si>
    <t>Baonza A.</t>
  </si>
  <si>
    <t>Control of Drosophila eye specification by Wingless signalling</t>
  </si>
  <si>
    <t>10.1242/dev.00096</t>
  </si>
  <si>
    <t>2-s2.0-0036929919</t>
  </si>
  <si>
    <t>['three quarters', 'telson spines', 'several eggs', 'second antennae', 'pressure breaks', 'posterior part', 'pacifica hatched', 'nauplius pushes', 'nauplius leaves', 'nauplius brings', 'nauplius 2', 'nauplius 1', 'n1 pushes', 'n1 ).', 'mn break', 'late hatching', 'laboratory conditions', 'laboratory also', 'high flexibility', 'hatching modes', 'hatching forwards', 'flipping mechanisms', 'extended development', 'embryos also', 'embryo takes', 'eggs spawned', 'egg tooth', 'delayed hatching', 'clutch hatch', 'calyptopis 1', 'c1 breaks', 'appendages together', 'abdomen producing', '2 h', '106 h', '06 %).']</t>
  </si>
  <si>
    <t>Three different egg hatching mechanisms were observed under laboratory conditions in Euphausia pacifica Hansen, Thysanoessa spinifera Holmes and Thysanoessa inspinata Nemoto: backward, forward and flipping. Like all broadcast spawning euphausiids, these species usually hatch as nauplius 1 (N1). Some hours before hatching the vitelline membrane breaks and the embryo is freely suspended within the chorion; later the embryo takes on a slightly oval shape. When ready to hatch, the N1 pushes against the chorion with the posterior part of the abdomen producing a protuberance. No spine or egg tooth is present to break the chorion. The pressure breaks the chorion, and the nauplius pushes itself backwards with the first and second antennae and mandible to slide from the chorion. After about three quarters of the body is outside, the nauplius brings all the appendages together to move backwards without becoming stuck in the chorion. This is the backward hatching mechanism. The vitelline membrane remains within the egg after the nauplius leaves the chorion. Hatching takes 5-20 s, and most of the eggs in a clutch hatch during &lt;2 h. Several eggs of E. pacifica hatched as metanauplii (MN) (&gt;200 h after spawning) or as calyptopis 1 (C1) stage (&gt;232 h), rather than as N1. Delayed hatching of embryos also was observed in T. spinifera as nauplius 2 (N2) (&gt;120 h) or as MN stage (&gt;180 h), and in T. inspinata as N2 (106 h) after spawning. Eggs with larvae in stages of development beyond N1 have not been observed from preserved zooplankton samples. However, eggs spawned in the field and incubated in the laboratory also had extended development and late hatching but with low frequency (&lt;0.06%). It is proposed that, if the backward hatching mechanism fails, alternate hatching mechanisms can be used by the euphausiid. There is high flexibility in their hatching modes. The N2 and MN break the chorion with the first and second antennae, hatching forwards, and the C1 breaks it with the telson spines and by flipping of the abdomen, resembling the decapod hatching mechanism. Delayed hatching using the forward and flipping mechanisms were associated with low hatching success in comparison with the backward hatching mechanism.</t>
  </si>
  <si>
    <t>1265-1276</t>
  </si>
  <si>
    <t>60004432-60013402</t>
  </si>
  <si>
    <t>G√≥mez-Guti√©rrez, Jaime</t>
  </si>
  <si>
    <t>United States;Mexico</t>
  </si>
  <si>
    <t>Corvallis;La Paz</t>
  </si>
  <si>
    <t>Oregon State University;Centro Interdisciplinario de Ciencias Marinas</t>
  </si>
  <si>
    <t>60013402;60004432</t>
  </si>
  <si>
    <t>G√≥mez-Guti√©rrez J.</t>
  </si>
  <si>
    <t>Hatching mechanism and delayed hatching of the eggs of three broadcast spawning euphausiid species under laboratory conditions</t>
  </si>
  <si>
    <t>10.1093/plankt/24.12.1265</t>
  </si>
  <si>
    <t>2-s2.0-0036931021</t>
  </si>
  <si>
    <t>['transcriptional modifications', 'three sets', 'six mrnas', 'repressor protein', 'purple bacteria', 'pufb1a1lmcb2a2b3a 3', 'pufb genes', 'pufa genes', 'puf operon', 'puf genes', 'promoter located', 'possibly derived', 'possible promoters', 'possible promoter', 'one set', 'nucleotide sequence', 'long mrna', 'lh1 apoproteins', 'harvesting complex', 'genes coding', 'gene order', 'found within', 'flanking regions', 'findings indicate', 'direct upstream', 'core light', 'completely determined', 'biosynthesis genes', 'binding motif']</t>
  </si>
  <si>
    <t>Allochromatium (Chromatium) vinosum | Antenna proteins | Gene duplication | LH1 complex | puf operon | Purple sulfur bacteria</t>
  </si>
  <si>
    <t>The nucleotide sequence of the puf operon coding for the subunits of the photosynthetic reaction center and the core light-harvesting complex (LH1) of the purple sulfur bacterium, Allochromatium (A.) vinosum (formally Chromatium vinosum), was completely determined. Unlike other known puf operons, which contain only one set of genes coding for the LH1 apoproteins, pufB and pufA, the A. vinosum puf operon included three sets of pufB and pufA genes with a gene order of pufB1A1LMCB2A2B3A 3. Northern hybridization analysis suggested that all of the nine puf genes are co-transcribed as a 4.43 kb mRNA. Three small mRNAs corresponding to pufB2A2B3A3, pufB2A2B3, and pufB2A2 were detected, as well as two small mRNAs covering pufB1A1. Analysis of the nucleotide sequence of the puf operon, including the flanking regions and 5‚Ä≤-ends of the six mRNAs, suggested that the transcription of the A. vinosum puf operon is initiated at 74 bp downstream from the bchZ stop codon (295 bp upstream from the pufB1 start codon), and regulated by a promoter located at its direct upstream. The possible promoter is overlapped with a binding motif of a repressor protein for pigment-biosynthesis genes, PpsR or CrtJ, known in other purple bacteria. No other possible promoters were found within the puf genes. These findings indicate that three sets of pufA and pufB genes of A. vinosum are co-transcribed as a long mRNA containing all the puf genes, and, from this long mRNA, the five short mRNAs are possibly derived by post-transcriptional modifications.</t>
  </si>
  <si>
    <t>269-280</t>
  </si>
  <si>
    <t>60005038;60005038;60005038;60005038</t>
  </si>
  <si>
    <t>7102308420;35556033100;57200274634;7401673635</t>
  </si>
  <si>
    <t>Nagashima, Sakiko;Shimada, Keizo;Matsuura, Katsumi;Nagashima, Kenji V.P.</t>
  </si>
  <si>
    <t>Hachioji</t>
  </si>
  <si>
    <t>Tokyo Metropolitan University</t>
  </si>
  <si>
    <t>Nagashima S.</t>
  </si>
  <si>
    <t>Transcription of three sets of genes coding for the core light-harvesting proteins in the purple sulfur bacterium, Allochromatium vinosum</t>
  </si>
  <si>
    <t>10.1023/A:1021280104053</t>
  </si>
  <si>
    <t>2-s2.0-0036931425</t>
  </si>
  <si>
    <t>['transport model', 'power losses', 'ponderomotive force', 'plasma edge', 'model indicated', 'become parasitic']</t>
  </si>
  <si>
    <t>Results from a coupled radio frequency (RF) and transport model were compared with experiments in the axially inhomogeneous Mini-Radio Frequency Test Facility. The model indicated that power losses in the plasma edge, through inductive coupling mechanisms near the antenna can become parasitic to the helicon's operation at high-density and high magnetic field. It was found that the ponderomotive force can become significant near the edge of the plasma and downstream from the discharge, where a lower hybrid resonance existed.</t>
  </si>
  <si>
    <t>5097-5110</t>
  </si>
  <si>
    <t>1070664X</t>
  </si>
  <si>
    <t>Physics of Plasmas</t>
  </si>
  <si>
    <t>60024266;60024266;60024266;60024266;60011047;60024266;60024266;60024266;60016296;60016296</t>
  </si>
  <si>
    <t>35371543400;7004436911;7103023683;7005081677;57189011291;7202697586;57199321668;7005521707;6506069516;7102094477</t>
  </si>
  <si>
    <t>Carter, M. D.;Baity, F. W.;Barber, G. C.;Goulding, R. H.;Mori, Y.;Sparks, D. O.;White, K. F.;Jaeger, E. F.;Chang-D√≠az, F. R.;Squire, J. P.</t>
  </si>
  <si>
    <t>United States;United States;Japan</t>
  </si>
  <si>
    <t>Oak Ridge;Washington, D.C.;Fukuoka</t>
  </si>
  <si>
    <t>Oak Ridge National Laboratory;National Aeronautics and Space Administration;Kyushu University</t>
  </si>
  <si>
    <t>60024266;60016296;60011047</t>
  </si>
  <si>
    <t>Carter M.D.</t>
  </si>
  <si>
    <t>Comparing experiments with modeling for light ion helicon plasma sources</t>
  </si>
  <si>
    <t>10.1063/1.1519539</t>
  </si>
  <si>
    <t>2-s2.0-0036933404</t>
  </si>
  <si>
    <t>['spatial distribution', 'results indicated', 'probing microwave', 'plasma density', 'objects could', 'maximum power', 'heterodyne interferometer', 'good image', 'frequency f1', 'divergence angle', '200 mw', '2 ghz']</t>
  </si>
  <si>
    <t>A microwave imaging system based on the use of heterodyne interferometer and assisted by the diode scattering principle was developed to measure the spatial distribution of plasma density. The fan beam microwave used as the main probing beam was a continuous wave emitted from the Gunn diode oscillator with a frequency f1=14.2 GHz and a maximum power of 200 mW. The probing microwave was launched from the rectangular horn antenna with an aperture of 5.2√ó1 cm2 and a divergence angle of ¬±30¬∞. Results indicated that a good image of the objects could be reconstructed and system was equivalent to multichannel imaging system.</t>
  </si>
  <si>
    <t>4229-4231</t>
  </si>
  <si>
    <t>60010742;60010742;60010742;60103907</t>
  </si>
  <si>
    <t>55327346700;56262770900;7403123890;7006482260</t>
  </si>
  <si>
    <t>Ito, H.;Yugami, N.;Nishida, Y.;Sakai, W.</t>
  </si>
  <si>
    <t>Tokyo;Utsunomiya</t>
  </si>
  <si>
    <t>Nippon Hoso Kyokai;Utsunomiya University</t>
  </si>
  <si>
    <t>60103907;60010742</t>
  </si>
  <si>
    <t>Imaging system for low-density plasma by heterodyne interferometer with fan beam microwave</t>
  </si>
  <si>
    <t>10.1063/1.1516833</t>
  </si>
  <si>
    <t>2-s2.0-0036933616</t>
  </si>
  <si>
    <t>National Eye Research Centre</t>
  </si>
  <si>
    <t>NERC</t>
  </si>
  <si>
    <t>['widely separated', 'several families', 'results confirm', 'regional identity', 'posterior portions', 'posterior portion', 'molecular markers', 'laterally displaced', 'lateral extensions', 'intervening tissue', 'host larvae', 'head capsule', 'fate map', 'eyed flies', 'exaggerated morphology', 'diopsid stalk', 'diopsid eye', 'different regions', 'developmental basis', 'cyrtodiopsis dalmanni', 'anterior portion', 'antennal discs', 'adult head', 'adult eye']</t>
  </si>
  <si>
    <t>Eye-antennal disc | Fate map | Head | Metamorphosis | Stalk-eyed fly</t>
  </si>
  <si>
    <t>Hypercephaly, in the form of lateral extensions of the head capsule, is observed in several families of Diptera. A particularly extreme form is found in diopsid stalk-eyed flies, in which both eyes and antennae are laterally displaced at the end of eyestalks. We have studied the developmental basis of this exaggerated morphology in Cyrtodiopsis dalmanni. Diopsid eye-antennal imaginal discs are divided into anterior and posterior portions, which are joined by a narrow "disc-stalk" of intervening tissue. We established a fate map for this disc by cutting it into fragments and culturing them in vivo by injecting them into host larvae. The adult eye and dorsal head capsule structures, including the eyestalk and the ocelli, are derived from the posterior portion of the disc, while ventral adult structures such as the antenna and the palpus are derived from the anterior portion of the disc. Thus both posterior and anterior disc portions give rise to structures that are widely separated in the adult head. Moreover, structures that are adjacent in the adult are derived from different regions of the disc. These results confirm and extend previous conclusions about regional identity in diopsid eye-antennal discs that were based on the analysis of molecular markers.</t>
  </si>
  <si>
    <t>38-42</t>
  </si>
  <si>
    <t>0949944X</t>
  </si>
  <si>
    <t>Development Genes and Evolution</t>
  </si>
  <si>
    <t>60022148;60022148;60022148;60022148</t>
  </si>
  <si>
    <t>6603778986;6504037272;7103024394;7406226036</t>
  </si>
  <si>
    <t>Hurley, Imogen;Pamiankowski, Andrew;Fowler, Kevin;Smith, Hazel</t>
  </si>
  <si>
    <t>Hurley I.</t>
  </si>
  <si>
    <t>Fate map of the eye-antenhal imaginal disc in the stalk-eyed fly cyrtodiopsis dalmanni</t>
  </si>
  <si>
    <t>10.1007/s00427-001-0206-z</t>
  </si>
  <si>
    <t>2-s2.0-0036935182</t>
  </si>
  <si>
    <t>['‚ àº2', 'total metabolism', 'separating locomotion', 'range 10', 'pale individuals', 'oxygen concentration', 'mna ).', 'jerks increased', 'feeding functions', 'energy cost', 'energy budget', 'drag force', 'basal metabolism', 'antenna fell', 'achieved due', '1 dyn', '1 ),', '04 dyn']</t>
  </si>
  <si>
    <t>The influence of oxygen concentration on total and basal metabolism, scope of activity, drag force and duration of jerks, time spent swimming and energy cost of locomotion in Moina micrura Hellich females cultured under hypo- and normoxia was investigated. Scope of activity (Q1) of hemoglobin-rich red individuals (Ma) acclimated to hypoxia depended less upon oxygen concentration than that of non-acclimated, pale individuals (Mna). Within the range 10-0.3 mg O2 1-1 Q1 decreased 4.4-fold in Ma and 62.5-fold in Mna. In both Ma and Mna the integral drag force of antenna fell from 0.22¬±0.07 to 0.12¬±0.04 dyn (1 dyn = 1.10-5 N), the duration of jerks increased from 0.06¬±0.01 to 0.1¬±0.02 s in the range from ‚àº2.0 mg O2 1-1 to sublethal oxygen concentrations. At 0.7-0.8 mg O2 1-1 Mna stopped filtration and increased time spent swimming. In contrast, even under more severe hypoxia (‚àº0.2 mg O2 1-1), Ma maintained their filtering activity using energy (up to 80% of total metabolism) achieved due to increased oxygen capacity of the blood. Separating locomotion and feeding functions, M. micrura can spend less energy for swimming and use its energy budget more plastically under changing environmental conditions.</t>
  </si>
  <si>
    <t>145-151</t>
  </si>
  <si>
    <t>Marine Biology</t>
  </si>
  <si>
    <t>60011029;60011029</t>
  </si>
  <si>
    <t>55983339500;6505784020</t>
  </si>
  <si>
    <t>Svetlichny, L. S.;Hubareva, E. S.</t>
  </si>
  <si>
    <t>Sevastopol</t>
  </si>
  <si>
    <t>A. O. Kovalevsky Institute of Biology of the Southern Seas of Russian Academy of Science</t>
  </si>
  <si>
    <t>Svetlichny L.</t>
  </si>
  <si>
    <t>Effect of oxygen concentration on metabolism and locomotory activity of Moina micrura (Cladocera) cultured under hypo- and normoxia</t>
  </si>
  <si>
    <t>10.1007/s00227-002-0805-x</t>
  </si>
  <si>
    <t>2-s2.0-0036938948</t>
  </si>
  <si>
    <t>['training sequences', 'training sequence', 'q mismatch', 'proposed technique', 'dc offset', 'conversion architectures', 'computer simulation', 'communication receivers']</t>
  </si>
  <si>
    <t>Channel estimation | DC offset | I/Q mismatch</t>
  </si>
  <si>
    <t>A digital signal processing technique for compensating both the I/Q mismatch and the DC offset in communication receivers is derived with an emphasis on direct-conversion architectures. The I/Q mismatch and DC offset are estimated in a least-squares sense using a training sequence. Also, a group of training sequences that minimizes the mean square error of the estimate is determined. The advantages of the proposed technique are demonstrated through computer simulation.</t>
  </si>
  <si>
    <t>547-549</t>
  </si>
  <si>
    <t>60032144;101825102;60032144</t>
  </si>
  <si>
    <t>7004948217;7007059719;57218447823</t>
  </si>
  <si>
    <t>Sohn, Il Hyun;Jeong, Eui Rim;Lee, Yong H.</t>
  </si>
  <si>
    <t>Korea Advanced Institute of Science and Technology;Hyundai Syscomm. Inc.</t>
  </si>
  <si>
    <t>60032144;101825102</t>
  </si>
  <si>
    <t>Sohn I.H.</t>
  </si>
  <si>
    <t>Data-aided approach to I/Q mismatch and DC offset compensation in communication receivers</t>
  </si>
  <si>
    <t>10.1109/LCOMM.2002.806451</t>
  </si>
  <si>
    <t>2-s2.0-0036945697</t>
  </si>
  <si>
    <t>All India Council for Technical Education</t>
  </si>
  <si>
    <t>F. 8020/RID/R&amp;D-28/2001-02</t>
  </si>
  <si>
    <t>AICTE</t>
  </si>
  <si>
    <t>['would save', 'video data', 'users still', 'user latency', 'transfer rates', 'staircase scheme', 'slightly higher', 'local storage', 'lesser speed', 'important parameter', 'harmonic scheme', 'get affected', 'employing bandwidth', 'downloading rate', 'buffer storage', 'broadcasting scheme', 'best performance', '40 mbps', '4 %)', '25 channels']</t>
  </si>
  <si>
    <t>Bandwidth utilization | Harmonic broadcasting | Staircase broadcasting | Video broadcasting | Video-on-Demand (VOD)</t>
  </si>
  <si>
    <t>In a broadcasting scheme, the user's latency is a very important parameter. The harmonic broadcasting scheme has been found to have the best performance for user's latency and staircase broadcasting scheme has been found to have the best performance for local storage as well as for disk transfer rates. In this paper a modified staircase scheme has been proposed which shows that if the video data is downloaded with lesser speed which would save the local storage and hence the disk transfer rate, the users still can be provided the video in a continuous manner without any jerk or jitter. Further, if the downloading rate of the video is reduced after 3.25 channels, the users' services for viewing the videos does not get affected. In particular, for employing bandwidth of about 40 mbps, the modified staircase data scheme shows the performance for user latency about 29% better and the local storage is same but disk I/O transfer rates are slightly higher (4%) in comparison to staircase scheme. In comparison to harmonic scheme, user's latency is 24% higher but buffer storage and disk I/O transfer rates are about 35% and 30%, respectively, better for the same bandwidth. However the values of the performance parameters converge to those of harmonic scheme as the bandwidth is increased.</t>
  </si>
  <si>
    <t>274-280</t>
  </si>
  <si>
    <t>60010633;60030622</t>
  </si>
  <si>
    <t>35368074500;6603749812</t>
  </si>
  <si>
    <t>Chand, Satish;Om, Hari</t>
  </si>
  <si>
    <t>New Delhi;New Delhi</t>
  </si>
  <si>
    <t>Jawaharlal Nehru University;Netaji Subhas Institute of Technology</t>
  </si>
  <si>
    <t>60030622;60010633</t>
  </si>
  <si>
    <t>Chand S.</t>
  </si>
  <si>
    <t>Modified staircase data broadcasting scheme for popular videos</t>
  </si>
  <si>
    <t>10.1109/TBC.2002.806798</t>
  </si>
  <si>
    <t>2-s2.0-0036945849</t>
  </si>
  <si>
    <t>['transmission line', 'tower width', 'studied exhaustively', 'regions permit', 'recent effort', 'quarter wavelength', 'monopole height', 'maximum efficiency', 'many years', 'input impedance', 'increases efficiency', 'height approximating', 'hard problem', 'folded monopoles', 'directivity characteristics', 'digital transmissions', 'determined taking', 'cage diameter', 'antennas offer', 'antenna tuners', 'antenna height']</t>
  </si>
  <si>
    <t>Antenna measurements | Antenna proximity factors | Antennas | Broadcasting | Ground wave propagation | Impedance measurement | Radio broadcasting | Surface wave | Transmitting antennas</t>
  </si>
  <si>
    <t>Folded monopole antennas have been used for many years in medium frequency amplitude modulation broadcast applications. These antennas offer a grounded radiating structure with a height approximating a quarter wavelength. Folded monopoles have been studied exhaustively during a recent effort in an attempt to characterize the input impedance and directivity characteristics as a function of monopole height. As a result it was observed that several impedance regions can be achieved as a function of antenna height and cage diameter. Some of these regions permit a bandwidth operation sufficiently broad to support a high fidelity response for analog or digital transmissions. This type of antenna can be useful at different heights including a self matching region at the standard 50 ohms impedance. By choosing the appropriate antenna physical dimensions, antenna tuners can be avoided and thus it increases efficiency. Measurements have been made on a full scale 72 meter tower with a 6 wire cage in order to validate the calculated antenna input impedance and directivity. The cage and supporting mast make up the equivalent of a transmission line. For this reason different standard triangular towers were analyzed in order to determine their effect on the input impedance. Tower effective radius is determined taking into account the tower width and the tower leg diameter. At the same time, a minimum antenna height with maximum efficiency has been analyzed to solve the hard problem for installations at places where antenna height is a challenge for the designer.</t>
  </si>
  <si>
    <t>324-330</t>
  </si>
  <si>
    <t>Trainotti, Valentin</t>
  </si>
  <si>
    <t>Villa Martelli</t>
  </si>
  <si>
    <t>Instituto de Investigaciones Cientificas y Tecnicas de Las Fuerzas Armadas</t>
  </si>
  <si>
    <t>MF AM folded monopole characteristics</t>
  </si>
  <si>
    <t>10.1109/TBC.2002.806192</t>
  </si>
  <si>
    <t>2-s2.0-0036946627</t>
  </si>
  <si>
    <t>U.S. Naval Research Laboratory</t>
  </si>
  <si>
    <t>NRL</t>
  </si>
  <si>
    <t>['simple closed', 'shift keying', 'performance analysis', 'order approximation', 'optimum combiner', 'multiple interferers', 'form expression', 'ary phase', 'analytical solutions']</t>
  </si>
  <si>
    <t>Cochannel interference | MPSK | Optimum combining</t>
  </si>
  <si>
    <t>In this letter, we study the performance analysis of optimum combiner for M-ary phase-shift keying (MPSK) with multiple interferers in a flat Rayleigh fading channel. The first-order approximation is considered for the dual-antenna diversity reception. We derive the analytical solutions for the ordered mean eigenvalues of interference-plus-noise covariance matrix and a simple closed-form expression for the average symbol error rate of MPSK in the case of multiple cochannel interferers.</t>
  </si>
  <si>
    <t>541-543</t>
  </si>
  <si>
    <t>7202649009;37960931800</t>
  </si>
  <si>
    <t>Kwak, Jin Sam;Lee, Jae Hong</t>
  </si>
  <si>
    <t>Kwak J.</t>
  </si>
  <si>
    <t>Performance analysis of optimum combining for dual-antenna diversity with multiple interferers in a Rayleigh fading channel</t>
  </si>
  <si>
    <t>10.1109/LCOMM.2002.806466</t>
  </si>
  <si>
    <t>2-s2.0-0036950664</t>
  </si>
  <si>
    <t>NCC2-374</t>
  </si>
  <si>
    <t>['time codes', 'receive antennas', 'large number', 'frequency codes', 'also valid']</t>
  </si>
  <si>
    <t>Euclidean distance | MIMO OFDM | Space-frequency coding</t>
  </si>
  <si>
    <t>In this letter we show that when the number of receive antennas is large, the Euclidean distance among codewords dominates the performance of space-frequency codes, the same result as for space-time codes. Therefore, in the presence of a large number of receive antennas, space-frequency codes can be optimized by using the Euclidean-distance criterion valid for additive white Gaussian noise channels. Simulation results show that this conclusion is also valid when the number of antennas is small.</t>
  </si>
  <si>
    <t>523-525</t>
  </si>
  <si>
    <t>60027550;60012162;60027550</t>
  </si>
  <si>
    <t>7701314855;7102451112;57203486984</t>
  </si>
  <si>
    <t>Wang, Jibing;Biglieri, Ezio;Yao, Kung</t>
  </si>
  <si>
    <t>Los Angeles;Turin</t>
  </si>
  <si>
    <t>University of California, Los Angeles;Politecnico di Torino</t>
  </si>
  <si>
    <t>60027550;60012162</t>
  </si>
  <si>
    <t>Asymptotic performance of space-frequency codes over broadband channels</t>
  </si>
  <si>
    <t>10.1109/LCOMM.2002.806463</t>
  </si>
  <si>
    <t>2-s2.0-0036950846</t>
  </si>
  <si>
    <t>['service prediction', 'september 2001', 'receiving antennas', 'dtv reception', 'dtv receivers', 'dtv coverage', '3 pp']</t>
  </si>
  <si>
    <t>DTV reception | Impedance mismatch | Receiving antenna</t>
  </si>
  <si>
    <t>Since 1999 Fox Broadcasting has been making laboratory measurements of DTV receiving apparatus, both antennas and DTV receivers. While Fox was making empirical measurements, others were investigating the effects of various electrical characteristics analytically, most notably Bendov et al., "DTV Coverage and Service Prediction, Measurement and Performance Indices," IEEE Transactions on Broadcasting, Vol. 47, no. 3 pp. 207-217, September 2001. It is the purpose of this paper to share the results of Fox's measurements of receiving antennas and discuss their effect on DTV reception.</t>
  </si>
  <si>
    <t>365-369</t>
  </si>
  <si>
    <t>100619623;100619623</t>
  </si>
  <si>
    <t>6508250419;7006309627</t>
  </si>
  <si>
    <t>Schnelle, Denise;Wetmore, R. Evans</t>
  </si>
  <si>
    <t>Division of Fox Entertainment Group</t>
  </si>
  <si>
    <t>Schnelle D.</t>
  </si>
  <si>
    <t>Evaluation of antenna and receiver mismatch effects on DTV reception</t>
  </si>
  <si>
    <t>10.1109/TBC.2002.806199</t>
  </si>
  <si>
    <t>2-s2.0-0036950984</t>
  </si>
  <si>
    <t>['would experience', 'unwatchable picture', 'single antenna', 'severe multipath', 'processing program', 'potentially superior', 'less severe', 'indoor reception', 'data captures']</t>
  </si>
  <si>
    <t>8-VSB | Antenna separation | Data capture | Digital television | Diversity reception | Indoor reception | Measurements | Multipath channels | Receiver algorithms | Reception survey | Spatial diversity | Terrestrial broadcast TV</t>
  </si>
  <si>
    <t>The reliability and efficacy of indoor reception of 8VSB Digital Terrestrial Television (DTV) in four major U.S. cities was studied in an initial field measurement survey program and a subsequent data capture and processing program. Measurements from the initial survey identified problem sites for reliable DTV reception using currently available 2nd generation DTV receivers. Subsequent field dual channel data captures made at the identified problem sites provided data for testing and verification of new antenna diversity receiver algorithms destined for future generation DTV receivers. From data captures at selected problem sites of sufficient signal strength, but where currently available 2nd generation DTV receivers failed, it was found that in 70% of the cases DTV reception performance was satisfactory when using new antenna diversity receiver algorithms. These measurements and data captures corroborate the claim that the VSB DTV indoor reception problem may be less severe than implied from surveys using less advanced current 2nd generation receivers with a single antenna. For sites with severe multipath, 8VSB DTV reception could be potentially superior to NTSC, which would experience an unwatchable picture.</t>
  </si>
  <si>
    <t>261-273</t>
  </si>
  <si>
    <t>100459988;100459988;100459988;60016561;;</t>
  </si>
  <si>
    <t>7006309627;7101898583;6508250419;7005246933;55760863200;6505506349</t>
  </si>
  <si>
    <t>Wetmore, R. Evans;Radford, Mike;Schnelle, Denise;Meehan, Joseph;Kennedy, Rodney A.;Miniutti, Dino</t>
  </si>
  <si>
    <t>Eindhoven;Los Angeles</t>
  </si>
  <si>
    <t>Philips Research;News Technology Group</t>
  </si>
  <si>
    <t>60016561;100459988</t>
  </si>
  <si>
    <t>Wetmore R.</t>
  </si>
  <si>
    <t>Joint VSB terrestrial digital TV indoor reception project</t>
  </si>
  <si>
    <t>10.1109/TBC.2002.806197</t>
  </si>
  <si>
    <t>2-s2.0-0036951290</t>
  </si>
  <si>
    <t>['two steps', 'tumor tissue', 'transformed cells', 'tissue temperature', 'second step', 'promising one', 'microwaves emitted', 'mechanical strength', 'mechanical functions', 'matrix preserves', 'living tissues', 'left intact', 'hydro gels', 'heated similarly', 'first step', 'enable us', 'bone tumor', 'biochemical activity', 'antenna inserted', 'animal experiments', '30 minutes']</t>
  </si>
  <si>
    <t>Bioengineering | Bone tumor | Hyperthermia | Medical engineering | Medical equipment | Microwave therapy | Pasteurization</t>
  </si>
  <si>
    <t>In vivo microwave treatments for bone tumor are designed, which enable us to conserve the activity and functionality of the matrix of living tissues. This treatment is composed of two steps. In the first step, the tumor was coagulated by the application of microwaves emitted from the antenna inserted into the tumor tissue, and then removed. In the second step, the surrounding tissue suspected to be invaded with transformed cells was covered with hydro gels and heated similarly. The tissue itself was heated by the conduction from the gels. The tissue temperature should be kept at 60¬∞C for 30 minutes. This treatment should kill the whole cells within the tissues, but the mechanical strength and the biochemical activity of the matrix should be left intact. The matrix preserves the mechanical functions and ensures the maximum regeneration ability of the tissue. In this study, various hydro gels were examined and the most promising one was selected. Animal experiments were carried out and successful heating verified the applicability of the treatment.</t>
  </si>
  <si>
    <t>923-928</t>
  </si>
  <si>
    <t>JSME International Journal, Series C: Mechanical Systems, Machine Elements and Manufacturing</t>
  </si>
  <si>
    <t>60003303;60003303;60003303;60003303;60003303;60003334;60003303;60002561;60002561;60003303;60003334</t>
  </si>
  <si>
    <t>7006413403;6602147016;8361025100;7401625347;55259246500;54881372000;7102076221;57193330026;35199990800;35478065500;35429490500</t>
  </si>
  <si>
    <t>Takakuda, Kazuo;Inaoka, Shuken;Saito, Hirokazu;Hassan, Moinuddin;Koyama, Yoshikazu;Kuroda, Hiroshi;Kanaya, Tomohiro;Kosaka, Toshifumi;Tanaka, Shigeo;Miyairi, Hiroo;Shinomiya, Kenichi</t>
  </si>
  <si>
    <t>Tokyo;Tokyo;Tokyo</t>
  </si>
  <si>
    <t>Tokyo Medical and Dental University School of Medicine;Tokyo Medical and Dental University;Nihon University</t>
  </si>
  <si>
    <t>60003334;60003303;60002561</t>
  </si>
  <si>
    <t>Takakuda K.</t>
  </si>
  <si>
    <t>Microwave therapy for bone tumors</t>
  </si>
  <si>
    <t>10.1299/jsmec.45.923</t>
  </si>
  <si>
    <t>2-s2.0-0036951322</t>
  </si>
  <si>
    <t>UNAM</t>
  </si>
  <si>
    <t>['visual council', 'using reservation', 'upstream channel', 'uncompressed voice', 'system throughput', 'significantly affected', 'results indicated', 'performance characteristics', 'paper examines', 'packet sizes', 'packet size', 'network capacity', 'link utilization', 'limiting factor', 'individual subscribers', 'header suppression', 'fixed access', 'different streams', 'channel utilization', 'channel capacity', 'cable population', 'analysis focuses', '700 nodes', '128 kbps']</t>
  </si>
  <si>
    <t>Broadband channel capacity and performance analysis | Cable modem | CATV networks | DAVIC | DVB | ETSI ES 200 300 | Isochronous streams | Voice over IP</t>
  </si>
  <si>
    <t>This paper examines the capacity and performance characteristics of the Digital Video Broadcasting (DVB)/Digital Audio-Visual Council (DAVIC) Cable Television Protocol for the delivery of low rate isochronous streams for a cable population of up to 700 nodes. Streams (ranging from 8 to 128 Kbps) suitable for timing critical services such as compressed/uncompressed voice (e.g., VoIP: G711 and G.7231), audio and low quality video, were considered in order to study the effects on channel capacity when using reservation and fixed access for the delivery of timing critical services. The analysis focuses on the performance of the upstream channel, which is the limiting factor of Community Antenna Television (CATV) networks and is critical in the delivery of services to individual subscribers on demand. Simulation results indicated that such streams, within the given protocol limitations, can be supported for a particular system population with trade-offs in terms of system throughput and channel utilization. Network capacity, in terms of the number of simultaneous streams supported and link utilization, is significantly affected by packet size. Analysis of the results indicated that for different streams, packet sizes and combined with header suppression, the benefits from the use of fixed access is essential for the support of timing critical services.</t>
  </si>
  <si>
    <t>60001881;60001881;;60007902</t>
  </si>
  <si>
    <t>6602221798;7403976044;6602576322;6507890089</t>
  </si>
  <si>
    <t>Rangel, Victor;Edwards, Robert M.;Tzerefos, Polychronis;Schunke, Klaus Dieter</t>
  </si>
  <si>
    <t>Braunschweig;Sheffield</t>
  </si>
  <si>
    <t>Technische Universit√§t Braunschweig;The University of Sheffield</t>
  </si>
  <si>
    <t>60007902;60001881</t>
  </si>
  <si>
    <t>Rangel V.</t>
  </si>
  <si>
    <t>Delivery of low rate isochronous streams over the digital video broadcasting/digital audio-visual council cable television protocol</t>
  </si>
  <si>
    <t>10.1109/TBC.2002.806795</t>
  </si>
  <si>
    <t>2-s2.0-0036955911</t>
  </si>
  <si>
    <t>['tested materials', 'radio detection', 'local flaws', 'glued structures', 'foreign materials', 'dielectric materials', 'dielectric constants', 'air voids']</t>
  </si>
  <si>
    <t>A study of radio detection of local flaws in dielectrics was performed. Radio detection of flaws in dielectric materials and structures is based on the contrast between the dielectric constants of flaws and tested materials. The class of local flaws includes starved spots in glued structures, air voids, cracks, and inclusions of foreign materials.</t>
  </si>
  <si>
    <t>700-703</t>
  </si>
  <si>
    <t>Russian Journal of Nondestructive Testing</t>
  </si>
  <si>
    <t>Semenov, V. S.</t>
  </si>
  <si>
    <t>Tomsk</t>
  </si>
  <si>
    <t>Tomsk State University</t>
  </si>
  <si>
    <t>Semenov V.</t>
  </si>
  <si>
    <t>Radio detection of local flaws in dielectrics</t>
  </si>
  <si>
    <t>10.1023/A:1022866423932</t>
  </si>
  <si>
    <t>2-s2.0-0036956642</t>
  </si>
  <si>
    <t>['unit cost', 'undersampling technique', 'truly low', 'spatial filtering', 'simulations applied', 'sidelobe suppression', 'radar application', 'provide low', 'past decade', 'mobile terminals', 'mass produced', 'interference cancellation', 'growth seen', 'exploits low', 'enable flexibility', 'cost architecture', 'commensurate fall', 'beamforming function', 'adaptive cancellation']</t>
  </si>
  <si>
    <t>The explosion of growth seen in the past decade in the mobile telephony market has meant that the electronic components used in the manufacture of mobile terminals are now mass produced, with a commensurate fall in unit cost. By exploiting the functionality of such components in phased array antenna design a truly low-cost phased array antenna can be realised. An array antenna architecture is presented that exploits low-cost component technologies. A low-cost architecture for enabling an adaptive, or smart, capability is developed. By separation of the beamforming function and spatial adaptive processing function into two separate signal paths an undersampling technique can be used to provide low-cost spatial processing. The performance of an adaptive processing algorithm is investigated for a radar application. Simulations applied to array element patterns measured on a 16-element linear array demonstrate the performance of the antenna in sidelobe suppression and interference cancellation/spatial filtering. A penalty function approach for sidelobe suppression is applied and is shown to enable flexibility between adaptive cancellation of interference and overall sidelobe level.</t>
  </si>
  <si>
    <t>Fletcher, P. N.;Dean, M.</t>
  </si>
  <si>
    <t>Low-cost digital adaptive antenna architecture combined with low-sidelobe beam synthesis</t>
  </si>
  <si>
    <t>10.1049/ip-rsn:20020715</t>
  </si>
  <si>
    <t>2-s2.0-0036959242</t>
  </si>
  <si>
    <t>['two components', 'three isomers', 'three components', 'tertiary combinations', 'sex pheromone', 'racemic mixtures', 'racemic mixture', 'racemic components', 'prunifoliella males', 'minor component', 'male attraction', 'major electrophysiologically', 'major compound', 'lyonetia prunifoliella', 'four stereoisomers', 'field trappings', 'eag test', 'american population', 'additional effect', 'active stereoisomer', '9s isomers', '18hy ),', '17hy ).', '14s isomer']</t>
  </si>
  <si>
    <t>10,14-dimethyloctadec-1-ene | 5,9- dimethylheptadecane | 5,9-dimethyloctadecane | EAG | Field trapping | Lyonetia prunifoliella | Sex pheromone</t>
  </si>
  <si>
    <t>The sex pheromone of the American population of Lyonetia prunifoliella (Lepidoptera: Lyonetiidae) was reported to be composed of three components, 10,14-dimethyloctadec-1-ene(10me14me-1-ene-18Hy), 5,9-dimethyloctadecane (5me9me-18Hy), and 5,9-dimethylheptadecane (5me9me-17Hy). Studies with a Korean population showed that the 10S,14S isomer of the major compound was the major electrophysiologically by active stereoisomer. The 5S,9S isomers of the minar constituents also elicited electrophysiological responses. In field trappings, among the three components, the racemic mixture of 10me14me-1-ene-18Hy attracted L. prunifoliella males strongly, and the binary or tertiary combinations with racemic mixtures of the other two components did not increase trap catches. Among the four stereoisomers of 10me14me-1-ene-18Hy, only the 10S,14S isomer attracted L. prunifoliella males, as suggested by the EAG test, and attraction to the other three isomers was not observed. All stereoisomers of each minor component, as well as their racemic components, did not seem to have any additional effect on male attraction in Korea.</t>
  </si>
  <si>
    <t>2515-2525</t>
  </si>
  <si>
    <t>60013682;60013682;100732548;60013682</t>
  </si>
  <si>
    <t>56818080300;7402963220;24543409400;7003459904</t>
  </si>
  <si>
    <t>Park, J. H.;Han, K. S.;Mori, K.;Boo, K. S.</t>
  </si>
  <si>
    <t>South Korea;Japan</t>
  </si>
  <si>
    <t>Seoul;Tokyo</t>
  </si>
  <si>
    <t>Seoul National University;Fuji Flavor Co., Ltd.</t>
  </si>
  <si>
    <t>60013682;100732548</t>
  </si>
  <si>
    <t>Right stereoisomers for sex pheromone components of the apple leafminer, Lyonetia prunifoliella, in Korea</t>
  </si>
  <si>
    <t>10.1023/A:1021488103491</t>
  </si>
  <si>
    <t>2-s2.0-0036959937</t>
  </si>
  <si>
    <t>['umts ).', 'traffic channels', 'terrestrial infrastructure', 'statistical method', 'seamless integration', 'satellite component', 'rough estimate', 'quickly provide', 'possible candidate', 'paramount importance', 'offered capacity', 'maximum communality', 'currently proposed']</t>
  </si>
  <si>
    <t>CDMA | Optimization | Satellite</t>
  </si>
  <si>
    <t>New Mobile Satellite Systems (MSS) will try to address the wireless mass market offering a seamless integration to the terrestrial infrastructure. To exploit the maximum communality, a Code Division Multiple Access (CDMA) is currently proposed as a possible candidate for the Satellite component of Universal Mobile Telecommunication System (S-UMTS). Of paramount importance from the system effectiveness point of view is the offered capacity in terms of traffic channels. A statistical method was developed to quickly provide a rough estimate of the average system capacity as a function of different system parameters. The paper will discuss the definition of the statistical method and will present results regarding the optimisation of multibeam antenna configurations for GEO-based CDMA MSS. ¬© 2002 Lister Science.</t>
  </si>
  <si>
    <t>60073283;60073283;60032350;60073283</t>
  </si>
  <si>
    <t>15122016500;6506280113;6503917877;6602830632</t>
  </si>
  <si>
    <t>Angeletti, P.;D'Ignazio, T.;La Manna, R.;Lisi, M.</t>
  </si>
  <si>
    <t>Alenia Aeronautica;Sapienza Universit√† di Roma</t>
  </si>
  <si>
    <t>60073283;60032350</t>
  </si>
  <si>
    <t>Angeletti P.</t>
  </si>
  <si>
    <t>Optimization of code division multiple access geo satellite systems</t>
  </si>
  <si>
    <t>2-s2.0-0036960220</t>
  </si>
  <si>
    <t>['yl decanoate', 'unbranched medium', 'stereogenic center', 'ponerine ant', 'new homoterpenoids', 'mass spectrometry', 'main volatiles', 'gnamptogenys striatula', 'gas chromatography', 'corresponding dodecanoate', ')- configuration']</t>
  </si>
  <si>
    <t>4-methylgeraniol | Dufour's gland | Gnamptogenys | Homoterpene | Terpenoid esters</t>
  </si>
  <si>
    <t>Extracts of Dufour's gland of the ponerine ant, Gnamptogenys striatula, were analyzed by using the combination of gas chromatography and mass spectrometry. Series of esters of the new homoterpenoids (2E,6)-3,4,7-trimethyl-2,6-octadiene-1-ol (4-methylgeraniol) and (2E,6)-3,4,7-trimethyl-2, 6-nonadiene-1-ol (bishomogeraniol) with unbranched medium-chain fatty acids were identified. Transformation of the chiral natural products into 1,4-di (trifluoroacetoxy)-3-methylpentane and comparison of its gas chromatographic retention time on a modified cyclodextrin phase with that of synthetic optically active reference samples proved the stereogenic center to keep (S)-configuration. (2E,4S,6)-3,4,7-Trimethyl-2,6-octadien-1-yl decanoate and the corresponding dodecanoate are the main volatiles in the extracts.</t>
  </si>
  <si>
    <t>2541-2555</t>
  </si>
  <si>
    <t>60028229;60028229;60009647;60009647;60072443;60028229</t>
  </si>
  <si>
    <t>56245572300;57197233567;6602080350;6701836660;7004045664;7006506442</t>
  </si>
  <si>
    <t>Schulz, Claudia M.;Lehmann, Lutz;Blatrix, Rumsa√Øs;Jaisson, Pierre;Hefetz, Abraham;Francke, Wittko</t>
  </si>
  <si>
    <t>Israel;Germany;France</t>
  </si>
  <si>
    <t>Tel Aviv-Yafo;Hamburg;Villetaneuse</t>
  </si>
  <si>
    <t>The George S. Wise Faculty of Life Sciences;Universit√§t Hamburg;University Sorbonne Paris Nord</t>
  </si>
  <si>
    <t>60072443;60028229;60009647</t>
  </si>
  <si>
    <t>Schulz C.</t>
  </si>
  <si>
    <t>Identification of new homoterpene esters from Dufour's gland of the ponerine ant: Gnamptogenys striatula</t>
  </si>
  <si>
    <t>10.1023/A:1021492204400</t>
  </si>
  <si>
    <t>2-s2.0-0036962436</t>
  </si>
  <si>
    <t>['signal detection', 'signal combining', 'paper considers', 'often utilized', 'numerical examples', 'noise subspace', 'identifiability conditions', 'guarantee unique', 'great interest', 'egc ),', 'detection schemes', 'detection scheme', 'current st', 'conventional single', 'combining techniques', 'coded mc', 'channel identification', 'channel estimation', 'cdma systems', 'based mc', 'also presented']</t>
  </si>
  <si>
    <t>Blind channel identification | Identifiability | MC-CDMA | Multiuser detection | OFDM | Space-time coding</t>
  </si>
  <si>
    <t>Integrating the strengths of multicarrier (MC) modulation and code division multiple access (CDMA), MC-CDMA systems are of great interest for future broadband transmissions. This paper considers the problem of channel identification and signal combining/detection schemes for MC-CDMA systems equipped with multiple transmit antennas and space-time (ST) coding. In particular, a subspace-based blind channel identification algorithm is presented. Identifiability conditions are examined and specified which guarantee unique and perfect (up to a scalar) channel estimation when knowledge of the noise subspace is available. Several popular single-user based signal combining schemes, namely the maximum ratio combining (MRC) and the equal gain combining (EGC), which are often utilized in conventional single-transmit-antenna-based MC-CDMA systems, are extended to the current ST-coded MC-CDMA (STC-MC-CDMA) system to perform joint combining and decoding. In addition, a linear multiuser minimum mean square error (MMSE) detection scheme is also presented, which is shown to outperform the MRC and EGC at some increased computational complexity. Numerical examples are presented to evaluate and compare the proposed channel identification and signal detection/combining techniques.</t>
  </si>
  <si>
    <t>1314-1324</t>
  </si>
  <si>
    <t>60000009;60027392</t>
  </si>
  <si>
    <t>Hoboken;Villanova</t>
  </si>
  <si>
    <t>Stevens Institute of Technology;Villanova University</t>
  </si>
  <si>
    <t>60027392;60000009</t>
  </si>
  <si>
    <t>Space-time coded MC-CDMA: Blind channel estimation, identifiability, and receiver design</t>
  </si>
  <si>
    <t>10.1155/S1110865702209075</t>
  </si>
  <si>
    <t>2-s2.0-0036962531</t>
  </si>
  <si>
    <t>['subsurface layers', 'special case', 'searching process', 'penetrating radar', 'new model', 'measured ground', 'ground interface', 'depth calculation', 'conventional model']</t>
  </si>
  <si>
    <t>A new mathematical model for estimating the depth and permittivity of subsurface layers from measured ground-penetrating radar (GPR) data is presented. The new model considers the effects from the air-ground interface and introduces a ray-path-searching process in the depth calculation. It includes the conventional model as a special case. The experimental results agree well with the new model.</t>
  </si>
  <si>
    <t>315-318</t>
  </si>
  <si>
    <t>60005837;60005837;60005837;60005837;60005837</t>
  </si>
  <si>
    <t>56098722800;57196159181;7103333901;8298399300;34871601500</t>
  </si>
  <si>
    <t>Liu, C. R.;Li, J.;Gan, X.;Xing, H.;Chen, X.</t>
  </si>
  <si>
    <t>University of Houston</t>
  </si>
  <si>
    <t>Liu C.R.</t>
  </si>
  <si>
    <t>New model for estimating the thickness and permittivity of subsurface layers from GPR data</t>
  </si>
  <si>
    <t>10.1049/ip-rsn:20020791</t>
  </si>
  <si>
    <t>2-s2.0-0036963711</t>
  </si>
  <si>
    <t>['volatile constituents', 'utilizing trails', 'trail pheromones', 'trail pheromone', 'synthetic racemates', 'since g', 'similar concentration', 'rarely used', 'racemic 4', 'new societies', 'nest migration', 'natural secretion', 'methylgeranyl octanoate', 'methylgeranyl esters', 'methylgeraniol ),', 'main dufour', 'individual 4', 'highly adaptive', 'highly active', 'gnamptogenys striatula', 'glandular secretion', 'generally performed', 'esters revealed', 'especially esters', 'efficient displacement', 'corresponding decanoate', 'chemical analysis', 'bishomogeranyl esters', 'bishomogeraniol isomer', 'additional means']</t>
  </si>
  <si>
    <t>4-methylgeranyl esters | Dufour's gland | Gnamptogenys | Trail pheromones</t>
  </si>
  <si>
    <t>Dufour's gland is the origin of the trail pheromone of Gnamptogenys striatula. Chemical analysis of the glandular extracts revealed a series of new natural products, especially esters of (2E)-3,4,7-trimethyl-2,6-octadien-1-ol (4-methylgeraniol), and (2E)-3,4,7-trimethyl-2,6-nonadien-1-ol (a bishomogeraniol isomer) with medium-chain fatty acids. Bioassays with synthetic racemates of the esters revealed that the 4-methylgeranyl esters are highly active as trail pheromones, while the bishomogeranyl esters are either marginally active or not active at all. Assays with the individual 4-methylgeranyl esters showed each of them to be inferior to the glandular secretion in eliciting trail following. However, the mixture of racemic 4-methylgeranyl octanoate and the corresponding decanoate and dodecanoate, the main Dufour's volatile constituents, is as active as the natural secretion at similar concentration. We conclude that the trail pheromone constitutes a mixture of at least the 4-methylgeranyl esters identified in the gland. Since G. striatula generally preys on small arthropods rather than monopolizing large resources, we assume that trails are rarely used during foraging, but more often during nest migration. Production of new societies in this species is generally performed by budding, a period of considerable predation risk. Utilizing trails for efficient displacement in this context is, therefore, highly adaptive. This behavioral repertoire may also provide the ants with additional means of food resource exploitation.</t>
  </si>
  <si>
    <t>2557-2567</t>
  </si>
  <si>
    <t>60009647;60028229;60009647;60028229;60072443</t>
  </si>
  <si>
    <t>6602080350;56245572300;6701836660;7006506442;7004045664</t>
  </si>
  <si>
    <t>Blatrix, Rumsa√Øs;Schulz, Claudia;Jaisson, Pierre;Francke, Wittko;Hefetz, Abraham</t>
  </si>
  <si>
    <t>Blatrix R.</t>
  </si>
  <si>
    <t>Trail pheromone of ponerine ant Gnamptogenys striatula: 4-Methylgeranyl esters from Dufour's gland</t>
  </si>
  <si>
    <t>10.1023/A:1021444321238</t>
  </si>
  <si>
    <t>2-s2.0-0036963714</t>
  </si>
  <si>
    <t>['predominantly found', 'minor amounts', 'major group', 'longer chain', 'linear group', 'epicuticular composition', 'cabbage white', 'branched group', 'branched compounds']</t>
  </si>
  <si>
    <t>Alcohols | Alkadienes | Alkanediols | Alkanes | Alkenes | Cuticle | Cuticular lipids | Pieris rapae | Tetrahydrofurans</t>
  </si>
  <si>
    <t>The epicuticular composition of different body parts of the Cabbage White, Pieris rapae L., was investigated using GC and GC/MS. The major group of components, hydrocarbons, occurs in two distinct classes, which show different distributions on the cuticle of the insects. Unbranched shorter chain compounds (C21 to C31, linear group) dominate on body, head and wings, while longer chain, polymethyl-branched compounds (C35 to C39, branched group) are predominantly found on the antennae. Several other components like 1,3-pentacosadiene and oxygenated aliphatic compounds occur in minor amounts on the cuticle. The reason for this polymorphism is discussed.</t>
  </si>
  <si>
    <t>2627-2631</t>
  </si>
  <si>
    <t>60007902;60007902;60004156</t>
  </si>
  <si>
    <t>56654276200;7201851300;7103050745</t>
  </si>
  <si>
    <t>Arsene, Cristian;Schulz, Stefan;Van Loon, Joop J.A.</t>
  </si>
  <si>
    <t>Braunschweig;Wageningen</t>
  </si>
  <si>
    <t>Technische Universit√§t Braunschweig;Wageningen University &amp; Research</t>
  </si>
  <si>
    <t>60007902;60004156</t>
  </si>
  <si>
    <t>Arsene C.</t>
  </si>
  <si>
    <t>Chemical polymorphism of the cuticular lipids of the cabbage white Pieris rapae</t>
  </si>
  <si>
    <t>10.1023/A:1021474820601</t>
  </si>
  <si>
    <t>2-s2.0-0036963817</t>
  </si>
  <si>
    <t>Universiteit Stellenbosch</t>
  </si>
  <si>
    <t>US</t>
  </si>
  <si>
    <t>['specific male', 'natural products', 'natural product', 'kheper subaeneus', 'heptenoic acid', 'first report', 'female antennae', 'elicit responses', 'electroantennographic detection', 'butanoic acid', 'attracting secretion', 'active compounds', 'abdominal sex', ')-(+)- 2']</t>
  </si>
  <si>
    <t>Dung beetle | Electroantennography | Insect semiochemicals | Kheper subaeneus | Scarabaeinae | Semiochemical synthesis | Sex attractant | Terpenes</t>
  </si>
  <si>
    <t>Using gas chromatography with flame ionization detection (FID) and electroantennographic detection (EAD) in parallel, butanoic acid, skatole, and (E)-2,6-dimethyl-6-octen-2-ol were identified as constituents of the abdominal sex-attracting secretion of the male dung beetle, Kheper subaeneus, which reproducibly elicited EAD responses in male and female antennae. This is the first report of the occurrence of (E)-2,6-dimethyl-6-octen-2-ol as a natural product, for which the name (E)-subaeneol is proposed. In some experiments, a few other constituents of the secretion also gave reproducible responses in specific male and female antennae but did not elicit responses when the analyses were repeated with other antennae. The major volatile constituent of the secretion, identified as (S)-(+)-2,6-dimethyl-5-heptenoic acid, is one of these EAD-active compounds. Both this compound and (E)-2,6-dimethyl-6-octen-2-ol were synthesized from authentic starting materials for comparison with the natural products.</t>
  </si>
  <si>
    <t>2527-2539</t>
  </si>
  <si>
    <t>60001565;60001565;60001565;60001565</t>
  </si>
  <si>
    <t>35577693100;7102643847;57199833135;6507451595</t>
  </si>
  <si>
    <t>Burger, B. V.;Petersen, W. G.B.;Weber, W. G.;Munro, Z. M.</t>
  </si>
  <si>
    <t>Semiochemicals of the scarabaeinae. VII: Identification and synthesis of ead-active constituents of abdominal sex attracting secretion of the male dung beetle, Kheper subaeneus</t>
  </si>
  <si>
    <t>10.1023/A:1021440220329</t>
  </si>
  <si>
    <t>2-s2.0-0036965070</t>
  </si>
  <si>
    <t>['wireless communications', 'widespread support', 'philosophical reasons', 'member states', 'international commission', 'industry alike', 'increasing globalization', 'icnirp ).', 'exposure limits', 'council urged', 'consistent level']</t>
  </si>
  <si>
    <t>Throughout the world, there was a move to "harmonize" exposure limits to radio-frequency (RF) energy from sources. For practical reasons related to the extensive and increasing globalization of wireless communications, and for philosophical reasons such as the desire to provide a consistent level of protection to different populations around the globe, harmonization have widespread support of governments and industry alike. As such, the Council urged its member states to adopt the guidelines of the International Commission on Nonionizing Radiation Protection (ICNIRP).</t>
  </si>
  <si>
    <t>23-27</t>
  </si>
  <si>
    <t>4 SPEC.</t>
  </si>
  <si>
    <t>IEEE Technology and Society Magazine</t>
  </si>
  <si>
    <t>60010062;60006297</t>
  </si>
  <si>
    <t>56262952300;7202155857</t>
  </si>
  <si>
    <t>Vecchia, Paolo;Foster, Kenneth R.</t>
  </si>
  <si>
    <t>Rome;Philadelphia</t>
  </si>
  <si>
    <t>Istituto Superiore Di Sanita;University of Pennsylvania</t>
  </si>
  <si>
    <t>Vecchia P.</t>
  </si>
  <si>
    <t>Precaution and controversies: Regulating radio-frequency fields in Italy</t>
  </si>
  <si>
    <t>10.1109/MTAS.2003.1166563</t>
  </si>
  <si>
    <t>2-s2.0-0036969264</t>
  </si>
  <si>
    <t>00-15-96772</t>
  </si>
  <si>
    <t>['use diagnostic', 'signal resonances', 'record experimentally', 'receiving antenna', 'probing wave', 'plasma diagnostics', 'plasma column', 'plasma channel', 'lower hybrid', 'ionization self', 'interperiodica ".', 'discharge channel', 'diagnostic method', 'diagnostic characteristics', 'cross section']</t>
  </si>
  <si>
    <t>A diagnostic method for determining plasma density from the dispersion of surface waves guided by a discharge channel in an axial magnetic field is discussed. The diagnostic characteristics that are the easiest to record experimentally are determined by analyzing the theoretical dispersion curves, and the ways of exploiting these characteristics for plasma diagnostics are suggested. To determine the slowing-down factor of a probing wave in a plasma channel, it is proposed to use diagnostic-signal resonances that occur when the wavelength of the slowed wave becomes equal to the length of the emitting or receiving antenna. The dependence of the plasma density averaged over the cross section of the plasma column on the strength of the external magnetic field is determined for a discharge channel formed as a result of the ionization self-channeling of plasma (lower hybrid) waves and whistlers. ¬© 2002 MAIK "Nauka/Interperiodica".</t>
  </si>
  <si>
    <t>992-1000</t>
  </si>
  <si>
    <t>6603218080;7005995145</t>
  </si>
  <si>
    <t>Bodrov, S. B.;Markov, G. A.</t>
  </si>
  <si>
    <t>Bodrov S.</t>
  </si>
  <si>
    <t>Diagnostics of a magnetized plasma by the field of surface waves guided by a discharge channel</t>
  </si>
  <si>
    <t>10.1134/1.1528240</t>
  </si>
  <si>
    <t>2-s2.0-0036970497</t>
  </si>
  <si>
    <t>['understood steps', 'substantial amount', 'relatively straightforward', 'radio transmitter', 'many uncertainties', 'flammable mixture', 'electromagnetic hazards', 'earlier decades', 'direct effects', 'considerable difficulties', 'committees tasked', 'biological tissue']</t>
  </si>
  <si>
    <t>The concept of "electromagnetic hazards" is today frequently taken to refer to direct effects on biological tissue. However, several other effects are possible and became the subject of a substantial amount of research in earlier decades. Although the physics of the mechanism linking power from a radio transmitter to ignition of a flammable mixture is relatively straightforward, there are many uncertainties and poorly-understood steps in the process, leading to considerable difficulties for committees tasked with setting safety limits.</t>
  </si>
  <si>
    <t>32-39</t>
  </si>
  <si>
    <t>Excell, Peter S.</t>
  </si>
  <si>
    <t>Bradford</t>
  </si>
  <si>
    <t>University of Bradford</t>
  </si>
  <si>
    <t>Excell P.S.</t>
  </si>
  <si>
    <t>Choosing threshold levels for electromagnetic hazards</t>
  </si>
  <si>
    <t>10.1109/MTAS.2003.1166565</t>
  </si>
  <si>
    <t>2-s2.0-0036971217</t>
  </si>
  <si>
    <t>['vehicle orientation', 'vehicle azimuth', 'transmitter relative', 'subsequently calculating', 'standard null', 'required orienting', 'radiomarked animals', 'produced estimates', 'mobile system', 'marked animals', 'known locations', 'grid north', 'estimate locations', 'azimuth sd', 'antenna masts', 'antenna mast', 'accurate estimates']</t>
  </si>
  <si>
    <t>Azimuth | Efficiency | Electronic compass | Precision | Radiotelemetry</t>
  </si>
  <si>
    <t>Researchers typically collect azimuths from known locations to estimate locations of radiomarked animals. Mobile, vehicle-mounted telemetry receiving systems frequently are used to gather azimuth data. Use of mobile systems typically involves estimating the vehicle's orientation to grid north (vehicle azimuth), recording an azimuth to the transmitter relative to the vehicle azimuth from a fixed rosette around the antenna mast (relative azimuth), and subsequently calculating an azimuth to the transmitter (animal azimuth). We incorporated electronic compasses into standard null-peak antenna systems by mounting the compass sensors atop the antenna masts and evaluated the precision of this configuration. This system increased efficiency by eliminating vehicle orientation and calculations to determine animal azimuths and produced estimates of precision (azimuth SD=2.6¬∞, SE=0.16¬∞) similar to systems that required orienting the mobile system to grid north. Using an electronic compass increased efficiency without sacrificing precision and should produce more accurate estimates of locations when marked animals are moving or when vehicle orientation is problematic.</t>
  </si>
  <si>
    <t>1039-1043</t>
  </si>
  <si>
    <t>60011347;60032179;60011347;60032179</t>
  </si>
  <si>
    <t>35323607600;6507556097;6603782790;7102018888</t>
  </si>
  <si>
    <t>Cox, Robert R.;Scalf, Joseph D.;Jamison, Brent E.;Lutz, R. Scott</t>
  </si>
  <si>
    <t>Madison;Reston</t>
  </si>
  <si>
    <t>University of Wisconsin-Madison;United States Geological Survey</t>
  </si>
  <si>
    <t>60032179;60011347</t>
  </si>
  <si>
    <t>Cox R.</t>
  </si>
  <si>
    <t>Using an electronic compass to determine telemetry azimuths</t>
  </si>
  <si>
    <t>2-s2.0-0036975061</t>
  </si>
  <si>
    <t>['weighting coefficients', 'two algorithms', 'signals received', 'signals makes', 'linear polarization', 'interference signal', 'directional pattern', 'arms leads', 'arbitrary polarization', 'antenna array']</t>
  </si>
  <si>
    <t>Two algorithms for construction of the weighting coefficients (of adaptation) for suppression of signals of arbitrary polarization in an antenna array with crossed-element electrical antennas are considered. The construction of a general weighting coefficient for signals received by both arms leads to the formation of "nulls" in both components of the vector directional pattern independent of the form of the polarization of the interference signal. In linear polarization of an interference signal, independent weighted summation of these signals makes it possible to form a "null" only in one of the components of the directional pattern. Results of calculations are presented.</t>
  </si>
  <si>
    <t>Automatic Control and Computer Sciences</t>
  </si>
  <si>
    <t>100329638;100329638;100329638</t>
  </si>
  <si>
    <t>6506563315;6701759589;35834769700</t>
  </si>
  <si>
    <t>Gabriel'an, D. D.;Zvezdina, M. Yu;Chernykh, S. A.</t>
  </si>
  <si>
    <t>Rostov-na-Donu</t>
  </si>
  <si>
    <t>Rostov Mil. Inst. for Rocket Defense</t>
  </si>
  <si>
    <t>Gabriel'an D.</t>
  </si>
  <si>
    <t>Spatially polarized selection of signals in an antenna array with circular polarization radiators</t>
  </si>
  <si>
    <t>2-s2.0-0036976218</t>
  </si>
  <si>
    <t>['unavoidably corrupted', 'time channel', 'multiuser scenarios', 'joint space', 'intersymbol interference', 'first derived', 'equivalent space', 'corrupted mc', 'cdma systems', 'cdma system', 'called isi', 'call mc', 'based upon', 'antenna arrays']</t>
  </si>
  <si>
    <t>Antenna array | Cyclic prefix | Intersymbol interference | Multicarrier code-division multiple access | Multiuser detection | Space-time processing | Vector channel impulse response</t>
  </si>
  <si>
    <t>The multicarrier code division multiple access (MC-CDMA) systems without cyclic prefix (CP) hold a fine spectral efficiency though they are unavoidably corrupted by the intersymbol interference (ISI) over the finite impulse response (FIR) channel. We call MC-CDMA systems without CP the ISI-corrupted MC-CDMA systems in some sense. Considering the fact that combining antenna arrays with so-called ISI-corrupted MC-CDMA systems is advantageous in suppressing cochannel interference in cellular communication systems, this paper investigates ISI-corrupted MC-CDMA systems with base station antenna arrays. Joint space-time multiuser detection (MUD) schemes for DS-CDMA systems with antenna arrays have drawn much attention recently. Based upon them, we can derive the equivalent joint spatial-temporal MUD scheme for ISI-corrupted MC-CDMA systems with antenna arrays. In order to achieve this goal, an equivalent space-time estimation method of uplink vector channel is first derived for the ISI-corrupted MC-CDMA system with the arbitrary antenna array over frequency-selective fading channels. Then, based on the estimated equivalent space-time channel, an equivalent joint space-time multiuser detector is constructed. Computer simulations illustrate that our algorithm is more robust against noise and can well mitigate multiple access interference (MAI) in multiuser scenarios.</t>
  </si>
  <si>
    <t>56129452500;7202604336;57220792563</t>
  </si>
  <si>
    <t>Wu, Xiaojun;Yin, Qinye;Zeng, Ming</t>
  </si>
  <si>
    <t>Wu X.</t>
  </si>
  <si>
    <t>Equivalent joint space-time multiuser detection for uplink ISI-corrupted multicarrier CDMA systems with arbitrary antenna arrays</t>
  </si>
  <si>
    <t>2-s2.0-0036976261</t>
  </si>
  <si>
    <t>['whole system', 'ubiquitous antenna', 'two systems', 'system capacity', 'mimo systems', 'different approaches', 'article deals']</t>
  </si>
  <si>
    <t>This article deals with the exploitation of multiple input multiple output (MIMO) systems for broadband wireless indoor applications. Two systems, the Wind-Flex and Ubiquitous Antenna, are considered. Both aim to increase the system capacity by different approaches, to increase the single link data rate and the number of users in the whole system, respectively. Computer simulation results show the effectiveness of both MIMO systems.</t>
  </si>
  <si>
    <t>;;;60024322;;60024322</t>
  </si>
  <si>
    <t>6505683519;6602411352;7801434949;7202322694;35413687500;7004324341</t>
  </si>
  <si>
    <t>Giangaspero, Luca;Agarossi, Luigi;Paltenghi, Giovanni;Okamura, Shutai;Okada, Minoru;Komaki, Shozo</t>
  </si>
  <si>
    <t>Giangaspero L.</t>
  </si>
  <si>
    <t>Co-channel interference cancellation based on MIMO OFDM systems</t>
  </si>
  <si>
    <t>10.1109/MWC.2002.1160076</t>
  </si>
  <si>
    <t>2-s2.0-0036980683</t>
  </si>
  <si>
    <t>['wireless lans', 'steady growth', 'spatial dimension', 'signal transmission', 'signal dimension', 'resulting limitation', 'receiver structures', 'rate services', 'proposed concept', 'promising approach', 'processing techniques', 'multiple antennas', 'lo √©', 'klt ).', 'grown rapidly', 'great advantage', 'extensively discussed', 'estimation parameters', 'established standards', 'cost antennas', 'basically done', 'bandwidth resources', 'article introduces', 'antenna spacing', 'antenna characteristics']</t>
  </si>
  <si>
    <t>The need for wireless communication systems has grown rapidly during the last few years. Moreover, there is a steady growth in the required data rates due to the fact that more and more users request high-bit-rate services. To meet those requirements, current and next-generation wireless systems and networks such as wireless LANs (e.g., IEEE 802.11a) will support much higher data rates compared with established standards. This is basically done by applying advanced transmission schemes and usage of bandwidth resources. Another very promising approach is the introduction of multiple antennas at one or both ends of a link to exploit the spatial dimension of signal transmission for improved link quality and enhanced system capacity. Smart antenna concepts are extensively discussed in this context. The application of concepts with multiple antennas necessitates the introduction of more advanced and computational expensive transmitter and receiver structures, where space-time (ST) processing techniques are required to carry out spatial and temporal information processing jointly. This article introduces a new ST processing concept to enable reduced dimension ST receiver signal processing. The signal dimension can be considerably reduced compared to the number of antennas by exploiting spatial correlation properties of the received antenna signals. The associated signal transformation applies the concept of the Karhunen-Lo√©ve transformation (KLT). A great advantage of the proposed ST processing concept over traditional multiple antenna approaches is the insensitivity of the algorithms to the antenna characteristics and antenna spacing, which allows the use of low-cost antennas. Another significant advantage of the proposed concept is more robust channel estimation due to spatial dimension reduction and the resulting limitation of estimation parameters.</t>
  </si>
  <si>
    <t>18-25</t>
  </si>
  <si>
    <t>60029158;60018353</t>
  </si>
  <si>
    <t>6602841885;7007049752</t>
  </si>
  <si>
    <t>Jelitto, Jens;Fettweis, Gerhard</t>
  </si>
  <si>
    <t>Switzerland;Germany</t>
  </si>
  <si>
    <t>Ruschlikon;Dresden</t>
  </si>
  <si>
    <t>IBM Research - Zurich;Technische Universit√§t Dresden</t>
  </si>
  <si>
    <t>Jelitto J.</t>
  </si>
  <si>
    <t>Reduced dimension space-time processing for multi-antenna wireless systems</t>
  </si>
  <si>
    <t>10.1109/MWC.2002.1160077</t>
  </si>
  <si>
    <t>2-s2.0-0036983898</t>
  </si>
  <si>
    <t>['two points', 'tilted using', 'slice thicknesses', 'slice thickness', 'reference position', 'percentage errors', 'measurement system', 'linear measurements', 'high accuracy', 'helical ct', 'head rotation', 'head positions', 'frontal planes', 'dry skull', 'ct ).', 'clinically appropriate', 'antenna meter', 'actual measures', 'actual length', '7 mm', '5 mm', '3 mm', '18 points', '10 ¬∞', '1 mm']</t>
  </si>
  <si>
    <t>Head position | Helical CT | Three-dimensional cephalometry</t>
  </si>
  <si>
    <t>We performed a study of three-dimensional (3-D) linear measurements in the maxillofacial region using helical computer tomography (CT). The high accuracy of the linear measurements showed errors of less than 5% from the actual measures. But, it is possible that the accuracy was influenced by inaccurate head positions. In this study, we evaluated the errors when the head positions were tilted using the 3-D measurement system. Helical CT was used to scan a dry skull, and the data were reconstructed into a 3-D image. A total of 18 points were plotted on the 3-D images, and the distance between two points was calculated when the points were expressed as coordinates. A dry skull was tilted by 10¬∞ from the reference position in the horizontal, sagittal, and frontal planes and was then tilted in a combination of directions. Scanning was performed with slice thicknesses of 1 mm, 3 mm, 5 mm, and 7 mm. The length between two points measured by 3-D cephalometry was compared with the actual length determined using an antenna meter and a caliper and expressed as percentage errors of the actual length. In all head positions, errors in all linear measurements on the images and the actual length measured on the skull were less than 5% when a slice thickness of 1 mm or 3 mm was used. But, on using a slice thickness of 5 mm or 7 mm, some linear measurements showed larger measurement errors. Therefore, a thickness of less than 3 mm was thought to be clinically appropriate because the accuracy of the measurements was not influenced by head rotation.</t>
  </si>
  <si>
    <t>Angle Orthodontist</t>
  </si>
  <si>
    <t>60011846;60011846;60011846;60011846;60011846</t>
  </si>
  <si>
    <t>7101898116;7004313876;7003275494;55541524200;55766435400</t>
  </si>
  <si>
    <t>Togashi, Kumiko;Kitaura, Hideki;Yonetsu, Koichi;Yoshida, Noriaki;Nakamura, Takashi</t>
  </si>
  <si>
    <t>Nagasaki</t>
  </si>
  <si>
    <t>Nagasaki University</t>
  </si>
  <si>
    <t>Togashi K.</t>
  </si>
  <si>
    <t>Three-Dimensional Cephalometry Using Helical Computer Tomography: Measurement Error Caused by Head Inclination</t>
  </si>
  <si>
    <t>2-s2.0-0036986596</t>
  </si>
  <si>
    <t>['tracked simultaneously', 'terrestrial applications', 'space navigation', 'proper determination', 'next satellite', 'next generation', 'included searching', 'improvements made', 'gps receivers', 'gps receiver', 'four channels', 'fifth channel', 'dimensional position', 'best next', 'best constellation', 'attitude determination']</t>
  </si>
  <si>
    <t>The next generation of low cost Global Positioning Service (GPS) Receivers for space navigation and attitude determination are positioned to take full advantage of the improvements made in the commercial GPS receivers used for terrestrial applications. There have been recent improvements made to the GPS receivers that include the addition of extra GPS Satellite channels that can be tracked simultaneously. The older style GPS receivers were only able to handle five channels at a time. In order for proper determination of three-dimensional position, a minimum of four channels was required and the fifth channel of the receiver was reserved to perform search functions for finding the next satellite. This included searching for satellites that could be used to replace exiting satellites moving out of the Field of View (FO V). The search function also enables the GPS receiver to search for the best constellation for maximum performance accuracy. The fifth roaming channel also provided a best next-satellite selection capability in case the field of view to one of the satellites was blocked or shaded.</t>
  </si>
  <si>
    <t>Cecchini, Joe</t>
  </si>
  <si>
    <t>Morris Plains</t>
  </si>
  <si>
    <t>Honeywell International Inc.</t>
  </si>
  <si>
    <t>Cecchini J.</t>
  </si>
  <si>
    <t>Next generation GPS-aided space navigation systems</t>
  </si>
  <si>
    <t>10.1109/MAES.2002.1145730</t>
  </si>
  <si>
    <t>2-s2.0-0036986951</t>
  </si>
  <si>
    <t>HKUST6024/01E</t>
  </si>
  <si>
    <t>['time slot', 'product sings', 'problem arises', 'paper describes', 'noniterative solutions', 'new approach', 'multiuser multiple', 'multiple users', 'multiple antennas', 'mobile stations', 'lower bound', 'gradient search', 'directly optimizes', 'better performance', 'based method', 'base station', 'antenna weights']</t>
  </si>
  <si>
    <t>Cochannel interference | Flat and frequency-selective fading channels | Intersymbol interference | Multiple-input-multiple-output (MIMO) capacity | Smart antennas | Wireless communication systems</t>
  </si>
  <si>
    <t>This paper describes a new approach to the problem of enhancing the performance of a multiuser multiple-input-multiple-output (MIMO) system for communication from one base station to many mobile stations in both frequency-flat and frequency-selective fading channels. This problem arises in space-division multiplexing systems with multiple users where many independent signal streams can be transmitted in the same frequency and time slot through the exploitation of multiple antennas at both the base and mobile stations, Our new approach is based on maximizing a lower bound for the product of signal-to-interference plus noise ratio (SINR) of a multiuser MIMO system. This provides a closed-form (noniterative) solution for the antenna weights for all the users, under the constraint of fixed transmit power. Our solution is shown by simulation to have better performance than previously proposed iterative or noniterative solutions. In addition, our solution requires significantly reduced complexity over a gradient search-based method that directly optimizes the product SINgs while still maintaining similar performance. Our solution assumes channel state information is present at the base station or transmitter.</t>
  </si>
  <si>
    <t>1960-1970</t>
  </si>
  <si>
    <t>60008592;60008592;60008592</t>
  </si>
  <si>
    <t>7404759940;7006019510;55666697100</t>
  </si>
  <si>
    <t>Wong, Kai Kit;Murch, Ross D.;Letaief, Khaled Ben</t>
  </si>
  <si>
    <t>Performance enhancement of multiuser MIMO wireless communication systems</t>
  </si>
  <si>
    <t>10.1109/TCOMM.2002.806503</t>
  </si>
  <si>
    <t>2-s2.0-0036990958</t>
  </si>
  <si>
    <t>N00014-97-1-1061</t>
  </si>
  <si>
    <t>['thereby enabling', 'stripmap arc', 'setup facilitates', 'sar imaging', 'sar image', 'rotating boom', 'range quasi', 'phase response', 'performed using', 'paper discusses', 'obtained imagery', 'detailed description', 'data acquisition', 'coherent ultra', 'best suited']</t>
  </si>
  <si>
    <t>Arc-SAR | Radar imaging | Stochastic waveforms</t>
  </si>
  <si>
    <t>A coherent ultra-wideband random noise radar system operating in the 1-2-GHz frequency range has been developed at the University of Nebraska. A unique signal processing procedure based on heterodyne correlation techniques preserves phase coherence within the system, thereby enabling it to be used for synthetic aperture radar (SAR) imaging. Data acquisition is performed using a rotating boom with antennas installed atop a van containing radar equipment. This setup facilitates a simple and low-cost mobile SAR implementation, best suited for short-range quasi-stripmap Arc-SAR imaging. The use of ultra-wideband signals provides reasonable resolution of the obtained imagery. The amplitude and the phase response of the system are used to form the frequency-domain target scattering profile matrix, which are then transformed into a SAR image. The paper discusses the theory of SAR imaging using random noise signals and presents a detailed description of the radar and experimental imagery obtained using this system.</t>
  </si>
  <si>
    <t>2543-2552</t>
  </si>
  <si>
    <t>14121131900;7202724032</t>
  </si>
  <si>
    <t>Garmatyuk, Dmitriy S.;Narayanan, Ram M.</t>
  </si>
  <si>
    <t>Garmatyuk D.</t>
  </si>
  <si>
    <t>Ultra-wideband continuous-wave random noise Arc-SAR</t>
  </si>
  <si>
    <t>10.1109/TGRS.2002.807009</t>
  </si>
  <si>
    <t>2-s2.0-0036991089</t>
  </si>
  <si>
    <t>['two semi', 'test object', 'macroscopic antennas', 'gravitational field', 'finite size', 'energy field', 'electromagnetic zero']</t>
  </si>
  <si>
    <t>In the typical Casimir effect, the boundaries of two semi-infinite media exert a force upon one another across a vacuum gap separating them. In this paper, I argue that a static gravitational field can be regarded as a "soft" boundary which interacts with a test object of finite size through the electromagnetic zero-point-energy field. Therefore, a pressure exists upon a single slab placed in a gravitational field and surrounded by a vacuum. Interestingly, this extremely small Casimir pressure of the gravitational field may cause relative displacements in ground-based sensing microstructures larger than those from astrophysical gravitational waves in macroscopic antennas.</t>
  </si>
  <si>
    <t>1567-1572</t>
  </si>
  <si>
    <t>International Journal of Modern Physics D</t>
  </si>
  <si>
    <t>Pinto, Fabrizio</t>
  </si>
  <si>
    <t>Monrovia</t>
  </si>
  <si>
    <t>InterStellar Technologies Corporation</t>
  </si>
  <si>
    <t>Pinto F.</t>
  </si>
  <si>
    <t>Casimir force between a gravitational field and a finite object</t>
  </si>
  <si>
    <t>10.1142/S0218271802002906</t>
  </si>
  <si>
    <t>2-s2.0-0036993342</t>
  </si>
  <si>
    <t>['well established', 'soil moisture', 'simple algorithm', 'resolution observations', 'resampling data', 'resampled data', 'remote sensing', 'powerful sensors', 'performed using', 'paper deals', 'ocean salinity', 'large number', 'interpolation formula', 'hexagonal grids', 'fourier plane', 'finite extent', 'currently developing', 'criteria relevant', 'complex visibilities', 'cartesian grids', 'apodization function', 'aliasing artifacts']</t>
  </si>
  <si>
    <t>Apodization | Hexagonal Fourier transform | Interferometry | Radiometry | Synthetic aperture</t>
  </si>
  <si>
    <t>It is now well established that synthetic aperture imaging radiometers promise to be powerful sensors for high-resolution observations of the earth at low microwave frequencies. Within this context, the European Space Agency is currently developing the Soil Moisture and Ocean Salinity (SMOS) mission. The Y-shaped array selected for SMOS is fitted with equally spaced antennae and leads to a natural hexagonal sampling of the Fourier plane. This paper deals with the choice of the apodization function to be applied to the complex visibilities. The aim of this function is to reduce the Gibbs phenomenon produced by the finite extent of the star-shaped frequency coverage and the resulting sharp frequency cut-off. A large number of windows are introduced. A comparison of these in terms of their spatial domain properties is given, according to criteria relevant for remote sensing of the earth's surface. This paper also describes how discrete Fourier transform calculations over hexagonal grids can be performed using a simple algorithm. Actually, standard fast Fourier transform algorithms designed for Cartesian grids and which have a long track record of optimization can be reused. Finally, an interpolation formula is given for resampling data from hexagonal grids without introducing any aliasing artifacts in the resampled data.</t>
  </si>
  <si>
    <t>2531-2542</t>
  </si>
  <si>
    <t>60030119;60030119;60106194</t>
  </si>
  <si>
    <t>6601968464;7004221658;56024235400</t>
  </si>
  <si>
    <t>Anterrieu, Eric;Waldteufel, Philippe;Lannes, Andr√©</t>
  </si>
  <si>
    <t>Guyancourt;Toulouse</t>
  </si>
  <si>
    <t>Laboratoire Atmosph√®res, Milieux, Observations Spatiales;CERFACS</t>
  </si>
  <si>
    <t>60106194;60030119</t>
  </si>
  <si>
    <t>Anterrieu E.</t>
  </si>
  <si>
    <t>Apodization functions for 2-D hexagonally sampled synthetic aperture imaging radiometers</t>
  </si>
  <si>
    <t>10.1109/TGRS.2002.1176146</t>
  </si>
  <si>
    <t>2-s2.0-0036994114</t>
  </si>
  <si>
    <t>['taxonomic notes', 'placed back', 'may represent', 'genus acropyga', 'afrotropical species']</t>
  </si>
  <si>
    <t>Formicidae | Formicinae | Lasiini | Malagasy region | Mauritius | Pseudolasius</t>
  </si>
  <si>
    <t>Although Pseudolasius dodo has recently been placed in the genus Acropyga, several characters suggest the species should be placed back into Pseudolasius; these include: 12 segmented antennae, eyes positioned anteriorly near the midline, a deeply impressed metanotal area, small propodeal spiracles, and a gaster without dense pubescence. P. dodo is here redescribed and a lectotype is designated. Taxonomic notes on the genus as a whole are provided, with several morphological characters reviewed. In addition, it is suggested that the Afrotropical species, which do not appear to be closely related P. dodo, may represent a monophyletic group within the genus.</t>
  </si>
  <si>
    <t>377-383</t>
  </si>
  <si>
    <t>Transactions of the American Entomological Society</t>
  </si>
  <si>
    <t>LaPolla, John S.</t>
  </si>
  <si>
    <t>New Brunswick</t>
  </si>
  <si>
    <t>Rutgers University‚ÄìNew Brunswick</t>
  </si>
  <si>
    <t>LaPolla J.</t>
  </si>
  <si>
    <t>On the generic placement of Pseudolasius dodo (Hymenoptera: Formicidae), with taxonomic notes on the genus</t>
  </si>
  <si>
    <t>2-s2.0-0036994539</t>
  </si>
  <si>
    <t>CCR-9983462</t>
  </si>
  <si>
    <t>['type fading', 'smart antennas', 'previously reported', 'present closed', 'outage probability', 'optimum combining', 'noncentral multi', 'new expressions', 'literature dealing', 'limited systems', 'interfering signals', 'interferers exceeds', 'general nakagami', 'form expressions', 'desired signal', 'consider interference', 'cellular systems', 'antenna elements', 'also provided']</t>
  </si>
  <si>
    <t>Cochannel interference | Interference suppression | Microcellular systems | Mobile radio systems | Nakagami fading | Optimum combining | Outage probability | Rician fading | Smart antennas | Spectrum efficiency</t>
  </si>
  <si>
    <t>Relying on the distribution of noncentral multi-variate F variates, we investigate the outage probability and spectrum efficiency performance of cellular systems with smart antennas. We consider interference-limited systems in which the number of interferers exceeds or is equal to the number of antenna elements, and we present closed-form expressions when the desired signal is subject to Rician-type fading and interfering signals exhibit Rayleigh-, or, more general Nakagami-type fading. When applicable, these new expressions are compared to those previously reported in the literature dealing with the performance of cellular systems without smart antenna capabilities and the performance of cellular systems with optimum combining when both the desired and interfering signals are subject to Rayleigh-type fading. Corresponding numerical results and plots are also provided and discussed.</t>
  </si>
  <si>
    <t>1871-1877</t>
  </si>
  <si>
    <t>7401549596;35570711700;57198986686</t>
  </si>
  <si>
    <t>Kang, Ming;Alouini, Mohamed Slim;Yang, Lin</t>
  </si>
  <si>
    <t>Kang M.</t>
  </si>
  <si>
    <t>Outage probability and spectrum efficiency of cellular mobile radio systems with smart antennas</t>
  </si>
  <si>
    <t>10.1109/TCOMM.2002.806545</t>
  </si>
  <si>
    <t>2-s2.0-0036994818</t>
  </si>
  <si>
    <t>['xeromorphic anatomy', 'shade tolerance', 'scots pine', 'radiation environment', 'pine relative', 'pigment composition', 'photon capture', 'pedunculate oak', 'oak leaves', 'oak forest', 'mixed pine', 'limiting irradiance', 'higher ratio', 'higher irradiance', 'growing season', 'b ratios']</t>
  </si>
  <si>
    <t>Chlorophyll | Lutein | Neoxanthin | Pinus sylvestris | Quercus robur | Shade tolerance</t>
  </si>
  <si>
    <t>Foliage of Scots pine (Pinus sylvestris L.) and pedunculate oak (Quercus robur L.) was collected in a mixed pine/oak forest at canopy positions differing in radiation environment. In both species, chlorophyll (Chl) a/b ratios were higher in foliage of canopy positions exposed to higher irradiance as compared to more shaded crown layers. Throughout the growing season, pine needles exhibited significantly lower Chl a/b ratios than oak leaves acclimated to a similar photon availability. Hence, pine needles showed shade-type pigment characteristics relative to foliage of oak. At a given radiation environment, pine needles tended to contain more neoxanthin and lutein per unit of Chl than oak leaves. The differences in pigment composition between foliage of pine and oak can be explained by a higher ratio of outer antennae Chl to core complex Chl in needles of P. sylvestris which enhances the efficiency of photon capture under limiting irradiance. The shade-type pigment composition of pine relative to oak foliage could have been due to a reduced mesophyll internal photon exposure of chloroplasts in needles of Scots pine, resulting from their xeromorphic anatomy. Hence, the higher drought tolerance of pine needles could be achieved at the expense of shade tolerance.</t>
  </si>
  <si>
    <t>369-374</t>
  </si>
  <si>
    <t>60000762;60000762;60000762</t>
  </si>
  <si>
    <t>7102468897;6602576127;7003863478</t>
  </si>
  <si>
    <t>Hansen, U.;Schneiderheinze, J.;Rank, B.</t>
  </si>
  <si>
    <t>Hansen U.</t>
  </si>
  <si>
    <t>Is the lower shade tolerance of Scots pine, relative to pedunculate oak, related to the composition of photosynthetic pigments?</t>
  </si>
  <si>
    <t>10.1023/A:1022670807608</t>
  </si>
  <si>
    <t>2-s2.0-0036995765</t>
  </si>
  <si>
    <t>['usual independent', 'suggest guidelines', 'specific sets', 'scattering radii', 'receive arrays', 'proposed model', 'propagation parameters', 'new model', 'model suggests', 'mimo channels', 'mimo capacity', 'long ranges', 'identically distributed', 'general family', 'full rank', 'condition number', 'channel matrix', 'channel capacity', 'capacity performance', 'antenna beamwidths', 'allows us']</t>
  </si>
  <si>
    <t>Antenna arrays | Channel capacity | Channel modeling | Diversity | Multiple-input-multiple-output channels | Smart antennas | Space-time coding | Spatial multiplexing</t>
  </si>
  <si>
    <t>We present a new model for multiple-input-multiple-output (MIMO) outdoor wireless fading channels and their capacity performance. The proposed model is more general and realistic than the usual independent and identically distributed (i.i.d.) model, and allows us to investigate the behavior of channel capacity as a function of the scattering radii at transmitter and receiver, distance between the transmit and receive arrays, and antenna beamwidths and spacing. We show how MIMO capacity is governed by spatial fading correlation and the condition number of the channel matrix through specific sets of propagation parameters. The proposed model explains the existence of "pinhole" channels which exhibit low spatial fading correlation at both ends of the link but still have poor rank properties, and hence, low ergodic capacity. In fact, the model suggests the existence of a more general family of channels spanning continuously from full rank i.i.d. to low-rank pinhole cases. We suggest guidelines for predicting high rank (and hence, high ergodic capacity) in MIMO channels, and show that even at long ranges, high channel rank can easily be sustained under mild scattering conditions. Finally, we validate our results by simulations using ray tracing techniques. Connections with basic antenna theory are made.</t>
  </si>
  <si>
    <t>1926-1934</t>
  </si>
  <si>
    <t>60010348;60025858;60012708;60012708</t>
  </si>
  <si>
    <t>7004295903;7006024277;7102413527;7004920065</t>
  </si>
  <si>
    <t>Gesbert, David;B√∂lcskei, Helmut;Gore, Dhananjay A.;Paulraj, Arogyaswami J.</t>
  </si>
  <si>
    <t>Switzerland;United States;Norway</t>
  </si>
  <si>
    <t>Zurich ZH,;Palo Alto;Oslo</t>
  </si>
  <si>
    <t>ETH Zurich;Stanford University;Universitetet i Oslo</t>
  </si>
  <si>
    <t>60025858;60012708;60010348</t>
  </si>
  <si>
    <t>Outdoor MIMO wireless channels: Models and performance prediction</t>
  </si>
  <si>
    <t>10.1109/TCOMM.2002.806555</t>
  </si>
  <si>
    <t>2-s2.0-0036996474</t>
  </si>
  <si>
    <t>['time coding', 'time codes', 'snr gain', 'output system', 'noise ratio', 'mobile antennas', 'mimo systems', 'large signal', 'l multipaths', 'isi ),', 'intersymbol interference', 'input multiple', 'diversity gain', 'distinct angles', 'base station', 'adaptive antennas']</t>
  </si>
  <si>
    <t>Adaptive antenna array | Fading channels | Space-time codes</t>
  </si>
  <si>
    <t>Space-time codes have recently been introduced to improve mobile system performance in a multipath fading environment. Here, we consider a multiple-input multiple-output (MIMO) system with m mobile antennas and n, base station antennas, in which there are L multipaths at the base station at distinct angles of arrival. We show that when the channel has no intersymbol interference (ISI), then adaptive antennas in the form of beamforming, can be combined with space-time coding, to achieve a diversity gain of mL and a large signal-to-noise ratio (SNR) gain whenever r, ‚â• L. When the channel has ISI, beamforming can be used by the MIMO systems to achieve an SNR gain over a single-input multiple-output system, although both systems have the same diversity gain.</t>
  </si>
  <si>
    <t>1918-1925</t>
  </si>
  <si>
    <t>60027950;60023527;60012708</t>
  </si>
  <si>
    <t>6603893483;7004002200;7102640968</t>
  </si>
  <si>
    <t>Negi, Rohit;Tehrani, Ardavan M.;Cioffi, John M.</t>
  </si>
  <si>
    <t>Pittsburgh;Sunnyvale;Palo Alto</t>
  </si>
  <si>
    <t>Carnegie Mellon University;Atheros Communications;Stanford University</t>
  </si>
  <si>
    <t>Negi R.</t>
  </si>
  <si>
    <t>Adaptive antennas for space-time codes in outdoor channels</t>
  </si>
  <si>
    <t>10.1109/TCOMM.2002.806506</t>
  </si>
  <si>
    <t>2-s2.0-0036996481</t>
  </si>
  <si>
    <t>NAS5-98033</t>
  </si>
  <si>
    <t>['‚ àº2', '‚ àº1', 'week later', 'thus allowing', 'telemetry reception', 'state memory', 'spectral resolution', 'spatial resolution', 'solar flares', 'soft x', 'small explorer', 'scientific community', 'rmcs ),', 'resolution gamma', 'ray lines', 'operates autonomously', 'nine cryogenically', 'nine bi', 'nearly circular', 'nasa line', 'mission except', 'made freely', 'launch vehicle', 'immediately available', 'hard x', 'flare intensities', 'first managed', 'first imaging', 'first high', 'every photon', 'energy release', 'energy range', 'energetic ions', 'energetic electrons', 'dedicated 11', 'command uplinks', 'berkeley using', 'began observations', 'analysis software', '3 kev', '2 ¬∞']</t>
  </si>
  <si>
    <t>RHESSI is the sixth in the NASA line of Small Explorer (SMEX) missions and the first managed in the Principal Investigator mode, the PI is responsible for all aspects of the mission except the launch vehicle. RHESSI is designed to investigate particle acceleration and energy release in solar flares, through imaging and spectroscopy of hard x-ray/gamma-ray continua emitted by energetic electrons, and of gamma-ray lines produced by energetic ions. The single instrument consists of an imager, made up of nine bi-grid rotating modulation collimators (RMCs), in front of a spectrometer with nine cryogenically-cooled germanium detectors (GeDs), one behind each RMC. It provides the first high-resolution hard x-ray imaging spectroscopy, the first high-resolution gamma-ray line spectroscopy, and the first imaging above 100 keV including the first imaging of gamma-ray lines. The spatial resolution is as fine as ‚àº2.3 arc sec with a full-Sun (‚â≥ 1¬∞) &gt; field of view, and the spectral resolution is ‚àº1-10 keV FWHM over the energy range from soft x-rays (3 keV) to gamma-rays (17 MeV). An automated shutter system allows a wide dynamic range (&gt; 107) of flare intensities to be handled without instrument saturation. Data for every photon is stored in a solid-state memory and telemetered to the ground, thus allowing for versatile data analysis keyed to specific science objectives. The spin-stabilized (‚àº15 rpm) spacecraft is Sun-pointing to within ‚àº0.2¬∞ and operates autonomously. RHESSI was launched on 5 February 2002, into a nearly circular, 38¬∞ inclination, 600-km altitude orbit and began observations a week later. The mission is operated from Berkeley using a dedicated 11-m antenna for telemetry reception and command uplinks. All data and analysis software are made freely and immediately available to the scientific community.</t>
  </si>
  <si>
    <t>Solar Physics</t>
  </si>
  <si>
    <t>60029392-60025038;60006337;60029392;60029392;60020195;60029392;60029392;60029392;60029392;60029392;60029392-60036452;60029392;60007174;;101327632-100973457;60102609;60029392;60006337;60006337-60020304;60006337-60000984;60029392;60029392;60029392;60029392;60029392;60029392;60029392;60029392;60029392;60029392;60029392;60029392;60029392;60007174;60006337;60006337;60006337;60006337;60006337;60006337;60006337-60000984;60006337-102008099;60006337;60020195;60020195;60020195;60020195;60029392;100358759;100358759;100358759;100358759-101103408;100358759-60017198;60025858;60029392;60022522;60006337;60006337;60000809;60020583;;60001490;60005286;60002959;60002959;60012113</t>
  </si>
  <si>
    <t>7402887821;7103023874;7003316944;55605774782;55636319616;7401432033;7202745818;7007103983;7801598696;7005684774;6603087636;55472843000;7005578029;16478669600;56787537800;6603554365;7003569384;7006284347;6602582313;7404170191;7003395010;6603241670;7402748937;57206299962;7003632426;56926276500;57213366406;7201436061;6505749529;7102595960;7101977099;6602588843;6602234228;15833753700;57217647861;7005739485;6601984341;7202685742;55517458600;6506530101;6602822266;7004154213;6602935913;57213313282;6701631071;8696106000;36755895500;6603131830;57198690340;7003296228;6504293150;55629335200;6506180712;7005864760;24434882300;7102174637;7101738824;6602814128;7101990379;7003995425;6603760247;57202883378;7003590780;7005411838;7006277491;7102598008</t>
  </si>
  <si>
    <t>Lin, R. P.;Dennis, B. R.;Hurford, G. J.;Smith, D. M.;Zehnder, A.;Harvey, P. R.;Curtis, D. W.;Pankow, D.;Turin, P.;Bester, M.;Csillaghy, A.;Lewis, M.;Madden, N.;Van Beek, H. F.;Appleby, M.;Raudorf, T.;McTiernan, J.;Ramaty, R.;Schmahl, E.;Schwartz, R.;Krucker, S.;Abiad, R.;Quinn, T.;Berg, P.;Hashii, M.;Sterling, R.;Jackson, R.;Pratt, R.;Campbelll, R. D.;Malone, D.;Landis, D.;Barrington-Leigh, C. P.;Slassi-Sennou, S.;Cork, C.;Clark, D.;Amato, D.;Orwig, L.;Boyle, R.;Banks, I. S.;Shirey, K.;Tolbert, A. K.;Zarro, D.;Snow, F.;Thomsen, K.;Henneck, R.;Mchedlishvili, A.;Ming, P.;Fivian, M.;Jordan, John;Wanner, Richard;Crubb, Jerry;Preble, J.;Matranga, M.;Benz, A.;Hudson, H.;Canfield, R. C.;Holman, G. D.;Crannell, C.;Kosugi, T.;Emslie, A. G.;Vilmer, N.;Brown, J. C.;Johns-Krull, C.;Aschwanden, M.;Metcalf, T.;Conway, A.</t>
  </si>
  <si>
    <t>United States;Switzerland;United States;Switzerland;United States;United States;United States;United States;Switzerland;United States;United Kingdom;United States;United States;United States;United States;United Kingdom;United States;Japan;United States;United States;United States;United States;United States</t>
  </si>
  <si>
    <t>Oak Ridge;Windisch;Berkeley;Zurich ZH,;Berkeley;Bozeman;Huntsville;College Park;Villigen;Cambridge;Milton Keynes;Berkeley;Greenbelt;Houston;Bethesda;Glasgow;Lanham;Sagamihara;New York;Woburn;;Charlottesville;Gilbert</t>
  </si>
  <si>
    <t>ORTEC Inc;Hochschule f√ºr Technik FHNW;Space Sciences Laboratory at UC Berkeley;ETH Zurich;University of California, Berkeley;Montana State University;The University of Alabama in Huntsville;University of Maryland, College Park;Paul Scherrer Institut;Charles Stark Draper Lab Inc;The Open University;Lawrence Berkeley National Laboratory;NASA Goddard Space Flight Center;Rice University;Lockheed Martin Corporation;University of Glasgow;Science Systems and Applications, Inc. (SSAI);JAXA Institute of Space and Astronautical Science;L-3 Communications;Tecomet;SpaceWorks, Inc.;Mikro Systems, Inc.;Spectrum Astro, Inc</t>
  </si>
  <si>
    <t>60102609;60036452;60029392;60025858;60025038;60022522;60020583;60020304;60020195;60017198;60012113;60007174;60006337;60005286;60002959;60001490;60000984;60000809;102008099;101327632;101103408;100973457;100358759</t>
  </si>
  <si>
    <t>Lin R.P.</t>
  </si>
  <si>
    <t>The Reuven Ramaty High-Energy Solar Spectroscopic Imager (RHESSI)</t>
  </si>
  <si>
    <t>10.1023/A:1022428818870</t>
  </si>
  <si>
    <t>2-s2.0-0036998464</t>
  </si>
  <si>
    <t>MSM 262200011</t>
  </si>
  <si>
    <t>['training points', 'structure outside', 'selective surface', 'neural networks', 'neural models', 'modeled structure', 'microstrip dipole', 'genetic algorithms']</t>
  </si>
  <si>
    <t>Dipole antennas | Feed-forward neural networks | Frequency selective surfaces | Genetic algorithms | Microstrip antennas | Modeling | Optimization methods | Planar transmission lines</t>
  </si>
  <si>
    <t>Neural networks are systems that can be trained to remember the behavior of a modeled structure at given operational points, and that can be used to approximate the behavior of the structure outside of the training points. These neural-net approximation abilities are demonstrated in the modeling a frequency-selective surface, a microstrip transmission line, and a microstrip dipole. Attention is given to the accuracy and to the efficiency of neural models. The association between neural models and genetic algorithms, which can provide a global design tool, is discussed. Portions of MATLAB code illustrate the descriptions.</t>
  </si>
  <si>
    <t>46-67</t>
  </si>
  <si>
    <t>Raida, Zbynƒõk</t>
  </si>
  <si>
    <t>Raida Z.</t>
  </si>
  <si>
    <t>Modeling EM structures in the neural network toolbox of MATLAB</t>
  </si>
  <si>
    <t>10.1109/MAP.2002.1167264</t>
  </si>
  <si>
    <t>2-s2.0-0036999246</t>
  </si>
  <si>
    <t>['path searcher', 'paper describes', 'evaluated characteristics', 'effective enough', 'conventional one', 'compensation accuracy', 'antenna branches', 'advanced techniques']</t>
  </si>
  <si>
    <t>The adaptive array antenna (AAA) is one of the advanced techniques that will be implemented in the IMT-2000 mobile telecommunications systems to achieve a high system capacity. This paper describes an integrated AAA system for W-CDMA that consists of both uplink and downlink beam formers. We developed three functions for the AAA: a digital beam former using the normalized least mean square (NLMS) algorithm, a two-dimensional path searcher that works at a lower reception level than the conventional one, and a calibrator that compensates for variations in the amplitude and phase of signals at antenna branches. We built an experimental test bed, conducted field trials, and evaluated characteristics of the AAA such as the compensation accuracy of the calibrator and the path search sensitivity of the path searcher. The experimental results showed that the AAA is effective enough to improve system capacity.</t>
  </si>
  <si>
    <t>192-200</t>
  </si>
  <si>
    <t>Fujitsu Scientific and Technical Journal</t>
  </si>
  <si>
    <t>60007951;60007951;60007951</t>
  </si>
  <si>
    <t>36824813300;6701404303;57199872304</t>
  </si>
  <si>
    <t>Yasui, Yutaka;Kobayakawa, Shuji;Nakamura, Tadashi</t>
  </si>
  <si>
    <t>Minato</t>
  </si>
  <si>
    <t>Fujitsu Ltd.</t>
  </si>
  <si>
    <t>Yasui Y.</t>
  </si>
  <si>
    <t>Adaptive array antenna for W-CDMA systems</t>
  </si>
  <si>
    <t>2-s2.0-0036999747</t>
  </si>
  <si>
    <t>['treated prawns', 'stress levels', 'significantly reduced', 'significantly different', 'significant differences', 'second experiment', 'prawns immediately', 'physical damage', 'overall post', 'overall condition', 'multiple contact', 'mostly limited', 'minimal effect', 'metapenaeus macleayi', 'lactate ).', 'first experiment', 'experiment started', 'escaped one', 'different treatments', 'control prawns', 'antennae ),', '89 %.', '48 h', '2 weeks', '10 times']</t>
  </si>
  <si>
    <t>By-catch | Mesh size | Mortality | Penaeid | Stress</t>
  </si>
  <si>
    <t>Two laboratory experiments were done to assess the fate of juvenile school prawns, Metapenaeus macleayi, after simulated multiple capture and escape from trawls. In the first experiment, prawns that were trawled and escaped one, five or 10 times, sustained some physical damage (mostly limited to the loss of antennae), but this was not significantly different from that sustained by control prawns that had not been trawled. Similarly, there were no significant differences between the different treatments and control prawns in their stress levels (as measured by changes in concentrations of L-lactate). Levels of L-lactate were greatest in all prawns immediately after the experiment started and then significantly reduced after 24 and 48 h. In the second experiment, treated prawns were trawled and escaped 10 times and then monitored for mortalities over 2 weeks. Compared with control prawns (that were not trawled), significantly more treated prawns died at the end of the 2 weeks, but the overall post-trawl survival rate was &gt;89%. It is concluded that the multiple contact and escape of juvenile school prawns from trawls had minimal effect on their overall condition.</t>
  </si>
  <si>
    <t>1189-1196</t>
  </si>
  <si>
    <t>Marine and Freshwater Research</t>
  </si>
  <si>
    <t>60021020;60021020;60028929;60021020</t>
  </si>
  <si>
    <t>7005705808;7401895964;7102586590;7003784638</t>
  </si>
  <si>
    <t>Broadhurst, Matt K.;Barker, David T.;Paterson, Brian D.;Kennelly, Steven J.</t>
  </si>
  <si>
    <t>Brisbane;Taylors Beach</t>
  </si>
  <si>
    <t>Queensland Department of Agriculture and Fisheries;NSW Fisheries</t>
  </si>
  <si>
    <t>60028929;60021020</t>
  </si>
  <si>
    <t>Broadhurst M.K.</t>
  </si>
  <si>
    <t>Fate of juvenile school prawns, Metapenaeus macleayi, after simulated capture and escape from trawls</t>
  </si>
  <si>
    <t>10.1071/MF02082</t>
  </si>
  <si>
    <t>2-s2.0-0037000995</t>
  </si>
  <si>
    <t>['results derived', 'report describes', 'reflector distortions', 'meter reflectors', 'measurement equipment', 'measured using', 'leica tdm', 'entire range', 'elevation angles', '5000 theodolite']</t>
  </si>
  <si>
    <t>Antenna measurements | Gravity deformation | Reflector antenna mechanical factors | Reflector antennas | Strain | Surface fitting | Surface measurements</t>
  </si>
  <si>
    <t>Two of NASA's Deep Space Network (DSN) 70-meter reflectors were measured using a Leica TDM-5000 theodolite. The main reflector surface was measured at five elevation angles, so that a gravity-deformation model could be derived that described the main-reflector distortions over the entire range of elevation angles. The report describes the measurement equipment and accuracy, and the results derived from the data.</t>
  </si>
  <si>
    <t>187-192</t>
  </si>
  <si>
    <t>100925012;60009037;60009037</t>
  </si>
  <si>
    <t>57197878574;6602295742;7003977774</t>
  </si>
  <si>
    <t>Brenner, Michael;Britcliffe, Michael J.;Imbriale, William A.</t>
  </si>
  <si>
    <t>Pasadena;Tucson</t>
  </si>
  <si>
    <t>Jet Propulsion Laboratory;Engineering Metrology Services</t>
  </si>
  <si>
    <t>60009037;100925012</t>
  </si>
  <si>
    <t>Brenner M.</t>
  </si>
  <si>
    <t>Gravity deformation measurements of 70 m reflector surfaces</t>
  </si>
  <si>
    <t>10.1109/MAP.2002.1167321</t>
  </si>
  <si>
    <t>2-s2.0-0037001646</t>
  </si>
  <si>
    <t>['vector field', 'two dipoles', 'total time', 'small area', 'phase difference', 'one dipole', 'harmonic fields', 'flows outwards', 'boundary around', 'axis along', 'averaged poynting', 'also shown']</t>
  </si>
  <si>
    <t>Anten nas | Dipole | Electromagnetic | Energy | Fields | Measurement | Radiation | Visualization</t>
  </si>
  <si>
    <t>The Poynting vector field is shown for two adjacent electric dipoles, when there is a phase difference between them. There is a boundary around the two dipoles, inside which the time-averaged Poynting-vector field flows from one dipole to the other, and outside which it flows outwards. It is shown that in spite of the behavior of the Poynting-vector field, in which the time-averaged power leaves one dipole and enters the other, it complies with Poynting's Theorem for harmonic fields, and maintains the constancy of the net radiated power, it is also shown that the total time-averaged power radiated from the two-dipole system comes from the small area between the axis along which the two dipoles are aligned and the boundary or separatrix at one of the dipoles. This two-dipole model also helps us understand the behavior of the Poynting-vector field near the edge of a semi-infinite current sheet.</t>
  </si>
  <si>
    <t>60030162;60030162</t>
  </si>
  <si>
    <t>7402104910;6603635167</t>
  </si>
  <si>
    <t>Maeda, Sadaki;Diament, Paul</t>
  </si>
  <si>
    <t>Maeda S.</t>
  </si>
  <si>
    <t>Power flow between adjacent electric dipoles</t>
  </si>
  <si>
    <t>10.1109/MAP.2002.1167265</t>
  </si>
  <si>
    <t>2-s2.0-0037001730</t>
  </si>
  <si>
    <t>['wave impedances', 'two sets', 'two cases', 'negative sign', 'critical study', 'conjugate relation', 'circuit relations']</t>
  </si>
  <si>
    <t>Antenna theory | Mutual coupling | Receiving antennas | Scattering | Transmitting antennas</t>
  </si>
  <si>
    <t>In this work, we present a critical study of the circuit relations for two distant coupled antennas: either both are transmitting, or one is transmitting and one is receiving. We found that Carter's two mutual impedances, Z12 and Z21, are not applicable to these two cases. Two sets of circuit relations have been formulated, with two sets of wave impedances, to characterize these new circuit relations. It is shown that the coupled wave impedances are not equal to each other, and they satisfy a conjugate relation with a negative sign. Such a relation also applies to Carter's Z12 and Z21.</t>
  </si>
  <si>
    <t>32-37</t>
  </si>
  <si>
    <t>Tai, Chen To</t>
  </si>
  <si>
    <t>Tai C.</t>
  </si>
  <si>
    <t>A critical study of the circuit relations of two distant antennas</t>
  </si>
  <si>
    <t>10.1109/MAP.2002.1167262</t>
  </si>
  <si>
    <t>2-s2.0-0037001847</t>
  </si>
  <si>
    <t>['window scanning', 'tracking antenna', 'scanning movements', 'rosette scan', 'received signal', 'power level', 'position estimation', 'lissajous scan', 'harmonic variations', 'harmonic variation', 'estimation time', 'continuous manner', 'conical scan', 'analysis includes']</t>
  </si>
  <si>
    <t>Antenna mechanical factors | Antennas | Conical scan | Lissajous scan | Rosette scan | Satellite tracking | Scanning antennas | Space vehicle tracking | Spacecraft position | Tracking</t>
  </si>
  <si>
    <t>Scanning movements are added to a tracking antenna's trajectory to estimate the true spacecraft position. The scanning movements are composed of the harmonic axial movements of an antenna. This motion produces power variations of the received signal, which are used to estimate the spacecraft's position. Three different scanning patterns (conical scan, Lissajous scan, and rosette scan) are presented and analyzed in this paper. The analysis includes the evaluation of the estimation errors due to random or harmonic variation of the antenna's position, and due to random and harmonic variations of the power level. Typically, the estimation of the spacecraft's position is carried out after completing a full scanning cycle. Sliding-window scanning is introduced in this paper, wherein the spacecraft-position estimation is carried out in an almost-continuous manner, and it reduces the estimation time by half.</t>
  </si>
  <si>
    <t>38-45</t>
  </si>
  <si>
    <t>60009037;60022195</t>
  </si>
  <si>
    <t>7006777295;7801394707</t>
  </si>
  <si>
    <t>Gawronski, Wodek;Craparo, Emily M.</t>
  </si>
  <si>
    <t>Antenna scanning techniques for estimation of spacecraft position</t>
  </si>
  <si>
    <t>10.1109/MAP.2002.1167263</t>
  </si>
  <si>
    <t>2-s2.0-0037003805</t>
  </si>
  <si>
    <t>['ventral side', 'two types', 'studied using', 'secretion produced', 'named mgs1', 'low level', 'latter occur', 'host recognition', 'host acceptance', 'gustatory function', 'glands associated', 'drosophilidae ).', 'contact kairomone', 'behavioural approach', 'anterior spiracles', 'antennaectomised females']</t>
  </si>
  <si>
    <t>Antennal gustatory sensilla | Diapriidae | Drosophila melanogaster | Hymenoptera | Kairomone | Spiracular glands | Ultrastructure</t>
  </si>
  <si>
    <t>The diapriid wasp Trichopria drosophilae Perkins (Hymenoptera: Diapriidae) attacks and develops in puparia of the common fruit fly, Drosophila melanogaster Meigen (Diptera: Drosophilidae). Host recognition of T. drosophilae was studied using both a morphological and behavioural approach. Scanning and electron microscopical observations of female parasitoid antennae showed the presence of two types of sensilla, which we named MGS1 and MGS2. The former are present on the ventral side of both the apical (A11) and sub-apical (A12) antennomeres, while the latter occur only on A12. Ultrastructural features suggest a gustatory function for these sensilla. Arena bioassays using intact or antennaectomised females and intact host puparia showed that MGS2 are necessary for achieving host acceptance. Further bioassays, where the host's anterior spiracles were covered with wax, led to a very low level of host acceptance. We suggest that the secretion produced by glands associated with the anterior spiracles act as a contact kairomone, which has to be perceived by MGS2 in order to elicit host recognition. The removal of both the female apical antennomeres (A12) led to the failure of the parasitoid to recognize its host.</t>
  </si>
  <si>
    <t>119-128</t>
  </si>
  <si>
    <t>60003003;60031624;60003003;60020547</t>
  </si>
  <si>
    <t>7005718466;6602746609;55538304000;7006727340</t>
  </si>
  <si>
    <t>Romani, Roberto;Isidoro, Nunzio;Bin, Ferdinando;Vinson, S. Bradleigh</t>
  </si>
  <si>
    <t>Italy;United States;Italy</t>
  </si>
  <si>
    <t>Ancona;College Station;Perugia</t>
  </si>
  <si>
    <t>Universit√† Politecnica delle Marche;Texas A&amp;M University;Universit√† degli Studi di Perugia</t>
  </si>
  <si>
    <t>60031624;60020547;60003003</t>
  </si>
  <si>
    <t>Romani R.</t>
  </si>
  <si>
    <t>Host recognition in the pupal parasitoid Trichopria drosophilae: A morpho-functional approach</t>
  </si>
  <si>
    <t>2-s2.0-0037003837</t>
  </si>
  <si>
    <t>['waveguide aperture', 'radiation functions', 'radiated fields', 'propogating h', 'ended rectangular', 'e modes', 'available expressions']</t>
  </si>
  <si>
    <t>Antenna radiation patterns | Aperture antennas | Rectangular waveguides | Waveguide antennas | Waveguide theory</t>
  </si>
  <si>
    <t>The expressions for the electric field radiated from a large, open-ended rectangular-waveguide aperture have been derived for the propogating H and E modes. In the available expressions, the radiated fields of all the propogating H and E modes were summed up during computation which was found to be erroneous. The terms of the radiation functions were recognized during derivation.</t>
  </si>
  <si>
    <t>60033154;60033154</t>
  </si>
  <si>
    <t>57224374299;6603886195</t>
  </si>
  <si>
    <t>Hyjazie, Fayez;Paknys, Robert</t>
  </si>
  <si>
    <t>Hyjazie F.</t>
  </si>
  <si>
    <t>On the radiation from a large, open-ended waveguide</t>
  </si>
  <si>
    <t>10.1109/MAP.2002.1167267</t>
  </si>
  <si>
    <t>2-s2.0-0037004344</t>
  </si>
  <si>
    <t>UCLA</t>
  </si>
  <si>
    <t>['tdrss link', 'tdrss ).', 'safely establish', 'paper addresses', 'main objective', 'iss ).', 'electromagnetic modeling', 'deterministic approach', 'communication link']</t>
  </si>
  <si>
    <t>Automated Transfer Vehicle (ATV) | Design automation | Electromagnetic diffraction | Electromagnetic modeling | Geometrical Theory of Diffraction | Helical antennas | International Space Station (ISS) | Tracking &amp; Data Relay Satellite System (TDRSS)</t>
  </si>
  <si>
    <t>This paper addresses the electromagnetic modeling of the communication link between the Automated Transfer Vehicle (ATV) and the Tracking &amp; Data Relay Satellite System (TDRSS). The link is analyzed during the ISS attached phase, i.e. when the ATV is decked on the International Space Station (ISS). The main objective of the study is to verify, by adopting a deterministic approach, if in every ISS orbit there are at least 15 minutes available to safely establish the ATV-TDRSS link.</t>
  </si>
  <si>
    <t>60031159;60031159;60031159</t>
  </si>
  <si>
    <t>6603944956;7004467474;7003941584</t>
  </si>
  <si>
    <t>Toso, Giovanni;Crone, G.;Roederer, Antoine G.</t>
  </si>
  <si>
    <t>Toso G.</t>
  </si>
  <si>
    <t>Analysis of the S-band communication link between the automated transfer vehicle and the data relay satellites in the presence of the space station</t>
  </si>
  <si>
    <t>10.1109/MAP.2002.1167259</t>
  </si>
  <si>
    <t>2-s2.0-0037004469</t>
  </si>
  <si>
    <t>['valuable tool', 'scale problems', 'main objective', 'java object', 'distributed solution', 'distributed implementation', 'difference time']</t>
  </si>
  <si>
    <t>Distributed algorithms | Distributed computing | FDTD methods | Java | Mobile agents | Parallel algorithms | Parallel architectures</t>
  </si>
  <si>
    <t>The main objective of this work is to highlight the advantages of coupling Java FDTD implementation with the mobile-agent computing paradigm, and to promote this approach as a flexible and valuable tool for the distributed solution of complex and large-scale problems. Therefore, we present key issues related to the distributed implementation of a Finite-Difference Time-Domain (FDTD) code using Java mobile agents. The Java object-oriented FDTD code is described, and special agent communication and synchronization aspects related to FDTD are presented in detail.</t>
  </si>
  <si>
    <t>60002947;60002947;60002947;60002947</t>
  </si>
  <si>
    <t>6507259709;6602718524;35571264900;7004778058</t>
  </si>
  <si>
    <t>Biniaris, Christos G.;Kostaridis, Antonis I.;Kaklamani, Dimitra I.;Venieris, Iakovos S.</t>
  </si>
  <si>
    <t>Biniaris C.</t>
  </si>
  <si>
    <t>Implementing distributed FDTD codes with Java mobile agents</t>
  </si>
  <si>
    <t>10.1109/MAP.2002.1167271</t>
  </si>
  <si>
    <t>2-s2.0-0037004665</t>
  </si>
  <si>
    <t>['transient array', 'timing errors', 'theoretical analysis', 'small regions', 'selected regions', 'radiated pulse', 'pulses radiated', 'pulsed antennas', 'linear array', 'individual elements', 'hot spots', 'hot spot', 'high concentration', 'factors determining', 'electromagnetic energy', 'contour plot', 'coherent superposition', 'also considered']</t>
  </si>
  <si>
    <t>Electromagnetic transient | Focused array | Hot spot | Linear array | Propagation | Pulsed antenna | Transient array analysis</t>
  </si>
  <si>
    <t>It is shown that an array of pulsed antennas (a transient array) can be used for providing a high concentration of electromagnetic energy into small regions. By controlling the timing of the pulses radiated from the individual elements, selected regions of space will see a coherent superposition of the radiated pulses forming "hot spots." The formation of "hot spots" is demonstrated by theoretical analysis. Using a highly damped sinusoid for the radiated pulse and dipole antenna elements, a contour plot of the peak electric field is determined for a linear array of six equally spaced sources. The impact of pulse-timing errors and the factors determining the size of the hot spot are also considered.</t>
  </si>
  <si>
    <t>1743-1750</t>
  </si>
  <si>
    <t>60019228;60019228;100485499;60006164;60019228;60018836</t>
  </si>
  <si>
    <t>7006620909;35606833400;6603717808;24599225300;7004983286;22976112500</t>
  </si>
  <si>
    <t>Hackett, D. Ronald;Taylor, Clayborne D.;McLemore, Donald P.;Dogliani, Harald;Walton, William A.;Leyendecker, Albert J.</t>
  </si>
  <si>
    <t>Dayton;College Park;Los Alamos;Albuquerque</t>
  </si>
  <si>
    <t>Air Force Research Laboratory;Laboratory for Physical Sciences;Los Alamos National Laboratory;ITT Corporation</t>
  </si>
  <si>
    <t>60019228;60018836;60006164;100485499</t>
  </si>
  <si>
    <t>Hackett D.R.</t>
  </si>
  <si>
    <t>A transient array to increase the peak power delivered to a localized region in space: Part I - Theory and modeling</t>
  </si>
  <si>
    <t>10.1109/TAP.2003.808776</t>
  </si>
  <si>
    <t>2-s2.0-0037005043</t>
  </si>
  <si>
    <t>['selective surface', 'phase requirements', 'particular interest', 'novel frequency', 'multilayer fss', 'design aimed', 'coefficient amplitude', 'broad set']</t>
  </si>
  <si>
    <t>Broad-band substrate design | Hybrid finite-element boundary-integral method | Multilayer frequency-selective surfaces | Noncommensurate structures | Reconfigurable antenna apertures</t>
  </si>
  <si>
    <t>In this paper, we present a novel frequency-selective surface (FSS) design aimed at enhancing the performance of broad-band reconfigurable antenna apertures. In particular, reconfigurable printed dipole arrays are examined in the presence of a multilayer FSS. Of particular interest is the design of FSS structures whose reflection coefficient has prespecified phase response over a broad set of frequencies. Previous FSSs primarily considered designs on the basis of the reflection-coefficient amplitude and were intended for radome applications rather than substrates. Designing FSSs subject to phase requirements will be seen to require some compromise in the magnitude. Broad-band requirements also present us with a need for noncommensurate FSS designs.</t>
  </si>
  <si>
    <t>1716-1724</t>
  </si>
  <si>
    <t>60025778;60025778;60017016;60017016;60003500</t>
  </si>
  <si>
    <t>6603073713;6603827791;7401931880;7404380972;7102576479</t>
  </si>
  <si>
    <t>Erdemli, Yunus E.;Sertel, Kubilay;Gilbert, Roland A.;Wright, Daniel E.;Volakis, John L.</t>
  </si>
  <si>
    <t>Ann Arbor;Arlington;Columbus</t>
  </si>
  <si>
    <t>University of Michigan, Ann Arbor;BAE Systems Inc.;The Ohio State University</t>
  </si>
  <si>
    <t>60025778;60017016;60003500</t>
  </si>
  <si>
    <t>Frequency-selective surfaces to enhance performance of broad-band reconfigurable arrays</t>
  </si>
  <si>
    <t>10.1109/TAP.2002.807377</t>
  </si>
  <si>
    <t>2-s2.0-0037005066</t>
  </si>
  <si>
    <t>['unidirectional time', 'printed launchers', 'port modes', 'launching section', 'efficient generation', 'domain procedure', 'domain method', 'difference time', 'currently used', 'accurate model']</t>
  </si>
  <si>
    <t>Finite-difference time-domain (FDTD) | Horn antennas | Scattering parameters</t>
  </si>
  <si>
    <t>Printed launchers are currently used to feed millimeter broad-band horn antennas. A time-domain procedure, based on the finite-difference time-domain method, is proposed to achieve an accurate model of the launching section. A scattering matrix approach is followed and unidirectional time-domain modal sources are developed for efficient generation of port modes.</t>
  </si>
  <si>
    <t>1688-1696</t>
  </si>
  <si>
    <t>7006055951;7003292252</t>
  </si>
  <si>
    <t>Marrocco, Gaetano;Bardati, Fernando</t>
  </si>
  <si>
    <t>Broad-band horn-antenna launchers modeling by FDTD and generalized scattering matrix methods</t>
  </si>
  <si>
    <t>10.1109/TAP.2002.807364</t>
  </si>
  <si>
    <t>2-s2.0-0037005074</t>
  </si>
  <si>
    <t>9 040 433</t>
  </si>
  <si>
    <t>['solved using', 'slot loaded', 'numerical integration', 'mom ).', 'method enables', 'hemispherical dielectric', 'good agreement', 'fast calculations', 'calculated without', 'admittance integrals']</t>
  </si>
  <si>
    <t>Cavities | Dielectric loaded antennas | Slot antennas | Spheres</t>
  </si>
  <si>
    <t>The problem of a slot loaded by a hemispherical dielectric and/or a hemispherical backing cavity is solved using the method of moments (MoM). A novel recurrence formula is presented for fast calculations of the MoM admittance integrals associated with the spherical homogeneous solutions. The method enables the admittance integrals to be calculated without the need for any numerical integration. Measurements were carried out and good agreement between theory and experiment is obtained.</t>
  </si>
  <si>
    <t>1859-1862</t>
  </si>
  <si>
    <t>Efficient computation for the general solution of a slot loaded by a hemispherical dielectric and/or backing cavity</t>
  </si>
  <si>
    <t>10.1109/TAP.2002.807367</t>
  </si>
  <si>
    <t>2-s2.0-0037005082</t>
  </si>
  <si>
    <t>['results agree', 'resonant frequency', 'resonant frequencies', 'priori knowledge', 'patch miniaturization', 'patch antenna', 'mutual coupling', 'measured results', 'enclosed circular', 'empirical formula', 'circular cavity', 'axial ratio']</t>
  </si>
  <si>
    <t>Antenna miniaturization | Axial ratio | Cavity backed patch antenna | Circular patch | Gain | Mutual coupling | Resonant frequency</t>
  </si>
  <si>
    <t>An empirical formula for resonant frequency of a circular cavity-enclosed circular-patch antenna is tested with measured results. The patch miniaturization in the presence of the cavity is proved. Different design curves in terms of resonant frequencies and bandwidth are derived to facilitate antenna design without a priori knowledge of complex numerical techniques. A simple gain formula for circular-patch antenna is derived and tested against the measured gain data. Results agree very well. The beamwidth, axial ratio, and mutual coupling in the presence of the cavity are investigated.</t>
  </si>
  <si>
    <t>1706-1715</t>
  </si>
  <si>
    <t>Karmakar, Nemai Chandra</t>
  </si>
  <si>
    <t>Investigations into a cavity-backed circular-patch antenna</t>
  </si>
  <si>
    <t>10.1109/TAP.2002.807427</t>
  </si>
  <si>
    <t>2-s2.0-0037005089</t>
  </si>
  <si>
    <t>960 591</t>
  </si>
  <si>
    <t>['synthesis process', 'surface expansion', 'subreflector surface', 'subreflector shaping', 'small number', 'simple analysis', 'significantly limit', 'shaped subreflector', 'representative results', 'renewed interest', 'reasonable amount', 'radiation characteristics', 'physical optics', 'parameters subject', 'orthogonal fourier', 'main reflector', 'jacobi set', 'geometrical optics', 'especially true', 'effective measure', 'distortion compensation', 'computational time', 'antenna system', 'antenna dimensions', 'allows us', 'accurately represent', 'accurately assess']</t>
  </si>
  <si>
    <t>Reflector antennas | Shape control | Surface distortion</t>
  </si>
  <si>
    <t>Recent technological demands have brought a renewed interest in the application of large reflector antennas with steadily increasing operating frequencies and antenna dimensions. The high surface accuracy of the main reflector required by these antennas can often not be achieved with available manufacturing technologies. The utilization of a shaped subreflector for main reflector-distortion compensation is considered an effective measure to enhance the overall radiation performance of an antenna system. In the process of evaluating the suitability of the subreflector shaping, however, it is crucial to accurately assess the most suitable subreflector shape within a reasonable amount of computational time. This is especially true for electrically large reflectors, where simple analysis of the radiation characteristics already creates a serious computational burden, moreover, since reflector shaping is a synthesis process that necessitates repeated computation of the radiation characteristics. In this paper, the development of an efficient computational tool for subreflector shaping is presented. The subreflector shaping is performed through a combination of geometrical optics (GO) and physical optics (PO) on the subreflector and the main reflector, respectively. To significantly limit the number of parameters subject to optimization, the subreflector surface is parameterized by the coefficients of a global, orthogonal Fourier-Jacobi set (related to Zernike polynomials), which allows us to accurately represent a surface with only a small number of coefficients. The incorporation of this surface expansion into a GO/PO synthesis technique is detailed, representative results are given for a computationally challenging reflector configuration, and the tolerances for the shaped subreflector surface are studied.</t>
  </si>
  <si>
    <t>1676-1687</t>
  </si>
  <si>
    <t>6602388929;7102110120</t>
  </si>
  <si>
    <t>Hoferer, Robert A.;Rahmat-Samii, Yahya</t>
  </si>
  <si>
    <t>Subreflector shaping for antenna distortion compensation: An efficient Fourier-Jacobi expansion with GO/PO analysis</t>
  </si>
  <si>
    <t>10.1109/TAP.2002.807375</t>
  </si>
  <si>
    <t>2-s2.0-0037005282</t>
  </si>
  <si>
    <t>['total capacity', 'shifted fiber', 'progressing steadily', 'practical use', 'mode dispersion', 'linbo3 mach', 'intelligent compensation', 'first century', 'ethernet devices', 'dispersion compensators', 'chromatic dispersion', 'based technologies', 'already reached', 'achieved 3', '43 gb']</t>
  </si>
  <si>
    <t>40-Gb/s | Adaptive compensation | Integrated circuits (IC) | LiNbO  modulator 3 | Optical transport network</t>
  </si>
  <si>
    <t>Research and development of 40-Gb/s-based technologies are very significant for not only increasing the total capacity of wavelength-division multiplexing transmission systems but also providing higher speed interfaces to routers and Ethernet devices in order to create new services in the twenty-first century. The technologies of digital and analog integrated circuits are progressing steadily, and the LiNbO3 Mach-Zehnder external modulator has already reached the performance level required for practical use. Adaptive, intelligent compensation for problems such as chromatic dispersion and polarization-mode dispersion can make the design of optical transport networks more flexible. As an example, we achieved 3.5-Tb/s (43 Gb/s √ó 88 ch) transmission over a 600-km nonzero dispersion-shifted fiber by using LiNbO3 modulators and virtually imaged phased array variable-dispersion compensators.</t>
  </si>
  <si>
    <t>2272-2281</t>
  </si>
  <si>
    <t>35513252600;7402847277;7005181903</t>
  </si>
  <si>
    <t>Mochida, Yukou;Yamaguchi, Nobuhide;Ishikawa, George</t>
  </si>
  <si>
    <t>Mochida Y.</t>
  </si>
  <si>
    <t>Technology-oriented review and vision of 40-Gb/s-based optical transport networks</t>
  </si>
  <si>
    <t>10.1109/JLT.2002.807778</t>
  </si>
  <si>
    <t>2-s2.0-0037005341</t>
  </si>
  <si>
    <t>['two formulations', 'time domain', 'surface enclosing', 'subspace approach', 'signals sampled', 'second formulation', 'proposed transformations', 'processed using', 'modal decomposition', 'method based', 'mathematical foundation', 'leaking wire', 'individually transformed', 'incoherent sources', 'giving rise', 'field transformation', 'field pattern', 'coherence matrix', 'bimodal transformation']</t>
  </si>
  <si>
    <t>Bimodal transformation | Coherence matrix | Correlation | Electromagnetic Compatability (EMC) | Modal analysis | Near field | Signal subspace decomposition | Time domain</t>
  </si>
  <si>
    <t>The problem of near-field to far-field transformation of narrow-band incoherent electromagnetic fields is analyzed. The coherence matrix of signals sampled in the time domain on a surface enclosing incoherent sources is derived. Two equivalent formulations based on the processing of the coherence matrix are introduced: The signal subspace analysis and the bimodal transformation. In the signal-subspace approach, the coherence matrix is processed using a method based on singular value decomposition, giving rise to a set of functions on the surface enclosing the incoherent sources. Each of these functions is individually transformed to the far field via a modal decomposition and the sum of the transformed functions gives the total far field. In the second formulation, the bimodal transformation is used to transform the near field coherence matrix into the far field coherence matrix from which the far-field pattern is derived. The applications of the proposed transformations in the presence of noise are illustrated. A numerical example using incoherent radiating dipoles inside a leaking wire-grid enclosure validates the two formulations of near-field to far-field transformation. The proposed methodology gives the mathematical foundation for designing a compact time domain measurement facility well suited to incoherent electromagnetic radiation.</t>
  </si>
  <si>
    <t>1803-1812</t>
  </si>
  <si>
    <t>101196132;101196132;60006662;101196132;60006662</t>
  </si>
  <si>
    <t>6602376704;56028199700;56796502600;57203046526;6602705121</t>
  </si>
  <si>
    <t>Fouresti√©, Benoit;Altman, Zwi;Bolomey, Jean Charles;Wiart, Joe;Brouaye, Fran√ßoise</t>
  </si>
  <si>
    <t>Gif-sur-Yvette;Issy-les-Moulineaux</t>
  </si>
  <si>
    <t>SUPELEC Campus de Gif;FTRD DMR-IIM</t>
  </si>
  <si>
    <t>60006662;101196132</t>
  </si>
  <si>
    <t>Fouresti√© B.</t>
  </si>
  <si>
    <t>Statistical modal analysis applied to near-field measurements of random emissions</t>
  </si>
  <si>
    <t>10.1109/TAP.2002.807495</t>
  </si>
  <si>
    <t>2-s2.0-0037005385</t>
  </si>
  <si>
    <t>['united kingdom', 'times spent', 'system performance', 'state models', 'state follows', 'state durations', 'radiocommunication sector', 'r distributions', 'r ).', 'paper describes', 'observed data', 'new semi', 'lognormal distribution', 'law distribution', 'fading within', 'exponential distribution', 'actual parameters', 'accurate prediction']</t>
  </si>
  <si>
    <t>Land mobile satellite (LMS) communications | Propagation channel modeling | State duration statistics</t>
  </si>
  <si>
    <t>This paper describes a new semi-Markov propagation channel model for land mobile satellite systems using geostationary satellites. The multistate model switches between propagation states representing line-of-sight, shadowing, or blockage of the signal. The duration of times spent in each state follow probability distributions recommended by the radiocommunication sector of the International Telecommunication Union (ITU-R). The actual parameters to be used with the ITU-R distributions were modified and fitted to observed data. The open-area state durations follow a power-law distribution, while the state durations for both the shadowed and the blocked states follow a lognormal distribution. Parameters for both two- and three-state models are extracted from an L-band measurement campaign performed by Inmarsat in the United Kingdom. Propagation channel models characterizing the fading within the open, shadowed, or blocked propagation states are described as well. The semi-Markov models represent an improvement over the more commonly used Markov models where the duration in each state follows an exponential distribution. The new model enables more accurate prediction and simulation of system performance and availability.</t>
  </si>
  <si>
    <t>1795-1802</t>
  </si>
  <si>
    <t>60080173;60080173</t>
  </si>
  <si>
    <t>6506440055;6701775363</t>
  </si>
  <si>
    <t>Br√•ten, Lars Erling;Tjelta, Terje</t>
  </si>
  <si>
    <t>Fornebu</t>
  </si>
  <si>
    <t>Telenor ASA</t>
  </si>
  <si>
    <t>Br√•ten L.</t>
  </si>
  <si>
    <t>Semi-Markov multistate modeling of the land mobile propagation channel for geostationary satellites</t>
  </si>
  <si>
    <t>10.1109/TAP.2002.807441</t>
  </si>
  <si>
    <t>2-s2.0-0037005475</t>
  </si>
  <si>
    <t>['well suited', 'unified derivation', 'simple methods', 'phased arrays', 'numerical instabilities', 'normal narrow', 'model finite', 'large multi', 'finite multi', 'fdtd calculations', 'equations suitable', 'edge elements', 'differences time', 'cell analysis', 'band case', 'also found']</t>
  </si>
  <si>
    <t>Computational electrodynamics | Finite-difference time-domain (FDTD) | Phased array analysis | Unit-cell analysis</t>
  </si>
  <si>
    <t>Some experiences from finite-differences time-domain (FDTD) analysis of infinite and finite multi-octave phased arrays are presented. First, a more unified derivation of equations suitable for unit-cell analysis of phased arrays or other types of periodic structures using FDTD is presented. Second, results from FDTD calculations of small to very large multi-octave finite arrays are summarized in order to answer the question of how large an array model must be in order to capture the characteristics of both the interior and the edge elements of a large multi-octave phased array. It is found that a considerably larger number of elements is required in the broad-band case than in the normal narrow-band case, and it is also found that FDTD is well suited for such calculations. Third, simple methods to save computer memory using locally fine grids in an otherwise coarse FDTD grid to model finite-phased arrays are explored. The two local grid methods tested were found in our application to suffer from numerical instabilities.</t>
  </si>
  <si>
    <t>1725-1731</t>
  </si>
  <si>
    <t>101035020;60002014</t>
  </si>
  <si>
    <t>6602870802;7004004036</t>
  </si>
  <si>
    <t>Holter, Henrik;Steyskal, Hans</t>
  </si>
  <si>
    <t>Stockholm;Jarfalla</t>
  </si>
  <si>
    <t>The Royal Institute of Technology (KTH);Antenna Section</t>
  </si>
  <si>
    <t>60002014;101035020</t>
  </si>
  <si>
    <t>Holter H.</t>
  </si>
  <si>
    <t>Some experiences from FDTD analysis of infinite and finite multi-octave phased arrays</t>
  </si>
  <si>
    <t>10.1109/TAP.2002.807378</t>
  </si>
  <si>
    <t>2-s2.0-0037005498</t>
  </si>
  <si>
    <t>['underground tunnels', 'signals must', 'quantitatively verify', 'placed directly', 'penetrating radars', 'penetrating radar', 'paper ends', 'monostatic ground', 'known antenna', 'isolated antenna', 'illustrative example', 'free space', 'electrical properties', 'domain method', 'difference time', 'csa may', 'complete analysis', 'communication links', 'circular polarization', 'briefly reviewed', 'axis normal']</t>
  </si>
  <si>
    <t>Broad-band antenna | Conical spiral antenna (CSA) | Finite-difference time-domain (FDTD) | Frequency-independent antenna | Ground-penetrating radars (GPR)</t>
  </si>
  <si>
    <t>The two-arm, conical spiral antenna (CSA) is a well-known antenna that has several desirable features when isolated in free space, such as uniform input impedance, gain, and circular polarization over a broad frequency range. In this paper, this antenna is investigated when placed directly over the ground with its axis normal to the surface of the ground. In this configuration, the CSA may be useful for applications in which signals must be transmitted into the ground and/or received from within the ground, such as communication links to underground tunnels and ground-penetrating radars. First, the performance of the CSA in free space is briefly reviewed, and then qualitative arguments based on the geometrical and electrical properties of the isolated antenna are used to predict the performance when this antenna is placed over the ground. Next, results from a complete analysis of the CSA over the ground, performed with the finite-difference time-domain method, are used to quantitatively verify these predictions. The paper ends with an illustrative example in which the CSA is used in a monostatic ground-penetrating radar.</t>
  </si>
  <si>
    <t>1668-1675</t>
  </si>
  <si>
    <t>60021032;60021032</t>
  </si>
  <si>
    <t>Georgia Institute of Technology</t>
  </si>
  <si>
    <t>The conical spiral antenna over the ground</t>
  </si>
  <si>
    <t>10.1109/TAP.2002.807429</t>
  </si>
  <si>
    <t>2-s2.0-0037005524</t>
  </si>
  <si>
    <t>['ubp antenna', 'parameter theory', 'entire band', 'constant gain', 'also achieved', 'almost 120', '5 db']</t>
  </si>
  <si>
    <t>Diplexers | Microstrip antennas | Microstrip filters</t>
  </si>
  <si>
    <t>An ultra broadband printed (UBP) antenna is presented which consists of a diplexer and two aperture stacked patch antennas. S-parameter theory is used to investigate the input impedance behavior of the UBP antenna. This antenna can produce a 10-dB return loss bandwidth of almost 120% with constant gain of 6.5 dB. A relatively uniform radiation pattern over the entire band was also achieved.</t>
  </si>
  <si>
    <t>1697-1705</t>
  </si>
  <si>
    <t>60011362;100461258</t>
  </si>
  <si>
    <t>6602413355;35478779700</t>
  </si>
  <si>
    <t>Ghorbani, Kamran;Waterhouse, Rod B.</t>
  </si>
  <si>
    <t>Melbourne;Columbia</t>
  </si>
  <si>
    <t>RMIT University;Dorsal Networks</t>
  </si>
  <si>
    <t>Ghorbani K.</t>
  </si>
  <si>
    <t>Ultrabroadband printed (UBP) antenna</t>
  </si>
  <si>
    <t>10.1109/TAP.2002.807423</t>
  </si>
  <si>
    <t>2-s2.0-0037005537</t>
  </si>
  <si>
    <t>['whole c', 'wdm short', 'vipa compensators', 'transmission systems', 'shifted fiber', 'required due', 'preemphasis technique', 'periodical characteristics', 'noise ratio', 'l bands', 'haul transmission', 'greatly reduce', 'gain equalizer', 'error correction', 'division multiplexing', 'dense wavelength', 'considerably reducing', 'compensator menus', 'compensating fiber', 'c band', 'although channel', 'achieved 3', '88 channels', '80 km', '8 db']</t>
  </si>
  <si>
    <t>40 Gb/s | Adaptive control | Dispersion compensation | Optical fiber communication | Optical fiber dispersion | Virtually imaged phased array (VIPA) | Wavelength-division multiplexing (WDM)</t>
  </si>
  <si>
    <t>We have demonstrated variable dispersion compensation by using a virtually imaged phased array (VIPA) to overcome the small dispersion tolerance in 40-Gb/s dense wavelength-division multiplexing (WDM) transmission systems. By utilizing the periodical characteristics of VIPA compensators, we performed simultaneous dispersion compensation in a 1.28-Tb/s (40-Gb/s √ó 32 ch; C band) short-haul transmission and confirmed that only two VIPA compensators and one fixed dispersion-compensating fiber are required for a large transmission range of 80 km. This performance can greatly reduce the cost, size, and number of compensator menus in a 40-Gb/s WDM short-haul transmission system. In addition, we achieved 3.5-Tb/s (43-Gb/s √ó 88 ch; C and L bands) transmission over a 600-km nonzero dispersion-shifted fiber by using VIPA compensators. Although channel-by-channel dispersion compensation is required due to the larger residual dispersion slope in long-haul transmission, the periodical characteristics of the VIPA compensators offer the advantage of considerably reducing the number of different modules required to cover the whole C (or L) band. An adequate optical signal-to-noise ratio, which was the same for all channels, was obtained by using distributed Raman amplification, a gain equalizer, and a preemphasis technique. We achieved a Q -factor of more than 11.8 dB (BER &lt; 10-17 with forward-error correction) for all 88 channels.</t>
  </si>
  <si>
    <t>2196-2203</t>
  </si>
  <si>
    <t>60007951;60007951;60007951;60007951;60007951;60007951;60007951;60007951</t>
  </si>
  <si>
    <t>7004578422;55699801000;7202113789;7006032417;6603874966;6602985405;7103171206;7005181903</t>
  </si>
  <si>
    <t>Ooi, Hiroki;Nakamura, Kentaro;Akiyama, Yuichi;Takahara, Tomoo;Terahara, Takafumi;Kawahata, Yuichi;Isono, Hideki;Ishikawa, George</t>
  </si>
  <si>
    <t>Ooi H.</t>
  </si>
  <si>
    <t>40-Gb/s WDM transmission with virtually imaged phased array (VIPA) variable dispersion compensators</t>
  </si>
  <si>
    <t>10.1109/JLT.2002.807779</t>
  </si>
  <si>
    <t>2-s2.0-0037005603</t>
  </si>
  <si>
    <t>['well behaved', 'wave dipoles', 'scan volume', 'scan range', 'point impedance', 'place restrictions', 'optimal set', 'matching networks', 'half wavelength', 'grating lobes', 'genetic algorithms', 'genetic algorithm', 'efficient technique', 'array elements', 'aperiodic array']</t>
  </si>
  <si>
    <t>Aperiodic arrays | Genetic algorithms | Grating lobes | Thinned arrays</t>
  </si>
  <si>
    <t>The scan volume of a thinned periodic linear phased array is proportional to the spacing between array elements. As the spacing between elements increases beyond a half wavelength, the scan range of the array will be significantly reduced due to the appearance of grating lobes. This paper will investigate a method of creating thinned aperiodic linear phased arrays through the application of genetic algorithms that will suppress the grating lobes with increased steering angles. In addition, the genetic algorithm will place restrictions on the driving-point impedance of each element so that they are well behaved during scanning. A genetic algorithm approach will also be introduced for the purpose of evolving an optimal set of matching networks. Finally, an efficient technique for evaluating the directivity of an aperiodic array of half-wave dipoles will be developed for use in conjunction with genetic algorithms.</t>
  </si>
  <si>
    <t>1732-1742</t>
  </si>
  <si>
    <t>60001439;60001439;60025209;60025209</t>
  </si>
  <si>
    <t>57206140799;55925714300;6603613673;6507250754</t>
  </si>
  <si>
    <t>Bray, Matthew G.;Werner, Douglas H.;Boeringer, Daniel W.;Machuga, David W.</t>
  </si>
  <si>
    <t>Los Angeles;University Park</t>
  </si>
  <si>
    <t>Northrop Grumman corporation;Pennsylvania State University</t>
  </si>
  <si>
    <t>60025209;60001439</t>
  </si>
  <si>
    <t>Bray M.</t>
  </si>
  <si>
    <t>Optimization of thinned aperiodic linear phased arrays using genetic algorithms to reduce grating lobes during scanning</t>
  </si>
  <si>
    <t>10.1109/TAP.2002.807947</t>
  </si>
  <si>
    <t>2-s2.0-0037005610</t>
  </si>
  <si>
    <t>['several prototypes', 'resonant size', 'large reduction']</t>
  </si>
  <si>
    <t>High-performance radio local-area network (HIPERLAN) | Microstrip antennas | Wireless local-area network</t>
  </si>
  <si>
    <t>A novel conical beam patch antenna design, suitable for local area network applications, uses a central cylindrical connection from the disc to ground to achieve a large reduction in resonant size. Results on efficiency, bandwidth, and pattern are reported for several prototypes.</t>
  </si>
  <si>
    <t>1862-1864</t>
  </si>
  <si>
    <t>60008524-100323396;60008524;60008524;60008524;60008524</t>
  </si>
  <si>
    <t>55952532900;7003902501;7103187079;7006824457;7202342112</t>
  </si>
  <si>
    <t>McEwan, Neil J.;Abd-Alhameed, Raed A.;Ibrahim, Embarak M.;Excell, Peter S.;Ali, Nazar T.</t>
  </si>
  <si>
    <t>Bradford;Shipley</t>
  </si>
  <si>
    <t>University of Bradford;Filtronic Plc</t>
  </si>
  <si>
    <t>60008524;100323396</t>
  </si>
  <si>
    <t>McEwan N.</t>
  </si>
  <si>
    <t>Compact WLAN disc antennas</t>
  </si>
  <si>
    <t>10.1109/TAP.2002.807368</t>
  </si>
  <si>
    <t>2-s2.0-0037005611</t>
  </si>
  <si>
    <t>CCR-9979310</t>
  </si>
  <si>
    <t>['statistical characteristics', 'receive functions', 'path loss', 'paper reports', 'measured results', 'large bandwidth', 'interesting choice', 'high data', 'experimental setup', 'experimental results', 'coefficients used', '30 ghz']</t>
  </si>
  <si>
    <t>Indoor propagation | Propagation models | Wireless propagation</t>
  </si>
  <si>
    <t>The millimeter-wave frequency band is emerging as an interesting choice for high data-rate indoor wireless communications. The features of large bandwidth, small antenna size and high indoor path loss to isolate separate channels offer many advantages. This paper reports on the experimental setup, the experimental results, and statistical characteristics of line-of-sight (LOS) indoor wireless propagation channels using a low-profile directional antenna for both transmit and receive functions at 30 GHz. The path loss and small-scale fading characteristics are explored. The measured results are used to determine the coefficients used in Rician and Nakagami distribution models at 30 GHz. ¬© 2002 IEEE.</t>
  </si>
  <si>
    <t>60010065;60000251-60010065</t>
  </si>
  <si>
    <t>6505778611;6506065488</t>
  </si>
  <si>
    <t>Beauvarlet, Didier;Virga, Kathleen L.</t>
  </si>
  <si>
    <t>Tucson;New York</t>
  </si>
  <si>
    <t>The University of Arizona;IEEE</t>
  </si>
  <si>
    <t>60010065;60000251</t>
  </si>
  <si>
    <t>Beauvarlet D.</t>
  </si>
  <si>
    <t>Measured characteristics of 30-GHz indoor propagation channels with low-profile directional antennas</t>
  </si>
  <si>
    <t>10.1109/LAWP.2002.802553</t>
  </si>
  <si>
    <t>2-s2.0-0037690925</t>
  </si>
  <si>
    <t>['resonant frequencies', 'input impedance', 'h curves', 'good agreement', 'fractal geometries', 'efficient reduction', 'computational results', 'antenna size']</t>
  </si>
  <si>
    <t>Antenna | FDTD | Fractal</t>
  </si>
  <si>
    <t>The full wave FDTD method was used to analyze the Hilbert and H fractal curves antennas. The computational results of the input impedance of Hilbert fractal antenna are in good agreement with the experiments in the documents. The results also show that the self-similarity of the fractal structure leads to the multiplicity of resonances over some predetermined operating bandwidths of the antenna. Fractal geometries of Hilbert and H curves can be implemented to miniaturize the antenna, too. The results also show that the higher order fractal antenna leads to the more efficient reduction of the antenna size than the lower order one. Furthermore, the far field patterns remain almost the same as those of the dipole at their own resonant frequencies.</t>
  </si>
  <si>
    <t>355-359</t>
  </si>
  <si>
    <t>60016835;60016835</t>
  </si>
  <si>
    <t>56730350800;7201753522</t>
  </si>
  <si>
    <t>Wang, Hong Jian;Gao, Ben Qing</t>
  </si>
  <si>
    <t>FDTD full wave analysis of fractal antennas</t>
  </si>
  <si>
    <t>2-s2.0-0037737530</t>
  </si>
  <si>
    <t>['stylus inserted', 'stylus holder', 'smart phone', 'radiation pattern', 'nearly uniform', 'inside surface', 'f antenna']</t>
  </si>
  <si>
    <t>Antenna | Bluetooth | Embedded | Internal | Packaged internal inverted-f antenna (PIFA) | Personal digital assistant (PDA) | Wireless | Wireless local area network (WLAN)</t>
  </si>
  <si>
    <t>A uniquely packaged internal inverted-F antenna is proposed for Bluetooth or wireless local area network (WLAN) application. The antenna is printed on the inside surface of the stylus holder of a personal digital assistant (PDA) or a smart phone. The proposed antenna operates within 2:1 voltage standing wave ratio (VSWR) throughout the entire Bluetooth band (2.4-2.485 GHz). The bandwidth of the antenna is 11% with the stylus inserted, while it is 12.4% without it. The radiation pattern of the antenna is very nearly uniform in the planes of interest. ¬© 2002 IEEE.</t>
  </si>
  <si>
    <t>60000251-60018179;60000251-60103834;60000251-60103834</t>
  </si>
  <si>
    <t>7404486537;57196872325;57213703627</t>
  </si>
  <si>
    <t>Ali, M.;Sadler, R. A.;Hayes, G. J.</t>
  </si>
  <si>
    <t>Plano;Columbia;New York</t>
  </si>
  <si>
    <t>Ericsson Inc.;University of South Carolina;IEEE</t>
  </si>
  <si>
    <t>60103834;60018179;60000251</t>
  </si>
  <si>
    <t>A uniquely packaged internal inverted-F antenna for bluetooth or wireless LAN application</t>
  </si>
  <si>
    <t>10.1109/LAWP.2002.802574</t>
  </si>
  <si>
    <t>2-s2.0-0037822658</t>
  </si>
  <si>
    <t>['way systems', 'transmit power', 'transmission end', 'slowly fading', 'significant savings', 'signal received', 'performed using', 'paper investigates', 'opposite link', 'limited multiple', 'expected compared', 'division duplex', 'based two', 'antenna systems']</t>
  </si>
  <si>
    <t>Communication theory | Interference cancellation | Radio communication | Smart antennas</t>
  </si>
  <si>
    <t>This paper investigates the performance of narrowband, slowly fading, and delay-limited multiple-antenna systems where channel state information (CSI) is available at the transmission end. This situation can arise in time-division duplex (TDD) based two-way systems where channel state estimation can be performed using the signal received from the opposite link. Power control methods which attempt to keep the transmission rate constant at the expense of randomizing the transmit power are considered. It is shown that significant savings in average transmit power (sometimes on the order of tens of decibels) can be expected compared to systems which keep the total transmit power constant. Several practical channel coding examples using are illustrated and their bit and frame error rate performance are discussed. ¬© 2002 IEEE.</t>
  </si>
  <si>
    <t>638-648</t>
  </si>
  <si>
    <t>60000251-60029859;60000251-60029859</t>
  </si>
  <si>
    <t>7102122228;7004399543</t>
  </si>
  <si>
    <t>Knopp, Raymond;Caire, Giuseppe</t>
  </si>
  <si>
    <t>France;United States</t>
  </si>
  <si>
    <t>Sophia Antipolis;New York</t>
  </si>
  <si>
    <t>EURECOM Ecole d'Ing√©nieur et Centre de Recherche en Sciences du Num√©rique;IEEE</t>
  </si>
  <si>
    <t>60029859;60000251</t>
  </si>
  <si>
    <t>Knopp R.</t>
  </si>
  <si>
    <t>Power control and beamforming for systems with multiple transmit and receive antennas</t>
  </si>
  <si>
    <t>10.1109/TWC.2002.804158</t>
  </si>
  <si>
    <t>2-s2.0-0038087438</t>
  </si>
  <si>
    <t>['uncorrelated signals', 'precision discrimination', 'phase summation', 'new algorithm', 'equal weights', 'comparative analysis', 'classical method', 'arbitrary ratios', 'angular position', 'adaptation method']</t>
  </si>
  <si>
    <t>A study was conducted on the application of adaptation method for discrimination of uncorrelated signals. A comparative analysis of the efficiency of the new algorithm as compared with the classical method of discrimination, based on in-phase summation of signals with equal weights was performed. It was found that with arbitrary ratios between the powers of the sources, the application of the second algorithm yielded high-precision discrimination of the angular position of uncorrelated signals.</t>
  </si>
  <si>
    <t>69-73</t>
  </si>
  <si>
    <t>100315264;100315264;100777598;100777598</t>
  </si>
  <si>
    <t>7004903129;6701759589;6602600519;7401566803</t>
  </si>
  <si>
    <t>Gabriel'yan, D. D.;Zvezdina, M. Yu;Vertogradov, G. G.;Shevchenko, V. N.</t>
  </si>
  <si>
    <t>Rostov-on-Don;Rostov-on-Don</t>
  </si>
  <si>
    <t>State Design Bureau for Svyaz';Rostov Mil. Inst. for Rocket Defense</t>
  </si>
  <si>
    <t>100777598;100315264</t>
  </si>
  <si>
    <t>Gabriel'yan D.</t>
  </si>
  <si>
    <t>Application of adaptation method for discrimination of uncorrelated signals</t>
  </si>
  <si>
    <t>2-s2.0-0038208143</t>
  </si>
  <si>
    <t>['upper mantle', 'several tens', 'several methods', 'regional responses', 'primary peculiarity', 'obtained section', 'magnitude less', 'magnetotelluric data', 'lithosphere accompanied', 'known data', 'km depth', 'intermediate layer', 'impulsive magneto', 'high value', 'high resistance', 'gradient background', 'frequency methods', 'first time', 'electrical conductivity', 'depth range', 'crustal anomalies', 'controlled sources', 'conductivity distribution', 'conductive sediments', 'combination gave', 'baltic shield', 'allowed us', '9 km', '4 ks', '2000 km', '14 months']</t>
  </si>
  <si>
    <t>Baltic shield | Controlled and natural sources | Crust and mantle | Electrical conductivity | Electromagnetic soundings</t>
  </si>
  <si>
    <t>The structure of the regional "normal" model of electrical conductivity of the Earth's crust and upper mantle for the Baltic shield and its vicinity has been studied by combination of several methods of electromagnetic sounding using both controlled sources: DC and frequency methods, soundings with the use of Extra Low Frequency (ELF) antenna "Zevs" and with impulsive magneto-hydrodynamic (MHD) generator of 80 MW power; and natural electromagnetic sources (magnetovariation and partly deep magnetotelluric soundings). Such a combination gave, for the first time, a possibility to analyse the regional responses in the ultra wide period range, from 10-6 s up to 14 months. These data have allowed us to construct a regional 1D model of conductivity distribution in the lithosphere and mantle, in the depth range from several tens of meters up to 2000 km. The primary peculiarity of the obtained section is the very high value of the Earth crustal electrical resistivity (until 5√ó105 Œ©m2) and the high transversal resistance of the lithosphere as a whole (more than 1010 Œëm2). Against of this background, an intermediate layer of relatively low resistivity (‚àº104 Œëm) is revealed in the depth range of 3-9 km. The resistivity of the upper mantle reduces gradually and becomes seven orders of magnitude less down to the 2000 km depth. Against this gradient background, another intermediate conductive layer has been detected at about 150-200 km depth. This layer, with conductance of 2-4 kS, could be associated with the asthenosphere. The mid-mantle conductive layer has 450 kS conductance at about 650-km depth, which is in agreement with the known data of global geomagnetic sounding. The very high resistance of the lithosphere accompanied by the thin and ill-conductive sediments can make abnormal lateral influence on magnetotelluric data from both crustal anomalies of electrical conductivity and sea basins surrounding the Baltic shield.</t>
  </si>
  <si>
    <t>583-606</t>
  </si>
  <si>
    <t>Acta Geophysica Polonica</t>
  </si>
  <si>
    <t>60014036;60014383;60104579;60104579;60007457</t>
  </si>
  <si>
    <t>6602810706;56218550100;7007098573;7005082466;6508127767</t>
  </si>
  <si>
    <t>Zhamaletdinov, Abdulchai A.;Semenov, Vladimir Yu;Shevtsov, Alexander;Tokarev, Alexander D.;Bobachev, Alexei A.</t>
  </si>
  <si>
    <t>Russian Federation;Poland;Russian Federation;Russian Federation</t>
  </si>
  <si>
    <t>Apatity;Warszawa;Troitsk;Moscow</t>
  </si>
  <si>
    <t>Geological Institute Kola Science Centre of the Russian Academy of Sciences;Polish Academy of Sciences;Pushkov Institute of Terrestrial Magnetism, Ionosphere and Radiowave Propagation, Russian Academy of Sciences;Lomonosov Moscow State University</t>
  </si>
  <si>
    <t>60104579;60014383;60014036;60007457</t>
  </si>
  <si>
    <t>Zhamaletdinov A.</t>
  </si>
  <si>
    <t>Geoelectrical structure of the baltic shield and its vicinity through the lithosphere and mantle</t>
  </si>
  <si>
    <t>2-s2.0-0038406111</t>
  </si>
  <si>
    <t>['terminal uses', 'receive mpeg', 'provide real', 'professional organizations', 'land vehicles', 'internet delivery', 'disaster monitoring', 'disaster mitigation', 'disaster information', 'data rates', 'crl ),', 'airborne video', 'adrc ).', '20 ghz']</t>
  </si>
  <si>
    <t>A disaster monitoring, management and mitigation (DM3) system using satellite communications technologies has been developed through cooperation of the Communications Research Laboratory (CRL), the National Space Development Agency of Japan (NASDA) and the Asian Disaster Reduction Center (ADRC). The DM3 system includes an airborne video and still photo data acquisition, relay from the aircraft via Ka-band satellite communications, and a model disaster management center which houses a computer data base accessible from the Internet. The DM3 SATCOM system can provide real-time and bi-directional communication capabilities for disaster monitoring using various mobile terminals, which can be installed on airplanes, helicopters and land vehicles. Internet delivery of disaster information from a disaster management center to public or professional organizations for disaster mitigation is available, and users can easily search images of particular disaster areas using commercially available Internet browsers. In this paper, we present the disaster monitoring system using a satellite terminal installed on an airplane, which can transmit and receive MPEG-II moving pictures at data rates up to 8.5 Mbps using via existing Ka-band (30/20 GHz) satellites. The terminal uses a 35 cm diameter Cassegrain antenna and a 100 W transmitter.</t>
  </si>
  <si>
    <t>60032325;60032325;60032325;100892085;101543828</t>
  </si>
  <si>
    <t>35501540000;36084975100;7202880227;7801689854;7801528935</t>
  </si>
  <si>
    <t>Wakana, Hiromitsu;Li, Huan Bang;Miura, Amane;Nirei, Yoshihiko;Arakida, Masaru</t>
  </si>
  <si>
    <t>Koganei;Hyogo Prefecture;Tokyo</t>
  </si>
  <si>
    <t>Japan National Institute of Information and Communications Technology;Asian Disaster Reduction Center (ADRC);National Space Devmt. Agy. of Japan</t>
  </si>
  <si>
    <t>60032325;101543828;100892085</t>
  </si>
  <si>
    <t>Wakana H.</t>
  </si>
  <si>
    <t>Airborne imaging and Ka-band satellite communications in an experimental disaster management system</t>
  </si>
  <si>
    <t>2-s2.0-0038707634</t>
  </si>
  <si>
    <t>['voice mode', 'uses small', 'truly global', 'special features', 'small antennas', 'recovery efforts', 'pstn ).', 'provide individuals', 'portable system', 'local conditions', 'iridium user', 'iridium provides', 'groups involved', 'ground station', 'go via', 'disaster relief', 'data modes', 'data mode', 'data capabilities', 'clear view', 'basic capabilities']</t>
  </si>
  <si>
    <t>The Iridium low earth orbit satellite (LEOS) system is a powerful communications tool with applications for disaster relief and recovery efforts. It requires no local ground infrastructure, uses small, low power communications units with small antennas, and has both voice and data capabilities. Coverage is truly global. While local conditions can impose a few limitations on connectivity, an Iridium user can connect from anywhere on the planet, providing only that his antenna (which can be outdoors, remote from the user's terminal) can get a clear view of the sky. Iridium provides both voice and data modes. In data mode, users can connect from one Iridium unit to another Iridium unit, to the Internet, or to the public switched telephone network (PSTN). Similarly, in voice mode, a user can call another Iridium phone, or go via the ground station and the PSTN to any phone in the world. Iridium also provides pager service. With its basic capabilities and special features, Iridium can provide individuals and groups involved in disaster relief or recovery with an efficient, low-cost, reliable, and very portable system for communications.</t>
  </si>
  <si>
    <t>151-155</t>
  </si>
  <si>
    <t>Heinmiller, Robert</t>
  </si>
  <si>
    <t>Staunton</t>
  </si>
  <si>
    <t>Omnet, Inc.</t>
  </si>
  <si>
    <t>Heinmiller R.</t>
  </si>
  <si>
    <t>Iridium as a communications tool for disaster response and recovery</t>
  </si>
  <si>
    <t>2-s2.0-0038707637</t>
  </si>
  <si>
    <t>['work reports', 'overall efficiency', 'mode converter', 'circular waveguide', 'calculated range', '8 ghz', '4 ghz']</t>
  </si>
  <si>
    <t>This work reports on measurements and calculations (coupled mode equations) on the conversion of transverse magnetic TM01 vircator mode at 4 GHz to the linearly polarized TE11 mode by means of mode converter systems using a circular waveguide with curvature. The mode converter is composed of a 38.78¬∞ bend with 39.07 cm curvature and a 50.78¬∞ inverse bend with 25.24 cm curvature in 9 cm internal diameter (ID) circular waveguide. The efficiency of conversion from TM01 to TE11 at 4 GHz exceeds 99%, and the overall efficiency from TM01 to TE11 exceeds 90% over a calculated range of 3.72-4.8 GHz.</t>
  </si>
  <si>
    <t>925-930</t>
  </si>
  <si>
    <t>60024350;60024350</t>
  </si>
  <si>
    <t>7102820980;7405549230</t>
  </si>
  <si>
    <t>Ling, G. S.;Zhou, J. J.</t>
  </si>
  <si>
    <t>Ling G.</t>
  </si>
  <si>
    <t>Design of mode converters for generating the TE&lt;inf&gt;11&lt;/inf&gt; mode from TM&lt;inf&gt;01&lt;/inf&gt; vircator at 4 GHz</t>
  </si>
  <si>
    <t>10.1080/0020721031000118815</t>
  </si>
  <si>
    <t>2-s2.0-0038779967</t>
  </si>
  <si>
    <t>['voice activity', 'uplink direction', 'switched operation', 'significantly improve', 'showing distributions', 'results indicate', 'practical implementation', 'performance evaluation', 'performance compared', 'nara ).', 'multicell interference', 'measurement errors', 'level simulations', 'higher occupancies', 'fading channel', 'downlink performance', 'downlink direction', 'compact specification', 'cellular systems', 'capacity improvement', 'antenna sectorization', 'also illustrate', 'also compare', 'almost 100', '12 carriers']</t>
  </si>
  <si>
    <t>Adaptive | CDMA | Cellular | Dynamic channel assignment (DCA) | EDGE | Frequency hopping | Resource allocation | Spectral efficiency | Wireless</t>
  </si>
  <si>
    <t>We evaluate the performance of recently proposed dynamic frequency hopping (DFH) when applied to cellular systems with a limited total bandwidth. We also illustrate a practical implementation for DFH deployment using network-assisted resource allocation (NARA). The performance evaluation is accomplished by system-level simulations of a system with 12 carriers and 1/1 frequency reuse, based on the EDGE-Compact specification. Voice-only circuit-switched operation is assumed. Fading channel, multicell interference, voice activity, and antenna sectorization are modeled. We present the performance of dynamic frequency hopping compared to random frequency hopping and fixed channel assignment by showing distributions of word error rates. Sensitivity to occupancy, Rayleigh fading assumptions, number of carriers, voice activity, and measurement errors are studied. We also compare the uplink and downlink performance. The results indicate that DFH can significantly improve the performance compared to random frequency hopping. For example, at a 2% frame error rate with 90% coverage, the capacity improvement of DFH is almost 100% when compared with fixed channel assignment, and about 50% when compared to random frequency hopping. The amount of improvement for the uplink direction is smaller than the improvement for the downlink direction, especially for higher occupancies. ¬© 2002 IEEE.</t>
  </si>
  <si>
    <t>28-36</t>
  </si>
  <si>
    <t>60000251-60012230;60000251-100434076</t>
  </si>
  <si>
    <t>7003379826;7005307748</t>
  </si>
  <si>
    <t>Kostiƒá, Zoran;Sollenberger, Nelson</t>
  </si>
  <si>
    <t>Middletown;New York;Middletown</t>
  </si>
  <si>
    <t>AT&amp;T Laboratories Middletown;IEEE;Mobilink Telecom Inc.</t>
  </si>
  <si>
    <t>60012230;60000251;100434076</t>
  </si>
  <si>
    <t>Kostiƒá Z.</t>
  </si>
  <si>
    <t>Performance and implementation of dynamic frequency hopping in limited-bandwidth cellular systems</t>
  </si>
  <si>
    <t>S1536127602001848</t>
  </si>
  <si>
    <t>10.1109/7693.975442</t>
  </si>
  <si>
    <t>2-s2.0-0042031342</t>
  </si>
  <si>
    <t>101-119</t>
  </si>
  <si>
    <t>Progress in Electromagnetics Research</t>
  </si>
  <si>
    <t>Electronic beam steering using switched parasitic smart antenna arrays</t>
  </si>
  <si>
    <t>10.2528/PIER01100302</t>
  </si>
  <si>
    <t>2-s2.0-0042038280</t>
  </si>
  <si>
    <t>['spatial signature', 'perform similarly', 'paper investigates', 'made using', 'link beamforming', 'field measurements', 'computer simulations', 'based algorithms', 'also included', '8 ghz']</t>
  </si>
  <si>
    <t>Adaptive arrays | Antenna array mutual coupling | Array signal processing | Direction of arrival estimation</t>
  </si>
  <si>
    <t>This paper investigates the benefit of mutual coupling compensation via a method of moments (MoM) approach in a uniform circular antenna array operating at 1.8 GHz. This mutual coupling compensation technique is applied to a direction of arrival (DOA) study of up to two cochannel mobile users. Field measurements and computer simulations are examined to explore the assumptions of the technique and verify its effect when using the Bartlett and MUSIC DOA algorithms. Computer simulations considering the application of the technique to down-link beamforming are also included. Experimental results show that the mutual coupling compensation technique improves up-link DOA algorithm performance primarily by reducing unwanted sidelobe levels. This reduction in sidelobe levels aids in down-link beamforming weight design. Specifically, simulation results show that use of the compensation technique allows DOA-based down-link beamforming algorithms to perform similarly to spatial signature-based algorithms. All field measurements were made using the smart antenna testbed at the University of Texas at Austin. ¬© 2002 IEEE.</t>
  </si>
  <si>
    <t>480-487</t>
  </si>
  <si>
    <t>60000251-60013372-60014662;60000251-60013372;60000251-60013372</t>
  </si>
  <si>
    <t>7004328694;7202062608;7404265004</t>
  </si>
  <si>
    <t>Dandekar, Kapil R.;Ling, Hao;Xu, Guanghan</t>
  </si>
  <si>
    <t>Philadelphia;Austin;New York</t>
  </si>
  <si>
    <t>Drexel University;The University of Texas at Austin;IEEE</t>
  </si>
  <si>
    <t>60014662;60013372;60000251</t>
  </si>
  <si>
    <t>Experimental study of mutual coupling compensation in smart antenna applications</t>
  </si>
  <si>
    <t>10.1109/TWC.2002.800546</t>
  </si>
  <si>
    <t>2-s2.0-0042039164</t>
  </si>
  <si>
    <t>['wire layout', 'inherently ineffective', 'hilbert curve', 'direct function']</t>
  </si>
  <si>
    <t>Fractal antennas | Fractals | Small antennas</t>
  </si>
  <si>
    <t>The space-filling fractal geometry of the Hilbert curve is examined in terms of its effectiveness in lowering resonant frequency. It is demonstrated that the complex geometry associated with the space-filling Hilbert fractal curve is inherently ineffective in lowering resonant frequency compared to other less complex geometries of the same size and total wire length. The effectiveness of the geometry in lowering resonant frequency is a direct function of the current vector alignment established by the wire layout. ¬© 2002 IEEE.</t>
  </si>
  <si>
    <t>7102270511;7202118492</t>
  </si>
  <si>
    <t>Best, Steven R.;Morrow, Jarrett D.</t>
  </si>
  <si>
    <t>The effectiveness of space-filling fractal geometry in lowering resonant frequency</t>
  </si>
  <si>
    <t>10.1109/LAWP.2002.806050</t>
  </si>
  <si>
    <t>2-s2.0-0042091018</t>
  </si>
  <si>
    <t>['various numbers', 'simulation results', 'simple method', 'selection among', 'psk modulation', 'presented comparing', 'optimum codes', 'new measure', 'maximum diversity', 'limited number', 'good codes', 'found using', 'extremely useful', 'extensive set', 'especially useful', 'efficient method', 'companion paper', 'coding gain', 'codes designed']</t>
  </si>
  <si>
    <t>Space-time convolutional codes, that provide maximum diversity and coding gain, are produced for cases with PSK modulation and various numbers of states and antennas. The codes are found using a new approach Introduced recently In a companion paper. The new approach provides an efficient method that allows a search for optimum codes for many practical problems. The new approach also provides a simple method for augmenting the criteria of maximum diversity and coding gain with a new measure which Is shown to be extremely useful for evaluating code performance without extensive simulations. To validate the approach, an extensive set of simulation results are presented comparing the codes designed here to many other recently proposed space-time convolutional codes. The comparisons, given In terms of frame error rate (FER), Indicate that our new method provides codes which yield excellent performance. The approach Is especially useful for finding a handful of good codes. Selection among these codes can be made with a limited number of simulations for FER. ¬© 2002 IEEE.</t>
  </si>
  <si>
    <t>563-571</t>
  </si>
  <si>
    <t>60000060-60018708;60000251-60000060</t>
  </si>
  <si>
    <t>55106768700;7202801624</t>
  </si>
  <si>
    <t>Yan, Qing;Blum, Rick S.</t>
  </si>
  <si>
    <t>Milpitas;New York;Bethlehem</t>
  </si>
  <si>
    <t>LSI Corporation;IEEE;Lehigh University</t>
  </si>
  <si>
    <t>60018708;60000251;60000060</t>
  </si>
  <si>
    <t>Yan Q.</t>
  </si>
  <si>
    <t>Improved space-time convolutional codes for quasi-static slow fading channels</t>
  </si>
  <si>
    <t>10.1109/TWC.2002.804076</t>
  </si>
  <si>
    <t>2-s2.0-0042160388</t>
  </si>
  <si>
    <t>['w28 oh', 'temporal broadening', 'screen may', 'scattering screen', 'reasonable values', 'pulsar distance', 'placed closer', 'observed sizes', 'new mexico', 'minimum distance', 'measured size', 'masers must', 'large array', 'interstellar scattering', 'interstellar medium', 'galaxy ),', 'e .,', 'distance estimates', 'choice leads', '7 kpc', '5 kpc', '4885 mhz', '4 kpc', '220 mas', '2 kpc', '1720 mhz', '1715 mhz']</t>
  </si>
  <si>
    <t>Masers | Scattering | Supernova remnants</t>
  </si>
  <si>
    <t>We have used the NRAO Very Large Array (VLA) in conjunction with the Very Long Baseline Array (VLBA), Pie Town, New Mexico, antenna as a real-time interferometer system to measure the size of the extragalactic source J1801-231 as a function of frequency from 1285 to 4885 MHz. These observations were made in an attempt to determine the effect interstellar scattering has on the observed sizes of OH (1720 MHz) masers in the nearby (d = 2.5 kpc) supernova remnant W28. The observations clearly show that J1801-231 displays angular broadening due to turbulence in the Galaxy's interstellar medium. The minimum distance of the nearby (2‚Ä≤ from J1801-231) pulsar PSR B1758-23 is constrained to be 9.4 ¬± 2.4 kpc. This value is based on both the measured size of 220 mas for J1801-231 at 1715 MHz and the temporal broadening of the pulsar. A single thin scattering screen along the line of sight to the W28 OH (1720 MHz) masers must be at 4.7 ¬± 1.2 kpc for this minimum pulsar distance. The screen may be placed closer to the Earth, but for reasonable values of the pulsar distance (i.e., the pulsar is within the Galaxy), this choice leads to a negligible scattering contribution to the sizes of the masers. Thus, the OH (1720 MHz) masers, at a distance of 2.5 ¬± 0. 7 kpc, are unaffected by interstellar scattering, and the measured maser sizes must be intrinsic. Our measured upper limits to the size of the pulsar itself are consistent with the distance estimates to the pulsar and the scattering screen.</t>
  </si>
  <si>
    <t>909-913</t>
  </si>
  <si>
    <t>60021907;60021907;112611070;60021907</t>
  </si>
  <si>
    <t>7007051706;7103102779;7102659639;6603681315</t>
  </si>
  <si>
    <t>Claussen, M. J.;Goss, W. M.;Desai, K. M.;Brogan, C. L.</t>
  </si>
  <si>
    <t>Socorro;Setauket</t>
  </si>
  <si>
    <t>National Radio Astronomy Observatory Socorro;Renaissance Technologies Corporation</t>
  </si>
  <si>
    <t>60021907;112611070</t>
  </si>
  <si>
    <t>Claussen M.J.</t>
  </si>
  <si>
    <t>The size of the extragalactic source J1801-231 and the association of pulsar PSR B1758-23 with the supernova remnant W28</t>
  </si>
  <si>
    <t>10.1086/343792</t>
  </si>
  <si>
    <t>2-s2.0-0042330325</t>
  </si>
  <si>
    <t>['two branches', 'symbol error', 'shift keying', 'rayleigh fading', 'noise ratio', 'analytical results', 'analytical expression', 'also presented']</t>
  </si>
  <si>
    <t>Antenna diversity | Binary phase-shift keying | Correlated channels | Maximal ratio | Quaternary phase-shift keying | Rayleigh | Selection diversity</t>
  </si>
  <si>
    <t>An analytical expression for the probability density function of the signal-to-noise ratio (SNR) at the output of a two-branch maximal ratio and selection diversity system is given. The two branches are assumed to be Rayleigh fading, correlated, as well as of unequal average SNRs. Measurements of the cumulative distribution functions after selection and maximal ratio combining were made in Rayleigh fading channels and compared with the analytical results. Also presented are the exact analytical average probabilities of symbol error for coherent binary phase-shift keying and coherent quaternary phase-shift keying before and after two-branch maximal ratio combining for a slow and flat fading correlated Rayleigh channel. ¬© 2002 IEEE.</t>
  </si>
  <si>
    <t>60027090;60027090;60000251-60027090</t>
  </si>
  <si>
    <t>6602468210;7201791618;7006247497</t>
  </si>
  <si>
    <t>Dietze, Kai;Dietrich, Carl B.;Stutzman, Warren L.</t>
  </si>
  <si>
    <t>Dietze K.</t>
  </si>
  <si>
    <t>Analysis of a two-branch maximal ratio and selection diversity system with unequal SNRs and correlated inputs for a rayleigh fading channel</t>
  </si>
  <si>
    <t>S1536127602029306</t>
  </si>
  <si>
    <t>10.1109/7693.994821</t>
  </si>
  <si>
    <t>2-s2.0-0042988460</t>
  </si>
  <si>
    <t>['wave dipole', 'spaced wavelength', 'phase angle', 'parallel dipole', 'paper examines', 'impedance properties', 'impedance material', 'impedance conductor', 'gain varies', 'example uses', 'closely spaced', 'acceptable range', '0 db']</t>
  </si>
  <si>
    <t>Antennas | Electromagnetic bandgap | High-impedance screen | Magnetic conductor | Photonic bandgap</t>
  </si>
  <si>
    <t>A high-impedance conductor with reflection coefficient magnitude near unity and appropriate phase would allow a parallel dipole to be closely spaced to the screen. Phase is critical; this paper examines the pattern, gain, and impedance properties of a dipole antenna located close to a high-impedance material. The material is idealized with a unity reflection coefficient and a variable phase angle from -œÄ to +œÄ. An example uses a half-wave dipole-spaced wavelength from the material. For a phase angle around 135¬∞ the pattern is unstable and has a null at broadside. Gain varies from 10 to 0 dB. Input impedance varies widely with phase angle, presenting a mismatch loss situation. From these data an acceptable range of phase angle verses frequency can be inferred. ¬© 2002 IEEE.</t>
  </si>
  <si>
    <t>46-49</t>
  </si>
  <si>
    <t>60000251-100333806</t>
  </si>
  <si>
    <t>New York;Tarzana</t>
  </si>
  <si>
    <t>IEEE;R. C. Hansen, Inc.</t>
  </si>
  <si>
    <t>60000251;100333806</t>
  </si>
  <si>
    <t>Effects of a high-impedance screen on a dipole antenna</t>
  </si>
  <si>
    <t>10.1109/LAWP.2002.805121</t>
  </si>
  <si>
    <t>2-s2.0-0141734714</t>
  </si>
  <si>
    <t>Comunidad de Madrid</t>
  </si>
  <si>
    <t>075/0019/2000</t>
  </si>
  <si>
    <t>['upper patch', 'new type', 'diagonal positions', 'bandwidth improvement']</t>
  </si>
  <si>
    <t>Bandwidth enhancement | Input impedance locus | Main planes | Stacked patches | Upper patch offset</t>
  </si>
  <si>
    <t>A new type of structure has been analyzed - the upper patch of a common stacked patches antenna has been placed in different positions offset from the center. Bandwidth improvement has been achieved by displacing the upper patch in the two main antenna planes and diagonal positions. It has been proven that the effect diagonal offsets have on bandwidth is the sum of the E- and H-plane offset effects. ¬© 2002 IEEE.</t>
  </si>
  <si>
    <t>28-30</t>
  </si>
  <si>
    <t>60001741;60001741;60006754</t>
  </si>
  <si>
    <t>6603262783;6504044576;6602370046</t>
  </si>
  <si>
    <t>Rajo-Iglesias, E.;Villaseca-S√°nchez, G.;Mart√≠n-Pascual, C.</t>
  </si>
  <si>
    <t>Consejo Superior de Investigaciones Cient√≠ficas;Universidad Carlos III de Madrid</t>
  </si>
  <si>
    <t>60006754;60001741</t>
  </si>
  <si>
    <t>Input impedance behavior in offset stacked patches</t>
  </si>
  <si>
    <t>10.1109/LAWP.2002.802582</t>
  </si>
  <si>
    <t>2-s2.0-0141846132</t>
  </si>
  <si>
    <t>['tuning range', 'theoretical analysis', 'marked improvement', '53 %,']</t>
  </si>
  <si>
    <t>A theoretical analysis of varactor tuned FET loaded microstrip antenna is proposed. The analysis is based on the modal expansion cavity model and circuit theory approach. The active patch antenna shows a marked improvement in tuning range, bandwidth and beamwidth. The proposed method predicts a tunable frequency band of 2.487 GHz resulting into a bandwidth of 35.53%, which is higher than the earlier reported data.</t>
  </si>
  <si>
    <t>147-158</t>
  </si>
  <si>
    <t>Journal of Electrical and Electronics Engineering, Australia</t>
  </si>
  <si>
    <t>36841913800;7003714798</t>
  </si>
  <si>
    <t>Nayak, Anjali;Vishvakarma, Babau R.</t>
  </si>
  <si>
    <t>Nayak A.</t>
  </si>
  <si>
    <t>Analysis of varactor tuned FET loaded microstrip patch antenna</t>
  </si>
  <si>
    <t>2-s2.0-0141973130</t>
  </si>
  <si>
    <t>['within 5', 'vehicle velocities', 'track interferometry', 'target speeds', 'sar ati', 'preparatory work', 'moving targets', 'july 1999', 'experiment site', 'environment canada', 'corner reflector', 'contained coordinated', 'ati appears', 'airborne experiment', '100 km']</t>
  </si>
  <si>
    <t>As part of the preparatory work for the RADARSAT-2 moving object detection experiment (MODEX special operating mode), an airborne experiment was conducted at Canadian Forces Base Petawawa in July 1999 to study synthetic aperture radar (SAR) along-track interferometry (ATI) and SAR displaced phase centre antenna (DPCA) as candidate measurement techniques. The CV 580 SAR system operated by Environment Canada was configured as a two-aperture temporal interferometer, and data were collected over an experiment site that contained coordinated, global positioning system (GPS) monitored, moving targets. A robust ATI phase probability density function was identified and used in conjunction with a moving-target matched filter to extract and measure target motion. Corner reflector and vehicle velocities were measured for target speeds between 9 and 100 km/h to within 5% accuracy. SAR ATI and SAR DPCA performed equally well over this range of velocities, but ATI appears to be the more robust processing algorithm. ¬© 2002 Government of Canada.</t>
  </si>
  <si>
    <t>794-813</t>
  </si>
  <si>
    <t>Canadian Journal of Remote Sensing</t>
  </si>
  <si>
    <t>60017597;60017597;60017597;60017597;60017597;60017597;60017597;60071032;60071032</t>
  </si>
  <si>
    <t>7006165751;6602479788;6603842988;7202290571;7102113397;55470021000;36928432400;7203001256;8093871900</t>
  </si>
  <si>
    <t>Livingstone, C. E.;Sikaneta, I.;Gierull, C. H.;Chiu, S.;Beaudoin, A.;Campbell, J.;Beaudoin, J.;Gong, S.;Knight, T. A.</t>
  </si>
  <si>
    <t>Richmond;Ottawa</t>
  </si>
  <si>
    <t>MacDonald Dettwiler and Associates;Defence Research and Development Canada</t>
  </si>
  <si>
    <t>60071032;60017597</t>
  </si>
  <si>
    <t>Livingstone C.</t>
  </si>
  <si>
    <t>An airborne synthetic aperture radar (sar) experiment to support radarsat-2 ground moving target indication (gmti)</t>
  </si>
  <si>
    <t>10.5589/m02-074</t>
  </si>
  <si>
    <t>2-s2.0-0142125786</t>
  </si>
  <si>
    <t>['thick substrate', 'substrate thickness', 'resonance frequency', 'input impedance', 'g ).', 'experimental results', 'copyright sbmo', 'based ensemble']</t>
  </si>
  <si>
    <t>Circular microstrip antennas | Microstrip antennas | Thick substrate</t>
  </si>
  <si>
    <t>An improved cavity model called the modified Wolff model (MWM) is presented to compute the resonance frequency, input impedance and bandwidth of the circular microstrip antenna on thick substrate (substrate thickness, 0.003Œª,g-0.1Œª,g). The results of MWM show better agreement with the experimental results as compared to the results of three commercial software, including the method of moment (MOM) based Ensemble. The MWM provides deviation in resonance frequency within 1.69 % and deviation in resonant resistance within 17% against the experimental results. Copyright SBMO.</t>
  </si>
  <si>
    <t>30-38</t>
  </si>
  <si>
    <t>Journal of Microwaves and Optoelectronics</t>
  </si>
  <si>
    <t>Analysis of circular microstrip antenna on thick substrate</t>
  </si>
  <si>
    <t>2-s2.0-0345310602</t>
  </si>
  <si>
    <t>['time intervals', 'sideband level', 'reduced significantly', 'differential evolution']</t>
  </si>
  <si>
    <t>Antenna arrays | Differential evolution | Time modulation</t>
  </si>
  <si>
    <t>A novel approach based on the differential evolution (DE) algorithm is proposed to suppress the sideband radiation patterns in time modulated linear antenna arrays. The sideband level of a time modulated linear array can be reduced significantly by rearranging the static excitation amplitudes as well as the switch-on time intervals of each element. The approach is illustrated through a 32-element linear array. ¬© 2002 IEEE.</t>
  </si>
  <si>
    <t>173-175</t>
  </si>
  <si>
    <t>60000251-60017161;60000251-60017161;60000251-60017161</t>
  </si>
  <si>
    <t>10339818700;7102646632;7004117976</t>
  </si>
  <si>
    <t>Yang, Shiwen;Gan, Yeow Beng;Qing, Anyong</t>
  </si>
  <si>
    <t>Sideband suppression in time-modulated linear arrays by the differential evolution algorithm</t>
  </si>
  <si>
    <t>10.1109/LAWP.2002.807789</t>
  </si>
  <si>
    <t>2-s2.0-0346516890</t>
  </si>
  <si>
    <t>['protein matrix', 'phonon density', 'may permit', 'light absorption', 'frequency vibrations', 'essential role', 'electronic transitions', 'eet ).', 'contradictory results', 'consistent interpretation']</t>
  </si>
  <si>
    <t>In photosynthetic antenna complexes, the coupling of electronic transitions to low-frequency vibrations of the protein matrix (phonons) plays an essential role in light absorption and ultra-fast excitation energy transfer (EET). The model calculations presented here indicate that inelastic neutron scattering experiments provide invaluable information on the phonon density of states for light-harvesting complex II, which may permit a consistent interpretation of contradictory results from high-resolution optical spectroscopy.</t>
  </si>
  <si>
    <t>SUPPL.II</t>
  </si>
  <si>
    <t>Applied Physics A: Materials Science and Processing</t>
  </si>
  <si>
    <t>60004017;60011604;60011604;60004017</t>
  </si>
  <si>
    <t>7005147784;7004095338;56216930900;7005232226</t>
  </si>
  <si>
    <t>Pieper, J.;Irrgang, K. D.;Renger, G.;Lechner, R. E.</t>
  </si>
  <si>
    <t>Berlin;Berlin</t>
  </si>
  <si>
    <t>Technical University of Berlin;Helmholtz-Zentrum Berlin f√ºr Materialien und Energie (HZB)</t>
  </si>
  <si>
    <t>60011604;60004017</t>
  </si>
  <si>
    <t>Pieper J.</t>
  </si>
  <si>
    <t>Density of phonon states in the light-harvesting complex II of green plants</t>
  </si>
  <si>
    <t>10.1007/s003390201694</t>
  </si>
  <si>
    <t>2-s2.0-0346667009</t>
  </si>
  <si>
    <t>['sr transceiver', 'simulations confirm', 'resolution samples', 'proposed filters', 'promising architecture', 'practical realization', 'positions throughout', 'passband drop', 'order structures', 'major bottleneck', 'higher attenuation', 'gigahertz range', 'front end', 'folding bands', 'digital converters', 'digital boundary', 'design criteria', 'denoising effect', 'decimation block', 'critical component', 'conversion filter', 'cascading integrator', 'carrier frequency', 'band noise', 'band attenuation']</t>
  </si>
  <si>
    <t>A major bottleneck to the design of a truly wideband reconfigurable Software Radio (SR) transceiver is the front end of the system. It is desirable to push the analog-to-digital boundary of the SR transceiver as close to the antenna as possible. This places great demands on analog-to-digital converters that must produce high-resolution samples of the incoming signal centered around a carrier frequency in the gigahertz range. A very promising architecture for the design of such converters is the Œ£Œî architecture. A critical component of the Œ£Œî converter is the rate-conversion filter that is responsible for rejection of the out-of-band noise. Cascaded-Integrator-Comb (CIC) filters are efficient antialiasing rate-conversion filter structures realized by cascading integrator and comb cells separated by a decimation block. High-order structures, attempting to increase the rejection of the out-of-band noise that folds into the useful signal bandwidth because of the decimation, have the drawback of inserting multiple zeroes in the same positions throughout the stop-band and to increase the edge-band attenuation. In this paper, we propose a class of decimation filter architectures composed of a cascade of modified CIC filters, which have higher attenuation of the quantization noise produced by a Œ£Œî modulator around the folding bands and lower passband drop than classic CIC structures. The design criteria of the proposed filters are described, with the goal of maximizing the denoising effect and minimizing the passband drop, and the problem of the practical realization of the proposed decimation scheme is addressed. Simulations confirm the effectiveness of the proposed decimation filter architectures. Copyright ¬© 2002 John Wiley &amp; Sons, Ltd.</t>
  </si>
  <si>
    <t>867-882</t>
  </si>
  <si>
    <t>60030759;60012162</t>
  </si>
  <si>
    <t>7003648687;6603352162</t>
  </si>
  <si>
    <t>Daneshgaran, Fred;Laddomada, Massimiliano</t>
  </si>
  <si>
    <t>California State University, Los Angeles;Politecnico di Torino</t>
  </si>
  <si>
    <t>Daneshgaran F.</t>
  </si>
  <si>
    <t>A novel class of decimation filters for Œ£Œî A/D converters</t>
  </si>
  <si>
    <t>10.1002/wcm.101</t>
  </si>
  <si>
    <t>2-s2.0-0347017052</t>
  </si>
  <si>
    <t>['work shows', 'system consists', 'stability regions', 'stability region', 'sampling period', 'right triangle', 'results show', 'literature shows', 'gain space', 'flexible modes', 'even corrects', 'drive servos', 'computer program', 'computation time', 'arbitrary number', 'antenna systems', 'analytical expressions', 'accurate result']</t>
  </si>
  <si>
    <t>Digital control | Flexible systems | PD control | Sampled-data systems | Stability analysis</t>
  </si>
  <si>
    <t>The work shows that the sampling in a digital PD controller of a flexible system may cause instability, while the continuous PD control system is stable. A procedure is introduced to define the stability regions analytically in the gain space. A closed form stability criterion is derived for a system consists of a single rigid mode and one flexible mode. The procedure is applied successfully also for the case of single rigid mode considering the computation time in addition to sampling period. A comparison with the literature shows that this procedure is straightforward, gives more accurate result and even corrects some stability regions published in the literature. A computer program is constructed using MATLAB to determine the stability region for a system that consists of a single rigid mode and arbitrary number of flexible modes. This simulates many practical systems such as flexible robot arms, disk-drive servos and antenna systems. The results show that the stability regions can be approximated by a right triangle in the gain space. Analytical expressions are derived to define such triangles.</t>
  </si>
  <si>
    <t>Engineering Journal of University of Qatar</t>
  </si>
  <si>
    <t>60072749;60072749</t>
  </si>
  <si>
    <t>6508205542;6603056675</t>
  </si>
  <si>
    <t>Fanni, M.;Al-Salem, N.</t>
  </si>
  <si>
    <t>Qatar</t>
  </si>
  <si>
    <t>Doha</t>
  </si>
  <si>
    <t>Qatar University</t>
  </si>
  <si>
    <t>Fanni M.</t>
  </si>
  <si>
    <t>Stability analysis of digital PD control applied to flexible systems</t>
  </si>
  <si>
    <t>2-s2.0-0347022887</t>
  </si>
  <si>
    <t>['wireless systems', 'wireless channels', 'users within', 'spreading code', 'spatiotemporal receiver', 'smart antennas', 'sinr gain', 'simultaneously reducing', 'severely reduced', 'received signals', 'promising technology', 'pilot sequences', 'orthogonal projection', 'multichannel ds', 'methods aimed', 'mandatory solutions', 'main feature', 'growing number', 'dynamically adapting', 'desired user', 'convergence speed', 'coherently combining', 'cdma systems', 'capacity multichannel', 'best candidates', 'beamforming techniques', 'beamformer output', 'based upon', 'addressed user']</t>
  </si>
  <si>
    <t>Blind adaptive beamforming | DS-CDMA | GBSBCM | GBSBEM | Maximum SINR | Orthogonal projections | Smart Antennas | Space-time RAKE receiver | UMTS</t>
  </si>
  <si>
    <t>The capacity of wireless communications systems based upon Direct-Sequence Code Division Multiple Access (DS-CDMA) is severely reduced by Multiple Access Interference (MAI), especially at higher bit rates. Therefore, methods aimed at limiting the MAI are mandatory solutions in order to face the ever-growing number of subscribers of next-generation wireless systems. Smart Antennas are a promising technology for improving the performance of high-capacity mobile communications systems, because they are able to increase the Signal to Interference plus Noise power Ratio (SINR) of the received signals by dynamically adapting the equivalent array beam pattern in order to track the movements of the users within the cell. Moreover, Spatiotemporal RAKE receivers, representing the synergy between beamforming techniques and RAKE receiver structures, are one of the best candidates for the realization of high-capacity multichannel (CDMA) wireless systems, due to their ability in exploiting both the spatial and temporal diversity inherently offered by wireless channels. This paper is focused on the structure of a Spatiotemporal RAKE receiver for the uplink of multichannel DS-CDMA systems. Its main feature is the capability of coherently combining the multipaths of the useful signal across both space and time, while simultaneously reducing the MAI. A blind and adaptive beamforming algorithm realizing such a Spatiotemporal RAKE receiver is presented. It exploits the knowledge and the synchronization of the scrambling code uniquely assigned to an addressed user, requiring neither estimates of the spatiotemporal propagation channel nor training or pilot sequences. Its design philosophy consists in the maximization of the SINR at the beamformer output, and it is based upon an orthogonal projection of the received signal onto the linear space generated by the spreading code of the desired user. Computer simulations show the effectiveness of the Spatiotemporal receiver, in terms of convergence speed, SINR gain and bit error probability. Copyright ¬© 2002 John Wiley &amp; Sons, Ltd.</t>
  </si>
  <si>
    <t>847-866</t>
  </si>
  <si>
    <t>60012162-101765292;60012162;60012162</t>
  </si>
  <si>
    <t>6602324266;6602523171;23101630100</t>
  </si>
  <si>
    <t>Falletti, Emanuela;Sellone, Fabrizio;Tortorelli, Innocenzo</t>
  </si>
  <si>
    <t>Italy;</t>
  </si>
  <si>
    <t>Turin;</t>
  </si>
  <si>
    <t>Politecnico di Torino;Smart Ant Group Polito</t>
  </si>
  <si>
    <t>60012162;101765292</t>
  </si>
  <si>
    <t>Falletti E.</t>
  </si>
  <si>
    <t>An adaptive space-time receiver for high-capacity communications systems based on multichannel multirate DS-CDMA</t>
  </si>
  <si>
    <t>10.1002/wcm.100</t>
  </si>
  <si>
    <t>2-s2.0-0347647732</t>
  </si>
  <si>
    <t>HKUST7030/01</t>
  </si>
  <si>
    <t>['without interleaving', 'trellis complexity', 'trellis codes', 'system performance', 'spectral efficiency', 'signal constellation', 'performance results', 'perfect interleavers', 'paper presents', 'outperforms space', 'interleaved streams', 'integrating coding', 'fading channels', 'design criteria', 'concatenated system', 'concatenated space', 'antenna gaussian', 'analytical expression', 'also compared']</t>
  </si>
  <si>
    <t>Fading channels | Interleaving | Space-time block coding | Space-time trellis coding | Trellis coded modulation | Wireless communications</t>
  </si>
  <si>
    <t>Trellis coded modulation (TCM) is a bandwidth efficient transmission scheme that can achieve high coding gain by integrating coding and modulation. This paper presents an analytical expression for the error event probability of concatenated space-time block coding with TCM which reveals some dominant factors affecting the system performance over slow fading channels when perfect interleavers are used. This leads to establishing the design criteria for constructing optimal trellis codes of such concatenated system over slow flat fading channels. Through simulation, significant performance improvement is shown to be obtained by concatenating the interleaved streams of these codes with space-time block codes over fading channels. Simulation results also demonstrate that these trellis codes have better error performance than traditional codes designed for single-antenna Gaussian or fading channels. Performance results over quasi-static fading channels without interleaving are also compared in this paper. Furthermore, it is shown that concatenated space-time block coding with TCM (with/without interleaving) outperforms space-time trellis codes under the same spectral efficiency, trellis complexity, and signal constellation. ¬© 2002 IEEE.</t>
  </si>
  <si>
    <t>580-590</t>
  </si>
  <si>
    <t>60000251-60008592;60000251-60008592</t>
  </si>
  <si>
    <t>14010782600;55666697100</t>
  </si>
  <si>
    <t>Gong, Yi;Letaief, Khaled Ben</t>
  </si>
  <si>
    <t>Gong Y.</t>
  </si>
  <si>
    <t>Concatenated space-time block coding with trellis coded modulation in fading channels</t>
  </si>
  <si>
    <t>10.1109/TWC.2002.804180</t>
  </si>
  <si>
    <t>2-s2.0-0742311950</t>
  </si>
  <si>
    <t>['training interval', 'study one', 'mimo systems', 'estimation error', 'doppler frequency', 'computer simulations', 'coherent detection']</t>
  </si>
  <si>
    <t>Bell Labs layered space-time | Channel estimation | Continuous fading | Multiple-input-multiple-output | Optimal training parameters | Training</t>
  </si>
  <si>
    <t>Multiple-input-multiple-output (MIMO) systems can provide high data rate wireless services in a rich scattering environment. In this paper, we study one of the proposals for MIMO systems, the Bell Labs Layered Space-Time (BLAST) architecture. Channel estimation using training sequences is required for coherent detection in BLAST. We apply the maximum-likelihood channel estimator and the optimal training sequences for block flat fading channels to continuous flat fading channels and analyze the estimation error. The optimal training length and training interval that maximize the throughput for a given target bit error-rate are found by computer simulations as functions of the Doppler frequency and the number of antennas. ¬© 2002 IEEE.</t>
  </si>
  <si>
    <t>60000251-60023527;60000251-60012708;60000251-60021378;60000251-60021378</t>
  </si>
  <si>
    <t>7402036087;7403241218;7405611201;24781002200</t>
  </si>
  <si>
    <t>Sun, Qinfang;Cox, Donald C.;Huang, Howard C.;Lozano, Angel</t>
  </si>
  <si>
    <t>Sunnyvale;Murray;Palo Alto;New York</t>
  </si>
  <si>
    <t>Atheros Communications;Nokia Bell Labs;Stanford University;IEEE</t>
  </si>
  <si>
    <t>60023527;60021378;60012708;60000251</t>
  </si>
  <si>
    <t>Estimation of continuous flat fading MIMO channels</t>
  </si>
  <si>
    <t>10.1109/TWC.2002.804178</t>
  </si>
  <si>
    <t>2-s2.0-0842310324</t>
  </si>
  <si>
    <t>['terrain blockages', 'suburban location', 'specular power', 'specular contribution', 'scattered power', 'rolling hills', 'remote moves', 'propagation measurements', 'path loss', 'one half', 'lower r', 'loss decreases', 'hilltop trees', 'distance exponent', 'directive antennas', 'directional antennas', 'diffraction loss', 'delay spreads', 'crawford hill', 'base station', 'also examined', '485 ghz', '2 db']</t>
  </si>
  <si>
    <t>Antennas | Blockage | Foilage | Measurements | Microwaves | Power pattern | Propagation | Statistics | Terrain | Time delay | Wireless</t>
  </si>
  <si>
    <t>We present the results of propagation measurements at 2.485 GHz for fixed wireless loops. Path loss measurements were performed and characterized at 43 subscriber locations around a base station antenna located on top of Crawford Hill in Holmdel, NJ. This suburban location is characterized by rolling hills, foliage, and terrain blockages. Temporal and horizontal motion path loss fluctuations were found to be uncorrelated, each characterized by a different Ricean distribution. Lower r.m.s. delay spreads were obtained with directive subscriber antennas than with omni-directional antennas. No substantial gain loss (less than 2 dB) of subscribers' directive antennas was observed. The effects of trees, with foliage, surrounding the base station upon the path loss and the ratio of scattered power to specular power are also examined. The distance exponent of path loss versus distance (about 1.5) was observed to be less than free-space. Diffraction loss from hilltop trees, shadowing the base station, are suspected to be the cause. This loss decreases as the remote moves further away and comes out of the shadow. Scattered power from directions other than line-of-sight was observed to be as high as one half of the specular contribution when tree scattering near the base station was significant. ¬© 2002 IEEE.</t>
  </si>
  <si>
    <t>302-310</t>
  </si>
  <si>
    <t>60000251-60021378;60000251-60021378;60000251-60021378;60021378;60000251-60108318;60000251-60108318</t>
  </si>
  <si>
    <t>7006813926;7003808036;7202183081;7003309161;15623097100;15520856000</t>
  </si>
  <si>
    <t>Gans, Michael J.;Amitay, Noach;Yeh, Y. S.;Damen, T. C.;Cheon, Choelhang;Lee, Jeho</t>
  </si>
  <si>
    <t>New York;Murray;New York</t>
  </si>
  <si>
    <t>NYU Tandon School of Engineering;Nokia Bell Labs;IEEE</t>
  </si>
  <si>
    <t>60108318;60021378;60000251</t>
  </si>
  <si>
    <t>Propagation measurements for Fixed Wireless Loops (FWL) in a suburban region with foliage and terrain blockages</t>
  </si>
  <si>
    <t>S1536127602036553</t>
  </si>
  <si>
    <t>10.1109/7693.994824</t>
  </si>
  <si>
    <t>2-s2.0-11144337014</t>
  </si>
  <si>
    <t>['wave regime', 'wave antennas', 'unit cell', 'transition corresponds', 'spatial leaky', 'scanning operation', 'scanning antennas', 'rigorous spectral', 'radiation properties', 'phase shift', 'operating mode', 'microstrip leaky', 'involved proper', 'domain approach', 'complete view', 'circuit arrays', 'careful analysis', 'array plane']</t>
  </si>
  <si>
    <t>Antenna arrays | Leaky waves | Leaky-wave antennas (LWAs) | Scanning antennas | Surface waves</t>
  </si>
  <si>
    <t>In this work, some original behavioral features of printed-circuit arrays of leaky-wave antennas have been investigated. In particular, by means of a rigorous spectral-domain approach in the unit cell, we have studied the end-of-scanning operation of a microstrip leaky-wave antenna array as a function of the phase shift between elements. A careful analysis in terms of the involved proper and improper spatial harmonics has shown that a transition region exists for the operating mode from a spatial leaky-wave regime to a surface-wave regime. This transition corresponds to the radiated beam hitting the array plane and evolving through a previously unexplored phase gap into a surface wave propagating at an angle with respect to the microstrip line sources. Such finding allows us to achieve a more complete view of the radiation properties of this class of scanning antennas. ¬© 2002 IEEE.</t>
  </si>
  <si>
    <t>60-63</t>
  </si>
  <si>
    <t>60000251-60032350;60000251-60032350;60000251-60032350;60000251-60032350;60000251-60032350</t>
  </si>
  <si>
    <t>6701466183;6701731702;7006012591;7102947741;7004439932</t>
  </si>
  <si>
    <t>Baccarelli, Paolo;Burghignoli, Paolo;Frezza, Fabrizio;Galli, Alessandro;Lampariello, Paolo</t>
  </si>
  <si>
    <t>The nature of the end-of-scanning region in printed-circuit arrays of leaky-wave antennas</t>
  </si>
  <si>
    <t>10.1109/LAWP.2002.805349</t>
  </si>
  <si>
    <t>2-s2.0-1142297530</t>
  </si>
  <si>
    <t>['skewed grid', 'simple decomposition', 'sector arrays', 'polygonal rim', 'infinite angular', 'final result', 'exact representation', 'compact formula', 'array factor']</t>
  </si>
  <si>
    <t>Antenna phased arrays | Antenna radiation patterns | Periodic structures | Radar cross sections</t>
  </si>
  <si>
    <t>In this paper, we present a compact formula for the computation of the array factor (AF) of uniformly excited planar periodic arrays with an arbitrary polygonal contour and a skewed grid. The formulation is based on a simple decomposition of the array as a superposition of infinite angular-sector arrays, whose far field is evaluated in exact closed form. The final result is an exact representation of the AF in terms of contributions from the vertices of the polygonal rim of the array. ¬© 2002 IEEE.</t>
  </si>
  <si>
    <t>60000251-60002838;60000251-60002838</t>
  </si>
  <si>
    <t>6603249793;7005998607</t>
  </si>
  <si>
    <t>Cucini, Alessio;Maci, Stefano</t>
  </si>
  <si>
    <t>Siena;New York</t>
  </si>
  <si>
    <t>Universit√† degli Studi di Siena;IEEE</t>
  </si>
  <si>
    <t>60002838;60000251</t>
  </si>
  <si>
    <t>Cucini A.</t>
  </si>
  <si>
    <t>A compact formula for the array factor of planar phased arrays with polygonal shape and skewed grid</t>
  </si>
  <si>
    <t>10.1109/LAWP.2002.806760</t>
  </si>
  <si>
    <t>2-s2.0-11944270220</t>
  </si>
  <si>
    <t>['ventral implantation', 'two experiments', 'treatments consisted', 'treatment 3', 'treatment 2', 'transmitter used', 'transmitter attachment', 'three treatments', 'tag losses', 'tag insertion', 'study period', 'shortnose sturgeon', 'replicated 60', 'necropsies indicated', 'mortality ).', 'minimal handling', 'long wound', 'lived transmitters', 'juveniles designed', 'internal organs', 'health effects', 'fish survived', 'external transmitters', 'external attachment', 'experiment 2', 'experiment 1', 'dorsal fin', 'day study', 'day 93', 'day 2', 'currently recommended', 'control group', 'body wall', 'best results', 'attachment method', 'active rubbing', 'acipenser brevirostrum']</t>
  </si>
  <si>
    <t>Two experiments were conducted to examine the retention and health effects of transmitter attachment on cultured shortnose sturgeon, Acipenser brevirostrum. Experiment 1 was a replicated study using a control group and three treatments. Treatments consisted of: (i) ventral implantation of a transmitter with internally coiled antenna, (ii) ventral implantation of a transmitter with an externally trailing antenna, and (iii) external attachment at the base of the dorsal fin of the transmitter used in treatment 2. Treatment 1 provided 100% survival and retention over the study period, and necropsies indicated there were no effects on internal organs. In treatment 2, all fish survived through day 93, but the antennae severely cut the body wall as the transmitter migrated posteriorly, leaving a long wound through which transmitters were lost (and which later caused 100% mortality). In treatment 3, transmitter loss began on day 2, and all external transmitters but one had been shed by day 41 due to wire breakage caused by active rubbing of the fish against rocks in the tank. Ventral implantation of transmitters with internally coiled antennae provided the best results; their use is currently recommended for long term telemetry studies of shortnose sturgeon. Experiment 2 was a replicated 60-day study of juveniles designed to test an attachment method suitable for high temperature conditions (i.e. no surgery; minimal handling) and small, short-lived transmitters. Transmitters were attached by heat-shrink plastic tubing to metal tipped dart tags, which were inserted just lateral to the anterior dorsal scutes. One treatment fish died during the first days due to improper (too deep and anterior) tag insertion. There were no other mortalities or tag losses during the study. This attachment method is acceptable for studies using small transmitters during high temperature periods.</t>
  </si>
  <si>
    <t>491-494</t>
  </si>
  <si>
    <t>Journal of Applied Ichthyology</t>
  </si>
  <si>
    <t>60006549;60000584;60006549;;60006549;60006549</t>
  </si>
  <si>
    <t>7404084077;7202107290;7405501252;7005941977;7006374109;7103220560</t>
  </si>
  <si>
    <t>Collins, Mark R.;Cooke, D. W.;Smith, T. I.J.;Post, W. C.;Russ, D. C.;Walling, D. C.</t>
  </si>
  <si>
    <t>Charleston;Charleston</t>
  </si>
  <si>
    <t>South Carolina Marine Resources Research Institute;South Carolina Department of Natural Resources</t>
  </si>
  <si>
    <t>60006549;60000584</t>
  </si>
  <si>
    <t>Collins M.</t>
  </si>
  <si>
    <t>Evaluation of four methods of transmitter attachment on shortnose sturgeon, Acipenser brevirostrum</t>
  </si>
  <si>
    <t>10.1046/j.1439-0426.2002.00386.x</t>
  </si>
  <si>
    <t>2-s2.0-12244307831</t>
  </si>
  <si>
    <t>['slot side', 'rectangular shape', 'microstrip network', 'metallic cavity', 'measured 10', 'letter presents', 'inverted configuration', 'backed four', '7 dbi', '0 ghz']</t>
  </si>
  <si>
    <t>Cavity-backed slots | Circular polarization | Microstrip- Fed slot antennas | Slot antennas</t>
  </si>
  <si>
    <t>This letter presents a compact circularly polarized cavity-backed four-slot antenna using an inverted configuration. The four-element slot antenna is fed by a microstrip network on the topside of the substrate, while a metallic cavity of rectangular shape is placed in the slot side of the substrate. The measured 10-dB return loss and 3-dB axial ratio bandwidths at the center frequency 6 GHz are 26.6% and 15%, respectively. The measured antenna gain for right-hand circular polarization (RHCP) is 8.7 dBi at 6.0 GHz. ¬© 2002 IEEE.</t>
  </si>
  <si>
    <t>190-192</t>
  </si>
  <si>
    <t>60000251-60005510;60000251</t>
  </si>
  <si>
    <t>57219134731;7403324500</t>
  </si>
  <si>
    <t>Li, Quan;Shen, Zhongxiang</t>
  </si>
  <si>
    <t>An inverted microstrip-fed cavity-backed slot antenna for circular polarization</t>
  </si>
  <si>
    <t>10.1109/LAWP.2002.807786</t>
  </si>
  <si>
    <t>2-s2.0-12344314609</t>
  </si>
  <si>
    <t>['wave antenna', 'steerable leaky', 'resonance frequency', 'mechanical movement', 'leaky waves', 'fixed frequency', 'elevation angle', 'built using', 'band structure', '500 wavelength']</t>
  </si>
  <si>
    <t>Conformal antennas | Electromagnetic surface waves | Leaky wave antennas | Scanning antennas</t>
  </si>
  <si>
    <t>A steerable leaky-wave antenna is built using a mechanically tunable impedance surface. A horizontally polarized antenna couples energy into leaky transverse electric waves on a tunable textured ground plane. By tuning the resonance frequency of the surface, the band structure is shifted in frequency, which changes the tangential wave vector of the leaky waves for a fixed frequency. This steers the elevation angle of the resulting radiated beam. This steerable leaky-wave antenna can scan over a range of 45¬∞ using a mechanical movement of about 1/500 wavelength. ¬© 2002 IEEE.</t>
  </si>
  <si>
    <t>179-182</t>
  </si>
  <si>
    <t>60021939;60000251;60000251-60005304;60000251-60005304</t>
  </si>
  <si>
    <t>6701347150;7005066766;57193268489;7005414912</t>
  </si>
  <si>
    <t>Sievenpiper, Dan;Schaffner, Jim;Lee, J. J.;Livingston, Stan</t>
  </si>
  <si>
    <t>Malibu;Waltham;New York</t>
  </si>
  <si>
    <t>HRL Laboratories;Raytheon;IEEE</t>
  </si>
  <si>
    <t>60021939;60005304;60000251</t>
  </si>
  <si>
    <t>A steerable leaky-wave antenna using a tunable impedance ground plane</t>
  </si>
  <si>
    <t>10.1109/LAWP.2002.807788</t>
  </si>
  <si>
    <t>2-s2.0-13244285911</t>
  </si>
  <si>
    <t>['use real', 'time distribution', 'time data', 'space science', 'satellite data', 'rtsw project', 'real time', 'new antenna', 'networked real', 'management system', 'important part', 'image satellite', 'high coverage', 'facilities since', 'data reception', 'addition incorporated', 'ace real']</t>
  </si>
  <si>
    <t>Aurora | Magnetosphere imaging | Satellite observations | Solar wind | Space weather</t>
  </si>
  <si>
    <t>A ground station system for receiving and processing satellite telemetry data in real time was built for the ACE real-time solar wind monitor (RTSW) data in 1997. CRL has contributed to the global ACE tracking network by operating the facilities since the start of the RTSW project. A networked real-time data system hosted by NOAA/SEC was set up for exchanging the ACE real-time data, and it has been achieving a very high coverage. In 2000, data reception was extended to that of the IMAGE satellite. This addition incorporated a new antenna-management system for tracking multiple satellites. At CRL we use real-time satellite data for space weather forecasting. As a result of the success with the real-time data from ACE and IMAGE, real-time distribution of satellite data has become an important part of any satellite program dedicated to space science.</t>
  </si>
  <si>
    <t>55-67</t>
  </si>
  <si>
    <t>100356617;100356617;100356617;100356617;101961865</t>
  </si>
  <si>
    <t>6603389631;7407898610;7006504827;7102625117;6603742634</t>
  </si>
  <si>
    <t>Sagawa, Eiichi;Watanabe, Shigeaki;Ohtaka, Kazuhiro;Shimazu, Hironori;Zwickl, Ronald D.</t>
  </si>
  <si>
    <t>Japan;</t>
  </si>
  <si>
    <t>National Ocean and Atmosphere Agency;Applied Research and Standards Div</t>
  </si>
  <si>
    <t>101961865;100356617</t>
  </si>
  <si>
    <t>Sagawa E.</t>
  </si>
  <si>
    <t>Real time data reception of ACE and IMAGE satellites</t>
  </si>
  <si>
    <t>2-s2.0-1442313917</t>
  </si>
  <si>
    <t>['similar trend', 'signal radiated', 'signal power', 'signal drift', 'second step', 'reflector antenna', 'probe antenna', 'paper describes', 'offset parabolic', 'newly introduced', 'measurement results', 'measurement accuracy', 'gain differences', 'gain difference', 'field signal', 'error correction', 'certain position', 'aut ).', 'almost satisfied', '59 db', '28 ghz', '24 db', '06 db']</t>
  </si>
  <si>
    <t>Antenna gain | Correction | Gain-transfer method | Near-field antenna measurement | Signal drift</t>
  </si>
  <si>
    <t>This paper describes a technique for correcting errors caused by a signal's drift over time during a near-field antenna gain measurement. Our error correction technique is composed of the following two steps. (1) A near-field signal is corrected by using the reference signal power curve. The reference signal powers at a certain position of the probe antenna are measured during NFM for both a standard gain antenna (SGA) and the antenna under test (AUT). (2) The signal power difference between the end and start of the first antenna measurement is used to correct the signal power of the second antenna measurement. The second step is newly introduced in the paper. When a signal radiated from an offset parabolic-reflector antenna was measured twice consecutively at 28 GHz, the gain difference between the two measurements obtained using error correction techniques (1) and (2) was 0.06 dB; without error correction it was -0.24 dB; with error correction (1) only it was -0.59 dB. The measurement results at 40 GHz indicated a similar trend. The gain differences, which can be measurement errors caused by the signal drift, almost satisfied the requirement for measurement accuracy.</t>
  </si>
  <si>
    <t>173-181</t>
  </si>
  <si>
    <t>101501472;101614608</t>
  </si>
  <si>
    <t>7202880227;57200782015</t>
  </si>
  <si>
    <t>Miura, Amane;Tanaka, Masato</t>
  </si>
  <si>
    <t>New CRL Promotion Office;Mobile Satellite Communications Grp.</t>
  </si>
  <si>
    <t>101614608;101501472</t>
  </si>
  <si>
    <t>Correcting instable signal in near-field antenna gain measurement</t>
  </si>
  <si>
    <t>2-s2.0-1442338328</t>
  </si>
  <si>
    <t>CityU 1178/01E</t>
  </si>
  <si>
    <t>['return loss', 'radiation pattern', 'parasitic patch', 'investigated experimentally', 'axial ratio', 'antenna gain']</t>
  </si>
  <si>
    <t>The circularly polarized slot-coupled cylindrical dielectric resonator antenna with a parasitic patch is investigated experimentally. The return loss, axial ratio, radiation pattern, and antenna gain of the antenna are studied and the effects of varying the parasitic patch are discussed. ¬© 2002 IEEE.</t>
  </si>
  <si>
    <t>57-59</t>
  </si>
  <si>
    <t>60000251-60013983;60013983;60013983</t>
  </si>
  <si>
    <t>56415172000;57224515697;7401619237</t>
  </si>
  <si>
    <t>Leung, K. W.;Wong, W. C.;Ng, H. K.</t>
  </si>
  <si>
    <t>Leung K.W.</t>
  </si>
  <si>
    <t>Circularly polarized slot-coupled dielectric resonator antenna with a parasitic patch</t>
  </si>
  <si>
    <t>10.1109/LAWP.2002.805124</t>
  </si>
  <si>
    <t>2-s2.0-14544303485</t>
  </si>
  <si>
    <t>['measured results', 'good agreement', 'dielectric gratings', 'analysis procedure']</t>
  </si>
  <si>
    <t>Grating antennas | Leaky wave antennas | Slab waveguide | Surface waves</t>
  </si>
  <si>
    <t>Results on a new dielectric gratings antenna operating at K a-band are presented. The antenna is composed of a grounded dielectric slab (Œµf = 9.8) and dielectric gratings (Œµg ‚âÖ 30). The analysis procedure is described. The antenna is fabricated and measured and good agreement between the analytical and measured results is obtained. ¬© 2002 IEEE.</t>
  </si>
  <si>
    <t>106-108</t>
  </si>
  <si>
    <t>60016005;60026338;60016005;106618082;60016005</t>
  </si>
  <si>
    <t>7003667918;35566584200;35884167700;7003819332;7004788984</t>
  </si>
  <si>
    <t>Hammad, H. F.;Antar, Y. M.M.;Freundorfer, A. P.;Petosa, A.;Sayer, M.</t>
  </si>
  <si>
    <t>Kingston;Kingston;Ottawa</t>
  </si>
  <si>
    <t>Royal Military College of Canada;Queen‚Äôs University;Communications Research Center</t>
  </si>
  <si>
    <t>60026338;60016005;106618082</t>
  </si>
  <si>
    <t>Hammad H.</t>
  </si>
  <si>
    <t>A dielectric gratings antenna operating at K&lt;inf&gt;a&lt;/inf&gt;-band</t>
  </si>
  <si>
    <t>10.1109/LAWP.2002.806052</t>
  </si>
  <si>
    <t>2-s2.0-1542322436</t>
  </si>
  <si>
    <t>['two antennas', 'telescopic pole', 'probe tip', 'points reached', 'points impossible', 'point reached', 'paper presents', 'obstructed points', 'laval university', 'gps signals', 'dimensional coordinates']</t>
  </si>
  <si>
    <t>This paper presents a GPS surveying probe, developed and built at the Centre for Research in Geomatics at Laval University, enabling the survey of obstructed points or points impossible to reach with conventional GPS methods. The surveying probe consists of two GPS antennas located along a telescopic pole. The probe can be inclined to move away antennas from obstructions in order to facilitate the tracking of GPS signals. The three-dimensional coordinates of the two GPS antennas are determined with respect to a GPS reference station. By knowing the distance between the two antennas on the probe and the distance between one of these antennas and the probe tip, the position of a point reached by the probe tip can be determined. Field tests show that the three-dimensional coordinates of the points reached by the GPS surveying probe are determined with an accuracy of a few centimetres.</t>
  </si>
  <si>
    <t>Geomatica</t>
  </si>
  <si>
    <t>60032619;60032619;60032619</t>
  </si>
  <si>
    <t>12242490600;7003460665;6603765446</t>
  </si>
  <si>
    <t>Bourgon, St√©phanie;Santerre, Rock;Boulianne, Michel</t>
  </si>
  <si>
    <t>Quebec</t>
  </si>
  <si>
    <t>Universit√© Laval</t>
  </si>
  <si>
    <t>Bourgon S.</t>
  </si>
  <si>
    <t>GPS Surveying Probe</t>
  </si>
  <si>
    <t>2-s2.0-1542575190</t>
  </si>
  <si>
    <t>UH</t>
  </si>
  <si>
    <t>['varying separations', 'resulting measurements', 'mutual coupling', 'array applications']</t>
  </si>
  <si>
    <t>Antenna measurements | Dielectric antennas | Dielectric resonators | Electromagnetic coupling | Mutual coupling</t>
  </si>
  <si>
    <t>The mutual coupling between two cylindrical probe-fed dielectric resonator antennas was measured in both the E- and H-planes for varying separations. The resulting measurements were shown to verify existing theoretical predictions and indicate the applicability of these types of antennas for array applications. ¬© 2002 IEEE.</t>
  </si>
  <si>
    <t>7003433652;7401715980;7402507033;7005588972;57218985569</t>
  </si>
  <si>
    <t>Dorris, Robert J.;Long, Russell T.;Long, Stuart A.;Khayat, Michael A.;Williams, Jeffery T.</t>
  </si>
  <si>
    <t>Dorris R.J.</t>
  </si>
  <si>
    <t>Mutual coupling between cylindrical probe-fed dielectric resonator antennas</t>
  </si>
  <si>
    <t>10.1109/LAWP.2002.802575</t>
  </si>
  <si>
    <t>2-s2.0-16344391552</t>
  </si>
  <si>
    <t>['wireless communications', 'widespread use', 'symbol size', 'solutions involve', 'shift keying', 'numerical examples', 'literature except', 'form solutions', 'decision variables', 'channel parameters', 'ary frequency', 'also presented']</t>
  </si>
  <si>
    <t>Nakagami fading | Noncoherent M-ary frequency-shift keying diversity system | Noncohernt M-ary frequency-shift keying with L-diversity | Rayleigh fading | Rician fading</t>
  </si>
  <si>
    <t>Noncoherent diversity reception of M-ary frequency-shift keying (MFSK) signals becomes increasingly important due to its widespread use in wireless communications. Its error performance analysis, however, is not available in the literature except for the simple case using binary modulation. In this paper, we address the problem directly based on the decision variables, ending up with closed-form solutions to both conditional and average error probabilities for a general noncoherent MFSK diversity system operating on Rayleigh, Rician, and Nakagami fading channels. The solutions involve some higher order derivatives, and efficient recursive algorithms have been derived for their calculation. The solutions are very general permitting arbitrary diversity order, symbol size, channel parameters, and antenna-array covariance matrix. Numerical examples are also presented for illustration. ¬© 2002 IEEE.</t>
  </si>
  <si>
    <t>531-539</t>
  </si>
  <si>
    <t>60000251-60013983</t>
  </si>
  <si>
    <t>Zhang, Q. T.</t>
  </si>
  <si>
    <t>Error performance of noncoherent MFSK with L-diversity on correlated fading channels</t>
  </si>
  <si>
    <t>10.1109/TWC.2002.800551</t>
  </si>
  <si>
    <t>2-s2.0-1642330875</t>
  </si>
  <si>
    <t>['slot side', 'metallic cavity', 'letter presents', 'inverted configuration', 'fed cavity', 'designing microstrip', 'better arrangement', 'backed slot', 'backed antennas', 'antennas using']</t>
  </si>
  <si>
    <t>Cavity-backed slots (CBSs) | Inverted configuration | Microstrip-fed slot antennas | Slot antennas</t>
  </si>
  <si>
    <t>This letter presents a study of microstrip-fed cavity-backed slot (CBS) antennas using a new inverted configuration. The inverted structure places the metallic cavity in the slot side of the substrate, which renders a number of advantages. Two inverted microstrip-fed cavity-backed antennas, including single CBS antenna and an eight-element CBS array, are simulated, fabricated, and tested. Measured data verify the assertion that the inverted configuration is a better arrangement for designing microstrip-fed CBS antennas and arrays. ¬© 2002 IEEE.</t>
  </si>
  <si>
    <t>60005510;60000251-60005510</t>
  </si>
  <si>
    <t>Inverted microstrip-fed cavity-backed slot antennas</t>
  </si>
  <si>
    <t>10.1109/LAWP.2002.805127</t>
  </si>
  <si>
    <t>2-s2.0-1642347437</t>
  </si>
  <si>
    <t>['simulation show', 'prototype apwll', 'hexagonal lattice', 'developed using', 'better performance', 'asymmetric parallel', 'angular independency', 'also functions', '77 ghz']</t>
  </si>
  <si>
    <t>Automotive radar | Luneburg lens | Millimeter-wave antennas | Periodic structure</t>
  </si>
  <si>
    <t>An asymmetric parallel-plate waveguide Luneburg lens (APWLL) is developed using a periodic regular circular metal post structure, which acts as a metallic artificial dielectric. The effect of metal post shapes and lattices on the angularly independent performance of the structure is investigated and then for the best angular independency a circular metal post shape and a hexagonal lattice are chosen. A prototype APWLL is designed for an adaptive cruise control (ACC) radar at 76-77 GHz. Measurement and simulation show that the structure with a hexagonal lattice and circular metal posts has not only better performance, but also functions as well as an actual isotropic homogeneous dielectric with angular independency. ¬© 2002 IEEE.</t>
  </si>
  <si>
    <t>128-130</t>
  </si>
  <si>
    <t>60029428-60068700;60000251-60029428</t>
  </si>
  <si>
    <t>56266619400;7006593766</t>
  </si>
  <si>
    <t>Park, Young Jin;Wiesbeck, Werner</t>
  </si>
  <si>
    <t>South Korea;Germany;United States</t>
  </si>
  <si>
    <t>Changwon;Karlsruhe;New York</t>
  </si>
  <si>
    <t>Korea Electrotechnology Research Institute;Karlsruhe Institute of Technology, Campus South;IEEE</t>
  </si>
  <si>
    <t>60068700;60029428;60000251</t>
  </si>
  <si>
    <t>Park Y.</t>
  </si>
  <si>
    <t>Angular independency of a parallel-plate Luneburg lens with hexagonal lattice and circular metal posts</t>
  </si>
  <si>
    <t>10.1109/LAWP.2002.806758</t>
  </si>
  <si>
    <t>2-s2.0-18844371456</t>
  </si>
  <si>
    <t>['suitably positioned', 'pin diode', 'mm gap', 'ground plane', 'electronically controlled', 'electronically control', 'circumference 1', 'circular wire', '5 db']</t>
  </si>
  <si>
    <t>Circular loop antenna | Polarization control</t>
  </si>
  <si>
    <t>In this letter, we show that the inclusion of a pin diode suitably positioned in a circular wire-loop antenna mounted over a ground plane can be used to electronically control the polarization radiation properties of the antenna. Specifically, we use a gapped circular wire loop of circumference 1.13Œªo at 1 GHz positioned 0.3Œªo above a 33 cm √ó 33 cm ground plane. Inclusion of a pin diode into a 2.7-mm gap, suitably positioned with respect to the generator, allows the antenna current distribution to be electronically controlled such that the loop produces linearly polarized radiation VSWR of 1.8 or circularly polarized radiation VSWR of 2.5, boresight axial ratio less than 2.5 dB. ¬© 2002 IEEE.</t>
  </si>
  <si>
    <t>64-66</t>
  </si>
  <si>
    <t>Polarization agile circular wire loop antenna</t>
  </si>
  <si>
    <t>10.1109/LAWP.2002.805348</t>
  </si>
  <si>
    <t>2-s2.0-19944389537</t>
  </si>
  <si>
    <t>['size reduction', 'measurement results', 'design approach', 'conventional pqha', 'axial length']</t>
  </si>
  <si>
    <t>Antennas | Microstrip antennas | Mobile antennas</t>
  </si>
  <si>
    <t>A method to reduce the axial length of a conventional printed quadrifilar helix antenna (PQHA) using a meander line technique is described. The design approach and the measurement results for the meander printed quadrifilar helix antenna (MPQHA) are presented. A 53% size reduction and considerable bandwidth increase of a conventional PQHA is achieved by using this technique. ¬© 2002 IEEE.</t>
  </si>
  <si>
    <t>109-111</t>
  </si>
  <si>
    <t>60021097;60000251-60021097</t>
  </si>
  <si>
    <t>14521074000;7202876045</t>
  </si>
  <si>
    <t>Chew, Daniel K.C.;Saunders, Simon R.</t>
  </si>
  <si>
    <t>Guildford;New York</t>
  </si>
  <si>
    <t>University of Surrey;IEEE</t>
  </si>
  <si>
    <t>60021097;60000251</t>
  </si>
  <si>
    <t>Chew D.</t>
  </si>
  <si>
    <t>Meander line technique for size reduction of quadrifilar helix antenna</t>
  </si>
  <si>
    <t>10.1109/LAWP.2002.806051</t>
  </si>
  <si>
    <t>2-s2.0-21544433686</t>
  </si>
  <si>
    <t>M1-0222-00-0007</t>
  </si>
  <si>
    <t>['take data', 'short delay', 'shared memory', 'processes relies', 'operation easy', 'message queues', 'made via', 'ip sockets', 'handle userinterface', 'execute observations', 'ethernet link', 'control system', 'antenna control', 'anembedded microcomputer', '1 arcsec']</t>
  </si>
  <si>
    <t>Linux | Radio astronomy | Software | Telescope control system</t>
  </si>
  <si>
    <t>We have developed a control system for the Seoul Radio AstronomyObservatory (SRAO) 6-meter telescope operating in the 85-115 GHzfrequency range. Four PCs running the Linux operating system control sourcetracking, take data, execute observations and handle userinterface.The control system utilizes a modular and multiprocessingstructure to facilitate easy upgrading and troubleshooting. Communication between the processes relies on the interprocesscommunication (IPC) resources on Linux such as shared memory,message queues, and TCP/IP sockets. Communication between PCs is made via an Ethernet link. We also use digital I/O lines for some status signals whichrequire a short delay.The control system supports scheduling observations, updatesobservation logs automatically and also supports graphical userinterfaces. These all makes the operation easy.By using a commercially available motion control card with anembedded microcomputer for antenna control, we achieved atracking accuracy to better than 1 arcsec. ¬© 2004 Kluwer Academic Publishers.</t>
  </si>
  <si>
    <t>183-193</t>
  </si>
  <si>
    <t>Experimental Astronomy</t>
  </si>
  <si>
    <t>57203026080;8525531400</t>
  </si>
  <si>
    <t>Byun, Do Young;Yun, Young Zoo</t>
  </si>
  <si>
    <t>Byun D.</t>
  </si>
  <si>
    <t>Development of control softwares for the SRAO 6-meter telescope based on PCs running linux</t>
  </si>
  <si>
    <t>10.1023/B:EXPA.0000009967.00716.98</t>
  </si>
  <si>
    <t>2-s2.0-21644453620</t>
  </si>
  <si>
    <t>NSC 91‚Äì2213-E-035‚Äì037</t>
  </si>
  <si>
    <t>['radiation patterns', 'proposed antenna', 'optimum radius', 'new technique', 'excitation mode', 'circular stub', 'antenna size', 'also shown', '3 ghz', '28 ghz']</t>
  </si>
  <si>
    <t>Circular capacitive stub | Initial resonant frequency | Spiral slot antenna</t>
  </si>
  <si>
    <t>In this letter, we present a new technique to reduce the initial resonant frequency, enhance the bandwidth, and miniaturize the antenna size for microstrip-feeding spiral slot antennas. Two spiral slot antennas were fabricated and measured to demonstrate the capability of lowering the initial resonant frequency by adding a circular capacitive stub at the end of the feedline. According to results, the initial resonant frequency of the proposed antenna has been shifted from 1.58 to 1.28 GHz; in other words, the antenna size can be reduced by 20%, approximately. The radiation patterns are simulated and measured at 1.3 and 3 GHz to examine the excitation mode. The variations of the initial resonant frequency versus the radius of the circular stub are also shown to find the optimum radius of the stub. ¬© 2002 IEEE.</t>
  </si>
  <si>
    <t>161-164</t>
  </si>
  <si>
    <t>60000251-60004879;60004879</t>
  </si>
  <si>
    <t>7501637046;7202340593</t>
  </si>
  <si>
    <t>Wang, Chien Jen;Hsu, De Fu</t>
  </si>
  <si>
    <t>Taichung;New York</t>
  </si>
  <si>
    <t>Feng Chia University;IEEE</t>
  </si>
  <si>
    <t>60004879;60000251</t>
  </si>
  <si>
    <t>A frequency-reduction scheme for spiral slot antenna</t>
  </si>
  <si>
    <t>10.1109/LAWP.2002.807567</t>
  </si>
  <si>
    <t>2-s2.0-2342495602</t>
  </si>
  <si>
    <t>['‚ àè', 'spaced closely', 'single element', 'paper considers', 'new proximity', 'new feed', 'improvement upon', 'band u', '10 db']</t>
  </si>
  <si>
    <t>Broad-band microstrip antenna | Double ‚àè-shaped feed line | Microstrip array | Multilayer antenna | Proximity feed</t>
  </si>
  <si>
    <t>This paper considers the design of a broad-band U-slot patch antenna using a new proximity-coupled double ‚àè-shaped feed line. The new feed is an improvement upon a ‚àè-shaped feed line and allows the element to be spaced closely in two-dimensional (2-D) arrays. The bandwidth of a single element is shown to be 21.5% for a return loss better than 10 dB. ¬© 2002 IEEE.</t>
  </si>
  <si>
    <t>60020547;60020547;60000251-60020547</t>
  </si>
  <si>
    <t>6506961021;36066390600;7404879378</t>
  </si>
  <si>
    <t>Kidder, Chad;Li, Ming Yi;Chang, Kai</t>
  </si>
  <si>
    <t>Kidder C.</t>
  </si>
  <si>
    <t>Broad-band U-slot patch antenna with a proximity-coupled double II-shaped feed line for arrays</t>
  </si>
  <si>
    <t>10.1109/LAWP.2002.802573</t>
  </si>
  <si>
    <t>2-s2.0-2342552813</t>
  </si>
  <si>
    <t>['two methods', 'test statistics', 'test statistic', 'simulation studies', 'scale adjustment', 'sample sizes', 'sample size', 'repeated application', 'recent study', 'reasonably balanced', 'quite different', 'parameter estimates', 'p values', 'one method', 'mixed procedure', 'methods showed', 'latest release', 'kr method', 'inflated type', 'freedom tests', 'fc method', 'error rates', 'computes degrees']</t>
  </si>
  <si>
    <t>Ante dependence | Covariance structures | Degrees of freedom | Residual maximum likelihood | Satterthwaite approximation | Simulation | Type I error rates</t>
  </si>
  <si>
    <t>A recent study of lady beetle antennae was a small sample repeated measures design involving a complex covariance structure. Distributions of test statistics based on mixed models fitted to such data are unknown, but two recently developed methods for approximating the distributions of test statistics in mixed linear models have been included as options in the latest release of the MIXED procedure of SAS¬Æ. One method (FC, from Fai and Cornelius) computes degrees of freedom of an approximating F distribution for the test statistic using spectral decomposition of the hypothesis matrix together with repeated application of a method for single-degree-of-freedom tests. The other method (KR, from Kenward and Roger) adjusts the estimated covariance matrix of the parameter estimates, computes a scale adjustment to the test statistic, and computes the degrees of freedom of an approximating F distribution. Using the two methods, p values for a hypothesis of interest in the lady beetle study were quite different. Simulation studies on the Proc MIXED implementation of these methods showed that Type I error rates of both methods are affected by covariance structure complexity, sample size, and imbalance. Nonetheless, the KR method performs well in situations with fairly complicated covariance structures when sample sizes are moderate to small and the design is reasonably balanced. The KR method should be used in preference to the FC method, although it had inflated Type I error rates for complex covariance structures combined with small sample sizes. ¬© 2002 American Statistical Association and the International Biometric Society.</t>
  </si>
  <si>
    <t>512-524</t>
  </si>
  <si>
    <t>Journal of Agricultural, Biological, and Environmental Statistics</t>
  </si>
  <si>
    <t>60006832;60013958;60006832</t>
  </si>
  <si>
    <t>7003452828;7202910281;35554885100</t>
  </si>
  <si>
    <t>Schaalje, G. Bruce;McBride, Justin B.;Fellingham, Gilbert W.</t>
  </si>
  <si>
    <t>Saint Paul;Provo</t>
  </si>
  <si>
    <t>3M;Brigham Young University</t>
  </si>
  <si>
    <t>60013958;60006832</t>
  </si>
  <si>
    <t>Schaalje G.</t>
  </si>
  <si>
    <t>Adequacy of approximations to distributions of test statistics in complex mixed linear models</t>
  </si>
  <si>
    <t>10.1198/108571102726</t>
  </si>
  <si>
    <t>2-s2.0-2342641287</t>
  </si>
  <si>
    <t>['whole antenna', 'subantennas enhanced', 'proposed technique', 'near field', 'model parameters', 'mobile networks', 'letter presents', 'innovative way', 'human exposure', 'electromagnetic field', 'derived model']</t>
  </si>
  <si>
    <t>Base station panel antennas | Dosimetric analysis | Exposure limits | Mobile communication | Singular values decomposition (SVD) | Spherical harmonics | Subantenna | Synthesis problem</t>
  </si>
  <si>
    <t>This letter presents an innovative way to derive a radio station antenna model that can match very closely real antennas described by their measurements. The derived model can then be used for the assessment of human exposure to the electromagnetic field in the vicinity of the antennas, including the near field and the interactions with the environment. The technique is based on the principle of decomposing a whole antenna into subantennas enhanced by spherical-harmonic fields decomposition. A singular values decomposition (SVD) is used to find the model parameters. The proposed technique is applied on a real antenna used in mobile networks. ¬© 2002 IEEE.</t>
  </si>
  <si>
    <t>215-218</t>
  </si>
  <si>
    <t>125169228;125169228;60000251-125169228;125169228;60000251-125169228;60000251-60001422</t>
  </si>
  <si>
    <t>6506773968;6701547824;7403907957;7005938084;57203046526;7003530628</t>
  </si>
  <si>
    <t>Adane, Yacine;Gati, Azeddine;Wong, Man Fa;Dale, Christian;Wiart, Joe;Hanna, Victor Fouad</t>
  </si>
  <si>
    <t>Paris;New York;</t>
  </si>
  <si>
    <t>Sorbonne Universite;IEEE;T√©l√©com R and D - DMR/IIM 38-40</t>
  </si>
  <si>
    <t>60001422;60000251;125169228</t>
  </si>
  <si>
    <t>Adane Y.</t>
  </si>
  <si>
    <t>Optimal modeling of real radio base station antennas for human exposure assessment using spherical-mode decomposition</t>
  </si>
  <si>
    <t>10.1109/LAWP.2002.807960</t>
  </si>
  <si>
    <t>2-s2.0-2442435625</t>
  </si>
  <si>
    <t>['subsequently used', 'resonance frequency', 'physical volume', 'paper presents', 'new procedure', 'metallic cells', 'good agreement', 'genetic algorithms', 'experimental results', 'antenna prototype', 'antenna constant', '8 ghz']</t>
  </si>
  <si>
    <t>Genetic algorithm | Microstrip antennas | Miniaturization</t>
  </si>
  <si>
    <t>This paper presents a new procedure for the miniaturization of rectangular microstrip patches based on genetic algorithms. The shape of a typical rectangular patch is modified in order to reduce its resonance frequency keeping the physical volume of the antenna constant. As an example, the resonance frequency of a square microstrip patch is reduced from 3 to 1.8 GHz. The patch is divided in 9 √ó 9 square cells. The genetic algorithm optimization procedure is subsequently used to remove some of the metallic cells. To validate the procedure an antenna prototype has been fabricated and tested. Good agreement is obtained between theoretical and experimental results. ¬© 2002 IEEE.</t>
  </si>
  <si>
    <t>94-97</t>
  </si>
  <si>
    <t>100475582;60002644;60017375</t>
  </si>
  <si>
    <t>56039602600;7006394298;6701730449</t>
  </si>
  <si>
    <t>Herscovici, Naftali;Osorio, Manuel Fuentes;Peixeiro, Cust√≥dio</t>
  </si>
  <si>
    <t>Portugal;Spain;United States</t>
  </si>
  <si>
    <t>Lisboa;Valencia;Framingham</t>
  </si>
  <si>
    <t>Instituto de Telecomunicacoes;Universitat de Val√®ncia;Anteg, Inc.</t>
  </si>
  <si>
    <t>60017375;60002644;100475582</t>
  </si>
  <si>
    <t>Herscovici N.</t>
  </si>
  <si>
    <t>Miniaturization of rectangular microstrip patches using genetic algorithms</t>
  </si>
  <si>
    <t>10.1109/LAWP.2002.805128</t>
  </si>
  <si>
    <t>2-s2.0-2442605862</t>
  </si>
  <si>
    <t>PST.CLG.977419</t>
  </si>
  <si>
    <t>['unknown power', 'threshold value', 'series expansion', 'receiving antenna', 'probability density', 'power reciprocal', 'positive integer', 'high accuracy', 'fixed false', 'decision statistic', 'alarm probability']</t>
  </si>
  <si>
    <t>In this paper, we solve the problem of detecting multidimensional Gaussian complex signals with an a priori unknown spatial covariance matrix against the background of spatially nonuniform Gaussian noise with unknown power in the case of a fixed false-alarm probability. For an arbitrary sample size, exact analytical expressions are obtained for the moments of a decision statistic represented in the form of a generalized likelihood ratio raised to power reciprocal of a positive integer. The series expansion of the probability density function of the decision statistic in terms of orthogonal Jacobi polynomials is obtained by the method of moments. We use numerical simulation to demonstrate the high accuracy of approximating the probability density and finding the threshold value of the decision statistic. The obtained results hold for the case of short samples whose sizes are comparable with the number of elements of a receiving antenna.</t>
  </si>
  <si>
    <t>989-996</t>
  </si>
  <si>
    <t>56373874700;57220358034</t>
  </si>
  <si>
    <t>Bolkhovskaya, O. V.;Mal‚ÄôTsev, A. A.</t>
  </si>
  <si>
    <t>Bolkhovskaya O.V.</t>
  </si>
  <si>
    <t>Determination of threshold values of the generalized likelihood ratio in the problem of detecting partially coherent spatial signals in the case of short samples</t>
  </si>
  <si>
    <t>10.1023/A:1023537601489</t>
  </si>
  <si>
    <t>2-s2.0-25844445175</t>
  </si>
  <si>
    <t>['wave ratio', 'voltage standing', 'two double', 'quite fast', 'patch antennas', 'moments procedure', 'microstrip antennas', 'design result', 'closed form']</t>
  </si>
  <si>
    <t>Method of moments (MoM) | Microstrip | Microwave components | S-parameters</t>
  </si>
  <si>
    <t>To improve the characteristics of microstrip antennas, an idea of utilizing unbalanced structures in the analysis and design is proposed. In the characterization, the method of moments procedure is employed and the Rao-Wilton-Glisson basis functions are used in the analysis of microstrip patch antenna. Green's functions in closed form are used, so the analysis is quite fast and efficient and the design result is very useful. The frequency dependent characteristics of a single-patch and two double-patch antennas are analyzed. The design results show that the voltage standing-wave ratio of double-patch antennas can be significantly improved using unbalanced structures. ¬© 2002 IEEE.</t>
  </si>
  <si>
    <t>60017161-60026293;60017161;60000251-60017161-60026293;60000251-60017161;60000251-60017161</t>
  </si>
  <si>
    <t>14010585000;6506132883;7501449136;35581072400;7102006113</t>
  </si>
  <si>
    <t>Li, Jian Ying;Oo, Zaw Zaw;Li, Le Wei;Kooi, Pang Shyan;Leong, Mook Seng</t>
  </si>
  <si>
    <t>United States;Singapore;United States</t>
  </si>
  <si>
    <t>Cambridge;Singapore City;New York</t>
  </si>
  <si>
    <t>Singapore-MIT Alliance;National University of Singapore;IEEE</t>
  </si>
  <si>
    <t>60026293;60017161;60000251</t>
  </si>
  <si>
    <t>Improvement of characteristics of microstrip antennas using unbalanced structures</t>
  </si>
  <si>
    <t>10.1109/LAWP.2002.805347</t>
  </si>
  <si>
    <t>2-s2.0-27744469544</t>
  </si>
  <si>
    <t>['transfer admittances', 'slot width', 'slot self', 'slot radiators', 'required amplitude', 'represented graphically', 'phase distribution', 'multislot antenna', 'field across', 'external self', 'example like', 'distribution providing', 'coordinate functions']</t>
  </si>
  <si>
    <t>The external self- and transfer admittances of slot radiators are analyzed without limitations on the slot width. Sinusoidal (harmonic) functions are used as coordinate functions of the field distribution along the slot, while the field across the slot is assumed to be uniform. Electric length dependences of the slot self-admittance are represented graphically. It is shown that the admittance magnitude depends essentially on the slot width and length, as well as on the exciting field wavelength. The region of applicability is determined for approximate external admittances of the slot. The coupling between two, arbitrarily separated parallel slots is analyzed. It is shown that the existence of a strong coupling effect can be used to implement a required amplitude-and phase distribution of the field over the aperture of a multislot antenna, for example like the distribution providing a superdirectivity operation mode of an antenna. ¬© 2002 Begell House, Inc.</t>
  </si>
  <si>
    <t>9432565100;6602560537</t>
  </si>
  <si>
    <t>Lyaschenko, V. A.;Katrich, V. A.</t>
  </si>
  <si>
    <t>Lyaschenko V.</t>
  </si>
  <si>
    <t>External admittances of wide slots</t>
  </si>
  <si>
    <t>2-s2.0-28044432969</t>
  </si>
  <si>
    <t>['would allow', 'strongly speed', 'size reduction', 'similar rovers', 'reactors would', 'reactive collisions', 'reaction kinetics', 'reaction efficiency', 'powerful antenna', 'power consumption', 'modern genomics', 'miniature bio', 'microwatt consumption', 'microelectromechanical system', 'manufacturing technologies', 'largely improved', 'largely employed', 'intracavity nanolaser', 'integrated mems', 'increased frequency', 'highly accurate', 'genomic analyses', 'fully autonomous', 'effective astrobiological', 'economic way', 'data collection', 'business concerning', 'based unit', 'active chip']</t>
  </si>
  <si>
    <t>Lab-on-Chip | MEMS | Microengineering | Microfluidics | Microrovers | MOEMS | Nanotechnology | NEMS | Planetary exploration</t>
  </si>
  <si>
    <t>The performance of the so-called 'Lab-on-Chip' devices, featuring micrometre size components and employed at present for carrying out in a very fast and economic way the extremely high number of sequence determinations required in genomic analyses, can be largely improved as to further size reduction, decrease of power consumption and reaction efficiency through development of nanofluidics and of nano-to-micro integrated systems. As is shown, such new technologies would lead to robotic, fully autonomous, microwatt consumption and complete 'laboratory on a chip' units for accurate, fast and cost-effective astrobiological and planetary exploration missions. The theory and the manufacturing technologies for the 'active chip' of a miniature bio/chemoprospecting planetary rover working on micro-and nanofluidics are investigated. The chip would include micro-and nanoreactors, integrated MEMS (MicroElectroMechanical System) components, nanoelectronics and an intracavity nanolaser for highly accurate and fast chemical analysis as an application of such recently introduced solid state devices. Nano-reactors would be able to strongly speed up reaction kinetics as a result of increased frequency of reactive collisions. The reaction dynamics may also be altered with respect to standard macroscopic reactors. A built-in miniature telemetering unit would connect a network of other similar rovers and a central, ground-based or orbiting control unit for data collection and transmission to an Earth-based unit through a powerful antenna. The development of the 'Lab-on-Chip' concept for space applications would affect the economy of space exploration missions, as the rover's 'Lab-on-Chip' development would link space missions with the ever growing terrestrial market and business concerning such devices, largely employed in modern genomics and bioinformatics, so that it would allow the recoupment of space mission costs.</t>
  </si>
  <si>
    <t>115-130</t>
  </si>
  <si>
    <t>0007084X</t>
  </si>
  <si>
    <t>JBIS - Journal of the British Interplanetary Society</t>
  </si>
  <si>
    <t>Santoli, Salvatore</t>
  </si>
  <si>
    <t>INT-International Nanobiological Testbed Ltd.</t>
  </si>
  <si>
    <t>Santoli S.</t>
  </si>
  <si>
    <t>A 'Lab-on-Chip' design for miniature autonomous bio/chemoprospecting planetary rovers</t>
  </si>
  <si>
    <t>2-s2.0-28044449767</t>
  </si>
  <si>
    <t>['unconditional optimization', 'transmitting antenna', 'substantially increase', 'power radiated', 'power intercept', 'parabolic function', 'maximum efficiency', '2 %.']</t>
  </si>
  <si>
    <t>The conventional optimization problem of the beamed microwave energy transmission system is considered. The criterion of maximum efficiency of power intercept is parabolic function of distribution on the transmitting antenna. It is shown that under such a condition of amplitude distribution becomes more uniform than as the unconditional optimization. In this case, we can substantially increase the power radiated by the transmitting antenna losing the power intercept no more than 2%. ¬©2002 Begell House, Inc.</t>
  </si>
  <si>
    <t>95-100</t>
  </si>
  <si>
    <t>7004856096;9437459000;55536541300</t>
  </si>
  <si>
    <t>Rybalko, A. M.;Sevsky, S. V.;Shokalo, V. M.</t>
  </si>
  <si>
    <t>Rybalko A.</t>
  </si>
  <si>
    <t>Efficiency of energy transmission with microwave beam under parabolic amplitude distribution of the exited field</t>
  </si>
  <si>
    <t>2-s2.0-28044467972</t>
  </si>
  <si>
    <t>['usually neglected', 'system simulations', 'paper shows', 'mimo systems', 'mimo capacity', 'memo channels', 'input multiple', 'dipole antennas', 'based first']</t>
  </si>
  <si>
    <t>Channel capacity | Channel measurements | Channel modelling | MIMO measurements | Multiple-input multiple-output (MIMO) antennas</t>
  </si>
  <si>
    <t>Influences and characteristics of antennas are usually neglected in multiple-input multiple-output (MIMO) system simulations, but are important for the modeling of realistic transmission channels. This paper shows how antennas influence MIMO channels and presents a comparison of spiral and dipole antennas in MIMO systems. The comparison is based first on measurements and second on a stochastic channel model for MEMO channels. It is shown that the pattern of the single antenna elements strongly influences the MIMO capacity. ¬© 2002 IEEE.</t>
  </si>
  <si>
    <t>176-178</t>
  </si>
  <si>
    <t>60000251-60029428;60000251-60029428;60000251-60029428</t>
  </si>
  <si>
    <t>56118540300;6507008559;7006593766</t>
  </si>
  <si>
    <t>Waldschmidt, C.;F√ºgen, T.;Wiesbeck, W.</t>
  </si>
  <si>
    <t>Karlsruhe;New York</t>
  </si>
  <si>
    <t>Karlsruhe Institute of Technology, Campus South;IEEE</t>
  </si>
  <si>
    <t>60029428;60000251</t>
  </si>
  <si>
    <t>Waldschmidt C.</t>
  </si>
  <si>
    <t>Spiral and dipole antennas for indoor MIMO-systems</t>
  </si>
  <si>
    <t>10.1109/LAWP.2002.807787</t>
  </si>
  <si>
    <t>2-s2.0-2942524537</t>
  </si>
  <si>
    <t>MIP-9703074</t>
  </si>
  <si>
    <t>['wireless networks', 'spatial diversity', 'spatial characteristics', 'significant improvement', 'service parameters', 'results show', 'packet networks', 'new protocol', 'network performance', 'multimedia sdma', 'mixed audio', 'intelligent scheduling', 'fundamentally important', 'first study', 'existing scheme', 'efficient exploitation', 'division multiple', '1999 )].', '1998 )].', '1993 )].']</t>
  </si>
  <si>
    <t>Antenna array | Packet networks | Scheduling | Space-division multiple-access</t>
  </si>
  <si>
    <t>Efficient exploitation of spatial diversity is fundamentally important to resource critical wireless applications [Tsoulos (1999)]. In this paper, we first study the performance of intelligent scheduling for space-division multiple-access (SDMA) wireless networks [Suard (1998), Farsakh (1998)]. Based on the existing scheme, we propose a new medium access protocol (MAC) for multimedia SDMA/time-division multiple-access (TDMA) packet networks [Xu (1994), Ward (1993)]. The improved protocol performs scheduling based on users' spatial characteristics and quality-of-service parameters to achieve throughput multiplication and packet delay reduction. Performance of SDMA with scheduling is evaluated under mixed audio and data traffic patterns and results show that significant improvement in network performance can be achieved under the new protocol. ¬© 2002 IEEE.</t>
  </si>
  <si>
    <t>611-618</t>
  </si>
  <si>
    <t>60000251-100503757;60000251-60015481</t>
  </si>
  <si>
    <t>57197472028;36100496000</t>
  </si>
  <si>
    <t>Yin, Hujun;Liu, Hui</t>
  </si>
  <si>
    <t>Seattle;New York;Spokane</t>
  </si>
  <si>
    <t>University of Washington;IEEE;ViVATO Inc.</t>
  </si>
  <si>
    <t>60015481;60000251;100503757</t>
  </si>
  <si>
    <t>Performance of Space-division Multiple-access (SDMA) with scheduling</t>
  </si>
  <si>
    <t>10.1109/TWC.2002.804188</t>
  </si>
  <si>
    <t>2-s2.0-3142687734</t>
  </si>
  <si>
    <t>Singapore-MIT Alliance for Research and Technology Centre</t>
  </si>
  <si>
    <t>SMART</t>
  </si>
  <si>
    <t>['second kind', 'paper presents', 'mom procedure', 'mathematica package', 'general form', 'gap source', 'fast approach', 'cylindrical antennas', 'computation time']</t>
  </si>
  <si>
    <t>Current distribution | Cylindrical antennas | Dipole antennas | Electromagnetic radiation | Method of moments (MoM)</t>
  </si>
  <si>
    <t>This paper presents a fast approach in the method-of-moments (MoM) analysis so as to obtain the nonuniform current distributions of cylindrical antennas with electrically large radii. An oblique incident field in its general form and a delta-gap source are considered in the formulation of nonuniform current distributions. In the Galerkin's MoM procedure, the Fourier cosine series is considered as the entire domain basis function series. In this formulation, the kernel is represented by a series of weighted spherical Hankel functions of the second kind and the convergence of this series is fast. As the result, the computation time is short. The Mathematica package is used to obtain and plot the current distributions along the cylindrical antennas. ¬© 2002 IEEE.</t>
  </si>
  <si>
    <t>43-45</t>
  </si>
  <si>
    <t>60004678-60017161;60000251-60017161;60000251-60004678</t>
  </si>
  <si>
    <t>8108589100;7501449136;7201410151</t>
  </si>
  <si>
    <t>Lim, Chan Ping;Li, Le Wei;Li, Er Ping</t>
  </si>
  <si>
    <t>Singapore;Singapore;United States</t>
  </si>
  <si>
    <t>Singapore City;Singapore City;New York</t>
  </si>
  <si>
    <t>National University of Singapore;A-Star, Institute of High Performance Computing;IEEE</t>
  </si>
  <si>
    <t>60017161;60004678;60000251</t>
  </si>
  <si>
    <t>Lim C.</t>
  </si>
  <si>
    <t>Fast full-wave analysis of a cylindrical antenna using a single integral with an exact kernel</t>
  </si>
  <si>
    <t>10.1109/LAWP.2002.802578</t>
  </si>
  <si>
    <t>2-s2.0-3142743561</t>
  </si>
  <si>
    <t>['theoretical simulations', 'polar level', 'new concept', 'low sidelobe', 'global coverage', 'author designs']</t>
  </si>
  <si>
    <t>Choke antennas | Corrugated horn antennas | Gaussian profile antennas</t>
  </si>
  <si>
    <t>A new concept of really compact corrugated horn antenna for global coverage with very low sidelobe and cross-polar level and quite wide bandwidth is presented in this letter. This consists on the concatenation of a choke antenna together with a Gaussian profile horn antenna. A comparison of the performances of this horn design versus other author designs is included. A prototype was manufactured and measured and the results demonstrate excellent agreement with theoretical simulations. ¬© 2002 IEEE.</t>
  </si>
  <si>
    <t>200-202</t>
  </si>
  <si>
    <t>60033019;60033019;60033019;60033019</t>
  </si>
  <si>
    <t>6602670718;6603643598;7003903508;7101889305</t>
  </si>
  <si>
    <t>Teniente, Jorge;Go√±i, David;Gonzalo, Ram√≥n;Del-R√≠o, Carlos</t>
  </si>
  <si>
    <t>Choked Gaussian antenna: Extremely low sidelobe compact antenna design</t>
  </si>
  <si>
    <t>10.1109/LAWP.2002.807959</t>
  </si>
  <si>
    <t>2-s2.0-3142746351</t>
  </si>
  <si>
    <t>['sierpinski gasket', 'periodic placement', 'multiband behavior', 'analysis presented']</t>
  </si>
  <si>
    <t>Fractal antennas | Fractals | Multiband antennas</t>
  </si>
  <si>
    <t>The relationship between the Sierpinski gasket's self-similar fractal gap structure and its multiband behavior is considered. It is demonstrated that the majority of the self-similar fractal gap structure can be eliminated from the Sierpinski gasket without significantly affecting its multiband behavior. The analysis presented here demonstrates that the multiband behavior of the Sierpinski gasket is primarily a function of the periodic placement of the four gaps located along the central vertical axis of the antenna. ¬© 2002 IEEE.</t>
  </si>
  <si>
    <t>On the significance of self-similar fractal geometry in determining the multiband behavior of the sierpinski gasket antenna</t>
  </si>
  <si>
    <t>10.1109/LAWP.2002.802579</t>
  </si>
  <si>
    <t>2-s2.0-3142768691</t>
  </si>
  <si>
    <t>['typical urban', 'transmit diversity', 'time coding', 'sequence design', 'required signal', 'receive antennas', 'optimum training', 'ofdm system', 'noise ratio', 'new techniques', 'multiple transmit', 'channel estimation', 'also attain', '9 db']</t>
  </si>
  <si>
    <t>MIMO systems | OFDM | Parameter estimation | Transmit diversity</t>
  </si>
  <si>
    <t>Multiple transmit-and-receive antennas can be used in orthogonal frequency division multiplexing (OFDM) systems to improve communication quality and capacity. In this paper, we present two techniques to improve the performance and reduce the complexity of channel parameter estimation: optimum training-sequence design and simplified channel estimation. The optimal training sequences not only simplify the initial channel estimation, but also attain the best estimation performance. The simplified channel estimation significantly reduces the complexity of the channel estimation at the expense of a negligible performance degradation. The effectiveness of the new techniques is demonstrated through the simulation of an OFDM system with two-transmit and two-receive antennas. The space-time coding with 240 information bits per codeword is used for transmit diversity. From the simulation, the required signal-to-noise ratio is only about 9 dB for a 10% word error rate for a channel with the typical urban- or hilly-terrain delay profile and a 40-Hz Doppler frequency. ¬© 2002 IEEE.</t>
  </si>
  <si>
    <t>60000251-60021032</t>
  </si>
  <si>
    <t>Li, Ye</t>
  </si>
  <si>
    <t>Simplified channel estimation for OFDM systems with multiple transmit antennas</t>
  </si>
  <si>
    <t>S1536127602001800</t>
  </si>
  <si>
    <t>10.1109/7693.975446</t>
  </si>
  <si>
    <t>2-s2.0-33644655542</t>
  </si>
  <si>
    <t>TIC 2001-2739</t>
  </si>
  <si>
    <t>['sweep analysis', 'radiation boundary', 'proposed method', 'fem ),', 'fast frequency', 'element method', 'dimensional finite']</t>
  </si>
  <si>
    <t>Fad√© via Lanzos | Finite elements | Full-wave-segmentation method | Microstrip antennas</t>
  </si>
  <si>
    <t>A methodology that combines the domain segmentation technique, the three-dimensional finite-element method (3-D FEM), and a symmetric matrix Lanczos-Pad√© algorithm, is used for the fast frequency-sweep analysis of cavity-backed microstrip antennas by using a spherical mode expansion on the radiation boundary. Results for a circular patch antenna validate the proposed method. ¬© 2002 IEEE.</t>
  </si>
  <si>
    <t>60017838;60009455;60000251-60009455</t>
  </si>
  <si>
    <t>7202580563;25122490900;35614881800</t>
  </si>
  <si>
    <t>Rubio, J.;Gonz√°lez, M. A.;Zapata, J.</t>
  </si>
  <si>
    <t>Badajoz;Madrid;New York</t>
  </si>
  <si>
    <t>Universidad de Extremadura;Escuela T√©cnica Superior de Ingenieros de Telecomunicaci√≥n, Universidad Polit√©cnica de Madrid;IEEE</t>
  </si>
  <si>
    <t>60017838;60009455;60000251</t>
  </si>
  <si>
    <t>Rubio J.</t>
  </si>
  <si>
    <t>Analysis of cavity-backed microstrip antennas by a 3-D finite element/segmentation method and a matrix lanczos-pad√© algorithm (SFELP)</t>
  </si>
  <si>
    <t>10.1109/LAWP.2002.807783</t>
  </si>
  <si>
    <t>2-s2.0-33644906819</t>
  </si>
  <si>
    <t>['substantial increase', 'simple measure', 'residual energy', 'prior work', 'omnidirectional case', 'omnidirectional antennas', 'network lifetime', 'multicasting algorithms', 'explore quantitatively', 'energy efficiency', 'directional antennas', 'cost function', 'building upon', 'advantage offered']</t>
  </si>
  <si>
    <t>Ad hoc network | Broadcast | Directional antenna | Energy efficient | Multicast</t>
  </si>
  <si>
    <t>We consider ad hoc wireless networks that use directional antennas and have limited energy resources. To explore quantitatively the advantage offered by the use of directional antennas over the case of omnidirectional antennas, we consider the case of connection-oriented multicast traffic. Building upon our prior work on multicasting algorithms, we introduce two protocols that exploit the use of directional antennas and evaluate their performance. We observe significant improvement with respect to the omnidirectional case, in terms of both energy efficiency and network lifetime. Additionally, we show that further substantial increase in the network's lifetime can be achieved by incorporating a simple measure of a node's residual energy into the node's cost function. ¬© 2002 IEEE.</t>
  </si>
  <si>
    <t>176-191</t>
  </si>
  <si>
    <t>IEEE Transactions on Mobile Computing</t>
  </si>
  <si>
    <t>60000251-60027271;60027271;60000251-60078684</t>
  </si>
  <si>
    <t>7006275988;7102407231;7007049290</t>
  </si>
  <si>
    <t>Wieselthier, Jeffrey E.;Nguyen, Gam D.;Ephremides, Anthony</t>
  </si>
  <si>
    <t>College Park;Washington, D.C.;New York</t>
  </si>
  <si>
    <t>A. James Clark School of Engineering;Naval Research Laboratory;IEEE</t>
  </si>
  <si>
    <t>60078684;60027271;60000251</t>
  </si>
  <si>
    <t>Wieselthier J.</t>
  </si>
  <si>
    <t>Energy-aware wireless networking with directional antennas: The case of session-based broadcasting and multicasting</t>
  </si>
  <si>
    <t>10.1109/TMC.2002.1081754</t>
  </si>
  <si>
    <t>2-s2.0-33645691253</t>
  </si>
  <si>
    <t>NSC 91-2219-E-027-005</t>
  </si>
  <si>
    <t>['width conductor', 'wave simulated', 'structure appears', 'shifting model', 'proposed slow', 'phase shift', 'lower cost', 'loss criterion', 'higher compactness', 'frequency bandwidth', 'equivalent circuit', 'ebg structure', 'ebg cell', 'db return', 'coplanar stripline', 'conventional solid', 'cascaded number', 'broad bandwidth', 'antenna arrays', 'antenna array', 'also established', '20 db']</t>
  </si>
  <si>
    <t>Printed-bowtie antenna array | Slow-wave electromagnetic bandgap</t>
  </si>
  <si>
    <t>The novel printed antenna array consisting of series-fed bowtie radiators, finite-width conductor-backed coplanar waveguide-to-coplanar stripline (FW-CBCPW-to-CPS) transitions, and slow-wave electromagnetic bandgap (EBG) structure is presented. By controlling the size and the cascaded number of EBG cell, this structure appears as a slow-wave transmission line that can exhibit large phase shift with broad bandwidth for antenna array applications. The equivalent circuit is also established to model the phase shift of EBG cell. Measured results show that the antenna array achieves a 50% frequency bandwidth for 10-dB return-loss criterion and an end-fire radiation pattern with a front-to-back ratio greater than 20 dB. Good agreement among measured, full-wave simulated, and calculated results supports the validity of the phase-shifting model of EBG structure to predict the main beam angle of the antenna array. Compared to the conventional solid-state phase shifters for antenna arrays, the proposed slow-wave EBG structure has the advantages of higher compactness and lower cost and it is easier to integrate in the FW-CBCPW-fed bowtie antenna array with broad-band and end-fire radiation characteristics. ¬© 2002 IEEE.</t>
  </si>
  <si>
    <t>124-127</t>
  </si>
  <si>
    <t>60000251-60012392;60025864;60000251-60025864</t>
  </si>
  <si>
    <t>7202387588;27168244100;7403319741</t>
  </si>
  <si>
    <t>Mao, Shau Gang;Chen, Chih Mying;Chang, Dau Chyrh</t>
  </si>
  <si>
    <t>Dacun;Taipei;New York</t>
  </si>
  <si>
    <t>Da-Yeh University;National Taipei University of Technology;IEEE</t>
  </si>
  <si>
    <t>60025864;60012392;60000251</t>
  </si>
  <si>
    <t>Mao S.</t>
  </si>
  <si>
    <t>Modeling of slow-wave EBG structure for printed-bowtie antenna array</t>
  </si>
  <si>
    <t>10.1109/LAWP.2002.806049</t>
  </si>
  <si>
    <t>2-s2.0-33645703952</t>
  </si>
  <si>
    <t>['unparasitised aphids', 'short distance', 'searching behaviour', 'resting time', 'probably responsible', 'perceived neither', 'parasitoids use', 'parasitoid females', 'markers released', 'lysiphlebus testaceipes', 'indirectly induced', 'host discrimination', 'host discriminate', 'egg laying', 'direct observations']</t>
  </si>
  <si>
    <t>Aphis gossypii | Host discrimination | Lysiphlebus testaceipes | Parasitoid | Searching behaviour</t>
  </si>
  <si>
    <t>The ability of Lysiphlebus testaceipes (Cresson) females to discriminate between parasitised and unparasitised Aphis gossypii Glover, and the mechanisms of host discrimination was studied. By comparing the resting time of parasitoid females on leaves with parasitised and unparasitised aphids their ability to host discriminate was evidenced. Y-tube olfactometer tests and direct observations of the searching behaviour of L. testaceipes females showed that the markers released during the parasitisation (at the insertion of the ovipositor and during egg laying) are perceived neither over long nor over short distance, but they are probably responsible of contact host discrimination. However, the parasitoids use their antennae to perceive olfactory cues and thus recognise parasitised hosts. The cues that act over short distance are directly or indirectly induced by the egg or the larva of the parasitoid developing inside the host.</t>
  </si>
  <si>
    <t>Bulletin of Insectology</t>
  </si>
  <si>
    <t>35088534300;7005590062;7003914996</t>
  </si>
  <si>
    <t>Medrzycki, Piotr;Cesari, Michele;Maini, Stefano</t>
  </si>
  <si>
    <t>Medrzycki P.</t>
  </si>
  <si>
    <t>Lysiphlebus testaceipes on Aphis gossypii: Studies on remote host discrimination</t>
  </si>
  <si>
    <t>2-s2.0-33745588641</t>
  </si>
  <si>
    <t>['¬© wiley', 'thin wire', 'theoretical results', 'refining algorithm', 'pocklington integro', 'numerical experiments', 'efficient meshes', 'differential equation', 'current induced', 'adaptive mesh']</t>
  </si>
  <si>
    <t>A posteriori error estimate | Electromagnetic scattering | Finite element approximations | Thin wire antennas</t>
  </si>
  <si>
    <t>In this paper we discuss a finite element approximation method for solving the Pocklington integro-differential equation for the current induced on a straight, thin wire by an incident harmonic electromagnetic field. We obtain an a posteriori error estimate for finite element approximations of the equation, and we prove the reliability of this estimate. The theoretical results are then used to motivate an adaptive mesh-refining algorithm which generates very efficient meshes and yields optimal convergence rates in numerical experiments. ¬© WILEY-VCH Verlag Berlin GmbH.</t>
  </si>
  <si>
    <t>284-288</t>
  </si>
  <si>
    <t>ZAMM Zeitschrift fur Angewandte Mathematik und Mechanik</t>
  </si>
  <si>
    <t>60018163;60019656</t>
  </si>
  <si>
    <t>7005559437;35605547500</t>
  </si>
  <si>
    <t>Carstensen, C.;Rynne, B. P.</t>
  </si>
  <si>
    <t>United Kingdom;Austria</t>
  </si>
  <si>
    <t>Edinburgh;Vienna</t>
  </si>
  <si>
    <t>Heriot-Watt University;Technische Universit√§t Wien</t>
  </si>
  <si>
    <t>60019656;60018163</t>
  </si>
  <si>
    <t>Carstensen C.</t>
  </si>
  <si>
    <t>A posteriori error control for finite element approximations of the integral equation for thin wire antennas</t>
  </si>
  <si>
    <t>10.1002/1521-4001(200204)82:4&lt;284::AID-ZAMM284&gt;3.0.CO;2-5</t>
  </si>
  <si>
    <t>2-s2.0-33747635945</t>
  </si>
  <si>
    <t>['two beams', 'plane independently', 'patch array', 'measured gain', 'feed dual', 'beam steering', 'beam squint', '13 dbi']</t>
  </si>
  <si>
    <t>Dual beam | Multipoint feeding | Phase shifter | Phased array | Piezoelectric transducer</t>
  </si>
  <si>
    <t>A new independently controllable dual-feed dual-beam phased array has been designed and measured at Ka-band. Thirty-two planar microstrip patch antennas are used to form a two-dimensional 4 √ó 8 array, and two radiating beams are obtained by feeding both sides of the patch array. Two piezoelectric transducers are used to control phase shifts for beam steering. Two beams with a beam squint at ¬±13¬∞ in E-plane are steered in H-plane independently. The measured gain and beam steering angle are 13 dBi and 20¬∞, respectively. ¬© 2002 IEEE.</t>
  </si>
  <si>
    <t>81-83</t>
  </si>
  <si>
    <t>60020547;60000251-60020547</t>
  </si>
  <si>
    <t>57196226119;7404879378</t>
  </si>
  <si>
    <t>Kim, Sang Gyu;Chang, Kai</t>
  </si>
  <si>
    <t>Kim S.</t>
  </si>
  <si>
    <t>Independently controllable dual-feed dual-beam phased array using piezoelectric transducers</t>
  </si>
  <si>
    <t>10.1109/LAWP.2002.802551</t>
  </si>
  <si>
    <t>2-s2.0-33748483064</t>
  </si>
  <si>
    <t>['similar allocation', 'sierpinski gasket', 'previously demonstrated', 'periodic behavior', 'operating bands']</t>
  </si>
  <si>
    <t>It has been previously demonstrated that the self-similar fractal gap structure of the Sierpinski Gasket can be perturbed to modify the periodic behavior of the antenna's multiple operating bands. Here, the central gap structure of the previously described modified Parany Gasket is perturbed, resulting in a similar allocation of operating bands and periodic multiband behavior. ¬© 2002 IEEE.</t>
  </si>
  <si>
    <t>Operating band comparison of the perturbed Sierpinski and modified Parany Gasket antennas</t>
  </si>
  <si>
    <t>10.1109/LAWP.2002.802584</t>
  </si>
  <si>
    <t>2-s2.0-33748484482</t>
  </si>
  <si>
    <t>N000149710735</t>
  </si>
  <si>
    <t>['wireless networks', 'transmitter powers', 'sinr requirements', 'numerical study', 'noise ratio', 'network capacity', 'minimum signal', 'different number', 'beamforming problem']</t>
  </si>
  <si>
    <t>Adaptive antenna arrays | Adaptive beamforming | Joint transmit and receive beamforming | Power control</t>
  </si>
  <si>
    <t>Beamforming problem is studied in wireless networks where both transmitters and receivers have linear adaptive antenna arrays. Algorithms are proposed that find antenna array weight vectors at both transmitters and receivers as well as the transmitter powers with one of the following two objectives: 1) to maximize the minimum signal-to-interference-and-noise ratio (SINK) over all receivers and 2) to minimize the sum of the total transmitted power satisfying the SINR requirements at all links. Numerical study is performed to compare the network capacity and the power consumption among systems having different number of antenna array elements in a code division multiple access network. ¬© 2002 IEEE.</t>
  </si>
  <si>
    <t>16-26</t>
  </si>
  <si>
    <t>60000251-60078684;60000251-60078684;60000251-60026638</t>
  </si>
  <si>
    <t>37124250300;36562504600;6602901083</t>
  </si>
  <si>
    <t>Chang, Jae Hwan;Tassiulas, Leandros;Rashid-Farrokhi, Farrokh</t>
  </si>
  <si>
    <t>College Park;Espoo;New York</t>
  </si>
  <si>
    <t>A. James Clark School of Engineering;Nokia Corporation;IEEE</t>
  </si>
  <si>
    <t>60078684;60026638;60000251</t>
  </si>
  <si>
    <t>Chang J.</t>
  </si>
  <si>
    <t>Joint transmitter receiver diversity for efficient space division multiaccess</t>
  </si>
  <si>
    <t>S1536127602001903</t>
  </si>
  <si>
    <t>10.1109/7693.975441</t>
  </si>
  <si>
    <t>2-s2.0-33748487184</t>
  </si>
  <si>
    <t>DMR-9 809 686</t>
  </si>
  <si>
    <t>['variable humidity', 'temperature environment', 'sio 2', 'silicon dioxide', 'sensor response', 'sensor array', 'sealed containers', 'reversible responses', 'resonant frequency', 'planar inductor', 'nh 3', 'loop antenna', 'gas sensor', 'frequency spectrum', 'enabling applications', 'different gases', 'consequently alters', 'co 2', 'carbon nanotubes', 'carbon dioxide', 'automatically calibrated', '2 ),']</t>
  </si>
  <si>
    <t>Ammonia | Carbon dioxide | Carbon nanotube | Gas sensor | Oxygen | Remote query</t>
  </si>
  <si>
    <t>A gas sensor, comprised of a gas-responsive multiwall carbon nanotube (MWNT) - silicon dioxide (SiO 2) composite layer deposited on a planar inductor-capacitor resonant circuit is presented here for the monitoring of carbon dioxide (CO 2), oxygen (O 2), and ammonia (NH 3). The absorption of different gases in the MWNT-SiO 2 layer changes the permittivity and conductivity of the material and consequently alters the resonant frequency of the sensor. By tracking the frequency spectrum of the sensor with a loop antenna, humidity, temperature, as well as CO 2, O 2 and NH 3 concentrations can be determined, enabling applications such as remotely monitoring conditions inside opaque, sealed containers. Experimental results show the sensor response to CO 2 and O 2 is both linear and reversible. Both irreversible and reversible responses are observed in response to NH 3, indicating both physisorption and chemisorption of NH 3 by the carbon nanotubes. A sensor array, comprised of an uncoated, SiO 2 coated, and MWNT-SiO 2 coated sensor, enables CO 2 measurement to be automatically calibrated for operation in a variable humidity and temperature environment. ¬© 2002 IEEE.</t>
  </si>
  <si>
    <t>82-88</t>
  </si>
  <si>
    <t>1530437X</t>
  </si>
  <si>
    <t>IEEE Sensors Journal</t>
  </si>
  <si>
    <t>60001439;60001439;60000251-60001439</t>
  </si>
  <si>
    <t>7102309054;57203044590;7102762205</t>
  </si>
  <si>
    <t>Ong, Keat Ghee;Zeng, Kefeng;Grimes, Craig A.</t>
  </si>
  <si>
    <t>Ong K.</t>
  </si>
  <si>
    <t>A wireless, passive carbon nanotube-based gas sensor</t>
  </si>
  <si>
    <t>S1530437X02039428</t>
  </si>
  <si>
    <t>10.1109/JSEN.2002.1000247</t>
  </si>
  <si>
    <t>2-s2.0-33748498942</t>
  </si>
  <si>
    <t>['stable across', 'shaped probes', 'patch corners', 'large extent', 'input ports', 'impedance bandwidth', 'ground plane', 'band dual', 'average gain', '7 dbi', '34 db', '14 db']</t>
  </si>
  <si>
    <t>Dual polarization | Patch antenna</t>
  </si>
  <si>
    <t>A broad-band dual-polarization patch antenna fed by L-shaped probes at the patch corners is presented. A coupled line directional coupler mounted at the back of the ground plane is used to enhance the isolation between the L-probes to a large extent. Through using the coupler to feed the L-probes, the isolation between the input ports is 34 dB over the GSM900 operating bandwidth, which has enhanced by 14 dB. By using two plastic spacers of 0.1Œª0 in height to support the patch in the air, an impedance bandwidth of 18% (for S11 ‚â§ -14 dB), and an average gain of 7 dBi can be obtained for both ports. The far field patterns are stable across the passband. This antenna can potentially be used as a GSM900 base station antenna. ¬© 2002 IEEE.</t>
  </si>
  <si>
    <t>60013983;60013983;60025278</t>
  </si>
  <si>
    <t>57214454907;55510527400;7403692161</t>
  </si>
  <si>
    <t>Lau, K. L.;Luk, K. M.;Lin, Deyun</t>
  </si>
  <si>
    <t>Tsinghua University;City University of Hong Kong</t>
  </si>
  <si>
    <t>60025278;60013983</t>
  </si>
  <si>
    <t>Lau K.L.</t>
  </si>
  <si>
    <t>A wide-band dual-polarization patch antenna with directional coupler</t>
  </si>
  <si>
    <t>10.1109/LAWP.2002.807784</t>
  </si>
  <si>
    <t>2-s2.0-33748508010</t>
  </si>
  <si>
    <t>['similar nature', 'significantly different', 'sierpinski gasket', 'radiation patterns', 'practical perspective', 'operating bands', 'also considered']</t>
  </si>
  <si>
    <t>The radiation pattern characteristics of the Sierpinski gasket and the modified Parany gasket are compared and evaluated from a practical perspective. It is demonstrated that the radiation patterns of these antennas are not significantly different. The self-similar nature of the Sierpinski gasket's radiation patterns is also considered. It is demonstrated that the frequencies where the Sierpinski gasket's radiation patterns exhibit some degree of similarity do not coincide with its operating bands as defined by its return loss characteristics. ¬© 2002 IEEE.</t>
  </si>
  <si>
    <t>On the radiation pattern characteristics of the Sierpinski and modified Parany gasket antennas</t>
  </si>
  <si>
    <t>10.1109/LAWP.2002.802585</t>
  </si>
  <si>
    <t>2-s2.0-33748514380</t>
  </si>
  <si>
    <t>['without increasing', 'well known', 'user multiple', 'transmitter requires', 'transmit antennas', 'time scheduler', 'spatial dimensions', 'scheduling layer', 'receive antennas', 'prime focus', 'power budget', 'optimal space', 'nr ),', 'mimo system', 'link layer', 'level throughput', 'level performance', 'level optimization', 'increased linearly', 'fully exploit', 'communication channel', 'channel matrix']</t>
  </si>
  <si>
    <t>The multi-user multiple-input-multiple-output (MIMO) space-time scheduling problem is the prime focus of the paper. Using multiple transmit (nT) and receive antennas (nR), it is well known that the link-level throughput will be increased linearly with respect to min[nT, nR] without increasing the bandwidth and power budget. However, optimizing the link-level performance of the MIMO system does not always imply achieving scheduling-level optimization. Therefore, the design optimization across the link layer and the scheduling layer is very important to fully exploit the temporal and spatial dimensions of the communication channel. In this paper, we address the design of the optimal space-time scheduler for the multi-user MIMO system based on an information theoretical approach. Since full knowledge of channel matrix at the transmitter requires a feedback channel capacity not scalable with respect to nT (number of transmit antennas at mobiles) and nK (number of receive antennas at base station), we will assume two partial feedback models. ¬© 2003 Lucent Technologies Inc.</t>
  </si>
  <si>
    <t>27-46</t>
  </si>
  <si>
    <t>7005811464;7410225129;7405542463;55108346700</t>
  </si>
  <si>
    <t>Lau, Vincent K.N.;Liu, Youjian;Chen, Tai Ann;Meyers, Martin H.</t>
  </si>
  <si>
    <t>Optimal space-time scheduling for block fading channels with partial power feedbacks</t>
  </si>
  <si>
    <t>10.1002/bltj.10017</t>
  </si>
  <si>
    <t>2-s2.0-33749228396</t>
  </si>
  <si>
    <t>['vertical plane', 'system composed', 'practical recommendations', 'positioned gratings', 'lateral surface', 'different values', 'cylindrical lens', 'comb width']</t>
  </si>
  <si>
    <t>A radiating system consisting of a linear dielectric waveguide and a comb-type diffraction grating is considered. The prerequisite to the formation of the system's pattern in a vertical plane with a horizontally positioned dielectric waveguide axis has been explored. The effect of the comb width on the shape of the pattern has been analyzed. The optimal illumination angles of the cylindrical lens or parabaloid with radiation being focused in a vertical plane have been determined. The formation of the pattern by joint-butting two parallel-positioned gratings, which, in the case, have different values of periods, has been studied. A criterion has been specified for the continuous scanning mode in the system composed of a linear dielectric waveguide and relatively narrow teeth arranged on the lateral surface of the barrel in such a way that it can rotate about its axis. Practical recommendations are proposed to design the scanning antennas offering step-by-step or continuous scanning modes. ¬© 2002 Begell House, Inc.</t>
  </si>
  <si>
    <t>Yevdokimov, A. P.;Kryzhanovsky, V. V.</t>
  </si>
  <si>
    <t>Yevdokimov A.</t>
  </si>
  <si>
    <t>Optimization of the radiating system "dielectric waveguide- grating" for an automobile radar scanning antenna</t>
  </si>
  <si>
    <t>2-s2.0-33751167019</t>
  </si>
  <si>
    <t>['waveguide transition', 'various types', 'separable variables', 'radiation pattern', 'plane pattern', 'phase distribution', 'horn radius', 'good agreement', 'calculation results', 'axial coax']</t>
  </si>
  <si>
    <t>Development of an omnidirectional biconical horn antenna in E-plane and axial coax to waveguide transition is considered. Various types of transitions were studied and expressions for E-plane pattern were calculated. It was shown that such antenna has amplitude and phase distribution with separable variables, when the horn radius is essentially more than wavelength. Experimentally measured characteristics of radiation pattern are in good agreement with the calculation results. ¬© 2002 Begell House, Inc.</t>
  </si>
  <si>
    <t>88-96</t>
  </si>
  <si>
    <t>35582040000;8316460300</t>
  </si>
  <si>
    <t>Khlopov, G. I.;Teplyuk, A. L.</t>
  </si>
  <si>
    <t>Khlopov G.</t>
  </si>
  <si>
    <t>Coaxial fed biconical horn antenna</t>
  </si>
  <si>
    <t>2-s2.0-33751171112</t>
  </si>
  <si>
    <t>['two factors', 'statistical parameters', 'stability factor', 'quadratic deviation', 'problem solution', 'prescribed one', 'phase distribution', 'minimum value', 'magnitudes depending', 'given inaccurately', 'essentially differ', 'correlation radius', 'average value']</t>
  </si>
  <si>
    <t>The stability of the problem solution in linear antenna statistical synthesis from a prescribed field pattern has been investigated for the case when the statistical parameters of fluctuations of an amplitude-phase distribution are given inaccurately. The stability is defined as a difference between the average value of the quadratic deviation of the really reproduced field pattern from the prescribed one and its minimum value. It is shown that the level of stability can be estimated with the help of two factors i.e. the stability factor with respect to the variance and the stability factor with respect to the correlation radius, which can essentially differ in magnitudes depending on the values of related statistical parameters which occur in realization. ¬© 2002 Begell House, Inc.</t>
  </si>
  <si>
    <t>79-87</t>
  </si>
  <si>
    <t>Dolzhikov, V. V.</t>
  </si>
  <si>
    <t>Dolzhikov V.</t>
  </si>
  <si>
    <t>On solution stability of problems in the statistical antenna synthesis over prescribed field pattern</t>
  </si>
  <si>
    <t>2-s2.0-33751174753</t>
  </si>
  <si>
    <t>['wide wall', 'rectangular waveguide', 'numerical calculations', 'magnetomotive force', 'extended slots', 'energy characteristics']</t>
  </si>
  <si>
    <t>A study has been made into the long extended slots cut through in the wide wall of a rectangular waveguide by using the magnetomotive force (MMF) method. As part of the numerical calculations being performed, the waveguide wall thickness has been taken into account. A computer-aided analysis suggested that in terms of using the extended slots the energy characteristics of the leaky-wave antennas could be optimized. ¬© 2002 Begell House, Inc.</t>
  </si>
  <si>
    <t>93-100</t>
  </si>
  <si>
    <t>60027251;60027251;60027251;60027251</t>
  </si>
  <si>
    <t>8342564200;6602560537;15069273900;15069893200</t>
  </si>
  <si>
    <t>Berdnik, S. L.;Katrich, V. A.;Lyashchenko, N. A.;Polyanov, N. A.</t>
  </si>
  <si>
    <t>Berdnik S.</t>
  </si>
  <si>
    <t>Energy characteristics and directed properties of electrically long longitudinal slots in a rectangular waveguide</t>
  </si>
  <si>
    <t>2-s2.0-33751187135</t>
  </si>
  <si>
    <t>['wide range', 'presented graphically', 'phase fluctuations', 'main lobe', 'lobe level', 'correlation lengths', 'circular aperture']</t>
  </si>
  <si>
    <t>The effect of phase fluctuations in the exciting field upon parameters of the mean power pattern is analyzed for a circular aperture with a decreasing amplitude distribution and uniformly distributed phase. The parameters in question are the mean radiated power in the main lobe, the mean beam width, and the side lobe level. It is shown that the reduction of the side-lobe level through the use of a decreasing amplitude distribution in the antenna becomes less efficient in the presence of fluctuations, even with small (a ‚â§ 0.1) values of its variance. Formulas are derived to evaluate the width of the mean power pattern, and dependences are presented graphically to estimate the level of two first side lobes for a wide range of variances and correlation lengths of phase fluctuations. ¬© 2002 Begell House, Inc.</t>
  </si>
  <si>
    <t>60020615;60020615</t>
  </si>
  <si>
    <t>9636886100;15069519100</t>
  </si>
  <si>
    <t>Dolzhikov, V. V.;Gorelov, Y. P.</t>
  </si>
  <si>
    <t>Mean characteristics of a circular aperture with a tapered amplitude distribution</t>
  </si>
  <si>
    <t>2-s2.0-33751200355</t>
  </si>
  <si>
    <t>['single form', 'resonance frequency', 'nonresonance events', 'found using', 'experimental values', 'dispersion equation', 'current calculation', 'circular waveguide', 'arbitrary conditions', 'antisymmetric components', 'antenna excitation']</t>
  </si>
  <si>
    <t>An approximate analytical solution of the problem on the current distribution along the uncoupled linear impedance antenna in the circular waveguide under arbitrary conditions of antenna excitation and orientation is found using the method of averaging. The relationship between the symmetric and antisymmetric components of the current is taken into account in a single form for both the resonance and nonresonance events. The expression for the characteristic antenna resistance is obtained and dispersion equation for the antenna is found. The results of current calculation and the numerical and experimental values of the resonance frequency of the antenna are given. ¬© 2002 Begell House, Inc.</t>
  </si>
  <si>
    <t>17-41</t>
  </si>
  <si>
    <t>60008794;60008794</t>
  </si>
  <si>
    <t>9536844400;36631461200</t>
  </si>
  <si>
    <t>Priymenko, S. D.;Bondarenko, L. A.</t>
  </si>
  <si>
    <t>National Science Center Kharkov Institute of Physics and Technology</t>
  </si>
  <si>
    <t>Priymenko S.</t>
  </si>
  <si>
    <t>Uncoupled impedance antenna in circular waveguide</t>
  </si>
  <si>
    <t>2-s2.0-33751280487</t>
  </si>
  <si>
    <t>['rvalued grid', 'optical device', 'nonredundant configurations', 'constructure procedure', 'constructed using', 'antenna array', '20 elements']</t>
  </si>
  <si>
    <t>The nonredundant configurations of an antenna array or an optical device's aperture on the squares whose side consists of 5 to 20 elements of an intege-rvalued grid have been constructed using a random search technique. The results of the constructure procedure are presented. ¬© 2002 Begell House, Inc.</t>
  </si>
  <si>
    <t>Kornienko, Yu V.</t>
  </si>
  <si>
    <t>Kornienko Y.</t>
  </si>
  <si>
    <t>Construction of nonredundant antenna configurations on a square grid by a random research technique</t>
  </si>
  <si>
    <t>2-s2.0-33751288993</t>
  </si>
  <si>
    <t>['wire finite', 'small electric', 'phase characteristics', 'likewise specified', 'length antennas', 'field zone', 'considerably shorter', 'applicability limits']</t>
  </si>
  <si>
    <t>The amplitude and phase characteristics of electromagnetic (EM) field of symmetric short thin-wire finite-length antennas in their near-field zone have been examined. The applicability limits of the Hertzian electric dipole theory for the antennas whose length is considerably shorter than the wavelength are determined, and the far-field zone boundaries of small electric-size wire antennas have been likewise specified. ¬© 2002 Begell House, Inc.</t>
  </si>
  <si>
    <t>7003374031;15072342500</t>
  </si>
  <si>
    <t>Gorobets, N. N.;Tsekhmistro, R. I.</t>
  </si>
  <si>
    <t>Gorobets N.</t>
  </si>
  <si>
    <t>Characteristics of the near-field zone of short wire antennas</t>
  </si>
  <si>
    <t>2-s2.0-33751303799</t>
  </si>
  <si>
    <t>['zero correlation', 'usually thought', 'single degree', 'realistic assumptions', 'outdoor environments', 'may arise', 'employing instead']</t>
  </si>
  <si>
    <t>Bell-labs layered space-time | Correlation | Keyhole | Multiple-input multiple-output | Propagation</t>
  </si>
  <si>
    <t>Multielement system capacities are usually thought of as limited only by correlations between elements. It is shown here that degenerate channel phenomena called "keyholes" may arise under realistic assumptions which have zero correlation between the entries of the channel matrix H and yet only a single degree of freedom. Canonical physical examples of keyholes are presented. For outdoor environments, it is shown that roof edge diffraction is perceived as a "keyhole" by a vertical base array that may be avoided by employing instead a horizontal base array. ¬© 2002 IEEE.</t>
  </si>
  <si>
    <t>361-368</t>
  </si>
  <si>
    <t>60000251-60021378;60000251-60021378;60000251-60021378</t>
  </si>
  <si>
    <t>35584953100;7005258498;7006813926</t>
  </si>
  <si>
    <t>Chizhik, Dmitry;Foschini, Gerard J.;Gans, Michael J.</t>
  </si>
  <si>
    <t>Chizhik D.</t>
  </si>
  <si>
    <t>Keyholes, correlations, and capacities of multielement transmit and receive antennas</t>
  </si>
  <si>
    <t>S1536127602029264</t>
  </si>
  <si>
    <t>10.1109/7693.994830</t>
  </si>
  <si>
    <t>2-s2.0-33845332941</t>
  </si>
  <si>
    <t>['web browsing', 'voice rate', 'spatial separation', 'novel technique', 'key feature', 'interference ratio', 'future code', 'eight antennas', 'division multiple', 'conventional single', 'code spreading', 'cdma signals', '16 times']</t>
  </si>
  <si>
    <t>Antenna arrays | BLAST | Code division multiaccess | Mobile cellular systems | Transmit diversity</t>
  </si>
  <si>
    <t>Providing wireless high-speed packet data services for web browsing and streaming multimedia applications will be a key feature in future code-division multiple-access (CDMA) systems. In this paper, we study down-link CDMA schemes for providing such services using multiple antennas at the transmitter and receiver. We propose a generalization of the point-to-point narrowband Bell Labs layered space-time (BLAST) system to a wideband multiple access system which simultaneously supports multiple users through code spreading. We discuss transmission options for achieving transmit diversity and spatial separation and introduce a generalization of the vertical BLAST detector for CDMA signals. Using link level simulations, we determine the bit-error rates versus signal-to-interference ratio of the various transmitter options. We then describe a novel technique for determining the system spectral efficiency (measured in bits per second per Hertz per cell sector) by incorporating the link level results with system level outage simulations. Using four antennas at the transmitter and eight antennas at each receiver, the system can support multiple receivers at 16 times the voice rate, resulting in a system spectral efficiency an order magnitude higher than a conventional single-antenna voice system. ¬© 2002 IEEE.</t>
  </si>
  <si>
    <t>383-392</t>
  </si>
  <si>
    <t>7405611201;35511016000;7005258498</t>
  </si>
  <si>
    <t>Huang, Howard;Viswanathan, Harish;Foschini, G. J.</t>
  </si>
  <si>
    <t>Multiple antennas in cellular CDMA systems: Transmission, detection, and spectral efficiency</t>
  </si>
  <si>
    <t>10.1109/TWC.2002.800537</t>
  </si>
  <si>
    <t>2-s2.0-33845532877</t>
  </si>
  <si>
    <t>Informed Medical Decisions Foundation</t>
  </si>
  <si>
    <t>IMDF</t>
  </si>
  <si>
    <t>['wideband code', 'time difference', 'tdoa measurements', 'paper proposes', 'mobile receiver', 'macrocell environment', 'low cost', 'linear form', 'division multiple', 'developed based', 'base stations', 'aoa equation']</t>
  </si>
  <si>
    <t>Angle of arrival | Least square estimator | Mobile user location | Time difference of arrival | Wideband code-division multiple-access</t>
  </si>
  <si>
    <t>This paper proposes a mobile user location scheme for wideband code-division multiple-access (CDMA) wireless communication systems. To achieve high location accuracy and low cost of the mobile receiver, the location scheme combines the time difference of arrival (TDOA) measurements from the forward link pilot signals with the angle of arrival (AOA) measurement from the reverse link pilot signal. High chip rates in wideband CDMA systems facilitate accurate TDOA measurements, and a smart antenna used at the home base station (BS) can provide accurate AOA measurement in a macrocell environment. A two-step least square location estimator is developed based on a linear form of the AOA equation in the small error region. Numerical results demonstrate that the proposed hybrid TDOA/AOA location scheme gives much higher location accuracy than TDOA only location, when the number of base stations is small and/or when the TDOA measurements have a relatively poor accuracy. ¬© 2002 IEEE.</t>
  </si>
  <si>
    <t>439-447</t>
  </si>
  <si>
    <t>60089889-60014171;60089889-60014171</t>
  </si>
  <si>
    <t>37039056800;7103155022</t>
  </si>
  <si>
    <t>Li, Cong;Weihua, Zhuang</t>
  </si>
  <si>
    <t>Dundas;Waterloo</t>
  </si>
  <si>
    <t>IEEE Canada;University of Waterloo</t>
  </si>
  <si>
    <t>60089889;60014171</t>
  </si>
  <si>
    <t>Li C.</t>
  </si>
  <si>
    <t>Hybrid TDOA/AOA mobile user location for wideband CDMA cellular systems</t>
  </si>
  <si>
    <t>10.1109/TWC.2002.800542</t>
  </si>
  <si>
    <t>2-s2.0-33845580059</t>
  </si>
  <si>
    <t>265-278</t>
  </si>
  <si>
    <t>10.2528/PIER02022102</t>
  </si>
  <si>
    <t>2-s2.0-33847275603</t>
  </si>
  <si>
    <t>['perfectly conducting', 'multiple interfaces', 'microstrip antenna', 'fabricated around', 'dyadic green', 'domain galerkin', 'current distribution', 'conducting core', 'complete expression', 'chiral substrate', 'boundary conditions', 'achiral substrate']</t>
  </si>
  <si>
    <t>In this paper, a spatial-domain Galerkin's procedure in Method of Moments is applied to analyse a cylindrical-rectangular chirostrop antenna. It is assumed that a single-layer chiral substrate is wrap-fabricated around a conducting core-cylinder and that a perfectly conducting and electrically thin rectangular-cylindrical microstrip patch antenna is mounted on the surface of the chiral substrate. By imposing the boundary conditions on the multiple interfaces and applying the scattering superposition method, a complete expression of dyadic Green's functions (DGFs) has been obtained and the current distribution over the cylindrical rectangular chirostrip antenna has been determined. Various radiation patterns due to such a microstrip antenna in the presence of a chiral substrate are obtained and compared with those in the presence of an achiral substrate, so as to gain physical insight into effects of the chirostrip.</t>
  </si>
  <si>
    <t>165-182</t>
  </si>
  <si>
    <t>60017161-60026293;60005837;60017161;60017161</t>
  </si>
  <si>
    <t>7501449136;7402268080;7102006113;7102523120</t>
  </si>
  <si>
    <t>Li, L. W.;Zhao, T. X.;Leong, M. S.;Yeo, T. S.</t>
  </si>
  <si>
    <t>Cambridge;Singapore City;Houston</t>
  </si>
  <si>
    <t>Singapore-MIT Alliance;National University of Singapore;University of Houston</t>
  </si>
  <si>
    <t>60026293;60017161;60005837</t>
  </si>
  <si>
    <t>A spatial-domain method of moments analysis of a cylindrical-rectangular chirostrip</t>
  </si>
  <si>
    <t>10.2528/PIER01060503</t>
  </si>
  <si>
    <t>2-s2.0-33947100254</t>
  </si>
  <si>
    <t>['stratified medium', 'stratified media', 'perfect images', 'obtained solutions', 'linear antenna', 'laterally shifted', 'guided waves', 'general formulation', 'gaussian beam', 'field solutions', 'characteristic waves', 'backward waves', 'antenna sources']</t>
  </si>
  <si>
    <t>In this paper we provide a general formulation for the electromagnetic wave interaction with stratified media and then specialize to slabs of negative isotropic media. The field solutions are obtained in all regions of the stratified medium. The characteristic waves in negative isotropic media are backward waves. We derive the field solutions and show that a Gaussian beam is laterally shifted by a negative isotropic slab. The amount of beam center shift is calculated for both cases of transmission and reflection. Guided waves in stratified media are studied. Placing a linear antenna and all types of Hertzian dipole antennas in a stratified medium, we obtained solutions in all regions. We demonstrate and locate the positions of the perfect images of the antenna sources in the presence of negative isotropic slabs.</t>
  </si>
  <si>
    <t>Kong, J. A.</t>
  </si>
  <si>
    <t>Kong J.</t>
  </si>
  <si>
    <t>Electromagnetic wave interaction with stratified negative isotropic media</t>
  </si>
  <si>
    <t>10.2528/PIER01082101</t>
  </si>
  <si>
    <t>2-s2.0-38749099687</t>
  </si>
  <si>
    <t>['wireless systems', 'using transmit', 'time techniques', 'system benefit', 'spatial dimension', 'signal enhancement', 'results confirm', 'recent years', 'receive arrays', 'propagation environment', 'multicell scenarios', 'mitigate interference', 'longer possible', 'limited rich', 'large number', 'interference mitigation', 'information theory', 'higher capacity', 'environments free', 'antennas arrays']</t>
  </si>
  <si>
    <t>Adaptive arrays | Antenna diversity | Fading channels | Multiple-antenna communication theory | Spectral efficiency</t>
  </si>
  <si>
    <t>In recent years, the ever growing need for higher capacity in wireless systems has fueled the interest in exploiting the spatial dimension - through the use of antennas arrays - to improve the utilization of the available radio spectrum. As a result, a large number of space-time techniques have been proposed wherein arrays are used to mitigate interference and enhance signal levels. More recently, information theory has shown that, with spatial data multiplexing, very large spectral efficiencies can be attained in multipath channels using transmit and receive antenna arrays. In this paper, the system benefit of using transmit and receive arrays in multicell scenarios is evaluated as a function of both the propagation environment and the number of antennas. Our results confirm the potential for very large system spectral efficiencies associated with the use of transmit and receive arrays, in particular in interference-limited rich-multipath conditions wherein the ability to perform interference mitigation - leading to tighter spectral reuse - and spatial data multiplexing grows with the number of antennas. In environments free of multipath, the potential is smaller but still very significant, associated with interference mitigation and signal enhancement only, since spatial data multiplexing is no longer possible. ¬© 2002 IEEE.</t>
  </si>
  <si>
    <t>591-599</t>
  </si>
  <si>
    <t>60000251-60021378;60000251-100352150;60000251-100352150;60000251-100352150</t>
  </si>
  <si>
    <t>6602664809;24781002200;7005258498;7101611306</t>
  </si>
  <si>
    <t>Farrokhi, Farrokh R.;Lozano, Angel;Foschini, G. J.;Valenzuela, Reinaldo A.</t>
  </si>
  <si>
    <t>Murray;New York;Fremont</t>
  </si>
  <si>
    <t>Nokia Bell Labs;IEEE;Centillium Communications, Inc.</t>
  </si>
  <si>
    <t>60021378;60000251;100352150</t>
  </si>
  <si>
    <t>Farrokhi F.</t>
  </si>
  <si>
    <t>Spectral efficiency of FDMA/TDMA wireless systems with transmit and receive antenna arrays</t>
  </si>
  <si>
    <t>10.1109/TWC.2002.804078</t>
  </si>
  <si>
    <t>2-s2.0-3943053345</t>
  </si>
  <si>
    <t>['xerogel matrix', 'wide variety', 'water molecules', 'type ant', 'third part', 'supramolecular species', 'room temperature', 'recognition phase', 'promising system', 'organic ligands', 'organic composite', 'new type', 'main interest', 'luminescent materials', 'luminescence centre', 'important means', 'immobilized catalysts', 'heterogeneous catalysts', 'gel method', 'first part', 'experiments concerning', 'evolved towards', 'entrapped series', 'efficient quenchers', 'donor atoms', 'deliberate doping', 'cryptand ligand', 'central ion', 'case results', 'aromatic groups', 'aromatic co', 'anthryl group', 'antenna effect', 'ant type']</t>
  </si>
  <si>
    <t>Ligand | Organometallic | Sol-gel | Xerogel</t>
  </si>
  <si>
    <t>The sol-gel process enables one to prepare oxide xerogels at room temperature. By using this method, it is possible to encapsulate a wide variety of organic, complex (organometallic) molecules and metallic nanoparticles stabilized by organic ligands in the inorganic or inorganic/organic hybrid matrix. Studies of this new type of inorganic/organic composite have evolved towards the deliberate doping of the supramolecular species. This review gives three examples of how doped xerogel materials prepared by the sol-gel method are emerging as an important means of producing new materials. The first part of this review is devoted to luminescent materials which are based on the antenna effect and are composed of Eu(III) complex (luminescence centre) entrapped in xerogel matrix. In this case results of the experiments concerning the coordination sphere composition show that a cryptand ligand with aromatic groups and an aromatic co-ligand, settle efficient action the antenna effect and isolate the central ion from each efficient quenchers, as e.g. water molecules. Secondly, silica xerogel samples with entrapped series of three fluorescent chemosensors of the Ant-R-Ant type, where Ant is an anthryl group and A is a receptor (spacer) with donor atoms, were prepared as chemical recognition phases. The recognition phase with fluorosensor of the type Ant-N-O-O-N-Ant, where N and O are donor atoms, can be regenerated many times and seems to be most promising system for the fluorescent chemical sensor. In the third part of this paper, ligand protected metal nanoclusters as immobilized catalysts are the point of interest. This type of heterogeneous catalysts are much less investigated than the bare metal particles on supports. The main interest is focused on the function of the ligands.</t>
  </si>
  <si>
    <t>Materials Science- Poland</t>
  </si>
  <si>
    <t>K≈Çonkowski, Andrzej M.</t>
  </si>
  <si>
    <t>Gda≈Ñsk</t>
  </si>
  <si>
    <t>Uniwersytet Gdanski</t>
  </si>
  <si>
    <t>K≈Çonkowski A.</t>
  </si>
  <si>
    <t>LUMINESCENT MATERIALS, RECOGNITION PHASES of the CHEMICAL SENSORS and HETEROGENEOUS CATALYSTS PREPARED by SOL-GEL METHOD</t>
  </si>
  <si>
    <t>2-s2.0-40849105727</t>
  </si>
  <si>
    <t>['wireless environments', 'transmit power', 'time equalization', 'tap feedforward', 'smart antenna', 'significant gain', 'results underscore', 'paper reports', 'outage probability', 'outage improved', 'one antenna', 'noise ratio', 'intersymbol interference', 'four provided', 'filter taps', 'filter decision', 'field measurements', 'feedback equalizer', 'features real', 'extensive set', 'eight feedback', 'dramatic potential', 'coverage radius', 'array technology', 'also show', '59262 trials', '5 mbaud', '30 mbit', '3 db', '2 db', '10 mw', '10 mbit', '1 %.']</t>
  </si>
  <si>
    <t>Adaptive decision feedback equalization | Antenna diversity | Digital communication systems | Field measurements | Outage performance | Performance evaluation | QAM system | Smart antenna array | System implementation | System simulation | Wireless indoor communications</t>
  </si>
  <si>
    <t>This paper reports on field measurements of point-to-point indoor high-speed (10 Mbit/s to 30 Mbit/s at 5 Mbaud) wireless communications realized using a flexible multilevel quadrature amplitude modulation (M-QAM) testbed that features real-time equalization and smart antenna-array technology. The results from an extensive set of measurements, 59262 trials in all, performed without cochannel interference under various receiver configurations and wireless environments are presented and analyzed. The results underscore the dramatic potential for a system that optimally combines equalization and a smart antenna array. For example, using only 10 mW of transmit power, the system delivered 30 Mbit/s at an uncoded bit error rate (BER) of 10 -3 with 5% outage at a coverage radius of 20 m. For a lower data rate of 10 Mbit/s, the coverage radius was increased to 32 m, the uncoded BER dropped below 10 -7, and the outage improved to 1%. The field measurements indicate that a 4-tap feedforward-filter decision-feedback equalizer with eight feedback-filter taps is sufficient to mitigate the intersymbol interference for typical indoor environments. They also show a significant gain when using a smart antenna array. For example, when transmitting between rooms at a 2% outage probability, the signal-to-noise ratio (SNR) improves by 8.3 dB when using two antennas instead of one antenna. Doubling the number of antennas to four provided an additional SNR improvement of 5.2 dB. The paper also presents simulation results that confirm the performance trends observed from the field measurements. ¬© 2002 IEEE.</t>
  </si>
  <si>
    <t>Field measurements of an indoor high-speed QAM wireless system using decision feedback equalization and smart antenna array</t>
  </si>
  <si>
    <t>S1536127602001812</t>
  </si>
  <si>
    <t>10.1109/7693.975452</t>
  </si>
  <si>
    <t>2-s2.0-4444237314</t>
  </si>
  <si>
    <t>['simulation data', 'measurement results', 'good agreement', 'first time', 'anisotropic characteristics']</t>
  </si>
  <si>
    <t>Diplexer antenna | Microstrip | Photonic bandgap</t>
  </si>
  <si>
    <t>Anisotropic characteristics of uniplanar compact photonic bandgap (UC-PBG) structure is studied and applied for the first time into the design of microstrip dipiexer patch antennas to enhance the isolation between transmitting (Tx) and receiveing (Rx) ports. Theoretical results indicate that the isolation is improved and measurement results are compared with simulation data and good agreement is reported. ¬© 2002 IEEE.</t>
  </si>
  <si>
    <t>135-137</t>
  </si>
  <si>
    <t>60022109;60022109</t>
  </si>
  <si>
    <t>7201594095;14521488600</t>
  </si>
  <si>
    <t>Hao, Y.;Paini, C. G.</t>
  </si>
  <si>
    <t>Hao Y.</t>
  </si>
  <si>
    <t>Isolation enhancement of anisotropic UC-PBG microstrip diplexer patch antenna</t>
  </si>
  <si>
    <t>10.1109/LAWP.2002.806757</t>
  </si>
  <si>
    <t>2-s2.0-4644352263</t>
  </si>
  <si>
    <t>['thick substrate', 'relative permittivity', 'readily computation', 'present expression', 'interactive cad', 'form expression', 'copyright sbmo', 'antenna designer', 'accurate closed']</t>
  </si>
  <si>
    <t>Antenna directivity | Circular microstrip antenna | Microstrip antennas</t>
  </si>
  <si>
    <t>We present the simple and accurate closed-form expression to compute the directivity of a circular microstrip antenna on the thin and thick substrate of any relative permittivity. The present expression (PE) is useful for the readily computation of directivity by a calculator and therefore, useful in interactive CAD of antenna by an antenna designer. Copyright SBMO.</t>
  </si>
  <si>
    <t>70-74</t>
  </si>
  <si>
    <t>Simple and accurate expression for directivity of circular microstrip antenna</t>
  </si>
  <si>
    <t>2-s2.0-47349127244</t>
  </si>
  <si>
    <t>['wave interaction', 'theoretical representations', 'spherical frame', 'scattering phenomena', 'receiver travel', 'receiver measures', 'random media', 'polarized returns', 'measuring facility', 'linearly polarized', 'helps assess', 'fully understood', 'experimental measurements', 'existing assumptions', 'copyright sbmo', 'bistatic measurement', 'better describe', 'active system']</t>
  </si>
  <si>
    <t>A novel measurement system for electromagnetic wave bistatic scattering from dielectric rough surface is constructed to better describe the wave interaction with the random media. Electromagnetic wave interaction with random media is a process to improve the theoretical representations. Existing assumptions and appreciations sometimes remain unjustified since the scattering phenomena are not fully understood. To improve the bistatic measurement both a horn antenna operating in the far-field and a parabolic-dish antenna operating in the near field focus mode are utilized. The transmitter for the active system is a linearly polarized, helium-neon laser operating in the red light region. The receiver measures both like- and cross-polarized returns. This helps assess the scattered radiation pattern. A flat metal plate is developed to calibrate the measuring facility. The system is automated and consists of a spherical frame over which the transmitter and receiver travel. The comparisons of experimental measurements with the model prediction based on the integral equation method are made to evaluate the accuracy, repeatability, and utility of the helium-neon laser measurement system. Copyright SBMO.</t>
  </si>
  <si>
    <t>39-44</t>
  </si>
  <si>
    <t>Design and construction for fully polarimetric bistatic scattering measurement system</t>
  </si>
  <si>
    <t>2-s2.0-52649110240</t>
  </si>
  <si>
    <t>['waveguide aperture', 'wave beam', 'two mirrors', 'requested physically', 'plane mirror', 'key component', 'field side', 'emissive direction', 'elliptical reflector', 'elliptical mirror', 'ecrh experiment', 'also controlled']</t>
  </si>
  <si>
    <t>ECRH | Elliptical reflector | Gaussian like antenna | HT-7 tokamak</t>
  </si>
  <si>
    <t>The structure of the antenna which will be used in HT-7 tokamak electron cyclotron resonance heating (ECRH) experiment and the design of its key component (the elliptical reflector) were introduced. A quasi-Gaussian TE 11 wave sent from the TE01-TE11 mode converter was reflected by two mirrors-from the waveguide aperture to the plasma center area. One of the two mirrors is a plane mirror and the other is an elliptical mirror. In this process, the wave beam will be converged by the two reflecting mirrors and the emissive direction of the wave is also controlled by them. As requested physically for ECRH experiment, the arrangement of the two mirrors can ensure the wave to be launched from the low-field side of the tour.</t>
  </si>
  <si>
    <t>1573-1578</t>
  </si>
  <si>
    <t>Plasma Science and Technology</t>
  </si>
  <si>
    <t>60020697;60020697;60020697</t>
  </si>
  <si>
    <t>37086722500;7403456386;55478589400</t>
  </si>
  <si>
    <t>Zhang, Li Xia;Fang, Yu De;Yang, Kun</t>
  </si>
  <si>
    <t>Institute of Plasma Physics Chinese Academy of Sciences</t>
  </si>
  <si>
    <t>Zhang L.</t>
  </si>
  <si>
    <t>The design of an elliptical reflector in the Gaussian-like antenna used in HT-7 ECRH system</t>
  </si>
  <si>
    <t>10.1088/1009-0630/4/6/011</t>
  </si>
  <si>
    <t>2-s2.0-52649125392</t>
  </si>
  <si>
    <t>ECS-9979282</t>
  </si>
  <si>
    <t>['wave dipoles', 'spatial correlation', 'snr ),', 'reduced degrees', 'receiving end', 'received signal', 'noise ratio', 'mutual coupling', 'impedance matrix', 'antenna systems']</t>
  </si>
  <si>
    <t>Capacity | Correlation | Multiple-input-multiple-output (MIMO) | Mutual coupling</t>
  </si>
  <si>
    <t>The effect of element mutual coupling on the capacity of multiple-input-multiple-output (MIMO) antenna systems is demonstrated by considering a fixed-length linear array of half-wave dipoles. Mutual coupling between elements, which influences both the spatial correlation and the received signal-to-noise ratio (SNR), is taken into account by means of the impedance matrix. Monte Carlo simulations are performed for both single-sided (i.e., transmitting end or receiving end) and double-sided fading correlations. It is shown that mutual coupling results in substantially lower capacity and, hence, in reduced degrees of freedom. ¬© 2002 IEEE.</t>
  </si>
  <si>
    <t>157-160</t>
  </si>
  <si>
    <t>60000251-60014313</t>
  </si>
  <si>
    <t>Janaswamy, Ramakrishna</t>
  </si>
  <si>
    <t>Amherst MA;New York</t>
  </si>
  <si>
    <t>University of Massachusetts Amherst;IEEE</t>
  </si>
  <si>
    <t>60014313;60000251</t>
  </si>
  <si>
    <t>Janaswamy R.</t>
  </si>
  <si>
    <t>Effect of element mutual coupling on the capacity of fixed length linear arrays</t>
  </si>
  <si>
    <t>10.1109/LAWP.2002.807570</t>
  </si>
  <si>
    <t>2-s2.0-5444256826</t>
  </si>
  <si>
    <t>Ford Foundation</t>
  </si>
  <si>
    <t>['weather channels', 'true since', 'town catv', 'select group', 'limited experimentation', 'interactive television', 'entrepreneurs began', 'community antenna', 'cable television', 'always reflected']</t>
  </si>
  <si>
    <t>The history of cable television in the USA has always reflected a tension between those who see in the technology a promise for a more progressive television future and those who see it as a lucrative business opportunity. This has been true since the 1950s, when a select group of small-town CATV (community antenna) entrepreneurs began to think of non-broadcast-derived programme options (eg Associated Press news text, weather channels, movies) to offer their subscribers. The countervailing forces became particularly apparent, however, during the 1970s, when satellite-delivered cable channels first became a reality and there was limited experimentation with interactive television.</t>
  </si>
  <si>
    <t>62-83</t>
  </si>
  <si>
    <t>Convergence</t>
  </si>
  <si>
    <t>Mullen, Megan</t>
  </si>
  <si>
    <t>Kenosha</t>
  </si>
  <si>
    <t>University of Wisconsin-Parkside</t>
  </si>
  <si>
    <t>Mullen M.</t>
  </si>
  <si>
    <t>The fall and rise of cable narrowcasting</t>
  </si>
  <si>
    <t>10.1177/135485650200800106</t>
  </si>
  <si>
    <t>2-s2.0-61049372285</t>
  </si>
  <si>
    <t>6603877226;55925575400;7006865572;7202825573</t>
  </si>
  <si>
    <t>Br√©gains, J. C.;Rodr√≠iguez, J. A.;Ares, F.;Moreno, E.</t>
  </si>
  <si>
    <t>10.2528/PIER01110203</t>
  </si>
  <si>
    <t>2-s2.0-70350631292</t>
  </si>
  <si>
    <t>['theoretical values', 'test area', 'system uses', 'scattered data', 'rotate around', 'optical fibers', 'measure field', 'letter describes', 'good agreement', 'bistatic configuration', 'analytical data']</t>
  </si>
  <si>
    <t>Electromagnetic measurements | Electromagnetic scattering</t>
  </si>
  <si>
    <t>This letter describes a passive antenna system based on the modulated scattering technique (MST) implemented in the bistatic configuration. The system uses an array of passive dipoles driven by optical fibers. The array can move and rotate around a square test area and it is possible to measure field-scattered data by cylindrical targets placed inside the test area. Some preliminary experimental results are presented and compared with analytical data. The measurements are in good agreement with theoretical values. ¬© 2002 IEEE.</t>
  </si>
  <si>
    <t>203-206</t>
  </si>
  <si>
    <t>60000251-60015197;60025153;60000251-60025153</t>
  </si>
  <si>
    <t>7102084534;7006135869;7004880389</t>
  </si>
  <si>
    <t>Caorsi, Salvatore;Donelli, Massimo;Pastorino, Matteo</t>
  </si>
  <si>
    <t>Genoa;Pavia;New York</t>
  </si>
  <si>
    <t>Universit√† degli Studi di Genova;Universit√† degli Studi di Pavia;IEEE</t>
  </si>
  <si>
    <t>60025153;60015197;60000251</t>
  </si>
  <si>
    <t>Caorsi S.</t>
  </si>
  <si>
    <t>A passive antenna system for data acquisition in scattering applications</t>
  </si>
  <si>
    <t>10.1109/LAWP.2002.807958</t>
  </si>
  <si>
    <t>2-s2.0-7544232136</t>
  </si>
  <si>
    <t>['wave elements', 'use time', 'two examples', 'time domain', 'straight wire', 'resonant scattering', 'physics teachers', 'harmonic excitation', 'emphasis throughout', 'earlier paper', 'basic traveling', 'analytic expressions', 'also examined']</t>
  </si>
  <si>
    <t>The reception and scattering of an incident plane wave by simple wire receiving antennas are analyzed. The approach is the same as used in an earlier paper where the radiation from similar transmitting antennas was considered. First, analytic expressions are obtained for the current and field of a basic traveling-wave receiving element. Then, a more complicated receiving antenna is viewed as a combination of basic traveling-wave elements, and the current and scattered electromagnetic field of the antenna are obtained by superimposing the currents and fields of these elements. The emphasis throughout is on the use of the time domain, viz., pulsed excitation, to establish physical understanding of the process of radiation/reception, unlike conventional treatments that use time-harmonic excitation. Two examples are discussed in detail: reception by a loaded dipole antenna and scattering by a straight wire. The relationship between the transmission and reception for the dipole, i.e., reciprocity, and the phenomenon of resonant scattering for the wire are also examined. ¬© 2002 American Association of Physics Teachers.</t>
  </si>
  <si>
    <t>829-844</t>
  </si>
  <si>
    <t>American Journal of Physics</t>
  </si>
  <si>
    <t>Smith, Glenn S.</t>
  </si>
  <si>
    <t>Smith G.</t>
  </si>
  <si>
    <t>Teaching antenna reception and scattering from a time-domain perspective</t>
  </si>
  <si>
    <t>10.1119/1.1479744</t>
  </si>
  <si>
    <t>2-s2.0-77949997099</t>
  </si>
  <si>
    <t>['threshold method', 'statistical properties', 'receiving channels', 'priori information', 'mcir matrix', 'matrix rank', 'antenna arrays', 'also determine']</t>
  </si>
  <si>
    <t>We consider adaptive spatial signal processing in antenna arrays under conditions ofmultipath propagation. It is shown that estimation ofthe elements ofthe matrix ofmultichannel impulse response (MCIR) in the receiving channels of antenna arrays is not sufficient for performing such a processing, and we should also determine the MCIR-matrix rank, which is equal to the minimum number ofadaptive spatial channels for reception ofa multipath signal. We propose a threshold method for estimating the rank of the MCIR matrix on the basis of the statistical properties of maximum-likelihood estimation ofthe elements ofthis matrix and a priori information on the properties ofinternal noise in the receiving channels ofthe system. The weight vectors ofthe beamformer processor ensuring adaptive spatial signal processing are estimated.</t>
  </si>
  <si>
    <t>977-988</t>
  </si>
  <si>
    <t>Adaptive signal processing in antenna arrays with allowance for the rank of the impulse-response matrix of a multipath channel</t>
  </si>
  <si>
    <t>10.1023/A:1023585517419</t>
  </si>
  <si>
    <t>2-s2.0-84940909386</t>
  </si>
  <si>
    <t>['thermal conductivity', 'specific feature', 'semiconductor structures', 'semiconductor junctions', 'semiconductor elements', 'results obtained', 'regularities emerging', 'physical reason', 'particular example', 'linear problem', 'functional destruction', 'boundary conditions']</t>
  </si>
  <si>
    <t>A solution for the nonlinear heat conduction equation with mixed boundary conditions that describe thermal destruction of semiconductor structures by high-power microwave radiation (functional destruction) is obtained. A specific feature of the solution is related to the nonlinearity of both the equation itself and one of the boundary conditions. The physical reason for the nonlinearity is caused by the dependence of the thermal conductivity on the desired heating temperature of the semiconductor. It is demonstrated that allowance for nonlinearity enables one to reveal some regularities emerging in the case of heating of semiconductor junctions and obscured in the linear problem. A particular example is used to compare the results obtained with the similar data provided by the solution for a linear heat conduction equation with constant thermal conductivity. The data are obtained under equal operating conditions of the same semiconductor elements.</t>
  </si>
  <si>
    <t>1373-1378</t>
  </si>
  <si>
    <t>Dobykin, V. D.</t>
  </si>
  <si>
    <t>Dobykin V.</t>
  </si>
  <si>
    <t>Effect of nonlinear heat conduction on functional destruction of semiconductor structures</t>
  </si>
  <si>
    <t>2-s2.0-9144247091</t>
  </si>
  <si>
    <t>Israel Academy of Sciences and Humanities</t>
  </si>
  <si>
    <t>366/99</t>
  </si>
  <si>
    <t>ISF</t>
  </si>
  <si>
    <t>['unambiguous positioning', 'specific sites', 'special waters', 'solvent molecules', 'simulations support', 'rights reserved', 'possible roles', 'phycocyanobilin co', 'phycobilisome structure', 'phycobilisome complex', 'molecular dynamic', 'intermolecular spaces', 'improved data', 'harvesting phycobiliprotein', 'factor atoms', 'different levels', 'crystal structure', 'bonding network', '100 k']</t>
  </si>
  <si>
    <t>Antenna protein | Energy transfer | Photosynthesis | Photosystem II</t>
  </si>
  <si>
    <t>The crystal structure of the light-harvesting phycobiliprotein, c-phycocyanin from the thermophilic cyanobacterium Synechococcus vulcanus has been refined to 1.6 √Ö resolution based on the previously determined lower resolution structure (PDB entry 1I7Y). The improved data was collected using synchrotron radiation at 100 K. The significantly improved crystallographic data has lead to improved calculated electron density maps, allowing the unambiguous positioning of all protein and co-factor atoms and the positioning of 377 solvent molecules. The positions of solvent molecules at specific sites important for stabilization of different levels of self-assembly of the phycobilisome structure were identified and the bonding network is described. The presence of solvent molecules in the vicinity of the co-factors and in intermolecular spaces is identified and their possible roles are suggested. All three of the phycocyanobilin co-factors bind water molecules at specific sites between the propionic acid side chains. Molecular dynamic (MD) simulations support that these special waters have a role in stabilization of this conformation. On the basis of the crystal packing reported here and in comparison to other phycobiliprotein crystal forms, we have analyzed the roles of specific sites on the formation of the phycobilisome complex. ¬© 2002 Elsevier Science B.V. All rights reserved.</t>
  </si>
  <si>
    <t>60022403;60022403;60022403</t>
  </si>
  <si>
    <t>6701633634;6602613373;57197321386</t>
  </si>
  <si>
    <t>Adir, Noam;Vainer, Radion;Lerner, Natalia</t>
  </si>
  <si>
    <t>Adir N.</t>
  </si>
  <si>
    <t>Refined structure of c-phycocyanin from the cyanobacterium Synechococcus vulcanus at 1.6 √Ö: Insights into the role of solvent molecules in thermal stability and co-factor structure</t>
  </si>
  <si>
    <t>S0005272802003596</t>
  </si>
  <si>
    <t>10.1016/S0005-2728(02)00359-6</t>
  </si>
  <si>
    <t>2-s2.0-0037010843</t>
  </si>
  <si>
    <t>SFB 480</t>
  </si>
  <si>
    <t>['trimeric photosystem', 'supercomplex consisting', 'spectroscopic properties', 'spectroscopic characterization', 'spectral properties', 'rights reserved', 'results suggest', 'one exciton', 'nature 412', 'isolated psi', 'isia light', 'isia complexes', 'iron starvation', 'harvesting complexes', 'fluorescence spectroscopy', 'efficient antenna', 'dependent absorption', 'cyanobacterium grown', 'coupled dimer', 'complex encircled', 'circular dichroism', 'absorption cross', '745 ].', '713 nm', '703 chlorophylls', '5 nm', '5 k', '17 chlorophyll', '100 %.']</t>
  </si>
  <si>
    <t>CP43‚Ä≤ | Photosystem I | PSI-IsiA | Synechococcus PCC 7942</t>
  </si>
  <si>
    <t>The cyanobacterium Synechococcus PCC 7942 grown under iron starvation assembles a supercomplex consisting of a trimeric Photosystem I (PSI) complex encircled by a ring of 18 CP43‚Ä≤ or IsiA light-harvesting complexes [Nature 412 (2001) 745]. Here we present a spectroscopic characterization by temperature-dependent absorption and fluorescence spectroscopy, site-selective fluorescence spectroscopy at 5 K, and circular dichroism of isolated PSI-IsiA, PSI and IsiA complexes from this cyanobacterium grown under iron starvation. The results suggest that the IsiA ring increases the absorption cross-section of PSI by about 100%. Each IsiA subunit binds about 16-17 chlorophyll a (Chl a) molecules and serves as an efficient antenna for PSI. Each of the monomers of the trimeric PSI complex contains two red chlorophylls, which presumably give rise to one exciton-coupled dimer and at 5 K absorb and fluoresce at 703 and 713 nm, respectively. The spectral properties of these C-703 chlorophylls are not affected by the presence of the IsiA antenna ring. The spectroscopic properties of the purified IsiA complexes are similar to those of the related CP43 complex from plants, except that the characteristic narrow absorption band of CP43 at 682.5 nm is missing in IsiA. ¬© 2002 Elsevier Science B.V. All rights reserved.</t>
  </si>
  <si>
    <t>265-272</t>
  </si>
  <si>
    <t>60008734;60005322;60008734;60008734;60005322;60008734;60008734</t>
  </si>
  <si>
    <t>6506783182;6506258952;15919469200;6508121646;6701913675;35599806700;7202457418</t>
  </si>
  <si>
    <t>Andrizhiyevskaya, Elena G.;Schwabe, Tatjana M.E.;Germano, Marta;D'Haene, Sandrine;Kruip, Jochen;Van Grondelle, Rienk;Dekker, Jan P.</t>
  </si>
  <si>
    <t>Netherlands;Germany</t>
  </si>
  <si>
    <t>Amsterdam;Bochum</t>
  </si>
  <si>
    <t>Vrije Universiteit Amsterdam;Ruhr-Universitat Bochum</t>
  </si>
  <si>
    <t>60008734;60005322</t>
  </si>
  <si>
    <t>Andrizhiyevskaya E.</t>
  </si>
  <si>
    <t>Spectroscopic properties of PSI-IsiA supercomplexes from the cyanobacterium Synechococcus PCC 7942</t>
  </si>
  <si>
    <t>S0005272802003717</t>
  </si>
  <si>
    <t>10.1016/S0005-2728(02)00371-7</t>
  </si>
  <si>
    <t>2-s2.0-0037010848</t>
  </si>
  <si>
    <t>['typically five', 'time scale', 'syn chlorophylls', 'strongly conserved', 'rights reserved', 'psi functioning', 'psi ),', 'protein matrix', 'one side', 'observation method', 'nonrandom manner', 'ligand bond', 'functional relevance', 'frequently bound', 'exert efficiently', 'energy funnelling', 'central magnesium', 'briefly addressed', 'binding sites', 'anti denote', 'anti chlorophylls', 'antenna complexes', '909 ],', '3 kj', '183 ].']</t>
  </si>
  <si>
    <t>Chlorophyll complex | Crystal structure | Diastereotopicity | Photosystem I | Sequence alignment</t>
  </si>
  <si>
    <t>The central magnesium (Mg) atoms of natural occurring tetrapyrroles such as chlorophylls (Chls) and bacteriochlorophylls (BChls) are typically five-coordinated, a fact which leads to the formation of diastereoisomers if the Mg-ligand bond is stable on the time scale of the observation method. This possibility has only been briefly addressed before in a CD-study of BChl c aggregates [T.S. Balaban, A.R. Holzwarth, K. Schaffner, J. Mol. Struct. 349 (1995) 183]. On the basis of the chlorophyll-protein complex photosystem I (PSI), which has recently been characterized by single crystal crystallography [P. Jordan, P. Fromme, H.T. Witt, O. Klukas, W. Saenger, N. KrauŒ≤, Nature 411 (2001) 909], we find that chlorophyll a molecules are much more frequently bound by the protein matrix from one side (anti) than the other one (syn) in a ratio of 82:14, which corresponds to a significant ŒîŒîG value of 4.3 kJ/mol. Syn and anti denote the orientation of the Mg-ligand with respect to the 17-propionic acid esterified by phytol. Furthermore, by parallel sequence analysis we find that the binding sites for both syn and anti chlorophylls have been strongly conserved during evolution - a fact which stresses the nonrandom manner in which chlorophylls are bound by the apoprotein in antenna complexes, in order to exert efficiently their light harvesting function and energy funnelling. Most remarkably, all the syn chlorophylls are part of the inner core antenna system. Results from semiempirical quantum mechanical and detailed exciton coupling calculations allow us to speculate on the functional relevance of the diasteretopicity for PSI functioning. ¬© 2002 Elsevier Science B.V. All rights reserved.</t>
  </si>
  <si>
    <t>197-207</t>
  </si>
  <si>
    <t>60027314;60011604-60003892;60072285;60026245;60072285</t>
  </si>
  <si>
    <t>7003334926;7003500276;35501122300;35452825700;55396155700</t>
  </si>
  <si>
    <t>Balaban, Teodor Silviu;Fromme, Petra;Holzwarth, Alfred R.;Krau√ü, Norbert;Prokhorenko, Valentin I.</t>
  </si>
  <si>
    <t>Germany;Germany;Germany;Germany;United States</t>
  </si>
  <si>
    <t>Mulheim an der Ruhr;Eggenstein-Leopoldshafen;Berlin;Berlin;Tempe</t>
  </si>
  <si>
    <t>Max Planck Institute for Chemical Energy Conversion;Karlsruhe Institute of Technology, Campus North;Charit√© ‚Äì Universit√§tsmedizin Berlin;Technical University of Berlin;Arizona State University</t>
  </si>
  <si>
    <t>60072285;60027314;60026245;60011604;60003892</t>
  </si>
  <si>
    <t>Balaban T.</t>
  </si>
  <si>
    <t>Relevance of the diastereotopic ligation of magnesium atoms of chlorophylls in Photosystem I</t>
  </si>
  <si>
    <t>S0005272802003638</t>
  </si>
  <si>
    <t>10.1016/S0005-2728(02)00363-8</t>
  </si>
  <si>
    <t>2-s2.0-0037010866</t>
  </si>
  <si>
    <t>['specific role', 'rights reserved', 'purple non', 'purified light', 'purified lh2', 'prior hypothesis', 'previous studies', 'photosynthetic bacteria', 'phospholipid content', 'phospholipid composition', 'pg associated', 'major phospholipid', 'major components', 'major change', 'host membranes', 'grown photosynthetically', 'grown aerobically', 'findings contrast', 'corresponding reductions', 'contained 16', 'anaerobic conditions', 'aerobic cells', '5 %.', '5 %).', '49 %),', '42 %)', '339 ].', '33 %,', '24 %)', '20 %)', '15 %).', '1 present', '1 increased', '0 decreased']</t>
  </si>
  <si>
    <t>Antenna complex | Fatty acid | Light harvesting complex | Phospholipid | Photosynthetic bacterium | Purple non-sulfur bacterium | Rhodopseudomonas acidophila</t>
  </si>
  <si>
    <t>The phospholipid composition of Rhodopseudomonas acidophila strain 10050 grown aerobically or anaerobically in the light was determined. The major phospholipids present in the aerobic cells were phosphatidylethanolamine (PE; 54%), phosphatidylglycerol (PG; 24%) and cardiolipin (diphosphatidylglycerol, DPG) (14%), together with phosphatidylcholine (PC; 5%). On moving the cells to anaerobic photosynthetic growth in the light PE remained the major phospholipid (37-49%), but there was a major change in the proportion of PC, which increased to 31-33%, and corresponding reductions in the contents of PG to 11-16% and DPG to 4-5%. The fatty acid composition of the phospholipids was unusual, compared with other purple non-sulfur photosynthetic bacteria, in that it contained 16:0 (29%), 17:1 (20%) and 19:1 (9%) plus several mainly unsaturated 2-OH fatty acids (9% total) as major components, when grown aerobically in the dark. In contrast when grown photosynthetically under anaerobic conditions there was &lt;2% 17:1 or 19:1 present, while the amounts of 16:1 and 18:1 increased, and 16:0 decreased. The phospholipid composition of the purified light-harvesting complex 2 (LH2) complex was PE (43%), PC (42%) and DPG (15%). Unexpectedly, there was no PG associated with the purified LH2. These findings contrast with previous studies on several other photosynthetic bacteria, which had shown an increase in PG upon photosynthetic growth [Biochem. J. 181 (1979) 339]. The prior hypothesis that phosphatidyglycerol has some specific role to play in the function of light-harvesting complexes cannot be true for Rps. acidophila. It is suggested that specific integral membrane proteins may strongly influence the phospholipid content of the host membranes into which they are inserted. ¬© 2002 Elsevier Science B.V. All rights reserved.</t>
  </si>
  <si>
    <t>247-253</t>
  </si>
  <si>
    <t>60015150;60015150;60001490;60001490;60001490</t>
  </si>
  <si>
    <t>7201812959;7402803346;57214572791;57190852059;7006465617</t>
  </si>
  <si>
    <t>Russell, Nicholas J.;Coleman, Julie K.;Howard, Tina D.;Johnston, Evelyn;Cogdell, Richard J.</t>
  </si>
  <si>
    <t>London;Glasgow</t>
  </si>
  <si>
    <t>Imperial College London;University of Glasgow</t>
  </si>
  <si>
    <t>60015150;60001490</t>
  </si>
  <si>
    <t>Russell N.</t>
  </si>
  <si>
    <t>Rhodopseudomonas acidophila strain 10050 contains photosynthetic LH2 antenna complexes that are not enriched with phosphatidylglycerol, and the phospholipids have a fatty acyl composition that is unusual for purple non-sulfur bacteria</t>
  </si>
  <si>
    <t>S0005272802003699</t>
  </si>
  <si>
    <t>10.1016/S0005-2728(02)00369-9</t>
  </si>
  <si>
    <t>2-s2.0-0037010884</t>
  </si>
  <si>
    <t>['stokes modes', 'rights reserved', 'optical mode', 'nonlinear effect', 'frequency œâm', 'frequency œâ1', 'certain threshold']</t>
  </si>
  <si>
    <t>We present the analysis of a nonlinear effect of parametric oscillatory instability in power recycled LIGO interferometer with the Fabry-Perot (FP) cavities in the arms. The basis for this effect is the excitation of the additional (Stokes) optical mode with frequency œâ1 and the mirror elastic mode with frequency œâm, when the optical energy stored in the main FP cavity mode with frequency œâ0 exceeds the certain threshold and the frequencies are related as œâ0 ‚âÉ œâ1 + œâm. The presence of anti-Stokes modes (with frequency œâ1a ‚âÉ œâ0 + œâm) can depress parametric instability. However, it is very likely that the anti-Stokes modes will not compensate the parametric instability completely. ¬© 2002 Elsevier Science B.V. All rights reserved.</t>
  </si>
  <si>
    <t>111-124</t>
  </si>
  <si>
    <t>7003908077;6506214593;6603764661</t>
  </si>
  <si>
    <t>Braginsky, V. B.;Strigin, S. E.;Vyatchanin, S. P.</t>
  </si>
  <si>
    <t>Analysis of parametric oscillatory instability in power recycled LIGO interferometer</t>
  </si>
  <si>
    <t>S0375960102013579</t>
  </si>
  <si>
    <t>10.1016/S0375-9601(02)01357-9</t>
  </si>
  <si>
    <t>2-s2.0-0037010918</t>
  </si>
  <si>
    <t>['trimeric form', 'time course', 'superoxide anions', 'specific sites', 'singlet oxygen', 'requiring hours', 'nh2 region', 'much slower', 'monomeric form', 'minor antenna', 'mediated degradation', 'mass spectrometry', 'major proteins', 'longer time', 'lived species', 'leaves exposed', 'isolated proteins', 'isolated light', 'hydrophilic portion', 'highly sensitive', 'harvesting proteins', 'd1 protein', 'completely fragmented']</t>
  </si>
  <si>
    <t>This paper presents evidence for light-mediated degradation of isolated light-harvesting proteins (Lhc2) and involvement of oxygen free radicals in the process. The time course of light harvesting photodestruction is much slower than that of D1 protein (requiring hours for complete breakdown). By use of mass spectrometry and amino acid sequencing, it has been revealed that the primary cleavages take place in the hydrophilic portion of the NH2 region where oxygen-containing radicals attack randomly and not at specific sites. Moreover, these chlorophyll binding proteins are completely fragmented. From the effectiveness of scavengers and the preliminary electron paramagnetic resonance measurements reported, it appears that singlet oxygen is involved as a short-lived species, and hydroxyl and alkoxyl radicals act at higher light intensity or over a longer time, whereas hydrogen peroxide and superoxide anions are not observed. Antenna proteins appear more resistance to photodestruction in their monomeric form than in trimeric form, while minor antenna are highly sensitive. However, the organization of both minor and major proteins in the photosystem II supracomplex affords some photoprotection. Interestingly, leaves exposed to strong light contained degraded major antenna, unlike those kept in the dark, which is consistent with studies on the illumination of isolated proteins, supporting the hypothesis that active oxygen species play a role in vivo in the short-term acclimative adaptation of plants.</t>
  </si>
  <si>
    <t>14391-14402</t>
  </si>
  <si>
    <t>60050715;60050715</t>
  </si>
  <si>
    <t>7004750167;8073989000</t>
  </si>
  <si>
    <t>Zolla, Lello;Rinalducci, Sara</t>
  </si>
  <si>
    <t>Viterbo</t>
  </si>
  <si>
    <t>Universit√† degli Studi della Tuscia Viterbo</t>
  </si>
  <si>
    <t>Involvement of active oxygen species in degradation of light-harvesting proteins under light stresses</t>
  </si>
  <si>
    <t>10.1021/bi0265776</t>
  </si>
  <si>
    <t>2-s2.0-0037015995</t>
  </si>
  <si>
    <t>['triplet route', 'soret band', 'porphyrin derivative', 'new perspective', 'nanoporous materials', 'efficient .....', 'designs based', 'charge separation']</t>
  </si>
  <si>
    <t>Efficient..... Results on a smooth anatase TiO2 film spin-coated with a palladium-porphyrin derivative, which show that triplet states formed many monolayers from the interface can diffuse to it and undergo interfacial charge transfer, resulting in a charge-separation efficiency per incident photon in excess of 10% for irradiation in the Soret band are presented. Optimization of this triplet-sensitization route could open up new perspective for simple bilayer structures in practical photovoltaic devices. It is believed that activation of the triplet route to charge separation, and the resulting high charge-separation efficiencies achievable, could make simple bilayer semiconductor/antenna photovoltaic device structures competitive with designs based on nanoporous materials.</t>
  </si>
  <si>
    <t>1760-1763</t>
  </si>
  <si>
    <t>Advanced Materials</t>
  </si>
  <si>
    <t>60006288;60006288;60006288</t>
  </si>
  <si>
    <t>7005156904;7003947790;6701512912</t>
  </si>
  <si>
    <t>Warman, J. M.;Kroeze, J. E.;Savenije, T. J.</t>
  </si>
  <si>
    <t>Warman J.</t>
  </si>
  <si>
    <t>Efficient charge separation in a smooth-TiO&lt;inf&gt;2&lt;/inf&gt;/palladium-porphyrin bilayer via long-distance triplet-state diffusion</t>
  </si>
  <si>
    <t>10.1002/1521-4095(20021203)14:23&lt;1760::AID-ADMA1760&gt;3.0.CO;2-B</t>
  </si>
  <si>
    <t>2-s2.0-0037016221</t>
  </si>
  <si>
    <t>['stringent specifications', 'station antenna', 'single feed', 'simultaneously shaping', 'shaping one', 'reflector surfaces', 'offset paraboloid', 'obtained either', 'main reflector', 'gregorian configurations', 'efficiency ground', 'coverage specifications', 'antennas fed']</t>
  </si>
  <si>
    <t>Satellite antennas | Shaped reflector</t>
  </si>
  <si>
    <t>Dual-shaped reflector antennas have applications in satellite communications systems in which the highest antenna gain and stringent specifications on cross-polarization are required. For antennas fed by a single feed, the radiation pattern control is obtained either by shaping one of the reflectors or by simultaneously shaping both reflector surfaces. In this paper, we explore the design of Gregorian configurations where the main reflector is an offset paraboloid and the subreflector is shaped so as to attain the coverage specifications. By considering the specifications for a high-efficiency ground-station antenna and a contoured beam antenna, two design examples are presented.</t>
  </si>
  <si>
    <t>408-412</t>
  </si>
  <si>
    <t>60032361;60040968</t>
  </si>
  <si>
    <t>7203025842;6506089394</t>
  </si>
  <si>
    <t>Bergmann, J. R.;Palma Pereira, L. C.</t>
  </si>
  <si>
    <t>Campinas;Rio de Janeiro</t>
  </si>
  <si>
    <t>CPqD Telecom and IT Solutions;Pontif√≠cia Universidade Cat√≥lica do Rio de Janeiro</t>
  </si>
  <si>
    <t>60040968;60032361</t>
  </si>
  <si>
    <t>Bergmann J.</t>
  </si>
  <si>
    <t>Radiation pattern control by subreflector shaping in a dual-reflector antenna</t>
  </si>
  <si>
    <t>10.1002/mop.10621</t>
  </si>
  <si>
    <t>2-s2.0-0037027907</t>
  </si>
  <si>
    <t>['support modes', 'shaped structure', 'shaped antenna', 'resonant modes', 'resonant frequencies', 'proper location', 'magnetic walls', 'ie3d software', 'good agreement', 'experimental results', 'designed antennas', 'coaxial feed', 'band operation', 'analyzed using', '57 mm', '5 ghz']</t>
  </si>
  <si>
    <t>H-shaped | Microstrip antennas | Miniature antennas | Multiband</t>
  </si>
  <si>
    <t>In this paper, a multi-band compact H-shaped microstrip antenna is studied. The resonant modes of the H-shaped structure are analyzed using the concept of electric and magnetic walls at the planes of symmetry. A flexible design approach that allows the pre-selection of the resonant frequencies of the antenna is described. Approximate design equations and curves are introduced and validated by simulated and experimental results. An H-shaped antenna is designed to support modes with resonance at 2.2, 2.8, 3, and 5 GHz. It is shown that dual-, triple-, or quad-band operation is possible by the proper location of a coaxial feed. Such antennas are implemented on duroid dielectric substrate with Œµr = 2.2 and h = 1.57 mm. The designed antennas are simulated by IE3D software and a good agreement with experimental results is demonstrated.</t>
  </si>
  <si>
    <t>363-367</t>
  </si>
  <si>
    <t>60013183;60005916;60038812</t>
  </si>
  <si>
    <t>7003530694;6506215557;35581830600</t>
  </si>
  <si>
    <t>Sheta, Abdel Fattah;Mohra, Ashraf;Mahmoud, Samir F.</t>
  </si>
  <si>
    <t>Kuwait;Saudi Arabia;Egypt</t>
  </si>
  <si>
    <t>Kuwait City;Riyadh;Cairo</t>
  </si>
  <si>
    <t>Kuwait University;King Saud University;Electronics Research Institute of Cairo</t>
  </si>
  <si>
    <t>60038812;60013183;60005916</t>
  </si>
  <si>
    <t>Sheta A.</t>
  </si>
  <si>
    <t>Multi-band operation of a compact H-shaped microstrip antenna</t>
  </si>
  <si>
    <t>10.1002/mop.10608</t>
  </si>
  <si>
    <t>2-s2.0-0037027910</t>
  </si>
  <si>
    <t>['rayleigh region', 'planar surface', 'paper presents', 'biological samples']</t>
  </si>
  <si>
    <t>Biological effects of electromagnetic wave | Microwave irradiation | Patch antennas</t>
  </si>
  <si>
    <t>This paper presents an open radiating structure composed of two patch antennas in their main radiation mode working in the near-field or Rayleigh region. We describe how the structure was built and our simulations and measurements have proven the performance of the irradiator. The radiating structure must radiate uniformly on a planar surface to ease the radiation of biological samples.</t>
  </si>
  <si>
    <t>389-393</t>
  </si>
  <si>
    <t>60028442;60028442;60001741;60001741;60001741;60001741</t>
  </si>
  <si>
    <t>6602443969;6604020091;6603491449;6603262783;6506867245;6602370046</t>
  </si>
  <si>
    <t>Gonz√°lez-Posadas, V.;Rodr√≠guez Mart√≠n, J. M.;Segovia-Vargas, D.;Rajo-Iglesias, E.;V√°zquez-Roy, J. L.;Mart√≠n-Pascual, C.</t>
  </si>
  <si>
    <t>Universidad Polit√©cnica de Madrid;Universidad Carlos III de Madrid</t>
  </si>
  <si>
    <t>60028442;60001741</t>
  </si>
  <si>
    <t>Gonz√°lez-Posadas V.</t>
  </si>
  <si>
    <t>Irradiating micro-organisms on floors with a focalised structure composed of two patch antennas</t>
  </si>
  <si>
    <t>10.1002/mop.10616</t>
  </si>
  <si>
    <t>2-s2.0-0037027917</t>
  </si>
  <si>
    <t>['wire length', 'wire compression', 'similar geometry', 'primary factors', 'outline shape', 'multiband behavior', 'geometric details']</t>
  </si>
  <si>
    <t>Fractal antennas | Fractals | Monopole antennas | Multiband antennas</t>
  </si>
  <si>
    <t>In this paper, the multiband behavior of the Koch fractal monopole is considered as a function of its self-similar geometry, height, and wire length. It is demonstrated that the outline shape and wire compression of its self-similar geometry are primary factors in determining its multiband behavior. However, this behavior is not unique to the geometric details of the self-similar fractal geometry.</t>
  </si>
  <si>
    <t>On the multiband behavior of the Koch fractal monopole antenna</t>
  </si>
  <si>
    <t>10.1002/mop.10610</t>
  </si>
  <si>
    <t>2-s2.0-0037027925</t>
  </si>
  <si>
    <t>['measured signal', 'amplitude distribution']</t>
  </si>
  <si>
    <t>Antenna measurement | Mode-stirred chamber | Multimode chamber | Reverberation chamber</t>
  </si>
  <si>
    <t>In standard reverberation chambers the measured signal have a Rayleigh distributed amplitude over different stirrer positions. In this paper, a method is presented by which the amplitude distribution can be varied from Rayleigh to Gauss, by introduction of a constant signal component. Thereby, the chamber can better simulate real mobile communication signal environments.</t>
  </si>
  <si>
    <t>376-377</t>
  </si>
  <si>
    <t>Hallbj√∂rner, Paul</t>
  </si>
  <si>
    <t>Hallbj√∂rner P.</t>
  </si>
  <si>
    <t>Reverberation chamber with variable received signal amplitude distribution</t>
  </si>
  <si>
    <t>10.1002/mop.10612</t>
  </si>
  <si>
    <t>2-s2.0-0037027929</t>
  </si>
  <si>
    <t>['several examples', 'scattering coefficients', 'minimum directivity']</t>
  </si>
  <si>
    <t>Directional couplers | Multihole | Scattering coefficient</t>
  </si>
  <si>
    <t>In this paper, a technique to minimize the variability of the scattering coefficients in multihole directional couplers is shown. The technique also controls important features of the frequency response like bandwidth and minimum directivity. Several examples are presented to show the method's capabilities.</t>
  </si>
  <si>
    <t>412-413</t>
  </si>
  <si>
    <t>6602260861;7003391894;7006865572</t>
  </si>
  <si>
    <t>Vicente-Lozano, M.;Rodr√≠guez-Gonz√°lez, J. A.;Ares-Pena, F.</t>
  </si>
  <si>
    <t>Minimizing the variability of scattering coefficients in multihole directional couplers</t>
  </si>
  <si>
    <t>10.1002/mop.10622</t>
  </si>
  <si>
    <t>2-s2.0-0037027941</t>
  </si>
  <si>
    <t>['upper limits', 'rights reserved', 'mass energy', 'mass energies', 'l3 detector', 'investigating hadronic', 'data collected', '634 pb', '209 gev']</t>
  </si>
  <si>
    <t>Single top production in e+e- annihilations is searched for in data collected by the L3 detector at centre-of-mass energies from 189 to 209 GeV, corresponding to a total integrated luminosity of 634 pb-1. Investigating hadronic and semileptonic top decays, no evidence of single top production at LEP is obtained and upper limits on the single top cross section as a function of the centre-of-mass energy are derived. Limits on possible anomalous couplings, as well as on the scale of contact interactions responsible for single top production are determined. ¬© 2002 Elsevier Science B.V. All rights reserved.</t>
  </si>
  <si>
    <t>290-300</t>
  </si>
  <si>
    <t>60004718;60113678;60005233;60019778-60005233;60000239;60019778;60017293;60017293;60025858;60007566-60014977;60028218;60018710;60025778;60031855-60019778;60021660;60005233;60010339;60010339;60002483;60031855;60025171;60020195-60025858;60019778;60000239;60028218;60009254;60003003;60000239;60113678;60022195;60025858;60113678;60025778;60005233;60022195;60003003;60025858;60003003;60017293;60025858;60025171;60027950;60002483;60016653;60027811;60021660;60113678;60025858;60004718;60004718;60030612;60025171;60022195;60003003;60022195;60022195;60028218;60017293;60113678;60005233;60021660;60020919;60003003;60005233;60004718;60024666;60023578;60024666;60027631;60027631;60104439;60027631;60017293;60007061;60028218;60022195;60029526;60025171;60005233;60021660;60005233;60003003;60002573;60017293;60004718;60027811;60025171;60010339;60020195;60017293;60004718;60003269;60021660;60025858;60021660;60002483;60021660;60019778-60025858;60017293;60028628</t>
  </si>
  <si>
    <t>8085824200;55995338000;7005891607;35226936500;35226938100;7005773195;55667348900;35226969700;7006757629;35226943900;7007171672;35226957300;35226957000;7102677255;7005281007;35226945400;35226947700;35285457200;35226951700;57220783260;57220783223;57206293331;35226941800;35278210200;36039531600;7004266068;7006819163;57213771696;7005767090;35226954400;35226968700;35226924200;57207899105;35226982000;35227012400;35226994400;35226985800;34767905500;7003560254;35351513200;35227005800;9843572400;35227000800;57195925865;55155383300;7007048697;7003472524;57216593841;35876701500;35225713700;56448168000;35227018400;35352197500;55439365900;35227001900;35227003900;7005616225;56284115800;35227058000;35227047800;56272810500;35227037600;35227087600;35227074900;35227091800;36760341300;35227091600;57199466377;36151932100;56896268700;12790197100;36107651800;35227076000;7102282953;36037418800;35227095900;35227100400;7004915931;35227099300;35227035000;57195925698;8087799700;57195925922;7006360645;35227133800;7003351454;56532607100;35227173000;7007049847;35227141100;6603722768;57203012982;35227138100;35227178400;7005282801;6603927133;35227173600;8046919200;37085052200;35276889300</t>
  </si>
  <si>
    <t>Achard, P.;Adriani, O.;Aguilar-Benitez, M.;Alcaraz, J.;Alemanni, G.;Allaby, J.;Aloisio, A.;Alviggi, M. G.;Anderhub, H.;Andreev, V. P.;Anselmo, F.;Arefiev, A.;Azemoon, T.;Aziz, T.;Bagnaia, P.;Bajo, A.;Baksay, G.;Baksay, L.;Baldew, S. V.;Banerjee, S.;Banerjee, Sw;Barczyk, A.;Barill√©re, R.;Bartalini, P.;Basile, M.;Batalova, N.;Battiston, R.;Bay, A.;Becattini, F.;Becker, U.;Behner, F.;Bellucci, L.;Berbeco, R.;Berdugo, J.;Berges, P.;Bertucci, B.;Betev, B. L.;Biasini, M.;Biglietti, M.;Biland, A.;Blaising, J. J.;Blyth, S. C.;Bobbink, G. J.;B?hm, A.;Boldizsar, L.;Borgia, B.;Bottai, S.;Bourilkov, D.;Bourquin, M.;Braccini, S.;Branson, J. G.;Brochu, F.;Burger, J. D.;Burger, W. J.;Cai, X. D.;Capell, M.;Cara Romeo, G.;Carlino, G.;Cartacci, A.;Casaus, J.;Cavallari, F.;Cavallo, N.;Cecchi, C.;Cerrada, M.;Chamizo, M.;Chang, Y. H.;Chemarin, M.;Chen, A.;Chen, G.;Chen, G. M.;Chen, H. F.;Chen, H. S.;Chiefari, G.;Cifarelli, L.;Cindolo, F.;Clare, I.;Clare, R.;Coignet, G.;Colino, N.;Costantini, S.;de laCruz, B.;Cucciarelli, S.;van Dale, J. A.;de Asmundis, R.;D√©glon, P.;Debreczeni, J.;Degr√©, A.;Dehmelt, K.;Deiters, K.;della Volpe, D.;Delmeire, E.;Denes, P.;DeNotaristefani, F.;De Salvo, A.;Diemoz, M.;Dierckxsens, M.;Dionisi, C.;Dittmar, M.;Doria, A.;Dova, M. T.</t>
  </si>
  <si>
    <t>Italy;Taiwan;India;United States;United States;United States;Italy;United States;Hungary;China;Switzerland;United States;France;Taiwan;France;United States;Italy;Italy;Switzerland;Switzerland;Russian Federation;Italy;Germany;Russian Federation;United States;United States;United States;Italy;Spain;Switzerland;United States;Italy;Netherlands;Netherlands;Switzerland</t>
  </si>
  <si>
    <t>Sesto Fiorentino;Taipei;Mumbai;San Diego;Riverside;Boston;Bologna;Pittsburgh;Budapest;Beijing;Zurich ZH,;Ann Arbor;Annecy;Taoyuan;Villeurbanne;Cambridge;Rome;Potenza;Villigen;Geneva;Moscow;Naples;Aachen;Gatchina;Melbourne;West Lafayette;Baton Rouge;Salerno;Madrid;Geneva;Princeton;Perugia;Nijmegen;Amsterdam;Lausanne</t>
  </si>
  <si>
    <t>Istituto Nazionale di Fisica Nucleare, Sezione di Firenze;China University of Science and Technology;Tata Institute of Fundamental Research, Mumbai;University of California, San Diego;University of California, Riverside;Northeastern University;Alma Mater Studiorum Universit√† di Bologna;Carnegie Mellon University;Magyar Tudomanyos Akademia;Institute of High Energy Physics Chinese Academy of Science;ETH Zurich;University of Michigan, Ann Arbor;Laboratoire d'Annecy-le-Vieux de Physique des Particules LAPP;National Central University;Universit√© Claude Bernard Lyon 1;Massachusetts Institute of Technology;Istituto Nazionale di Fisica Nucleare - INFN;Universit√† degli Studi della Basilicata;Paul Scherrer Institut;European Organization for Nuclear Research;Alikhanov Institute for Theoretical and Experimental Physics;Universit√† degli Studi di Napoli Federico II;Rheinisch-Westf√§lische Technische Hochschule Aachen;Petersburg Nuclear Physics Institute (PNPI);Florida Institute of Technology;Purdue University;Louisiana State University;Universit√† degli Studi di Salerno;Centro de Investigaciones Energeticas, Medioambientales y Tecnologicas;Universit√© de Gen√®ve;Princeton University;Universit√† degli Studi di Perugia;Radboud University Nijmegen Medical Centre;Universiteit van Amsterdam;Universit√© de Lausanne (UNIL)</t>
  </si>
  <si>
    <t>60113678;60104439;60031855;60030612;60029526;60028628;60028218;60027950;60027811;60027631;60025858;60025778;60025171;60024666;60023578;60022195;60021660;60020919;60020195;60019778;60018710;60017293;60016653;60014977;60010339;60009254;60007566;60007061;60005233;60004718;60003269;60003003;60002573;60002483;60000239</t>
  </si>
  <si>
    <t>Achard P.</t>
  </si>
  <si>
    <t>Search for single top production at LEP</t>
  </si>
  <si>
    <t>S0370269302029337</t>
  </si>
  <si>
    <t>10.1016/S0370-2693(02)02933-7</t>
  </si>
  <si>
    <t>2-s2.0-0037027981</t>
  </si>
  <si>
    <t>['speeds convergence', 'optimisation process', 'mutation parameters', 'genetic algorithm', 'adaptively toggling']</t>
  </si>
  <si>
    <t>A genetic algorithm that speeds convergence for phased array phase-only synthesis by adaptively toggling between nine mutation parameter pairs is illustrated. This adaptive algorithm outperforms any of the corresponding nine static cases where these same mutation parameters are held constant throughout the optimisation process.</t>
  </si>
  <si>
    <t>1618-1619</t>
  </si>
  <si>
    <t>6603613673;55925714300</t>
  </si>
  <si>
    <t>Boeringer, D. W.;Werner, D. H.</t>
  </si>
  <si>
    <t>Boeringer D.</t>
  </si>
  <si>
    <t>Adaptive mutation parameter toggling generic algorithm for phase-only array synthesis</t>
  </si>
  <si>
    <t>10.1049/el:20021149</t>
  </si>
  <si>
    <t>2-s2.0-0037028206</t>
  </si>
  <si>
    <t>['proposed antenna', 'fed using', 'easily constructed', 'designed antenna', 'dcs systems']</t>
  </si>
  <si>
    <t>By introducing an extended conductor line to a rectangular meander monopole, a novel compact dual-frequency monopole antenna is proposed. The proposed antenna is fed using a 50 Œ© CPW transmission line, is printed in a single metal layer, and therefore is easily constructed. The designed antenna can operate at 900 and 1800 MHz bands and provide sufficient bandwidths for the GSM and DCS systems, respectively.</t>
  </si>
  <si>
    <t>1622-1624</t>
  </si>
  <si>
    <t>Chen, Horng Dean</t>
  </si>
  <si>
    <t>Compact CPW-fed dual-frequency monopole antenna</t>
  </si>
  <si>
    <t>10.1049/el:20021117</t>
  </si>
  <si>
    <t>2-s2.0-0037028214</t>
  </si>
  <si>
    <t>['novel closed', 'new architecture', 'fully utilised']</t>
  </si>
  <si>
    <t>A novel closed-loop MIMO architecture is proposed, in which channel state information is fully utilised to maximise channel capacity. Simulation results show that compared with V-BLAST, it can achieve much better performance while maintaining the same high spectral efficiency. Nearly 5 dB gain can be provided by this new architecture over V-BLAST.</t>
  </si>
  <si>
    <t>1718-1720</t>
  </si>
  <si>
    <t>8870191800;7404165116;7202081622;7403567490</t>
  </si>
  <si>
    <t>Dai, Lin;Zhou, Shi Dong;Zhuang, Hai Ruo;Yao, Yan</t>
  </si>
  <si>
    <t>Closed-loop MIMO architecture based on water-filling</t>
  </si>
  <si>
    <t>10.1049/el:20021115</t>
  </si>
  <si>
    <t>2-s2.0-0037028217</t>
  </si>
  <si>
    <t>['time processing', 'significant use', 'proposed algorithm', 'numerically evaluated', 'key idea', 'joint polarisation']</t>
  </si>
  <si>
    <t>A new adaptive radar target detection algorithm which is of significant use in nonhomogeneous clutter environments is developed. The key idea of the proposed algorithm is that the degree of freedom is controlled to avoid a serious detection loss due to limited secondary data vectors, while maintaining high performance of the joint polarisation-space-time processing. The performance of the proposed algorithm is numerically evaluated to illustrate its efficiency in limited secondary data environments.</t>
  </si>
  <si>
    <t>1714-1715</t>
  </si>
  <si>
    <t>60080732;60080732;60030551</t>
  </si>
  <si>
    <t>12244433600;57209937346;7501735507</t>
  </si>
  <si>
    <t>Park, Hyung Rae;Kwak, Young Gil;Wang, Hong</t>
  </si>
  <si>
    <t>Goyang;Syracuse</t>
  </si>
  <si>
    <t>Korea Aerospace University;Syracuse University</t>
  </si>
  <si>
    <t>60080732;60030551</t>
  </si>
  <si>
    <t>Park H.</t>
  </si>
  <si>
    <t>Efficient joint polarisation-space-time processor for nonhomogeneous clutter environments</t>
  </si>
  <si>
    <t>10.1049/el:20021116</t>
  </si>
  <si>
    <t>2-s2.0-0037028222</t>
  </si>
  <si>
    <t>['reciprocity theorem', 'measured data', 'exact green', 'equivalent circuit', 'calculated results', 'antenna structure']</t>
  </si>
  <si>
    <t>The analysis of a cross-slot-coupled circular microstrip antenna is presented. The approach is based on the reciprocity theorem and the exact Green's functions for the antenna structure. The equivalent circuit of the antenna was obtained. The calculated results for antenna input impedance were compared with the measured data.</t>
  </si>
  <si>
    <t>1619-1621</t>
  </si>
  <si>
    <t>60018735;60018735;60018735</t>
  </si>
  <si>
    <t>36985128100;35612132800;6701919222</t>
  </si>
  <si>
    <t>Murakami, Y.;Sekine, S.;Shoki, H.</t>
  </si>
  <si>
    <t>Murakami Y.</t>
  </si>
  <si>
    <t>Analysis of cross-slot-coupled circular microstrip antenna</t>
  </si>
  <si>
    <t>10.1049/el:20021181</t>
  </si>
  <si>
    <t>2-s2.0-0037028223</t>
  </si>
  <si>
    <t>['various attempts', 'pyramidal waveguide', 'order mode', 'numerical comparison', 'assumptions made', 'also presented']</t>
  </si>
  <si>
    <t>Various attempts to determine the eigenvalues of a pyramidal waveguide and the assumptions made in each case are described. Numerical comparison between the eigenvalues for the lowest-order mode is also presented.</t>
  </si>
  <si>
    <t>1685-1686</t>
  </si>
  <si>
    <t>60000705;60070813</t>
  </si>
  <si>
    <t>7103051886;56260300500</t>
  </si>
  <si>
    <t>Hamid, M.;Hamid, A. K.</t>
  </si>
  <si>
    <t>Sharjah;Mobile</t>
  </si>
  <si>
    <t>University of Sharjah;University of South Alabama</t>
  </si>
  <si>
    <t>60070813;60000705</t>
  </si>
  <si>
    <t>Hamid M.</t>
  </si>
  <si>
    <t>Eigenvalues of pyramidal waveguides</t>
  </si>
  <si>
    <t>10.1049/el:20021166</t>
  </si>
  <si>
    <t>2-s2.0-0037028232</t>
  </si>
  <si>
    <t>['rank distribution', 'rank criterion', 'proposed codes', 'orthogonal space', 'new non', 'determinant criterion']</t>
  </si>
  <si>
    <t>New non-orthogonal space-time block codes for three transmit antennas are proposed, achieving throughput rates larger than those of currently known orthogonal designs. The proposed codes are found through a code search based on the rank criterion, determinant criterion and rank distribution.</t>
  </si>
  <si>
    <t>1689-1691</t>
  </si>
  <si>
    <t>60014171;60020547</t>
  </si>
  <si>
    <t>7006287363;8396631300</t>
  </si>
  <si>
    <t>Uysal, M.;Georghiades, C. N.</t>
  </si>
  <si>
    <t>College Station;Waterloo</t>
  </si>
  <si>
    <t>Texas A&amp;M University;University of Waterloo</t>
  </si>
  <si>
    <t>60020547;60014171</t>
  </si>
  <si>
    <t>Uysal M.</t>
  </si>
  <si>
    <t>Non-orthogonal space-time block codes for 3TX antennas</t>
  </si>
  <si>
    <t>10.1049/el:20021153</t>
  </si>
  <si>
    <t>2-s2.0-0037028233</t>
  </si>
  <si>
    <t>['receiver side', 'polarised antennas', 'input multiple', 'certain environments']</t>
  </si>
  <si>
    <t>The access to multiple-input multiple-output channels usually involves spatially separated antennas of the same polarisation at the transmitter and the receiver side. The potential of dual-polarised antennas in mobile radio systems, which avoid undesired antenna spacings and promise increased system performance for certain environments, is considered.</t>
  </si>
  <si>
    <t>1730-1732</t>
  </si>
  <si>
    <t>57214398368;35619471700</t>
  </si>
  <si>
    <t>Degen, C.;Keusgen, W.</t>
  </si>
  <si>
    <t>Degen C.</t>
  </si>
  <si>
    <t>Performance of polarisation multiplexing in mobile radio systems</t>
  </si>
  <si>
    <t>10.1049/el:20021118</t>
  </si>
  <si>
    <t>2-s2.0-0037028239</t>
  </si>
  <si>
    <t>['tunability using', 'periodic structures']</t>
  </si>
  <si>
    <t>A technique for designing reconfigurable frequency selective surfaces using microelectromechanical systems (MEMS) technology is presented. A method of moments simulation technique for analysing these periodic structures has been used to predict the tunability using this technique. Fabricated and measured results verify the concept of tunability.</t>
  </si>
  <si>
    <t>1627-1628</t>
  </si>
  <si>
    <t>6602455875;55795981300;7102110120;7006009187</t>
  </si>
  <si>
    <t>Gianvittorio, J. P.;Zendejas, J.;Rahmat-Samii, Y.;Judy, J.</t>
  </si>
  <si>
    <t>Reconfigurable MEMS-enabled frequency selective surfaces</t>
  </si>
  <si>
    <t>10.1049/el:20021157</t>
  </si>
  <si>
    <t>2-s2.0-0037028245</t>
  </si>
  <si>
    <t>['multiband behaviour', 'initiator changes']</t>
  </si>
  <si>
    <t>A method for decreasing the height of a fractal Sierpinski monopole is presented. The method is based on the construction of a wire Sierpinski monopole with a Koch island loop as initiator. This initiator changes the perimeter of the gasket while preserving the multiband behaviour and the radiation power pattern characteristics of the conventional Sierpinski gasket.</t>
  </si>
  <si>
    <t>1628-1630</t>
  </si>
  <si>
    <t>60007592-60016688;60007592-60016688</t>
  </si>
  <si>
    <t>6603416244;56883021900</t>
  </si>
  <si>
    <t>Gonz√°lez-Arbes√∫, J. M.;Romeu, J.</t>
  </si>
  <si>
    <t>Castelldefels;Barcelona</t>
  </si>
  <si>
    <t>Centre Tecnol√≥gic de Telecomunicacions de Catalunya;Universitat Polit√®cnica de Catalunya</t>
  </si>
  <si>
    <t>60016688;60007592</t>
  </si>
  <si>
    <t>Gonz√°lez-Arbes√∫ J.</t>
  </si>
  <si>
    <t>Size-reduction of pre-fractal Sierpinski monopole antenna</t>
  </si>
  <si>
    <t>10.1049/el:20021150</t>
  </si>
  <si>
    <t>2-s2.0-0037028256</t>
  </si>
  <si>
    <t>['time processing', 'polarisation diversity', '5 db', '2rx antennas']</t>
  </si>
  <si>
    <t>Outdoor physical layer performance results are presented for a proposed 4G coded orthogonal frequency division multiplexing (COFDM) system. The transceiver employs space-time processing and results are obtained using measured wideband MIMO channels. Gains as high as 10.5 dB are observed using 2Tx and 2Rx antennas for 1/2 rate coded QPSK at a PER of 10-2. Additionally, results are compared for spatial and polarisation diversity.</t>
  </si>
  <si>
    <t>1720-1721</t>
  </si>
  <si>
    <t>60020650;60020650;60020650;60020650;60020650</t>
  </si>
  <si>
    <t>56228099700;6506881597;7007161122;7102568206;55143624700</t>
  </si>
  <si>
    <t>Doufexi, A.;Hunukumbure, M.;Nix, A.;Beach, M.;Armour, S.</t>
  </si>
  <si>
    <t>Doufexi A.</t>
  </si>
  <si>
    <t>COFDM performance evaluation in outdoor MIMO channels using space/polarisation-time processing techniques</t>
  </si>
  <si>
    <t>10.1049/el:20021161</t>
  </si>
  <si>
    <t>2-s2.0-0037028257</t>
  </si>
  <si>
    <t>['suspicious growths', 'potential application']</t>
  </si>
  <si>
    <t>A report is presented on the complex resonant frequencies of a lossy dielectric sphere immersed in a lossy dielectric medium and their potential application to the classification of suspicious growths in breast cancer diagnosis using microwave imaging.</t>
  </si>
  <si>
    <t>1633-1634</t>
  </si>
  <si>
    <t>60029428;60022659</t>
  </si>
  <si>
    <t>55287662000;7202185170</t>
  </si>
  <si>
    <t>Dewald, S.;Bansal, R.</t>
  </si>
  <si>
    <t>Karlsruhe;Storrs</t>
  </si>
  <si>
    <t>Karlsruhe Institute of Technology, Campus South;University of Connecticut</t>
  </si>
  <si>
    <t>Dewald S.</t>
  </si>
  <si>
    <t>Complex resonant frequencies of biological targets for microwave imaging applications</t>
  </si>
  <si>
    <t>10.1049/el:20021141</t>
  </si>
  <si>
    <t>2-s2.0-0037028267</t>
  </si>
  <si>
    <t>['turning aside', 'synthesising non', 'symmetric patterns', 'new method', 'inherent œü', 'circular boundary']</t>
  </si>
  <si>
    <t>A new method for synthesising non-œÜ-symmetric patterns radiated by planar antenna arrays with circular boundary is presented. The described synthesis procedure uses the modified Taylor expressions. but turning aside their inherent œÜ-symmetry, to provide good non-œÜ-symmetric patterns.</t>
  </si>
  <si>
    <t>1631-1633</t>
  </si>
  <si>
    <t>6701881810;7006865572;7202825573</t>
  </si>
  <si>
    <t>Trastoy, A.;Ares, F.;Moreno, E.</t>
  </si>
  <si>
    <t>Trastoy A.</t>
  </si>
  <si>
    <t>Synthesis of non-œÜ-symmetric patterns from circular arrays</t>
  </si>
  <si>
    <t>10.1049/el:20021128</t>
  </si>
  <si>
    <t>2-s2.0-0037028272</t>
  </si>
  <si>
    <t>['multiuser systems', 'explicit knowledge']</t>
  </si>
  <si>
    <t>An interference cancellation based on the least square error-recursive least square (LSE-RLS) scheme for space-time block coded (STBC) multiuser systems is presented. This scheme does not require any explicit knowledge of the channel and interference to suppress the interference.</t>
  </si>
  <si>
    <t>1729-1730</t>
  </si>
  <si>
    <t>60017161;101283803;60017161</t>
  </si>
  <si>
    <t>16067013700;7003932747;6603561059</t>
  </si>
  <si>
    <t>Mahinthan, V.;Kannan, B.;Nallanathan, A.</t>
  </si>
  <si>
    <t>National University of Singapore;Inst. for Communications Research</t>
  </si>
  <si>
    <t>60017161;101283803</t>
  </si>
  <si>
    <t>Mahinthan V.</t>
  </si>
  <si>
    <t>Performance of LSE-RLS-based interference cancellation scheme for STBC multiuser systems</t>
  </si>
  <si>
    <t>10.1049/el:20021121</t>
  </si>
  <si>
    <t>2-s2.0-0037028289</t>
  </si>
  <si>
    <t>['wlan operation']</t>
  </si>
  <si>
    <t>A printed diversity monopole antenna for WLAN operation in the 2.4 GHz band is presented. The antenna comprises two orthogonal linear monopoles placed symmetrically with respect to a T-shaped ground plane between them. The antenna has two highly decoupled ports and can provide spatial diversity to combat the multipath interference problem.</t>
  </si>
  <si>
    <t>1625-1626</t>
  </si>
  <si>
    <t>7404814879;7402422499;35460663000</t>
  </si>
  <si>
    <t>Wu, Tzuenn Yih;Fang, Shyh Tirng;Wong, Kin Lu</t>
  </si>
  <si>
    <t>Printed diversity monopole antenna for WLAN operation</t>
  </si>
  <si>
    <t>10.1049/el:20021188</t>
  </si>
  <si>
    <t>2-s2.0-0037028292</t>
  </si>
  <si>
    <t>['systems assuming', 'small number', 'proposed method', 'mimo space', 'large number', 'downlink multiple']</t>
  </si>
  <si>
    <t>Downlink multiple-input, multiple-output (MIMO) systems assuming a large number of base station antennas, a small number of mobile station antennas, and rich-scattering, quasi-stationary, and flat-fading channel environments are considered. A MIMO space-division multiple access (SDMA) technique is proposed which enables concurrent transmission of multiple data streams to each multiple mobile station. The proposed method can achieve much higher downlink channel capacity than conventional MIMO techniques.</t>
  </si>
  <si>
    <t>1725-1726</t>
  </si>
  <si>
    <t>Rim, Minjoong</t>
  </si>
  <si>
    <t>Dongguk University, Seoul</t>
  </si>
  <si>
    <t>Rim M.</t>
  </si>
  <si>
    <t>Multi-user downlink beamforming with multiple transmit and receive antennas</t>
  </si>
  <si>
    <t>10.1049/el:20021125</t>
  </si>
  <si>
    <t>2-s2.0-0037028297</t>
  </si>
  <si>
    <t>['urban micro', 'realistic propagation', 'computational electromagnetics', 'communication systems', 'cellular environment', '8 ghz']</t>
  </si>
  <si>
    <t>Computational electromagnetics is used to characterise the effect of realistic propagation on the capacity of multiple-input, multiple-output (MIMO) communication systems. Mutual information results for a MIMO system operating at 1.8 GHz in an urban micro-cellular environment are presented.</t>
  </si>
  <si>
    <t>1624-1625</t>
  </si>
  <si>
    <t>7004328694;55934670700</t>
  </si>
  <si>
    <t>Dandekar, K. R.;Heath, R. W.</t>
  </si>
  <si>
    <t>Modelling realistic electromagnetic effects on MIMO system capacity</t>
  </si>
  <si>
    <t>10.1049/el:20021147</t>
  </si>
  <si>
    <t>2-s2.0-0037028299</t>
  </si>
  <si>
    <t>['two patches', 'measurement show', 'designed based', 'coplanar waveguide', 'backed cpw', '10 ghz', '10 db']</t>
  </si>
  <si>
    <t>A broadband patch antenna fed by a coplanar waveguide (CPW) is presented. The antenna was designed based on the stacked patch technique developed for aperture-coupled patch antennas. It is similar in configuration to a conventional stacked patch antenna, but the lower of its two patches is fed with a conductor-backed CPW. Both simulation and measurement show that the antenna has bandwidth of over 10% (for |S11| ‚â§ - 10 dB) centred at 10 GHz.</t>
  </si>
  <si>
    <t>1630-1631</t>
  </si>
  <si>
    <t>60009400;60032325;60032325</t>
  </si>
  <si>
    <t>7404798063;55805208800;35350619100</t>
  </si>
  <si>
    <t>Cheng, C. H.;Li, K.;Matsui, T.</t>
  </si>
  <si>
    <t>Koganei;Nanjing</t>
  </si>
  <si>
    <t>Japan National Institute of Information and Communications Technology;Nanjing University of Post and TeleCommunications</t>
  </si>
  <si>
    <t>60032325;60009400</t>
  </si>
  <si>
    <t>Cheng C.</t>
  </si>
  <si>
    <t>Stacked patch antenna fed by a coplanar waveguide</t>
  </si>
  <si>
    <t>10.1049/el:20021170</t>
  </si>
  <si>
    <t>2-s2.0-0037028307</t>
  </si>
  <si>
    <t>['reference data', 'radiation patterns', 'computational complexity', 'auxiliary sources']</t>
  </si>
  <si>
    <t>The recently proposed modified method of auxiliary sources (MMAS) is applied to the analysis of conformal microstrip patch arrays. The aim of the technique is to improve the accuracy or/and the computational complexity of standard numerical methods. The radiation patterns are compared to reference data, showing excellent agreement.</t>
  </si>
  <si>
    <t>1621-1622</t>
  </si>
  <si>
    <t>7003629437;6602718524;6507259709;35571264900</t>
  </si>
  <si>
    <t>Anastassiu, H. T.;Kostaridis, A. I.;Biniaris, C. G.;Kaklamani, D. I.</t>
  </si>
  <si>
    <t>Anastassiu H.T.</t>
  </si>
  <si>
    <t>Analysis of cylindrically conformal microstrip patch arrays via modified method of auxiliary sources</t>
  </si>
  <si>
    <t>10.1049/el:20021101</t>
  </si>
  <si>
    <t>2-s2.0-0037028316</t>
  </si>
  <si>
    <t>['various separations', 'us fcc', 'telephone tested', 'shirt pocket', 'sar compliance', 'peak 1', 'mounted telephones', 'mobile telephones', 'head may', 'free operation', 'experimental 1', 'considerably higher', 'closer placement', 'becoming pocket', 'antennas relative', 'antenna away', 'anatomic model', '8 mm', '1900 mhz']</t>
  </si>
  <si>
    <t>Increasingly, mobile telephones are becoming pocket-sized and are being left in the shirt pocket with a connection to the ear for hands-free operation. We have considered an anatomic model of the chest and a planar phantom recommended by US FCC to compare the peak 1 and 10 g SARs for four typical cellular telephones, two each at 835 and 1900 MHz. An agreement within ¬± 10% is obtained between calculated and experimental 1 and 10 g SARs for various separations (2-8 mm) from the planar phantom used to represent different thicknesses of the clothing both for the antenna away from or turned back towards the body. Because of the closer placement of the antennas relative to the body, the peak 1 and 10 g SARs are considerably higher (by a factor of 2-7) for pocket-mounted telephones as compared to the SARs obtained using a 6 mm thick plastic ear head model-a procedure presently accepted both in the US and Europe. This implies that a telephone tested for SAR compliance against the model of the head may be severely out of compliance if it were placed in the shirt pocket.</t>
  </si>
  <si>
    <t>4301-4313</t>
  </si>
  <si>
    <t>60025488;60025488</t>
  </si>
  <si>
    <t>7202457923;7103082601</t>
  </si>
  <si>
    <t>Kang, Gang;Gandhi, Om P.</t>
  </si>
  <si>
    <t>Salt Lake City</t>
  </si>
  <si>
    <t>The University of Utah</t>
  </si>
  <si>
    <t>Kang G.</t>
  </si>
  <si>
    <t>SARs for pocket-mounted mobile telephones at 835 and 1900 MHz</t>
  </si>
  <si>
    <t>S0031915502380874</t>
  </si>
  <si>
    <t>10.1088/0031-9155/47/23/314</t>
  </si>
  <si>
    <t>2-s2.0-0037038953</t>
  </si>
  <si>
    <t>['short mid', 'pereopod 1', 'pereonites 1', 'long mid', 'long basis', 'like processes', 'five species', 'far recorded', 'dorsal spines', 'dorsal spine', 'distolateral protrusion', 'careful examination', 'article 2', 'antenna 1']</t>
  </si>
  <si>
    <t>Asellota | Coulmannia | Heterosignum | Isopoda | New species | Paramunnidae | Revision</t>
  </si>
  <si>
    <t>Three new species of Heterosignum are described from Japan. Heterosignum elegans sp. nov. differs from its congeners in having stout preorbital lobes on the head, very long lateral spine-like processes and eyestalks, and very long article 2 of male pleopod 2. Heterosignum ohtsukai sp. nov. is distinctive in having a marked stout mid-dorsal spine on the head, long mid-dorsal spines on the pereonites, and article 2 of antenna 1 with a distolateral protrusion. Heterosignum otsuchiensis sp. nov. has single lateral spine-like processes on pereonites 1-7 as in H. ohtsukai, but is distinguished from it in having short mid-dorsal spines on pereonites 1-7 and long basis of pereopod 1. Heterosignum mutsuensis Gam√¥, 1976 is redescribed using newly collected specimens. Coulmannia unicornis Kensley, 1976 is assigned to Heterosignum after careful examination of the types. The diagnosis of Heterosignum is emended to include all the five species so far recorded.</t>
  </si>
  <si>
    <t>2103-2126</t>
  </si>
  <si>
    <t>60014652;60014652</t>
  </si>
  <si>
    <t>8289476000;7006578515</t>
  </si>
  <si>
    <t>Shimomura, Michitaka;Mawatari, Shunsuke F.</t>
  </si>
  <si>
    <t>Shimomura M.</t>
  </si>
  <si>
    <t>A revision of Heterosignum (Asellota, Isopoda, Paramunnidae) with descriptions of three new species</t>
  </si>
  <si>
    <t>10.1080/00222930110088734</t>
  </si>
  <si>
    <t>2-s2.0-0037058732</t>
  </si>
  <si>
    <t>625-626</t>
  </si>
  <si>
    <t>60027152;60032259;60032259;60027152;60027152;60032259</t>
  </si>
  <si>
    <t>6602354102;7801465749;6506210809;57213357497;7103226689;7003316394</t>
  </si>
  <si>
    <t>Stensmyr, Marcus C.;Urru, Isabella;Collu, Ignazio;Celander, Malin;Hansson, Bill S.;Angioy, Anna Maria</t>
  </si>
  <si>
    <t>Cagliari;Uppsala</t>
  </si>
  <si>
    <t>Universit√† degli Studi di Cagliari;Sveriges lantbruksuniversitet</t>
  </si>
  <si>
    <t>60032259;60027152</t>
  </si>
  <si>
    <t>Stensmyr M.</t>
  </si>
  <si>
    <t>Rotting smell of dead-horse arum florets</t>
  </si>
  <si>
    <t>10.1038/420625a</t>
  </si>
  <si>
    <t>2-s2.0-0037069665</t>
  </si>
  <si>
    <t>['various triplet', 'variable length', 'using œªexc', 'unit efficiency', 'two levels', 'two chromophores', 'traced back', 'ru center', 'room temperature', 'pyrene unit', 'magnitude longer', 'linking chains', 'linking chain', 'light absorption', 'intercomponent energy', 'gaussian distribution', 'free solvent', 'folding properties', 'flexible poly', 'extended conformation', 'ethylene glycol', 'equilibrated solvent', 'energy gap', 'distribution width', 'distance separation', 'direct excitation', 'diffusional quenching', 'complex 2', 'briefly discussed', 'based component', 'average dcc', 'antenna effect', 'actual center', 'acetonitrile solvent', '480 cm', '410 nm', '3pyr level', '355 nm', '2 ),', '1mlct level']</t>
  </si>
  <si>
    <t>Steady-state and time-resolved spectroscopic properties of bichromophoric species containing [Ru(bpy)3]2+ and pyrene (pyr) units linked together by flexible poly(ethylene glycol) chains of variable length, [Ru(bpy)2(bpy-pyr)]-(PF6)2 (1) and [Ru(bpy)2(bpy-O6-pyr)](PF6)2 (2), have been investigated in acetonitrile solvent. The complexes were designed with the aim of examining the intercomponent energy-transfer processes taking place after light absorption at the two chromophores and the influence of the distance separation between them; in the case of complex 2, the linking chain in the extended conformation is as long as 21 √Ö. Direct excitation of the pyrene unit (Œªexc = 410 nm) results in singlet-to-singlet energy transfer (an antenna effect) to the Ru-based component, 1pyr ‚Üí1MLCT, which we analyze in terms of the F√∂rster mechanism taking place with unit efficiency. Analysis of the time-resolved pyrene fluorescence reveals that the actual center-to-center distance separation (dcc) between the photoactive centers changes according to a Gaussian distribution, with an average dcc = 13.6 √Ö (distribution width, a = 2.8 √Ö) and 12 √Ö (a = 10.2 √Ö), for 1 and 2, respectively; this is ascribed to folding of the poly(ethylene glycol) linking chain. In O2-free solvent at room temperature, after population of the 1MLCT level (which takes place either because of direct excitation by using Œªexc &gt; 355 nm or via the "antenna" effect) and subsequent intersystem crossing localized at the Ru center, 1MLCT‚Üí3MLCT, a triplet-triplet thermal equilibration is established which involves the physically separated centers, 3MLCT‚Üî3pyr, with Keq = 11 (the energy gap between the two levels is 480 cm-1, as determined from luminescence data obtained at 77 K). As a consequence of this equilibrium, the 3MLCT luminescence lifetime becomes œÑRu ‚àº 9 Œºs both in 1 and 2, i.e., 1 order of magnitude longer than for the unsubstituted [Ru(bpy)3]2+ luminophore. In air-equilibrated solvent, diffusional quenching by O2 effectively depletes the 3pyr level and only the forward 3MLCT‚Üí3pyr energy transfer step is observed with ken = 4 √ó 108 and 2 √ó 108 s-1 for 1 and 2, respectively. As briefly discussed, reasons for the high rate constants observed for the various triplet-triplet steps may be traced back to the folding properties of the linking chains.</t>
  </si>
  <si>
    <t>6711-6719</t>
  </si>
  <si>
    <t>Inorganic Chemistry</t>
  </si>
  <si>
    <t>60021199;60021199;60021199;60021199;60020650;60020650</t>
  </si>
  <si>
    <t>6506056696;6601971444;7003513638;7003493868;7102696735;57202976640</t>
  </si>
  <si>
    <t>Morales, Angeles Farr√°n;Accorsi, Gianluca;Armaroli, Nicola;Barigelletti, Francesco;Pope, Simon J.A.;Ward, Michael D.</t>
  </si>
  <si>
    <t>Italy;United Kingdom</t>
  </si>
  <si>
    <t>Rome;Bristol</t>
  </si>
  <si>
    <t>Consiglio Nazionale delle Ricerche;University of Bristol</t>
  </si>
  <si>
    <t>60021199;60020650</t>
  </si>
  <si>
    <t>Morales A.</t>
  </si>
  <si>
    <t>Interplay of light antenna and excitation "energy reservoir" effects in a bichromophoric system based on ruthenium-polypyridine and pyrene units linked by a long and flexible poly(ethylene glycol) chain</t>
  </si>
  <si>
    <t>10.1021/ic025811d</t>
  </si>
  <si>
    <t>2-s2.0-0037121875</t>
  </si>
  <si>
    <t>R01GM042143</t>
  </si>
  <si>
    <t>['specific degradation', 'psi ).', 'physical properties', 'photosynthetic function', 'photosynthetic apparatus', 'photooxidative damage', 'occurs prior', 'novel response', 'new ones', 'light quantity', 'lhci antenna', 'hence activity', 'graduated responses', 'graded responses', 'deficiency chlorosis', 'decreased stoichiometry', 'chlorotic chloroplasts', 'antenna complexes']</t>
  </si>
  <si>
    <t>Chlamydomonas reinhardtii | Fe deficiency | Light-harvesting proteins | Photosystem I | Proteomics</t>
  </si>
  <si>
    <t>The molecular mechanisms underlying the onset of Fe-deficiency chlorosis and the maintenance of photosynthetic function in chlorotic chloroplasts are relevant to global photosynthetic productivity. We describe a series of graded responses of the photosynthetic apparatus to Fe-deficiency, including a novel response that occurs prior to the onset of chlorosis, namely the disconnection of the LHCI antenna from photosystem I (PSI). We propose that disconnection is mediated by a change in the physical properties of PSI-K in PSI in response to a change in plastid Fe content, which is sensed through the occupancy, and hence activity, of the Fe-containing active site in Crd1. We show further that progression of the response involves remodeling of the antenna complexes - specific degradation of existing proteins coupled to the synthesis of new ones, and establishment of a new steady state with decreased stoichiometry of electron transfer complexes. We suggest that these responses are typical of a dynamic photosynthetic apparatus where photosynthetic function is optimized and photooxidative damage is minimized in graduated responses to a combination of nutrients, light quantity and quality.</t>
  </si>
  <si>
    <t>6709-6720</t>
  </si>
  <si>
    <t>60005247;60029507;60025641;60025641;60005247;60005247;60029507-60025641</t>
  </si>
  <si>
    <t>7102814535;6603682239;36164177200;7801589608;6602396984;7102344014;56254003700</t>
  </si>
  <si>
    <t>Moseley, Jeffrey L.;Allinger, Tanja;Herzog, Sebastian;Hoerth, Patric;Wehinger, Elke;Merchant, Sabeeha;Hippler, Michael</t>
  </si>
  <si>
    <t>Jena;Freiburg im Breisgau;Los Angeles</t>
  </si>
  <si>
    <t>Friedrich-Schiller-Universit√§t Jena;Universit√§t Freiburg im Breisgau;David Geffen School of Medicine at UCLA</t>
  </si>
  <si>
    <t>60029507;60025641;60005247</t>
  </si>
  <si>
    <t>Moseley J.L.</t>
  </si>
  <si>
    <t>Adaptation to Fe-deficiency requires remodeling of the photosynthetic apparatus</t>
  </si>
  <si>
    <t>10.1093/emboj/cdf666</t>
  </si>
  <si>
    <t>2-s2.0-12244262259</t>
  </si>
  <si>
    <t>['segmented exopod', 'segmented endopod', 'second antenna', 'previously described', 'pennella balaenopterae', 'pennelid nauplii', 'mandibles resemble', 'mandible show', 'life cycle', 'first nauplius', 'first description', 'first antenna']</t>
  </si>
  <si>
    <t>First nauplius | Life cycle | Morphological description | Pennella balaenopterae | Pennellidae</t>
  </si>
  <si>
    <t>The first nauplius of Pennella balaenopterae is described and illustrated. This is the first description of the nauplius in this species and genus. Antennae and mandibles resemble those previously described in pennelid nauplii. The first antenna is uniramous and one-segmented, while the second antenna and the mandible show a two-segmented endopod and a four-segmented exopod. No trace of any other appendage or of the gut is found. Some comments on the life cycle of Pennella balaenopterae are made.</t>
  </si>
  <si>
    <t>333-337</t>
  </si>
  <si>
    <t>60027282-60015375;60000950;60000950</t>
  </si>
  <si>
    <t>6602754104;6603100893;6506395756</t>
  </si>
  <si>
    <t>Arroyo, Nina L.;Abaunza, Pablo;Preciado, Izaskun</t>
  </si>
  <si>
    <t>Spain;Finland;Spain</t>
  </si>
  <si>
    <t>Madrid;Turku;Madrid</t>
  </si>
  <si>
    <t>Universidad Complutense de Madrid;√Öbo Akademi University;Instituto Espanol de Oceanografia</t>
  </si>
  <si>
    <t>60027282;60015375;60000950</t>
  </si>
  <si>
    <t>Arroyo N.L.</t>
  </si>
  <si>
    <t>The first naupliar stage of Pennella balaenopterae Koren and Danielssen, 1877 (Copepoda: Siphonostomatoida, Pennellidae)</t>
  </si>
  <si>
    <t>10.1080/0036482021000155785</t>
  </si>
  <si>
    <t>2-s2.0-0037137761</t>
  </si>
  <si>
    <t>['suitable use', 'sir performance', 'sir ).', 'interference ratio', 'element spacing', 'desired signal', 'base station', 'array antenna']</t>
  </si>
  <si>
    <t>Interference rejection | Linear array antennas | Smart antennas | Wireless communications</t>
  </si>
  <si>
    <t>The suitable use of an array antenna at the base station of a wireless communications system can result in improvement in the signal-to-interference ratio (SIR). In general, the SIR is a function of the direction of arrival of the desired signal and depends on the configuration of the array, the number of elements, and their spacing. In this paper, we consider a uniform linear array antenna and study the effect of varying the number of its elements and inter-element spacing on the SIR performance.</t>
  </si>
  <si>
    <t>445-449</t>
  </si>
  <si>
    <t>Durrani, Salman;Bialkowski, Marek E.</t>
  </si>
  <si>
    <t>An investigation into the interference rejection capability of a linear array in a wireless communications system</t>
  </si>
  <si>
    <t>10.1002/mop.10634</t>
  </si>
  <si>
    <t>2-s2.0-0037147369</t>
  </si>
  <si>
    <t>['two methods', 'probe length', 'performed numerically', 'fdtd method', 'enhances bandwidth', 'directional pattern', 'dielectric constant', 'coaxial probe', 'antenna parameters']</t>
  </si>
  <si>
    <t>Dielectric resonator antenna | Loaded monopole | Small size antenna | Wideband antenna</t>
  </si>
  <si>
    <t>A dielectric resonator excited by a coaxial probe and designed for an omni-directional pattern is considered. Combining two dielectric resonators of different dielectric material with each other enhances bandwidth. The effect of antenna parameters such as dielectric constant and probe length are investigated. The analysis is performed numerically, using the method of moments and verified by the FDTD method. The agreement between the two methods is excellent. A 45% bandwidth is achieved with this structure.</t>
  </si>
  <si>
    <t>425-428</t>
  </si>
  <si>
    <t>60010491;60010491;60010491</t>
  </si>
  <si>
    <t>7202336473;7004922524;7006839683</t>
  </si>
  <si>
    <t>Ong, Swee Huat;Kishk, Ahmed A.;Glisson, Allen W.</t>
  </si>
  <si>
    <t>Ong S.</t>
  </si>
  <si>
    <t>Wideband disc-ring dielectric resonator antenna</t>
  </si>
  <si>
    <t>10.1002/mop.10628</t>
  </si>
  <si>
    <t>2-s2.0-0037147371</t>
  </si>
  <si>
    <t>['wave analysis', 'separated variables', 'patch antennas', 'mutual impedance', 'detailed structures', 'constructed based', 'commercial software', '12 coefficients']</t>
  </si>
  <si>
    <t>Finite antenna array | Mutual impedance | Patch antenna | Synthetic asymptote | Variable separation</t>
  </si>
  <si>
    <t>A formula for mutual impedance between patch antennas is constructed based on the physics of the static near field and the radiation far field of the couplings. This leads to a synthetic asymptote form [1] of separated variables of the center-to-center distance r and the azimuth angle œà. Only 12 coefficients are to be determined by matching with a full-wave analysis through commercial software, such as IE3D. Our formula is accurate and complete, with no restriction on the detailed structures of patch, feed, and substrate.</t>
  </si>
  <si>
    <t>466-470</t>
  </si>
  <si>
    <t>Mutual impedance formula between patch antennas based on synthetic asymptote and variable separation</t>
  </si>
  <si>
    <t>10.1002/mop.10640</t>
  </si>
  <si>
    <t>2-s2.0-0037147373</t>
  </si>
  <si>
    <t>['resonance frequency', 'radiated field', 'element bandwidth', 'beam scanning']</t>
  </si>
  <si>
    <t>Beam scanning | Microstrip antenna | Phase shift | Phased array antenna | Radiation field</t>
  </si>
  <si>
    <t>The relationship between the resonance frequency of an antenna and the phase of its radiated field is established, indicating that the frequency or dimensional tuning may be used for beam scanning of the arrays. For microstrip patch antennas the range of far field phase variation within the element bandwidth is determined. Examples for limited beam scans of four element arrays are considered and studied.</t>
  </si>
  <si>
    <t>430-434</t>
  </si>
  <si>
    <t>8092251400;6602675893</t>
  </si>
  <si>
    <t>Shafai, L.;Daneshmand, M.</t>
  </si>
  <si>
    <t>Array beam scanning by element frequency tuning</t>
  </si>
  <si>
    <t>10.1002/mop.10630</t>
  </si>
  <si>
    <t>2-s2.0-0037147374</t>
  </si>
  <si>
    <t>['proposed approach', 'planar arrays', 'paper deals', 'optimal trade', 'method based', 'genetic algorithm']</t>
  </si>
  <si>
    <t>Genetic algorithms | Planar antenna array</t>
  </si>
  <si>
    <t>This paper deals with the synthesis of planar arrays. In the framework of iterative search procedures, a method based on a genetic algorithm (GA) is presented. Starting from the definition of a suitably defined cost function, thinning and weighting a randomly generated array configuration, the multi-purpose stochastic procedure is able to satisfy various antenna constraints to determines an optimal trade-off among contrasting requirements. In order to confirm the reliability of the proposed approach (also in comparison with the related literature), some highly optimized antenna array designs are reported and discussed.</t>
  </si>
  <si>
    <t>428-430</t>
  </si>
  <si>
    <t>60015197;60015197;60015986;60015986;60025153</t>
  </si>
  <si>
    <t>7102084534;6506912559;7005085831;57197975521;7007035725</t>
  </si>
  <si>
    <t>Caorsi, Salvatore;Lommi, Andrea;Massa, Andrea;Piffer, Stefano;Trucco, Andrea</t>
  </si>
  <si>
    <t>Genoa;Trento;Pavia</t>
  </si>
  <si>
    <t>Universit√† degli Studi di Genova;Universit√† di Trento;Universit√† degli Studi di Pavia</t>
  </si>
  <si>
    <t>60025153;60015986;60015197</t>
  </si>
  <si>
    <t>Planar antenna array design with a multi-purpose Ga-based procedure</t>
  </si>
  <si>
    <t>10.1002/mop.10629</t>
  </si>
  <si>
    <t>2-s2.0-0037147375</t>
  </si>
  <si>
    <t>['œºga ).', 'various designs', 'standard ga', 'performed among', 'optimization technique', 'genetic algorithm', 'comparative study', 'antenna system', 'also designed']</t>
  </si>
  <si>
    <t>Genetic algorithm optimization | Micro GA | Offset reflector antennas | Profiled corrugated horn antennas</t>
  </si>
  <si>
    <t>The Genetic Algorithm (GA) optimization technique is applied to the optimization of a profiled corrugated horn, designed as a feed for a space-borne remote sensing reflector-antenna system. In addition to using the standard GA (SGA) optimization technique, a profiled corrugated horn is also designed and analyzed using micro GA (ŒºGA). A comparative study has been performed among the various designs.</t>
  </si>
  <si>
    <t>449-453</t>
  </si>
  <si>
    <t>6602395929;8974690800;7102110120</t>
  </si>
  <si>
    <t>Sinton, Seelig;Robinson, Jacob;Rahmat-Samii, Yahya</t>
  </si>
  <si>
    <t>Sinton S.</t>
  </si>
  <si>
    <t>Standard and micro genetic algorithm optimization of profiled corrugated horn antennas</t>
  </si>
  <si>
    <t>10.1002/mop.10635</t>
  </si>
  <si>
    <t>2-s2.0-0037147401</t>
  </si>
  <si>
    <t>['printed wire', 'new approach', 'good agreement', 'feed network', 'experimental results', 'entire system']</t>
  </si>
  <si>
    <t>Broadband | Circular polarization | Printed quadrifilar helical antennas</t>
  </si>
  <si>
    <t>A new approach to designing a broadband printed quadrifilar helical antenna (PQHA) is presented. The printed wire is conical in shape, while the feed network is directly integrated underneath the antenna. The entire system is designed using Ansoft HFSS. Good agreement with the experimental results is obtained. The impedance and axial ratio bandwidth values are greater than 32.4% and 18.5%, respectively.</t>
  </si>
  <si>
    <t>60017161;60005510;60017161;60005510</t>
  </si>
  <si>
    <t>10339818700;7403366748;7102646632;7006509722</t>
  </si>
  <si>
    <t>Yang, Shiwen;Tan, Soon Hie;Gan, Yeow Beng;See, Chun Wee</t>
  </si>
  <si>
    <t>National University of Singapore;Nanyang Technological University</t>
  </si>
  <si>
    <t>60017161;60005510</t>
  </si>
  <si>
    <t>Broadband conical printed quadrifilar helical antenna with integrated feed network</t>
  </si>
  <si>
    <t>10.1002/mop.10646</t>
  </si>
  <si>
    <t>2-s2.0-0037147405</t>
  </si>
  <si>
    <t>['wave infinitely', 'poynting vectors', 'physical remarks', 'half spaces', 'field distributions', 'extent sheet', 'brief note', 'also mentioned']</t>
  </si>
  <si>
    <t>Antenna | Left-handed medium | Metamaterials | Negative index of refraction | Negative permeability | Negative permittivity</t>
  </si>
  <si>
    <t>In this paper, we present an analysis for the radiation from a traveling-wave infinitely-extent sheet of monochromatic electric current that is placed at the interface between a conventional lossless dielectric and a lossless material possessing negative real permittivity and permeability. The field distributions and the direction of the Poynting vectors in both half spaces are discussed, and some physical remarks are provided. A brief note about launching Zenneck waves by a line current along this interface is also mentioned.</t>
  </si>
  <si>
    <t>460-463</t>
  </si>
  <si>
    <t>60006297;60006297</t>
  </si>
  <si>
    <t>6701496891;7005850584</t>
  </si>
  <si>
    <t>Alu, Andrea;Engheta, Nader</t>
  </si>
  <si>
    <t>University of Pennsylvania</t>
  </si>
  <si>
    <t>Alu A.</t>
  </si>
  <si>
    <t>Radiation from a traveling-wave current sheet at the interface between a conventional material and a metamaterial with negative permittivity and permeability</t>
  </si>
  <si>
    <t>10.1002/mop.10638</t>
  </si>
  <si>
    <t>2-s2.0-0037147409</t>
  </si>
  <si>
    <t>['wide range', 'various dimensions', 'new measurements', 'model incorporates', 'dielectrics used', 'computed results']</t>
  </si>
  <si>
    <t>CAD model | Inverted microstrip antenna | Microstrip antenna</t>
  </si>
  <si>
    <t>In this paper, a new CAD model is proposed to calculate accurate resonant frequencies of inverted microstrip circular patch antennas having a wide range of parameters. This model incorporates all the effects of various dimensions and dielectrics used. Computed results for the first few modes are compared with some new measurements.</t>
  </si>
  <si>
    <t>434-437</t>
  </si>
  <si>
    <t>60069521;60069521</t>
  </si>
  <si>
    <t>7006844165;7006336099</t>
  </si>
  <si>
    <t>Guha, Debatosh;Siddiqui, Jawad Y.</t>
  </si>
  <si>
    <t>Institute of Radiophysics and Electronics India</t>
  </si>
  <si>
    <t>Guha D.</t>
  </si>
  <si>
    <t>New CAD model to calculate the resonant frequency of inverted microstrip circular patch antennas</t>
  </si>
  <si>
    <t>10.1002/mop.10631</t>
  </si>
  <si>
    <t>2-s2.0-0037147414</t>
  </si>
  <si>
    <t>['two 100', 'tilted beam', 'spiral arms', 'spiral antenna', 'produces either', 'paper presents', 'outer end', 'operating frequency', 'microstrip structure', 'integrated circuits', 'ground plane', 'easily compatible', 'circular aperture', 'axial beam']</t>
  </si>
  <si>
    <t>Axial beam | Microstrip spiral antenna | Mobile communication antenna | Satellite communication antenna | Tilted beam</t>
  </si>
  <si>
    <t>This paper presents a two-arm microstrip spiral antenna with a circular aperture on the ground plane that produces either an axial beam or a tilted beam, depending on the operating frequency. A 50-Œ© microstrip feedline is divided into two 100-Œ© lines that feed the spiral antenna from the outer end of the spiral arms with a 180¬∞ phase difference at f0. The antenna is realized on a planar form without any balun circuit using a microstrip structure, which is easily compatible with millimeter- and microwave-integrated circuits.</t>
  </si>
  <si>
    <t>453-455</t>
  </si>
  <si>
    <t>60002445;60002445;60002445</t>
  </si>
  <si>
    <t>7203000953;56122903200;10043078000</t>
  </si>
  <si>
    <t>Oh, Daeyoung;Kim, Myungki;Park, Ikmo</t>
  </si>
  <si>
    <t>Oh D.</t>
  </si>
  <si>
    <t>Two-arm microstrip spiral antenna with a circular aperture on the ground plane</t>
  </si>
  <si>
    <t>10.1002/mop.10636</t>
  </si>
  <si>
    <t>2-s2.0-0037147416</t>
  </si>
  <si>
    <t>['wideband antenna', 'paper presents', 'notch filter', 'normal size', 'high rate', 'help reduce', 'fractal concepts', 'data transfer', 'conventional filter', 'compact spatial', 'compact package', 'almost half']</t>
  </si>
  <si>
    <t>Fractal loop | Frequency selective surface | Planar volcano-smoke-shaped slot antenna | Spatial notch filter | Wideband antenna</t>
  </si>
  <si>
    <t>This paper presents a compact package, comprising a wideband antenna with a compact spatial-notch filter, useful for RF applications requiring a high rate of data transfer. Fractal concepts are employed to help reduce the package to almost half the normal size, and to realize a much sharper band-stop than would be possible with a conventional filter.</t>
  </si>
  <si>
    <t>455-460</t>
  </si>
  <si>
    <t>57220673155;55197051100</t>
  </si>
  <si>
    <t>Yeo, Junho;Mittra, Raj</t>
  </si>
  <si>
    <t>Yeo J.</t>
  </si>
  <si>
    <t>A novel wideband antenna package design with a compact spatial-notch filter for wireless applications</t>
  </si>
  <si>
    <t>10.1002/mop.10637</t>
  </si>
  <si>
    <t>2-s2.0-0037147419</t>
  </si>
  <si>
    <t>['variable attenuator', 'thz spectrum', 'much smaller', 'incident angle', 'brewster configuration', 'brewster attenuator', 'bias voltage', '54 %,']</t>
  </si>
  <si>
    <t>A variable attenuator for terahertz (THz) pulses is developed on the basis of the change in reflectivity of lithium niobate wafers with incident angle in a Brewster configuration. We can vary the THz field transmission from 22% to 54%, a change of a factor of 2.5, while preserving the shape of the THz pulse spectrum. Changes in the THz spectrum are shown to be much smaller when the Brewster attenuator is used than when either the near-infrared pump power or the bias voltage on a THz photoconductive antenna is varied. The Brewster attenuator should prove especially useful for varying THz field strength in nonlinear optical studies that use broadband THz pulses. ¬© 2002 Optical Society of America.</t>
  </si>
  <si>
    <t>7637-7643</t>
  </si>
  <si>
    <t>60000221;60000221-60023053</t>
  </si>
  <si>
    <t>8960259100;7005900718</t>
  </si>
  <si>
    <t>Spivey, Amelia G.Van Engen;Cundiff, Steven T.</t>
  </si>
  <si>
    <t>Gaithersburg;Boulder</t>
  </si>
  <si>
    <t>National Institute of Standards and Technology;University of Colorado Boulder</t>
  </si>
  <si>
    <t>60023053;60000221</t>
  </si>
  <si>
    <t>Spivey A.G.V.E.</t>
  </si>
  <si>
    <t>Brewster‚Äôs angle attenuator for terahertz pulses</t>
  </si>
  <si>
    <t>10.1364/AO.41.007637</t>
  </si>
  <si>
    <t>2-s2.0-0037147464</t>
  </si>
  <si>
    <t>['‚ àº3', 'w .,', 'stretch frequency', 'states contribute', 'spectroscopic investigation', 'specific chlorophylls', 'singlet spectra', 'red shift', 'reaction center', 'protein ligand', 'protein complex', 'probably due', 'photosystem ii', 'nature 409', 'linear dichroism', 'large value', 'h .-', 'excitonic origin', 'excited states', 'difference polarizability', 'crystal structure', '743 ].', '690 nm', '1633 cm', '., witt', '., kern']</t>
  </si>
  <si>
    <t>CP47 is a pigment-protein complex in the core of photosystem II that tranfers excitation energy to the reaction center. Here we report on a spectroscopic investigation of the isolated CP47 complex. By deconvoluting the 77 K absorption and linear dichroism, red-most states at 683 and 690 nm have been identified with oscillator strengths corresponding to ‚àº3 and ‚àº1 chlorophyll, respectively. Both states contribute to the 4 K emission, and the Stark spectrum shows that they have a large value for the difference polarizability between their ground and excited states. From site-selective polarized triplet-minus-singlet spectra, an excitonic origin for the 683 nm state was found. The red shift of the 690 nm state is most probably due to strong hydrogen bonding to a protein ligand, as follows from the position of the stretch frequency of the chlorophyll 131 keto group (1633 cm-1) in the fluorescence line narrowing spectrum at 4 K upon red-most excitation. We discuss how the 683 and 690 nm states may be linked to specific chlorophylls in the crystal structure [Zouni, A., Witt, H.-T., Kern, J., Fromme, P., Krauss, N., Saenger, W., and Orth, P. (2001) Nature 409, 739-743].</t>
  </si>
  <si>
    <t>15224-15233</t>
  </si>
  <si>
    <t>6602876157;36803740900;6506783182;7202457418;35599806700</t>
  </si>
  <si>
    <t>De Weerd, Frank L.;Palacios, Miguel A.;Andrizhiyevskaya, Elena G.;Dekker, Jan P.;Van Grondelle, Rienk</t>
  </si>
  <si>
    <t>Identifying the lowest electronic states of the chlorophylls in the CP47 core antenna protein of photosystem II</t>
  </si>
  <si>
    <t>10.1021/bi0261948</t>
  </si>
  <si>
    <t>2-s2.0-0037168473</t>
  </si>
  <si>
    <t>['specific point', 'sequential bioprocessing', 'reversibly respond', 'photoinduced changes', 'microfluidic formats', 'magnetic beads', 'lab assays', 'enzyme conjugates', 'enzyme activity', 'diagnostic assays', 'active site']</t>
  </si>
  <si>
    <t>Bioconjugates | BioMEMs | Photoswitch biotechnology | Smart polymer</t>
  </si>
  <si>
    <t>The ability to photoregulate enzyme activities could provide important new opportunities for development of diagnostic assays, sequential bioprocessing, and lab assays in both traditional and microfluidic formats. We show here that the photoinduced changes in the size and hydration of a "smart" polymer chain coil can be used to regulate substrate access and enzyme activity when conjugated to the enzyme at a specific point just outside the active site. The photoresponsive polymers thus serve jointly as antennae and actuators that reversibly respond to distinct optical signals to switch the polymer-enzyme conjugates on and off, and work when the conjugate is free in solution or when immobilized on magnetic beads.</t>
  </si>
  <si>
    <t>16592-16596</t>
  </si>
  <si>
    <t>60015481;60030418;60030418;60015481;60015481;60015481</t>
  </si>
  <si>
    <t>6602213726;57207638783;7101684251;7403053495;35398434700;7006871935</t>
  </si>
  <si>
    <t>Shimoboji, Tsuyoshi;Larenas, Edmund;Fowler, Tim;Kulkarni, Samarth;Hoffman, Allan S.;Stayton, Patrick S.</t>
  </si>
  <si>
    <t>Rochester;Seattle</t>
  </si>
  <si>
    <t>Danisco US Inc., Genencor Division;University of Washington</t>
  </si>
  <si>
    <t>60030418;60015481</t>
  </si>
  <si>
    <t>Shimoboji T.</t>
  </si>
  <si>
    <t>Photoresponsive polymer-enzyme switches</t>
  </si>
  <si>
    <t>10.1073/pnas.262427799</t>
  </si>
  <si>
    <t>2-s2.0-0037168532</t>
  </si>
  <si>
    <t>['whole plants', 'way resembling', 'undergoing light', 'trimeric organization', 'significant degree', 'reversible release', 'quenching capability', 'photosystem ii', 'outer loop', 'optic mechanism', 'novel mechanism', 'nonphotochemical quenching', 'mg ions', 'main chlorophyll', 'light instability', 'light induces', 'light harvesting', 'lamellar aggregates', 'isolated trimers', 'isolated complexes', 'induced formation', 'harvesting complex', 'granal thylakoids', 'fluorescence quenching', 'excess light', 'biochemistry 35', 'b light', '8985 ].']</t>
  </si>
  <si>
    <t>The main chlorophyll a/b light-harvesting complex of photosystem II, LHCIIb, has earlier been shown to be capable of undergoing light-induced reversible structural changes and chlorophyll a fluorescence quenching in a way resembling those observed in granal thylakoids when exposed to excess light [Barzda, V., et al. (1996) Biochemistry 35, 8981-8985]. The nature and mechanism of this unexpected structural flexibility has not been elucidated. In this work, by using density gradient centrifugation and nondenaturing green gel electrophoresis, as well as absorbance and circular dichroic spectroscopy, we show that light induces a significant degree of monomerization, which is in contrast with the preferentially trimeric organization of the isolated complexes in the dark. Monomerization is accompanied by a reversible release of Mg ions, most likely from the outer loop of the complexes. These data, as well as the built-in thermal and light instability of the trimeric organization, are explained in terms of a simple theoretical model of thermo-optic mechanism, effect of fast thermal transients (local T-jumps) due to dissipated photon energies in the vicinity of the cation binding sites, which lead to thermally assisted elementary structural transitions. Disruption of trimers to monomers by excess light is not confined to isolated trimers and lamellar aggregates of LHCII but occurs in photosystem II-enriched grana membranes, intact thylakoid membranes, and whole plants. As indicated by differences in the quenching capability of trimers and monomers, the appearance of monomers could facilitate the nonphotochemical quenching of the singlet excited state of chlorophyll a. The light-induced formation of monomers may also be important in regulated proteolytic degradation of the complexes. Structural changes driven by thermo-optic mechanisms may therefore provide plants with a novel mechanism for regulation of light harvesting in excess light.</t>
  </si>
  <si>
    <t>15121-15129</t>
  </si>
  <si>
    <t>60027811;60025187;60027811;60027811;60027811;60027811;60027811;60001881;60027811;60025187;60020547;60027811</t>
  </si>
  <si>
    <t>35468058100;6602574774;57203046311;25230733100;6602671605;6602538294;6602865305;7004239734;7102944615;25948665100;7006836378;57203184101</t>
  </si>
  <si>
    <t>Garab, Gy√∂z√∂;Cseh, Zolt√°n;Kov√°cs, L√°szl√≥;Rajagopal, Subramanyam;V√°rkonyi, Zsuzsanna;Wentworth, Mark;Must√°rdy, L√°szl√≥;D√©r, Andr√°s;Ruban, Alexander V.;Papp, Elem√©r;Holzenburg, Andreas;Horton, Peter</t>
  </si>
  <si>
    <t>Hungary;Hungary;United States;United Kingdom</t>
  </si>
  <si>
    <t>Budapest;Budapest;College Station;Sheffield</t>
  </si>
  <si>
    <t>Magyar Tudomanyos Akademia;E√∂tv√∂s Lor√°nd Tudom√°nyegyetem;Texas A&amp;M University;The University of Sheffield</t>
  </si>
  <si>
    <t>60027811;60025187;60020547;60001881</t>
  </si>
  <si>
    <t>Garab G.</t>
  </si>
  <si>
    <t>Light-induced trimer to monomer transition in the main light-harvesting antenna complex of plants: Thermo-optic mechanism</t>
  </si>
  <si>
    <t>10.1021/bi026157g</t>
  </si>
  <si>
    <t>2-s2.0-0346736510</t>
  </si>
  <si>
    <t>W-7405-Eng-82</t>
  </si>
  <si>
    <t>['separately mixed', 'rights reserved', 'resulting peptides', 'produce peptides', 'fifteen nanoliters', 'digested independently', 'detected simultaneously', 'chymotrypsin ),', 'capillary system', '40 min', '214 nm', '10 min']</t>
  </si>
  <si>
    <t>Peptide mapping | Protein digestion</t>
  </si>
  <si>
    <t>A novel scheme based on multiplexed capillary electrophoresis (CE) has been developed for high-throughput, low-cost and comprehensive peptide mapping. Orthogonal peptide maps of the protein of interest were obtained by using multiple reaction conditions with three different enzymes (trypsin, pepsin, and chymotrypsin), and multiple separation conditions with six zone electrophoresis buffers and two micellar electrokinetic chromatography (MEKC) buffers. Fifteen nanoliters of two protein samples (Œ≤-lactoglobulin A and Œ≤-lactoglobulin B) were separately mixed on-column and digested independently at 37¬∞C for 10 min to produce peptides in a 20-capillary system. The resulting peptides were detected simultaneously at 214 nm by a photodiode array detector. The overall analysis time from reaction to detection was about 40 min. ¬© 2002 Elsevier Science B.V. All rights reserved.</t>
  </si>
  <si>
    <t>331-341</t>
  </si>
  <si>
    <t>Journal of Chromatography B: Analytical Technologies in the Biomedical and Life Sciences</t>
  </si>
  <si>
    <t>60008023;60008023;60008023</t>
  </si>
  <si>
    <t>55231825900;7402328708;7101971766</t>
  </si>
  <si>
    <t>He, Yan;Zhong, Wenwan;Yeung, Edward S.</t>
  </si>
  <si>
    <t>Ames Laboratory</t>
  </si>
  <si>
    <t>He Y.</t>
  </si>
  <si>
    <t>Multiplexed on-column protein digestion and capillary electrophoresis for high-throughput comprehensive peptide mapping</t>
  </si>
  <si>
    <t>S1570023202006980</t>
  </si>
  <si>
    <t>10.1016/S1570-0232(02)00698-0</t>
  </si>
  <si>
    <t>2-s2.0-0037176223</t>
  </si>
  <si>
    <t>['uphill excitation', 'trapping process', 'thermal activation', 'takes place', 'superexchange mechanism', 'special pair', 'special attention', 'serious difficulty', 'second step', 'rps .)', 'room temperature', 'reorganizing relaxation', 'reaction center', 'rb .)', 'rate constant', 'purple bacteria', 'process proceeds', 'primary process', 'pigments therein', 'physiological temperatures', 'p *.', 'p *,', 'observed data', 'mechanism resolves', 'low temperatures', 'free energy', 'first step', 'excited state', 'energy trapping', 'energy transfer', 'energy difference', 'e .,', 'correspondingly therein', 'core antenna', 'charge separation', 'astronomical extent', '50 cm', '400 cm', '150 cm']</t>
  </si>
  <si>
    <t>In the primary process of photosynthesis, energy of the electronic excited state, A*, in the core antenna is trapped by the reaction center into a state, B, of charge separation between pigments therein. This energy-trapping process is mediated by the excited state, P*, of the special pair of chlorophylls or bacteriochlorophylls in the reaction center. Energy transfer from A* to P* has been reported to be uphill with an excitation-energy difference, for example, amounting to about 200 and 350-400 cm-1 in Rhodobacter (Rb.) sphaeroides and Rhodopseudomonas (Rps.) viridis, respectively, in purple bacteria. The rate constant of this energy-trapping process was calculated with special attention to these species, reproducing observed data in the whole temperature range. At physiological temperatures, this process proceeds by the ordinary sequential mechanism, in which the second step from P* to B takes place after thermalization of phonons at P*, in both species. The uphill excitation-energy difference in the first step from A* to P* is blurred out by thermal activation with nearly uniform rate constants of about (50 ps)-1 for the energy trapping at room temperature. In Rb. sphaeroides, P* is thermally (i.e., in the free energy) lower than A* by about 50 cm-1 because of reorganizing relaxation of the medium in association with excitation of pigments. Correspondingly therein, the energy-trapping process is determined by the ordinary sequential mechanism at all temperatures. In Rps. viridis, P* is thermally still higher than A* by about 150 cm-1. Correspondingly, below about 50 K therein, the energy-trapping process changes to the superexchange mechanism in which mediation at P* takes place as a quantum-mechanical virtual process without real population at P*. This mechanism resolves a serious difficulty that the observed data and the expectation from the ordinary sequential mechanism deviate to an astronomical extent at low temperatures in Rps. viridis.</t>
  </si>
  <si>
    <t>13370-13383</t>
  </si>
  <si>
    <t>Sumi, Hitoshi</t>
  </si>
  <si>
    <t>Sumi H.</t>
  </si>
  <si>
    <t>Uphill energy trapping by reaction center in bacterial photosynthesis: Charge separation unistep from antenna excitation, virtually mediated by special-pair excitation</t>
  </si>
  <si>
    <t>10.1021/jp021716e</t>
  </si>
  <si>
    <t>2-s2.0-0037180848</t>
  </si>
  <si>
    <t>['voltage clamp', 'transient calcium', 'tetraethyl ammonium', 'spike threshold', 'sensitive suggesting', 'repetitive spiking', 'remarkably mature', 'partially blocked', 'outward currents', 'odourant stimulation', 'odourant responses', 'necessarily identical', 'inward currents', 'honeybee orns', 'fast transient', 'external calcium', 'early stages', 'early stage', 'different within', 'different mixtures', 'currently envisaged', 'antennal lobe', 'action potentials']</t>
  </si>
  <si>
    <t>Action potentials | Gender-specific heterogeneity | Potassium currents | Primary cell culture | Sodium currents</t>
  </si>
  <si>
    <t>Whole-cell recording techniques were used to characterize ionic membrane currents and odourant responses in honeybee olfactory receptor neurons (ORNs) in primary cell culture. ORNs of workerbee (female) and drone (male) were isolated at an early stage of development before sensory axons connect to their target in the antennal lobe. The results collectively indicate that honeybee ORNs have electrical properties similar, but not necessarily identical to, those currently envisaged for ORNs of other species. Under voltage clamp at least four ionic currents could be distinguished. Inward currents were made of a fast transient, tetrodotoxin-sensitive sodium current. In some ORNs a cadmium-sensitive calcium current was detected. ORNs showed heterogeneity in their outward currents: either outward currents were made of a delayed rectifier type potassium current, which was partially blocked by tetraethyl ammonium or quinidine, or were composed of a delayed rectifier type and a transient calcium-dependent potassium current, which was cadmium-sensitive and abolished by removal of external calcium. The proportion of each of the two outward currents, however, was different within the ORNs of the two sexes suggesting a gender-specific functional heterogeneity. ORNs showed heterogeneity in action potential firing properties: depolarizing current steps elicited either one action potential or, as in most of the cells, it led to repetitive spiking. Action potentials were tetrodotoxin-sensitive suggesting they are carried by sodium. Odourant stimulation with different mixtures and pure substances evoked depolarizing receptor potentials with superimposed action potentials when spike threshold was reached. In summary, honeybee ORNs are remarkably mature at early stages in their development.</t>
  </si>
  <si>
    <t>1139-1152</t>
  </si>
  <si>
    <t>0953816X</t>
  </si>
  <si>
    <t>European Journal of Neuroscience</t>
  </si>
  <si>
    <t>57224791682;7202664000;36106047400</t>
  </si>
  <si>
    <t>Laurent, St√©phanie;Masson, Claudine;Jakob, Ingrid</t>
  </si>
  <si>
    <t>Laurent S.</t>
  </si>
  <si>
    <t>Whole-cell recording from honeybee olfactory receptor neurons: Ionic currents, membrane excitability and odourant response in developing workerbee and drone</t>
  </si>
  <si>
    <t>10.1046/j.1460-9568.2002.01954.x</t>
  </si>
  <si>
    <t>2-s2.0-18744416922</t>
  </si>
  <si>
    <t>['wave photodetectors', 'si lenses', 'metal travelling', 'circuit antennas', 'also used']</t>
  </si>
  <si>
    <t>A description of edge-coupled membrane terahertz photonic transmitters based on metal-semiconductor-metal travelling-wave photodetectors was presented. Printed-circuit antennas were also used in the fabrication. It was found that the photonic transmitters could eliminate the requirement of Si lenses. It was possible to attain a high-optical-to-THz power conversion efficiency.</t>
  </si>
  <si>
    <t>5108-5110</t>
  </si>
  <si>
    <t>60005429;60005429;60005429;60005429;60029241;60029241</t>
  </si>
  <si>
    <t>24468869100;56621990800;57204099478;7404248165;36012621400;56520932400</t>
  </si>
  <si>
    <t>Shi, Jin Wei;Chu, Shi Wei;Tien, Ming Chun;Sun, Chi Kuang;Chiu, Yi Jen;Bowers, John E.</t>
  </si>
  <si>
    <t>Santa Barbara;Taipei</t>
  </si>
  <si>
    <t>University of California, Santa Barbara;National Taiwan University</t>
  </si>
  <si>
    <t>60029241;60005429</t>
  </si>
  <si>
    <t>Shi J.</t>
  </si>
  <si>
    <t>Edge-coupled membrane terahertz photonic transmitters based on metal-semiconductor-metal traveling-wave photodetectors</t>
  </si>
  <si>
    <t>10.1063/1.1533846</t>
  </si>
  <si>
    <t>2-s2.0-0347926429</t>
  </si>
  <si>
    <t>['¬© 2002', 'time results', 'proposed following', 'optical tunneling', 'optical region', 'microwave scale', 'interpreting delay', 'frequency dependency', 'field propagation', 'elements analysis', 'e 66', 'barrier width', 'alternative model', 'also capable', '2002 )].']</t>
  </si>
  <si>
    <t>An alternative model for near-field propagation and optical tunneling is proposed following the lines of the path-integral method developed by Feynman, and in particular by using a transition-elements analysis. Such a model was able to account for the frequency dependency of delay-time results of an experiment involving microwave propagation in the near field using two horn antennas [A. Ranfagni et al., Phys. Rev. E 66, 036111 (2002)]. Furthermore, this approach is also capable of interpreting delay-time results as a function of the barrier width in a frustrated total internal reflection experiment performed at the microwave scale and in the optical region. ¬© 2002 The American Physical Society.</t>
  </si>
  <si>
    <t>60021859;60021859;60021859;60021859-60002324;60002324</t>
  </si>
  <si>
    <t>8893094100;57016509000;6506509518;8216191100;7005893745</t>
  </si>
  <si>
    <t>Agresti, A.;Sandri, P.;Ranfagni, C.;Ranfagni, A.;Ruggeri, R.</t>
  </si>
  <si>
    <t>Agresti A.</t>
  </si>
  <si>
    <t>Anomalous delay in wave propagation and tunneling: A transition-elements analysis of the traversal time</t>
  </si>
  <si>
    <t>10.1103/PhysRevE.66.067604</t>
  </si>
  <si>
    <t>2-s2.0-41349117568</t>
  </si>
  <si>
    <t>['understanding olfaction', 'still elusive', 'specific probes', 'specific expression', 'sensory cells', 'olfactory signalling', 'odourant receptors', 'odour perception', 'moth one', 'molecular level', 'key elements', 'isolated cdna', 'invaluable model', 'indeed expressed', 'heliothis virescens', 'heliothine moth', 'genome database', 'exclusively expressed', 'enormous progress', 'employed exon', 'distinct population', 'clones led']</t>
  </si>
  <si>
    <t>Antennae | Chemoreception | Insects | Olfaction</t>
  </si>
  <si>
    <t>The antennae of moths have been an invaluable model for studying the principles of odour perception. In spite of the enormous progress in understanding olfaction on the molecular level, for the moth one of the key elements in olfactory signalling, the odourant receptors, are still elusive. We have assessed a genome database of a heliothine moth (Heliothis virescens, Noctuidae) and employed exon-specific probes to screen an antennal cDNA library of this species. Analysis of isolated cDNA-clones led to the discovery of a divergent gene family encoding putative seven-transmembrane domain proteins. The notion that they may encode candidate olfactory receptors of the moth, was supported by a tissue-specific expression; several of the subtypes were exclusively expressed in antennae. By means of double-labelling in situ hybridization studies it was demonstrated that the receptors are indeed expressed in antennal sensory neurons; moreover, each receptor subtype appears to be expressed in a distinct population of sensory cells. The results strongly suggest that the newly discovered gene family indeed encodes olfactory receptors of moth.</t>
  </si>
  <si>
    <t>619-628</t>
  </si>
  <si>
    <t>60018373;60091782-102079060;60018373;60018373;60018373;60018373</t>
  </si>
  <si>
    <t>7201508329;6603037070;7801687245;36892346400;6602273862;7103041183</t>
  </si>
  <si>
    <t>Krieger, J√ºrgen;Raming, Klaus;Dewer, Youssef M.E.;Bette, Stefanie;Conzelmann, Sidonie;Breer, Heinz</t>
  </si>
  <si>
    <t>Monheim;Stuttgart;San Francisco</t>
  </si>
  <si>
    <t>Bayer CropScience AG;Universit√§t Hohenheim;Genoptera LLC</t>
  </si>
  <si>
    <t>60091782;60018373;102079060</t>
  </si>
  <si>
    <t>Krieger J.</t>
  </si>
  <si>
    <t>A divergent gene family encoding candidate olfactory receptors of the moth Heliothis virescens</t>
  </si>
  <si>
    <t>10.1046/j.1460-9568.2002.02109.x</t>
  </si>
  <si>
    <t>2-s2.0-18744375437</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</si>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</sst>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5" fillId="0" borderId="0" xfId="0" applyFont="1"/>
    <xf numFmtId="164" fontId="5" fillId="0" borderId="0" xfId="0" applyNumberFormat="1" applyFont="1"/>
    <xf numFmtId="0" fontId="6" fillId="0" borderId="2" xfId="0" applyFont="1" applyBorder="1" applyAlignment="1">
      <alignment horizontal="center" vertical="top"/>
    </xf>
    <xf numFmtId="0" fontId="7" fillId="0" borderId="0" xfId="2" applyFont="1" applyFill="1" applyBorder="1" applyAlignment="1">
      <alignment horizontal="center" vertical="top"/>
    </xf>
    <xf numFmtId="0" fontId="6" fillId="0" borderId="0" xfId="0" applyFont="1" applyAlignment="1">
      <alignment horizontal="center" vertical="top"/>
    </xf>
    <xf numFmtId="2" fontId="5" fillId="0" borderId="0" xfId="0" applyNumberFormat="1" applyFont="1"/>
    <xf numFmtId="2" fontId="8" fillId="0" borderId="0" xfId="1" applyNumberFormat="1" applyFont="1" applyFill="1"/>
    <xf numFmtId="0" fontId="9"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4B44-B18D-5642-A4F4-2C10842614D7}">
  <dimension ref="A1:AW924"/>
  <sheetViews>
    <sheetView tabSelected="1" topLeftCell="Z1" workbookViewId="0">
      <selection activeCell="AN2" sqref="AN2"/>
    </sheetView>
  </sheetViews>
  <sheetFormatPr baseColWidth="10" defaultRowHeight="16" x14ac:dyDescent="0.2"/>
  <sheetData>
    <row r="1" spans="1:49" s="20" customFormat="1" x14ac:dyDescent="0.2">
      <c r="A1" s="12"/>
      <c r="B1" s="12" t="s">
        <v>12099</v>
      </c>
      <c r="C1" s="12" t="s">
        <v>12100</v>
      </c>
      <c r="D1" s="12" t="s">
        <v>12101</v>
      </c>
      <c r="E1" s="12" t="s">
        <v>12102</v>
      </c>
      <c r="F1" s="12" t="s">
        <v>12103</v>
      </c>
      <c r="G1" s="12" t="s">
        <v>12104</v>
      </c>
      <c r="H1" s="12" t="s">
        <v>12105</v>
      </c>
      <c r="I1" s="12" t="s">
        <v>12106</v>
      </c>
      <c r="J1" s="12" t="s">
        <v>12107</v>
      </c>
      <c r="K1" s="12" t="s">
        <v>12108</v>
      </c>
      <c r="L1" s="12" t="s">
        <v>12109</v>
      </c>
      <c r="M1" s="12" t="s">
        <v>12110</v>
      </c>
      <c r="N1" s="12" t="s">
        <v>12111</v>
      </c>
      <c r="O1" s="12" t="s">
        <v>12112</v>
      </c>
      <c r="P1" s="12" t="s">
        <v>12113</v>
      </c>
      <c r="Q1" s="12" t="s">
        <v>12114</v>
      </c>
      <c r="R1" s="13" t="s">
        <v>12115</v>
      </c>
      <c r="S1" s="12" t="s">
        <v>12116</v>
      </c>
      <c r="T1" s="12" t="s">
        <v>12116</v>
      </c>
      <c r="U1" s="12" t="s">
        <v>12117</v>
      </c>
      <c r="V1" s="13" t="s">
        <v>12118</v>
      </c>
      <c r="W1" s="12" t="s">
        <v>12119</v>
      </c>
      <c r="X1" s="14" t="s">
        <v>12120</v>
      </c>
      <c r="Y1" s="15" t="s">
        <v>12121</v>
      </c>
      <c r="Z1" s="16" t="s">
        <v>12122</v>
      </c>
      <c r="AA1" s="12" t="s">
        <v>12123</v>
      </c>
      <c r="AB1" s="12" t="s">
        <v>12124</v>
      </c>
      <c r="AC1" s="12" t="s">
        <v>12125</v>
      </c>
      <c r="AD1" s="12" t="s">
        <v>12126</v>
      </c>
      <c r="AE1" s="12" t="s">
        <v>12127</v>
      </c>
      <c r="AF1" s="12" t="s">
        <v>12128</v>
      </c>
      <c r="AG1" s="12" t="s">
        <v>12129</v>
      </c>
      <c r="AH1" s="12" t="s">
        <v>12130</v>
      </c>
      <c r="AI1" s="12" t="s">
        <v>12131</v>
      </c>
      <c r="AJ1" s="12" t="s">
        <v>12132</v>
      </c>
      <c r="AK1" s="14" t="s">
        <v>12133</v>
      </c>
      <c r="AL1" s="12" t="s">
        <v>12134</v>
      </c>
      <c r="AM1" s="17" t="s">
        <v>12135</v>
      </c>
      <c r="AN1" s="18" t="s">
        <v>12136</v>
      </c>
      <c r="AO1" s="18" t="s">
        <v>12122</v>
      </c>
      <c r="AP1" s="12" t="s">
        <v>12137</v>
      </c>
      <c r="AQ1" s="12" t="s">
        <v>12138</v>
      </c>
      <c r="AR1" s="12" t="s">
        <v>12139</v>
      </c>
      <c r="AS1" s="12" t="s">
        <v>12140</v>
      </c>
      <c r="AT1" s="14" t="s">
        <v>12141</v>
      </c>
      <c r="AU1" s="19" t="s">
        <v>12142</v>
      </c>
      <c r="AV1" s="19" t="s">
        <v>12143</v>
      </c>
      <c r="AW1" s="19" t="s">
        <v>12144</v>
      </c>
    </row>
    <row r="2" spans="1:49" x14ac:dyDescent="0.2">
      <c r="A2">
        <v>0</v>
      </c>
      <c r="B2" t="s">
        <v>12098</v>
      </c>
      <c r="C2" t="s">
        <v>12097</v>
      </c>
      <c r="E2">
        <v>12270037</v>
      </c>
      <c r="F2" t="s">
        <v>12096</v>
      </c>
      <c r="G2" t="s">
        <v>5</v>
      </c>
      <c r="H2" t="s">
        <v>4</v>
      </c>
      <c r="I2" t="s">
        <v>12095</v>
      </c>
      <c r="J2" t="s">
        <v>12094</v>
      </c>
      <c r="K2" t="s">
        <v>12093</v>
      </c>
      <c r="L2" t="s">
        <v>12092</v>
      </c>
      <c r="M2" t="s">
        <v>106</v>
      </c>
      <c r="N2">
        <v>6</v>
      </c>
      <c r="O2" t="s">
        <v>12091</v>
      </c>
      <c r="P2" t="s">
        <v>12090</v>
      </c>
      <c r="Q2" t="s">
        <v>12089</v>
      </c>
      <c r="R2" s="7">
        <v>37621</v>
      </c>
      <c r="S2" s="8">
        <f t="shared" ref="S2:S65" si="0">YEAR(R2)</f>
        <v>2002</v>
      </c>
      <c r="T2" s="8">
        <v>2002</v>
      </c>
      <c r="U2" s="8">
        <f t="shared" ref="U2:U65" si="1">2022-T2</f>
        <v>20</v>
      </c>
      <c r="V2" s="7">
        <v>2002</v>
      </c>
      <c r="W2" t="s">
        <v>12056</v>
      </c>
      <c r="X2" s="2">
        <v>1.3460000000000001</v>
      </c>
      <c r="Y2" s="6">
        <f>(X2-$Z$3)/($Z$2-$Z$3)</f>
        <v>3.593070126264649E-2</v>
      </c>
      <c r="Z2">
        <v>37.460999999999999</v>
      </c>
      <c r="AA2" t="s">
        <v>12055</v>
      </c>
      <c r="AB2">
        <v>15550</v>
      </c>
      <c r="AD2" t="s">
        <v>2</v>
      </c>
      <c r="AE2">
        <v>16</v>
      </c>
      <c r="AF2">
        <v>4</v>
      </c>
      <c r="AH2" t="s">
        <v>12088</v>
      </c>
      <c r="AI2" t="s">
        <v>12087</v>
      </c>
      <c r="AJ2" t="s">
        <v>12086</v>
      </c>
      <c r="AK2" t="s">
        <v>12085</v>
      </c>
      <c r="AL2">
        <v>177</v>
      </c>
      <c r="AM2" s="5">
        <f t="shared" ref="AM2:AM65" si="2">AL2/U2</f>
        <v>8.85</v>
      </c>
      <c r="AN2" s="4">
        <f>(AM2-$AO$3)/($AO$2-$AO$3)</f>
        <v>1.3404013631200303E-2</v>
      </c>
      <c r="AO2" s="3">
        <v>660.25</v>
      </c>
      <c r="AP2">
        <v>0</v>
      </c>
      <c r="AR2" t="s">
        <v>1</v>
      </c>
      <c r="AT2" s="2">
        <v>3.3860000000000001</v>
      </c>
      <c r="AU2" s="1">
        <f t="shared" ref="AU2:AU65" si="3">(Y2*0.7+AN2*0.3)*100</f>
        <v>2.9172694973212634</v>
      </c>
      <c r="AV2" s="1">
        <f t="shared" ref="AV2:AV65" si="4">(Y2*0.5+AN2*0.5)*100</f>
        <v>2.4667357446923397</v>
      </c>
      <c r="AW2" s="1">
        <f t="shared" ref="AW2:AW65" si="5">(Y2*0.3+AN2*0.7)*100</f>
        <v>2.016201992063416</v>
      </c>
    </row>
    <row r="3" spans="1:49" x14ac:dyDescent="0.2">
      <c r="A3">
        <v>1</v>
      </c>
      <c r="B3" t="s">
        <v>12084</v>
      </c>
      <c r="C3" t="s">
        <v>12083</v>
      </c>
      <c r="E3">
        <v>12513452</v>
      </c>
      <c r="F3" t="s">
        <v>12082</v>
      </c>
      <c r="G3" t="s">
        <v>5</v>
      </c>
      <c r="H3" t="s">
        <v>4</v>
      </c>
      <c r="I3" t="s">
        <v>12081</v>
      </c>
      <c r="J3" t="s">
        <v>5480</v>
      </c>
      <c r="K3" t="s">
        <v>5479</v>
      </c>
      <c r="L3" t="s">
        <v>5478</v>
      </c>
      <c r="M3" t="s">
        <v>88</v>
      </c>
      <c r="N3">
        <v>5</v>
      </c>
      <c r="O3" t="s">
        <v>12080</v>
      </c>
      <c r="P3" t="s">
        <v>12079</v>
      </c>
      <c r="Q3" t="s">
        <v>12078</v>
      </c>
      <c r="R3" s="7">
        <v>37620</v>
      </c>
      <c r="S3" s="8">
        <f t="shared" si="0"/>
        <v>2002</v>
      </c>
      <c r="T3" s="8">
        <v>2002</v>
      </c>
      <c r="U3" s="8">
        <f t="shared" si="1"/>
        <v>20</v>
      </c>
      <c r="V3" s="7">
        <v>37620</v>
      </c>
      <c r="W3" t="s">
        <v>5474</v>
      </c>
      <c r="X3" s="2">
        <v>0.89600000000000002</v>
      </c>
      <c r="Y3" s="6">
        <f t="shared" ref="Y3:Y66" si="6">(X3-$Z$3)/($Z$2-$Z$3)</f>
        <v>2.3918208269934065E-2</v>
      </c>
      <c r="Z3">
        <v>0</v>
      </c>
      <c r="AA3" t="s">
        <v>5473</v>
      </c>
      <c r="AB3">
        <v>21100855841</v>
      </c>
      <c r="AD3" t="s">
        <v>2</v>
      </c>
      <c r="AE3">
        <v>66</v>
      </c>
      <c r="AF3">
        <v>6</v>
      </c>
      <c r="AH3">
        <v>4</v>
      </c>
      <c r="AI3" t="s">
        <v>12077</v>
      </c>
      <c r="AK3" t="s">
        <v>12076</v>
      </c>
      <c r="AL3">
        <v>11</v>
      </c>
      <c r="AM3" s="5">
        <f t="shared" si="2"/>
        <v>0.55000000000000004</v>
      </c>
      <c r="AN3" s="4">
        <f t="shared" ref="AN3:AN66" si="7">(AM3-$AO$3)/($AO$2-$AO$3)</f>
        <v>8.3301779628928443E-4</v>
      </c>
      <c r="AO3" s="3">
        <v>0</v>
      </c>
      <c r="AP3">
        <v>0</v>
      </c>
      <c r="AR3" t="s">
        <v>1</v>
      </c>
      <c r="AT3" s="2" t="s">
        <v>0</v>
      </c>
      <c r="AU3" s="1">
        <f t="shared" si="3"/>
        <v>1.6992651127840628</v>
      </c>
      <c r="AV3" s="1">
        <f t="shared" si="4"/>
        <v>1.2375613033111674</v>
      </c>
      <c r="AW3" s="1">
        <f t="shared" si="5"/>
        <v>0.77585749383827174</v>
      </c>
    </row>
    <row r="4" spans="1:49" x14ac:dyDescent="0.2">
      <c r="A4">
        <v>2</v>
      </c>
      <c r="B4" t="s">
        <v>12075</v>
      </c>
      <c r="C4" t="s">
        <v>12074</v>
      </c>
      <c r="F4" t="s">
        <v>12073</v>
      </c>
      <c r="G4" t="s">
        <v>5</v>
      </c>
      <c r="H4" t="s">
        <v>4</v>
      </c>
      <c r="I4" t="s">
        <v>12072</v>
      </c>
      <c r="J4" t="s">
        <v>12071</v>
      </c>
      <c r="K4" t="s">
        <v>12070</v>
      </c>
      <c r="L4" t="s">
        <v>12069</v>
      </c>
      <c r="M4" t="s">
        <v>1827</v>
      </c>
      <c r="N4">
        <v>6</v>
      </c>
      <c r="O4" t="s">
        <v>12068</v>
      </c>
      <c r="P4" t="s">
        <v>12067</v>
      </c>
      <c r="Q4" t="s">
        <v>12066</v>
      </c>
      <c r="R4" s="7">
        <v>37620</v>
      </c>
      <c r="S4" s="8">
        <f t="shared" si="0"/>
        <v>2002</v>
      </c>
      <c r="T4" s="8">
        <v>2002</v>
      </c>
      <c r="U4" s="8">
        <f t="shared" si="1"/>
        <v>20</v>
      </c>
      <c r="V4" s="7">
        <v>37620</v>
      </c>
      <c r="W4" t="s">
        <v>958</v>
      </c>
      <c r="X4" s="2">
        <v>1.1819999999999999</v>
      </c>
      <c r="Y4" s="6">
        <f t="shared" si="6"/>
        <v>3.1552814927524625E-2</v>
      </c>
      <c r="AA4">
        <v>36951</v>
      </c>
      <c r="AB4">
        <v>27030</v>
      </c>
      <c r="AD4" t="s">
        <v>2</v>
      </c>
      <c r="AE4">
        <v>81</v>
      </c>
      <c r="AF4">
        <v>27</v>
      </c>
      <c r="AH4" t="s">
        <v>12065</v>
      </c>
      <c r="AI4" t="s">
        <v>12064</v>
      </c>
      <c r="AK4" t="s">
        <v>12063</v>
      </c>
      <c r="AL4">
        <v>20</v>
      </c>
      <c r="AM4" s="5">
        <f t="shared" si="2"/>
        <v>1</v>
      </c>
      <c r="AN4" s="4">
        <f t="shared" si="7"/>
        <v>1.5145778114350624E-3</v>
      </c>
      <c r="AO4" s="3"/>
      <c r="AP4">
        <v>0</v>
      </c>
      <c r="AR4" t="s">
        <v>1</v>
      </c>
      <c r="AT4" s="2">
        <v>3.7909999999999999</v>
      </c>
      <c r="AU4" s="1">
        <f t="shared" si="3"/>
        <v>2.2541343792697752</v>
      </c>
      <c r="AV4" s="1">
        <f t="shared" si="4"/>
        <v>1.6533696369479842</v>
      </c>
      <c r="AW4" s="1">
        <f t="shared" si="5"/>
        <v>1.0526048946261932</v>
      </c>
    </row>
    <row r="5" spans="1:49" x14ac:dyDescent="0.2">
      <c r="A5">
        <v>3</v>
      </c>
      <c r="B5" t="s">
        <v>12062</v>
      </c>
      <c r="C5" t="s">
        <v>12061</v>
      </c>
      <c r="E5">
        <v>11982625</v>
      </c>
      <c r="F5" t="s">
        <v>12060</v>
      </c>
      <c r="G5" t="s">
        <v>5</v>
      </c>
      <c r="H5" t="s">
        <v>4</v>
      </c>
      <c r="I5" t="s">
        <v>12059</v>
      </c>
      <c r="J5">
        <v>60008134</v>
      </c>
      <c r="K5" t="s">
        <v>1154</v>
      </c>
      <c r="L5" t="s">
        <v>15</v>
      </c>
      <c r="M5" t="s">
        <v>14</v>
      </c>
      <c r="N5">
        <v>3</v>
      </c>
      <c r="O5" t="s">
        <v>12058</v>
      </c>
      <c r="P5" t="s">
        <v>12057</v>
      </c>
      <c r="Q5" t="s">
        <v>5994</v>
      </c>
      <c r="R5" s="7">
        <v>37618</v>
      </c>
      <c r="S5" s="8">
        <f t="shared" si="0"/>
        <v>2002</v>
      </c>
      <c r="T5" s="8">
        <v>2002</v>
      </c>
      <c r="U5" s="8">
        <f t="shared" si="1"/>
        <v>20</v>
      </c>
      <c r="V5" s="7">
        <v>2002</v>
      </c>
      <c r="W5" t="s">
        <v>12056</v>
      </c>
      <c r="X5" s="2">
        <v>1.3460000000000001</v>
      </c>
      <c r="Y5" s="6">
        <f t="shared" si="6"/>
        <v>3.593070126264649E-2</v>
      </c>
      <c r="AA5" t="s">
        <v>12055</v>
      </c>
      <c r="AB5">
        <v>15550</v>
      </c>
      <c r="AD5" t="s">
        <v>2</v>
      </c>
      <c r="AE5">
        <v>15</v>
      </c>
      <c r="AF5">
        <v>7</v>
      </c>
      <c r="AH5" t="s">
        <v>12054</v>
      </c>
      <c r="AI5" t="s">
        <v>12053</v>
      </c>
      <c r="AJ5" t="s">
        <v>12052</v>
      </c>
      <c r="AK5" t="s">
        <v>12051</v>
      </c>
      <c r="AL5">
        <v>18</v>
      </c>
      <c r="AM5" s="5">
        <f t="shared" si="2"/>
        <v>0.9</v>
      </c>
      <c r="AN5" s="4">
        <f t="shared" si="7"/>
        <v>1.3631200302915562E-3</v>
      </c>
      <c r="AO5" s="3"/>
      <c r="AP5">
        <v>0</v>
      </c>
      <c r="AR5" t="s">
        <v>1</v>
      </c>
      <c r="AT5" s="2">
        <v>3.3860000000000001</v>
      </c>
      <c r="AU5" s="1">
        <f t="shared" si="3"/>
        <v>2.5560426892940007</v>
      </c>
      <c r="AV5" s="1">
        <f t="shared" si="4"/>
        <v>1.8646910646469024</v>
      </c>
      <c r="AW5" s="1">
        <f t="shared" si="5"/>
        <v>1.1733394399998036</v>
      </c>
    </row>
    <row r="6" spans="1:49" x14ac:dyDescent="0.2">
      <c r="A6">
        <v>4</v>
      </c>
      <c r="B6" t="s">
        <v>12050</v>
      </c>
      <c r="C6" t="s">
        <v>12049</v>
      </c>
      <c r="F6" t="s">
        <v>12048</v>
      </c>
      <c r="G6" t="s">
        <v>5</v>
      </c>
      <c r="H6" t="s">
        <v>4</v>
      </c>
      <c r="I6" t="s">
        <v>12047</v>
      </c>
      <c r="J6">
        <v>60014256</v>
      </c>
      <c r="K6" t="s">
        <v>629</v>
      </c>
      <c r="L6" t="s">
        <v>483</v>
      </c>
      <c r="M6" t="s">
        <v>36</v>
      </c>
      <c r="N6">
        <v>1</v>
      </c>
      <c r="O6" t="s">
        <v>12046</v>
      </c>
      <c r="P6">
        <v>56276178400</v>
      </c>
      <c r="Q6">
        <v>60014256</v>
      </c>
      <c r="R6" s="7">
        <v>37616</v>
      </c>
      <c r="S6" s="8">
        <f t="shared" si="0"/>
        <v>2002</v>
      </c>
      <c r="T6" s="8">
        <v>2002</v>
      </c>
      <c r="U6" s="8">
        <f t="shared" si="1"/>
        <v>20</v>
      </c>
      <c r="V6" s="7">
        <v>37616</v>
      </c>
      <c r="W6" t="s">
        <v>1048</v>
      </c>
      <c r="X6" s="2">
        <v>0.86399999999999999</v>
      </c>
      <c r="Y6" s="6">
        <f t="shared" si="6"/>
        <v>2.3063986546007848E-2</v>
      </c>
      <c r="AA6">
        <v>10895647</v>
      </c>
      <c r="AB6">
        <v>26970</v>
      </c>
      <c r="AD6" t="s">
        <v>2</v>
      </c>
      <c r="AE6">
        <v>106</v>
      </c>
      <c r="AF6">
        <v>51</v>
      </c>
      <c r="AH6" t="s">
        <v>12045</v>
      </c>
      <c r="AI6" t="s">
        <v>12044</v>
      </c>
      <c r="AK6" t="s">
        <v>12043</v>
      </c>
      <c r="AL6">
        <v>13</v>
      </c>
      <c r="AM6" s="5">
        <f t="shared" si="2"/>
        <v>0.65</v>
      </c>
      <c r="AN6" s="4">
        <f t="shared" si="7"/>
        <v>9.8447557743279067E-4</v>
      </c>
      <c r="AO6" s="3"/>
      <c r="AP6">
        <v>0</v>
      </c>
      <c r="AR6" t="s">
        <v>1</v>
      </c>
      <c r="AT6" s="2">
        <v>2.9910000000000001</v>
      </c>
      <c r="AU6" s="1">
        <f t="shared" si="3"/>
        <v>1.6440133255435327</v>
      </c>
      <c r="AV6" s="1">
        <f t="shared" si="4"/>
        <v>1.2024231061720321</v>
      </c>
      <c r="AW6" s="1">
        <f t="shared" si="5"/>
        <v>0.76083288680053074</v>
      </c>
    </row>
    <row r="7" spans="1:49" x14ac:dyDescent="0.2">
      <c r="A7">
        <v>5</v>
      </c>
      <c r="B7" t="s">
        <v>12042</v>
      </c>
      <c r="C7" t="s">
        <v>12041</v>
      </c>
      <c r="D7" t="s">
        <v>12040</v>
      </c>
      <c r="E7">
        <v>12458016</v>
      </c>
      <c r="F7" t="s">
        <v>12039</v>
      </c>
      <c r="G7" t="s">
        <v>5</v>
      </c>
      <c r="H7" t="s">
        <v>4</v>
      </c>
      <c r="I7" t="s">
        <v>12038</v>
      </c>
      <c r="J7">
        <v>60008023</v>
      </c>
      <c r="K7" t="s">
        <v>12037</v>
      </c>
      <c r="L7" t="s">
        <v>212</v>
      </c>
      <c r="M7" t="s">
        <v>7</v>
      </c>
      <c r="N7">
        <v>3</v>
      </c>
      <c r="O7" t="s">
        <v>12036</v>
      </c>
      <c r="P7" t="s">
        <v>12035</v>
      </c>
      <c r="Q7" t="s">
        <v>12034</v>
      </c>
      <c r="R7" s="7">
        <v>37615</v>
      </c>
      <c r="S7" s="8">
        <f t="shared" si="0"/>
        <v>2002</v>
      </c>
      <c r="T7" s="8">
        <v>2002</v>
      </c>
      <c r="U7" s="8">
        <f t="shared" si="1"/>
        <v>20</v>
      </c>
      <c r="V7" s="7">
        <v>37615</v>
      </c>
      <c r="W7" t="s">
        <v>12033</v>
      </c>
      <c r="X7" s="2">
        <v>0.72899999999999998</v>
      </c>
      <c r="Y7" s="6">
        <f t="shared" si="6"/>
        <v>1.9460238648194121E-2</v>
      </c>
      <c r="AA7">
        <v>15700232</v>
      </c>
      <c r="AB7">
        <v>24172</v>
      </c>
      <c r="AD7" t="s">
        <v>2</v>
      </c>
      <c r="AE7">
        <v>782</v>
      </c>
      <c r="AF7" s="9">
        <v>44228</v>
      </c>
      <c r="AH7" t="s">
        <v>12032</v>
      </c>
      <c r="AI7" t="s">
        <v>12031</v>
      </c>
      <c r="AJ7" t="s">
        <v>12030</v>
      </c>
      <c r="AK7" t="s">
        <v>12029</v>
      </c>
      <c r="AL7">
        <v>21</v>
      </c>
      <c r="AM7" s="5">
        <f t="shared" si="2"/>
        <v>1.05</v>
      </c>
      <c r="AN7" s="4">
        <f t="shared" si="7"/>
        <v>1.5903067020068156E-3</v>
      </c>
      <c r="AO7" s="3"/>
      <c r="AP7">
        <v>0</v>
      </c>
      <c r="AQ7" t="s">
        <v>284</v>
      </c>
      <c r="AR7" t="s">
        <v>12028</v>
      </c>
      <c r="AS7" t="s">
        <v>283</v>
      </c>
      <c r="AT7" s="2" t="s">
        <v>0</v>
      </c>
      <c r="AU7" s="1">
        <f t="shared" si="3"/>
        <v>1.409925906433793</v>
      </c>
      <c r="AV7" s="1">
        <f t="shared" si="4"/>
        <v>1.052527267510047</v>
      </c>
      <c r="AW7" s="1">
        <f t="shared" si="5"/>
        <v>0.69512862858630065</v>
      </c>
    </row>
    <row r="8" spans="1:49" x14ac:dyDescent="0.2">
      <c r="A8">
        <v>6</v>
      </c>
      <c r="B8" t="s">
        <v>12027</v>
      </c>
      <c r="C8" t="s">
        <v>12026</v>
      </c>
      <c r="E8">
        <v>12484748</v>
      </c>
      <c r="F8" t="s">
        <v>12025</v>
      </c>
      <c r="G8" t="s">
        <v>5</v>
      </c>
      <c r="H8" t="s">
        <v>4</v>
      </c>
      <c r="I8" t="s">
        <v>12024</v>
      </c>
      <c r="J8" t="s">
        <v>12023</v>
      </c>
      <c r="K8" t="s">
        <v>12022</v>
      </c>
      <c r="L8" t="s">
        <v>12021</v>
      </c>
      <c r="M8" t="s">
        <v>12020</v>
      </c>
      <c r="N8">
        <v>12</v>
      </c>
      <c r="O8" t="s">
        <v>12019</v>
      </c>
      <c r="P8" t="s">
        <v>12018</v>
      </c>
      <c r="Q8" t="s">
        <v>12017</v>
      </c>
      <c r="R8" s="7">
        <v>37614</v>
      </c>
      <c r="S8" s="8">
        <f t="shared" si="0"/>
        <v>2002</v>
      </c>
      <c r="T8" s="8">
        <v>2002</v>
      </c>
      <c r="U8" s="8">
        <f t="shared" si="1"/>
        <v>20</v>
      </c>
      <c r="V8" s="7">
        <v>37614</v>
      </c>
      <c r="W8" t="s">
        <v>797</v>
      </c>
      <c r="X8" s="2">
        <v>1.43</v>
      </c>
      <c r="Y8" s="6">
        <f t="shared" si="6"/>
        <v>3.8173033287952803E-2</v>
      </c>
      <c r="AA8">
        <v>62960</v>
      </c>
      <c r="AB8">
        <v>16867</v>
      </c>
      <c r="AD8" t="s">
        <v>2</v>
      </c>
      <c r="AE8">
        <v>41</v>
      </c>
      <c r="AF8">
        <v>51</v>
      </c>
      <c r="AH8" t="s">
        <v>12016</v>
      </c>
      <c r="AI8" t="s">
        <v>12015</v>
      </c>
      <c r="AK8" t="s">
        <v>12014</v>
      </c>
      <c r="AL8">
        <v>116</v>
      </c>
      <c r="AM8" s="5">
        <f t="shared" si="2"/>
        <v>5.8</v>
      </c>
      <c r="AN8" s="4">
        <f t="shared" si="7"/>
        <v>8.7845513063233623E-3</v>
      </c>
      <c r="AO8" s="3"/>
      <c r="AP8">
        <v>0</v>
      </c>
      <c r="AR8" t="s">
        <v>1</v>
      </c>
      <c r="AT8" s="2">
        <v>3.1619999999999999</v>
      </c>
      <c r="AU8" s="1">
        <f t="shared" si="3"/>
        <v>2.9356488693463971</v>
      </c>
      <c r="AV8" s="1">
        <f t="shared" si="4"/>
        <v>2.3478792297138082</v>
      </c>
      <c r="AW8" s="1">
        <f t="shared" si="5"/>
        <v>1.7601095900812194</v>
      </c>
    </row>
    <row r="9" spans="1:49" x14ac:dyDescent="0.2">
      <c r="A9">
        <v>7</v>
      </c>
      <c r="B9" t="s">
        <v>12013</v>
      </c>
      <c r="C9" t="s">
        <v>12012</v>
      </c>
      <c r="E9">
        <v>12486222</v>
      </c>
      <c r="F9" t="s">
        <v>12011</v>
      </c>
      <c r="G9" t="s">
        <v>5</v>
      </c>
      <c r="H9" t="s">
        <v>4</v>
      </c>
      <c r="I9" t="s">
        <v>12010</v>
      </c>
      <c r="J9" t="s">
        <v>12009</v>
      </c>
      <c r="K9" t="s">
        <v>12008</v>
      </c>
      <c r="L9" t="s">
        <v>12007</v>
      </c>
      <c r="M9" t="s">
        <v>3</v>
      </c>
      <c r="N9">
        <v>6</v>
      </c>
      <c r="O9" t="s">
        <v>12006</v>
      </c>
      <c r="P9" t="s">
        <v>12005</v>
      </c>
      <c r="Q9" t="s">
        <v>12004</v>
      </c>
      <c r="R9" s="7">
        <v>37614</v>
      </c>
      <c r="S9" s="8">
        <f t="shared" si="0"/>
        <v>2002</v>
      </c>
      <c r="T9" s="8">
        <v>2002</v>
      </c>
      <c r="U9" s="8">
        <f t="shared" si="1"/>
        <v>20</v>
      </c>
      <c r="V9" s="7">
        <v>37614</v>
      </c>
      <c r="W9" t="s">
        <v>968</v>
      </c>
      <c r="X9" s="2">
        <v>5.0110000000000001</v>
      </c>
      <c r="Y9" s="6">
        <f t="shared" si="6"/>
        <v>0.13376578308107098</v>
      </c>
      <c r="AA9">
        <v>278424</v>
      </c>
      <c r="AB9">
        <v>21121</v>
      </c>
      <c r="AD9" t="s">
        <v>2</v>
      </c>
      <c r="AE9">
        <v>99</v>
      </c>
      <c r="AF9">
        <v>26</v>
      </c>
      <c r="AH9" t="s">
        <v>12003</v>
      </c>
      <c r="AI9" t="s">
        <v>12002</v>
      </c>
      <c r="AJ9" t="s">
        <v>12001</v>
      </c>
      <c r="AK9" t="s">
        <v>12000</v>
      </c>
      <c r="AL9">
        <v>261</v>
      </c>
      <c r="AM9" s="5">
        <f t="shared" si="2"/>
        <v>13.05</v>
      </c>
      <c r="AN9" s="4">
        <f t="shared" si="7"/>
        <v>1.9765240439227567E-2</v>
      </c>
      <c r="AO9" s="3"/>
      <c r="AP9">
        <v>1</v>
      </c>
      <c r="AR9" t="s">
        <v>1</v>
      </c>
      <c r="AT9" s="2" t="s">
        <v>0</v>
      </c>
      <c r="AU9" s="1">
        <f t="shared" si="3"/>
        <v>9.9565620288517955</v>
      </c>
      <c r="AV9" s="1">
        <f t="shared" si="4"/>
        <v>7.676551176014927</v>
      </c>
      <c r="AW9" s="1">
        <f t="shared" si="5"/>
        <v>5.3965403231780593</v>
      </c>
    </row>
    <row r="10" spans="1:49" x14ac:dyDescent="0.2">
      <c r="A10">
        <v>8</v>
      </c>
      <c r="B10" t="s">
        <v>11999</v>
      </c>
      <c r="C10" t="s">
        <v>11998</v>
      </c>
      <c r="E10">
        <v>12484760</v>
      </c>
      <c r="F10" t="s">
        <v>11997</v>
      </c>
      <c r="G10" t="s">
        <v>5</v>
      </c>
      <c r="H10" t="s">
        <v>4</v>
      </c>
      <c r="I10" t="s">
        <v>346</v>
      </c>
      <c r="J10">
        <v>60008734</v>
      </c>
      <c r="K10" t="s">
        <v>345</v>
      </c>
      <c r="L10" t="s">
        <v>344</v>
      </c>
      <c r="M10" t="s">
        <v>45</v>
      </c>
      <c r="N10">
        <v>5</v>
      </c>
      <c r="O10" t="s">
        <v>11996</v>
      </c>
      <c r="P10" t="s">
        <v>11995</v>
      </c>
      <c r="Q10" t="s">
        <v>343</v>
      </c>
      <c r="R10" s="7">
        <v>37614</v>
      </c>
      <c r="S10" s="8">
        <f t="shared" si="0"/>
        <v>2002</v>
      </c>
      <c r="T10" s="8">
        <v>2002</v>
      </c>
      <c r="U10" s="8">
        <f t="shared" si="1"/>
        <v>20</v>
      </c>
      <c r="V10" s="7">
        <v>37614</v>
      </c>
      <c r="W10" t="s">
        <v>797</v>
      </c>
      <c r="X10" s="2">
        <v>1.43</v>
      </c>
      <c r="Y10" s="6">
        <f t="shared" si="6"/>
        <v>3.8173033287952803E-2</v>
      </c>
      <c r="AA10">
        <v>62960</v>
      </c>
      <c r="AB10">
        <v>16867</v>
      </c>
      <c r="AD10" t="s">
        <v>2</v>
      </c>
      <c r="AE10">
        <v>41</v>
      </c>
      <c r="AF10">
        <v>51</v>
      </c>
      <c r="AH10" t="s">
        <v>11994</v>
      </c>
      <c r="AI10" t="s">
        <v>11993</v>
      </c>
      <c r="AK10" t="s">
        <v>11992</v>
      </c>
      <c r="AL10">
        <v>52</v>
      </c>
      <c r="AM10" s="5">
        <f t="shared" si="2"/>
        <v>2.6</v>
      </c>
      <c r="AN10" s="4">
        <f t="shared" si="7"/>
        <v>3.9379023097311627E-3</v>
      </c>
      <c r="AO10" s="3"/>
      <c r="AP10">
        <v>0</v>
      </c>
      <c r="AR10" t="s">
        <v>1</v>
      </c>
      <c r="AT10" s="2">
        <v>3.1619999999999999</v>
      </c>
      <c r="AU10" s="1">
        <f t="shared" si="3"/>
        <v>2.7902493994486308</v>
      </c>
      <c r="AV10" s="1">
        <f t="shared" si="4"/>
        <v>2.1055467798841985</v>
      </c>
      <c r="AW10" s="1">
        <f t="shared" si="5"/>
        <v>1.4208441603197655</v>
      </c>
    </row>
    <row r="11" spans="1:49" x14ac:dyDescent="0.2">
      <c r="A11">
        <v>9</v>
      </c>
      <c r="B11" t="s">
        <v>11991</v>
      </c>
      <c r="C11" t="s">
        <v>11990</v>
      </c>
      <c r="F11" t="s">
        <v>11989</v>
      </c>
      <c r="G11" t="s">
        <v>5</v>
      </c>
      <c r="H11" t="s">
        <v>4</v>
      </c>
      <c r="I11" t="s">
        <v>11988</v>
      </c>
      <c r="J11" t="s">
        <v>11987</v>
      </c>
      <c r="K11" t="s">
        <v>11986</v>
      </c>
      <c r="L11" t="s">
        <v>11985</v>
      </c>
      <c r="M11" t="s">
        <v>3</v>
      </c>
      <c r="N11">
        <v>2</v>
      </c>
      <c r="O11" t="s">
        <v>11984</v>
      </c>
      <c r="P11" t="s">
        <v>11983</v>
      </c>
      <c r="Q11" t="s">
        <v>11982</v>
      </c>
      <c r="R11" s="7">
        <v>37610</v>
      </c>
      <c r="S11" s="8">
        <f t="shared" si="0"/>
        <v>2002</v>
      </c>
      <c r="T11" s="8">
        <v>2002</v>
      </c>
      <c r="U11" s="8">
        <f t="shared" si="1"/>
        <v>20</v>
      </c>
      <c r="V11" s="7">
        <v>37610</v>
      </c>
      <c r="W11" t="s">
        <v>578</v>
      </c>
      <c r="X11" s="2">
        <v>0.66800000000000004</v>
      </c>
      <c r="Y11" s="6">
        <f t="shared" si="6"/>
        <v>1.7831878486959774E-2</v>
      </c>
      <c r="AA11" t="s">
        <v>577</v>
      </c>
      <c r="AB11">
        <v>29593</v>
      </c>
      <c r="AC11">
        <v>21553165</v>
      </c>
      <c r="AD11" t="s">
        <v>2</v>
      </c>
      <c r="AE11">
        <v>41</v>
      </c>
      <c r="AF11">
        <v>36</v>
      </c>
      <c r="AH11" t="s">
        <v>11981</v>
      </c>
      <c r="AI11" t="s">
        <v>11980</v>
      </c>
      <c r="AK11" t="s">
        <v>11979</v>
      </c>
      <c r="AL11">
        <v>1</v>
      </c>
      <c r="AM11" s="5">
        <f t="shared" si="2"/>
        <v>0.05</v>
      </c>
      <c r="AN11" s="4">
        <f t="shared" si="7"/>
        <v>7.5728890571753133E-5</v>
      </c>
      <c r="AO11" s="3"/>
      <c r="AP11">
        <v>0</v>
      </c>
      <c r="AR11" t="s">
        <v>1</v>
      </c>
      <c r="AT11" s="2">
        <v>1.98</v>
      </c>
      <c r="AU11" s="1">
        <f t="shared" si="3"/>
        <v>1.2505033608043366</v>
      </c>
      <c r="AV11" s="1">
        <f t="shared" si="4"/>
        <v>0.89538036887657624</v>
      </c>
      <c r="AW11" s="1">
        <f t="shared" si="5"/>
        <v>0.54025737694881593</v>
      </c>
    </row>
    <row r="12" spans="1:49" x14ac:dyDescent="0.2">
      <c r="A12">
        <v>10</v>
      </c>
      <c r="B12" t="s">
        <v>11978</v>
      </c>
      <c r="C12" t="s">
        <v>11977</v>
      </c>
      <c r="F12" t="s">
        <v>11976</v>
      </c>
      <c r="G12" t="s">
        <v>5</v>
      </c>
      <c r="H12" t="s">
        <v>4</v>
      </c>
      <c r="I12" t="s">
        <v>11975</v>
      </c>
      <c r="J12">
        <v>60001439</v>
      </c>
      <c r="K12" t="s">
        <v>159</v>
      </c>
      <c r="L12" t="s">
        <v>158</v>
      </c>
      <c r="M12" t="s">
        <v>7</v>
      </c>
      <c r="N12">
        <v>2</v>
      </c>
      <c r="O12" t="s">
        <v>11974</v>
      </c>
      <c r="P12" t="s">
        <v>11973</v>
      </c>
      <c r="Q12" t="s">
        <v>656</v>
      </c>
      <c r="R12" s="7">
        <v>37610</v>
      </c>
      <c r="S12" s="8">
        <f t="shared" si="0"/>
        <v>2002</v>
      </c>
      <c r="T12" s="8">
        <v>2002</v>
      </c>
      <c r="U12" s="8">
        <f t="shared" si="1"/>
        <v>20</v>
      </c>
      <c r="V12" s="7">
        <v>37610</v>
      </c>
      <c r="W12" t="s">
        <v>789</v>
      </c>
      <c r="X12" s="2">
        <v>0.30399999999999999</v>
      </c>
      <c r="Y12" s="6">
        <f t="shared" si="6"/>
        <v>8.115106377299057E-3</v>
      </c>
      <c r="AA12">
        <v>8952477</v>
      </c>
      <c r="AB12">
        <v>12250</v>
      </c>
      <c r="AD12" t="s">
        <v>2</v>
      </c>
      <c r="AE12">
        <v>35</v>
      </c>
      <c r="AF12">
        <v>6</v>
      </c>
      <c r="AH12" t="s">
        <v>11972</v>
      </c>
      <c r="AI12" t="s">
        <v>11971</v>
      </c>
      <c r="AJ12" t="s">
        <v>11970</v>
      </c>
      <c r="AK12" t="s">
        <v>11969</v>
      </c>
      <c r="AL12">
        <v>19</v>
      </c>
      <c r="AM12" s="5">
        <f t="shared" si="2"/>
        <v>0.95</v>
      </c>
      <c r="AN12" s="4">
        <f t="shared" si="7"/>
        <v>1.4388489208633094E-3</v>
      </c>
      <c r="AO12" s="3"/>
      <c r="AP12">
        <v>0</v>
      </c>
      <c r="AR12" t="s">
        <v>1</v>
      </c>
      <c r="AT12" s="2" t="s">
        <v>0</v>
      </c>
      <c r="AU12" s="1">
        <f t="shared" si="3"/>
        <v>0.61122291403683315</v>
      </c>
      <c r="AV12" s="1">
        <f t="shared" si="4"/>
        <v>0.47769776490811827</v>
      </c>
      <c r="AW12" s="1">
        <f t="shared" si="5"/>
        <v>0.34417261577940339</v>
      </c>
    </row>
    <row r="13" spans="1:49" x14ac:dyDescent="0.2">
      <c r="A13">
        <v>11</v>
      </c>
      <c r="B13" t="s">
        <v>11968</v>
      </c>
      <c r="C13" t="s">
        <v>11967</v>
      </c>
      <c r="F13" t="s">
        <v>11966</v>
      </c>
      <c r="G13" t="s">
        <v>5</v>
      </c>
      <c r="H13" t="s">
        <v>4</v>
      </c>
      <c r="I13" t="s">
        <v>11965</v>
      </c>
      <c r="J13">
        <v>60002445</v>
      </c>
      <c r="K13" t="s">
        <v>492</v>
      </c>
      <c r="L13" t="s">
        <v>491</v>
      </c>
      <c r="M13" t="s">
        <v>152</v>
      </c>
      <c r="N13">
        <v>3</v>
      </c>
      <c r="O13" t="s">
        <v>11964</v>
      </c>
      <c r="P13" t="s">
        <v>11963</v>
      </c>
      <c r="Q13" t="s">
        <v>11962</v>
      </c>
      <c r="R13" s="7">
        <v>37610</v>
      </c>
      <c r="S13" s="8">
        <f t="shared" si="0"/>
        <v>2002</v>
      </c>
      <c r="T13" s="8">
        <v>2002</v>
      </c>
      <c r="U13" s="8">
        <f t="shared" si="1"/>
        <v>20</v>
      </c>
      <c r="V13" s="7">
        <v>37610</v>
      </c>
      <c r="W13" t="s">
        <v>789</v>
      </c>
      <c r="X13" s="2">
        <v>0.30399999999999999</v>
      </c>
      <c r="Y13" s="6">
        <f t="shared" si="6"/>
        <v>8.115106377299057E-3</v>
      </c>
      <c r="AA13">
        <v>8952477</v>
      </c>
      <c r="AB13">
        <v>12250</v>
      </c>
      <c r="AD13" t="s">
        <v>2</v>
      </c>
      <c r="AE13">
        <v>35</v>
      </c>
      <c r="AF13">
        <v>6</v>
      </c>
      <c r="AH13" t="s">
        <v>11961</v>
      </c>
      <c r="AI13" t="s">
        <v>11960</v>
      </c>
      <c r="AJ13" t="s">
        <v>11959</v>
      </c>
      <c r="AK13" t="s">
        <v>11958</v>
      </c>
      <c r="AL13">
        <v>2</v>
      </c>
      <c r="AM13" s="5">
        <f t="shared" si="2"/>
        <v>0.1</v>
      </c>
      <c r="AN13" s="4">
        <f t="shared" si="7"/>
        <v>1.5145778114350627E-4</v>
      </c>
      <c r="AO13" s="3"/>
      <c r="AP13">
        <v>0</v>
      </c>
      <c r="AR13" t="s">
        <v>1</v>
      </c>
      <c r="AT13" s="2" t="s">
        <v>0</v>
      </c>
      <c r="AU13" s="1">
        <f t="shared" si="3"/>
        <v>0.57260117984523917</v>
      </c>
      <c r="AV13" s="1">
        <f t="shared" si="4"/>
        <v>0.41332820792212815</v>
      </c>
      <c r="AW13" s="1">
        <f t="shared" si="5"/>
        <v>0.25405523599901714</v>
      </c>
    </row>
    <row r="14" spans="1:49" x14ac:dyDescent="0.2">
      <c r="A14">
        <v>12</v>
      </c>
      <c r="B14" t="s">
        <v>11957</v>
      </c>
      <c r="C14" t="s">
        <v>11956</v>
      </c>
      <c r="F14" t="s">
        <v>11955</v>
      </c>
      <c r="G14" t="s">
        <v>5</v>
      </c>
      <c r="H14" t="s">
        <v>4</v>
      </c>
      <c r="I14" t="s">
        <v>11954</v>
      </c>
      <c r="J14">
        <v>60069521</v>
      </c>
      <c r="K14" t="s">
        <v>11953</v>
      </c>
      <c r="L14" t="s">
        <v>896</v>
      </c>
      <c r="M14" t="s">
        <v>125</v>
      </c>
      <c r="N14">
        <v>2</v>
      </c>
      <c r="O14" t="s">
        <v>11952</v>
      </c>
      <c r="P14" t="s">
        <v>11951</v>
      </c>
      <c r="Q14" t="s">
        <v>11950</v>
      </c>
      <c r="R14" s="7">
        <v>37610</v>
      </c>
      <c r="S14" s="8">
        <f t="shared" si="0"/>
        <v>2002</v>
      </c>
      <c r="T14" s="8">
        <v>2002</v>
      </c>
      <c r="U14" s="8">
        <f t="shared" si="1"/>
        <v>20</v>
      </c>
      <c r="V14" s="7">
        <v>37610</v>
      </c>
      <c r="W14" t="s">
        <v>789</v>
      </c>
      <c r="X14" s="2">
        <v>0.30399999999999999</v>
      </c>
      <c r="Y14" s="6">
        <f t="shared" si="6"/>
        <v>8.115106377299057E-3</v>
      </c>
      <c r="AA14">
        <v>8952477</v>
      </c>
      <c r="AB14">
        <v>12250</v>
      </c>
      <c r="AD14" t="s">
        <v>2</v>
      </c>
      <c r="AE14">
        <v>35</v>
      </c>
      <c r="AF14">
        <v>6</v>
      </c>
      <c r="AH14" t="s">
        <v>11949</v>
      </c>
      <c r="AI14" t="s">
        <v>11948</v>
      </c>
      <c r="AJ14" t="s">
        <v>11947</v>
      </c>
      <c r="AK14" t="s">
        <v>11946</v>
      </c>
      <c r="AL14">
        <v>18</v>
      </c>
      <c r="AM14" s="5">
        <f t="shared" si="2"/>
        <v>0.9</v>
      </c>
      <c r="AN14" s="4">
        <f t="shared" si="7"/>
        <v>1.3631200302915562E-3</v>
      </c>
      <c r="AO14" s="3"/>
      <c r="AP14">
        <v>0</v>
      </c>
      <c r="AR14" t="s">
        <v>1</v>
      </c>
      <c r="AT14" s="2" t="s">
        <v>0</v>
      </c>
      <c r="AU14" s="1">
        <f t="shared" si="3"/>
        <v>0.60895104731968053</v>
      </c>
      <c r="AV14" s="1">
        <f t="shared" si="4"/>
        <v>0.47391132037953065</v>
      </c>
      <c r="AW14" s="1">
        <f t="shared" si="5"/>
        <v>0.33887159343938061</v>
      </c>
    </row>
    <row r="15" spans="1:49" x14ac:dyDescent="0.2">
      <c r="A15">
        <v>13</v>
      </c>
      <c r="B15" t="s">
        <v>11945</v>
      </c>
      <c r="C15" t="s">
        <v>11944</v>
      </c>
      <c r="F15" t="s">
        <v>11943</v>
      </c>
      <c r="G15" t="s">
        <v>5</v>
      </c>
      <c r="H15" t="s">
        <v>4</v>
      </c>
      <c r="I15" t="s">
        <v>11942</v>
      </c>
      <c r="J15">
        <v>60006297</v>
      </c>
      <c r="K15" t="s">
        <v>11941</v>
      </c>
      <c r="L15" t="s">
        <v>988</v>
      </c>
      <c r="M15" t="s">
        <v>7</v>
      </c>
      <c r="N15">
        <v>2</v>
      </c>
      <c r="O15" t="s">
        <v>11940</v>
      </c>
      <c r="P15" t="s">
        <v>11939</v>
      </c>
      <c r="Q15" t="s">
        <v>11938</v>
      </c>
      <c r="R15" s="7">
        <v>37610</v>
      </c>
      <c r="S15" s="8">
        <f t="shared" si="0"/>
        <v>2002</v>
      </c>
      <c r="T15" s="8">
        <v>2002</v>
      </c>
      <c r="U15" s="8">
        <f t="shared" si="1"/>
        <v>20</v>
      </c>
      <c r="V15" s="7">
        <v>37610</v>
      </c>
      <c r="W15" t="s">
        <v>789</v>
      </c>
      <c r="X15" s="2">
        <v>0.30399999999999999</v>
      </c>
      <c r="Y15" s="6">
        <f t="shared" si="6"/>
        <v>8.115106377299057E-3</v>
      </c>
      <c r="AA15">
        <v>8952477</v>
      </c>
      <c r="AB15">
        <v>12250</v>
      </c>
      <c r="AD15" t="s">
        <v>2</v>
      </c>
      <c r="AE15">
        <v>35</v>
      </c>
      <c r="AF15">
        <v>6</v>
      </c>
      <c r="AH15" t="s">
        <v>11937</v>
      </c>
      <c r="AI15" t="s">
        <v>11936</v>
      </c>
      <c r="AJ15" t="s">
        <v>11935</v>
      </c>
      <c r="AK15" t="s">
        <v>11934</v>
      </c>
      <c r="AL15">
        <v>42</v>
      </c>
      <c r="AM15" s="5">
        <f t="shared" si="2"/>
        <v>2.1</v>
      </c>
      <c r="AN15" s="4">
        <f t="shared" si="7"/>
        <v>3.1806134040136312E-3</v>
      </c>
      <c r="AO15" s="3"/>
      <c r="AP15">
        <v>0</v>
      </c>
      <c r="AR15" t="s">
        <v>1</v>
      </c>
      <c r="AT15" s="2" t="s">
        <v>0</v>
      </c>
      <c r="AU15" s="1">
        <f t="shared" si="3"/>
        <v>0.66347584853134289</v>
      </c>
      <c r="AV15" s="1">
        <f t="shared" si="4"/>
        <v>0.56478598906563438</v>
      </c>
      <c r="AW15" s="1">
        <f t="shared" si="5"/>
        <v>0.46609612959992591</v>
      </c>
    </row>
    <row r="16" spans="1:49" x14ac:dyDescent="0.2">
      <c r="A16">
        <v>14</v>
      </c>
      <c r="B16" t="s">
        <v>11933</v>
      </c>
      <c r="C16" t="s">
        <v>11932</v>
      </c>
      <c r="F16" t="s">
        <v>11931</v>
      </c>
      <c r="G16" t="s">
        <v>5</v>
      </c>
      <c r="H16" t="s">
        <v>4</v>
      </c>
      <c r="I16" t="s">
        <v>1087</v>
      </c>
      <c r="J16" t="s">
        <v>11930</v>
      </c>
      <c r="K16" t="s">
        <v>11929</v>
      </c>
      <c r="L16" t="s">
        <v>178</v>
      </c>
      <c r="M16" t="s">
        <v>177</v>
      </c>
      <c r="N16">
        <v>4</v>
      </c>
      <c r="O16" t="s">
        <v>11928</v>
      </c>
      <c r="P16" t="s">
        <v>11927</v>
      </c>
      <c r="Q16" t="s">
        <v>11926</v>
      </c>
      <c r="R16" s="7">
        <v>37610</v>
      </c>
      <c r="S16" s="8">
        <f t="shared" si="0"/>
        <v>2002</v>
      </c>
      <c r="T16" s="8">
        <v>2002</v>
      </c>
      <c r="U16" s="8">
        <f t="shared" si="1"/>
        <v>20</v>
      </c>
      <c r="V16" s="7">
        <v>37610</v>
      </c>
      <c r="W16" t="s">
        <v>789</v>
      </c>
      <c r="X16" s="2">
        <v>0.30399999999999999</v>
      </c>
      <c r="Y16" s="6">
        <f t="shared" si="6"/>
        <v>8.115106377299057E-3</v>
      </c>
      <c r="AA16">
        <v>8952477</v>
      </c>
      <c r="AB16">
        <v>12250</v>
      </c>
      <c r="AD16" t="s">
        <v>2</v>
      </c>
      <c r="AE16">
        <v>35</v>
      </c>
      <c r="AF16">
        <v>6</v>
      </c>
      <c r="AH16" t="s">
        <v>7863</v>
      </c>
      <c r="AI16" t="s">
        <v>11925</v>
      </c>
      <c r="AJ16" t="s">
        <v>11924</v>
      </c>
      <c r="AK16" t="s">
        <v>11923</v>
      </c>
      <c r="AL16">
        <v>13</v>
      </c>
      <c r="AM16" s="5">
        <f t="shared" si="2"/>
        <v>0.65</v>
      </c>
      <c r="AN16" s="4">
        <f t="shared" si="7"/>
        <v>9.8447557743279067E-4</v>
      </c>
      <c r="AO16" s="3"/>
      <c r="AP16">
        <v>0</v>
      </c>
      <c r="AR16" t="s">
        <v>1</v>
      </c>
      <c r="AT16" s="2" t="s">
        <v>0</v>
      </c>
      <c r="AU16" s="1">
        <f t="shared" si="3"/>
        <v>0.59759171373391762</v>
      </c>
      <c r="AV16" s="1">
        <f t="shared" si="4"/>
        <v>0.4549790977365924</v>
      </c>
      <c r="AW16" s="1">
        <f t="shared" si="5"/>
        <v>0.31236648173926707</v>
      </c>
    </row>
    <row r="17" spans="1:49" x14ac:dyDescent="0.2">
      <c r="A17">
        <v>15</v>
      </c>
      <c r="B17" t="s">
        <v>11922</v>
      </c>
      <c r="C17" t="s">
        <v>11921</v>
      </c>
      <c r="F17" t="s">
        <v>11920</v>
      </c>
      <c r="G17" t="s">
        <v>5</v>
      </c>
      <c r="H17" t="s">
        <v>4</v>
      </c>
      <c r="I17" t="s">
        <v>11919</v>
      </c>
      <c r="J17">
        <v>60027550</v>
      </c>
      <c r="K17" t="s">
        <v>288</v>
      </c>
      <c r="L17" t="s">
        <v>69</v>
      </c>
      <c r="M17" t="s">
        <v>7</v>
      </c>
      <c r="N17">
        <v>3</v>
      </c>
      <c r="O17" t="s">
        <v>11918</v>
      </c>
      <c r="P17" t="s">
        <v>11917</v>
      </c>
      <c r="Q17" t="s">
        <v>8615</v>
      </c>
      <c r="R17" s="7">
        <v>37610</v>
      </c>
      <c r="S17" s="8">
        <f t="shared" si="0"/>
        <v>2002</v>
      </c>
      <c r="T17" s="8">
        <v>2002</v>
      </c>
      <c r="U17" s="8">
        <f t="shared" si="1"/>
        <v>20</v>
      </c>
      <c r="V17" s="7">
        <v>37610</v>
      </c>
      <c r="W17" t="s">
        <v>789</v>
      </c>
      <c r="X17" s="2">
        <v>0.30399999999999999</v>
      </c>
      <c r="Y17" s="6">
        <f t="shared" si="6"/>
        <v>8.115106377299057E-3</v>
      </c>
      <c r="AA17">
        <v>8952477</v>
      </c>
      <c r="AB17">
        <v>12250</v>
      </c>
      <c r="AD17" t="s">
        <v>2</v>
      </c>
      <c r="AE17">
        <v>35</v>
      </c>
      <c r="AF17">
        <v>6</v>
      </c>
      <c r="AH17" t="s">
        <v>11916</v>
      </c>
      <c r="AI17" t="s">
        <v>11915</v>
      </c>
      <c r="AJ17" t="s">
        <v>11914</v>
      </c>
      <c r="AK17" t="s">
        <v>11913</v>
      </c>
      <c r="AL17">
        <v>15</v>
      </c>
      <c r="AM17" s="5">
        <f t="shared" si="2"/>
        <v>0.75</v>
      </c>
      <c r="AN17" s="4">
        <f t="shared" si="7"/>
        <v>1.1359333585762969E-3</v>
      </c>
      <c r="AO17" s="3"/>
      <c r="AP17">
        <v>0</v>
      </c>
      <c r="AR17" t="s">
        <v>1</v>
      </c>
      <c r="AT17" s="2" t="s">
        <v>0</v>
      </c>
      <c r="AU17" s="1">
        <f t="shared" si="3"/>
        <v>0.60213544716822287</v>
      </c>
      <c r="AV17" s="1">
        <f t="shared" si="4"/>
        <v>0.46255198679376774</v>
      </c>
      <c r="AW17" s="1">
        <f t="shared" si="5"/>
        <v>0.32296852641931251</v>
      </c>
    </row>
    <row r="18" spans="1:49" x14ac:dyDescent="0.2">
      <c r="A18">
        <v>16</v>
      </c>
      <c r="B18" t="s">
        <v>11912</v>
      </c>
      <c r="C18" t="s">
        <v>11911</v>
      </c>
      <c r="F18" t="s">
        <v>11910</v>
      </c>
      <c r="G18" t="s">
        <v>5</v>
      </c>
      <c r="H18" t="s">
        <v>4</v>
      </c>
      <c r="I18" t="s">
        <v>11392</v>
      </c>
      <c r="J18" t="s">
        <v>11909</v>
      </c>
      <c r="K18" t="s">
        <v>11908</v>
      </c>
      <c r="L18" t="s">
        <v>11907</v>
      </c>
      <c r="M18" t="s">
        <v>683</v>
      </c>
      <c r="N18">
        <v>5</v>
      </c>
      <c r="O18" t="s">
        <v>11906</v>
      </c>
      <c r="P18" t="s">
        <v>11905</v>
      </c>
      <c r="Q18" t="s">
        <v>11904</v>
      </c>
      <c r="R18" s="7">
        <v>37610</v>
      </c>
      <c r="S18" s="8">
        <f t="shared" si="0"/>
        <v>2002</v>
      </c>
      <c r="T18" s="8">
        <v>2002</v>
      </c>
      <c r="U18" s="8">
        <f t="shared" si="1"/>
        <v>20</v>
      </c>
      <c r="V18" s="7">
        <v>37610</v>
      </c>
      <c r="W18" t="s">
        <v>789</v>
      </c>
      <c r="X18" s="2">
        <v>0.30399999999999999</v>
      </c>
      <c r="Y18" s="6">
        <f t="shared" si="6"/>
        <v>8.115106377299057E-3</v>
      </c>
      <c r="AA18">
        <v>8952477</v>
      </c>
      <c r="AB18">
        <v>12250</v>
      </c>
      <c r="AD18" t="s">
        <v>2</v>
      </c>
      <c r="AE18">
        <v>35</v>
      </c>
      <c r="AF18">
        <v>6</v>
      </c>
      <c r="AH18" t="s">
        <v>11903</v>
      </c>
      <c r="AI18" t="s">
        <v>11902</v>
      </c>
      <c r="AJ18" t="s">
        <v>11901</v>
      </c>
      <c r="AK18" t="s">
        <v>11900</v>
      </c>
      <c r="AL18">
        <v>19</v>
      </c>
      <c r="AM18" s="5">
        <f t="shared" si="2"/>
        <v>0.95</v>
      </c>
      <c r="AN18" s="4">
        <f t="shared" si="7"/>
        <v>1.4388489208633094E-3</v>
      </c>
      <c r="AO18" s="3"/>
      <c r="AP18">
        <v>0</v>
      </c>
      <c r="AR18" t="s">
        <v>1</v>
      </c>
      <c r="AT18" s="2" t="s">
        <v>0</v>
      </c>
      <c r="AU18" s="1">
        <f t="shared" si="3"/>
        <v>0.61122291403683315</v>
      </c>
      <c r="AV18" s="1">
        <f t="shared" si="4"/>
        <v>0.47769776490811827</v>
      </c>
      <c r="AW18" s="1">
        <f t="shared" si="5"/>
        <v>0.34417261577940339</v>
      </c>
    </row>
    <row r="19" spans="1:49" x14ac:dyDescent="0.2">
      <c r="A19">
        <v>17</v>
      </c>
      <c r="B19" t="s">
        <v>11899</v>
      </c>
      <c r="C19" t="s">
        <v>11898</v>
      </c>
      <c r="F19" t="s">
        <v>11897</v>
      </c>
      <c r="G19" t="s">
        <v>5</v>
      </c>
      <c r="H19" t="s">
        <v>4</v>
      </c>
      <c r="I19" t="s">
        <v>761</v>
      </c>
      <c r="J19">
        <v>60009697</v>
      </c>
      <c r="K19" t="s">
        <v>123</v>
      </c>
      <c r="L19" t="s">
        <v>122</v>
      </c>
      <c r="M19" t="s">
        <v>121</v>
      </c>
      <c r="N19">
        <v>2</v>
      </c>
      <c r="O19" t="s">
        <v>11896</v>
      </c>
      <c r="P19" t="s">
        <v>11895</v>
      </c>
      <c r="Q19" t="s">
        <v>120</v>
      </c>
      <c r="R19" s="7">
        <v>37610</v>
      </c>
      <c r="S19" s="8">
        <f t="shared" si="0"/>
        <v>2002</v>
      </c>
      <c r="T19" s="8">
        <v>2002</v>
      </c>
      <c r="U19" s="8">
        <f t="shared" si="1"/>
        <v>20</v>
      </c>
      <c r="V19" s="7">
        <v>37610</v>
      </c>
      <c r="W19" t="s">
        <v>789</v>
      </c>
      <c r="X19" s="2">
        <v>0.30399999999999999</v>
      </c>
      <c r="Y19" s="6">
        <f t="shared" si="6"/>
        <v>8.115106377299057E-3</v>
      </c>
      <c r="AA19">
        <v>8952477</v>
      </c>
      <c r="AB19">
        <v>12250</v>
      </c>
      <c r="AD19" t="s">
        <v>2</v>
      </c>
      <c r="AE19">
        <v>35</v>
      </c>
      <c r="AF19">
        <v>6</v>
      </c>
      <c r="AH19" t="s">
        <v>11894</v>
      </c>
      <c r="AI19" t="s">
        <v>11893</v>
      </c>
      <c r="AJ19" t="s">
        <v>11892</v>
      </c>
      <c r="AK19" t="s">
        <v>11891</v>
      </c>
      <c r="AL19">
        <v>3</v>
      </c>
      <c r="AM19" s="5">
        <f t="shared" si="2"/>
        <v>0.15</v>
      </c>
      <c r="AN19" s="4">
        <f t="shared" si="7"/>
        <v>2.2718667171525936E-4</v>
      </c>
      <c r="AO19" s="3"/>
      <c r="AP19">
        <v>0</v>
      </c>
      <c r="AR19" t="s">
        <v>1</v>
      </c>
      <c r="AT19" s="2" t="s">
        <v>0</v>
      </c>
      <c r="AU19" s="1">
        <f t="shared" si="3"/>
        <v>0.5748730465623918</v>
      </c>
      <c r="AV19" s="1">
        <f t="shared" si="4"/>
        <v>0.41711465245071577</v>
      </c>
      <c r="AW19" s="1">
        <f t="shared" si="5"/>
        <v>0.25935625833903986</v>
      </c>
    </row>
    <row r="20" spans="1:49" x14ac:dyDescent="0.2">
      <c r="A20">
        <v>18</v>
      </c>
      <c r="B20" t="s">
        <v>11890</v>
      </c>
      <c r="C20" t="s">
        <v>11889</v>
      </c>
      <c r="F20" t="s">
        <v>11888</v>
      </c>
      <c r="G20" t="s">
        <v>5</v>
      </c>
      <c r="H20" t="s">
        <v>4</v>
      </c>
      <c r="I20" t="s">
        <v>130</v>
      </c>
      <c r="J20" t="s">
        <v>1090</v>
      </c>
      <c r="K20" t="s">
        <v>1089</v>
      </c>
      <c r="L20" t="s">
        <v>1088</v>
      </c>
      <c r="M20" t="s">
        <v>816</v>
      </c>
      <c r="N20">
        <v>3</v>
      </c>
      <c r="O20" t="s">
        <v>8804</v>
      </c>
      <c r="P20" t="s">
        <v>8803</v>
      </c>
      <c r="Q20" t="s">
        <v>8802</v>
      </c>
      <c r="R20" s="7">
        <v>37610</v>
      </c>
      <c r="S20" s="8">
        <f t="shared" si="0"/>
        <v>2002</v>
      </c>
      <c r="T20" s="8">
        <v>2002</v>
      </c>
      <c r="U20" s="8">
        <f t="shared" si="1"/>
        <v>20</v>
      </c>
      <c r="V20" s="7">
        <v>37610</v>
      </c>
      <c r="W20" t="s">
        <v>789</v>
      </c>
      <c r="X20" s="2">
        <v>0.30399999999999999</v>
      </c>
      <c r="Y20" s="6">
        <f t="shared" si="6"/>
        <v>8.115106377299057E-3</v>
      </c>
      <c r="AA20">
        <v>8952477</v>
      </c>
      <c r="AB20">
        <v>12250</v>
      </c>
      <c r="AD20" t="s">
        <v>2</v>
      </c>
      <c r="AE20">
        <v>35</v>
      </c>
      <c r="AF20">
        <v>6</v>
      </c>
      <c r="AH20" t="s">
        <v>11887</v>
      </c>
      <c r="AI20" t="s">
        <v>11886</v>
      </c>
      <c r="AJ20" t="s">
        <v>11885</v>
      </c>
      <c r="AK20" t="s">
        <v>11884</v>
      </c>
      <c r="AL20">
        <v>11</v>
      </c>
      <c r="AM20" s="5">
        <f t="shared" si="2"/>
        <v>0.55000000000000004</v>
      </c>
      <c r="AN20" s="4">
        <f t="shared" si="7"/>
        <v>8.3301779628928443E-4</v>
      </c>
      <c r="AO20" s="3"/>
      <c r="AP20">
        <v>0</v>
      </c>
      <c r="AR20" t="s">
        <v>1</v>
      </c>
      <c r="AT20" s="2" t="s">
        <v>0</v>
      </c>
      <c r="AU20" s="1">
        <f t="shared" si="3"/>
        <v>0.59304798029961248</v>
      </c>
      <c r="AV20" s="1">
        <f t="shared" si="4"/>
        <v>0.44740620867941711</v>
      </c>
      <c r="AW20" s="1">
        <f t="shared" si="5"/>
        <v>0.30176443705922162</v>
      </c>
    </row>
    <row r="21" spans="1:49" x14ac:dyDescent="0.2">
      <c r="A21">
        <v>19</v>
      </c>
      <c r="B21" t="s">
        <v>11883</v>
      </c>
      <c r="C21" t="s">
        <v>11882</v>
      </c>
      <c r="F21" t="s">
        <v>11881</v>
      </c>
      <c r="G21" t="s">
        <v>5</v>
      </c>
      <c r="H21" t="s">
        <v>4</v>
      </c>
      <c r="I21" t="s">
        <v>11880</v>
      </c>
      <c r="J21">
        <v>60010491</v>
      </c>
      <c r="K21" t="s">
        <v>240</v>
      </c>
      <c r="L21" t="s">
        <v>239</v>
      </c>
      <c r="M21" t="s">
        <v>7</v>
      </c>
      <c r="N21">
        <v>3</v>
      </c>
      <c r="O21" t="s">
        <v>11879</v>
      </c>
      <c r="P21" t="s">
        <v>11878</v>
      </c>
      <c r="Q21" t="s">
        <v>11877</v>
      </c>
      <c r="R21" s="7">
        <v>37610</v>
      </c>
      <c r="S21" s="8">
        <f t="shared" si="0"/>
        <v>2002</v>
      </c>
      <c r="T21" s="8">
        <v>2002</v>
      </c>
      <c r="U21" s="8">
        <f t="shared" si="1"/>
        <v>20</v>
      </c>
      <c r="V21" s="7">
        <v>37610</v>
      </c>
      <c r="W21" t="s">
        <v>789</v>
      </c>
      <c r="X21" s="2">
        <v>0.30399999999999999</v>
      </c>
      <c r="Y21" s="6">
        <f t="shared" si="6"/>
        <v>8.115106377299057E-3</v>
      </c>
      <c r="AA21">
        <v>8952477</v>
      </c>
      <c r="AB21">
        <v>12250</v>
      </c>
      <c r="AD21" t="s">
        <v>2</v>
      </c>
      <c r="AE21">
        <v>35</v>
      </c>
      <c r="AF21">
        <v>6</v>
      </c>
      <c r="AH21" t="s">
        <v>11876</v>
      </c>
      <c r="AI21" t="s">
        <v>11875</v>
      </c>
      <c r="AJ21" t="s">
        <v>11874</v>
      </c>
      <c r="AK21" t="s">
        <v>11873</v>
      </c>
      <c r="AL21">
        <v>39</v>
      </c>
      <c r="AM21" s="5">
        <f t="shared" si="2"/>
        <v>1.95</v>
      </c>
      <c r="AN21" s="4">
        <f t="shared" si="7"/>
        <v>2.9534267322983716E-3</v>
      </c>
      <c r="AO21" s="3"/>
      <c r="AP21">
        <v>0</v>
      </c>
      <c r="AR21" t="s">
        <v>1</v>
      </c>
      <c r="AT21" s="2" t="s">
        <v>0</v>
      </c>
      <c r="AU21" s="1">
        <f t="shared" si="3"/>
        <v>0.65666024837988513</v>
      </c>
      <c r="AV21" s="1">
        <f t="shared" si="4"/>
        <v>0.55342665547987147</v>
      </c>
      <c r="AW21" s="1">
        <f t="shared" si="5"/>
        <v>0.45019306257985775</v>
      </c>
    </row>
    <row r="22" spans="1:49" x14ac:dyDescent="0.2">
      <c r="A22">
        <v>20</v>
      </c>
      <c r="B22" t="s">
        <v>11872</v>
      </c>
      <c r="C22" t="s">
        <v>11871</v>
      </c>
      <c r="F22" t="s">
        <v>11870</v>
      </c>
      <c r="G22" t="s">
        <v>5</v>
      </c>
      <c r="H22" t="s">
        <v>4</v>
      </c>
      <c r="I22" t="s">
        <v>1194</v>
      </c>
      <c r="J22">
        <v>60031004</v>
      </c>
      <c r="K22" t="s">
        <v>1193</v>
      </c>
      <c r="L22" t="s">
        <v>975</v>
      </c>
      <c r="M22" t="s">
        <v>308</v>
      </c>
      <c r="N22">
        <v>2</v>
      </c>
      <c r="O22" t="s">
        <v>11869</v>
      </c>
      <c r="P22" t="s">
        <v>1192</v>
      </c>
      <c r="Q22" t="s">
        <v>1191</v>
      </c>
      <c r="R22" s="7">
        <v>37610</v>
      </c>
      <c r="S22" s="8">
        <f t="shared" si="0"/>
        <v>2002</v>
      </c>
      <c r="T22" s="8">
        <v>2002</v>
      </c>
      <c r="U22" s="8">
        <f t="shared" si="1"/>
        <v>20</v>
      </c>
      <c r="V22" s="7">
        <v>37610</v>
      </c>
      <c r="W22" t="s">
        <v>789</v>
      </c>
      <c r="X22" s="2">
        <v>0.30399999999999999</v>
      </c>
      <c r="Y22" s="6">
        <f t="shared" si="6"/>
        <v>8.115106377299057E-3</v>
      </c>
      <c r="AA22">
        <v>8952477</v>
      </c>
      <c r="AB22">
        <v>12250</v>
      </c>
      <c r="AD22" t="s">
        <v>2</v>
      </c>
      <c r="AE22">
        <v>35</v>
      </c>
      <c r="AF22">
        <v>6</v>
      </c>
      <c r="AH22" t="s">
        <v>11868</v>
      </c>
      <c r="AI22" t="s">
        <v>11867</v>
      </c>
      <c r="AJ22" t="s">
        <v>11866</v>
      </c>
      <c r="AK22" t="s">
        <v>11865</v>
      </c>
      <c r="AL22">
        <v>7</v>
      </c>
      <c r="AM22" s="5">
        <f t="shared" si="2"/>
        <v>0.35</v>
      </c>
      <c r="AN22" s="4">
        <f t="shared" si="7"/>
        <v>5.3010223400227184E-4</v>
      </c>
      <c r="AO22" s="3"/>
      <c r="AP22">
        <v>0</v>
      </c>
      <c r="AR22" t="s">
        <v>1</v>
      </c>
      <c r="AT22" s="2" t="s">
        <v>0</v>
      </c>
      <c r="AU22" s="1">
        <f t="shared" si="3"/>
        <v>0.58396051343100208</v>
      </c>
      <c r="AV22" s="1">
        <f t="shared" si="4"/>
        <v>0.43226043056506641</v>
      </c>
      <c r="AW22" s="1">
        <f t="shared" si="5"/>
        <v>0.28056034769913074</v>
      </c>
    </row>
    <row r="23" spans="1:49" x14ac:dyDescent="0.2">
      <c r="A23">
        <v>21</v>
      </c>
      <c r="B23" t="s">
        <v>11864</v>
      </c>
      <c r="C23" t="s">
        <v>11863</v>
      </c>
      <c r="F23" t="s">
        <v>11862</v>
      </c>
      <c r="G23" t="s">
        <v>5</v>
      </c>
      <c r="H23" t="s">
        <v>4</v>
      </c>
      <c r="I23" t="s">
        <v>11861</v>
      </c>
      <c r="J23" t="s">
        <v>11860</v>
      </c>
      <c r="K23" t="s">
        <v>11859</v>
      </c>
      <c r="L23" t="s">
        <v>11858</v>
      </c>
      <c r="M23" t="s">
        <v>11857</v>
      </c>
      <c r="N23">
        <v>3</v>
      </c>
      <c r="O23" t="s">
        <v>11856</v>
      </c>
      <c r="P23" t="s">
        <v>11855</v>
      </c>
      <c r="Q23" t="s">
        <v>11854</v>
      </c>
      <c r="R23" s="7">
        <v>37609</v>
      </c>
      <c r="S23" s="8">
        <f t="shared" si="0"/>
        <v>2002</v>
      </c>
      <c r="T23" s="8">
        <v>2002</v>
      </c>
      <c r="U23" s="8">
        <f t="shared" si="1"/>
        <v>20</v>
      </c>
      <c r="V23" s="7">
        <v>37609</v>
      </c>
      <c r="W23" t="s">
        <v>2147</v>
      </c>
      <c r="X23" s="2" t="s">
        <v>0</v>
      </c>
      <c r="Y23" s="6" t="e">
        <f t="shared" si="6"/>
        <v>#VALUE!</v>
      </c>
      <c r="AA23">
        <v>364827</v>
      </c>
      <c r="AB23">
        <v>13626</v>
      </c>
      <c r="AD23" t="s">
        <v>2</v>
      </c>
      <c r="AE23">
        <v>87</v>
      </c>
      <c r="AF23">
        <v>5</v>
      </c>
      <c r="AH23" t="s">
        <v>11853</v>
      </c>
      <c r="AI23" t="s">
        <v>11852</v>
      </c>
      <c r="AJ23" t="s">
        <v>11851</v>
      </c>
      <c r="AK23" t="s">
        <v>11850</v>
      </c>
      <c r="AL23">
        <v>7</v>
      </c>
      <c r="AM23" s="5">
        <f t="shared" si="2"/>
        <v>0.35</v>
      </c>
      <c r="AN23" s="4">
        <f t="shared" si="7"/>
        <v>5.3010223400227184E-4</v>
      </c>
      <c r="AO23" s="3"/>
      <c r="AP23">
        <v>0</v>
      </c>
      <c r="AR23" t="s">
        <v>1</v>
      </c>
      <c r="AT23" s="2" t="s">
        <v>0</v>
      </c>
      <c r="AU23" s="1" t="e">
        <f t="shared" si="3"/>
        <v>#VALUE!</v>
      </c>
      <c r="AV23" s="1" t="e">
        <f t="shared" si="4"/>
        <v>#VALUE!</v>
      </c>
      <c r="AW23" s="1" t="e">
        <f t="shared" si="5"/>
        <v>#VALUE!</v>
      </c>
    </row>
    <row r="24" spans="1:49" x14ac:dyDescent="0.2">
      <c r="A24">
        <v>22</v>
      </c>
      <c r="B24" t="s">
        <v>11849</v>
      </c>
      <c r="C24" t="s">
        <v>11848</v>
      </c>
      <c r="E24">
        <v>12485992</v>
      </c>
      <c r="F24" t="s">
        <v>11847</v>
      </c>
      <c r="G24" t="s">
        <v>5</v>
      </c>
      <c r="H24" t="s">
        <v>4</v>
      </c>
      <c r="I24" t="s">
        <v>11846</v>
      </c>
      <c r="J24" t="s">
        <v>11845</v>
      </c>
      <c r="K24" t="s">
        <v>11844</v>
      </c>
      <c r="L24" t="s">
        <v>11843</v>
      </c>
      <c r="M24" t="s">
        <v>106</v>
      </c>
      <c r="N24">
        <v>7</v>
      </c>
      <c r="O24" t="s">
        <v>11842</v>
      </c>
      <c r="P24" t="s">
        <v>11841</v>
      </c>
      <c r="Q24" t="s">
        <v>11840</v>
      </c>
      <c r="R24" s="7">
        <v>37606</v>
      </c>
      <c r="S24" s="8">
        <f t="shared" si="0"/>
        <v>2002</v>
      </c>
      <c r="T24" s="8">
        <v>2002</v>
      </c>
      <c r="U24" s="8">
        <f t="shared" si="1"/>
        <v>20</v>
      </c>
      <c r="V24" s="7">
        <v>37606</v>
      </c>
      <c r="W24" t="s">
        <v>2563</v>
      </c>
      <c r="X24" s="2">
        <v>7.484</v>
      </c>
      <c r="Y24" s="6">
        <f t="shared" si="6"/>
        <v>0.19978110568324392</v>
      </c>
      <c r="AA24">
        <v>2614189</v>
      </c>
      <c r="AB24">
        <v>17435</v>
      </c>
      <c r="AD24" t="s">
        <v>2</v>
      </c>
      <c r="AE24">
        <v>21</v>
      </c>
      <c r="AF24">
        <v>24</v>
      </c>
      <c r="AH24" t="s">
        <v>11839</v>
      </c>
      <c r="AI24" t="s">
        <v>11838</v>
      </c>
      <c r="AJ24" t="s">
        <v>11837</v>
      </c>
      <c r="AK24" t="s">
        <v>11836</v>
      </c>
      <c r="AL24">
        <v>195</v>
      </c>
      <c r="AM24" s="5">
        <f t="shared" si="2"/>
        <v>9.75</v>
      </c>
      <c r="AN24" s="4">
        <f t="shared" si="7"/>
        <v>1.476713366149186E-2</v>
      </c>
      <c r="AO24" s="3"/>
      <c r="AP24">
        <v>0</v>
      </c>
      <c r="AQ24" t="s">
        <v>796</v>
      </c>
      <c r="AR24" t="s">
        <v>11835</v>
      </c>
      <c r="AS24" t="s">
        <v>795</v>
      </c>
      <c r="AT24" s="2">
        <v>11.598000000000001</v>
      </c>
      <c r="AU24" s="1">
        <f t="shared" si="3"/>
        <v>14.427691407671828</v>
      </c>
      <c r="AV24" s="1">
        <f t="shared" si="4"/>
        <v>10.727411967236788</v>
      </c>
      <c r="AW24" s="1">
        <f t="shared" si="5"/>
        <v>7.0271325268017462</v>
      </c>
    </row>
    <row r="25" spans="1:49" x14ac:dyDescent="0.2">
      <c r="A25">
        <v>23</v>
      </c>
      <c r="B25" t="s">
        <v>11834</v>
      </c>
      <c r="C25" t="s">
        <v>11833</v>
      </c>
      <c r="E25">
        <v>12470066</v>
      </c>
      <c r="F25" t="s">
        <v>11832</v>
      </c>
      <c r="G25" t="s">
        <v>5</v>
      </c>
      <c r="H25" t="s">
        <v>4</v>
      </c>
      <c r="I25" t="s">
        <v>11831</v>
      </c>
      <c r="J25" t="s">
        <v>11830</v>
      </c>
      <c r="K25" t="s">
        <v>11829</v>
      </c>
      <c r="L25" t="s">
        <v>11828</v>
      </c>
      <c r="M25" t="s">
        <v>11827</v>
      </c>
      <c r="N25">
        <v>6</v>
      </c>
      <c r="O25" t="s">
        <v>11826</v>
      </c>
      <c r="P25" t="s">
        <v>11825</v>
      </c>
      <c r="Q25" t="s">
        <v>11824</v>
      </c>
      <c r="R25" s="7">
        <v>37606</v>
      </c>
      <c r="S25" s="8">
        <f t="shared" si="0"/>
        <v>2002</v>
      </c>
      <c r="T25" s="8">
        <v>2002</v>
      </c>
      <c r="U25" s="8">
        <f t="shared" si="1"/>
        <v>20</v>
      </c>
      <c r="V25" s="7">
        <v>37606</v>
      </c>
      <c r="W25" t="s">
        <v>11823</v>
      </c>
      <c r="X25" s="2">
        <v>1.3480000000000001</v>
      </c>
      <c r="Y25" s="6">
        <f t="shared" si="6"/>
        <v>3.598409012039188E-2</v>
      </c>
      <c r="AA25">
        <v>201669</v>
      </c>
      <c r="AB25">
        <v>25264</v>
      </c>
      <c r="AD25" t="s">
        <v>2</v>
      </c>
      <c r="AE25">
        <v>41</v>
      </c>
      <c r="AF25">
        <v>25</v>
      </c>
      <c r="AH25" t="s">
        <v>11822</v>
      </c>
      <c r="AI25" t="s">
        <v>11821</v>
      </c>
      <c r="AK25" t="s">
        <v>11820</v>
      </c>
      <c r="AL25">
        <v>70</v>
      </c>
      <c r="AM25" s="5">
        <f t="shared" si="2"/>
        <v>3.5</v>
      </c>
      <c r="AN25" s="4">
        <f t="shared" si="7"/>
        <v>5.301022340022719E-3</v>
      </c>
      <c r="AO25" s="3"/>
      <c r="AP25">
        <v>0</v>
      </c>
      <c r="AR25" t="s">
        <v>1</v>
      </c>
      <c r="AT25" s="2">
        <v>5.165</v>
      </c>
      <c r="AU25" s="1">
        <f t="shared" si="3"/>
        <v>2.6779169786281134</v>
      </c>
      <c r="AV25" s="1">
        <f t="shared" si="4"/>
        <v>2.0642556230207298</v>
      </c>
      <c r="AW25" s="1">
        <f t="shared" si="5"/>
        <v>1.4505942674133465</v>
      </c>
    </row>
    <row r="26" spans="1:49" x14ac:dyDescent="0.2">
      <c r="A26">
        <v>24</v>
      </c>
      <c r="B26" t="s">
        <v>11819</v>
      </c>
      <c r="C26" t="s">
        <v>11818</v>
      </c>
      <c r="E26">
        <v>12478279</v>
      </c>
      <c r="F26" t="s">
        <v>11817</v>
      </c>
      <c r="G26" t="s">
        <v>5</v>
      </c>
      <c r="H26" t="s">
        <v>4</v>
      </c>
      <c r="I26" t="s">
        <v>11816</v>
      </c>
      <c r="J26" t="s">
        <v>11815</v>
      </c>
      <c r="K26" t="s">
        <v>11814</v>
      </c>
      <c r="L26" t="s">
        <v>11813</v>
      </c>
      <c r="M26" t="s">
        <v>450</v>
      </c>
      <c r="N26">
        <v>6</v>
      </c>
      <c r="O26" t="s">
        <v>11812</v>
      </c>
      <c r="P26" t="s">
        <v>11811</v>
      </c>
      <c r="Q26" t="s">
        <v>11810</v>
      </c>
      <c r="R26" s="7">
        <v>37602</v>
      </c>
      <c r="S26" s="8">
        <f t="shared" si="0"/>
        <v>2002</v>
      </c>
      <c r="T26" s="8">
        <v>2002</v>
      </c>
      <c r="U26" s="8">
        <f t="shared" si="1"/>
        <v>20</v>
      </c>
      <c r="V26" s="7">
        <v>37602</v>
      </c>
      <c r="W26" t="s">
        <v>687</v>
      </c>
      <c r="X26" s="2">
        <v>15.993</v>
      </c>
      <c r="Y26" s="6">
        <f t="shared" si="6"/>
        <v>0.42692400096099947</v>
      </c>
      <c r="AA26">
        <v>280836</v>
      </c>
      <c r="AB26">
        <v>21206</v>
      </c>
      <c r="AD26" t="s">
        <v>2</v>
      </c>
      <c r="AE26">
        <v>420</v>
      </c>
      <c r="AF26">
        <v>6916</v>
      </c>
      <c r="AH26" t="s">
        <v>11809</v>
      </c>
      <c r="AL26">
        <v>159</v>
      </c>
      <c r="AM26" s="5">
        <f t="shared" si="2"/>
        <v>7.95</v>
      </c>
      <c r="AN26" s="4">
        <f t="shared" si="7"/>
        <v>1.2040893600908747E-2</v>
      </c>
      <c r="AO26" s="3"/>
      <c r="AP26">
        <v>0</v>
      </c>
      <c r="AR26" t="s">
        <v>1</v>
      </c>
      <c r="AT26" s="2">
        <v>49.962000000000003</v>
      </c>
      <c r="AU26" s="1">
        <f t="shared" si="3"/>
        <v>30.245906875297223</v>
      </c>
      <c r="AV26" s="1">
        <f t="shared" si="4"/>
        <v>21.94824472809541</v>
      </c>
      <c r="AW26" s="1">
        <f t="shared" si="5"/>
        <v>13.650582580893595</v>
      </c>
    </row>
    <row r="27" spans="1:49" x14ac:dyDescent="0.2">
      <c r="A27">
        <v>25</v>
      </c>
      <c r="B27" t="s">
        <v>11808</v>
      </c>
      <c r="C27" t="s">
        <v>11807</v>
      </c>
      <c r="F27" t="s">
        <v>11806</v>
      </c>
      <c r="G27" t="s">
        <v>5</v>
      </c>
      <c r="H27" t="s">
        <v>4</v>
      </c>
      <c r="I27" t="s">
        <v>11805</v>
      </c>
      <c r="J27">
        <v>60014652</v>
      </c>
      <c r="K27" t="s">
        <v>337</v>
      </c>
      <c r="L27" t="s">
        <v>336</v>
      </c>
      <c r="M27" t="s">
        <v>36</v>
      </c>
      <c r="N27">
        <v>2</v>
      </c>
      <c r="O27" t="s">
        <v>11804</v>
      </c>
      <c r="P27" t="s">
        <v>11803</v>
      </c>
      <c r="Q27" t="s">
        <v>11802</v>
      </c>
      <c r="R27" s="7">
        <v>37600</v>
      </c>
      <c r="S27" s="8">
        <f t="shared" si="0"/>
        <v>2002</v>
      </c>
      <c r="T27" s="8">
        <v>2002</v>
      </c>
      <c r="U27" s="8">
        <f t="shared" si="1"/>
        <v>20</v>
      </c>
      <c r="V27" s="7">
        <v>37600</v>
      </c>
      <c r="W27" t="s">
        <v>1022</v>
      </c>
      <c r="X27" s="2">
        <v>0.51100000000000001</v>
      </c>
      <c r="Y27" s="6">
        <f t="shared" si="6"/>
        <v>1.3640853153946772E-2</v>
      </c>
      <c r="AA27">
        <v>222933</v>
      </c>
      <c r="AB27">
        <v>29630</v>
      </c>
      <c r="AD27" t="s">
        <v>2</v>
      </c>
      <c r="AE27">
        <v>36</v>
      </c>
      <c r="AF27">
        <v>17</v>
      </c>
      <c r="AH27" t="s">
        <v>11801</v>
      </c>
      <c r="AI27" t="s">
        <v>11800</v>
      </c>
      <c r="AJ27" t="s">
        <v>11799</v>
      </c>
      <c r="AK27" t="s">
        <v>11798</v>
      </c>
      <c r="AL27">
        <v>3</v>
      </c>
      <c r="AM27" s="5">
        <f t="shared" si="2"/>
        <v>0.15</v>
      </c>
      <c r="AN27" s="4">
        <f t="shared" si="7"/>
        <v>2.2718667171525936E-4</v>
      </c>
      <c r="AO27" s="3"/>
      <c r="AP27">
        <v>0</v>
      </c>
      <c r="AR27" t="s">
        <v>1</v>
      </c>
      <c r="AT27" s="2">
        <v>1.016</v>
      </c>
      <c r="AU27" s="1">
        <f t="shared" si="3"/>
        <v>0.96167532092773178</v>
      </c>
      <c r="AV27" s="1">
        <f t="shared" si="4"/>
        <v>0.69340199128310154</v>
      </c>
      <c r="AW27" s="1">
        <f t="shared" si="5"/>
        <v>0.42512866163847129</v>
      </c>
    </row>
    <row r="28" spans="1:49" x14ac:dyDescent="0.2">
      <c r="A28">
        <v>26</v>
      </c>
      <c r="B28" t="s">
        <v>11797</v>
      </c>
      <c r="C28" t="s">
        <v>11796</v>
      </c>
      <c r="D28" t="s">
        <v>11795</v>
      </c>
      <c r="E28">
        <v>12502051</v>
      </c>
      <c r="F28" t="s">
        <v>11794</v>
      </c>
      <c r="G28" t="s">
        <v>5</v>
      </c>
      <c r="H28" t="s">
        <v>4</v>
      </c>
      <c r="I28" t="s">
        <v>11793</v>
      </c>
      <c r="J28">
        <v>60025488</v>
      </c>
      <c r="K28" t="s">
        <v>11792</v>
      </c>
      <c r="L28" t="s">
        <v>11791</v>
      </c>
      <c r="M28" t="s">
        <v>7</v>
      </c>
      <c r="N28">
        <v>2</v>
      </c>
      <c r="O28" t="s">
        <v>11790</v>
      </c>
      <c r="P28" t="s">
        <v>11789</v>
      </c>
      <c r="Q28" t="s">
        <v>11788</v>
      </c>
      <c r="R28" s="7">
        <v>37597</v>
      </c>
      <c r="S28" s="8">
        <f t="shared" si="0"/>
        <v>2002</v>
      </c>
      <c r="T28" s="8">
        <v>2002</v>
      </c>
      <c r="U28" s="8">
        <f t="shared" si="1"/>
        <v>20</v>
      </c>
      <c r="V28" s="7">
        <v>37597</v>
      </c>
      <c r="W28" t="s">
        <v>1118</v>
      </c>
      <c r="X28" s="2">
        <v>1.3120000000000001</v>
      </c>
      <c r="Y28" s="6">
        <f t="shared" si="6"/>
        <v>3.502309068097488E-2</v>
      </c>
      <c r="AA28">
        <v>319155</v>
      </c>
      <c r="AB28">
        <v>29203</v>
      </c>
      <c r="AD28" t="s">
        <v>2</v>
      </c>
      <c r="AE28">
        <v>47</v>
      </c>
      <c r="AF28">
        <v>23</v>
      </c>
      <c r="AH28" t="s">
        <v>11787</v>
      </c>
      <c r="AI28" t="s">
        <v>11786</v>
      </c>
      <c r="AK28" t="s">
        <v>11785</v>
      </c>
      <c r="AL28">
        <v>18</v>
      </c>
      <c r="AM28" s="5">
        <f t="shared" si="2"/>
        <v>0.9</v>
      </c>
      <c r="AN28" s="4">
        <f t="shared" si="7"/>
        <v>1.3631200302915562E-3</v>
      </c>
      <c r="AO28" s="3"/>
      <c r="AP28">
        <v>0</v>
      </c>
      <c r="AR28" t="s">
        <v>1</v>
      </c>
      <c r="AT28" s="2">
        <v>3.609</v>
      </c>
      <c r="AU28" s="1">
        <f t="shared" si="3"/>
        <v>2.4925099485769882</v>
      </c>
      <c r="AV28" s="1">
        <f t="shared" si="4"/>
        <v>1.8193105355633219</v>
      </c>
      <c r="AW28" s="1">
        <f t="shared" si="5"/>
        <v>1.1461111225496554</v>
      </c>
    </row>
    <row r="29" spans="1:49" x14ac:dyDescent="0.2">
      <c r="A29">
        <v>27</v>
      </c>
      <c r="B29" t="s">
        <v>11784</v>
      </c>
      <c r="C29" t="s">
        <v>11783</v>
      </c>
      <c r="F29" t="s">
        <v>11782</v>
      </c>
      <c r="G29" t="s">
        <v>5</v>
      </c>
      <c r="H29" t="s">
        <v>4</v>
      </c>
      <c r="I29" t="s">
        <v>11781</v>
      </c>
      <c r="J29">
        <v>60002947</v>
      </c>
      <c r="K29" t="s">
        <v>481</v>
      </c>
      <c r="L29" t="s">
        <v>18</v>
      </c>
      <c r="M29" t="s">
        <v>463</v>
      </c>
      <c r="N29">
        <v>4</v>
      </c>
      <c r="O29" t="s">
        <v>11780</v>
      </c>
      <c r="P29" t="s">
        <v>11779</v>
      </c>
      <c r="Q29" t="s">
        <v>10122</v>
      </c>
      <c r="R29" s="7">
        <v>37595</v>
      </c>
      <c r="S29" s="8">
        <f t="shared" si="0"/>
        <v>2002</v>
      </c>
      <c r="T29" s="8">
        <v>2002</v>
      </c>
      <c r="U29" s="8">
        <f t="shared" si="1"/>
        <v>20</v>
      </c>
      <c r="V29" s="7">
        <v>37595</v>
      </c>
      <c r="W29" t="s">
        <v>786</v>
      </c>
      <c r="X29" s="2">
        <v>0.375</v>
      </c>
      <c r="Y29" s="6">
        <f t="shared" si="6"/>
        <v>1.0010410827260351E-2</v>
      </c>
      <c r="AA29">
        <v>135194</v>
      </c>
      <c r="AB29">
        <v>24918</v>
      </c>
      <c r="AD29" t="s">
        <v>2</v>
      </c>
      <c r="AE29">
        <v>38</v>
      </c>
      <c r="AF29">
        <v>25</v>
      </c>
      <c r="AH29" t="s">
        <v>11778</v>
      </c>
      <c r="AI29" t="s">
        <v>11777</v>
      </c>
      <c r="AK29" t="s">
        <v>11776</v>
      </c>
      <c r="AL29">
        <v>2</v>
      </c>
      <c r="AM29" s="5">
        <f t="shared" si="2"/>
        <v>0.1</v>
      </c>
      <c r="AN29" s="4">
        <f t="shared" si="7"/>
        <v>1.5145778114350627E-4</v>
      </c>
      <c r="AO29" s="3"/>
      <c r="AP29">
        <v>0</v>
      </c>
      <c r="AR29" t="s">
        <v>1</v>
      </c>
      <c r="AT29" s="2">
        <v>1.3140000000000001</v>
      </c>
      <c r="AU29" s="1">
        <f t="shared" si="3"/>
        <v>0.70527249134252978</v>
      </c>
      <c r="AV29" s="1">
        <f t="shared" si="4"/>
        <v>0.50809343042019284</v>
      </c>
      <c r="AW29" s="1">
        <f t="shared" si="5"/>
        <v>0.31091436949785595</v>
      </c>
    </row>
    <row r="30" spans="1:49" x14ac:dyDescent="0.2">
      <c r="A30">
        <v>28</v>
      </c>
      <c r="B30" t="s">
        <v>11775</v>
      </c>
      <c r="C30" t="s">
        <v>11774</v>
      </c>
      <c r="F30" t="s">
        <v>11773</v>
      </c>
      <c r="G30" t="s">
        <v>5</v>
      </c>
      <c r="H30" t="s">
        <v>4</v>
      </c>
      <c r="I30" t="s">
        <v>11772</v>
      </c>
      <c r="J30" t="s">
        <v>11771</v>
      </c>
      <c r="K30" t="s">
        <v>11770</v>
      </c>
      <c r="L30" t="s">
        <v>11769</v>
      </c>
      <c r="M30" t="s">
        <v>487</v>
      </c>
      <c r="N30">
        <v>3</v>
      </c>
      <c r="O30" t="s">
        <v>11768</v>
      </c>
      <c r="P30" t="s">
        <v>11767</v>
      </c>
      <c r="Q30" t="s">
        <v>11766</v>
      </c>
      <c r="R30" s="7">
        <v>37595</v>
      </c>
      <c r="S30" s="8">
        <f t="shared" si="0"/>
        <v>2002</v>
      </c>
      <c r="T30" s="8">
        <v>2002</v>
      </c>
      <c r="U30" s="8">
        <f t="shared" si="1"/>
        <v>20</v>
      </c>
      <c r="V30" s="7">
        <v>37595</v>
      </c>
      <c r="W30" t="s">
        <v>786</v>
      </c>
      <c r="X30" s="2">
        <v>0.375</v>
      </c>
      <c r="Y30" s="6">
        <f t="shared" si="6"/>
        <v>1.0010410827260351E-2</v>
      </c>
      <c r="AA30">
        <v>135194</v>
      </c>
      <c r="AB30">
        <v>24918</v>
      </c>
      <c r="AD30" t="s">
        <v>2</v>
      </c>
      <c r="AE30">
        <v>38</v>
      </c>
      <c r="AF30">
        <v>25</v>
      </c>
      <c r="AH30" t="s">
        <v>11765</v>
      </c>
      <c r="AI30" t="s">
        <v>11764</v>
      </c>
      <c r="AK30" t="s">
        <v>11763</v>
      </c>
      <c r="AL30">
        <v>3</v>
      </c>
      <c r="AM30" s="5">
        <f t="shared" si="2"/>
        <v>0.15</v>
      </c>
      <c r="AN30" s="4">
        <f t="shared" si="7"/>
        <v>2.2718667171525936E-4</v>
      </c>
      <c r="AO30" s="3"/>
      <c r="AP30">
        <v>0</v>
      </c>
      <c r="AR30" t="s">
        <v>1</v>
      </c>
      <c r="AT30" s="2">
        <v>1.3140000000000001</v>
      </c>
      <c r="AU30" s="1">
        <f t="shared" si="3"/>
        <v>0.70754435805968241</v>
      </c>
      <c r="AV30" s="1">
        <f t="shared" si="4"/>
        <v>0.51187987494878051</v>
      </c>
      <c r="AW30" s="1">
        <f t="shared" si="5"/>
        <v>0.31621539183787867</v>
      </c>
    </row>
    <row r="31" spans="1:49" x14ac:dyDescent="0.2">
      <c r="A31">
        <v>29</v>
      </c>
      <c r="B31" t="s">
        <v>11762</v>
      </c>
      <c r="C31" t="s">
        <v>11761</v>
      </c>
      <c r="F31" t="s">
        <v>11760</v>
      </c>
      <c r="G31" t="s">
        <v>5</v>
      </c>
      <c r="H31" t="s">
        <v>4</v>
      </c>
      <c r="I31" t="s">
        <v>8879</v>
      </c>
      <c r="J31">
        <v>60013372</v>
      </c>
      <c r="K31" t="s">
        <v>725</v>
      </c>
      <c r="L31" t="s">
        <v>724</v>
      </c>
      <c r="M31" t="s">
        <v>7</v>
      </c>
      <c r="N31">
        <v>2</v>
      </c>
      <c r="O31" t="s">
        <v>11759</v>
      </c>
      <c r="P31" t="s">
        <v>11758</v>
      </c>
      <c r="Q31" t="s">
        <v>1097</v>
      </c>
      <c r="R31" s="7">
        <v>37595</v>
      </c>
      <c r="S31" s="8">
        <f t="shared" si="0"/>
        <v>2002</v>
      </c>
      <c r="T31" s="8">
        <v>2002</v>
      </c>
      <c r="U31" s="8">
        <f t="shared" si="1"/>
        <v>20</v>
      </c>
      <c r="V31" s="7">
        <v>37595</v>
      </c>
      <c r="W31" t="s">
        <v>786</v>
      </c>
      <c r="X31" s="2">
        <v>0.375</v>
      </c>
      <c r="Y31" s="6">
        <f t="shared" si="6"/>
        <v>1.0010410827260351E-2</v>
      </c>
      <c r="AA31">
        <v>135194</v>
      </c>
      <c r="AB31">
        <v>24918</v>
      </c>
      <c r="AD31" t="s">
        <v>2</v>
      </c>
      <c r="AE31">
        <v>38</v>
      </c>
      <c r="AF31">
        <v>25</v>
      </c>
      <c r="AH31" t="s">
        <v>11757</v>
      </c>
      <c r="AI31" t="s">
        <v>11756</v>
      </c>
      <c r="AK31" t="s">
        <v>11755</v>
      </c>
      <c r="AL31">
        <v>17</v>
      </c>
      <c r="AM31" s="5">
        <f t="shared" si="2"/>
        <v>0.85</v>
      </c>
      <c r="AN31" s="4">
        <f t="shared" si="7"/>
        <v>1.2873911397198031E-3</v>
      </c>
      <c r="AO31" s="3"/>
      <c r="AP31">
        <v>0</v>
      </c>
      <c r="AR31" t="s">
        <v>1</v>
      </c>
      <c r="AT31" s="2">
        <v>1.3140000000000001</v>
      </c>
      <c r="AU31" s="1">
        <f t="shared" si="3"/>
        <v>0.73935049209981873</v>
      </c>
      <c r="AV31" s="1">
        <f t="shared" si="4"/>
        <v>0.56489009834900772</v>
      </c>
      <c r="AW31" s="1">
        <f t="shared" si="5"/>
        <v>0.39042970459819676</v>
      </c>
    </row>
    <row r="32" spans="1:49" x14ac:dyDescent="0.2">
      <c r="A32">
        <v>30</v>
      </c>
      <c r="B32" t="s">
        <v>11754</v>
      </c>
      <c r="C32" t="s">
        <v>11753</v>
      </c>
      <c r="F32" t="s">
        <v>11752</v>
      </c>
      <c r="G32" t="s">
        <v>5</v>
      </c>
      <c r="H32" t="s">
        <v>4</v>
      </c>
      <c r="I32" t="s">
        <v>11751</v>
      </c>
      <c r="J32">
        <v>60009387</v>
      </c>
      <c r="K32" t="s">
        <v>11750</v>
      </c>
      <c r="L32" t="s">
        <v>153</v>
      </c>
      <c r="M32" t="s">
        <v>152</v>
      </c>
      <c r="N32">
        <v>1</v>
      </c>
      <c r="O32" t="s">
        <v>11749</v>
      </c>
      <c r="P32">
        <v>55911887800</v>
      </c>
      <c r="Q32">
        <v>60009387</v>
      </c>
      <c r="R32" s="7">
        <v>37595</v>
      </c>
      <c r="S32" s="8">
        <f t="shared" si="0"/>
        <v>2002</v>
      </c>
      <c r="T32" s="8">
        <v>2002</v>
      </c>
      <c r="U32" s="8">
        <f t="shared" si="1"/>
        <v>20</v>
      </c>
      <c r="V32" s="7">
        <v>37595</v>
      </c>
      <c r="W32" t="s">
        <v>786</v>
      </c>
      <c r="X32" s="2">
        <v>0.375</v>
      </c>
      <c r="Y32" s="6">
        <f t="shared" si="6"/>
        <v>1.0010410827260351E-2</v>
      </c>
      <c r="AA32">
        <v>135194</v>
      </c>
      <c r="AB32">
        <v>24918</v>
      </c>
      <c r="AD32" t="s">
        <v>2</v>
      </c>
      <c r="AE32">
        <v>38</v>
      </c>
      <c r="AF32">
        <v>25</v>
      </c>
      <c r="AH32" t="s">
        <v>11748</v>
      </c>
      <c r="AI32" t="s">
        <v>11747</v>
      </c>
      <c r="AK32" t="s">
        <v>11746</v>
      </c>
      <c r="AL32">
        <v>62</v>
      </c>
      <c r="AM32" s="5">
        <f t="shared" si="2"/>
        <v>3.1</v>
      </c>
      <c r="AN32" s="4">
        <f t="shared" si="7"/>
        <v>4.6951912154486941E-3</v>
      </c>
      <c r="AO32" s="3"/>
      <c r="AP32">
        <v>0</v>
      </c>
      <c r="AR32" t="s">
        <v>1</v>
      </c>
      <c r="AT32" s="2">
        <v>1.3140000000000001</v>
      </c>
      <c r="AU32" s="1">
        <f t="shared" si="3"/>
        <v>0.84158449437168537</v>
      </c>
      <c r="AV32" s="1">
        <f t="shared" si="4"/>
        <v>0.73528010213545236</v>
      </c>
      <c r="AW32" s="1">
        <f t="shared" si="5"/>
        <v>0.62897570989921914</v>
      </c>
    </row>
    <row r="33" spans="1:49" x14ac:dyDescent="0.2">
      <c r="A33">
        <v>31</v>
      </c>
      <c r="B33" t="s">
        <v>11745</v>
      </c>
      <c r="C33" t="s">
        <v>11744</v>
      </c>
      <c r="F33" t="s">
        <v>11743</v>
      </c>
      <c r="G33" t="s">
        <v>5</v>
      </c>
      <c r="H33" t="s">
        <v>4</v>
      </c>
      <c r="I33" t="s">
        <v>902</v>
      </c>
      <c r="J33" t="s">
        <v>181</v>
      </c>
      <c r="K33" t="s">
        <v>180</v>
      </c>
      <c r="L33" t="s">
        <v>179</v>
      </c>
      <c r="M33" t="s">
        <v>59</v>
      </c>
      <c r="N33">
        <v>3</v>
      </c>
      <c r="O33" t="s">
        <v>11742</v>
      </c>
      <c r="P33" t="s">
        <v>11741</v>
      </c>
      <c r="Q33" t="s">
        <v>791</v>
      </c>
      <c r="R33" s="7">
        <v>37595</v>
      </c>
      <c r="S33" s="8">
        <f t="shared" si="0"/>
        <v>2002</v>
      </c>
      <c r="T33" s="8">
        <v>2002</v>
      </c>
      <c r="U33" s="8">
        <f t="shared" si="1"/>
        <v>20</v>
      </c>
      <c r="V33" s="7">
        <v>37595</v>
      </c>
      <c r="W33" t="s">
        <v>786</v>
      </c>
      <c r="X33" s="2">
        <v>0.375</v>
      </c>
      <c r="Y33" s="6">
        <f t="shared" si="6"/>
        <v>1.0010410827260351E-2</v>
      </c>
      <c r="AA33">
        <v>135194</v>
      </c>
      <c r="AB33">
        <v>24918</v>
      </c>
      <c r="AD33" t="s">
        <v>2</v>
      </c>
      <c r="AE33">
        <v>38</v>
      </c>
      <c r="AF33">
        <v>25</v>
      </c>
      <c r="AH33" t="s">
        <v>11740</v>
      </c>
      <c r="AI33" t="s">
        <v>11739</v>
      </c>
      <c r="AK33" t="s">
        <v>11738</v>
      </c>
      <c r="AL33">
        <v>78</v>
      </c>
      <c r="AM33" s="5">
        <f t="shared" si="2"/>
        <v>3.9</v>
      </c>
      <c r="AN33" s="4">
        <f t="shared" si="7"/>
        <v>5.9068534645967431E-3</v>
      </c>
      <c r="AO33" s="3"/>
      <c r="AP33">
        <v>0</v>
      </c>
      <c r="AR33" t="s">
        <v>1</v>
      </c>
      <c r="AT33" s="2">
        <v>1.3140000000000001</v>
      </c>
      <c r="AU33" s="1">
        <f t="shared" si="3"/>
        <v>0.87793436184612683</v>
      </c>
      <c r="AV33" s="1">
        <f t="shared" si="4"/>
        <v>0.7958632145928547</v>
      </c>
      <c r="AW33" s="1">
        <f t="shared" si="5"/>
        <v>0.71379206733958245</v>
      </c>
    </row>
    <row r="34" spans="1:49" x14ac:dyDescent="0.2">
      <c r="A34">
        <v>32</v>
      </c>
      <c r="B34" t="s">
        <v>11737</v>
      </c>
      <c r="C34" t="s">
        <v>11736</v>
      </c>
      <c r="F34" t="s">
        <v>11735</v>
      </c>
      <c r="G34" t="s">
        <v>5</v>
      </c>
      <c r="H34" t="s">
        <v>4</v>
      </c>
      <c r="I34" t="s">
        <v>11734</v>
      </c>
      <c r="J34" t="s">
        <v>11733</v>
      </c>
      <c r="K34" t="s">
        <v>11732</v>
      </c>
      <c r="L34" t="s">
        <v>178</v>
      </c>
      <c r="M34" t="s">
        <v>177</v>
      </c>
      <c r="N34">
        <v>3</v>
      </c>
      <c r="O34" t="s">
        <v>11731</v>
      </c>
      <c r="P34" t="s">
        <v>11730</v>
      </c>
      <c r="Q34" t="s">
        <v>11729</v>
      </c>
      <c r="R34" s="7">
        <v>37595</v>
      </c>
      <c r="S34" s="8">
        <f t="shared" si="0"/>
        <v>2002</v>
      </c>
      <c r="T34" s="8">
        <v>2002</v>
      </c>
      <c r="U34" s="8">
        <f t="shared" si="1"/>
        <v>20</v>
      </c>
      <c r="V34" s="7">
        <v>37595</v>
      </c>
      <c r="W34" t="s">
        <v>786</v>
      </c>
      <c r="X34" s="2">
        <v>0.375</v>
      </c>
      <c r="Y34" s="6">
        <f t="shared" si="6"/>
        <v>1.0010410827260351E-2</v>
      </c>
      <c r="AA34">
        <v>135194</v>
      </c>
      <c r="AB34">
        <v>24918</v>
      </c>
      <c r="AD34" t="s">
        <v>2</v>
      </c>
      <c r="AE34">
        <v>38</v>
      </c>
      <c r="AF34">
        <v>25</v>
      </c>
      <c r="AH34" t="s">
        <v>11728</v>
      </c>
      <c r="AI34" t="s">
        <v>11727</v>
      </c>
      <c r="AK34" t="s">
        <v>11726</v>
      </c>
      <c r="AL34">
        <v>2</v>
      </c>
      <c r="AM34" s="5">
        <f t="shared" si="2"/>
        <v>0.1</v>
      </c>
      <c r="AN34" s="4">
        <f t="shared" si="7"/>
        <v>1.5145778114350627E-4</v>
      </c>
      <c r="AO34" s="3"/>
      <c r="AP34">
        <v>0</v>
      </c>
      <c r="AR34" t="s">
        <v>1</v>
      </c>
      <c r="AT34" s="2">
        <v>1.3140000000000001</v>
      </c>
      <c r="AU34" s="1">
        <f t="shared" si="3"/>
        <v>0.70527249134252978</v>
      </c>
      <c r="AV34" s="1">
        <f t="shared" si="4"/>
        <v>0.50809343042019284</v>
      </c>
      <c r="AW34" s="1">
        <f t="shared" si="5"/>
        <v>0.31091436949785595</v>
      </c>
    </row>
    <row r="35" spans="1:49" x14ac:dyDescent="0.2">
      <c r="A35">
        <v>33</v>
      </c>
      <c r="B35" t="s">
        <v>11725</v>
      </c>
      <c r="C35" t="s">
        <v>11724</v>
      </c>
      <c r="F35" t="s">
        <v>11723</v>
      </c>
      <c r="G35" t="s">
        <v>5</v>
      </c>
      <c r="H35" t="s">
        <v>4</v>
      </c>
      <c r="I35" t="s">
        <v>11722</v>
      </c>
      <c r="J35">
        <v>60028419</v>
      </c>
      <c r="K35" t="s">
        <v>380</v>
      </c>
      <c r="L35" t="s">
        <v>379</v>
      </c>
      <c r="M35" t="s">
        <v>182</v>
      </c>
      <c r="N35">
        <v>3</v>
      </c>
      <c r="O35" t="s">
        <v>11721</v>
      </c>
      <c r="P35" t="s">
        <v>11720</v>
      </c>
      <c r="Q35" t="s">
        <v>881</v>
      </c>
      <c r="R35" s="7">
        <v>37595</v>
      </c>
      <c r="S35" s="8">
        <f t="shared" si="0"/>
        <v>2002</v>
      </c>
      <c r="T35" s="8">
        <v>2002</v>
      </c>
      <c r="U35" s="8">
        <f t="shared" si="1"/>
        <v>20</v>
      </c>
      <c r="V35" s="7">
        <v>37595</v>
      </c>
      <c r="W35" t="s">
        <v>786</v>
      </c>
      <c r="X35" s="2">
        <v>0.375</v>
      </c>
      <c r="Y35" s="6">
        <f t="shared" si="6"/>
        <v>1.0010410827260351E-2</v>
      </c>
      <c r="AA35">
        <v>135194</v>
      </c>
      <c r="AB35">
        <v>24918</v>
      </c>
      <c r="AD35" t="s">
        <v>2</v>
      </c>
      <c r="AE35">
        <v>38</v>
      </c>
      <c r="AF35">
        <v>25</v>
      </c>
      <c r="AH35" t="s">
        <v>11719</v>
      </c>
      <c r="AI35" t="s">
        <v>11718</v>
      </c>
      <c r="AK35" t="s">
        <v>11717</v>
      </c>
      <c r="AL35">
        <v>8</v>
      </c>
      <c r="AM35" s="5">
        <f t="shared" si="2"/>
        <v>0.4</v>
      </c>
      <c r="AN35" s="4">
        <f t="shared" si="7"/>
        <v>6.0583112457402507E-4</v>
      </c>
      <c r="AO35" s="3"/>
      <c r="AP35">
        <v>0</v>
      </c>
      <c r="AR35" t="s">
        <v>1</v>
      </c>
      <c r="AT35" s="2">
        <v>1.3140000000000001</v>
      </c>
      <c r="AU35" s="1">
        <f t="shared" si="3"/>
        <v>0.71890369164544532</v>
      </c>
      <c r="AV35" s="1">
        <f t="shared" si="4"/>
        <v>0.53081209759171888</v>
      </c>
      <c r="AW35" s="1">
        <f t="shared" si="5"/>
        <v>0.34272050353799227</v>
      </c>
    </row>
    <row r="36" spans="1:49" x14ac:dyDescent="0.2">
      <c r="A36">
        <v>34</v>
      </c>
      <c r="B36" t="s">
        <v>11716</v>
      </c>
      <c r="C36" t="s">
        <v>11715</v>
      </c>
      <c r="F36" t="s">
        <v>11714</v>
      </c>
      <c r="G36" t="s">
        <v>5</v>
      </c>
      <c r="H36" t="s">
        <v>4</v>
      </c>
      <c r="I36" t="s">
        <v>11713</v>
      </c>
      <c r="J36" t="s">
        <v>11708</v>
      </c>
      <c r="K36" t="s">
        <v>11712</v>
      </c>
      <c r="L36" t="s">
        <v>11711</v>
      </c>
      <c r="M36" t="s">
        <v>601</v>
      </c>
      <c r="N36">
        <v>2</v>
      </c>
      <c r="O36" t="s">
        <v>11710</v>
      </c>
      <c r="P36" t="s">
        <v>11709</v>
      </c>
      <c r="Q36" t="s">
        <v>11708</v>
      </c>
      <c r="R36" s="7">
        <v>37595</v>
      </c>
      <c r="S36" s="8">
        <f t="shared" si="0"/>
        <v>2002</v>
      </c>
      <c r="T36" s="8">
        <v>2002</v>
      </c>
      <c r="U36" s="8">
        <f t="shared" si="1"/>
        <v>20</v>
      </c>
      <c r="V36" s="7">
        <v>37595</v>
      </c>
      <c r="W36" t="s">
        <v>786</v>
      </c>
      <c r="X36" s="2">
        <v>0.375</v>
      </c>
      <c r="Y36" s="6">
        <f t="shared" si="6"/>
        <v>1.0010410827260351E-2</v>
      </c>
      <c r="AA36">
        <v>135194</v>
      </c>
      <c r="AB36">
        <v>24918</v>
      </c>
      <c r="AD36" t="s">
        <v>2</v>
      </c>
      <c r="AE36">
        <v>38</v>
      </c>
      <c r="AF36">
        <v>25</v>
      </c>
      <c r="AH36" t="s">
        <v>11707</v>
      </c>
      <c r="AI36" t="s">
        <v>11706</v>
      </c>
      <c r="AK36" t="s">
        <v>11705</v>
      </c>
      <c r="AL36">
        <v>7</v>
      </c>
      <c r="AM36" s="5">
        <f t="shared" si="2"/>
        <v>0.35</v>
      </c>
      <c r="AN36" s="4">
        <f t="shared" si="7"/>
        <v>5.3010223400227184E-4</v>
      </c>
      <c r="AO36" s="3"/>
      <c r="AP36">
        <v>0</v>
      </c>
      <c r="AR36" t="s">
        <v>1</v>
      </c>
      <c r="AT36" s="2">
        <v>1.3140000000000001</v>
      </c>
      <c r="AU36" s="1">
        <f t="shared" si="3"/>
        <v>0.71663182492829269</v>
      </c>
      <c r="AV36" s="1">
        <f t="shared" si="4"/>
        <v>0.52702565306313121</v>
      </c>
      <c r="AW36" s="1">
        <f t="shared" si="5"/>
        <v>0.33741948119796955</v>
      </c>
    </row>
    <row r="37" spans="1:49" x14ac:dyDescent="0.2">
      <c r="A37">
        <v>35</v>
      </c>
      <c r="B37" t="s">
        <v>11704</v>
      </c>
      <c r="C37" t="s">
        <v>11703</v>
      </c>
      <c r="F37" t="s">
        <v>11702</v>
      </c>
      <c r="G37" t="s">
        <v>5</v>
      </c>
      <c r="H37" t="s">
        <v>4</v>
      </c>
      <c r="I37" t="s">
        <v>11701</v>
      </c>
      <c r="J37">
        <v>60020650</v>
      </c>
      <c r="K37" t="s">
        <v>43</v>
      </c>
      <c r="L37" t="s">
        <v>42</v>
      </c>
      <c r="M37" t="s">
        <v>41</v>
      </c>
      <c r="N37">
        <v>5</v>
      </c>
      <c r="O37" t="s">
        <v>11700</v>
      </c>
      <c r="P37" t="s">
        <v>11699</v>
      </c>
      <c r="Q37" t="s">
        <v>11698</v>
      </c>
      <c r="R37" s="7">
        <v>37595</v>
      </c>
      <c r="S37" s="8">
        <f t="shared" si="0"/>
        <v>2002</v>
      </c>
      <c r="T37" s="8">
        <v>2002</v>
      </c>
      <c r="U37" s="8">
        <f t="shared" si="1"/>
        <v>20</v>
      </c>
      <c r="V37" s="7">
        <v>37595</v>
      </c>
      <c r="W37" t="s">
        <v>786</v>
      </c>
      <c r="X37" s="2">
        <v>0.375</v>
      </c>
      <c r="Y37" s="6">
        <f t="shared" si="6"/>
        <v>1.0010410827260351E-2</v>
      </c>
      <c r="AA37">
        <v>135194</v>
      </c>
      <c r="AB37">
        <v>24918</v>
      </c>
      <c r="AD37" t="s">
        <v>2</v>
      </c>
      <c r="AE37">
        <v>38</v>
      </c>
      <c r="AF37">
        <v>25</v>
      </c>
      <c r="AH37" t="s">
        <v>11697</v>
      </c>
      <c r="AI37" t="s">
        <v>11696</v>
      </c>
      <c r="AK37" t="s">
        <v>11695</v>
      </c>
      <c r="AL37">
        <v>5</v>
      </c>
      <c r="AM37" s="5">
        <f t="shared" si="2"/>
        <v>0.25</v>
      </c>
      <c r="AN37" s="4">
        <f t="shared" si="7"/>
        <v>3.786444528587656E-4</v>
      </c>
      <c r="AO37" s="3"/>
      <c r="AP37">
        <v>0</v>
      </c>
      <c r="AR37" t="s">
        <v>1</v>
      </c>
      <c r="AT37" s="2">
        <v>1.3140000000000001</v>
      </c>
      <c r="AU37" s="1">
        <f t="shared" si="3"/>
        <v>0.71208809149398755</v>
      </c>
      <c r="AV37" s="1">
        <f t="shared" si="4"/>
        <v>0.51945276400595586</v>
      </c>
      <c r="AW37" s="1">
        <f t="shared" si="5"/>
        <v>0.32681743651792411</v>
      </c>
    </row>
    <row r="38" spans="1:49" x14ac:dyDescent="0.2">
      <c r="A38">
        <v>36</v>
      </c>
      <c r="B38" t="s">
        <v>11694</v>
      </c>
      <c r="C38" t="s">
        <v>11693</v>
      </c>
      <c r="F38" t="s">
        <v>11692</v>
      </c>
      <c r="G38" t="s">
        <v>5</v>
      </c>
      <c r="H38" t="s">
        <v>4</v>
      </c>
      <c r="I38" t="s">
        <v>11691</v>
      </c>
      <c r="J38" t="s">
        <v>11690</v>
      </c>
      <c r="K38" t="s">
        <v>11689</v>
      </c>
      <c r="L38" t="s">
        <v>11688</v>
      </c>
      <c r="M38" t="s">
        <v>76</v>
      </c>
      <c r="N38">
        <v>2</v>
      </c>
      <c r="O38" t="s">
        <v>11687</v>
      </c>
      <c r="P38" t="s">
        <v>11686</v>
      </c>
      <c r="Q38" t="s">
        <v>11685</v>
      </c>
      <c r="R38" s="7">
        <v>37595</v>
      </c>
      <c r="S38" s="8">
        <f t="shared" si="0"/>
        <v>2002</v>
      </c>
      <c r="T38" s="8">
        <v>2002</v>
      </c>
      <c r="U38" s="8">
        <f t="shared" si="1"/>
        <v>20</v>
      </c>
      <c r="V38" s="7">
        <v>37595</v>
      </c>
      <c r="W38" t="s">
        <v>786</v>
      </c>
      <c r="X38" s="2">
        <v>0.375</v>
      </c>
      <c r="Y38" s="6">
        <f t="shared" si="6"/>
        <v>1.0010410827260351E-2</v>
      </c>
      <c r="AA38">
        <v>135194</v>
      </c>
      <c r="AB38">
        <v>24918</v>
      </c>
      <c r="AD38" t="s">
        <v>2</v>
      </c>
      <c r="AE38">
        <v>38</v>
      </c>
      <c r="AF38">
        <v>25</v>
      </c>
      <c r="AH38" t="s">
        <v>11684</v>
      </c>
      <c r="AI38" t="s">
        <v>11683</v>
      </c>
      <c r="AK38" t="s">
        <v>11682</v>
      </c>
      <c r="AL38">
        <v>3</v>
      </c>
      <c r="AM38" s="5">
        <f t="shared" si="2"/>
        <v>0.15</v>
      </c>
      <c r="AN38" s="4">
        <f t="shared" si="7"/>
        <v>2.2718667171525936E-4</v>
      </c>
      <c r="AO38" s="3"/>
      <c r="AP38">
        <v>0</v>
      </c>
      <c r="AR38" t="s">
        <v>1</v>
      </c>
      <c r="AT38" s="2">
        <v>1.3140000000000001</v>
      </c>
      <c r="AU38" s="1">
        <f t="shared" si="3"/>
        <v>0.70754435805968241</v>
      </c>
      <c r="AV38" s="1">
        <f t="shared" si="4"/>
        <v>0.51187987494878051</v>
      </c>
      <c r="AW38" s="1">
        <f t="shared" si="5"/>
        <v>0.31621539183787867</v>
      </c>
    </row>
    <row r="39" spans="1:49" x14ac:dyDescent="0.2">
      <c r="A39">
        <v>37</v>
      </c>
      <c r="B39" t="s">
        <v>11681</v>
      </c>
      <c r="C39" t="s">
        <v>11680</v>
      </c>
      <c r="F39" t="s">
        <v>11679</v>
      </c>
      <c r="G39" t="s">
        <v>5</v>
      </c>
      <c r="H39" t="s">
        <v>4</v>
      </c>
      <c r="I39" t="s">
        <v>873</v>
      </c>
      <c r="J39">
        <v>60027550</v>
      </c>
      <c r="K39" t="s">
        <v>288</v>
      </c>
      <c r="L39" t="s">
        <v>69</v>
      </c>
      <c r="M39" t="s">
        <v>7</v>
      </c>
      <c r="N39">
        <v>4</v>
      </c>
      <c r="O39" t="s">
        <v>11678</v>
      </c>
      <c r="P39" t="s">
        <v>11677</v>
      </c>
      <c r="Q39" t="s">
        <v>750</v>
      </c>
      <c r="R39" s="7">
        <v>37595</v>
      </c>
      <c r="S39" s="8">
        <f t="shared" si="0"/>
        <v>2002</v>
      </c>
      <c r="T39" s="8">
        <v>2002</v>
      </c>
      <c r="U39" s="8">
        <f t="shared" si="1"/>
        <v>20</v>
      </c>
      <c r="V39" s="7">
        <v>37595</v>
      </c>
      <c r="W39" t="s">
        <v>786</v>
      </c>
      <c r="X39" s="2">
        <v>0.375</v>
      </c>
      <c r="Y39" s="6">
        <f t="shared" si="6"/>
        <v>1.0010410827260351E-2</v>
      </c>
      <c r="AA39">
        <v>135194</v>
      </c>
      <c r="AB39">
        <v>24918</v>
      </c>
      <c r="AD39" t="s">
        <v>2</v>
      </c>
      <c r="AE39">
        <v>38</v>
      </c>
      <c r="AF39">
        <v>25</v>
      </c>
      <c r="AH39" t="s">
        <v>11676</v>
      </c>
      <c r="AI39" t="s">
        <v>11675</v>
      </c>
      <c r="AK39" t="s">
        <v>11674</v>
      </c>
      <c r="AL39">
        <v>28</v>
      </c>
      <c r="AM39" s="5">
        <f t="shared" si="2"/>
        <v>1.4</v>
      </c>
      <c r="AN39" s="4">
        <f t="shared" si="7"/>
        <v>2.1204089360090874E-3</v>
      </c>
      <c r="AO39" s="3"/>
      <c r="AP39">
        <v>0</v>
      </c>
      <c r="AR39" t="s">
        <v>1</v>
      </c>
      <c r="AT39" s="2">
        <v>1.3140000000000001</v>
      </c>
      <c r="AU39" s="1">
        <f t="shared" si="3"/>
        <v>0.76434102598849718</v>
      </c>
      <c r="AV39" s="1">
        <f t="shared" si="4"/>
        <v>0.60654098816347191</v>
      </c>
      <c r="AW39" s="1">
        <f t="shared" si="5"/>
        <v>0.44874095033844663</v>
      </c>
    </row>
    <row r="40" spans="1:49" x14ac:dyDescent="0.2">
      <c r="A40">
        <v>38</v>
      </c>
      <c r="B40" t="s">
        <v>11673</v>
      </c>
      <c r="C40" t="s">
        <v>11672</v>
      </c>
      <c r="F40" t="s">
        <v>11671</v>
      </c>
      <c r="G40" t="s">
        <v>5</v>
      </c>
      <c r="H40" t="s">
        <v>4</v>
      </c>
      <c r="I40" t="s">
        <v>11670</v>
      </c>
      <c r="J40">
        <v>60115295</v>
      </c>
      <c r="K40" t="s">
        <v>1951</v>
      </c>
      <c r="L40" t="s">
        <v>1950</v>
      </c>
      <c r="M40" t="s">
        <v>112</v>
      </c>
      <c r="N40">
        <v>2</v>
      </c>
      <c r="O40" t="s">
        <v>11669</v>
      </c>
      <c r="P40" t="s">
        <v>11668</v>
      </c>
      <c r="Q40" t="s">
        <v>1947</v>
      </c>
      <c r="R40" s="7">
        <v>37595</v>
      </c>
      <c r="S40" s="8">
        <f t="shared" si="0"/>
        <v>2002</v>
      </c>
      <c r="T40" s="8">
        <v>2002</v>
      </c>
      <c r="U40" s="8">
        <f t="shared" si="1"/>
        <v>20</v>
      </c>
      <c r="V40" s="7">
        <v>37595</v>
      </c>
      <c r="W40" t="s">
        <v>786</v>
      </c>
      <c r="X40" s="2">
        <v>0.375</v>
      </c>
      <c r="Y40" s="6">
        <f t="shared" si="6"/>
        <v>1.0010410827260351E-2</v>
      </c>
      <c r="AA40">
        <v>135194</v>
      </c>
      <c r="AB40">
        <v>24918</v>
      </c>
      <c r="AD40" t="s">
        <v>2</v>
      </c>
      <c r="AE40">
        <v>38</v>
      </c>
      <c r="AF40">
        <v>25</v>
      </c>
      <c r="AH40" t="s">
        <v>11667</v>
      </c>
      <c r="AI40" t="s">
        <v>11666</v>
      </c>
      <c r="AK40" t="s">
        <v>11665</v>
      </c>
      <c r="AL40">
        <v>15</v>
      </c>
      <c r="AM40" s="5">
        <f t="shared" si="2"/>
        <v>0.75</v>
      </c>
      <c r="AN40" s="4">
        <f t="shared" si="7"/>
        <v>1.1359333585762969E-3</v>
      </c>
      <c r="AO40" s="3"/>
      <c r="AP40">
        <v>0</v>
      </c>
      <c r="AR40" t="s">
        <v>1</v>
      </c>
      <c r="AT40" s="2">
        <v>1.3140000000000001</v>
      </c>
      <c r="AU40" s="1">
        <f t="shared" si="3"/>
        <v>0.73480675866551348</v>
      </c>
      <c r="AV40" s="1">
        <f t="shared" si="4"/>
        <v>0.55731720929183248</v>
      </c>
      <c r="AW40" s="1">
        <f t="shared" si="5"/>
        <v>0.37982765991815132</v>
      </c>
    </row>
    <row r="41" spans="1:49" x14ac:dyDescent="0.2">
      <c r="A41">
        <v>39</v>
      </c>
      <c r="B41" t="s">
        <v>11664</v>
      </c>
      <c r="C41" t="s">
        <v>11663</v>
      </c>
      <c r="F41" t="s">
        <v>11662</v>
      </c>
      <c r="G41" t="s">
        <v>5</v>
      </c>
      <c r="H41" t="s">
        <v>4</v>
      </c>
      <c r="I41" t="s">
        <v>11661</v>
      </c>
      <c r="J41" t="s">
        <v>11660</v>
      </c>
      <c r="K41" t="s">
        <v>11659</v>
      </c>
      <c r="L41" t="s">
        <v>11658</v>
      </c>
      <c r="M41" t="s">
        <v>1188</v>
      </c>
      <c r="N41">
        <v>2</v>
      </c>
      <c r="O41" t="s">
        <v>11657</v>
      </c>
      <c r="P41" t="s">
        <v>11656</v>
      </c>
      <c r="Q41" t="s">
        <v>11655</v>
      </c>
      <c r="R41" s="7">
        <v>37595</v>
      </c>
      <c r="S41" s="8">
        <f t="shared" si="0"/>
        <v>2002</v>
      </c>
      <c r="T41" s="8">
        <v>2002</v>
      </c>
      <c r="U41" s="8">
        <f t="shared" si="1"/>
        <v>20</v>
      </c>
      <c r="V41" s="7">
        <v>37595</v>
      </c>
      <c r="W41" t="s">
        <v>786</v>
      </c>
      <c r="X41" s="2">
        <v>0.375</v>
      </c>
      <c r="Y41" s="6">
        <f t="shared" si="6"/>
        <v>1.0010410827260351E-2</v>
      </c>
      <c r="AA41">
        <v>135194</v>
      </c>
      <c r="AB41">
        <v>24918</v>
      </c>
      <c r="AD41" t="s">
        <v>2</v>
      </c>
      <c r="AE41">
        <v>38</v>
      </c>
      <c r="AF41">
        <v>25</v>
      </c>
      <c r="AH41" t="s">
        <v>11654</v>
      </c>
      <c r="AI41" t="s">
        <v>11653</v>
      </c>
      <c r="AK41" t="s">
        <v>11652</v>
      </c>
      <c r="AL41">
        <v>13</v>
      </c>
      <c r="AM41" s="5">
        <f t="shared" si="2"/>
        <v>0.65</v>
      </c>
      <c r="AN41" s="4">
        <f t="shared" si="7"/>
        <v>9.8447557743279067E-4</v>
      </c>
      <c r="AO41" s="3"/>
      <c r="AP41">
        <v>0</v>
      </c>
      <c r="AR41" t="s">
        <v>1</v>
      </c>
      <c r="AT41" s="2">
        <v>1.3140000000000001</v>
      </c>
      <c r="AU41" s="1">
        <f t="shared" si="3"/>
        <v>0.73026302523120823</v>
      </c>
      <c r="AV41" s="1">
        <f t="shared" si="4"/>
        <v>0.54974432023465714</v>
      </c>
      <c r="AW41" s="1">
        <f t="shared" si="5"/>
        <v>0.36922561523810588</v>
      </c>
    </row>
    <row r="42" spans="1:49" x14ac:dyDescent="0.2">
      <c r="A42">
        <v>40</v>
      </c>
      <c r="B42" t="s">
        <v>11651</v>
      </c>
      <c r="C42" t="s">
        <v>11650</v>
      </c>
      <c r="F42" t="s">
        <v>11649</v>
      </c>
      <c r="G42" t="s">
        <v>5</v>
      </c>
      <c r="H42" t="s">
        <v>4</v>
      </c>
      <c r="I42" t="s">
        <v>11648</v>
      </c>
      <c r="J42" t="s">
        <v>11647</v>
      </c>
      <c r="K42" t="s">
        <v>11646</v>
      </c>
      <c r="L42" t="s">
        <v>11645</v>
      </c>
      <c r="M42" t="s">
        <v>498</v>
      </c>
      <c r="N42">
        <v>2</v>
      </c>
      <c r="O42" t="s">
        <v>11644</v>
      </c>
      <c r="P42" t="s">
        <v>11643</v>
      </c>
      <c r="Q42" t="s">
        <v>11642</v>
      </c>
      <c r="R42" s="7">
        <v>37595</v>
      </c>
      <c r="S42" s="8">
        <f t="shared" si="0"/>
        <v>2002</v>
      </c>
      <c r="T42" s="8">
        <v>2002</v>
      </c>
      <c r="U42" s="8">
        <f t="shared" si="1"/>
        <v>20</v>
      </c>
      <c r="V42" s="7">
        <v>37595</v>
      </c>
      <c r="W42" t="s">
        <v>786</v>
      </c>
      <c r="X42" s="2">
        <v>0.375</v>
      </c>
      <c r="Y42" s="6">
        <f t="shared" si="6"/>
        <v>1.0010410827260351E-2</v>
      </c>
      <c r="AA42">
        <v>135194</v>
      </c>
      <c r="AB42">
        <v>24918</v>
      </c>
      <c r="AD42" t="s">
        <v>2</v>
      </c>
      <c r="AE42">
        <v>38</v>
      </c>
      <c r="AF42">
        <v>25</v>
      </c>
      <c r="AH42" t="s">
        <v>11641</v>
      </c>
      <c r="AI42" t="s">
        <v>11640</v>
      </c>
      <c r="AK42" t="s">
        <v>11639</v>
      </c>
      <c r="AL42">
        <v>0</v>
      </c>
      <c r="AM42" s="5">
        <f t="shared" si="2"/>
        <v>0</v>
      </c>
      <c r="AN42" s="4">
        <f t="shared" si="7"/>
        <v>0</v>
      </c>
      <c r="AO42" s="3"/>
      <c r="AP42">
        <v>0</v>
      </c>
      <c r="AR42" t="s">
        <v>1</v>
      </c>
      <c r="AT42" s="2">
        <v>1.3140000000000001</v>
      </c>
      <c r="AU42" s="1">
        <f t="shared" si="3"/>
        <v>0.70072875790822453</v>
      </c>
      <c r="AV42" s="1">
        <f t="shared" si="4"/>
        <v>0.5005205413630176</v>
      </c>
      <c r="AW42" s="1">
        <f t="shared" si="5"/>
        <v>0.30031232481781051</v>
      </c>
    </row>
    <row r="43" spans="1:49" x14ac:dyDescent="0.2">
      <c r="A43">
        <v>41</v>
      </c>
      <c r="B43" t="s">
        <v>11638</v>
      </c>
      <c r="C43" t="s">
        <v>11637</v>
      </c>
      <c r="F43" t="s">
        <v>11636</v>
      </c>
      <c r="G43" t="s">
        <v>5</v>
      </c>
      <c r="H43" t="s">
        <v>4</v>
      </c>
      <c r="I43" t="s">
        <v>11635</v>
      </c>
      <c r="J43">
        <v>60018735</v>
      </c>
      <c r="K43" t="s">
        <v>555</v>
      </c>
      <c r="L43" t="s">
        <v>104</v>
      </c>
      <c r="M43" t="s">
        <v>36</v>
      </c>
      <c r="N43">
        <v>3</v>
      </c>
      <c r="O43" t="s">
        <v>11634</v>
      </c>
      <c r="P43" t="s">
        <v>11633</v>
      </c>
      <c r="Q43" t="s">
        <v>11632</v>
      </c>
      <c r="R43" s="7">
        <v>37595</v>
      </c>
      <c r="S43" s="8">
        <f t="shared" si="0"/>
        <v>2002</v>
      </c>
      <c r="T43" s="8">
        <v>2002</v>
      </c>
      <c r="U43" s="8">
        <f t="shared" si="1"/>
        <v>20</v>
      </c>
      <c r="V43" s="7">
        <v>37595</v>
      </c>
      <c r="W43" t="s">
        <v>786</v>
      </c>
      <c r="X43" s="2">
        <v>0.375</v>
      </c>
      <c r="Y43" s="6">
        <f t="shared" si="6"/>
        <v>1.0010410827260351E-2</v>
      </c>
      <c r="AA43">
        <v>135194</v>
      </c>
      <c r="AB43">
        <v>24918</v>
      </c>
      <c r="AD43" t="s">
        <v>2</v>
      </c>
      <c r="AE43">
        <v>38</v>
      </c>
      <c r="AF43">
        <v>25</v>
      </c>
      <c r="AH43" t="s">
        <v>11631</v>
      </c>
      <c r="AI43" t="s">
        <v>11630</v>
      </c>
      <c r="AK43" t="s">
        <v>11629</v>
      </c>
      <c r="AL43">
        <v>2</v>
      </c>
      <c r="AM43" s="5">
        <f t="shared" si="2"/>
        <v>0.1</v>
      </c>
      <c r="AN43" s="4">
        <f t="shared" si="7"/>
        <v>1.5145778114350627E-4</v>
      </c>
      <c r="AO43" s="3"/>
      <c r="AP43">
        <v>0</v>
      </c>
      <c r="AR43" t="s">
        <v>1</v>
      </c>
      <c r="AT43" s="2">
        <v>1.3140000000000001</v>
      </c>
      <c r="AU43" s="1">
        <f t="shared" si="3"/>
        <v>0.70527249134252978</v>
      </c>
      <c r="AV43" s="1">
        <f t="shared" si="4"/>
        <v>0.50809343042019284</v>
      </c>
      <c r="AW43" s="1">
        <f t="shared" si="5"/>
        <v>0.31091436949785595</v>
      </c>
    </row>
    <row r="44" spans="1:49" x14ac:dyDescent="0.2">
      <c r="A44">
        <v>42</v>
      </c>
      <c r="B44" t="s">
        <v>11628</v>
      </c>
      <c r="C44" t="s">
        <v>11627</v>
      </c>
      <c r="F44" t="s">
        <v>11626</v>
      </c>
      <c r="G44" t="s">
        <v>5</v>
      </c>
      <c r="H44" t="s">
        <v>4</v>
      </c>
      <c r="I44" t="s">
        <v>11625</v>
      </c>
      <c r="J44" t="s">
        <v>11624</v>
      </c>
      <c r="K44" t="s">
        <v>11623</v>
      </c>
      <c r="L44" t="s">
        <v>11622</v>
      </c>
      <c r="M44" t="s">
        <v>175</v>
      </c>
      <c r="N44">
        <v>3</v>
      </c>
      <c r="O44" t="s">
        <v>11621</v>
      </c>
      <c r="P44" t="s">
        <v>11620</v>
      </c>
      <c r="Q44" t="s">
        <v>11619</v>
      </c>
      <c r="R44" s="7">
        <v>37595</v>
      </c>
      <c r="S44" s="8">
        <f t="shared" si="0"/>
        <v>2002</v>
      </c>
      <c r="T44" s="8">
        <v>2002</v>
      </c>
      <c r="U44" s="8">
        <f t="shared" si="1"/>
        <v>20</v>
      </c>
      <c r="V44" s="7">
        <v>37595</v>
      </c>
      <c r="W44" t="s">
        <v>786</v>
      </c>
      <c r="X44" s="2">
        <v>0.375</v>
      </c>
      <c r="Y44" s="6">
        <f t="shared" si="6"/>
        <v>1.0010410827260351E-2</v>
      </c>
      <c r="AA44">
        <v>135194</v>
      </c>
      <c r="AB44">
        <v>24918</v>
      </c>
      <c r="AD44" t="s">
        <v>2</v>
      </c>
      <c r="AE44">
        <v>38</v>
      </c>
      <c r="AF44">
        <v>25</v>
      </c>
      <c r="AH44" t="s">
        <v>11618</v>
      </c>
      <c r="AI44" t="s">
        <v>11617</v>
      </c>
      <c r="AK44" t="s">
        <v>11616</v>
      </c>
      <c r="AL44">
        <v>6</v>
      </c>
      <c r="AM44" s="5">
        <f t="shared" si="2"/>
        <v>0.3</v>
      </c>
      <c r="AN44" s="4">
        <f t="shared" si="7"/>
        <v>4.5437334343051872E-4</v>
      </c>
      <c r="AO44" s="3"/>
      <c r="AP44">
        <v>0</v>
      </c>
      <c r="AR44" t="s">
        <v>1</v>
      </c>
      <c r="AT44" s="2">
        <v>1.3140000000000001</v>
      </c>
      <c r="AU44" s="1">
        <f t="shared" si="3"/>
        <v>0.71435995821114018</v>
      </c>
      <c r="AV44" s="1">
        <f t="shared" si="4"/>
        <v>0.52323920853454353</v>
      </c>
      <c r="AW44" s="1">
        <f t="shared" si="5"/>
        <v>0.33211845885794683</v>
      </c>
    </row>
    <row r="45" spans="1:49" x14ac:dyDescent="0.2">
      <c r="A45">
        <v>43</v>
      </c>
      <c r="B45" t="s">
        <v>11615</v>
      </c>
      <c r="C45" t="s">
        <v>11614</v>
      </c>
      <c r="F45" t="s">
        <v>11613</v>
      </c>
      <c r="G45" t="s">
        <v>5</v>
      </c>
      <c r="H45" t="s">
        <v>4</v>
      </c>
      <c r="I45" t="s">
        <v>585</v>
      </c>
      <c r="J45">
        <v>60025278</v>
      </c>
      <c r="K45" t="s">
        <v>73</v>
      </c>
      <c r="L45" t="s">
        <v>72</v>
      </c>
      <c r="M45" t="s">
        <v>21</v>
      </c>
      <c r="N45">
        <v>4</v>
      </c>
      <c r="O45" t="s">
        <v>11612</v>
      </c>
      <c r="P45" t="s">
        <v>11611</v>
      </c>
      <c r="Q45" t="s">
        <v>71</v>
      </c>
      <c r="R45" s="7">
        <v>37595</v>
      </c>
      <c r="S45" s="8">
        <f t="shared" si="0"/>
        <v>2002</v>
      </c>
      <c r="T45" s="8">
        <v>2002</v>
      </c>
      <c r="U45" s="8">
        <f t="shared" si="1"/>
        <v>20</v>
      </c>
      <c r="V45" s="7">
        <v>37595</v>
      </c>
      <c r="W45" t="s">
        <v>786</v>
      </c>
      <c r="X45" s="2">
        <v>0.375</v>
      </c>
      <c r="Y45" s="6">
        <f t="shared" si="6"/>
        <v>1.0010410827260351E-2</v>
      </c>
      <c r="AA45">
        <v>135194</v>
      </c>
      <c r="AB45">
        <v>24918</v>
      </c>
      <c r="AD45" t="s">
        <v>2</v>
      </c>
      <c r="AE45">
        <v>38</v>
      </c>
      <c r="AF45">
        <v>25</v>
      </c>
      <c r="AH45" t="s">
        <v>11610</v>
      </c>
      <c r="AI45" t="s">
        <v>11609</v>
      </c>
      <c r="AK45" t="s">
        <v>11608</v>
      </c>
      <c r="AL45">
        <v>9</v>
      </c>
      <c r="AM45" s="5">
        <f t="shared" si="2"/>
        <v>0.45</v>
      </c>
      <c r="AN45" s="4">
        <f t="shared" si="7"/>
        <v>6.8156001514577808E-4</v>
      </c>
      <c r="AO45" s="3"/>
      <c r="AP45">
        <v>0</v>
      </c>
      <c r="AR45" t="s">
        <v>1</v>
      </c>
      <c r="AT45" s="2">
        <v>1.3140000000000001</v>
      </c>
      <c r="AU45" s="1">
        <f t="shared" si="3"/>
        <v>0.72117555836259795</v>
      </c>
      <c r="AV45" s="1">
        <f t="shared" si="4"/>
        <v>0.53459854212030644</v>
      </c>
      <c r="AW45" s="1">
        <f t="shared" si="5"/>
        <v>0.34802152587801499</v>
      </c>
    </row>
    <row r="46" spans="1:49" x14ac:dyDescent="0.2">
      <c r="A46">
        <v>44</v>
      </c>
      <c r="B46" t="s">
        <v>11607</v>
      </c>
      <c r="C46" t="s">
        <v>11606</v>
      </c>
      <c r="F46" t="s">
        <v>11605</v>
      </c>
      <c r="G46" t="s">
        <v>5</v>
      </c>
      <c r="H46" t="s">
        <v>4</v>
      </c>
      <c r="I46" t="s">
        <v>1195</v>
      </c>
      <c r="J46">
        <v>60019330</v>
      </c>
      <c r="K46" t="s">
        <v>970</v>
      </c>
      <c r="L46" t="s">
        <v>216</v>
      </c>
      <c r="M46" t="s">
        <v>135</v>
      </c>
      <c r="N46">
        <v>1</v>
      </c>
      <c r="O46" t="s">
        <v>11604</v>
      </c>
      <c r="P46">
        <v>35755202500</v>
      </c>
      <c r="Q46">
        <v>60019330</v>
      </c>
      <c r="R46" s="7">
        <v>37595</v>
      </c>
      <c r="S46" s="8">
        <f t="shared" si="0"/>
        <v>2002</v>
      </c>
      <c r="T46" s="8">
        <v>2002</v>
      </c>
      <c r="U46" s="8">
        <f t="shared" si="1"/>
        <v>20</v>
      </c>
      <c r="V46" s="7">
        <v>37595</v>
      </c>
      <c r="W46" t="s">
        <v>786</v>
      </c>
      <c r="X46" s="2">
        <v>0.375</v>
      </c>
      <c r="Y46" s="6">
        <f t="shared" si="6"/>
        <v>1.0010410827260351E-2</v>
      </c>
      <c r="AA46">
        <v>135194</v>
      </c>
      <c r="AB46">
        <v>24918</v>
      </c>
      <c r="AD46" t="s">
        <v>2</v>
      </c>
      <c r="AE46">
        <v>38</v>
      </c>
      <c r="AF46">
        <v>25</v>
      </c>
      <c r="AH46" t="s">
        <v>11603</v>
      </c>
      <c r="AI46" t="s">
        <v>11602</v>
      </c>
      <c r="AK46" t="s">
        <v>11601</v>
      </c>
      <c r="AL46">
        <v>27</v>
      </c>
      <c r="AM46" s="5">
        <f t="shared" si="2"/>
        <v>1.35</v>
      </c>
      <c r="AN46" s="4">
        <f t="shared" si="7"/>
        <v>2.0446800454373346E-3</v>
      </c>
      <c r="AO46" s="3"/>
      <c r="AP46">
        <v>0</v>
      </c>
      <c r="AR46" t="s">
        <v>1</v>
      </c>
      <c r="AT46" s="2">
        <v>1.3140000000000001</v>
      </c>
      <c r="AU46" s="1">
        <f t="shared" si="3"/>
        <v>0.76206915927134455</v>
      </c>
      <c r="AV46" s="1">
        <f t="shared" si="4"/>
        <v>0.60275454363488434</v>
      </c>
      <c r="AW46" s="1">
        <f t="shared" si="5"/>
        <v>0.44343992799842391</v>
      </c>
    </row>
    <row r="47" spans="1:49" x14ac:dyDescent="0.2">
      <c r="A47">
        <v>45</v>
      </c>
      <c r="B47" t="s">
        <v>11600</v>
      </c>
      <c r="C47" t="s">
        <v>11599</v>
      </c>
      <c r="F47" t="s">
        <v>11598</v>
      </c>
      <c r="G47" t="s">
        <v>5</v>
      </c>
      <c r="H47" t="s">
        <v>4</v>
      </c>
      <c r="I47" t="s">
        <v>11597</v>
      </c>
      <c r="J47">
        <v>60001439</v>
      </c>
      <c r="K47" t="s">
        <v>159</v>
      </c>
      <c r="L47" t="s">
        <v>158</v>
      </c>
      <c r="M47" t="s">
        <v>7</v>
      </c>
      <c r="N47">
        <v>2</v>
      </c>
      <c r="O47" t="s">
        <v>11596</v>
      </c>
      <c r="P47" t="s">
        <v>11595</v>
      </c>
      <c r="Q47" t="s">
        <v>656</v>
      </c>
      <c r="R47" s="7">
        <v>37595</v>
      </c>
      <c r="S47" s="8">
        <f t="shared" si="0"/>
        <v>2002</v>
      </c>
      <c r="T47" s="8">
        <v>2002</v>
      </c>
      <c r="U47" s="8">
        <f t="shared" si="1"/>
        <v>20</v>
      </c>
      <c r="V47" s="7">
        <v>37595</v>
      </c>
      <c r="W47" t="s">
        <v>786</v>
      </c>
      <c r="X47" s="2">
        <v>0.375</v>
      </c>
      <c r="Y47" s="6">
        <f t="shared" si="6"/>
        <v>1.0010410827260351E-2</v>
      </c>
      <c r="AA47">
        <v>135194</v>
      </c>
      <c r="AB47">
        <v>24918</v>
      </c>
      <c r="AD47" t="s">
        <v>2</v>
      </c>
      <c r="AE47">
        <v>38</v>
      </c>
      <c r="AF47">
        <v>25</v>
      </c>
      <c r="AH47" t="s">
        <v>11594</v>
      </c>
      <c r="AI47" t="s">
        <v>11593</v>
      </c>
      <c r="AK47" t="s">
        <v>11592</v>
      </c>
      <c r="AL47">
        <v>12</v>
      </c>
      <c r="AM47" s="5">
        <f t="shared" si="2"/>
        <v>0.6</v>
      </c>
      <c r="AN47" s="4">
        <f t="shared" si="7"/>
        <v>9.0874668686103744E-4</v>
      </c>
      <c r="AO47" s="3"/>
      <c r="AP47">
        <v>0</v>
      </c>
      <c r="AR47" t="s">
        <v>1</v>
      </c>
      <c r="AT47" s="2">
        <v>1.3140000000000001</v>
      </c>
      <c r="AU47" s="1">
        <f t="shared" si="3"/>
        <v>0.72799115851405571</v>
      </c>
      <c r="AV47" s="1">
        <f t="shared" si="4"/>
        <v>0.54595787570606946</v>
      </c>
      <c r="AW47" s="1">
        <f t="shared" si="5"/>
        <v>0.3639245928980831</v>
      </c>
    </row>
    <row r="48" spans="1:49" x14ac:dyDescent="0.2">
      <c r="A48">
        <v>46</v>
      </c>
      <c r="B48" t="s">
        <v>11591</v>
      </c>
      <c r="C48" t="s">
        <v>11590</v>
      </c>
      <c r="D48" t="s">
        <v>11589</v>
      </c>
      <c r="F48" t="s">
        <v>11588</v>
      </c>
      <c r="G48" t="s">
        <v>5</v>
      </c>
      <c r="H48" t="s">
        <v>4</v>
      </c>
      <c r="I48" t="s">
        <v>11587</v>
      </c>
      <c r="J48" t="s">
        <v>11586</v>
      </c>
      <c r="K48" t="s">
        <v>11585</v>
      </c>
      <c r="L48" t="s">
        <v>11584</v>
      </c>
      <c r="M48" t="s">
        <v>11583</v>
      </c>
      <c r="N48">
        <v>100</v>
      </c>
      <c r="O48" t="s">
        <v>11582</v>
      </c>
      <c r="P48" t="s">
        <v>11581</v>
      </c>
      <c r="Q48" t="s">
        <v>11580</v>
      </c>
      <c r="R48" s="7">
        <v>37595</v>
      </c>
      <c r="S48" s="8">
        <f t="shared" si="0"/>
        <v>2002</v>
      </c>
      <c r="T48" s="8">
        <v>2002</v>
      </c>
      <c r="U48" s="8">
        <f t="shared" si="1"/>
        <v>20</v>
      </c>
      <c r="V48" s="7">
        <v>37595</v>
      </c>
      <c r="W48" t="s">
        <v>808</v>
      </c>
      <c r="X48" s="2">
        <v>2.093</v>
      </c>
      <c r="Y48" s="6">
        <f t="shared" si="6"/>
        <v>5.5871439630549108E-2</v>
      </c>
      <c r="AA48">
        <v>3702693</v>
      </c>
      <c r="AB48">
        <v>29482</v>
      </c>
      <c r="AD48" t="s">
        <v>2</v>
      </c>
      <c r="AE48">
        <v>549</v>
      </c>
      <c r="AF48" s="9">
        <v>44289</v>
      </c>
      <c r="AH48" t="s">
        <v>11579</v>
      </c>
      <c r="AI48" t="s">
        <v>11578</v>
      </c>
      <c r="AK48" t="s">
        <v>11577</v>
      </c>
      <c r="AL48">
        <v>76</v>
      </c>
      <c r="AM48" s="5">
        <f t="shared" si="2"/>
        <v>3.8</v>
      </c>
      <c r="AN48" s="4">
        <f t="shared" si="7"/>
        <v>5.7553956834532375E-3</v>
      </c>
      <c r="AO48" s="3"/>
      <c r="AP48">
        <v>1</v>
      </c>
      <c r="AR48" t="s">
        <v>1</v>
      </c>
      <c r="AT48" s="2" t="s">
        <v>0</v>
      </c>
      <c r="AU48" s="1">
        <f t="shared" si="3"/>
        <v>4.0836626446420343</v>
      </c>
      <c r="AV48" s="1">
        <f t="shared" si="4"/>
        <v>3.0813417657001172</v>
      </c>
      <c r="AW48" s="1">
        <f t="shared" si="5"/>
        <v>2.0790208867581996</v>
      </c>
    </row>
    <row r="49" spans="1:49" x14ac:dyDescent="0.2">
      <c r="A49">
        <v>47</v>
      </c>
      <c r="B49" t="s">
        <v>11576</v>
      </c>
      <c r="C49" t="s">
        <v>11575</v>
      </c>
      <c r="F49" t="s">
        <v>11574</v>
      </c>
      <c r="G49" t="s">
        <v>5</v>
      </c>
      <c r="H49" t="s">
        <v>4</v>
      </c>
      <c r="I49" t="s">
        <v>8114</v>
      </c>
      <c r="J49">
        <v>60028419</v>
      </c>
      <c r="K49" t="s">
        <v>380</v>
      </c>
      <c r="L49" t="s">
        <v>379</v>
      </c>
      <c r="M49" t="s">
        <v>182</v>
      </c>
      <c r="N49">
        <v>3</v>
      </c>
      <c r="O49" t="s">
        <v>11573</v>
      </c>
      <c r="P49" t="s">
        <v>11572</v>
      </c>
      <c r="Q49" t="s">
        <v>881</v>
      </c>
      <c r="R49" s="7">
        <v>37595</v>
      </c>
      <c r="S49" s="8">
        <f t="shared" si="0"/>
        <v>2002</v>
      </c>
      <c r="T49" s="8">
        <v>2002</v>
      </c>
      <c r="U49" s="8">
        <f t="shared" si="1"/>
        <v>20</v>
      </c>
      <c r="V49" s="7">
        <v>37595</v>
      </c>
      <c r="W49" t="s">
        <v>789</v>
      </c>
      <c r="X49" s="2">
        <v>0.30399999999999999</v>
      </c>
      <c r="Y49" s="6">
        <f t="shared" si="6"/>
        <v>8.115106377299057E-3</v>
      </c>
      <c r="AA49">
        <v>8952477</v>
      </c>
      <c r="AB49">
        <v>12250</v>
      </c>
      <c r="AD49" t="s">
        <v>2</v>
      </c>
      <c r="AE49">
        <v>35</v>
      </c>
      <c r="AF49">
        <v>5</v>
      </c>
      <c r="AH49" t="s">
        <v>11571</v>
      </c>
      <c r="AI49" t="s">
        <v>11570</v>
      </c>
      <c r="AJ49" t="s">
        <v>11569</v>
      </c>
      <c r="AK49" t="s">
        <v>11568</v>
      </c>
      <c r="AL49">
        <v>0</v>
      </c>
      <c r="AM49" s="5">
        <f t="shared" si="2"/>
        <v>0</v>
      </c>
      <c r="AN49" s="4">
        <f t="shared" si="7"/>
        <v>0</v>
      </c>
      <c r="AO49" s="3"/>
      <c r="AP49">
        <v>0</v>
      </c>
      <c r="AR49" t="s">
        <v>1</v>
      </c>
      <c r="AT49" s="2" t="s">
        <v>0</v>
      </c>
      <c r="AU49" s="1">
        <f t="shared" si="3"/>
        <v>0.56805744641093392</v>
      </c>
      <c r="AV49" s="1">
        <f t="shared" si="4"/>
        <v>0.40575531886495286</v>
      </c>
      <c r="AW49" s="1">
        <f t="shared" si="5"/>
        <v>0.24345319131897172</v>
      </c>
    </row>
    <row r="50" spans="1:49" x14ac:dyDescent="0.2">
      <c r="A50">
        <v>48</v>
      </c>
      <c r="B50" t="s">
        <v>11567</v>
      </c>
      <c r="C50" t="s">
        <v>11566</v>
      </c>
      <c r="F50" t="s">
        <v>11565</v>
      </c>
      <c r="G50" t="s">
        <v>5</v>
      </c>
      <c r="H50" t="s">
        <v>4</v>
      </c>
      <c r="I50" t="s">
        <v>11564</v>
      </c>
      <c r="J50">
        <v>60024411</v>
      </c>
      <c r="K50" t="s">
        <v>267</v>
      </c>
      <c r="L50" t="s">
        <v>266</v>
      </c>
      <c r="M50" t="s">
        <v>172</v>
      </c>
      <c r="N50">
        <v>1</v>
      </c>
      <c r="O50" t="s">
        <v>11563</v>
      </c>
      <c r="P50">
        <v>6602716988</v>
      </c>
      <c r="Q50">
        <v>60024411</v>
      </c>
      <c r="R50" s="7">
        <v>37595</v>
      </c>
      <c r="S50" s="8">
        <f t="shared" si="0"/>
        <v>2002</v>
      </c>
      <c r="T50" s="8">
        <v>2002</v>
      </c>
      <c r="U50" s="8">
        <f t="shared" si="1"/>
        <v>20</v>
      </c>
      <c r="V50" s="7">
        <v>37595</v>
      </c>
      <c r="W50" t="s">
        <v>789</v>
      </c>
      <c r="X50" s="2">
        <v>0.30399999999999999</v>
      </c>
      <c r="Y50" s="6">
        <f t="shared" si="6"/>
        <v>8.115106377299057E-3</v>
      </c>
      <c r="AA50">
        <v>8952477</v>
      </c>
      <c r="AB50">
        <v>12250</v>
      </c>
      <c r="AD50" t="s">
        <v>2</v>
      </c>
      <c r="AE50">
        <v>35</v>
      </c>
      <c r="AF50">
        <v>5</v>
      </c>
      <c r="AH50" t="s">
        <v>11562</v>
      </c>
      <c r="AI50" t="s">
        <v>11561</v>
      </c>
      <c r="AJ50" t="s">
        <v>11560</v>
      </c>
      <c r="AK50" t="s">
        <v>11559</v>
      </c>
      <c r="AL50">
        <v>8</v>
      </c>
      <c r="AM50" s="5">
        <f t="shared" si="2"/>
        <v>0.4</v>
      </c>
      <c r="AN50" s="4">
        <f t="shared" si="7"/>
        <v>6.0583112457402507E-4</v>
      </c>
      <c r="AO50" s="3"/>
      <c r="AP50">
        <v>0</v>
      </c>
      <c r="AR50" t="s">
        <v>1</v>
      </c>
      <c r="AT50" s="2" t="s">
        <v>0</v>
      </c>
      <c r="AU50" s="1">
        <f t="shared" si="3"/>
        <v>0.58623238014815471</v>
      </c>
      <c r="AV50" s="1">
        <f t="shared" si="4"/>
        <v>0.43604687509365414</v>
      </c>
      <c r="AW50" s="1">
        <f t="shared" si="5"/>
        <v>0.28586137003915346</v>
      </c>
    </row>
    <row r="51" spans="1:49" x14ac:dyDescent="0.2">
      <c r="A51">
        <v>49</v>
      </c>
      <c r="B51" t="s">
        <v>11558</v>
      </c>
      <c r="C51" t="s">
        <v>11557</v>
      </c>
      <c r="F51" t="s">
        <v>11556</v>
      </c>
      <c r="G51" t="s">
        <v>5</v>
      </c>
      <c r="H51" t="s">
        <v>4</v>
      </c>
      <c r="I51" t="s">
        <v>712</v>
      </c>
      <c r="N51">
        <v>1</v>
      </c>
      <c r="O51" t="s">
        <v>711</v>
      </c>
      <c r="P51">
        <v>7102270511</v>
      </c>
      <c r="R51" s="7">
        <v>37595</v>
      </c>
      <c r="S51" s="8">
        <f t="shared" si="0"/>
        <v>2002</v>
      </c>
      <c r="T51" s="8">
        <v>2002</v>
      </c>
      <c r="U51" s="8">
        <f t="shared" si="1"/>
        <v>20</v>
      </c>
      <c r="V51" s="7">
        <v>37595</v>
      </c>
      <c r="W51" t="s">
        <v>789</v>
      </c>
      <c r="X51" s="2">
        <v>0.30399999999999999</v>
      </c>
      <c r="Y51" s="6">
        <f t="shared" si="6"/>
        <v>8.115106377299057E-3</v>
      </c>
      <c r="AA51">
        <v>8952477</v>
      </c>
      <c r="AB51">
        <v>12250</v>
      </c>
      <c r="AD51" t="s">
        <v>2</v>
      </c>
      <c r="AE51">
        <v>35</v>
      </c>
      <c r="AF51">
        <v>5</v>
      </c>
      <c r="AH51" t="s">
        <v>5261</v>
      </c>
      <c r="AI51" t="s">
        <v>11555</v>
      </c>
      <c r="AJ51" t="s">
        <v>11554</v>
      </c>
      <c r="AK51" t="s">
        <v>11553</v>
      </c>
      <c r="AL51">
        <v>10</v>
      </c>
      <c r="AM51" s="5">
        <f t="shared" si="2"/>
        <v>0.5</v>
      </c>
      <c r="AN51" s="4">
        <f t="shared" si="7"/>
        <v>7.572889057175312E-4</v>
      </c>
      <c r="AO51" s="3"/>
      <c r="AP51">
        <v>0</v>
      </c>
      <c r="AR51" t="s">
        <v>1</v>
      </c>
      <c r="AT51" s="2" t="s">
        <v>0</v>
      </c>
      <c r="AU51" s="1">
        <f t="shared" si="3"/>
        <v>0.59077611358245985</v>
      </c>
      <c r="AV51" s="1">
        <f t="shared" si="4"/>
        <v>0.44361976415082938</v>
      </c>
      <c r="AW51" s="1">
        <f t="shared" si="5"/>
        <v>0.2964634147191989</v>
      </c>
    </row>
    <row r="52" spans="1:49" x14ac:dyDescent="0.2">
      <c r="A52">
        <v>50</v>
      </c>
      <c r="B52" t="s">
        <v>11552</v>
      </c>
      <c r="C52" t="s">
        <v>11551</v>
      </c>
      <c r="F52" t="s">
        <v>11550</v>
      </c>
      <c r="G52" t="s">
        <v>5</v>
      </c>
      <c r="H52" t="s">
        <v>4</v>
      </c>
      <c r="I52" t="s">
        <v>11549</v>
      </c>
      <c r="J52" t="s">
        <v>11548</v>
      </c>
      <c r="K52" t="s">
        <v>11547</v>
      </c>
      <c r="L52" t="s">
        <v>1434</v>
      </c>
      <c r="M52" t="s">
        <v>76</v>
      </c>
      <c r="N52">
        <v>6</v>
      </c>
      <c r="O52" t="s">
        <v>11546</v>
      </c>
      <c r="P52" t="s">
        <v>11545</v>
      </c>
      <c r="Q52" t="s">
        <v>11544</v>
      </c>
      <c r="R52" s="7">
        <v>37595</v>
      </c>
      <c r="S52" s="8">
        <f t="shared" si="0"/>
        <v>2002</v>
      </c>
      <c r="T52" s="8">
        <v>2002</v>
      </c>
      <c r="U52" s="8">
        <f t="shared" si="1"/>
        <v>20</v>
      </c>
      <c r="V52" s="7">
        <v>37595</v>
      </c>
      <c r="W52" t="s">
        <v>789</v>
      </c>
      <c r="X52" s="2">
        <v>0.30399999999999999</v>
      </c>
      <c r="Y52" s="6">
        <f t="shared" si="6"/>
        <v>8.115106377299057E-3</v>
      </c>
      <c r="AA52">
        <v>8952477</v>
      </c>
      <c r="AB52">
        <v>12250</v>
      </c>
      <c r="AD52" t="s">
        <v>2</v>
      </c>
      <c r="AE52">
        <v>35</v>
      </c>
      <c r="AF52">
        <v>5</v>
      </c>
      <c r="AH52" t="s">
        <v>11543</v>
      </c>
      <c r="AI52" t="s">
        <v>11542</v>
      </c>
      <c r="AJ52" t="s">
        <v>11541</v>
      </c>
      <c r="AK52" t="s">
        <v>11540</v>
      </c>
      <c r="AL52">
        <v>0</v>
      </c>
      <c r="AM52" s="5">
        <f t="shared" si="2"/>
        <v>0</v>
      </c>
      <c r="AN52" s="4">
        <f t="shared" si="7"/>
        <v>0</v>
      </c>
      <c r="AO52" s="3"/>
      <c r="AP52">
        <v>0</v>
      </c>
      <c r="AR52" t="s">
        <v>1</v>
      </c>
      <c r="AT52" s="2" t="s">
        <v>0</v>
      </c>
      <c r="AU52" s="1">
        <f t="shared" si="3"/>
        <v>0.56805744641093392</v>
      </c>
      <c r="AV52" s="1">
        <f t="shared" si="4"/>
        <v>0.40575531886495286</v>
      </c>
      <c r="AW52" s="1">
        <f t="shared" si="5"/>
        <v>0.24345319131897172</v>
      </c>
    </row>
    <row r="53" spans="1:49" x14ac:dyDescent="0.2">
      <c r="A53">
        <v>51</v>
      </c>
      <c r="B53" t="s">
        <v>11539</v>
      </c>
      <c r="C53" t="s">
        <v>11538</v>
      </c>
      <c r="F53" t="s">
        <v>11537</v>
      </c>
      <c r="G53" t="s">
        <v>5</v>
      </c>
      <c r="H53" t="s">
        <v>4</v>
      </c>
      <c r="I53" t="s">
        <v>11536</v>
      </c>
      <c r="J53" t="s">
        <v>11535</v>
      </c>
      <c r="K53" t="s">
        <v>11534</v>
      </c>
      <c r="L53" t="s">
        <v>11533</v>
      </c>
      <c r="M53" t="s">
        <v>11532</v>
      </c>
      <c r="N53">
        <v>3</v>
      </c>
      <c r="O53" t="s">
        <v>11531</v>
      </c>
      <c r="P53" t="s">
        <v>11530</v>
      </c>
      <c r="Q53" t="s">
        <v>11529</v>
      </c>
      <c r="R53" s="7">
        <v>37595</v>
      </c>
      <c r="S53" s="8">
        <f t="shared" si="0"/>
        <v>2002</v>
      </c>
      <c r="T53" s="8">
        <v>2002</v>
      </c>
      <c r="U53" s="8">
        <f t="shared" si="1"/>
        <v>20</v>
      </c>
      <c r="V53" s="7">
        <v>37595</v>
      </c>
      <c r="W53" t="s">
        <v>789</v>
      </c>
      <c r="X53" s="2">
        <v>0.30399999999999999</v>
      </c>
      <c r="Y53" s="6">
        <f t="shared" si="6"/>
        <v>8.115106377299057E-3</v>
      </c>
      <c r="AA53">
        <v>8952477</v>
      </c>
      <c r="AB53">
        <v>12250</v>
      </c>
      <c r="AD53" t="s">
        <v>2</v>
      </c>
      <c r="AE53">
        <v>35</v>
      </c>
      <c r="AF53">
        <v>5</v>
      </c>
      <c r="AH53" t="s">
        <v>11528</v>
      </c>
      <c r="AI53" t="s">
        <v>11527</v>
      </c>
      <c r="AJ53" t="s">
        <v>11526</v>
      </c>
      <c r="AK53" t="s">
        <v>11525</v>
      </c>
      <c r="AL53">
        <v>51</v>
      </c>
      <c r="AM53" s="5">
        <f t="shared" si="2"/>
        <v>2.5499999999999998</v>
      </c>
      <c r="AN53" s="4">
        <f t="shared" si="7"/>
        <v>3.862173419159409E-3</v>
      </c>
      <c r="AO53" s="3"/>
      <c r="AP53">
        <v>0</v>
      </c>
      <c r="AR53" t="s">
        <v>1</v>
      </c>
      <c r="AT53" s="2" t="s">
        <v>0</v>
      </c>
      <c r="AU53" s="1">
        <f t="shared" si="3"/>
        <v>0.6839226489857162</v>
      </c>
      <c r="AV53" s="1">
        <f t="shared" si="4"/>
        <v>0.59886398982292333</v>
      </c>
      <c r="AW53" s="1">
        <f t="shared" si="5"/>
        <v>0.51380533066013034</v>
      </c>
    </row>
    <row r="54" spans="1:49" x14ac:dyDescent="0.2">
      <c r="A54">
        <v>52</v>
      </c>
      <c r="B54" t="s">
        <v>11524</v>
      </c>
      <c r="C54" t="s">
        <v>11523</v>
      </c>
      <c r="F54" t="s">
        <v>11522</v>
      </c>
      <c r="G54" t="s">
        <v>5</v>
      </c>
      <c r="H54" t="s">
        <v>4</v>
      </c>
      <c r="I54" t="s">
        <v>11521</v>
      </c>
      <c r="J54" t="s">
        <v>11520</v>
      </c>
      <c r="K54" t="s">
        <v>11519</v>
      </c>
      <c r="L54" t="s">
        <v>11518</v>
      </c>
      <c r="M54" t="s">
        <v>169</v>
      </c>
      <c r="N54">
        <v>2</v>
      </c>
      <c r="O54" t="s">
        <v>11517</v>
      </c>
      <c r="P54" t="s">
        <v>11516</v>
      </c>
      <c r="Q54" t="s">
        <v>11515</v>
      </c>
      <c r="R54" s="7">
        <v>37595</v>
      </c>
      <c r="S54" s="8">
        <f t="shared" si="0"/>
        <v>2002</v>
      </c>
      <c r="T54" s="8">
        <v>2002</v>
      </c>
      <c r="U54" s="8">
        <f t="shared" si="1"/>
        <v>20</v>
      </c>
      <c r="V54" s="7">
        <v>37595</v>
      </c>
      <c r="W54" t="s">
        <v>789</v>
      </c>
      <c r="X54" s="2">
        <v>0.30399999999999999</v>
      </c>
      <c r="Y54" s="6">
        <f t="shared" si="6"/>
        <v>8.115106377299057E-3</v>
      </c>
      <c r="AA54">
        <v>8952477</v>
      </c>
      <c r="AB54">
        <v>12250</v>
      </c>
      <c r="AD54" t="s">
        <v>2</v>
      </c>
      <c r="AE54">
        <v>35</v>
      </c>
      <c r="AF54">
        <v>5</v>
      </c>
      <c r="AH54" t="s">
        <v>11514</v>
      </c>
      <c r="AI54" t="s">
        <v>11513</v>
      </c>
      <c r="AJ54" t="s">
        <v>11512</v>
      </c>
      <c r="AK54" t="s">
        <v>11511</v>
      </c>
      <c r="AL54">
        <v>2</v>
      </c>
      <c r="AM54" s="5">
        <f t="shared" si="2"/>
        <v>0.1</v>
      </c>
      <c r="AN54" s="4">
        <f t="shared" si="7"/>
        <v>1.5145778114350627E-4</v>
      </c>
      <c r="AO54" s="3"/>
      <c r="AP54">
        <v>0</v>
      </c>
      <c r="AR54" t="s">
        <v>1</v>
      </c>
      <c r="AT54" s="2" t="s">
        <v>0</v>
      </c>
      <c r="AU54" s="1">
        <f t="shared" si="3"/>
        <v>0.57260117984523917</v>
      </c>
      <c r="AV54" s="1">
        <f t="shared" si="4"/>
        <v>0.41332820792212815</v>
      </c>
      <c r="AW54" s="1">
        <f t="shared" si="5"/>
        <v>0.25405523599901714</v>
      </c>
    </row>
    <row r="55" spans="1:49" x14ac:dyDescent="0.2">
      <c r="A55">
        <v>53</v>
      </c>
      <c r="B55" t="s">
        <v>11510</v>
      </c>
      <c r="C55" t="s">
        <v>11509</v>
      </c>
      <c r="F55" t="s">
        <v>11508</v>
      </c>
      <c r="G55" t="s">
        <v>5</v>
      </c>
      <c r="H55" t="s">
        <v>4</v>
      </c>
      <c r="I55" t="s">
        <v>11507</v>
      </c>
      <c r="J55">
        <v>60006288</v>
      </c>
      <c r="K55" t="s">
        <v>171</v>
      </c>
      <c r="L55" t="s">
        <v>170</v>
      </c>
      <c r="M55" t="s">
        <v>45</v>
      </c>
      <c r="N55">
        <v>3</v>
      </c>
      <c r="O55" t="s">
        <v>11506</v>
      </c>
      <c r="P55" t="s">
        <v>11505</v>
      </c>
      <c r="Q55" t="s">
        <v>11504</v>
      </c>
      <c r="R55" s="7">
        <v>37593</v>
      </c>
      <c r="S55" s="8">
        <f t="shared" si="0"/>
        <v>2002</v>
      </c>
      <c r="T55" s="8">
        <v>2002</v>
      </c>
      <c r="U55" s="8">
        <f t="shared" si="1"/>
        <v>20</v>
      </c>
      <c r="V55" s="7">
        <v>37593</v>
      </c>
      <c r="W55" t="s">
        <v>11503</v>
      </c>
      <c r="X55" s="2">
        <v>10.707000000000001</v>
      </c>
      <c r="Y55" s="6">
        <f t="shared" si="6"/>
        <v>0.28581724993993757</v>
      </c>
      <c r="AA55">
        <v>9359648</v>
      </c>
      <c r="AB55">
        <v>19881</v>
      </c>
      <c r="AD55" t="s">
        <v>2</v>
      </c>
      <c r="AE55">
        <v>14</v>
      </c>
      <c r="AF55">
        <v>23</v>
      </c>
      <c r="AH55" t="s">
        <v>11502</v>
      </c>
      <c r="AI55" t="s">
        <v>11501</v>
      </c>
      <c r="AK55" t="s">
        <v>11500</v>
      </c>
      <c r="AL55">
        <v>34</v>
      </c>
      <c r="AM55" s="5">
        <f t="shared" si="2"/>
        <v>1.7</v>
      </c>
      <c r="AN55" s="4">
        <f t="shared" si="7"/>
        <v>2.5747822794396063E-3</v>
      </c>
      <c r="AO55" s="3"/>
      <c r="AP55">
        <v>0</v>
      </c>
      <c r="AR55" t="s">
        <v>1</v>
      </c>
      <c r="AT55" s="2">
        <v>30.849</v>
      </c>
      <c r="AU55" s="1">
        <f t="shared" si="3"/>
        <v>20.084450964178817</v>
      </c>
      <c r="AV55" s="1">
        <f t="shared" si="4"/>
        <v>14.419601610968858</v>
      </c>
      <c r="AW55" s="1">
        <f t="shared" si="5"/>
        <v>8.7547522577588985</v>
      </c>
    </row>
    <row r="56" spans="1:49" x14ac:dyDescent="0.2">
      <c r="A56">
        <v>54</v>
      </c>
      <c r="B56" t="s">
        <v>11499</v>
      </c>
      <c r="C56" t="s">
        <v>11498</v>
      </c>
      <c r="E56">
        <v>12450406</v>
      </c>
      <c r="F56" t="s">
        <v>11497</v>
      </c>
      <c r="G56" t="s">
        <v>5</v>
      </c>
      <c r="H56" t="s">
        <v>4</v>
      </c>
      <c r="I56" t="s">
        <v>9438</v>
      </c>
      <c r="J56">
        <v>60050715</v>
      </c>
      <c r="K56" t="s">
        <v>11496</v>
      </c>
      <c r="L56" t="s">
        <v>11495</v>
      </c>
      <c r="M56" t="s">
        <v>19</v>
      </c>
      <c r="N56">
        <v>2</v>
      </c>
      <c r="O56" t="s">
        <v>11494</v>
      </c>
      <c r="P56" t="s">
        <v>11493</v>
      </c>
      <c r="Q56" t="s">
        <v>11492</v>
      </c>
      <c r="R56" s="7">
        <v>37593</v>
      </c>
      <c r="S56" s="8">
        <f t="shared" si="0"/>
        <v>2002</v>
      </c>
      <c r="T56" s="8">
        <v>2002</v>
      </c>
      <c r="U56" s="8">
        <f t="shared" si="1"/>
        <v>20</v>
      </c>
      <c r="V56" s="7">
        <v>37593</v>
      </c>
      <c r="W56" t="s">
        <v>797</v>
      </c>
      <c r="X56" s="2">
        <v>1.43</v>
      </c>
      <c r="Y56" s="6">
        <f t="shared" si="6"/>
        <v>3.8173033287952803E-2</v>
      </c>
      <c r="AA56">
        <v>62960</v>
      </c>
      <c r="AB56">
        <v>16867</v>
      </c>
      <c r="AD56" t="s">
        <v>2</v>
      </c>
      <c r="AE56">
        <v>41</v>
      </c>
      <c r="AF56">
        <v>48</v>
      </c>
      <c r="AH56" t="s">
        <v>11491</v>
      </c>
      <c r="AI56" t="s">
        <v>11490</v>
      </c>
      <c r="AK56" t="s">
        <v>11489</v>
      </c>
      <c r="AL56">
        <v>55</v>
      </c>
      <c r="AM56" s="5">
        <f t="shared" si="2"/>
        <v>2.75</v>
      </c>
      <c r="AN56" s="4">
        <f t="shared" si="7"/>
        <v>4.1650889814464215E-3</v>
      </c>
      <c r="AO56" s="3"/>
      <c r="AP56">
        <v>0</v>
      </c>
      <c r="AR56" t="s">
        <v>1</v>
      </c>
      <c r="AT56" s="2">
        <v>3.1619999999999999</v>
      </c>
      <c r="AU56" s="1">
        <f t="shared" si="3"/>
        <v>2.7970649996000891</v>
      </c>
      <c r="AV56" s="1">
        <f t="shared" si="4"/>
        <v>2.1169061134699612</v>
      </c>
      <c r="AW56" s="1">
        <f t="shared" si="5"/>
        <v>1.4367472273398336</v>
      </c>
    </row>
    <row r="57" spans="1:49" x14ac:dyDescent="0.2">
      <c r="A57">
        <v>55</v>
      </c>
      <c r="B57" t="s">
        <v>11488</v>
      </c>
      <c r="C57" t="s">
        <v>11487</v>
      </c>
      <c r="D57" t="s">
        <v>11486</v>
      </c>
      <c r="F57" t="s">
        <v>11485</v>
      </c>
      <c r="G57" t="s">
        <v>5</v>
      </c>
      <c r="H57" t="s">
        <v>4</v>
      </c>
      <c r="I57" t="s">
        <v>880</v>
      </c>
      <c r="J57">
        <v>60007457</v>
      </c>
      <c r="K57" t="s">
        <v>528</v>
      </c>
      <c r="L57" t="s">
        <v>27</v>
      </c>
      <c r="M57" t="s">
        <v>26</v>
      </c>
      <c r="N57">
        <v>3</v>
      </c>
      <c r="O57" t="s">
        <v>11484</v>
      </c>
      <c r="P57" t="s">
        <v>11483</v>
      </c>
      <c r="Q57" t="s">
        <v>886</v>
      </c>
      <c r="R57" s="7">
        <v>37592</v>
      </c>
      <c r="S57" s="8">
        <f t="shared" si="0"/>
        <v>2002</v>
      </c>
      <c r="T57" s="8">
        <v>2002</v>
      </c>
      <c r="U57" s="8">
        <f t="shared" si="1"/>
        <v>20</v>
      </c>
      <c r="V57" s="7">
        <v>37592</v>
      </c>
      <c r="W57" t="s">
        <v>878</v>
      </c>
      <c r="X57" s="2">
        <v>0.499</v>
      </c>
      <c r="Y57" s="6">
        <f t="shared" si="6"/>
        <v>1.332052000747444E-2</v>
      </c>
      <c r="AA57">
        <v>3759601</v>
      </c>
      <c r="AB57">
        <v>29464</v>
      </c>
      <c r="AD57" t="s">
        <v>2</v>
      </c>
      <c r="AE57">
        <v>305</v>
      </c>
      <c r="AF57" s="9">
        <v>44289</v>
      </c>
      <c r="AH57" t="s">
        <v>11482</v>
      </c>
      <c r="AI57" t="s">
        <v>11481</v>
      </c>
      <c r="AK57" t="s">
        <v>11480</v>
      </c>
      <c r="AL57">
        <v>121</v>
      </c>
      <c r="AM57" s="5">
        <f t="shared" si="2"/>
        <v>6.05</v>
      </c>
      <c r="AN57" s="4">
        <f t="shared" si="7"/>
        <v>9.1631957591821276E-3</v>
      </c>
      <c r="AO57" s="3"/>
      <c r="AP57">
        <v>0</v>
      </c>
      <c r="AQ57" t="s">
        <v>290</v>
      </c>
      <c r="AR57">
        <v>98715</v>
      </c>
      <c r="AS57" t="s">
        <v>289</v>
      </c>
      <c r="AT57" s="2" t="s">
        <v>0</v>
      </c>
      <c r="AU57" s="1">
        <f t="shared" si="3"/>
        <v>1.2073322732986747</v>
      </c>
      <c r="AV57" s="1">
        <f t="shared" si="4"/>
        <v>1.1241857883328283</v>
      </c>
      <c r="AW57" s="1">
        <f t="shared" si="5"/>
        <v>1.041039303366982</v>
      </c>
    </row>
    <row r="58" spans="1:49" x14ac:dyDescent="0.2">
      <c r="A58">
        <v>56</v>
      </c>
      <c r="B58" t="s">
        <v>11479</v>
      </c>
      <c r="C58" t="s">
        <v>11478</v>
      </c>
      <c r="D58" t="s">
        <v>11477</v>
      </c>
      <c r="E58">
        <v>12460683</v>
      </c>
      <c r="F58" t="s">
        <v>11476</v>
      </c>
      <c r="G58" t="s">
        <v>5</v>
      </c>
      <c r="H58" t="s">
        <v>4</v>
      </c>
      <c r="I58" t="s">
        <v>11475</v>
      </c>
      <c r="J58" t="s">
        <v>11474</v>
      </c>
      <c r="K58" t="s">
        <v>11473</v>
      </c>
      <c r="L58" t="s">
        <v>11472</v>
      </c>
      <c r="M58" t="s">
        <v>39</v>
      </c>
      <c r="N58">
        <v>5</v>
      </c>
      <c r="O58" t="s">
        <v>11471</v>
      </c>
      <c r="P58" t="s">
        <v>11470</v>
      </c>
      <c r="Q58" t="s">
        <v>11469</v>
      </c>
      <c r="R58" s="7">
        <v>37592</v>
      </c>
      <c r="S58" s="8">
        <f t="shared" si="0"/>
        <v>2002</v>
      </c>
      <c r="T58" s="8">
        <v>2002</v>
      </c>
      <c r="U58" s="8">
        <f t="shared" si="1"/>
        <v>20</v>
      </c>
      <c r="V58" s="7">
        <v>37592</v>
      </c>
      <c r="W58" t="s">
        <v>893</v>
      </c>
      <c r="X58" s="2">
        <v>1.59</v>
      </c>
      <c r="Y58" s="6">
        <f t="shared" si="6"/>
        <v>4.2444141907583888E-2</v>
      </c>
      <c r="AA58">
        <v>52728</v>
      </c>
      <c r="AB58">
        <v>16791</v>
      </c>
      <c r="AD58" t="s">
        <v>2</v>
      </c>
      <c r="AE58">
        <v>1556</v>
      </c>
      <c r="AF58" s="9">
        <v>44257</v>
      </c>
      <c r="AH58" t="s">
        <v>11468</v>
      </c>
      <c r="AI58" t="s">
        <v>11467</v>
      </c>
      <c r="AJ58" t="s">
        <v>11466</v>
      </c>
      <c r="AK58" t="s">
        <v>11465</v>
      </c>
      <c r="AL58">
        <v>18</v>
      </c>
      <c r="AM58" s="5">
        <f t="shared" si="2"/>
        <v>0.9</v>
      </c>
      <c r="AN58" s="4">
        <f t="shared" si="7"/>
        <v>1.3631200302915562E-3</v>
      </c>
      <c r="AO58" s="3"/>
      <c r="AP58">
        <v>1</v>
      </c>
      <c r="AQ58" t="s">
        <v>57</v>
      </c>
      <c r="AR58" t="s">
        <v>1</v>
      </c>
      <c r="AS58" t="s">
        <v>56</v>
      </c>
      <c r="AT58" s="2" t="s">
        <v>0</v>
      </c>
      <c r="AU58" s="1">
        <f t="shared" si="3"/>
        <v>3.0119835344396186</v>
      </c>
      <c r="AV58" s="1">
        <f t="shared" si="4"/>
        <v>2.1903630968937722</v>
      </c>
      <c r="AW58" s="1">
        <f t="shared" si="5"/>
        <v>1.3687426593479255</v>
      </c>
    </row>
    <row r="59" spans="1:49" x14ac:dyDescent="0.2">
      <c r="A59">
        <v>57</v>
      </c>
      <c r="B59" t="s">
        <v>11464</v>
      </c>
      <c r="C59" t="s">
        <v>11463</v>
      </c>
      <c r="D59" t="s">
        <v>11462</v>
      </c>
      <c r="E59">
        <v>12460677</v>
      </c>
      <c r="F59" t="s">
        <v>11461</v>
      </c>
      <c r="G59" t="s">
        <v>5</v>
      </c>
      <c r="H59" t="s">
        <v>4</v>
      </c>
      <c r="I59" t="s">
        <v>11460</v>
      </c>
      <c r="J59" t="s">
        <v>11459</v>
      </c>
      <c r="K59" t="s">
        <v>11458</v>
      </c>
      <c r="L59" t="s">
        <v>11457</v>
      </c>
      <c r="M59" t="s">
        <v>11456</v>
      </c>
      <c r="N59">
        <v>5</v>
      </c>
      <c r="O59" t="s">
        <v>11455</v>
      </c>
      <c r="P59" t="s">
        <v>11454</v>
      </c>
      <c r="Q59" t="s">
        <v>11453</v>
      </c>
      <c r="R59" s="7">
        <v>37592</v>
      </c>
      <c r="S59" s="8">
        <f t="shared" si="0"/>
        <v>2002</v>
      </c>
      <c r="T59" s="8">
        <v>2002</v>
      </c>
      <c r="U59" s="8">
        <f t="shared" si="1"/>
        <v>20</v>
      </c>
      <c r="V59" s="7">
        <v>37592</v>
      </c>
      <c r="W59" t="s">
        <v>893</v>
      </c>
      <c r="X59" s="2">
        <v>1.59</v>
      </c>
      <c r="Y59" s="6">
        <f t="shared" si="6"/>
        <v>4.2444141907583888E-2</v>
      </c>
      <c r="AA59">
        <v>52728</v>
      </c>
      <c r="AB59">
        <v>16791</v>
      </c>
      <c r="AD59" t="s">
        <v>2</v>
      </c>
      <c r="AE59">
        <v>1556</v>
      </c>
      <c r="AF59" s="9">
        <v>44257</v>
      </c>
      <c r="AH59" t="s">
        <v>11452</v>
      </c>
      <c r="AI59" t="s">
        <v>11451</v>
      </c>
      <c r="AJ59" t="s">
        <v>11450</v>
      </c>
      <c r="AK59" t="s">
        <v>11449</v>
      </c>
      <c r="AL59">
        <v>50</v>
      </c>
      <c r="AM59" s="5">
        <f t="shared" si="2"/>
        <v>2.5</v>
      </c>
      <c r="AN59" s="4">
        <f t="shared" si="7"/>
        <v>3.7864445285876562E-3</v>
      </c>
      <c r="AO59" s="3"/>
      <c r="AP59">
        <v>1</v>
      </c>
      <c r="AR59" t="s">
        <v>1</v>
      </c>
      <c r="AT59" s="2" t="s">
        <v>0</v>
      </c>
      <c r="AU59" s="1">
        <f t="shared" si="3"/>
        <v>3.0846832693885018</v>
      </c>
      <c r="AV59" s="1">
        <f t="shared" si="4"/>
        <v>2.3115293218085773</v>
      </c>
      <c r="AW59" s="1">
        <f t="shared" si="5"/>
        <v>1.5383753742286523</v>
      </c>
    </row>
    <row r="60" spans="1:49" x14ac:dyDescent="0.2">
      <c r="A60">
        <v>58</v>
      </c>
      <c r="B60" t="s">
        <v>11448</v>
      </c>
      <c r="C60" t="s">
        <v>11447</v>
      </c>
      <c r="D60" t="s">
        <v>11446</v>
      </c>
      <c r="E60">
        <v>12460685</v>
      </c>
      <c r="F60" t="s">
        <v>11445</v>
      </c>
      <c r="G60" t="s">
        <v>5</v>
      </c>
      <c r="H60" t="s">
        <v>4</v>
      </c>
      <c r="I60" t="s">
        <v>11444</v>
      </c>
      <c r="J60" t="s">
        <v>11443</v>
      </c>
      <c r="K60" t="s">
        <v>11442</v>
      </c>
      <c r="L60" t="s">
        <v>11441</v>
      </c>
      <c r="M60" t="s">
        <v>11440</v>
      </c>
      <c r="N60">
        <v>7</v>
      </c>
      <c r="O60" t="s">
        <v>11439</v>
      </c>
      <c r="P60" t="s">
        <v>11438</v>
      </c>
      <c r="Q60" t="s">
        <v>11437</v>
      </c>
      <c r="R60" s="7">
        <v>37592</v>
      </c>
      <c r="S60" s="8">
        <f t="shared" si="0"/>
        <v>2002</v>
      </c>
      <c r="T60" s="8">
        <v>2002</v>
      </c>
      <c r="U60" s="8">
        <f t="shared" si="1"/>
        <v>20</v>
      </c>
      <c r="V60" s="7">
        <v>37592</v>
      </c>
      <c r="W60" t="s">
        <v>893</v>
      </c>
      <c r="X60" s="2">
        <v>1.59</v>
      </c>
      <c r="Y60" s="6">
        <f t="shared" si="6"/>
        <v>4.2444141907583888E-2</v>
      </c>
      <c r="AA60">
        <v>52728</v>
      </c>
      <c r="AB60">
        <v>16791</v>
      </c>
      <c r="AD60" t="s">
        <v>2</v>
      </c>
      <c r="AE60">
        <v>1556</v>
      </c>
      <c r="AF60" s="9">
        <v>44257</v>
      </c>
      <c r="AH60" t="s">
        <v>11436</v>
      </c>
      <c r="AI60" t="s">
        <v>11435</v>
      </c>
      <c r="AJ60" t="s">
        <v>11434</v>
      </c>
      <c r="AK60" t="s">
        <v>11433</v>
      </c>
      <c r="AL60">
        <v>74</v>
      </c>
      <c r="AM60" s="5">
        <f t="shared" si="2"/>
        <v>3.7</v>
      </c>
      <c r="AN60" s="4">
        <f t="shared" si="7"/>
        <v>5.6039379023097311E-3</v>
      </c>
      <c r="AO60" s="3"/>
      <c r="AP60">
        <v>1</v>
      </c>
      <c r="AQ60" t="s">
        <v>4886</v>
      </c>
      <c r="AR60" t="s">
        <v>11432</v>
      </c>
      <c r="AS60" t="s">
        <v>4884</v>
      </c>
      <c r="AT60" s="2" t="s">
        <v>0</v>
      </c>
      <c r="AU60" s="1">
        <f t="shared" si="3"/>
        <v>3.1392080706001644</v>
      </c>
      <c r="AV60" s="1">
        <f t="shared" si="4"/>
        <v>2.402403990494681</v>
      </c>
      <c r="AW60" s="1">
        <f t="shared" si="5"/>
        <v>1.6655999103891976</v>
      </c>
    </row>
    <row r="61" spans="1:49" x14ac:dyDescent="0.2">
      <c r="A61">
        <v>59</v>
      </c>
      <c r="B61" t="s">
        <v>11431</v>
      </c>
      <c r="C61" t="s">
        <v>11430</v>
      </c>
      <c r="D61" t="s">
        <v>11429</v>
      </c>
      <c r="E61">
        <v>12460674</v>
      </c>
      <c r="F61" t="s">
        <v>11428</v>
      </c>
      <c r="G61" t="s">
        <v>5</v>
      </c>
      <c r="H61" t="s">
        <v>4</v>
      </c>
      <c r="I61" t="s">
        <v>11427</v>
      </c>
      <c r="J61">
        <v>60022403</v>
      </c>
      <c r="K61" t="s">
        <v>652</v>
      </c>
      <c r="L61" t="s">
        <v>651</v>
      </c>
      <c r="M61" t="s">
        <v>506</v>
      </c>
      <c r="N61">
        <v>3</v>
      </c>
      <c r="O61" t="s">
        <v>11426</v>
      </c>
      <c r="P61" t="s">
        <v>11425</v>
      </c>
      <c r="Q61" t="s">
        <v>11424</v>
      </c>
      <c r="R61" s="7">
        <v>37592</v>
      </c>
      <c r="S61" s="8">
        <f t="shared" si="0"/>
        <v>2002</v>
      </c>
      <c r="T61" s="8">
        <v>2002</v>
      </c>
      <c r="U61" s="8">
        <f t="shared" si="1"/>
        <v>20</v>
      </c>
      <c r="V61" s="7">
        <v>37592</v>
      </c>
      <c r="W61" t="s">
        <v>893</v>
      </c>
      <c r="X61" s="2">
        <v>1.59</v>
      </c>
      <c r="Y61" s="6">
        <f t="shared" si="6"/>
        <v>4.2444141907583888E-2</v>
      </c>
      <c r="AA61">
        <v>52728</v>
      </c>
      <c r="AB61">
        <v>16791</v>
      </c>
      <c r="AD61" t="s">
        <v>2</v>
      </c>
      <c r="AE61">
        <v>1556</v>
      </c>
      <c r="AF61" s="9">
        <v>44257</v>
      </c>
      <c r="AH61" t="s">
        <v>546</v>
      </c>
      <c r="AI61" t="s">
        <v>11423</v>
      </c>
      <c r="AJ61" t="s">
        <v>11422</v>
      </c>
      <c r="AK61" t="s">
        <v>11421</v>
      </c>
      <c r="AL61">
        <v>37</v>
      </c>
      <c r="AM61" s="5">
        <f t="shared" si="2"/>
        <v>1.85</v>
      </c>
      <c r="AN61" s="4">
        <f t="shared" si="7"/>
        <v>2.8019689511548655E-3</v>
      </c>
      <c r="AO61" s="3"/>
      <c r="AP61">
        <v>1</v>
      </c>
      <c r="AQ61" t="s">
        <v>11420</v>
      </c>
      <c r="AR61" t="s">
        <v>11419</v>
      </c>
      <c r="AS61" t="s">
        <v>11418</v>
      </c>
      <c r="AT61" s="2" t="s">
        <v>0</v>
      </c>
      <c r="AU61" s="1">
        <f t="shared" si="3"/>
        <v>3.0551490020655181</v>
      </c>
      <c r="AV61" s="1">
        <f t="shared" si="4"/>
        <v>2.2623055429369376</v>
      </c>
      <c r="AW61" s="1">
        <f t="shared" si="5"/>
        <v>1.4694620838083572</v>
      </c>
    </row>
    <row r="62" spans="1:49" x14ac:dyDescent="0.2">
      <c r="A62">
        <v>60</v>
      </c>
      <c r="B62" t="s">
        <v>11417</v>
      </c>
      <c r="F62" t="s">
        <v>11416</v>
      </c>
      <c r="G62" t="s">
        <v>5</v>
      </c>
      <c r="H62" t="s">
        <v>4</v>
      </c>
      <c r="I62" t="s">
        <v>11415</v>
      </c>
      <c r="N62">
        <v>1</v>
      </c>
      <c r="O62" t="s">
        <v>11414</v>
      </c>
      <c r="P62">
        <v>6701658328</v>
      </c>
      <c r="R62" s="7">
        <v>37591</v>
      </c>
      <c r="S62" s="8">
        <f t="shared" si="0"/>
        <v>2002</v>
      </c>
      <c r="T62" s="8">
        <v>2002</v>
      </c>
      <c r="U62" s="8">
        <f t="shared" si="1"/>
        <v>20</v>
      </c>
      <c r="V62" s="7">
        <v>37591</v>
      </c>
      <c r="W62" t="s">
        <v>785</v>
      </c>
      <c r="X62" s="2">
        <v>0.29499999999999998</v>
      </c>
      <c r="Y62" s="6">
        <f t="shared" si="6"/>
        <v>7.8748565174448087E-3</v>
      </c>
      <c r="AA62">
        <v>10642269</v>
      </c>
      <c r="AB62">
        <v>19554</v>
      </c>
      <c r="AD62" t="s">
        <v>2</v>
      </c>
      <c r="AE62">
        <v>47</v>
      </c>
      <c r="AF62">
        <v>12</v>
      </c>
      <c r="AH62" t="s">
        <v>11413</v>
      </c>
      <c r="AI62" t="s">
        <v>11412</v>
      </c>
      <c r="AK62" t="s">
        <v>11411</v>
      </c>
      <c r="AL62">
        <v>0</v>
      </c>
      <c r="AM62" s="5">
        <f t="shared" si="2"/>
        <v>0</v>
      </c>
      <c r="AN62" s="4">
        <f t="shared" si="7"/>
        <v>0</v>
      </c>
      <c r="AO62" s="3"/>
      <c r="AP62">
        <v>0</v>
      </c>
      <c r="AR62" t="s">
        <v>1</v>
      </c>
      <c r="AT62" s="2" t="s">
        <v>0</v>
      </c>
      <c r="AU62" s="1">
        <f t="shared" si="3"/>
        <v>0.55123995622113653</v>
      </c>
      <c r="AV62" s="1">
        <f t="shared" si="4"/>
        <v>0.39374282587224041</v>
      </c>
      <c r="AW62" s="1">
        <f t="shared" si="5"/>
        <v>0.23624569552334423</v>
      </c>
    </row>
    <row r="63" spans="1:49" x14ac:dyDescent="0.2">
      <c r="A63">
        <v>61</v>
      </c>
      <c r="B63" t="s">
        <v>11410</v>
      </c>
      <c r="C63" t="s">
        <v>11409</v>
      </c>
      <c r="F63" t="s">
        <v>11408</v>
      </c>
      <c r="G63" t="s">
        <v>5</v>
      </c>
      <c r="H63" t="s">
        <v>4</v>
      </c>
      <c r="I63" t="s">
        <v>8381</v>
      </c>
      <c r="J63">
        <v>60008673</v>
      </c>
      <c r="K63" t="s">
        <v>872</v>
      </c>
      <c r="L63" t="s">
        <v>871</v>
      </c>
      <c r="M63" t="s">
        <v>26</v>
      </c>
      <c r="N63">
        <v>1</v>
      </c>
      <c r="O63" t="s">
        <v>8380</v>
      </c>
      <c r="P63">
        <v>6602783965</v>
      </c>
      <c r="Q63">
        <v>60008673</v>
      </c>
      <c r="R63" s="7">
        <v>37591</v>
      </c>
      <c r="S63" s="8">
        <f t="shared" si="0"/>
        <v>2002</v>
      </c>
      <c r="T63" s="8">
        <v>2002</v>
      </c>
      <c r="U63" s="8">
        <f t="shared" si="1"/>
        <v>20</v>
      </c>
      <c r="V63" s="7">
        <v>37591</v>
      </c>
      <c r="W63" t="s">
        <v>720</v>
      </c>
      <c r="X63" s="2">
        <v>0.318</v>
      </c>
      <c r="Y63" s="6">
        <f t="shared" si="6"/>
        <v>8.4888283815167786E-3</v>
      </c>
      <c r="AA63">
        <v>338443</v>
      </c>
      <c r="AB63">
        <v>27160</v>
      </c>
      <c r="AC63">
        <v>15739120</v>
      </c>
      <c r="AD63" t="s">
        <v>2</v>
      </c>
      <c r="AE63">
        <v>45</v>
      </c>
      <c r="AF63">
        <v>12</v>
      </c>
      <c r="AH63" t="s">
        <v>11407</v>
      </c>
      <c r="AI63" t="s">
        <v>11406</v>
      </c>
      <c r="AK63" t="s">
        <v>11405</v>
      </c>
      <c r="AL63">
        <v>7</v>
      </c>
      <c r="AM63" s="5">
        <f t="shared" si="2"/>
        <v>0.35</v>
      </c>
      <c r="AN63" s="4">
        <f t="shared" si="7"/>
        <v>5.3010223400227184E-4</v>
      </c>
      <c r="AO63" s="3"/>
      <c r="AP63">
        <v>0</v>
      </c>
      <c r="AQ63" t="s">
        <v>682</v>
      </c>
      <c r="AR63" t="s">
        <v>8377</v>
      </c>
      <c r="AS63" t="s">
        <v>526</v>
      </c>
      <c r="AT63" s="2">
        <v>0.77</v>
      </c>
      <c r="AU63" s="1">
        <f t="shared" si="3"/>
        <v>0.6101210537262427</v>
      </c>
      <c r="AV63" s="1">
        <f t="shared" si="4"/>
        <v>0.45094653077595254</v>
      </c>
      <c r="AW63" s="1">
        <f t="shared" si="5"/>
        <v>0.29177200782566237</v>
      </c>
    </row>
    <row r="64" spans="1:49" x14ac:dyDescent="0.2">
      <c r="A64">
        <v>62</v>
      </c>
      <c r="B64" t="s">
        <v>11404</v>
      </c>
      <c r="C64" t="s">
        <v>11403</v>
      </c>
      <c r="F64" t="s">
        <v>11402</v>
      </c>
      <c r="G64" t="s">
        <v>5</v>
      </c>
      <c r="H64" t="s">
        <v>4</v>
      </c>
      <c r="I64" t="s">
        <v>11401</v>
      </c>
      <c r="J64">
        <v>60021032</v>
      </c>
      <c r="K64" t="s">
        <v>10247</v>
      </c>
      <c r="L64" t="s">
        <v>844</v>
      </c>
      <c r="M64" t="s">
        <v>7</v>
      </c>
      <c r="N64">
        <v>1</v>
      </c>
      <c r="O64" t="s">
        <v>11400</v>
      </c>
      <c r="P64">
        <v>7406739047</v>
      </c>
      <c r="Q64">
        <v>60021032</v>
      </c>
      <c r="R64" s="7">
        <v>37591</v>
      </c>
      <c r="S64" s="8">
        <f t="shared" si="0"/>
        <v>2002</v>
      </c>
      <c r="T64" s="8">
        <v>2002</v>
      </c>
      <c r="U64" s="8">
        <f t="shared" si="1"/>
        <v>20</v>
      </c>
      <c r="V64" s="7">
        <v>2002</v>
      </c>
      <c r="W64" t="s">
        <v>11399</v>
      </c>
      <c r="X64" s="2">
        <v>0.54100000000000004</v>
      </c>
      <c r="Y64" s="6">
        <f t="shared" si="6"/>
        <v>1.4441686020127601E-2</v>
      </c>
      <c r="AA64">
        <v>29505</v>
      </c>
      <c r="AB64">
        <v>26997</v>
      </c>
      <c r="AD64" t="s">
        <v>2</v>
      </c>
      <c r="AE64">
        <v>70</v>
      </c>
      <c r="AF64">
        <v>8</v>
      </c>
      <c r="AH64" t="s">
        <v>11398</v>
      </c>
      <c r="AI64" t="s">
        <v>11397</v>
      </c>
      <c r="AK64" t="s">
        <v>11396</v>
      </c>
      <c r="AL64">
        <v>17</v>
      </c>
      <c r="AM64" s="5">
        <f t="shared" si="2"/>
        <v>0.85</v>
      </c>
      <c r="AN64" s="4">
        <f t="shared" si="7"/>
        <v>1.2873911397198031E-3</v>
      </c>
      <c r="AO64" s="3"/>
      <c r="AP64">
        <v>0</v>
      </c>
      <c r="AR64" t="s">
        <v>1</v>
      </c>
      <c r="AT64" s="2">
        <v>1.022</v>
      </c>
      <c r="AU64" s="1">
        <f t="shared" si="3"/>
        <v>1.0495397556005261</v>
      </c>
      <c r="AV64" s="1">
        <f t="shared" si="4"/>
        <v>0.78645385799237022</v>
      </c>
      <c r="AW64" s="1">
        <f t="shared" si="5"/>
        <v>0.52336796038421418</v>
      </c>
    </row>
    <row r="65" spans="1:49" x14ac:dyDescent="0.2">
      <c r="A65">
        <v>63</v>
      </c>
      <c r="B65" t="s">
        <v>11395</v>
      </c>
      <c r="C65" t="s">
        <v>11394</v>
      </c>
      <c r="F65" t="s">
        <v>11393</v>
      </c>
      <c r="G65" t="s">
        <v>5</v>
      </c>
      <c r="H65" t="s">
        <v>4</v>
      </c>
      <c r="I65" t="s">
        <v>11392</v>
      </c>
      <c r="J65" t="s">
        <v>11391</v>
      </c>
      <c r="K65" t="s">
        <v>11390</v>
      </c>
      <c r="L65" t="s">
        <v>11389</v>
      </c>
      <c r="M65" t="s">
        <v>441</v>
      </c>
      <c r="N65">
        <v>3</v>
      </c>
      <c r="O65" t="s">
        <v>11388</v>
      </c>
      <c r="P65" t="s">
        <v>11387</v>
      </c>
      <c r="Q65" t="s">
        <v>11386</v>
      </c>
      <c r="R65" s="7">
        <v>37591</v>
      </c>
      <c r="S65" s="8">
        <f t="shared" si="0"/>
        <v>2002</v>
      </c>
      <c r="T65" s="8">
        <v>2002</v>
      </c>
      <c r="U65" s="8">
        <f t="shared" si="1"/>
        <v>20</v>
      </c>
      <c r="V65" s="7">
        <v>2002</v>
      </c>
      <c r="W65" t="s">
        <v>710</v>
      </c>
      <c r="X65" s="2">
        <v>1.3280000000000001</v>
      </c>
      <c r="Y65" s="6">
        <f t="shared" si="6"/>
        <v>3.5450201542937994E-2</v>
      </c>
      <c r="AA65">
        <v>15361225</v>
      </c>
      <c r="AB65">
        <v>18894</v>
      </c>
      <c r="AD65" t="s">
        <v>2</v>
      </c>
      <c r="AE65">
        <v>1</v>
      </c>
      <c r="AH65" t="s">
        <v>11385</v>
      </c>
      <c r="AI65" t="s">
        <v>11384</v>
      </c>
      <c r="AJ65" t="s">
        <v>11383</v>
      </c>
      <c r="AK65" t="s">
        <v>11382</v>
      </c>
      <c r="AL65">
        <v>18</v>
      </c>
      <c r="AM65" s="5">
        <f t="shared" si="2"/>
        <v>0.9</v>
      </c>
      <c r="AN65" s="4">
        <f t="shared" si="7"/>
        <v>1.3631200302915562E-3</v>
      </c>
      <c r="AO65" s="3"/>
      <c r="AP65">
        <v>0</v>
      </c>
      <c r="AR65" t="s">
        <v>1</v>
      </c>
      <c r="AT65" s="2">
        <v>3.8340000000000001</v>
      </c>
      <c r="AU65" s="1">
        <f t="shared" si="3"/>
        <v>2.5224077089144061</v>
      </c>
      <c r="AV65" s="1">
        <f t="shared" si="4"/>
        <v>1.8406660786614775</v>
      </c>
      <c r="AW65" s="1">
        <f t="shared" si="5"/>
        <v>1.1589244484085488</v>
      </c>
    </row>
    <row r="66" spans="1:49" x14ac:dyDescent="0.2">
      <c r="A66">
        <v>64</v>
      </c>
      <c r="B66" t="s">
        <v>11381</v>
      </c>
      <c r="C66" t="s">
        <v>11380</v>
      </c>
      <c r="F66" t="s">
        <v>382</v>
      </c>
      <c r="G66" t="s">
        <v>5</v>
      </c>
      <c r="H66" t="s">
        <v>4</v>
      </c>
      <c r="I66" t="s">
        <v>790</v>
      </c>
      <c r="J66">
        <v>60028419</v>
      </c>
      <c r="K66" t="s">
        <v>380</v>
      </c>
      <c r="L66" t="s">
        <v>379</v>
      </c>
      <c r="M66" t="s">
        <v>182</v>
      </c>
      <c r="N66">
        <v>4</v>
      </c>
      <c r="O66" t="s">
        <v>11379</v>
      </c>
      <c r="P66" t="s">
        <v>11378</v>
      </c>
      <c r="Q66" t="s">
        <v>378</v>
      </c>
      <c r="R66" s="7">
        <v>37591</v>
      </c>
      <c r="S66" s="8">
        <f t="shared" ref="S66:S129" si="8">YEAR(R66)</f>
        <v>2002</v>
      </c>
      <c r="T66" s="8">
        <v>2002</v>
      </c>
      <c r="U66" s="8">
        <f t="shared" ref="U66:U129" si="9">2022-T66</f>
        <v>20</v>
      </c>
      <c r="V66" s="7">
        <v>2002</v>
      </c>
      <c r="W66" t="s">
        <v>10426</v>
      </c>
      <c r="X66" s="2">
        <v>0.437</v>
      </c>
      <c r="Y66" s="6">
        <f t="shared" si="6"/>
        <v>1.1665465417367396E-2</v>
      </c>
      <c r="AA66">
        <v>10704698</v>
      </c>
      <c r="AB66">
        <v>5300152513</v>
      </c>
      <c r="AC66">
        <v>15598985</v>
      </c>
      <c r="AD66" t="s">
        <v>2</v>
      </c>
      <c r="AE66">
        <v>36</v>
      </c>
      <c r="AH66" s="10">
        <v>43466</v>
      </c>
      <c r="AI66" t="s">
        <v>377</v>
      </c>
      <c r="AK66" t="s">
        <v>376</v>
      </c>
      <c r="AL66">
        <v>2</v>
      </c>
      <c r="AM66" s="5">
        <f t="shared" ref="AM66:AM129" si="10">AL66/U66</f>
        <v>0.1</v>
      </c>
      <c r="AN66" s="4">
        <f t="shared" si="7"/>
        <v>1.5145778114350627E-4</v>
      </c>
      <c r="AO66" s="3"/>
      <c r="AP66">
        <v>1</v>
      </c>
      <c r="AQ66" t="s">
        <v>375</v>
      </c>
      <c r="AR66">
        <v>1993</v>
      </c>
      <c r="AS66" t="s">
        <v>375</v>
      </c>
      <c r="AT66" s="2" t="s">
        <v>0</v>
      </c>
      <c r="AU66" s="1">
        <f t="shared" ref="AU66:AU129" si="11">(Y66*0.7+AN66*0.3)*100</f>
        <v>0.82112631265002289</v>
      </c>
      <c r="AV66" s="1">
        <f t="shared" ref="AV66:AV129" si="12">(Y66*0.5+AN66*0.5)*100</f>
        <v>0.59084615992554512</v>
      </c>
      <c r="AW66" s="1">
        <f t="shared" ref="AW66:AW129" si="13">(Y66*0.3+AN66*0.7)*100</f>
        <v>0.3605660072010673</v>
      </c>
    </row>
    <row r="67" spans="1:49" x14ac:dyDescent="0.2">
      <c r="A67">
        <v>65</v>
      </c>
      <c r="B67" t="s">
        <v>11377</v>
      </c>
      <c r="C67" t="s">
        <v>11376</v>
      </c>
      <c r="F67" t="s">
        <v>11375</v>
      </c>
      <c r="G67" t="s">
        <v>5</v>
      </c>
      <c r="H67" t="s">
        <v>4</v>
      </c>
      <c r="I67" t="s">
        <v>11374</v>
      </c>
      <c r="J67">
        <v>60023646</v>
      </c>
      <c r="K67" t="s">
        <v>11373</v>
      </c>
      <c r="L67" t="s">
        <v>11372</v>
      </c>
      <c r="M67" t="s">
        <v>7</v>
      </c>
      <c r="N67">
        <v>1</v>
      </c>
      <c r="O67" t="s">
        <v>11371</v>
      </c>
      <c r="P67">
        <v>36911263900</v>
      </c>
      <c r="Q67">
        <v>60023646</v>
      </c>
      <c r="R67" s="7">
        <v>37591</v>
      </c>
      <c r="S67" s="8">
        <f t="shared" si="8"/>
        <v>2002</v>
      </c>
      <c r="T67" s="8">
        <v>2002</v>
      </c>
      <c r="U67" s="8">
        <f t="shared" si="9"/>
        <v>20</v>
      </c>
      <c r="V67" s="7">
        <v>2002</v>
      </c>
      <c r="W67" t="s">
        <v>11370</v>
      </c>
      <c r="X67" s="2">
        <v>1.1579999999999999</v>
      </c>
      <c r="Y67" s="6">
        <f t="shared" ref="Y67:Y130" si="14">(X67-$Z$3)/($Z$2-$Z$3)</f>
        <v>3.0912148634579962E-2</v>
      </c>
      <c r="AA67">
        <v>13548565</v>
      </c>
      <c r="AB67">
        <v>5700153276</v>
      </c>
      <c r="AC67">
        <v>17487382</v>
      </c>
      <c r="AD67" t="s">
        <v>2</v>
      </c>
      <c r="AE67">
        <v>8</v>
      </c>
      <c r="AF67">
        <v>1</v>
      </c>
      <c r="AH67" t="s">
        <v>11369</v>
      </c>
      <c r="AI67" t="s">
        <v>11368</v>
      </c>
      <c r="AK67" t="s">
        <v>11367</v>
      </c>
      <c r="AL67">
        <v>6</v>
      </c>
      <c r="AM67" s="5">
        <f t="shared" si="10"/>
        <v>0.3</v>
      </c>
      <c r="AN67" s="4">
        <f t="shared" ref="AN67:AN130" si="15">(AM67-$AO$3)/($AO$2-$AO$3)</f>
        <v>4.5437334343051872E-4</v>
      </c>
      <c r="AO67" s="3"/>
      <c r="AP67">
        <v>0</v>
      </c>
      <c r="AR67" t="s">
        <v>1</v>
      </c>
      <c r="AS67" t="s">
        <v>11366</v>
      </c>
      <c r="AT67" s="2" t="s">
        <v>0</v>
      </c>
      <c r="AU67" s="1">
        <f t="shared" si="11"/>
        <v>2.1774816047235128</v>
      </c>
      <c r="AV67" s="1">
        <f t="shared" si="12"/>
        <v>1.5683260989005239</v>
      </c>
      <c r="AW67" s="1">
        <f t="shared" si="13"/>
        <v>0.95917059307753516</v>
      </c>
    </row>
    <row r="68" spans="1:49" x14ac:dyDescent="0.2">
      <c r="A68">
        <v>66</v>
      </c>
      <c r="B68" t="s">
        <v>11365</v>
      </c>
      <c r="C68" t="s">
        <v>11364</v>
      </c>
      <c r="F68" t="s">
        <v>11363</v>
      </c>
      <c r="G68" t="s">
        <v>5</v>
      </c>
      <c r="H68" t="s">
        <v>4</v>
      </c>
      <c r="I68" t="s">
        <v>11362</v>
      </c>
      <c r="J68" t="s">
        <v>11361</v>
      </c>
      <c r="K68" t="s">
        <v>11360</v>
      </c>
      <c r="L68" t="s">
        <v>11359</v>
      </c>
      <c r="M68" t="s">
        <v>3</v>
      </c>
      <c r="N68">
        <v>1</v>
      </c>
      <c r="O68" t="s">
        <v>11358</v>
      </c>
      <c r="P68">
        <v>7004052021</v>
      </c>
      <c r="Q68" t="s">
        <v>11357</v>
      </c>
      <c r="R68" s="7">
        <v>37591</v>
      </c>
      <c r="S68" s="8">
        <f t="shared" si="8"/>
        <v>2002</v>
      </c>
      <c r="T68" s="8">
        <v>2002</v>
      </c>
      <c r="U68" s="8">
        <f t="shared" si="9"/>
        <v>20</v>
      </c>
      <c r="V68" s="7">
        <v>2002</v>
      </c>
      <c r="W68" t="s">
        <v>710</v>
      </c>
      <c r="X68" s="2">
        <v>1.3280000000000001</v>
      </c>
      <c r="Y68" s="6">
        <f t="shared" si="14"/>
        <v>3.5450201542937994E-2</v>
      </c>
      <c r="AA68">
        <v>15361225</v>
      </c>
      <c r="AB68">
        <v>18894</v>
      </c>
      <c r="AD68" t="s">
        <v>2</v>
      </c>
      <c r="AE68">
        <v>1</v>
      </c>
      <c r="AH68" t="s">
        <v>11356</v>
      </c>
      <c r="AI68" t="s">
        <v>11355</v>
      </c>
      <c r="AJ68" t="s">
        <v>11354</v>
      </c>
      <c r="AK68" t="s">
        <v>11353</v>
      </c>
      <c r="AL68">
        <v>232</v>
      </c>
      <c r="AM68" s="5">
        <f t="shared" si="10"/>
        <v>11.6</v>
      </c>
      <c r="AN68" s="4">
        <f t="shared" si="15"/>
        <v>1.7569102612646725E-2</v>
      </c>
      <c r="AO68" s="3"/>
      <c r="AP68">
        <v>0</v>
      </c>
      <c r="AQ68" t="s">
        <v>290</v>
      </c>
      <c r="AR68" t="s">
        <v>11352</v>
      </c>
      <c r="AS68" t="s">
        <v>289</v>
      </c>
      <c r="AT68" s="2">
        <v>3.8340000000000001</v>
      </c>
      <c r="AU68" s="1">
        <f t="shared" si="11"/>
        <v>3.0085871863850611</v>
      </c>
      <c r="AV68" s="1">
        <f t="shared" si="12"/>
        <v>2.6509652077792358</v>
      </c>
      <c r="AW68" s="1">
        <f t="shared" si="13"/>
        <v>2.2933432291734106</v>
      </c>
    </row>
    <row r="69" spans="1:49" x14ac:dyDescent="0.2">
      <c r="A69">
        <v>67</v>
      </c>
      <c r="B69" t="s">
        <v>11351</v>
      </c>
      <c r="C69" t="s">
        <v>11350</v>
      </c>
      <c r="F69" t="s">
        <v>11349</v>
      </c>
      <c r="G69" t="s">
        <v>5</v>
      </c>
      <c r="H69" t="s">
        <v>4</v>
      </c>
      <c r="I69" t="s">
        <v>11348</v>
      </c>
      <c r="J69">
        <v>60020697</v>
      </c>
      <c r="K69" t="s">
        <v>11347</v>
      </c>
      <c r="L69" t="s">
        <v>146</v>
      </c>
      <c r="M69" t="s">
        <v>21</v>
      </c>
      <c r="N69">
        <v>3</v>
      </c>
      <c r="O69" t="s">
        <v>11346</v>
      </c>
      <c r="P69" t="s">
        <v>11345</v>
      </c>
      <c r="Q69" t="s">
        <v>11344</v>
      </c>
      <c r="R69" s="7">
        <v>37591</v>
      </c>
      <c r="S69" s="8">
        <f t="shared" si="8"/>
        <v>2002</v>
      </c>
      <c r="T69" s="8">
        <v>2002</v>
      </c>
      <c r="U69" s="8">
        <f t="shared" si="9"/>
        <v>20</v>
      </c>
      <c r="V69" s="7">
        <v>2002</v>
      </c>
      <c r="W69" t="s">
        <v>11343</v>
      </c>
      <c r="X69" s="2">
        <v>0.39100000000000001</v>
      </c>
      <c r="Y69" s="6">
        <f t="shared" si="14"/>
        <v>1.043752168922346E-2</v>
      </c>
      <c r="AA69">
        <v>10090630</v>
      </c>
      <c r="AB69">
        <v>145343</v>
      </c>
      <c r="AD69" t="s">
        <v>2</v>
      </c>
      <c r="AE69">
        <v>4</v>
      </c>
      <c r="AF69">
        <v>6</v>
      </c>
      <c r="AH69" t="s">
        <v>11342</v>
      </c>
      <c r="AI69" t="s">
        <v>11341</v>
      </c>
      <c r="AJ69" t="s">
        <v>11340</v>
      </c>
      <c r="AK69" t="s">
        <v>11339</v>
      </c>
      <c r="AL69">
        <v>1</v>
      </c>
      <c r="AM69" s="5">
        <f t="shared" si="10"/>
        <v>0.05</v>
      </c>
      <c r="AN69" s="4">
        <f t="shared" si="15"/>
        <v>7.5728890571753133E-5</v>
      </c>
      <c r="AO69" s="3"/>
      <c r="AP69">
        <v>0</v>
      </c>
      <c r="AR69" t="s">
        <v>1</v>
      </c>
      <c r="AT69" s="2" t="s">
        <v>0</v>
      </c>
      <c r="AU69" s="1">
        <f t="shared" si="11"/>
        <v>0.73289838496279469</v>
      </c>
      <c r="AV69" s="1">
        <f t="shared" si="12"/>
        <v>0.52566252898976062</v>
      </c>
      <c r="AW69" s="1">
        <f t="shared" si="13"/>
        <v>0.3184266730167265</v>
      </c>
    </row>
    <row r="70" spans="1:49" x14ac:dyDescent="0.2">
      <c r="A70">
        <v>68</v>
      </c>
      <c r="B70" t="s">
        <v>11338</v>
      </c>
      <c r="F70" t="s">
        <v>11337</v>
      </c>
      <c r="G70" t="s">
        <v>5</v>
      </c>
      <c r="H70" t="s">
        <v>4</v>
      </c>
      <c r="I70" t="s">
        <v>876</v>
      </c>
      <c r="J70">
        <v>60116768</v>
      </c>
      <c r="K70" t="s">
        <v>277</v>
      </c>
      <c r="L70" t="s">
        <v>216</v>
      </c>
      <c r="M70" t="s">
        <v>135</v>
      </c>
      <c r="N70">
        <v>1</v>
      </c>
      <c r="O70" t="s">
        <v>875</v>
      </c>
      <c r="P70">
        <v>7401723727</v>
      </c>
      <c r="Q70">
        <v>60116768</v>
      </c>
      <c r="R70" s="7">
        <v>37591</v>
      </c>
      <c r="S70" s="8">
        <f t="shared" si="8"/>
        <v>2002</v>
      </c>
      <c r="T70" s="8">
        <v>2002</v>
      </c>
      <c r="U70" s="8">
        <f t="shared" si="9"/>
        <v>20</v>
      </c>
      <c r="V70" s="7">
        <v>2002</v>
      </c>
      <c r="W70" t="s">
        <v>10541</v>
      </c>
      <c r="X70" s="2" t="s">
        <v>0</v>
      </c>
      <c r="Y70" s="6" t="e">
        <f t="shared" si="14"/>
        <v>#VALUE!</v>
      </c>
      <c r="AA70">
        <v>15167399</v>
      </c>
      <c r="AB70">
        <v>4700152267</v>
      </c>
      <c r="AD70" t="s">
        <v>2</v>
      </c>
      <c r="AE70">
        <v>2</v>
      </c>
      <c r="AF70">
        <v>5</v>
      </c>
      <c r="AH70" t="s">
        <v>11336</v>
      </c>
      <c r="AI70" t="s">
        <v>11335</v>
      </c>
      <c r="AK70" t="s">
        <v>11334</v>
      </c>
      <c r="AL70">
        <v>0</v>
      </c>
      <c r="AM70" s="5">
        <f t="shared" si="10"/>
        <v>0</v>
      </c>
      <c r="AN70" s="4">
        <f t="shared" si="15"/>
        <v>0</v>
      </c>
      <c r="AO70" s="3"/>
      <c r="AP70">
        <v>0</v>
      </c>
      <c r="AR70" t="s">
        <v>1</v>
      </c>
      <c r="AT70" s="2" t="s">
        <v>0</v>
      </c>
      <c r="AU70" s="1" t="e">
        <f t="shared" si="11"/>
        <v>#VALUE!</v>
      </c>
      <c r="AV70" s="1" t="e">
        <f t="shared" si="12"/>
        <v>#VALUE!</v>
      </c>
      <c r="AW70" s="1" t="e">
        <f t="shared" si="13"/>
        <v>#VALUE!</v>
      </c>
    </row>
    <row r="71" spans="1:49" x14ac:dyDescent="0.2">
      <c r="A71">
        <v>69</v>
      </c>
      <c r="B71" t="s">
        <v>11333</v>
      </c>
      <c r="F71" t="s">
        <v>11332</v>
      </c>
      <c r="G71" t="s">
        <v>5</v>
      </c>
      <c r="H71" t="s">
        <v>4</v>
      </c>
      <c r="I71" t="s">
        <v>867</v>
      </c>
      <c r="J71">
        <v>60029284</v>
      </c>
      <c r="K71" t="s">
        <v>1109</v>
      </c>
      <c r="L71" t="s">
        <v>499</v>
      </c>
      <c r="M71" t="s">
        <v>125</v>
      </c>
      <c r="N71">
        <v>2</v>
      </c>
      <c r="O71" t="s">
        <v>866</v>
      </c>
      <c r="P71" t="s">
        <v>865</v>
      </c>
      <c r="Q71" t="s">
        <v>1108</v>
      </c>
      <c r="R71" s="7">
        <v>37591</v>
      </c>
      <c r="S71" s="8">
        <f t="shared" si="8"/>
        <v>2002</v>
      </c>
      <c r="T71" s="8">
        <v>2002</v>
      </c>
      <c r="U71" s="8">
        <f t="shared" si="9"/>
        <v>20</v>
      </c>
      <c r="V71" s="7">
        <v>2002</v>
      </c>
      <c r="W71" t="s">
        <v>10541</v>
      </c>
      <c r="X71" s="2" t="s">
        <v>0</v>
      </c>
      <c r="Y71" s="6" t="e">
        <f t="shared" si="14"/>
        <v>#VALUE!</v>
      </c>
      <c r="AA71">
        <v>15167399</v>
      </c>
      <c r="AB71">
        <v>4700152267</v>
      </c>
      <c r="AD71" t="s">
        <v>2</v>
      </c>
      <c r="AE71">
        <v>2</v>
      </c>
      <c r="AF71">
        <v>6</v>
      </c>
      <c r="AH71" t="s">
        <v>11331</v>
      </c>
      <c r="AI71" t="s">
        <v>11330</v>
      </c>
      <c r="AJ71" t="s">
        <v>11329</v>
      </c>
      <c r="AK71" t="s">
        <v>11328</v>
      </c>
      <c r="AL71">
        <v>5</v>
      </c>
      <c r="AM71" s="5">
        <f t="shared" si="10"/>
        <v>0.25</v>
      </c>
      <c r="AN71" s="4">
        <f t="shared" si="15"/>
        <v>3.786444528587656E-4</v>
      </c>
      <c r="AO71" s="3"/>
      <c r="AP71">
        <v>0</v>
      </c>
      <c r="AR71" t="s">
        <v>1</v>
      </c>
      <c r="AT71" s="2" t="s">
        <v>0</v>
      </c>
      <c r="AU71" s="1" t="e">
        <f t="shared" si="11"/>
        <v>#VALUE!</v>
      </c>
      <c r="AV71" s="1" t="e">
        <f t="shared" si="12"/>
        <v>#VALUE!</v>
      </c>
      <c r="AW71" s="1" t="e">
        <f t="shared" si="13"/>
        <v>#VALUE!</v>
      </c>
    </row>
    <row r="72" spans="1:49" x14ac:dyDescent="0.2">
      <c r="A72">
        <v>70</v>
      </c>
      <c r="B72" t="s">
        <v>11327</v>
      </c>
      <c r="C72" t="s">
        <v>11326</v>
      </c>
      <c r="F72" t="s">
        <v>11325</v>
      </c>
      <c r="G72" t="s">
        <v>5</v>
      </c>
      <c r="H72" t="s">
        <v>4</v>
      </c>
      <c r="I72" t="s">
        <v>11324</v>
      </c>
      <c r="J72">
        <v>60022109</v>
      </c>
      <c r="K72" t="s">
        <v>719</v>
      </c>
      <c r="L72" t="s">
        <v>484</v>
      </c>
      <c r="M72" t="s">
        <v>41</v>
      </c>
      <c r="N72">
        <v>2</v>
      </c>
      <c r="O72" t="s">
        <v>11323</v>
      </c>
      <c r="P72" t="s">
        <v>11322</v>
      </c>
      <c r="Q72" t="s">
        <v>11321</v>
      </c>
      <c r="R72" s="7">
        <v>37591</v>
      </c>
      <c r="S72" s="8">
        <f t="shared" si="8"/>
        <v>2002</v>
      </c>
      <c r="T72" s="8">
        <v>2002</v>
      </c>
      <c r="U72" s="8">
        <f t="shared" si="9"/>
        <v>20</v>
      </c>
      <c r="V72" s="7">
        <v>2002</v>
      </c>
      <c r="W72" t="s">
        <v>710</v>
      </c>
      <c r="X72" s="2">
        <v>1.3280000000000001</v>
      </c>
      <c r="Y72" s="6">
        <f t="shared" si="14"/>
        <v>3.5450201542937994E-2</v>
      </c>
      <c r="AA72">
        <v>15361225</v>
      </c>
      <c r="AB72">
        <v>18894</v>
      </c>
      <c r="AD72" t="s">
        <v>2</v>
      </c>
      <c r="AE72">
        <v>1</v>
      </c>
      <c r="AH72" t="s">
        <v>11320</v>
      </c>
      <c r="AI72" t="s">
        <v>11319</v>
      </c>
      <c r="AJ72" t="s">
        <v>11318</v>
      </c>
      <c r="AK72" t="s">
        <v>11317</v>
      </c>
      <c r="AL72">
        <v>34</v>
      </c>
      <c r="AM72" s="5">
        <f t="shared" si="10"/>
        <v>1.7</v>
      </c>
      <c r="AN72" s="4">
        <f t="shared" si="15"/>
        <v>2.5747822794396063E-3</v>
      </c>
      <c r="AO72" s="3"/>
      <c r="AP72">
        <v>0</v>
      </c>
      <c r="AR72" t="s">
        <v>1</v>
      </c>
      <c r="AT72" s="2">
        <v>3.8340000000000001</v>
      </c>
      <c r="AU72" s="1">
        <f t="shared" si="11"/>
        <v>2.5587575763888477</v>
      </c>
      <c r="AV72" s="1">
        <f t="shared" si="12"/>
        <v>1.90124919111888</v>
      </c>
      <c r="AW72" s="1">
        <f t="shared" si="13"/>
        <v>1.2437408058489121</v>
      </c>
    </row>
    <row r="73" spans="1:49" x14ac:dyDescent="0.2">
      <c r="A73">
        <v>71</v>
      </c>
      <c r="B73" t="s">
        <v>11316</v>
      </c>
      <c r="C73" t="s">
        <v>11315</v>
      </c>
      <c r="D73" t="s">
        <v>11314</v>
      </c>
      <c r="F73" t="s">
        <v>11313</v>
      </c>
      <c r="G73" t="s">
        <v>5</v>
      </c>
      <c r="H73" t="s">
        <v>4</v>
      </c>
      <c r="I73" t="s">
        <v>730</v>
      </c>
      <c r="J73" t="s">
        <v>918</v>
      </c>
      <c r="K73" t="s">
        <v>917</v>
      </c>
      <c r="L73" t="s">
        <v>916</v>
      </c>
      <c r="M73" t="s">
        <v>3</v>
      </c>
      <c r="N73">
        <v>2</v>
      </c>
      <c r="O73" t="s">
        <v>729</v>
      </c>
      <c r="P73" t="s">
        <v>728</v>
      </c>
      <c r="Q73" t="s">
        <v>915</v>
      </c>
      <c r="R73" s="7">
        <v>37591</v>
      </c>
      <c r="S73" s="8">
        <f t="shared" si="8"/>
        <v>2002</v>
      </c>
      <c r="T73" s="8">
        <v>2002</v>
      </c>
      <c r="U73" s="8">
        <f t="shared" si="9"/>
        <v>20</v>
      </c>
      <c r="V73" s="7">
        <v>2002</v>
      </c>
      <c r="W73" t="s">
        <v>9027</v>
      </c>
      <c r="X73" s="2">
        <v>2.0099999999999998</v>
      </c>
      <c r="Y73" s="6">
        <f t="shared" si="14"/>
        <v>5.3655802034115477E-2</v>
      </c>
      <c r="AA73">
        <v>15361276</v>
      </c>
      <c r="AB73">
        <v>18933</v>
      </c>
      <c r="AD73" t="s">
        <v>2</v>
      </c>
      <c r="AE73">
        <v>1</v>
      </c>
      <c r="AF73">
        <v>1</v>
      </c>
      <c r="AH73" t="s">
        <v>1571</v>
      </c>
      <c r="AI73" t="s">
        <v>11312</v>
      </c>
      <c r="AJ73" t="s">
        <v>11311</v>
      </c>
      <c r="AK73" t="s">
        <v>11310</v>
      </c>
      <c r="AL73">
        <v>14</v>
      </c>
      <c r="AM73" s="5">
        <f t="shared" si="10"/>
        <v>0.7</v>
      </c>
      <c r="AN73" s="4">
        <f t="shared" si="15"/>
        <v>1.0602044680045437E-3</v>
      </c>
      <c r="AO73" s="3"/>
      <c r="AP73">
        <v>0</v>
      </c>
      <c r="AQ73" t="s">
        <v>799</v>
      </c>
      <c r="AR73" t="s">
        <v>1</v>
      </c>
      <c r="AS73" t="s">
        <v>798</v>
      </c>
      <c r="AT73" s="2" t="s">
        <v>0</v>
      </c>
      <c r="AU73" s="1">
        <f t="shared" si="11"/>
        <v>3.7877122764282194</v>
      </c>
      <c r="AV73" s="1">
        <f t="shared" si="12"/>
        <v>2.735800325106001</v>
      </c>
      <c r="AW73" s="1">
        <f t="shared" si="13"/>
        <v>1.6838883737837824</v>
      </c>
    </row>
    <row r="74" spans="1:49" x14ac:dyDescent="0.2">
      <c r="A74">
        <v>72</v>
      </c>
      <c r="B74" t="s">
        <v>11309</v>
      </c>
      <c r="F74" t="s">
        <v>11308</v>
      </c>
      <c r="G74" t="s">
        <v>5</v>
      </c>
      <c r="H74" t="s">
        <v>4</v>
      </c>
      <c r="I74" t="s">
        <v>11307</v>
      </c>
      <c r="J74">
        <v>60026000</v>
      </c>
      <c r="K74" t="s">
        <v>11306</v>
      </c>
      <c r="L74" t="s">
        <v>11305</v>
      </c>
      <c r="M74" t="s">
        <v>426</v>
      </c>
      <c r="N74">
        <v>1</v>
      </c>
      <c r="O74" t="s">
        <v>11304</v>
      </c>
      <c r="P74">
        <v>9275565400</v>
      </c>
      <c r="Q74">
        <v>60026000</v>
      </c>
      <c r="R74" s="7">
        <v>37591</v>
      </c>
      <c r="S74" s="8">
        <f t="shared" si="8"/>
        <v>2002</v>
      </c>
      <c r="T74" s="8">
        <v>2002</v>
      </c>
      <c r="U74" s="8">
        <f t="shared" si="9"/>
        <v>20</v>
      </c>
      <c r="V74" s="7">
        <v>2002</v>
      </c>
      <c r="W74" t="s">
        <v>11303</v>
      </c>
      <c r="X74" s="2" t="s">
        <v>0</v>
      </c>
      <c r="Y74" s="6" t="e">
        <f t="shared" si="14"/>
        <v>#VALUE!</v>
      </c>
      <c r="AA74">
        <v>1371339</v>
      </c>
      <c r="AB74">
        <v>21055</v>
      </c>
      <c r="AD74" t="s">
        <v>2</v>
      </c>
      <c r="AE74">
        <v>20</v>
      </c>
      <c r="AF74">
        <v>1</v>
      </c>
      <c r="AH74" s="9">
        <v>44470</v>
      </c>
      <c r="AI74" t="s">
        <v>11302</v>
      </c>
      <c r="AJ74" t="s">
        <v>11301</v>
      </c>
      <c r="AK74" t="s">
        <v>11300</v>
      </c>
      <c r="AL74">
        <v>4</v>
      </c>
      <c r="AM74" s="5">
        <f t="shared" si="10"/>
        <v>0.2</v>
      </c>
      <c r="AN74" s="4">
        <f t="shared" si="15"/>
        <v>3.0291556228701253E-4</v>
      </c>
      <c r="AO74" s="3"/>
      <c r="AP74">
        <v>0</v>
      </c>
      <c r="AR74" t="s">
        <v>1</v>
      </c>
      <c r="AT74" s="2" t="s">
        <v>0</v>
      </c>
      <c r="AU74" s="1" t="e">
        <f t="shared" si="11"/>
        <v>#VALUE!</v>
      </c>
      <c r="AV74" s="1" t="e">
        <f t="shared" si="12"/>
        <v>#VALUE!</v>
      </c>
      <c r="AW74" s="1" t="e">
        <f t="shared" si="13"/>
        <v>#VALUE!</v>
      </c>
    </row>
    <row r="75" spans="1:49" x14ac:dyDescent="0.2">
      <c r="A75">
        <v>73</v>
      </c>
      <c r="B75" t="s">
        <v>11299</v>
      </c>
      <c r="C75" t="s">
        <v>11298</v>
      </c>
      <c r="F75" t="s">
        <v>11297</v>
      </c>
      <c r="G75" t="s">
        <v>5</v>
      </c>
      <c r="H75" t="s">
        <v>4</v>
      </c>
      <c r="I75" t="s">
        <v>11296</v>
      </c>
      <c r="J75" t="s">
        <v>11295</v>
      </c>
      <c r="K75" t="s">
        <v>11294</v>
      </c>
      <c r="L75" t="s">
        <v>11293</v>
      </c>
      <c r="M75" t="s">
        <v>74</v>
      </c>
      <c r="N75">
        <v>4</v>
      </c>
      <c r="O75" t="s">
        <v>11292</v>
      </c>
      <c r="P75" t="s">
        <v>11291</v>
      </c>
      <c r="Q75" t="s">
        <v>11290</v>
      </c>
      <c r="R75" s="7">
        <v>37591</v>
      </c>
      <c r="S75" s="8">
        <f t="shared" si="8"/>
        <v>2002</v>
      </c>
      <c r="T75" s="8">
        <v>2002</v>
      </c>
      <c r="U75" s="8">
        <f t="shared" si="9"/>
        <v>20</v>
      </c>
      <c r="V75" s="7">
        <v>2002</v>
      </c>
      <c r="W75" t="s">
        <v>9027</v>
      </c>
      <c r="X75" s="2">
        <v>2.0099999999999998</v>
      </c>
      <c r="Y75" s="6">
        <f t="shared" si="14"/>
        <v>5.3655802034115477E-2</v>
      </c>
      <c r="AA75">
        <v>15361276</v>
      </c>
      <c r="AB75">
        <v>18933</v>
      </c>
      <c r="AD75" t="s">
        <v>2</v>
      </c>
      <c r="AE75">
        <v>1</v>
      </c>
      <c r="AF75">
        <v>4</v>
      </c>
      <c r="AH75" t="s">
        <v>11289</v>
      </c>
      <c r="AI75" t="s">
        <v>11288</v>
      </c>
      <c r="AJ75" t="s">
        <v>11287</v>
      </c>
      <c r="AK75" t="s">
        <v>11286</v>
      </c>
      <c r="AL75">
        <v>40</v>
      </c>
      <c r="AM75" s="5">
        <f t="shared" si="10"/>
        <v>2</v>
      </c>
      <c r="AN75" s="4">
        <f t="shared" si="15"/>
        <v>3.0291556228701248E-3</v>
      </c>
      <c r="AO75" s="3"/>
      <c r="AP75">
        <v>0</v>
      </c>
      <c r="AR75" t="s">
        <v>1</v>
      </c>
      <c r="AT75" s="2" t="s">
        <v>0</v>
      </c>
      <c r="AU75" s="1">
        <f t="shared" si="11"/>
        <v>3.8467808110741868</v>
      </c>
      <c r="AV75" s="1">
        <f t="shared" si="12"/>
        <v>2.8342478828492799</v>
      </c>
      <c r="AW75" s="1">
        <f t="shared" si="13"/>
        <v>1.8217149546243729</v>
      </c>
    </row>
    <row r="76" spans="1:49" x14ac:dyDescent="0.2">
      <c r="A76">
        <v>74</v>
      </c>
      <c r="B76" t="s">
        <v>11285</v>
      </c>
      <c r="C76" t="s">
        <v>11284</v>
      </c>
      <c r="F76" t="s">
        <v>11283</v>
      </c>
      <c r="G76" t="s">
        <v>5</v>
      </c>
      <c r="H76" t="s">
        <v>4</v>
      </c>
      <c r="I76" t="s">
        <v>11282</v>
      </c>
      <c r="J76">
        <v>60022195</v>
      </c>
      <c r="K76" t="s">
        <v>697</v>
      </c>
      <c r="L76" t="s">
        <v>149</v>
      </c>
      <c r="M76" t="s">
        <v>7</v>
      </c>
      <c r="N76">
        <v>1</v>
      </c>
      <c r="O76" t="s">
        <v>11281</v>
      </c>
      <c r="P76">
        <v>7202290923</v>
      </c>
      <c r="Q76">
        <v>60022195</v>
      </c>
      <c r="R76" s="7">
        <v>37591</v>
      </c>
      <c r="S76" s="8">
        <f t="shared" si="8"/>
        <v>2002</v>
      </c>
      <c r="T76" s="8">
        <v>2002</v>
      </c>
      <c r="U76" s="8">
        <f t="shared" si="9"/>
        <v>20</v>
      </c>
      <c r="V76" s="7">
        <v>2002</v>
      </c>
      <c r="W76" t="s">
        <v>10426</v>
      </c>
      <c r="X76" s="2">
        <v>0.437</v>
      </c>
      <c r="Y76" s="6">
        <f t="shared" si="14"/>
        <v>1.1665465417367396E-2</v>
      </c>
      <c r="AA76">
        <v>10704698</v>
      </c>
      <c r="AB76">
        <v>5300152513</v>
      </c>
      <c r="AC76">
        <v>15598985</v>
      </c>
      <c r="AD76" t="s">
        <v>2</v>
      </c>
      <c r="AE76">
        <v>35</v>
      </c>
      <c r="AH76" s="10">
        <v>18994</v>
      </c>
      <c r="AI76" t="s">
        <v>11280</v>
      </c>
      <c r="AK76" t="s">
        <v>11279</v>
      </c>
      <c r="AL76">
        <v>135</v>
      </c>
      <c r="AM76" s="5">
        <f t="shared" si="10"/>
        <v>6.75</v>
      </c>
      <c r="AN76" s="4">
        <f t="shared" si="15"/>
        <v>1.0223400227186671E-2</v>
      </c>
      <c r="AO76" s="3"/>
      <c r="AP76">
        <v>1</v>
      </c>
      <c r="AR76" t="s">
        <v>1</v>
      </c>
      <c r="AT76" s="2" t="s">
        <v>0</v>
      </c>
      <c r="AU76" s="1">
        <f t="shared" si="11"/>
        <v>1.1232845860313179</v>
      </c>
      <c r="AV76" s="1">
        <f t="shared" si="12"/>
        <v>1.0944432822277033</v>
      </c>
      <c r="AW76" s="1">
        <f t="shared" si="13"/>
        <v>1.0656019784240889</v>
      </c>
    </row>
    <row r="77" spans="1:49" x14ac:dyDescent="0.2">
      <c r="A77">
        <v>75</v>
      </c>
      <c r="B77" t="s">
        <v>11278</v>
      </c>
      <c r="C77" t="s">
        <v>11277</v>
      </c>
      <c r="F77" t="s">
        <v>11276</v>
      </c>
      <c r="G77" t="s">
        <v>5</v>
      </c>
      <c r="H77" t="s">
        <v>4</v>
      </c>
      <c r="I77" t="s">
        <v>143</v>
      </c>
      <c r="J77" t="s">
        <v>11275</v>
      </c>
      <c r="K77" t="s">
        <v>11274</v>
      </c>
      <c r="L77" t="s">
        <v>11273</v>
      </c>
      <c r="M77" t="s">
        <v>10923</v>
      </c>
      <c r="N77">
        <v>4</v>
      </c>
      <c r="O77" t="s">
        <v>11272</v>
      </c>
      <c r="P77" t="s">
        <v>11271</v>
      </c>
      <c r="Q77" t="s">
        <v>11270</v>
      </c>
      <c r="R77" s="7">
        <v>37591</v>
      </c>
      <c r="S77" s="8">
        <f t="shared" si="8"/>
        <v>2002</v>
      </c>
      <c r="T77" s="8">
        <v>2002</v>
      </c>
      <c r="U77" s="8">
        <f t="shared" si="9"/>
        <v>20</v>
      </c>
      <c r="V77" s="7">
        <v>2002</v>
      </c>
      <c r="W77" t="s">
        <v>10426</v>
      </c>
      <c r="X77" s="2">
        <v>0.437</v>
      </c>
      <c r="Y77" s="6">
        <f t="shared" si="14"/>
        <v>1.1665465417367396E-2</v>
      </c>
      <c r="AA77">
        <v>10704698</v>
      </c>
      <c r="AB77">
        <v>5300152513</v>
      </c>
      <c r="AC77">
        <v>15598985</v>
      </c>
      <c r="AD77" t="s">
        <v>2</v>
      </c>
      <c r="AE77">
        <v>35</v>
      </c>
      <c r="AH77" t="s">
        <v>11269</v>
      </c>
      <c r="AI77" t="s">
        <v>11268</v>
      </c>
      <c r="AK77" t="s">
        <v>11267</v>
      </c>
      <c r="AL77">
        <v>8</v>
      </c>
      <c r="AM77" s="5">
        <f t="shared" si="10"/>
        <v>0.4</v>
      </c>
      <c r="AN77" s="4">
        <f t="shared" si="15"/>
        <v>6.0583112457402507E-4</v>
      </c>
      <c r="AO77" s="3"/>
      <c r="AP77">
        <v>0</v>
      </c>
      <c r="AQ77" t="s">
        <v>360</v>
      </c>
      <c r="AR77" t="s">
        <v>1</v>
      </c>
      <c r="AS77" t="s">
        <v>360</v>
      </c>
      <c r="AT77" s="2" t="s">
        <v>0</v>
      </c>
      <c r="AU77" s="1">
        <f t="shared" si="11"/>
        <v>0.83475751295293832</v>
      </c>
      <c r="AV77" s="1">
        <f t="shared" si="12"/>
        <v>0.61356482709707105</v>
      </c>
      <c r="AW77" s="1">
        <f t="shared" si="13"/>
        <v>0.39237214124120368</v>
      </c>
    </row>
    <row r="78" spans="1:49" x14ac:dyDescent="0.2">
      <c r="A78">
        <v>76</v>
      </c>
      <c r="B78" t="s">
        <v>11266</v>
      </c>
      <c r="C78" t="s">
        <v>11265</v>
      </c>
      <c r="F78" t="s">
        <v>679</v>
      </c>
      <c r="G78" t="s">
        <v>5</v>
      </c>
      <c r="H78" t="s">
        <v>4</v>
      </c>
      <c r="I78" t="s">
        <v>148</v>
      </c>
      <c r="J78">
        <v>60005510</v>
      </c>
      <c r="K78" t="s">
        <v>668</v>
      </c>
      <c r="L78" t="s">
        <v>87</v>
      </c>
      <c r="M78" t="s">
        <v>86</v>
      </c>
      <c r="N78">
        <v>2</v>
      </c>
      <c r="O78" t="s">
        <v>678</v>
      </c>
      <c r="P78" t="s">
        <v>677</v>
      </c>
      <c r="Q78" t="s">
        <v>667</v>
      </c>
      <c r="R78" s="7">
        <v>37591</v>
      </c>
      <c r="S78" s="8">
        <f t="shared" si="8"/>
        <v>2002</v>
      </c>
      <c r="T78" s="8">
        <v>2002</v>
      </c>
      <c r="U78" s="8">
        <f t="shared" si="9"/>
        <v>20</v>
      </c>
      <c r="V78" s="7">
        <v>2002</v>
      </c>
      <c r="W78" t="s">
        <v>10426</v>
      </c>
      <c r="X78" s="2">
        <v>0.437</v>
      </c>
      <c r="Y78" s="6">
        <f t="shared" si="14"/>
        <v>1.1665465417367396E-2</v>
      </c>
      <c r="AA78">
        <v>10704698</v>
      </c>
      <c r="AB78">
        <v>5300152513</v>
      </c>
      <c r="AC78">
        <v>15598985</v>
      </c>
      <c r="AD78" t="s">
        <v>2</v>
      </c>
      <c r="AE78">
        <v>36</v>
      </c>
      <c r="AH78" t="s">
        <v>11264</v>
      </c>
      <c r="AI78" t="s">
        <v>676</v>
      </c>
      <c r="AK78" t="s">
        <v>675</v>
      </c>
      <c r="AL78">
        <v>25</v>
      </c>
      <c r="AM78" s="5">
        <f t="shared" si="10"/>
        <v>1.25</v>
      </c>
      <c r="AN78" s="4">
        <f t="shared" si="15"/>
        <v>1.8932222642938281E-3</v>
      </c>
      <c r="AO78" s="3"/>
      <c r="AP78">
        <v>1</v>
      </c>
      <c r="AQ78" t="s">
        <v>674</v>
      </c>
      <c r="AR78" t="s">
        <v>1</v>
      </c>
      <c r="AS78" t="s">
        <v>674</v>
      </c>
      <c r="AT78" s="2" t="s">
        <v>0</v>
      </c>
      <c r="AU78" s="1">
        <f t="shared" si="11"/>
        <v>0.87337924714453241</v>
      </c>
      <c r="AV78" s="1">
        <f t="shared" si="12"/>
        <v>0.67793438408306117</v>
      </c>
      <c r="AW78" s="1">
        <f t="shared" si="13"/>
        <v>0.48248952102158987</v>
      </c>
    </row>
    <row r="79" spans="1:49" x14ac:dyDescent="0.2">
      <c r="A79">
        <v>77</v>
      </c>
      <c r="B79" t="s">
        <v>11263</v>
      </c>
      <c r="C79" t="s">
        <v>11262</v>
      </c>
      <c r="F79" t="s">
        <v>11261</v>
      </c>
      <c r="G79" t="s">
        <v>5</v>
      </c>
      <c r="H79" t="s">
        <v>4</v>
      </c>
      <c r="I79" t="s">
        <v>11260</v>
      </c>
      <c r="J79" t="s">
        <v>11259</v>
      </c>
      <c r="K79" t="s">
        <v>11258</v>
      </c>
      <c r="L79" t="s">
        <v>11257</v>
      </c>
      <c r="M79" t="s">
        <v>92</v>
      </c>
      <c r="N79">
        <v>2</v>
      </c>
      <c r="O79" t="s">
        <v>11256</v>
      </c>
      <c r="P79" t="s">
        <v>11255</v>
      </c>
      <c r="Q79" t="s">
        <v>11254</v>
      </c>
      <c r="R79" s="7">
        <v>37591</v>
      </c>
      <c r="S79" s="8">
        <f t="shared" si="8"/>
        <v>2002</v>
      </c>
      <c r="T79" s="8">
        <v>2002</v>
      </c>
      <c r="U79" s="8">
        <f t="shared" si="9"/>
        <v>20</v>
      </c>
      <c r="V79" s="7">
        <v>2002</v>
      </c>
      <c r="W79" t="s">
        <v>9027</v>
      </c>
      <c r="X79" s="2">
        <v>2.0099999999999998</v>
      </c>
      <c r="Y79" s="6">
        <f t="shared" si="14"/>
        <v>5.3655802034115477E-2</v>
      </c>
      <c r="AA79">
        <v>15361276</v>
      </c>
      <c r="AB79">
        <v>18933</v>
      </c>
      <c r="AD79" t="s">
        <v>2</v>
      </c>
      <c r="AE79">
        <v>1</v>
      </c>
      <c r="AF79">
        <v>3</v>
      </c>
      <c r="AH79" t="s">
        <v>11253</v>
      </c>
      <c r="AI79" t="s">
        <v>11252</v>
      </c>
      <c r="AJ79" t="s">
        <v>11251</v>
      </c>
      <c r="AK79" t="s">
        <v>11250</v>
      </c>
      <c r="AL79">
        <v>474</v>
      </c>
      <c r="AM79" s="5">
        <f t="shared" si="10"/>
        <v>23.7</v>
      </c>
      <c r="AN79" s="4">
        <f t="shared" si="15"/>
        <v>3.589549413101098E-2</v>
      </c>
      <c r="AO79" s="3"/>
      <c r="AP79">
        <v>0</v>
      </c>
      <c r="AQ79" t="s">
        <v>11249</v>
      </c>
      <c r="AR79" t="s">
        <v>1</v>
      </c>
      <c r="AS79" t="s">
        <v>11248</v>
      </c>
      <c r="AT79" s="2" t="s">
        <v>0</v>
      </c>
      <c r="AU79" s="1">
        <f t="shared" si="11"/>
        <v>4.832770966318412</v>
      </c>
      <c r="AV79" s="1">
        <f t="shared" si="12"/>
        <v>4.4775648082563224</v>
      </c>
      <c r="AW79" s="1">
        <f t="shared" si="13"/>
        <v>4.1223586501942329</v>
      </c>
    </row>
    <row r="80" spans="1:49" x14ac:dyDescent="0.2">
      <c r="A80">
        <v>78</v>
      </c>
      <c r="B80" t="s">
        <v>11247</v>
      </c>
      <c r="C80" t="s">
        <v>11246</v>
      </c>
      <c r="F80" t="s">
        <v>11245</v>
      </c>
      <c r="G80" t="s">
        <v>5</v>
      </c>
      <c r="H80" t="s">
        <v>4</v>
      </c>
      <c r="I80" t="s">
        <v>300</v>
      </c>
      <c r="J80" t="s">
        <v>350</v>
      </c>
      <c r="K80" t="s">
        <v>349</v>
      </c>
      <c r="L80" t="s">
        <v>348</v>
      </c>
      <c r="M80" t="s">
        <v>3</v>
      </c>
      <c r="N80">
        <v>3</v>
      </c>
      <c r="O80" t="s">
        <v>11244</v>
      </c>
      <c r="P80" t="s">
        <v>11243</v>
      </c>
      <c r="Q80" t="s">
        <v>11231</v>
      </c>
      <c r="R80" s="7">
        <v>37591</v>
      </c>
      <c r="S80" s="8">
        <f t="shared" si="8"/>
        <v>2002</v>
      </c>
      <c r="T80" s="8">
        <v>2002</v>
      </c>
      <c r="U80" s="8">
        <f t="shared" si="9"/>
        <v>20</v>
      </c>
      <c r="V80" s="7">
        <v>2002</v>
      </c>
      <c r="W80" t="s">
        <v>9027</v>
      </c>
      <c r="X80" s="2">
        <v>2.0099999999999998</v>
      </c>
      <c r="Y80" s="6">
        <f t="shared" si="14"/>
        <v>5.3655802034115477E-2</v>
      </c>
      <c r="AA80">
        <v>15361276</v>
      </c>
      <c r="AB80">
        <v>18933</v>
      </c>
      <c r="AD80" t="s">
        <v>2</v>
      </c>
      <c r="AE80">
        <v>1</v>
      </c>
      <c r="AF80">
        <v>3</v>
      </c>
      <c r="AH80" t="s">
        <v>11242</v>
      </c>
      <c r="AI80" t="s">
        <v>11241</v>
      </c>
      <c r="AJ80" t="s">
        <v>11240</v>
      </c>
      <c r="AK80" t="s">
        <v>11239</v>
      </c>
      <c r="AL80">
        <v>84</v>
      </c>
      <c r="AM80" s="5">
        <f t="shared" si="10"/>
        <v>4.2</v>
      </c>
      <c r="AN80" s="4">
        <f t="shared" si="15"/>
        <v>6.3612268080272625E-3</v>
      </c>
      <c r="AO80" s="3"/>
      <c r="AP80">
        <v>0</v>
      </c>
      <c r="AR80" t="s">
        <v>1</v>
      </c>
      <c r="AT80" s="2" t="s">
        <v>0</v>
      </c>
      <c r="AU80" s="1">
        <f t="shared" si="11"/>
        <v>3.9467429466289015</v>
      </c>
      <c r="AV80" s="1">
        <f t="shared" si="12"/>
        <v>3.0008514421071371</v>
      </c>
      <c r="AW80" s="1">
        <f t="shared" si="13"/>
        <v>2.0549599375853727</v>
      </c>
    </row>
    <row r="81" spans="1:49" x14ac:dyDescent="0.2">
      <c r="A81">
        <v>79</v>
      </c>
      <c r="B81" t="s">
        <v>11238</v>
      </c>
      <c r="C81" t="s">
        <v>11237</v>
      </c>
      <c r="D81" t="s">
        <v>11236</v>
      </c>
      <c r="F81" t="s">
        <v>11235</v>
      </c>
      <c r="G81" t="s">
        <v>5</v>
      </c>
      <c r="H81" t="s">
        <v>4</v>
      </c>
      <c r="I81" t="s">
        <v>11234</v>
      </c>
      <c r="J81" t="s">
        <v>350</v>
      </c>
      <c r="K81" t="s">
        <v>349</v>
      </c>
      <c r="L81" t="s">
        <v>348</v>
      </c>
      <c r="M81" t="s">
        <v>3</v>
      </c>
      <c r="N81">
        <v>3</v>
      </c>
      <c r="O81" t="s">
        <v>11233</v>
      </c>
      <c r="P81" t="s">
        <v>11232</v>
      </c>
      <c r="Q81" t="s">
        <v>11231</v>
      </c>
      <c r="R81" s="7">
        <v>37591</v>
      </c>
      <c r="S81" s="8">
        <f t="shared" si="8"/>
        <v>2002</v>
      </c>
      <c r="T81" s="8">
        <v>2002</v>
      </c>
      <c r="U81" s="8">
        <f t="shared" si="9"/>
        <v>20</v>
      </c>
      <c r="V81" s="7">
        <v>2002</v>
      </c>
      <c r="W81" t="s">
        <v>9027</v>
      </c>
      <c r="X81" s="2">
        <v>2.0099999999999998</v>
      </c>
      <c r="Y81" s="6">
        <f t="shared" si="14"/>
        <v>5.3655802034115477E-2</v>
      </c>
      <c r="AA81">
        <v>15361276</v>
      </c>
      <c r="AB81">
        <v>18933</v>
      </c>
      <c r="AD81" t="s">
        <v>2</v>
      </c>
      <c r="AE81">
        <v>1</v>
      </c>
      <c r="AF81">
        <v>2</v>
      </c>
      <c r="AH81" t="s">
        <v>11230</v>
      </c>
      <c r="AI81" t="s">
        <v>11229</v>
      </c>
      <c r="AJ81" t="s">
        <v>11228</v>
      </c>
      <c r="AK81" t="s">
        <v>11227</v>
      </c>
      <c r="AL81">
        <v>345</v>
      </c>
      <c r="AM81" s="5">
        <f t="shared" si="10"/>
        <v>17.25</v>
      </c>
      <c r="AN81" s="4">
        <f t="shared" si="15"/>
        <v>2.6126467247254828E-2</v>
      </c>
      <c r="AO81" s="3"/>
      <c r="AP81">
        <v>0</v>
      </c>
      <c r="AR81" t="s">
        <v>1</v>
      </c>
      <c r="AT81" s="2" t="s">
        <v>0</v>
      </c>
      <c r="AU81" s="1">
        <f t="shared" si="11"/>
        <v>4.5397001598057276</v>
      </c>
      <c r="AV81" s="1">
        <f t="shared" si="12"/>
        <v>3.9891134640685153</v>
      </c>
      <c r="AW81" s="1">
        <f t="shared" si="13"/>
        <v>3.4385267683313021</v>
      </c>
    </row>
    <row r="82" spans="1:49" x14ac:dyDescent="0.2">
      <c r="A82">
        <v>80</v>
      </c>
      <c r="B82" t="s">
        <v>11226</v>
      </c>
      <c r="F82" t="s">
        <v>11225</v>
      </c>
      <c r="G82" t="s">
        <v>5</v>
      </c>
      <c r="H82" t="s">
        <v>4</v>
      </c>
      <c r="I82" t="s">
        <v>11224</v>
      </c>
      <c r="J82">
        <v>60027251</v>
      </c>
      <c r="K82" t="s">
        <v>744</v>
      </c>
      <c r="L82" t="s">
        <v>740</v>
      </c>
      <c r="M82" t="s">
        <v>739</v>
      </c>
      <c r="N82">
        <v>2</v>
      </c>
      <c r="O82" t="s">
        <v>11223</v>
      </c>
      <c r="P82" t="s">
        <v>11222</v>
      </c>
      <c r="Q82" t="s">
        <v>7048</v>
      </c>
      <c r="R82" s="7">
        <v>37591</v>
      </c>
      <c r="S82" s="8">
        <f t="shared" si="8"/>
        <v>2002</v>
      </c>
      <c r="T82" s="8">
        <v>2002</v>
      </c>
      <c r="U82" s="8">
        <f t="shared" si="9"/>
        <v>20</v>
      </c>
      <c r="V82" s="7">
        <v>2002</v>
      </c>
      <c r="W82" t="s">
        <v>738</v>
      </c>
      <c r="X82" s="2">
        <v>0.14099999999999999</v>
      </c>
      <c r="Y82" s="6">
        <f t="shared" si="14"/>
        <v>3.7639144710498915E-3</v>
      </c>
      <c r="AA82">
        <v>402508</v>
      </c>
      <c r="AB82">
        <v>20868</v>
      </c>
      <c r="AD82" t="s">
        <v>2</v>
      </c>
      <c r="AE82">
        <v>57</v>
      </c>
      <c r="AF82" s="9">
        <v>44383</v>
      </c>
      <c r="AH82" t="s">
        <v>8422</v>
      </c>
      <c r="AI82" t="s">
        <v>11221</v>
      </c>
      <c r="AK82" t="s">
        <v>11220</v>
      </c>
      <c r="AL82">
        <v>1</v>
      </c>
      <c r="AM82" s="5">
        <f t="shared" si="10"/>
        <v>0.05</v>
      </c>
      <c r="AN82" s="4">
        <f t="shared" si="15"/>
        <v>7.5728890571753133E-5</v>
      </c>
      <c r="AO82" s="3"/>
      <c r="AP82">
        <v>0</v>
      </c>
      <c r="AR82" t="s">
        <v>1</v>
      </c>
      <c r="AT82" s="2" t="s">
        <v>0</v>
      </c>
      <c r="AU82" s="1">
        <f t="shared" si="11"/>
        <v>0.265745879690645</v>
      </c>
      <c r="AV82" s="1">
        <f t="shared" si="12"/>
        <v>0.19198216808108223</v>
      </c>
      <c r="AW82" s="1">
        <f t="shared" si="13"/>
        <v>0.11821845647151945</v>
      </c>
    </row>
    <row r="83" spans="1:49" x14ac:dyDescent="0.2">
      <c r="A83">
        <v>81</v>
      </c>
      <c r="B83" t="s">
        <v>11219</v>
      </c>
      <c r="F83" t="s">
        <v>11218</v>
      </c>
      <c r="G83" t="s">
        <v>5</v>
      </c>
      <c r="H83" t="s">
        <v>4</v>
      </c>
      <c r="I83" t="s">
        <v>11217</v>
      </c>
      <c r="J83">
        <v>60068535</v>
      </c>
      <c r="K83" t="s">
        <v>746</v>
      </c>
      <c r="L83" t="s">
        <v>740</v>
      </c>
      <c r="M83" t="s">
        <v>739</v>
      </c>
      <c r="N83">
        <v>1</v>
      </c>
      <c r="O83" t="s">
        <v>11216</v>
      </c>
      <c r="P83">
        <v>9269836800</v>
      </c>
      <c r="Q83">
        <v>60068535</v>
      </c>
      <c r="R83" s="7">
        <v>37591</v>
      </c>
      <c r="S83" s="8">
        <f t="shared" si="8"/>
        <v>2002</v>
      </c>
      <c r="T83" s="8">
        <v>2002</v>
      </c>
      <c r="U83" s="8">
        <f t="shared" si="9"/>
        <v>20</v>
      </c>
      <c r="V83" s="7">
        <v>2002</v>
      </c>
      <c r="W83" t="s">
        <v>738</v>
      </c>
      <c r="X83" s="2">
        <v>0.14099999999999999</v>
      </c>
      <c r="Y83" s="6">
        <f t="shared" si="14"/>
        <v>3.7639144710498915E-3</v>
      </c>
      <c r="AA83">
        <v>402508</v>
      </c>
      <c r="AB83">
        <v>20868</v>
      </c>
      <c r="AD83" t="s">
        <v>2</v>
      </c>
      <c r="AE83">
        <v>57</v>
      </c>
      <c r="AF83" s="9">
        <v>44257</v>
      </c>
      <c r="AH83" t="s">
        <v>1378</v>
      </c>
      <c r="AI83" t="s">
        <v>11215</v>
      </c>
      <c r="AK83" t="s">
        <v>11214</v>
      </c>
      <c r="AL83">
        <v>5</v>
      </c>
      <c r="AM83" s="5">
        <f t="shared" si="10"/>
        <v>0.25</v>
      </c>
      <c r="AN83" s="4">
        <f t="shared" si="15"/>
        <v>3.786444528587656E-4</v>
      </c>
      <c r="AO83" s="3"/>
      <c r="AP83">
        <v>0</v>
      </c>
      <c r="AR83" t="s">
        <v>1</v>
      </c>
      <c r="AT83" s="2" t="s">
        <v>0</v>
      </c>
      <c r="AU83" s="1">
        <f t="shared" si="11"/>
        <v>0.27483334655925534</v>
      </c>
      <c r="AV83" s="1">
        <f t="shared" si="12"/>
        <v>0.20712794619543287</v>
      </c>
      <c r="AW83" s="1">
        <f t="shared" si="13"/>
        <v>0.13942254583161032</v>
      </c>
    </row>
    <row r="84" spans="1:49" x14ac:dyDescent="0.2">
      <c r="A84">
        <v>82</v>
      </c>
      <c r="B84" t="s">
        <v>11213</v>
      </c>
      <c r="F84" t="s">
        <v>11212</v>
      </c>
      <c r="G84" t="s">
        <v>5</v>
      </c>
      <c r="H84" t="s">
        <v>4</v>
      </c>
      <c r="I84" t="s">
        <v>11211</v>
      </c>
      <c r="J84">
        <v>60008794</v>
      </c>
      <c r="K84" t="s">
        <v>11210</v>
      </c>
      <c r="L84" t="s">
        <v>740</v>
      </c>
      <c r="M84" t="s">
        <v>739</v>
      </c>
      <c r="N84">
        <v>2</v>
      </c>
      <c r="O84" t="s">
        <v>11209</v>
      </c>
      <c r="P84" t="s">
        <v>11208</v>
      </c>
      <c r="Q84" t="s">
        <v>11207</v>
      </c>
      <c r="R84" s="7">
        <v>37591</v>
      </c>
      <c r="S84" s="8">
        <f t="shared" si="8"/>
        <v>2002</v>
      </c>
      <c r="T84" s="8">
        <v>2002</v>
      </c>
      <c r="U84" s="8">
        <f t="shared" si="9"/>
        <v>20</v>
      </c>
      <c r="V84" s="7">
        <v>2002</v>
      </c>
      <c r="W84" t="s">
        <v>738</v>
      </c>
      <c r="X84" s="2">
        <v>0.14099999999999999</v>
      </c>
      <c r="Y84" s="6">
        <f t="shared" si="14"/>
        <v>3.7639144710498915E-3</v>
      </c>
      <c r="AA84">
        <v>402508</v>
      </c>
      <c r="AB84">
        <v>20868</v>
      </c>
      <c r="AD84" t="s">
        <v>2</v>
      </c>
      <c r="AE84">
        <v>58</v>
      </c>
      <c r="AF84" s="9">
        <v>44228</v>
      </c>
      <c r="AH84" t="s">
        <v>11206</v>
      </c>
      <c r="AI84" t="s">
        <v>11205</v>
      </c>
      <c r="AK84" t="s">
        <v>11204</v>
      </c>
      <c r="AL84">
        <v>1</v>
      </c>
      <c r="AM84" s="5">
        <f t="shared" si="10"/>
        <v>0.05</v>
      </c>
      <c r="AN84" s="4">
        <f t="shared" si="15"/>
        <v>7.5728890571753133E-5</v>
      </c>
      <c r="AO84" s="3"/>
      <c r="AP84">
        <v>0</v>
      </c>
      <c r="AR84" t="s">
        <v>1</v>
      </c>
      <c r="AT84" s="2" t="s">
        <v>0</v>
      </c>
      <c r="AU84" s="1">
        <f t="shared" si="11"/>
        <v>0.265745879690645</v>
      </c>
      <c r="AV84" s="1">
        <f t="shared" si="12"/>
        <v>0.19198216808108223</v>
      </c>
      <c r="AW84" s="1">
        <f t="shared" si="13"/>
        <v>0.11821845647151945</v>
      </c>
    </row>
    <row r="85" spans="1:49" x14ac:dyDescent="0.2">
      <c r="A85">
        <v>83</v>
      </c>
      <c r="B85" t="s">
        <v>11203</v>
      </c>
      <c r="F85" t="s">
        <v>11202</v>
      </c>
      <c r="G85" t="s">
        <v>5</v>
      </c>
      <c r="H85" t="s">
        <v>4</v>
      </c>
      <c r="I85" t="s">
        <v>11185</v>
      </c>
      <c r="J85">
        <v>60020615</v>
      </c>
      <c r="K85" t="s">
        <v>741</v>
      </c>
      <c r="L85" t="s">
        <v>740</v>
      </c>
      <c r="M85" t="s">
        <v>739</v>
      </c>
      <c r="N85">
        <v>2</v>
      </c>
      <c r="O85" t="s">
        <v>11201</v>
      </c>
      <c r="P85" t="s">
        <v>11200</v>
      </c>
      <c r="Q85" t="s">
        <v>11199</v>
      </c>
      <c r="R85" s="7">
        <v>37591</v>
      </c>
      <c r="S85" s="8">
        <f t="shared" si="8"/>
        <v>2002</v>
      </c>
      <c r="T85" s="8">
        <v>2002</v>
      </c>
      <c r="U85" s="8">
        <f t="shared" si="9"/>
        <v>20</v>
      </c>
      <c r="V85" s="7">
        <v>2002</v>
      </c>
      <c r="W85" t="s">
        <v>738</v>
      </c>
      <c r="X85" s="2">
        <v>0.14099999999999999</v>
      </c>
      <c r="Y85" s="6">
        <f t="shared" si="14"/>
        <v>3.7639144710498915E-3</v>
      </c>
      <c r="AA85">
        <v>402508</v>
      </c>
      <c r="AB85">
        <v>20868</v>
      </c>
      <c r="AD85" t="s">
        <v>2</v>
      </c>
      <c r="AE85">
        <v>58</v>
      </c>
      <c r="AF85" s="9">
        <v>44541</v>
      </c>
      <c r="AH85" s="9">
        <v>44470</v>
      </c>
      <c r="AI85" t="s">
        <v>11198</v>
      </c>
      <c r="AK85" t="s">
        <v>11197</v>
      </c>
      <c r="AL85">
        <v>1</v>
      </c>
      <c r="AM85" s="5">
        <f t="shared" si="10"/>
        <v>0.05</v>
      </c>
      <c r="AN85" s="4">
        <f t="shared" si="15"/>
        <v>7.5728890571753133E-5</v>
      </c>
      <c r="AO85" s="3"/>
      <c r="AP85">
        <v>0</v>
      </c>
      <c r="AR85" t="s">
        <v>1</v>
      </c>
      <c r="AT85" s="2" t="s">
        <v>0</v>
      </c>
      <c r="AU85" s="1">
        <f t="shared" si="11"/>
        <v>0.265745879690645</v>
      </c>
      <c r="AV85" s="1">
        <f t="shared" si="12"/>
        <v>0.19198216808108223</v>
      </c>
      <c r="AW85" s="1">
        <f t="shared" si="13"/>
        <v>0.11821845647151945</v>
      </c>
    </row>
    <row r="86" spans="1:49" x14ac:dyDescent="0.2">
      <c r="A86">
        <v>84</v>
      </c>
      <c r="B86" t="s">
        <v>11196</v>
      </c>
      <c r="F86" t="s">
        <v>11195</v>
      </c>
      <c r="G86" t="s">
        <v>5</v>
      </c>
      <c r="H86" t="s">
        <v>4</v>
      </c>
      <c r="I86" t="s">
        <v>11194</v>
      </c>
      <c r="J86">
        <v>60027251</v>
      </c>
      <c r="K86" t="s">
        <v>744</v>
      </c>
      <c r="L86" t="s">
        <v>740</v>
      </c>
      <c r="M86" t="s">
        <v>739</v>
      </c>
      <c r="N86">
        <v>4</v>
      </c>
      <c r="O86" t="s">
        <v>11193</v>
      </c>
      <c r="P86" t="s">
        <v>11192</v>
      </c>
      <c r="Q86" t="s">
        <v>11191</v>
      </c>
      <c r="R86" s="7">
        <v>37591</v>
      </c>
      <c r="S86" s="8">
        <f t="shared" si="8"/>
        <v>2002</v>
      </c>
      <c r="T86" s="8">
        <v>2002</v>
      </c>
      <c r="U86" s="8">
        <f t="shared" si="9"/>
        <v>20</v>
      </c>
      <c r="V86" s="7">
        <v>2002</v>
      </c>
      <c r="W86" t="s">
        <v>738</v>
      </c>
      <c r="X86" s="2">
        <v>0.14099999999999999</v>
      </c>
      <c r="Y86" s="6">
        <f t="shared" si="14"/>
        <v>3.7639144710498915E-3</v>
      </c>
      <c r="AA86">
        <v>402508</v>
      </c>
      <c r="AB86">
        <v>20868</v>
      </c>
      <c r="AD86" t="s">
        <v>2</v>
      </c>
      <c r="AE86">
        <v>58</v>
      </c>
      <c r="AF86" s="9">
        <v>44289</v>
      </c>
      <c r="AH86" t="s">
        <v>11190</v>
      </c>
      <c r="AI86" t="s">
        <v>11189</v>
      </c>
      <c r="AK86" t="s">
        <v>11188</v>
      </c>
      <c r="AL86">
        <v>0</v>
      </c>
      <c r="AM86" s="5">
        <f t="shared" si="10"/>
        <v>0</v>
      </c>
      <c r="AN86" s="4">
        <f t="shared" si="15"/>
        <v>0</v>
      </c>
      <c r="AO86" s="3"/>
      <c r="AP86">
        <v>0</v>
      </c>
      <c r="AR86" t="s">
        <v>1</v>
      </c>
      <c r="AT86" s="2" t="s">
        <v>0</v>
      </c>
      <c r="AU86" s="1">
        <f t="shared" si="11"/>
        <v>0.26347401297349238</v>
      </c>
      <c r="AV86" s="1">
        <f t="shared" si="12"/>
        <v>0.18819572355249459</v>
      </c>
      <c r="AW86" s="1">
        <f t="shared" si="13"/>
        <v>0.11291743413149673</v>
      </c>
    </row>
    <row r="87" spans="1:49" x14ac:dyDescent="0.2">
      <c r="A87">
        <v>85</v>
      </c>
      <c r="B87" t="s">
        <v>11187</v>
      </c>
      <c r="F87" t="s">
        <v>11186</v>
      </c>
      <c r="G87" t="s">
        <v>5</v>
      </c>
      <c r="H87" t="s">
        <v>4</v>
      </c>
      <c r="I87" t="s">
        <v>11185</v>
      </c>
      <c r="J87">
        <v>60020615</v>
      </c>
      <c r="K87" t="s">
        <v>741</v>
      </c>
      <c r="L87" t="s">
        <v>740</v>
      </c>
      <c r="M87" t="s">
        <v>739</v>
      </c>
      <c r="N87">
        <v>1</v>
      </c>
      <c r="O87" t="s">
        <v>11184</v>
      </c>
      <c r="P87">
        <v>9636886100</v>
      </c>
      <c r="Q87">
        <v>60020615</v>
      </c>
      <c r="R87" s="7">
        <v>37591</v>
      </c>
      <c r="S87" s="8">
        <f t="shared" si="8"/>
        <v>2002</v>
      </c>
      <c r="T87" s="8">
        <v>2002</v>
      </c>
      <c r="U87" s="8">
        <f t="shared" si="9"/>
        <v>20</v>
      </c>
      <c r="V87" s="7">
        <v>2002</v>
      </c>
      <c r="W87" t="s">
        <v>738</v>
      </c>
      <c r="X87" s="2">
        <v>0.14099999999999999</v>
      </c>
      <c r="Y87" s="6">
        <f t="shared" si="14"/>
        <v>3.7639144710498915E-3</v>
      </c>
      <c r="AA87">
        <v>402508</v>
      </c>
      <c r="AB87">
        <v>20868</v>
      </c>
      <c r="AD87" t="s">
        <v>2</v>
      </c>
      <c r="AE87">
        <v>58</v>
      </c>
      <c r="AF87" s="9">
        <v>44478</v>
      </c>
      <c r="AH87" t="s">
        <v>11183</v>
      </c>
      <c r="AI87" t="s">
        <v>11182</v>
      </c>
      <c r="AK87" t="s">
        <v>11181</v>
      </c>
      <c r="AL87">
        <v>0</v>
      </c>
      <c r="AM87" s="5">
        <f t="shared" si="10"/>
        <v>0</v>
      </c>
      <c r="AN87" s="4">
        <f t="shared" si="15"/>
        <v>0</v>
      </c>
      <c r="AO87" s="3"/>
      <c r="AP87">
        <v>0</v>
      </c>
      <c r="AR87" t="s">
        <v>1</v>
      </c>
      <c r="AT87" s="2" t="s">
        <v>0</v>
      </c>
      <c r="AU87" s="1">
        <f t="shared" si="11"/>
        <v>0.26347401297349238</v>
      </c>
      <c r="AV87" s="1">
        <f t="shared" si="12"/>
        <v>0.18819572355249459</v>
      </c>
      <c r="AW87" s="1">
        <f t="shared" si="13"/>
        <v>0.11291743413149673</v>
      </c>
    </row>
    <row r="88" spans="1:49" x14ac:dyDescent="0.2">
      <c r="A88">
        <v>86</v>
      </c>
      <c r="B88" t="s">
        <v>11180</v>
      </c>
      <c r="F88" t="s">
        <v>11179</v>
      </c>
      <c r="G88" t="s">
        <v>5</v>
      </c>
      <c r="H88" t="s">
        <v>4</v>
      </c>
      <c r="I88" t="s">
        <v>11178</v>
      </c>
      <c r="J88">
        <v>60068535</v>
      </c>
      <c r="K88" t="s">
        <v>746</v>
      </c>
      <c r="L88" t="s">
        <v>740</v>
      </c>
      <c r="M88" t="s">
        <v>739</v>
      </c>
      <c r="N88">
        <v>2</v>
      </c>
      <c r="O88" t="s">
        <v>11177</v>
      </c>
      <c r="P88" t="s">
        <v>11176</v>
      </c>
      <c r="Q88" t="s">
        <v>745</v>
      </c>
      <c r="R88" s="7">
        <v>37591</v>
      </c>
      <c r="S88" s="8">
        <f t="shared" si="8"/>
        <v>2002</v>
      </c>
      <c r="T88" s="8">
        <v>2002</v>
      </c>
      <c r="U88" s="8">
        <f t="shared" si="9"/>
        <v>20</v>
      </c>
      <c r="V88" s="7">
        <v>2002</v>
      </c>
      <c r="W88" t="s">
        <v>738</v>
      </c>
      <c r="X88" s="2">
        <v>0.14099999999999999</v>
      </c>
      <c r="Y88" s="6">
        <f t="shared" si="14"/>
        <v>3.7639144710498915E-3</v>
      </c>
      <c r="AA88">
        <v>402508</v>
      </c>
      <c r="AB88">
        <v>20868</v>
      </c>
      <c r="AD88" t="s">
        <v>2</v>
      </c>
      <c r="AE88">
        <v>58</v>
      </c>
      <c r="AF88" s="9">
        <v>44478</v>
      </c>
      <c r="AH88" t="s">
        <v>11175</v>
      </c>
      <c r="AI88" t="s">
        <v>11174</v>
      </c>
      <c r="AK88" t="s">
        <v>11173</v>
      </c>
      <c r="AL88">
        <v>0</v>
      </c>
      <c r="AM88" s="5">
        <f t="shared" si="10"/>
        <v>0</v>
      </c>
      <c r="AN88" s="4">
        <f t="shared" si="15"/>
        <v>0</v>
      </c>
      <c r="AO88" s="3"/>
      <c r="AP88">
        <v>0</v>
      </c>
      <c r="AR88" t="s">
        <v>1</v>
      </c>
      <c r="AT88" s="2" t="s">
        <v>0</v>
      </c>
      <c r="AU88" s="1">
        <f t="shared" si="11"/>
        <v>0.26347401297349238</v>
      </c>
      <c r="AV88" s="1">
        <f t="shared" si="12"/>
        <v>0.18819572355249459</v>
      </c>
      <c r="AW88" s="1">
        <f t="shared" si="13"/>
        <v>0.11291743413149673</v>
      </c>
    </row>
    <row r="89" spans="1:49" x14ac:dyDescent="0.2">
      <c r="A89">
        <v>87</v>
      </c>
      <c r="B89" t="s">
        <v>11172</v>
      </c>
      <c r="F89" t="s">
        <v>11171</v>
      </c>
      <c r="G89" t="s">
        <v>5</v>
      </c>
      <c r="H89" t="s">
        <v>4</v>
      </c>
      <c r="I89" t="s">
        <v>11170</v>
      </c>
      <c r="J89">
        <v>60068535</v>
      </c>
      <c r="K89" t="s">
        <v>746</v>
      </c>
      <c r="L89" t="s">
        <v>740</v>
      </c>
      <c r="M89" t="s">
        <v>739</v>
      </c>
      <c r="N89">
        <v>2</v>
      </c>
      <c r="O89" t="s">
        <v>11169</v>
      </c>
      <c r="P89" t="s">
        <v>747</v>
      </c>
      <c r="Q89" t="s">
        <v>745</v>
      </c>
      <c r="R89" s="7">
        <v>37591</v>
      </c>
      <c r="S89" s="8">
        <f t="shared" si="8"/>
        <v>2002</v>
      </c>
      <c r="T89" s="8">
        <v>2002</v>
      </c>
      <c r="U89" s="8">
        <f t="shared" si="9"/>
        <v>20</v>
      </c>
      <c r="V89" s="7">
        <v>2002</v>
      </c>
      <c r="W89" t="s">
        <v>738</v>
      </c>
      <c r="X89" s="2">
        <v>0.14099999999999999</v>
      </c>
      <c r="Y89" s="6">
        <f t="shared" si="14"/>
        <v>3.7639144710498915E-3</v>
      </c>
      <c r="AA89">
        <v>402508</v>
      </c>
      <c r="AB89">
        <v>20868</v>
      </c>
      <c r="AD89" t="s">
        <v>2</v>
      </c>
      <c r="AE89">
        <v>57</v>
      </c>
      <c r="AF89" s="9">
        <v>44510</v>
      </c>
      <c r="AH89" t="s">
        <v>1128</v>
      </c>
      <c r="AI89" t="s">
        <v>11168</v>
      </c>
      <c r="AK89" t="s">
        <v>11167</v>
      </c>
      <c r="AL89">
        <v>2</v>
      </c>
      <c r="AM89" s="5">
        <f t="shared" si="10"/>
        <v>0.1</v>
      </c>
      <c r="AN89" s="4">
        <f t="shared" si="15"/>
        <v>1.5145778114350627E-4</v>
      </c>
      <c r="AO89" s="3"/>
      <c r="AP89">
        <v>0</v>
      </c>
      <c r="AR89" t="s">
        <v>1</v>
      </c>
      <c r="AT89" s="2" t="s">
        <v>0</v>
      </c>
      <c r="AU89" s="1">
        <f t="shared" si="11"/>
        <v>0.26801774640779752</v>
      </c>
      <c r="AV89" s="1">
        <f t="shared" si="12"/>
        <v>0.19576861260966988</v>
      </c>
      <c r="AW89" s="1">
        <f t="shared" si="13"/>
        <v>0.12351947881154217</v>
      </c>
    </row>
    <row r="90" spans="1:49" x14ac:dyDescent="0.2">
      <c r="A90">
        <v>88</v>
      </c>
      <c r="B90" t="s">
        <v>11166</v>
      </c>
      <c r="C90" t="s">
        <v>11165</v>
      </c>
      <c r="F90" t="s">
        <v>11164</v>
      </c>
      <c r="G90" t="s">
        <v>5</v>
      </c>
      <c r="H90" t="s">
        <v>4</v>
      </c>
      <c r="I90" t="s">
        <v>543</v>
      </c>
      <c r="J90">
        <v>60026638</v>
      </c>
      <c r="K90" t="s">
        <v>299</v>
      </c>
      <c r="L90" t="s">
        <v>298</v>
      </c>
      <c r="M90" t="s">
        <v>297</v>
      </c>
      <c r="N90">
        <v>4</v>
      </c>
      <c r="O90" t="s">
        <v>11163</v>
      </c>
      <c r="P90" t="s">
        <v>11162</v>
      </c>
      <c r="Q90" t="s">
        <v>296</v>
      </c>
      <c r="R90" s="7">
        <v>37591</v>
      </c>
      <c r="S90" s="8">
        <f t="shared" si="8"/>
        <v>2002</v>
      </c>
      <c r="T90" s="8">
        <v>2002</v>
      </c>
      <c r="U90" s="8">
        <f t="shared" si="9"/>
        <v>20</v>
      </c>
      <c r="V90" s="7">
        <v>2002</v>
      </c>
      <c r="W90" t="s">
        <v>737</v>
      </c>
      <c r="X90" s="2">
        <v>0.12</v>
      </c>
      <c r="Y90" s="6">
        <f t="shared" si="14"/>
        <v>3.2033314647233121E-3</v>
      </c>
      <c r="AA90">
        <v>10897089</v>
      </c>
      <c r="AB90">
        <v>20786</v>
      </c>
      <c r="AD90" t="s">
        <v>2</v>
      </c>
      <c r="AE90">
        <v>7</v>
      </c>
      <c r="AF90">
        <v>3</v>
      </c>
      <c r="AH90" t="s">
        <v>11161</v>
      </c>
      <c r="AI90" t="s">
        <v>11160</v>
      </c>
      <c r="AK90" t="s">
        <v>11159</v>
      </c>
      <c r="AL90">
        <v>4</v>
      </c>
      <c r="AM90" s="5">
        <f t="shared" si="10"/>
        <v>0.2</v>
      </c>
      <c r="AN90" s="4">
        <f t="shared" si="15"/>
        <v>3.0291556228701253E-4</v>
      </c>
      <c r="AO90" s="3"/>
      <c r="AP90">
        <v>0</v>
      </c>
      <c r="AR90" t="s">
        <v>1</v>
      </c>
      <c r="AT90" s="2">
        <v>0.33300000000000002</v>
      </c>
      <c r="AU90" s="1">
        <f t="shared" si="11"/>
        <v>0.2333206693992422</v>
      </c>
      <c r="AV90" s="1">
        <f t="shared" si="12"/>
        <v>0.17531235135051623</v>
      </c>
      <c r="AW90" s="1">
        <f t="shared" si="13"/>
        <v>0.11730403330179023</v>
      </c>
    </row>
    <row r="91" spans="1:49" x14ac:dyDescent="0.2">
      <c r="A91">
        <v>89</v>
      </c>
      <c r="B91" t="s">
        <v>11158</v>
      </c>
      <c r="C91" t="s">
        <v>11157</v>
      </c>
      <c r="F91" t="s">
        <v>11156</v>
      </c>
      <c r="G91" t="s">
        <v>5</v>
      </c>
      <c r="H91" t="s">
        <v>4</v>
      </c>
      <c r="I91" t="s">
        <v>712</v>
      </c>
      <c r="J91">
        <v>60017245</v>
      </c>
      <c r="K91" t="s">
        <v>1007</v>
      </c>
      <c r="L91" t="s">
        <v>1006</v>
      </c>
      <c r="M91" t="s">
        <v>7</v>
      </c>
      <c r="N91">
        <v>1</v>
      </c>
      <c r="O91" t="s">
        <v>711</v>
      </c>
      <c r="P91">
        <v>7102270511</v>
      </c>
      <c r="Q91">
        <v>60017245</v>
      </c>
      <c r="R91" s="7">
        <v>37591</v>
      </c>
      <c r="S91" s="8">
        <f t="shared" si="8"/>
        <v>2002</v>
      </c>
      <c r="T91" s="8">
        <v>2002</v>
      </c>
      <c r="U91" s="8">
        <f t="shared" si="9"/>
        <v>20</v>
      </c>
      <c r="V91" s="7">
        <v>2002</v>
      </c>
      <c r="W91" t="s">
        <v>710</v>
      </c>
      <c r="X91" s="2">
        <v>1.3280000000000001</v>
      </c>
      <c r="Y91" s="6">
        <f t="shared" si="14"/>
        <v>3.5450201542937994E-2</v>
      </c>
      <c r="AA91">
        <v>15361225</v>
      </c>
      <c r="AB91">
        <v>18894</v>
      </c>
      <c r="AD91" t="s">
        <v>2</v>
      </c>
      <c r="AE91">
        <v>1</v>
      </c>
      <c r="AH91" t="s">
        <v>765</v>
      </c>
      <c r="AI91" t="s">
        <v>11155</v>
      </c>
      <c r="AJ91" t="s">
        <v>11012</v>
      </c>
      <c r="AK91" t="s">
        <v>11154</v>
      </c>
      <c r="AL91">
        <v>14</v>
      </c>
      <c r="AM91" s="5">
        <f t="shared" si="10"/>
        <v>0.7</v>
      </c>
      <c r="AN91" s="4">
        <f t="shared" si="15"/>
        <v>1.0602044680045437E-3</v>
      </c>
      <c r="AO91" s="3"/>
      <c r="AP91">
        <v>0</v>
      </c>
      <c r="AR91" t="s">
        <v>1</v>
      </c>
      <c r="AT91" s="2">
        <v>3.8340000000000001</v>
      </c>
      <c r="AU91" s="1">
        <f t="shared" si="11"/>
        <v>2.5133202420457961</v>
      </c>
      <c r="AV91" s="1">
        <f t="shared" si="12"/>
        <v>1.825520300547127</v>
      </c>
      <c r="AW91" s="1">
        <f t="shared" si="13"/>
        <v>1.1377203590484579</v>
      </c>
    </row>
    <row r="92" spans="1:49" x14ac:dyDescent="0.2">
      <c r="A92">
        <v>90</v>
      </c>
      <c r="B92" t="s">
        <v>11153</v>
      </c>
      <c r="C92" t="s">
        <v>11152</v>
      </c>
      <c r="F92" t="s">
        <v>11151</v>
      </c>
      <c r="G92" t="s">
        <v>5</v>
      </c>
      <c r="H92" t="s">
        <v>4</v>
      </c>
      <c r="I92" t="s">
        <v>11150</v>
      </c>
      <c r="J92" t="s">
        <v>11149</v>
      </c>
      <c r="K92" t="s">
        <v>11148</v>
      </c>
      <c r="L92" t="s">
        <v>670</v>
      </c>
      <c r="M92" t="s">
        <v>248</v>
      </c>
      <c r="N92">
        <v>3</v>
      </c>
      <c r="O92" t="s">
        <v>11147</v>
      </c>
      <c r="P92" t="s">
        <v>11146</v>
      </c>
      <c r="Q92" t="s">
        <v>11145</v>
      </c>
      <c r="R92" s="7">
        <v>37591</v>
      </c>
      <c r="S92" s="8">
        <f t="shared" si="8"/>
        <v>2002</v>
      </c>
      <c r="T92" s="8">
        <v>2002</v>
      </c>
      <c r="U92" s="8">
        <f t="shared" si="9"/>
        <v>20</v>
      </c>
      <c r="V92" s="7">
        <v>2002</v>
      </c>
      <c r="W92" t="s">
        <v>710</v>
      </c>
      <c r="X92" s="2">
        <v>1.3280000000000001</v>
      </c>
      <c r="Y92" s="6">
        <f t="shared" si="14"/>
        <v>3.5450201542937994E-2</v>
      </c>
      <c r="AA92">
        <v>15361225</v>
      </c>
      <c r="AB92">
        <v>18894</v>
      </c>
      <c r="AD92" t="s">
        <v>2</v>
      </c>
      <c r="AE92">
        <v>1</v>
      </c>
      <c r="AH92" t="s">
        <v>133</v>
      </c>
      <c r="AI92" t="s">
        <v>11144</v>
      </c>
      <c r="AJ92" t="s">
        <v>11143</v>
      </c>
      <c r="AK92" t="s">
        <v>11142</v>
      </c>
      <c r="AL92">
        <v>22</v>
      </c>
      <c r="AM92" s="5">
        <f t="shared" si="10"/>
        <v>1.1000000000000001</v>
      </c>
      <c r="AN92" s="4">
        <f t="shared" si="15"/>
        <v>1.6660355925785689E-3</v>
      </c>
      <c r="AO92" s="3"/>
      <c r="AP92">
        <v>0</v>
      </c>
      <c r="AR92" t="s">
        <v>1</v>
      </c>
      <c r="AT92" s="2">
        <v>3.8340000000000001</v>
      </c>
      <c r="AU92" s="1">
        <f t="shared" si="11"/>
        <v>2.5314951757830166</v>
      </c>
      <c r="AV92" s="1">
        <f t="shared" si="12"/>
        <v>1.8558118567758279</v>
      </c>
      <c r="AW92" s="1">
        <f t="shared" si="13"/>
        <v>1.1801285377686397</v>
      </c>
    </row>
    <row r="93" spans="1:49" x14ac:dyDescent="0.2">
      <c r="A93">
        <v>91</v>
      </c>
      <c r="B93" t="s">
        <v>11141</v>
      </c>
      <c r="C93" t="s">
        <v>11140</v>
      </c>
      <c r="D93" t="s">
        <v>11139</v>
      </c>
      <c r="F93" t="s">
        <v>11138</v>
      </c>
      <c r="G93" t="s">
        <v>5</v>
      </c>
      <c r="H93" t="s">
        <v>4</v>
      </c>
      <c r="I93" t="s">
        <v>11137</v>
      </c>
      <c r="J93" t="s">
        <v>6464</v>
      </c>
      <c r="K93" t="s">
        <v>6463</v>
      </c>
      <c r="L93" t="s">
        <v>6462</v>
      </c>
      <c r="M93" t="s">
        <v>3</v>
      </c>
      <c r="N93">
        <v>3</v>
      </c>
      <c r="O93" t="s">
        <v>11136</v>
      </c>
      <c r="P93" t="s">
        <v>11135</v>
      </c>
      <c r="Q93" t="s">
        <v>11134</v>
      </c>
      <c r="R93" s="7">
        <v>37591</v>
      </c>
      <c r="S93" s="8">
        <f t="shared" si="8"/>
        <v>2002</v>
      </c>
      <c r="T93" s="8">
        <v>2002</v>
      </c>
      <c r="U93" s="8">
        <f t="shared" si="9"/>
        <v>20</v>
      </c>
      <c r="V93" s="7">
        <v>2002</v>
      </c>
      <c r="W93" t="s">
        <v>11133</v>
      </c>
      <c r="X93" s="2">
        <v>0.68100000000000005</v>
      </c>
      <c r="Y93" s="6">
        <f t="shared" si="14"/>
        <v>1.8178906062304798E-2</v>
      </c>
      <c r="AA93" t="s">
        <v>11132</v>
      </c>
      <c r="AB93">
        <v>15047</v>
      </c>
      <c r="AD93" t="s">
        <v>2</v>
      </c>
      <c r="AE93">
        <v>2</v>
      </c>
      <c r="AF93">
        <v>2</v>
      </c>
      <c r="AH93" t="s">
        <v>11131</v>
      </c>
      <c r="AI93" t="s">
        <v>11130</v>
      </c>
      <c r="AJ93" t="s">
        <v>11129</v>
      </c>
      <c r="AK93" t="s">
        <v>11128</v>
      </c>
      <c r="AL93">
        <v>355</v>
      </c>
      <c r="AM93" s="5">
        <f t="shared" si="10"/>
        <v>17.75</v>
      </c>
      <c r="AN93" s="4">
        <f t="shared" si="15"/>
        <v>2.6883756152972359E-2</v>
      </c>
      <c r="AO93" s="3"/>
      <c r="AP93">
        <v>0</v>
      </c>
      <c r="AQ93" t="s">
        <v>290</v>
      </c>
      <c r="AR93" t="s">
        <v>11127</v>
      </c>
      <c r="AS93" t="s">
        <v>289</v>
      </c>
      <c r="AT93" s="2">
        <v>3.3010000000000002</v>
      </c>
      <c r="AU93" s="1">
        <f t="shared" si="11"/>
        <v>2.0790361089505067</v>
      </c>
      <c r="AV93" s="1">
        <f t="shared" si="12"/>
        <v>2.2531331107638581</v>
      </c>
      <c r="AW93" s="1">
        <f t="shared" si="13"/>
        <v>2.4272301125772091</v>
      </c>
    </row>
    <row r="94" spans="1:49" x14ac:dyDescent="0.2">
      <c r="A94">
        <v>92</v>
      </c>
      <c r="B94" t="s">
        <v>11126</v>
      </c>
      <c r="C94" t="s">
        <v>11125</v>
      </c>
      <c r="D94" t="s">
        <v>11124</v>
      </c>
      <c r="F94" t="s">
        <v>11123</v>
      </c>
      <c r="G94" t="s">
        <v>5</v>
      </c>
      <c r="H94" t="s">
        <v>4</v>
      </c>
      <c r="I94" t="s">
        <v>11122</v>
      </c>
      <c r="J94" t="s">
        <v>11121</v>
      </c>
      <c r="K94" t="s">
        <v>11120</v>
      </c>
      <c r="L94" t="s">
        <v>11119</v>
      </c>
      <c r="M94" t="s">
        <v>84</v>
      </c>
      <c r="N94">
        <v>3</v>
      </c>
      <c r="O94" t="s">
        <v>11118</v>
      </c>
      <c r="P94" t="s">
        <v>11117</v>
      </c>
      <c r="Q94" t="s">
        <v>11116</v>
      </c>
      <c r="R94" s="7">
        <v>37591</v>
      </c>
      <c r="S94" s="8">
        <f t="shared" si="8"/>
        <v>2002</v>
      </c>
      <c r="T94" s="8">
        <v>2002</v>
      </c>
      <c r="U94" s="8">
        <f t="shared" si="9"/>
        <v>20</v>
      </c>
      <c r="V94" s="7">
        <v>2002</v>
      </c>
      <c r="W94" t="s">
        <v>9027</v>
      </c>
      <c r="X94" s="2">
        <v>2.0099999999999998</v>
      </c>
      <c r="Y94" s="6">
        <f t="shared" si="14"/>
        <v>5.3655802034115477E-2</v>
      </c>
      <c r="AA94">
        <v>15361276</v>
      </c>
      <c r="AB94">
        <v>18933</v>
      </c>
      <c r="AD94" t="s">
        <v>2</v>
      </c>
      <c r="AE94">
        <v>1</v>
      </c>
      <c r="AF94">
        <v>1</v>
      </c>
      <c r="AH94" t="s">
        <v>11115</v>
      </c>
      <c r="AI94" t="s">
        <v>11114</v>
      </c>
      <c r="AJ94" t="s">
        <v>11113</v>
      </c>
      <c r="AK94" t="s">
        <v>11112</v>
      </c>
      <c r="AL94">
        <v>137</v>
      </c>
      <c r="AM94" s="5">
        <f t="shared" si="10"/>
        <v>6.85</v>
      </c>
      <c r="AN94" s="4">
        <f t="shared" si="15"/>
        <v>1.0374858008330178E-2</v>
      </c>
      <c r="AO94" s="3"/>
      <c r="AP94">
        <v>0</v>
      </c>
      <c r="AQ94" t="s">
        <v>1013</v>
      </c>
      <c r="AR94" t="s">
        <v>11111</v>
      </c>
      <c r="AS94" t="s">
        <v>1012</v>
      </c>
      <c r="AT94" s="2" t="s">
        <v>0</v>
      </c>
      <c r="AU94" s="1">
        <f t="shared" si="11"/>
        <v>4.0671518826379884</v>
      </c>
      <c r="AV94" s="1">
        <f t="shared" si="12"/>
        <v>3.2015330021222823</v>
      </c>
      <c r="AW94" s="1">
        <f t="shared" si="13"/>
        <v>2.3359141216065766</v>
      </c>
    </row>
    <row r="95" spans="1:49" x14ac:dyDescent="0.2">
      <c r="A95">
        <v>93</v>
      </c>
      <c r="B95" t="s">
        <v>11110</v>
      </c>
      <c r="C95" t="s">
        <v>11109</v>
      </c>
      <c r="F95" t="s">
        <v>11108</v>
      </c>
      <c r="G95" t="s">
        <v>5</v>
      </c>
      <c r="H95" t="s">
        <v>4</v>
      </c>
      <c r="I95" t="s">
        <v>712</v>
      </c>
      <c r="J95">
        <v>60017245</v>
      </c>
      <c r="K95" t="s">
        <v>1007</v>
      </c>
      <c r="L95" t="s">
        <v>1006</v>
      </c>
      <c r="M95" t="s">
        <v>7</v>
      </c>
      <c r="N95">
        <v>1</v>
      </c>
      <c r="O95" t="s">
        <v>711</v>
      </c>
      <c r="P95">
        <v>7102270511</v>
      </c>
      <c r="Q95">
        <v>60017245</v>
      </c>
      <c r="R95" s="7">
        <v>37591</v>
      </c>
      <c r="S95" s="8">
        <f t="shared" si="8"/>
        <v>2002</v>
      </c>
      <c r="T95" s="8">
        <v>2002</v>
      </c>
      <c r="U95" s="8">
        <f t="shared" si="9"/>
        <v>20</v>
      </c>
      <c r="V95" s="7">
        <v>2002</v>
      </c>
      <c r="W95" t="s">
        <v>710</v>
      </c>
      <c r="X95" s="2">
        <v>1.3280000000000001</v>
      </c>
      <c r="Y95" s="6">
        <f t="shared" si="14"/>
        <v>3.5450201542937994E-2</v>
      </c>
      <c r="AA95">
        <v>15361225</v>
      </c>
      <c r="AB95">
        <v>18894</v>
      </c>
      <c r="AD95" t="s">
        <v>2</v>
      </c>
      <c r="AE95">
        <v>1</v>
      </c>
      <c r="AH95" t="s">
        <v>936</v>
      </c>
      <c r="AI95" t="s">
        <v>11107</v>
      </c>
      <c r="AJ95" t="s">
        <v>11012</v>
      </c>
      <c r="AK95" t="s">
        <v>11106</v>
      </c>
      <c r="AL95">
        <v>27</v>
      </c>
      <c r="AM95" s="5">
        <f t="shared" si="10"/>
        <v>1.35</v>
      </c>
      <c r="AN95" s="4">
        <f t="shared" si="15"/>
        <v>2.0446800454373346E-3</v>
      </c>
      <c r="AO95" s="3"/>
      <c r="AP95">
        <v>0</v>
      </c>
      <c r="AR95" t="s">
        <v>1</v>
      </c>
      <c r="AT95" s="2">
        <v>3.8340000000000001</v>
      </c>
      <c r="AU95" s="1">
        <f t="shared" si="11"/>
        <v>2.5428545093687798</v>
      </c>
      <c r="AV95" s="1">
        <f t="shared" si="12"/>
        <v>1.8747440794187664</v>
      </c>
      <c r="AW95" s="1">
        <f t="shared" si="13"/>
        <v>1.2066336494687533</v>
      </c>
    </row>
    <row r="96" spans="1:49" x14ac:dyDescent="0.2">
      <c r="A96">
        <v>94</v>
      </c>
      <c r="B96" t="s">
        <v>11105</v>
      </c>
      <c r="C96" t="s">
        <v>11104</v>
      </c>
      <c r="F96" t="s">
        <v>11103</v>
      </c>
      <c r="G96" t="s">
        <v>5</v>
      </c>
      <c r="H96" t="s">
        <v>4</v>
      </c>
      <c r="I96" t="s">
        <v>11102</v>
      </c>
      <c r="J96" t="s">
        <v>356</v>
      </c>
      <c r="K96" t="s">
        <v>355</v>
      </c>
      <c r="L96" t="s">
        <v>354</v>
      </c>
      <c r="M96" t="s">
        <v>3</v>
      </c>
      <c r="N96">
        <v>2</v>
      </c>
      <c r="O96" t="s">
        <v>11101</v>
      </c>
      <c r="P96" t="s">
        <v>11100</v>
      </c>
      <c r="Q96" t="s">
        <v>11099</v>
      </c>
      <c r="R96" s="7">
        <v>37591</v>
      </c>
      <c r="S96" s="8">
        <f t="shared" si="8"/>
        <v>2002</v>
      </c>
      <c r="T96" s="8">
        <v>2002</v>
      </c>
      <c r="U96" s="8">
        <f t="shared" si="9"/>
        <v>20</v>
      </c>
      <c r="V96" s="7">
        <v>2002</v>
      </c>
      <c r="W96" t="s">
        <v>710</v>
      </c>
      <c r="X96" s="2">
        <v>1.3280000000000001</v>
      </c>
      <c r="Y96" s="6">
        <f t="shared" si="14"/>
        <v>3.5450201542937994E-2</v>
      </c>
      <c r="AA96">
        <v>15361225</v>
      </c>
      <c r="AB96">
        <v>18894</v>
      </c>
      <c r="AD96" t="s">
        <v>2</v>
      </c>
      <c r="AE96">
        <v>1</v>
      </c>
      <c r="AH96" t="s">
        <v>11098</v>
      </c>
      <c r="AI96" t="s">
        <v>11097</v>
      </c>
      <c r="AJ96" t="s">
        <v>11096</v>
      </c>
      <c r="AK96" t="s">
        <v>11095</v>
      </c>
      <c r="AL96">
        <v>9</v>
      </c>
      <c r="AM96" s="5">
        <f t="shared" si="10"/>
        <v>0.45</v>
      </c>
      <c r="AN96" s="4">
        <f t="shared" si="15"/>
        <v>6.8156001514577808E-4</v>
      </c>
      <c r="AO96" s="3"/>
      <c r="AP96">
        <v>0</v>
      </c>
      <c r="AQ96" t="s">
        <v>290</v>
      </c>
      <c r="AR96" t="s">
        <v>1</v>
      </c>
      <c r="AS96" t="s">
        <v>289</v>
      </c>
      <c r="AT96" s="2">
        <v>3.8340000000000001</v>
      </c>
      <c r="AU96" s="1">
        <f t="shared" si="11"/>
        <v>2.5019609084600329</v>
      </c>
      <c r="AV96" s="1">
        <f t="shared" si="12"/>
        <v>1.8065880779041885</v>
      </c>
      <c r="AW96" s="1">
        <f t="shared" si="13"/>
        <v>1.1112152473483443</v>
      </c>
    </row>
    <row r="97" spans="1:49" x14ac:dyDescent="0.2">
      <c r="A97">
        <v>95</v>
      </c>
      <c r="B97" t="s">
        <v>11094</v>
      </c>
      <c r="C97" t="s">
        <v>11093</v>
      </c>
      <c r="F97" t="s">
        <v>11092</v>
      </c>
      <c r="G97" t="s">
        <v>5</v>
      </c>
      <c r="H97" t="s">
        <v>4</v>
      </c>
      <c r="I97" t="s">
        <v>11091</v>
      </c>
      <c r="J97" t="s">
        <v>11090</v>
      </c>
      <c r="K97" t="s">
        <v>11089</v>
      </c>
      <c r="L97" t="s">
        <v>11088</v>
      </c>
      <c r="M97" t="s">
        <v>11087</v>
      </c>
      <c r="N97">
        <v>2</v>
      </c>
      <c r="O97" t="s">
        <v>11086</v>
      </c>
      <c r="P97" t="s">
        <v>11085</v>
      </c>
      <c r="Q97" t="s">
        <v>11084</v>
      </c>
      <c r="R97" s="7">
        <v>37591</v>
      </c>
      <c r="S97" s="8">
        <f t="shared" si="8"/>
        <v>2002</v>
      </c>
      <c r="T97" s="8">
        <v>2002</v>
      </c>
      <c r="U97" s="8">
        <f t="shared" si="9"/>
        <v>20</v>
      </c>
      <c r="V97" s="7">
        <v>2002</v>
      </c>
      <c r="W97" t="s">
        <v>11083</v>
      </c>
      <c r="X97" s="2">
        <v>0.44900000000000001</v>
      </c>
      <c r="Y97" s="6">
        <f t="shared" si="14"/>
        <v>1.1985798563839727E-2</v>
      </c>
      <c r="AA97">
        <v>442267</v>
      </c>
      <c r="AB97">
        <v>27970</v>
      </c>
      <c r="AC97">
        <v>15214001</v>
      </c>
      <c r="AD97" t="s">
        <v>2</v>
      </c>
      <c r="AE97">
        <v>82</v>
      </c>
      <c r="AF97">
        <v>4</v>
      </c>
      <c r="AH97" t="s">
        <v>11082</v>
      </c>
      <c r="AI97" t="s">
        <v>11081</v>
      </c>
      <c r="AJ97" t="s">
        <v>11080</v>
      </c>
      <c r="AK97" t="s">
        <v>11079</v>
      </c>
      <c r="AL97">
        <v>7</v>
      </c>
      <c r="AM97" s="5">
        <f t="shared" si="10"/>
        <v>0.35</v>
      </c>
      <c r="AN97" s="4">
        <f t="shared" si="15"/>
        <v>5.3010223400227184E-4</v>
      </c>
      <c r="AO97" s="3"/>
      <c r="AP97">
        <v>0</v>
      </c>
      <c r="AR97" t="s">
        <v>1</v>
      </c>
      <c r="AT97" s="2" t="s">
        <v>0</v>
      </c>
      <c r="AU97" s="1">
        <f t="shared" si="11"/>
        <v>0.85490896648884906</v>
      </c>
      <c r="AV97" s="1">
        <f t="shared" si="12"/>
        <v>0.62579503989209995</v>
      </c>
      <c r="AW97" s="1">
        <f t="shared" si="13"/>
        <v>0.39668111329535083</v>
      </c>
    </row>
    <row r="98" spans="1:49" x14ac:dyDescent="0.2">
      <c r="A98">
        <v>96</v>
      </c>
      <c r="B98" t="s">
        <v>11078</v>
      </c>
      <c r="F98" t="s">
        <v>11077</v>
      </c>
      <c r="G98" t="s">
        <v>5</v>
      </c>
      <c r="H98" t="s">
        <v>4</v>
      </c>
      <c r="I98" t="s">
        <v>11076</v>
      </c>
      <c r="J98">
        <v>60028218</v>
      </c>
      <c r="K98" t="s">
        <v>30</v>
      </c>
      <c r="L98" t="s">
        <v>29</v>
      </c>
      <c r="M98" t="s">
        <v>19</v>
      </c>
      <c r="N98">
        <v>3</v>
      </c>
      <c r="O98" t="s">
        <v>11075</v>
      </c>
      <c r="P98" t="s">
        <v>11074</v>
      </c>
      <c r="Q98" t="s">
        <v>28</v>
      </c>
      <c r="R98" s="7">
        <v>37591</v>
      </c>
      <c r="S98" s="8">
        <f t="shared" si="8"/>
        <v>2002</v>
      </c>
      <c r="T98" s="8">
        <v>2002</v>
      </c>
      <c r="U98" s="8">
        <f t="shared" si="9"/>
        <v>20</v>
      </c>
      <c r="V98" s="7">
        <v>37591</v>
      </c>
      <c r="W98" t="s">
        <v>11073</v>
      </c>
      <c r="X98" s="2">
        <v>0.55900000000000005</v>
      </c>
      <c r="Y98" s="6">
        <f t="shared" si="14"/>
        <v>1.4922185739836098E-2</v>
      </c>
      <c r="AA98">
        <v>17218861</v>
      </c>
      <c r="AB98">
        <v>19700173110</v>
      </c>
      <c r="AD98" t="s">
        <v>2</v>
      </c>
      <c r="AE98">
        <v>55</v>
      </c>
      <c r="AF98" s="9">
        <v>44228</v>
      </c>
      <c r="AH98" t="s">
        <v>639</v>
      </c>
      <c r="AI98" t="s">
        <v>11072</v>
      </c>
      <c r="AJ98" t="s">
        <v>11071</v>
      </c>
      <c r="AK98" t="s">
        <v>11070</v>
      </c>
      <c r="AL98">
        <v>2</v>
      </c>
      <c r="AM98" s="5">
        <f t="shared" si="10"/>
        <v>0.1</v>
      </c>
      <c r="AN98" s="4">
        <f t="shared" si="15"/>
        <v>1.5145778114350627E-4</v>
      </c>
      <c r="AO98" s="3"/>
      <c r="AP98">
        <v>0</v>
      </c>
      <c r="AR98" t="s">
        <v>1</v>
      </c>
      <c r="AT98" s="2">
        <v>1.7110000000000001</v>
      </c>
      <c r="AU98" s="1">
        <f t="shared" si="11"/>
        <v>1.049096735222832</v>
      </c>
      <c r="AV98" s="1">
        <f t="shared" si="12"/>
        <v>0.75368217604898025</v>
      </c>
      <c r="AW98" s="1">
        <f t="shared" si="13"/>
        <v>0.45826761687512835</v>
      </c>
    </row>
    <row r="99" spans="1:49" x14ac:dyDescent="0.2">
      <c r="A99">
        <v>97</v>
      </c>
      <c r="B99" t="s">
        <v>11069</v>
      </c>
      <c r="C99" t="s">
        <v>11068</v>
      </c>
      <c r="F99" t="s">
        <v>11067</v>
      </c>
      <c r="G99" t="s">
        <v>5</v>
      </c>
      <c r="H99" t="s">
        <v>4</v>
      </c>
      <c r="I99" t="s">
        <v>11066</v>
      </c>
      <c r="J99" t="s">
        <v>11065</v>
      </c>
      <c r="K99" t="s">
        <v>11064</v>
      </c>
      <c r="L99" t="s">
        <v>11063</v>
      </c>
      <c r="M99" t="s">
        <v>2961</v>
      </c>
      <c r="N99">
        <v>3</v>
      </c>
      <c r="O99" t="s">
        <v>11062</v>
      </c>
      <c r="P99" t="s">
        <v>11061</v>
      </c>
      <c r="Q99" t="s">
        <v>11060</v>
      </c>
      <c r="R99" s="7">
        <v>37591</v>
      </c>
      <c r="S99" s="8">
        <f t="shared" si="8"/>
        <v>2002</v>
      </c>
      <c r="T99" s="8">
        <v>2002</v>
      </c>
      <c r="U99" s="8">
        <f t="shared" si="9"/>
        <v>20</v>
      </c>
      <c r="V99" s="7">
        <v>2002</v>
      </c>
      <c r="W99" t="s">
        <v>710</v>
      </c>
      <c r="X99" s="2">
        <v>1.3280000000000001</v>
      </c>
      <c r="Y99" s="6">
        <f t="shared" si="14"/>
        <v>3.5450201542937994E-2</v>
      </c>
      <c r="AA99">
        <v>15361225</v>
      </c>
      <c r="AB99">
        <v>18894</v>
      </c>
      <c r="AD99" t="s">
        <v>2</v>
      </c>
      <c r="AE99">
        <v>1</v>
      </c>
      <c r="AH99" t="s">
        <v>11059</v>
      </c>
      <c r="AI99" t="s">
        <v>11058</v>
      </c>
      <c r="AJ99" t="s">
        <v>11057</v>
      </c>
      <c r="AK99" t="s">
        <v>11056</v>
      </c>
      <c r="AL99">
        <v>14</v>
      </c>
      <c r="AM99" s="5">
        <f t="shared" si="10"/>
        <v>0.7</v>
      </c>
      <c r="AN99" s="4">
        <f t="shared" si="15"/>
        <v>1.0602044680045437E-3</v>
      </c>
      <c r="AO99" s="3"/>
      <c r="AP99">
        <v>0</v>
      </c>
      <c r="AQ99" t="s">
        <v>302</v>
      </c>
      <c r="AR99" t="s">
        <v>11055</v>
      </c>
      <c r="AS99" t="s">
        <v>301</v>
      </c>
      <c r="AT99" s="2">
        <v>3.8340000000000001</v>
      </c>
      <c r="AU99" s="1">
        <f t="shared" si="11"/>
        <v>2.5133202420457961</v>
      </c>
      <c r="AV99" s="1">
        <f t="shared" si="12"/>
        <v>1.825520300547127</v>
      </c>
      <c r="AW99" s="1">
        <f t="shared" si="13"/>
        <v>1.1377203590484579</v>
      </c>
    </row>
    <row r="100" spans="1:49" x14ac:dyDescent="0.2">
      <c r="A100">
        <v>98</v>
      </c>
      <c r="B100" t="s">
        <v>11054</v>
      </c>
      <c r="C100" t="s">
        <v>11053</v>
      </c>
      <c r="F100" t="s">
        <v>11052</v>
      </c>
      <c r="G100" t="s">
        <v>5</v>
      </c>
      <c r="H100" t="s">
        <v>4</v>
      </c>
      <c r="I100" t="s">
        <v>11051</v>
      </c>
      <c r="J100" t="s">
        <v>11050</v>
      </c>
      <c r="K100" t="s">
        <v>11049</v>
      </c>
      <c r="L100" t="s">
        <v>11048</v>
      </c>
      <c r="M100" t="s">
        <v>74</v>
      </c>
      <c r="N100">
        <v>3</v>
      </c>
      <c r="O100" t="s">
        <v>11047</v>
      </c>
      <c r="P100" t="s">
        <v>11046</v>
      </c>
      <c r="Q100" t="s">
        <v>11045</v>
      </c>
      <c r="R100" s="7">
        <v>37591</v>
      </c>
      <c r="S100" s="8">
        <f t="shared" si="8"/>
        <v>2002</v>
      </c>
      <c r="T100" s="8">
        <v>2002</v>
      </c>
      <c r="U100" s="8">
        <f t="shared" si="9"/>
        <v>20</v>
      </c>
      <c r="V100" s="7">
        <v>2002</v>
      </c>
      <c r="W100" t="s">
        <v>11044</v>
      </c>
      <c r="X100" s="2">
        <v>1.276</v>
      </c>
      <c r="Y100" s="6">
        <f t="shared" si="14"/>
        <v>3.4062091241557887E-2</v>
      </c>
      <c r="AA100">
        <v>15361233</v>
      </c>
      <c r="AB100">
        <v>25038</v>
      </c>
      <c r="AD100" t="s">
        <v>2</v>
      </c>
      <c r="AE100">
        <v>1</v>
      </c>
      <c r="AF100">
        <v>3</v>
      </c>
      <c r="AH100" t="s">
        <v>11043</v>
      </c>
      <c r="AI100" t="s">
        <v>11042</v>
      </c>
      <c r="AJ100" t="s">
        <v>11041</v>
      </c>
      <c r="AK100" t="s">
        <v>11040</v>
      </c>
      <c r="AL100">
        <v>107</v>
      </c>
      <c r="AM100" s="5">
        <f t="shared" si="10"/>
        <v>5.35</v>
      </c>
      <c r="AN100" s="4">
        <f t="shared" si="15"/>
        <v>8.1029912911775841E-3</v>
      </c>
      <c r="AO100" s="3"/>
      <c r="AP100">
        <v>0</v>
      </c>
      <c r="AR100" t="s">
        <v>1</v>
      </c>
      <c r="AT100" s="2">
        <v>5.577</v>
      </c>
      <c r="AU100" s="1">
        <f t="shared" si="11"/>
        <v>2.6274361256443797</v>
      </c>
      <c r="AV100" s="1">
        <f t="shared" si="12"/>
        <v>2.1082541266367736</v>
      </c>
      <c r="AW100" s="1">
        <f t="shared" si="13"/>
        <v>1.5890721276291673</v>
      </c>
    </row>
    <row r="101" spans="1:49" x14ac:dyDescent="0.2">
      <c r="A101">
        <v>99</v>
      </c>
      <c r="B101" t="s">
        <v>11039</v>
      </c>
      <c r="C101" t="s">
        <v>11038</v>
      </c>
      <c r="F101" t="s">
        <v>11037</v>
      </c>
      <c r="G101" t="s">
        <v>5</v>
      </c>
      <c r="H101" t="s">
        <v>4</v>
      </c>
      <c r="I101" t="s">
        <v>11036</v>
      </c>
      <c r="J101" t="s">
        <v>11035</v>
      </c>
      <c r="K101" t="s">
        <v>11034</v>
      </c>
      <c r="L101" t="s">
        <v>11033</v>
      </c>
      <c r="M101" t="s">
        <v>610</v>
      </c>
      <c r="N101">
        <v>3</v>
      </c>
      <c r="O101" t="s">
        <v>11032</v>
      </c>
      <c r="P101" t="s">
        <v>11031</v>
      </c>
      <c r="Q101" t="s">
        <v>11030</v>
      </c>
      <c r="R101" s="7">
        <v>37591</v>
      </c>
      <c r="S101" s="8">
        <f t="shared" si="8"/>
        <v>2002</v>
      </c>
      <c r="T101" s="8">
        <v>2002</v>
      </c>
      <c r="U101" s="8">
        <f t="shared" si="9"/>
        <v>20</v>
      </c>
      <c r="V101" s="7">
        <v>2002</v>
      </c>
      <c r="W101" t="s">
        <v>710</v>
      </c>
      <c r="X101" s="2">
        <v>1.3280000000000001</v>
      </c>
      <c r="Y101" s="6">
        <f t="shared" si="14"/>
        <v>3.5450201542937994E-2</v>
      </c>
      <c r="AA101">
        <v>15361225</v>
      </c>
      <c r="AB101">
        <v>18894</v>
      </c>
      <c r="AD101" t="s">
        <v>2</v>
      </c>
      <c r="AE101">
        <v>1</v>
      </c>
      <c r="AH101" t="s">
        <v>8448</v>
      </c>
      <c r="AI101" t="s">
        <v>11029</v>
      </c>
      <c r="AJ101" t="s">
        <v>11028</v>
      </c>
      <c r="AK101" t="s">
        <v>11027</v>
      </c>
      <c r="AL101">
        <v>48</v>
      </c>
      <c r="AM101" s="5">
        <f t="shared" si="10"/>
        <v>2.4</v>
      </c>
      <c r="AN101" s="4">
        <f t="shared" si="15"/>
        <v>3.6349867474441497E-3</v>
      </c>
      <c r="AO101" s="3"/>
      <c r="AP101">
        <v>0</v>
      </c>
      <c r="AQ101" t="s">
        <v>314</v>
      </c>
      <c r="AR101" t="s">
        <v>11026</v>
      </c>
      <c r="AS101" t="s">
        <v>313</v>
      </c>
      <c r="AT101" s="2">
        <v>3.8340000000000001</v>
      </c>
      <c r="AU101" s="1">
        <f t="shared" si="11"/>
        <v>2.590563710428984</v>
      </c>
      <c r="AV101" s="1">
        <f t="shared" si="12"/>
        <v>1.954259414519107</v>
      </c>
      <c r="AW101" s="1">
        <f t="shared" si="13"/>
        <v>1.3179551186092302</v>
      </c>
    </row>
    <row r="102" spans="1:49" x14ac:dyDescent="0.2">
      <c r="A102">
        <v>100</v>
      </c>
      <c r="B102" t="s">
        <v>11025</v>
      </c>
      <c r="C102" t="s">
        <v>11024</v>
      </c>
      <c r="D102" t="s">
        <v>11023</v>
      </c>
      <c r="F102" t="s">
        <v>11022</v>
      </c>
      <c r="G102" t="s">
        <v>5</v>
      </c>
      <c r="H102" t="s">
        <v>4</v>
      </c>
      <c r="I102" t="s">
        <v>312</v>
      </c>
      <c r="J102" t="s">
        <v>836</v>
      </c>
      <c r="K102" t="s">
        <v>835</v>
      </c>
      <c r="L102" t="s">
        <v>834</v>
      </c>
      <c r="M102" t="s">
        <v>3</v>
      </c>
      <c r="N102">
        <v>1</v>
      </c>
      <c r="O102" t="s">
        <v>11021</v>
      </c>
      <c r="P102">
        <v>57195633181</v>
      </c>
      <c r="Q102" t="s">
        <v>11020</v>
      </c>
      <c r="R102" s="7">
        <v>37591</v>
      </c>
      <c r="S102" s="8">
        <f t="shared" si="8"/>
        <v>2002</v>
      </c>
      <c r="T102" s="8">
        <v>2002</v>
      </c>
      <c r="U102" s="8">
        <f t="shared" si="9"/>
        <v>20</v>
      </c>
      <c r="V102" s="7">
        <v>2002</v>
      </c>
      <c r="W102" t="s">
        <v>9027</v>
      </c>
      <c r="X102" s="2">
        <v>2.0099999999999998</v>
      </c>
      <c r="Y102" s="6">
        <f t="shared" si="14"/>
        <v>5.3655802034115477E-2</v>
      </c>
      <c r="AA102">
        <v>15361276</v>
      </c>
      <c r="AB102">
        <v>18933</v>
      </c>
      <c r="AD102" t="s">
        <v>2</v>
      </c>
      <c r="AE102">
        <v>1</v>
      </c>
      <c r="AF102">
        <v>1</v>
      </c>
      <c r="AH102" t="s">
        <v>612</v>
      </c>
      <c r="AI102" t="s">
        <v>11019</v>
      </c>
      <c r="AJ102" t="s">
        <v>11018</v>
      </c>
      <c r="AK102" t="s">
        <v>11017</v>
      </c>
      <c r="AL102">
        <v>556</v>
      </c>
      <c r="AM102" s="5">
        <f t="shared" si="10"/>
        <v>27.8</v>
      </c>
      <c r="AN102" s="4">
        <f t="shared" si="15"/>
        <v>4.2105263157894736E-2</v>
      </c>
      <c r="AO102" s="3"/>
      <c r="AP102">
        <v>0</v>
      </c>
      <c r="AR102" t="s">
        <v>1</v>
      </c>
      <c r="AT102" s="2" t="s">
        <v>0</v>
      </c>
      <c r="AU102" s="1">
        <f t="shared" si="11"/>
        <v>5.0190640371249247</v>
      </c>
      <c r="AV102" s="1">
        <f t="shared" si="12"/>
        <v>4.7880532596005114</v>
      </c>
      <c r="AW102" s="1">
        <f t="shared" si="13"/>
        <v>4.5570424820760955</v>
      </c>
    </row>
    <row r="103" spans="1:49" x14ac:dyDescent="0.2">
      <c r="A103">
        <v>101</v>
      </c>
      <c r="B103" t="s">
        <v>11016</v>
      </c>
      <c r="C103" t="s">
        <v>11015</v>
      </c>
      <c r="F103" t="s">
        <v>11014</v>
      </c>
      <c r="G103" t="s">
        <v>5</v>
      </c>
      <c r="H103" t="s">
        <v>4</v>
      </c>
      <c r="I103" t="s">
        <v>712</v>
      </c>
      <c r="J103">
        <v>60017245</v>
      </c>
      <c r="K103" t="s">
        <v>1007</v>
      </c>
      <c r="L103" t="s">
        <v>1006</v>
      </c>
      <c r="M103" t="s">
        <v>7</v>
      </c>
      <c r="N103">
        <v>1</v>
      </c>
      <c r="O103" t="s">
        <v>711</v>
      </c>
      <c r="P103">
        <v>7102270511</v>
      </c>
      <c r="Q103">
        <v>60017245</v>
      </c>
      <c r="R103" s="7">
        <v>37591</v>
      </c>
      <c r="S103" s="8">
        <f t="shared" si="8"/>
        <v>2002</v>
      </c>
      <c r="T103" s="8">
        <v>2002</v>
      </c>
      <c r="U103" s="8">
        <f t="shared" si="9"/>
        <v>20</v>
      </c>
      <c r="V103" s="7">
        <v>2002</v>
      </c>
      <c r="W103" t="s">
        <v>710</v>
      </c>
      <c r="X103" s="2">
        <v>1.3280000000000001</v>
      </c>
      <c r="Y103" s="6">
        <f t="shared" si="14"/>
        <v>3.5450201542937994E-2</v>
      </c>
      <c r="AA103">
        <v>15361225</v>
      </c>
      <c r="AB103">
        <v>18894</v>
      </c>
      <c r="AD103" t="s">
        <v>2</v>
      </c>
      <c r="AE103">
        <v>1</v>
      </c>
      <c r="AH103" t="s">
        <v>160</v>
      </c>
      <c r="AI103" t="s">
        <v>11013</v>
      </c>
      <c r="AJ103" t="s">
        <v>11012</v>
      </c>
      <c r="AK103" t="s">
        <v>11011</v>
      </c>
      <c r="AL103">
        <v>50</v>
      </c>
      <c r="AM103" s="5">
        <f t="shared" si="10"/>
        <v>2.5</v>
      </c>
      <c r="AN103" s="4">
        <f t="shared" si="15"/>
        <v>3.7864445285876562E-3</v>
      </c>
      <c r="AO103" s="3"/>
      <c r="AP103">
        <v>0</v>
      </c>
      <c r="AR103" t="s">
        <v>1</v>
      </c>
      <c r="AT103" s="2">
        <v>3.8340000000000001</v>
      </c>
      <c r="AU103" s="1">
        <f t="shared" si="11"/>
        <v>2.5951074438632893</v>
      </c>
      <c r="AV103" s="1">
        <f t="shared" si="12"/>
        <v>1.9618323035762824</v>
      </c>
      <c r="AW103" s="1">
        <f t="shared" si="13"/>
        <v>1.3285571632892756</v>
      </c>
    </row>
    <row r="104" spans="1:49" x14ac:dyDescent="0.2">
      <c r="A104">
        <v>102</v>
      </c>
      <c r="B104" t="s">
        <v>11010</v>
      </c>
      <c r="C104" t="s">
        <v>11009</v>
      </c>
      <c r="F104" t="s">
        <v>11008</v>
      </c>
      <c r="G104" t="s">
        <v>5</v>
      </c>
      <c r="H104" t="s">
        <v>4</v>
      </c>
      <c r="I104" t="s">
        <v>397</v>
      </c>
      <c r="J104">
        <v>60033019</v>
      </c>
      <c r="K104" t="s">
        <v>396</v>
      </c>
      <c r="L104" t="s">
        <v>395</v>
      </c>
      <c r="M104" t="s">
        <v>182</v>
      </c>
      <c r="N104">
        <v>4</v>
      </c>
      <c r="O104" t="s">
        <v>11007</v>
      </c>
      <c r="P104" t="s">
        <v>11006</v>
      </c>
      <c r="Q104" t="s">
        <v>11005</v>
      </c>
      <c r="R104" s="7">
        <v>37591</v>
      </c>
      <c r="S104" s="8">
        <f t="shared" si="8"/>
        <v>2002</v>
      </c>
      <c r="T104" s="8">
        <v>2002</v>
      </c>
      <c r="U104" s="8">
        <f t="shared" si="9"/>
        <v>20</v>
      </c>
      <c r="V104" s="7">
        <v>2002</v>
      </c>
      <c r="W104" t="s">
        <v>710</v>
      </c>
      <c r="X104" s="2">
        <v>1.3280000000000001</v>
      </c>
      <c r="Y104" s="6">
        <f t="shared" si="14"/>
        <v>3.5450201542937994E-2</v>
      </c>
      <c r="AA104">
        <v>15361225</v>
      </c>
      <c r="AB104">
        <v>18894</v>
      </c>
      <c r="AD104" t="s">
        <v>2</v>
      </c>
      <c r="AE104">
        <v>1</v>
      </c>
      <c r="AH104" t="s">
        <v>11004</v>
      </c>
      <c r="AI104" t="s">
        <v>11003</v>
      </c>
      <c r="AJ104" t="s">
        <v>11002</v>
      </c>
      <c r="AK104" t="s">
        <v>11001</v>
      </c>
      <c r="AL104">
        <v>33</v>
      </c>
      <c r="AM104" s="5">
        <f t="shared" si="10"/>
        <v>1.65</v>
      </c>
      <c r="AN104" s="4">
        <f t="shared" si="15"/>
        <v>2.4990533888678531E-3</v>
      </c>
      <c r="AO104" s="3"/>
      <c r="AP104">
        <v>0</v>
      </c>
      <c r="AR104" t="s">
        <v>1</v>
      </c>
      <c r="AT104" s="2">
        <v>3.8340000000000001</v>
      </c>
      <c r="AU104" s="1">
        <f t="shared" si="11"/>
        <v>2.5564857096716951</v>
      </c>
      <c r="AV104" s="1">
        <f t="shared" si="12"/>
        <v>1.8974627465902925</v>
      </c>
      <c r="AW104" s="1">
        <f t="shared" si="13"/>
        <v>1.2384397835088896</v>
      </c>
    </row>
    <row r="105" spans="1:49" x14ac:dyDescent="0.2">
      <c r="A105">
        <v>103</v>
      </c>
      <c r="B105" t="s">
        <v>11000</v>
      </c>
      <c r="C105" t="s">
        <v>10999</v>
      </c>
      <c r="F105" t="s">
        <v>10998</v>
      </c>
      <c r="G105" t="s">
        <v>5</v>
      </c>
      <c r="H105" t="s">
        <v>4</v>
      </c>
      <c r="I105" t="s">
        <v>10997</v>
      </c>
      <c r="J105" t="s">
        <v>10996</v>
      </c>
      <c r="K105" t="s">
        <v>10995</v>
      </c>
      <c r="L105" t="s">
        <v>10994</v>
      </c>
      <c r="M105" t="s">
        <v>10993</v>
      </c>
      <c r="N105">
        <v>3</v>
      </c>
      <c r="O105" t="s">
        <v>10992</v>
      </c>
      <c r="P105" t="s">
        <v>10991</v>
      </c>
      <c r="Q105" t="s">
        <v>10990</v>
      </c>
      <c r="R105" s="7">
        <v>37591</v>
      </c>
      <c r="S105" s="8">
        <f t="shared" si="8"/>
        <v>2002</v>
      </c>
      <c r="T105" s="8">
        <v>2002</v>
      </c>
      <c r="U105" s="8">
        <f t="shared" si="9"/>
        <v>20</v>
      </c>
      <c r="V105" s="7">
        <v>2002</v>
      </c>
      <c r="W105" t="s">
        <v>710</v>
      </c>
      <c r="X105" s="2">
        <v>1.3280000000000001</v>
      </c>
      <c r="Y105" s="6">
        <f t="shared" si="14"/>
        <v>3.5450201542937994E-2</v>
      </c>
      <c r="AA105">
        <v>15361225</v>
      </c>
      <c r="AB105">
        <v>18894</v>
      </c>
      <c r="AD105" t="s">
        <v>2</v>
      </c>
      <c r="AE105">
        <v>1</v>
      </c>
      <c r="AH105" t="s">
        <v>10989</v>
      </c>
      <c r="AI105" t="s">
        <v>10988</v>
      </c>
      <c r="AJ105" t="s">
        <v>10987</v>
      </c>
      <c r="AK105" t="s">
        <v>10986</v>
      </c>
      <c r="AL105">
        <v>7</v>
      </c>
      <c r="AM105" s="5">
        <f t="shared" si="10"/>
        <v>0.35</v>
      </c>
      <c r="AN105" s="4">
        <f t="shared" si="15"/>
        <v>5.3010223400227184E-4</v>
      </c>
      <c r="AO105" s="3"/>
      <c r="AP105">
        <v>0</v>
      </c>
      <c r="AQ105" t="s">
        <v>10985</v>
      </c>
      <c r="AR105" t="s">
        <v>1</v>
      </c>
      <c r="AS105" t="s">
        <v>10984</v>
      </c>
      <c r="AT105" s="2">
        <v>3.8340000000000001</v>
      </c>
      <c r="AU105" s="1">
        <f t="shared" si="11"/>
        <v>2.4974171750257277</v>
      </c>
      <c r="AV105" s="1">
        <f t="shared" si="12"/>
        <v>1.7990151888470134</v>
      </c>
      <c r="AW105" s="1">
        <f t="shared" si="13"/>
        <v>1.1006132026682989</v>
      </c>
    </row>
    <row r="106" spans="1:49" x14ac:dyDescent="0.2">
      <c r="A106">
        <v>104</v>
      </c>
      <c r="B106" t="s">
        <v>10983</v>
      </c>
      <c r="C106" t="s">
        <v>10982</v>
      </c>
      <c r="F106" t="s">
        <v>10981</v>
      </c>
      <c r="G106" t="s">
        <v>5</v>
      </c>
      <c r="H106" t="s">
        <v>4</v>
      </c>
      <c r="I106" t="s">
        <v>522</v>
      </c>
      <c r="J106" t="s">
        <v>10980</v>
      </c>
      <c r="K106" t="s">
        <v>10979</v>
      </c>
      <c r="L106" t="s">
        <v>10978</v>
      </c>
      <c r="M106" t="s">
        <v>74</v>
      </c>
      <c r="N106">
        <v>2</v>
      </c>
      <c r="O106" t="s">
        <v>10977</v>
      </c>
      <c r="P106" t="s">
        <v>10976</v>
      </c>
      <c r="Q106" t="s">
        <v>10975</v>
      </c>
      <c r="R106" s="7">
        <v>37591</v>
      </c>
      <c r="S106" s="8">
        <f t="shared" si="8"/>
        <v>2002</v>
      </c>
      <c r="T106" s="8">
        <v>2002</v>
      </c>
      <c r="U106" s="8">
        <f t="shared" si="9"/>
        <v>20</v>
      </c>
      <c r="V106" s="7">
        <v>2002</v>
      </c>
      <c r="W106" t="s">
        <v>9027</v>
      </c>
      <c r="X106" s="2">
        <v>2.0099999999999998</v>
      </c>
      <c r="Y106" s="6">
        <f t="shared" si="14"/>
        <v>5.3655802034115477E-2</v>
      </c>
      <c r="AA106">
        <v>15361276</v>
      </c>
      <c r="AB106">
        <v>18933</v>
      </c>
      <c r="AD106" t="s">
        <v>2</v>
      </c>
      <c r="AE106">
        <v>1</v>
      </c>
      <c r="AF106">
        <v>4</v>
      </c>
      <c r="AH106" t="s">
        <v>10974</v>
      </c>
      <c r="AI106" t="s">
        <v>10973</v>
      </c>
      <c r="AJ106" t="s">
        <v>10972</v>
      </c>
      <c r="AK106" t="s">
        <v>10971</v>
      </c>
      <c r="AL106">
        <v>98</v>
      </c>
      <c r="AM106" s="5">
        <f t="shared" si="10"/>
        <v>4.9000000000000004</v>
      </c>
      <c r="AN106" s="4">
        <f t="shared" si="15"/>
        <v>7.4214312760318068E-3</v>
      </c>
      <c r="AO106" s="3"/>
      <c r="AP106">
        <v>0</v>
      </c>
      <c r="AQ106" t="s">
        <v>290</v>
      </c>
      <c r="AR106" t="s">
        <v>10970</v>
      </c>
      <c r="AS106" t="s">
        <v>289</v>
      </c>
      <c r="AT106" s="2" t="s">
        <v>0</v>
      </c>
      <c r="AU106" s="1">
        <f t="shared" si="11"/>
        <v>3.9785490806690373</v>
      </c>
      <c r="AV106" s="1">
        <f t="shared" si="12"/>
        <v>3.0538616655073643</v>
      </c>
      <c r="AW106" s="1">
        <f t="shared" si="13"/>
        <v>2.1291742503456907</v>
      </c>
    </row>
    <row r="107" spans="1:49" x14ac:dyDescent="0.2">
      <c r="A107">
        <v>105</v>
      </c>
      <c r="B107" t="s">
        <v>10969</v>
      </c>
      <c r="C107" t="s">
        <v>10968</v>
      </c>
      <c r="F107" t="s">
        <v>10967</v>
      </c>
      <c r="G107" t="s">
        <v>5</v>
      </c>
      <c r="H107" t="s">
        <v>4</v>
      </c>
      <c r="I107" t="s">
        <v>10966</v>
      </c>
      <c r="J107" t="s">
        <v>10965</v>
      </c>
      <c r="K107" t="s">
        <v>10964</v>
      </c>
      <c r="L107" t="s">
        <v>10963</v>
      </c>
      <c r="M107" t="s">
        <v>601</v>
      </c>
      <c r="N107">
        <v>3</v>
      </c>
      <c r="O107" t="s">
        <v>10962</v>
      </c>
      <c r="P107" t="s">
        <v>10961</v>
      </c>
      <c r="Q107" t="s">
        <v>10960</v>
      </c>
      <c r="R107" s="7">
        <v>37591</v>
      </c>
      <c r="S107" s="8">
        <f t="shared" si="8"/>
        <v>2002</v>
      </c>
      <c r="T107" s="8">
        <v>2002</v>
      </c>
      <c r="U107" s="8">
        <f t="shared" si="9"/>
        <v>20</v>
      </c>
      <c r="V107" s="7">
        <v>2002</v>
      </c>
      <c r="W107" t="s">
        <v>710</v>
      </c>
      <c r="X107" s="2">
        <v>1.3280000000000001</v>
      </c>
      <c r="Y107" s="6">
        <f t="shared" si="14"/>
        <v>3.5450201542937994E-2</v>
      </c>
      <c r="AA107">
        <v>15361225</v>
      </c>
      <c r="AB107">
        <v>18894</v>
      </c>
      <c r="AD107" t="s">
        <v>2</v>
      </c>
      <c r="AE107">
        <v>1</v>
      </c>
      <c r="AH107" t="s">
        <v>10959</v>
      </c>
      <c r="AI107" t="s">
        <v>10958</v>
      </c>
      <c r="AJ107" t="s">
        <v>10957</v>
      </c>
      <c r="AK107" t="s">
        <v>10956</v>
      </c>
      <c r="AL107">
        <v>26</v>
      </c>
      <c r="AM107" s="5">
        <f t="shared" si="10"/>
        <v>1.3</v>
      </c>
      <c r="AN107" s="4">
        <f t="shared" si="15"/>
        <v>1.9689511548655813E-3</v>
      </c>
      <c r="AO107" s="3"/>
      <c r="AP107">
        <v>0</v>
      </c>
      <c r="AR107" t="s">
        <v>1</v>
      </c>
      <c r="AT107" s="2">
        <v>3.8340000000000001</v>
      </c>
      <c r="AU107" s="1">
        <f t="shared" si="11"/>
        <v>2.5405826426516271</v>
      </c>
      <c r="AV107" s="1">
        <f t="shared" si="12"/>
        <v>1.8709576348901789</v>
      </c>
      <c r="AW107" s="1">
        <f t="shared" si="13"/>
        <v>1.2013326271287306</v>
      </c>
    </row>
    <row r="108" spans="1:49" x14ac:dyDescent="0.2">
      <c r="A108">
        <v>106</v>
      </c>
      <c r="B108" t="s">
        <v>10955</v>
      </c>
      <c r="F108" t="s">
        <v>10954</v>
      </c>
      <c r="G108" t="s">
        <v>5</v>
      </c>
      <c r="H108" t="s">
        <v>4</v>
      </c>
      <c r="I108" t="s">
        <v>10953</v>
      </c>
      <c r="J108">
        <v>60020615</v>
      </c>
      <c r="K108" t="s">
        <v>741</v>
      </c>
      <c r="L108" t="s">
        <v>740</v>
      </c>
      <c r="M108" t="s">
        <v>739</v>
      </c>
      <c r="N108">
        <v>3</v>
      </c>
      <c r="O108" t="s">
        <v>10952</v>
      </c>
      <c r="P108" t="s">
        <v>10951</v>
      </c>
      <c r="Q108" t="s">
        <v>742</v>
      </c>
      <c r="R108" s="7">
        <v>37591</v>
      </c>
      <c r="S108" s="8">
        <f t="shared" si="8"/>
        <v>2002</v>
      </c>
      <c r="T108" s="8">
        <v>2002</v>
      </c>
      <c r="U108" s="8">
        <f t="shared" si="9"/>
        <v>20</v>
      </c>
      <c r="V108" s="7">
        <v>2002</v>
      </c>
      <c r="W108" t="s">
        <v>738</v>
      </c>
      <c r="X108" s="2">
        <v>0.14099999999999999</v>
      </c>
      <c r="Y108" s="6">
        <f t="shared" si="14"/>
        <v>3.7639144710498915E-3</v>
      </c>
      <c r="AA108">
        <v>402508</v>
      </c>
      <c r="AB108">
        <v>20868</v>
      </c>
      <c r="AD108" t="s">
        <v>2</v>
      </c>
      <c r="AE108">
        <v>57</v>
      </c>
      <c r="AF108">
        <v>1</v>
      </c>
      <c r="AH108" t="s">
        <v>10950</v>
      </c>
      <c r="AI108" t="s">
        <v>10949</v>
      </c>
      <c r="AK108" t="s">
        <v>10948</v>
      </c>
      <c r="AL108">
        <v>0</v>
      </c>
      <c r="AM108" s="5">
        <f t="shared" si="10"/>
        <v>0</v>
      </c>
      <c r="AN108" s="4">
        <f t="shared" si="15"/>
        <v>0</v>
      </c>
      <c r="AO108" s="3"/>
      <c r="AP108">
        <v>0</v>
      </c>
      <c r="AR108" t="s">
        <v>1</v>
      </c>
      <c r="AT108" s="2" t="s">
        <v>0</v>
      </c>
      <c r="AU108" s="1">
        <f t="shared" si="11"/>
        <v>0.26347401297349238</v>
      </c>
      <c r="AV108" s="1">
        <f t="shared" si="12"/>
        <v>0.18819572355249459</v>
      </c>
      <c r="AW108" s="1">
        <f t="shared" si="13"/>
        <v>0.11291743413149673</v>
      </c>
    </row>
    <row r="109" spans="1:49" x14ac:dyDescent="0.2">
      <c r="A109">
        <v>107</v>
      </c>
      <c r="B109" t="s">
        <v>10947</v>
      </c>
      <c r="F109" t="s">
        <v>10946</v>
      </c>
      <c r="G109" t="s">
        <v>5</v>
      </c>
      <c r="H109" t="s">
        <v>4</v>
      </c>
      <c r="I109" t="s">
        <v>10945</v>
      </c>
      <c r="J109">
        <v>107130329</v>
      </c>
      <c r="K109" t="s">
        <v>10944</v>
      </c>
      <c r="L109" t="s">
        <v>99</v>
      </c>
      <c r="M109" t="s">
        <v>19</v>
      </c>
      <c r="N109">
        <v>1</v>
      </c>
      <c r="O109" t="s">
        <v>10943</v>
      </c>
      <c r="P109">
        <v>56157849600</v>
      </c>
      <c r="Q109">
        <v>107130329</v>
      </c>
      <c r="R109" s="7">
        <v>37591</v>
      </c>
      <c r="S109" s="8">
        <f t="shared" si="8"/>
        <v>2002</v>
      </c>
      <c r="T109" s="8">
        <v>2002</v>
      </c>
      <c r="U109" s="8">
        <f t="shared" si="9"/>
        <v>20</v>
      </c>
      <c r="V109" s="7">
        <v>2002</v>
      </c>
      <c r="W109" t="s">
        <v>10942</v>
      </c>
      <c r="X109" s="2">
        <v>0.40799999999999997</v>
      </c>
      <c r="Y109" s="6">
        <f t="shared" si="14"/>
        <v>1.0891326980059261E-2</v>
      </c>
      <c r="AA109" t="s">
        <v>10941</v>
      </c>
      <c r="AB109">
        <v>13750</v>
      </c>
      <c r="AD109" t="s">
        <v>2</v>
      </c>
      <c r="AE109">
        <v>55</v>
      </c>
      <c r="AF109" s="9">
        <v>44289</v>
      </c>
      <c r="AH109" t="s">
        <v>10940</v>
      </c>
      <c r="AI109" t="s">
        <v>10939</v>
      </c>
      <c r="AJ109" t="s">
        <v>10938</v>
      </c>
      <c r="AK109" t="s">
        <v>10937</v>
      </c>
      <c r="AL109">
        <v>1</v>
      </c>
      <c r="AM109" s="5">
        <f t="shared" si="10"/>
        <v>0.05</v>
      </c>
      <c r="AN109" s="4">
        <f t="shared" si="15"/>
        <v>7.5728890571753133E-5</v>
      </c>
      <c r="AO109" s="3"/>
      <c r="AP109">
        <v>0</v>
      </c>
      <c r="AR109" t="s">
        <v>1</v>
      </c>
      <c r="AT109" s="2" t="s">
        <v>0</v>
      </c>
      <c r="AU109" s="1">
        <f t="shared" si="11"/>
        <v>0.76466475532130074</v>
      </c>
      <c r="AV109" s="1">
        <f t="shared" si="12"/>
        <v>0.54835279353155064</v>
      </c>
      <c r="AW109" s="1">
        <f t="shared" si="13"/>
        <v>0.33204083174180055</v>
      </c>
    </row>
    <row r="110" spans="1:49" x14ac:dyDescent="0.2">
      <c r="A110">
        <v>108</v>
      </c>
      <c r="B110" t="s">
        <v>10936</v>
      </c>
      <c r="F110" t="s">
        <v>10935</v>
      </c>
      <c r="G110" t="s">
        <v>5</v>
      </c>
      <c r="H110" t="s">
        <v>4</v>
      </c>
      <c r="I110" t="s">
        <v>10934</v>
      </c>
      <c r="J110">
        <v>60027251</v>
      </c>
      <c r="K110" t="s">
        <v>744</v>
      </c>
      <c r="L110" t="s">
        <v>740</v>
      </c>
      <c r="M110" t="s">
        <v>739</v>
      </c>
      <c r="N110">
        <v>2</v>
      </c>
      <c r="O110" t="s">
        <v>10933</v>
      </c>
      <c r="P110" t="s">
        <v>10932</v>
      </c>
      <c r="Q110" t="s">
        <v>7048</v>
      </c>
      <c r="R110" s="7">
        <v>37591</v>
      </c>
      <c r="S110" s="8">
        <f t="shared" si="8"/>
        <v>2002</v>
      </c>
      <c r="T110" s="8">
        <v>2002</v>
      </c>
      <c r="U110" s="8">
        <f t="shared" si="9"/>
        <v>20</v>
      </c>
      <c r="V110" s="7">
        <v>2002</v>
      </c>
      <c r="W110" t="s">
        <v>738</v>
      </c>
      <c r="X110" s="2">
        <v>0.14099999999999999</v>
      </c>
      <c r="Y110" s="6">
        <f t="shared" si="14"/>
        <v>3.7639144710498915E-3</v>
      </c>
      <c r="AA110">
        <v>402508</v>
      </c>
      <c r="AB110">
        <v>20868</v>
      </c>
      <c r="AD110" t="s">
        <v>2</v>
      </c>
      <c r="AE110">
        <v>57</v>
      </c>
      <c r="AF110">
        <v>1</v>
      </c>
      <c r="AH110" s="9">
        <v>44378</v>
      </c>
      <c r="AI110" t="s">
        <v>10931</v>
      </c>
      <c r="AK110" t="s">
        <v>10930</v>
      </c>
      <c r="AL110">
        <v>0</v>
      </c>
      <c r="AM110" s="5">
        <f t="shared" si="10"/>
        <v>0</v>
      </c>
      <c r="AN110" s="4">
        <f t="shared" si="15"/>
        <v>0</v>
      </c>
      <c r="AO110" s="3"/>
      <c r="AP110">
        <v>0</v>
      </c>
      <c r="AR110" t="s">
        <v>1</v>
      </c>
      <c r="AT110" s="2" t="s">
        <v>0</v>
      </c>
      <c r="AU110" s="1">
        <f t="shared" si="11"/>
        <v>0.26347401297349238</v>
      </c>
      <c r="AV110" s="1">
        <f t="shared" si="12"/>
        <v>0.18819572355249459</v>
      </c>
      <c r="AW110" s="1">
        <f t="shared" si="13"/>
        <v>0.11291743413149673</v>
      </c>
    </row>
    <row r="111" spans="1:49" x14ac:dyDescent="0.2">
      <c r="A111">
        <v>109</v>
      </c>
      <c r="B111" t="s">
        <v>10929</v>
      </c>
      <c r="C111" t="s">
        <v>10928</v>
      </c>
      <c r="F111" t="s">
        <v>10927</v>
      </c>
      <c r="G111" t="s">
        <v>5</v>
      </c>
      <c r="H111" t="s">
        <v>4</v>
      </c>
      <c r="I111" t="s">
        <v>811</v>
      </c>
      <c r="J111" t="s">
        <v>10926</v>
      </c>
      <c r="K111" t="s">
        <v>10925</v>
      </c>
      <c r="L111" t="s">
        <v>10924</v>
      </c>
      <c r="M111" t="s">
        <v>10923</v>
      </c>
      <c r="N111">
        <v>5</v>
      </c>
      <c r="O111" t="s">
        <v>10922</v>
      </c>
      <c r="P111" t="s">
        <v>10921</v>
      </c>
      <c r="Q111" t="s">
        <v>10920</v>
      </c>
      <c r="R111" s="7">
        <v>37591</v>
      </c>
      <c r="S111" s="8">
        <f t="shared" si="8"/>
        <v>2002</v>
      </c>
      <c r="T111" s="8">
        <v>2002</v>
      </c>
      <c r="U111" s="8">
        <f t="shared" si="9"/>
        <v>20</v>
      </c>
      <c r="V111" s="7">
        <v>2002</v>
      </c>
      <c r="W111" t="s">
        <v>710</v>
      </c>
      <c r="X111" s="2">
        <v>1.3280000000000001</v>
      </c>
      <c r="Y111" s="6">
        <f t="shared" si="14"/>
        <v>3.5450201542937994E-2</v>
      </c>
      <c r="AA111">
        <v>15361225</v>
      </c>
      <c r="AB111">
        <v>18894</v>
      </c>
      <c r="AD111" t="s">
        <v>2</v>
      </c>
      <c r="AE111">
        <v>1</v>
      </c>
      <c r="AH111" t="s">
        <v>7197</v>
      </c>
      <c r="AI111" t="s">
        <v>10919</v>
      </c>
      <c r="AJ111" t="s">
        <v>10918</v>
      </c>
      <c r="AK111" t="s">
        <v>10917</v>
      </c>
      <c r="AL111">
        <v>6</v>
      </c>
      <c r="AM111" s="5">
        <f t="shared" si="10"/>
        <v>0.3</v>
      </c>
      <c r="AN111" s="4">
        <f t="shared" si="15"/>
        <v>4.5437334343051872E-4</v>
      </c>
      <c r="AO111" s="3"/>
      <c r="AP111">
        <v>0</v>
      </c>
      <c r="AR111" t="s">
        <v>1</v>
      </c>
      <c r="AT111" s="2">
        <v>3.8340000000000001</v>
      </c>
      <c r="AU111" s="1">
        <f t="shared" si="11"/>
        <v>2.4951453083085751</v>
      </c>
      <c r="AV111" s="1">
        <f t="shared" si="12"/>
        <v>1.7952287443184258</v>
      </c>
      <c r="AW111" s="1">
        <f t="shared" si="13"/>
        <v>1.0953121803282762</v>
      </c>
    </row>
    <row r="112" spans="1:49" x14ac:dyDescent="0.2">
      <c r="A112">
        <v>110</v>
      </c>
      <c r="B112" t="s">
        <v>10916</v>
      </c>
      <c r="C112" t="s">
        <v>10915</v>
      </c>
      <c r="F112" t="s">
        <v>10914</v>
      </c>
      <c r="G112" t="s">
        <v>5</v>
      </c>
      <c r="H112" t="s">
        <v>4</v>
      </c>
      <c r="I112" t="s">
        <v>10913</v>
      </c>
      <c r="J112">
        <v>60008673</v>
      </c>
      <c r="K112" t="s">
        <v>872</v>
      </c>
      <c r="L112" t="s">
        <v>871</v>
      </c>
      <c r="M112" t="s">
        <v>26</v>
      </c>
      <c r="N112">
        <v>2</v>
      </c>
      <c r="O112" t="s">
        <v>10912</v>
      </c>
      <c r="P112" t="s">
        <v>10911</v>
      </c>
      <c r="Q112" t="s">
        <v>877</v>
      </c>
      <c r="R112" s="7">
        <v>37591</v>
      </c>
      <c r="S112" s="8">
        <f t="shared" si="8"/>
        <v>2002</v>
      </c>
      <c r="T112" s="8">
        <v>2002</v>
      </c>
      <c r="U112" s="8">
        <f t="shared" si="9"/>
        <v>20</v>
      </c>
      <c r="V112" s="7">
        <v>37591</v>
      </c>
      <c r="W112" t="s">
        <v>720</v>
      </c>
      <c r="X112" s="2">
        <v>0.318</v>
      </c>
      <c r="Y112" s="6">
        <f t="shared" si="14"/>
        <v>8.4888283815167786E-3</v>
      </c>
      <c r="AA112">
        <v>338443</v>
      </c>
      <c r="AB112">
        <v>27160</v>
      </c>
      <c r="AC112">
        <v>15739120</v>
      </c>
      <c r="AD112" t="s">
        <v>2</v>
      </c>
      <c r="AE112">
        <v>45</v>
      </c>
      <c r="AF112">
        <v>12</v>
      </c>
      <c r="AH112" t="s">
        <v>10910</v>
      </c>
      <c r="AI112" t="s">
        <v>10909</v>
      </c>
      <c r="AK112" t="s">
        <v>10908</v>
      </c>
      <c r="AL112">
        <v>4</v>
      </c>
      <c r="AM112" s="5">
        <f t="shared" si="10"/>
        <v>0.2</v>
      </c>
      <c r="AN112" s="4">
        <f t="shared" si="15"/>
        <v>3.0291556228701253E-4</v>
      </c>
      <c r="AO112" s="3"/>
      <c r="AP112">
        <v>0</v>
      </c>
      <c r="AQ112" t="s">
        <v>1693</v>
      </c>
      <c r="AR112" t="s">
        <v>10907</v>
      </c>
      <c r="AS112" t="s">
        <v>1691</v>
      </c>
      <c r="AT112" s="2">
        <v>0.77</v>
      </c>
      <c r="AU112" s="1">
        <f t="shared" si="11"/>
        <v>0.60330545357478482</v>
      </c>
      <c r="AV112" s="1">
        <f t="shared" si="12"/>
        <v>0.43958719719018957</v>
      </c>
      <c r="AW112" s="1">
        <f t="shared" si="13"/>
        <v>0.27586894080559421</v>
      </c>
    </row>
    <row r="113" spans="1:49" x14ac:dyDescent="0.2">
      <c r="A113">
        <v>111</v>
      </c>
      <c r="B113" t="s">
        <v>10906</v>
      </c>
      <c r="C113" t="s">
        <v>10905</v>
      </c>
      <c r="F113" t="s">
        <v>10904</v>
      </c>
      <c r="G113" t="s">
        <v>5</v>
      </c>
      <c r="H113" t="s">
        <v>4</v>
      </c>
      <c r="I113" t="s">
        <v>10903</v>
      </c>
      <c r="J113" t="s">
        <v>10902</v>
      </c>
      <c r="K113" t="s">
        <v>10901</v>
      </c>
      <c r="L113" t="s">
        <v>10900</v>
      </c>
      <c r="M113" t="s">
        <v>10899</v>
      </c>
      <c r="N113">
        <v>3</v>
      </c>
      <c r="O113" t="s">
        <v>10898</v>
      </c>
      <c r="P113" t="s">
        <v>10897</v>
      </c>
      <c r="Q113" t="s">
        <v>10896</v>
      </c>
      <c r="R113" s="7">
        <v>37591</v>
      </c>
      <c r="S113" s="8">
        <f t="shared" si="8"/>
        <v>2002</v>
      </c>
      <c r="T113" s="8">
        <v>2002</v>
      </c>
      <c r="U113" s="8">
        <f t="shared" si="9"/>
        <v>20</v>
      </c>
      <c r="V113" s="7">
        <v>2002</v>
      </c>
      <c r="W113" t="s">
        <v>710</v>
      </c>
      <c r="X113" s="2">
        <v>1.3280000000000001</v>
      </c>
      <c r="Y113" s="6">
        <f t="shared" si="14"/>
        <v>3.5450201542937994E-2</v>
      </c>
      <c r="AA113">
        <v>15361225</v>
      </c>
      <c r="AB113">
        <v>18894</v>
      </c>
      <c r="AD113" t="s">
        <v>2</v>
      </c>
      <c r="AE113">
        <v>1</v>
      </c>
      <c r="AH113" t="s">
        <v>10895</v>
      </c>
      <c r="AI113" t="s">
        <v>10894</v>
      </c>
      <c r="AJ113" t="s">
        <v>10893</v>
      </c>
      <c r="AK113" t="s">
        <v>10892</v>
      </c>
      <c r="AL113">
        <v>56</v>
      </c>
      <c r="AM113" s="5">
        <f t="shared" si="10"/>
        <v>2.8</v>
      </c>
      <c r="AN113" s="4">
        <f t="shared" si="15"/>
        <v>4.2408178720181747E-3</v>
      </c>
      <c r="AO113" s="3"/>
      <c r="AP113">
        <v>0</v>
      </c>
      <c r="AR113" t="s">
        <v>1</v>
      </c>
      <c r="AT113" s="2">
        <v>3.8340000000000001</v>
      </c>
      <c r="AU113" s="1">
        <f t="shared" si="11"/>
        <v>2.6087386441662046</v>
      </c>
      <c r="AV113" s="1">
        <f t="shared" si="12"/>
        <v>1.9845509707478084</v>
      </c>
      <c r="AW113" s="1">
        <f t="shared" si="13"/>
        <v>1.360363297329412</v>
      </c>
    </row>
    <row r="114" spans="1:49" x14ac:dyDescent="0.2">
      <c r="A114">
        <v>112</v>
      </c>
      <c r="B114" t="s">
        <v>10891</v>
      </c>
      <c r="C114" t="s">
        <v>10890</v>
      </c>
      <c r="F114" t="s">
        <v>10889</v>
      </c>
      <c r="G114" t="s">
        <v>5</v>
      </c>
      <c r="H114" t="s">
        <v>4</v>
      </c>
      <c r="I114" t="s">
        <v>10888</v>
      </c>
      <c r="J114" t="s">
        <v>10887</v>
      </c>
      <c r="K114" t="s">
        <v>10886</v>
      </c>
      <c r="L114" t="s">
        <v>10885</v>
      </c>
      <c r="M114" t="s">
        <v>961</v>
      </c>
      <c r="N114">
        <v>6</v>
      </c>
      <c r="O114" t="s">
        <v>10884</v>
      </c>
      <c r="P114" t="s">
        <v>10883</v>
      </c>
      <c r="Q114" t="s">
        <v>10882</v>
      </c>
      <c r="R114" s="7">
        <v>37591</v>
      </c>
      <c r="S114" s="8">
        <f t="shared" si="8"/>
        <v>2002</v>
      </c>
      <c r="T114" s="8">
        <v>2002</v>
      </c>
      <c r="U114" s="8">
        <f t="shared" si="9"/>
        <v>20</v>
      </c>
      <c r="V114" s="7">
        <v>2002</v>
      </c>
      <c r="W114" t="s">
        <v>710</v>
      </c>
      <c r="X114" s="2">
        <v>1.3280000000000001</v>
      </c>
      <c r="Y114" s="6">
        <f t="shared" si="14"/>
        <v>3.5450201542937994E-2</v>
      </c>
      <c r="AA114">
        <v>15361225</v>
      </c>
      <c r="AB114">
        <v>18894</v>
      </c>
      <c r="AD114" t="s">
        <v>2</v>
      </c>
      <c r="AE114">
        <v>1</v>
      </c>
      <c r="AH114" t="s">
        <v>10881</v>
      </c>
      <c r="AI114" t="s">
        <v>10880</v>
      </c>
      <c r="AJ114" t="s">
        <v>10879</v>
      </c>
      <c r="AK114" t="s">
        <v>10878</v>
      </c>
      <c r="AL114">
        <v>20</v>
      </c>
      <c r="AM114" s="5">
        <f t="shared" si="10"/>
        <v>1</v>
      </c>
      <c r="AN114" s="4">
        <f t="shared" si="15"/>
        <v>1.5145778114350624E-3</v>
      </c>
      <c r="AO114" s="3"/>
      <c r="AP114">
        <v>0</v>
      </c>
      <c r="AR114" t="s">
        <v>1</v>
      </c>
      <c r="AT114" s="2">
        <v>3.8340000000000001</v>
      </c>
      <c r="AU114" s="1">
        <f t="shared" si="11"/>
        <v>2.5269514423487114</v>
      </c>
      <c r="AV114" s="1">
        <f t="shared" si="12"/>
        <v>1.8482389677186528</v>
      </c>
      <c r="AW114" s="1">
        <f t="shared" si="13"/>
        <v>1.1695264930885942</v>
      </c>
    </row>
    <row r="115" spans="1:49" x14ac:dyDescent="0.2">
      <c r="A115">
        <v>113</v>
      </c>
      <c r="B115" t="s">
        <v>10877</v>
      </c>
      <c r="C115" t="s">
        <v>10876</v>
      </c>
      <c r="F115" t="s">
        <v>10875</v>
      </c>
      <c r="G115" t="s">
        <v>5</v>
      </c>
      <c r="H115" t="s">
        <v>4</v>
      </c>
      <c r="I115" t="s">
        <v>10874</v>
      </c>
      <c r="J115" t="s">
        <v>10873</v>
      </c>
      <c r="K115" t="s">
        <v>10872</v>
      </c>
      <c r="L115" t="s">
        <v>10871</v>
      </c>
      <c r="M115" t="s">
        <v>3</v>
      </c>
      <c r="N115">
        <v>3</v>
      </c>
      <c r="O115" t="s">
        <v>10870</v>
      </c>
      <c r="P115" t="s">
        <v>10869</v>
      </c>
      <c r="Q115" t="s">
        <v>10868</v>
      </c>
      <c r="R115" s="7">
        <v>37591</v>
      </c>
      <c r="S115" s="8">
        <f t="shared" si="8"/>
        <v>2002</v>
      </c>
      <c r="T115" s="8">
        <v>2002</v>
      </c>
      <c r="U115" s="8">
        <f t="shared" si="9"/>
        <v>20</v>
      </c>
      <c r="V115" s="7">
        <v>37591</v>
      </c>
      <c r="W115" t="s">
        <v>10867</v>
      </c>
      <c r="X115" s="2">
        <v>0.621</v>
      </c>
      <c r="Y115" s="6">
        <f t="shared" si="14"/>
        <v>1.6577240329943142E-2</v>
      </c>
      <c r="AA115">
        <v>10857117</v>
      </c>
      <c r="AB115">
        <v>15654</v>
      </c>
      <c r="AD115" t="s">
        <v>2</v>
      </c>
      <c r="AE115">
        <v>7</v>
      </c>
      <c r="AF115">
        <v>4</v>
      </c>
      <c r="AH115" t="s">
        <v>10866</v>
      </c>
      <c r="AI115" t="s">
        <v>10865</v>
      </c>
      <c r="AJ115" t="s">
        <v>10864</v>
      </c>
      <c r="AK115" t="s">
        <v>10863</v>
      </c>
      <c r="AL115">
        <v>151</v>
      </c>
      <c r="AM115" s="5">
        <f t="shared" si="10"/>
        <v>7.55</v>
      </c>
      <c r="AN115" s="4">
        <f t="shared" si="15"/>
        <v>1.1435062476334721E-2</v>
      </c>
      <c r="AO115" s="3"/>
      <c r="AP115">
        <v>0</v>
      </c>
      <c r="AR115" t="s">
        <v>1</v>
      </c>
      <c r="AT115" s="2" t="s">
        <v>0</v>
      </c>
      <c r="AU115" s="1">
        <f t="shared" si="11"/>
        <v>1.5034586973860615</v>
      </c>
      <c r="AV115" s="1">
        <f t="shared" si="12"/>
        <v>1.4006151403138931</v>
      </c>
      <c r="AW115" s="1">
        <f t="shared" si="13"/>
        <v>1.2977715832417247</v>
      </c>
    </row>
    <row r="116" spans="1:49" x14ac:dyDescent="0.2">
      <c r="A116">
        <v>114</v>
      </c>
      <c r="B116" t="s">
        <v>10862</v>
      </c>
      <c r="C116" t="s">
        <v>10861</v>
      </c>
      <c r="F116" t="s">
        <v>10860</v>
      </c>
      <c r="G116" t="s">
        <v>5</v>
      </c>
      <c r="H116" t="s">
        <v>4</v>
      </c>
      <c r="I116" t="s">
        <v>10859</v>
      </c>
      <c r="J116" t="s">
        <v>356</v>
      </c>
      <c r="K116" t="s">
        <v>355</v>
      </c>
      <c r="L116" t="s">
        <v>354</v>
      </c>
      <c r="M116" t="s">
        <v>3</v>
      </c>
      <c r="N116">
        <v>3</v>
      </c>
      <c r="O116" t="s">
        <v>10858</v>
      </c>
      <c r="P116" t="s">
        <v>10857</v>
      </c>
      <c r="Q116" t="s">
        <v>10856</v>
      </c>
      <c r="R116" s="7">
        <v>37591</v>
      </c>
      <c r="S116" s="8">
        <f t="shared" si="8"/>
        <v>2002</v>
      </c>
      <c r="T116" s="8">
        <v>2002</v>
      </c>
      <c r="U116" s="8">
        <f t="shared" si="9"/>
        <v>20</v>
      </c>
      <c r="V116" s="7">
        <v>2002</v>
      </c>
      <c r="W116" t="s">
        <v>710</v>
      </c>
      <c r="X116" s="2">
        <v>1.3280000000000001</v>
      </c>
      <c r="Y116" s="6">
        <f t="shared" si="14"/>
        <v>3.5450201542937994E-2</v>
      </c>
      <c r="AA116">
        <v>15361225</v>
      </c>
      <c r="AB116">
        <v>18894</v>
      </c>
      <c r="AD116" t="s">
        <v>2</v>
      </c>
      <c r="AE116">
        <v>1</v>
      </c>
      <c r="AH116" s="9">
        <v>44288</v>
      </c>
      <c r="AI116" t="s">
        <v>10855</v>
      </c>
      <c r="AJ116" t="s">
        <v>10854</v>
      </c>
      <c r="AK116" t="s">
        <v>10853</v>
      </c>
      <c r="AL116">
        <v>16</v>
      </c>
      <c r="AM116" s="5">
        <f t="shared" si="10"/>
        <v>0.8</v>
      </c>
      <c r="AN116" s="4">
        <f t="shared" si="15"/>
        <v>1.2116622491480501E-3</v>
      </c>
      <c r="AO116" s="3"/>
      <c r="AP116">
        <v>0</v>
      </c>
      <c r="AR116" t="s">
        <v>1</v>
      </c>
      <c r="AT116" s="2">
        <v>3.8340000000000001</v>
      </c>
      <c r="AU116" s="1">
        <f t="shared" si="11"/>
        <v>2.5178639754801009</v>
      </c>
      <c r="AV116" s="1">
        <f t="shared" si="12"/>
        <v>1.8330931896043023</v>
      </c>
      <c r="AW116" s="1">
        <f t="shared" si="13"/>
        <v>1.1483224037285034</v>
      </c>
    </row>
    <row r="117" spans="1:49" x14ac:dyDescent="0.2">
      <c r="A117">
        <v>115</v>
      </c>
      <c r="B117" t="s">
        <v>10852</v>
      </c>
      <c r="C117" t="s">
        <v>10851</v>
      </c>
      <c r="F117" t="s">
        <v>10850</v>
      </c>
      <c r="G117" t="s">
        <v>5</v>
      </c>
      <c r="H117" t="s">
        <v>4</v>
      </c>
      <c r="I117" t="s">
        <v>2965</v>
      </c>
      <c r="J117" t="s">
        <v>10849</v>
      </c>
      <c r="K117" t="s">
        <v>10848</v>
      </c>
      <c r="L117" t="s">
        <v>10847</v>
      </c>
      <c r="M117" t="s">
        <v>820</v>
      </c>
      <c r="N117">
        <v>2</v>
      </c>
      <c r="O117" t="s">
        <v>10846</v>
      </c>
      <c r="P117" t="s">
        <v>10845</v>
      </c>
      <c r="Q117" t="s">
        <v>10844</v>
      </c>
      <c r="R117" s="7">
        <v>37591</v>
      </c>
      <c r="S117" s="8">
        <f t="shared" si="8"/>
        <v>2002</v>
      </c>
      <c r="T117" s="8">
        <v>2002</v>
      </c>
      <c r="U117" s="8">
        <f t="shared" si="9"/>
        <v>20</v>
      </c>
      <c r="V117" s="7">
        <v>2002</v>
      </c>
      <c r="W117" t="s">
        <v>710</v>
      </c>
      <c r="X117" s="2">
        <v>1.3280000000000001</v>
      </c>
      <c r="Y117" s="6">
        <f t="shared" si="14"/>
        <v>3.5450201542937994E-2</v>
      </c>
      <c r="AA117">
        <v>15361225</v>
      </c>
      <c r="AB117">
        <v>18894</v>
      </c>
      <c r="AD117" t="s">
        <v>2</v>
      </c>
      <c r="AE117">
        <v>1</v>
      </c>
      <c r="AH117" t="s">
        <v>10843</v>
      </c>
      <c r="AI117" t="s">
        <v>10842</v>
      </c>
      <c r="AJ117" t="s">
        <v>10841</v>
      </c>
      <c r="AK117" t="s">
        <v>10840</v>
      </c>
      <c r="AL117">
        <v>10</v>
      </c>
      <c r="AM117" s="5">
        <f t="shared" si="10"/>
        <v>0.5</v>
      </c>
      <c r="AN117" s="4">
        <f t="shared" si="15"/>
        <v>7.572889057175312E-4</v>
      </c>
      <c r="AO117" s="3"/>
      <c r="AP117">
        <v>0</v>
      </c>
      <c r="AQ117" t="s">
        <v>302</v>
      </c>
      <c r="AR117" t="s">
        <v>10839</v>
      </c>
      <c r="AS117" t="s">
        <v>301</v>
      </c>
      <c r="AT117" s="2">
        <v>3.8340000000000001</v>
      </c>
      <c r="AU117" s="1">
        <f t="shared" si="11"/>
        <v>2.5042327751771856</v>
      </c>
      <c r="AV117" s="1">
        <f t="shared" si="12"/>
        <v>1.8103745224327763</v>
      </c>
      <c r="AW117" s="1">
        <f t="shared" si="13"/>
        <v>1.116516269688367</v>
      </c>
    </row>
    <row r="118" spans="1:49" x14ac:dyDescent="0.2">
      <c r="A118">
        <v>116</v>
      </c>
      <c r="B118" t="s">
        <v>10838</v>
      </c>
      <c r="C118" t="s">
        <v>10837</v>
      </c>
      <c r="F118" t="s">
        <v>10836</v>
      </c>
      <c r="G118" t="s">
        <v>5</v>
      </c>
      <c r="H118" t="s">
        <v>4</v>
      </c>
      <c r="I118" t="s">
        <v>10835</v>
      </c>
      <c r="J118">
        <v>60013682</v>
      </c>
      <c r="K118" t="s">
        <v>767</v>
      </c>
      <c r="L118" t="s">
        <v>153</v>
      </c>
      <c r="M118" t="s">
        <v>152</v>
      </c>
      <c r="N118">
        <v>2</v>
      </c>
      <c r="O118" t="s">
        <v>10834</v>
      </c>
      <c r="P118" t="s">
        <v>10833</v>
      </c>
      <c r="Q118" t="s">
        <v>766</v>
      </c>
      <c r="R118" s="7">
        <v>37591</v>
      </c>
      <c r="S118" s="8">
        <f t="shared" si="8"/>
        <v>2002</v>
      </c>
      <c r="T118" s="8">
        <v>2002</v>
      </c>
      <c r="U118" s="8">
        <f t="shared" si="9"/>
        <v>20</v>
      </c>
      <c r="V118" s="7">
        <v>37591</v>
      </c>
      <c r="W118" t="s">
        <v>10832</v>
      </c>
      <c r="X118" s="2">
        <v>0.78800000000000003</v>
      </c>
      <c r="Y118" s="6">
        <f t="shared" si="14"/>
        <v>2.1035209951683086E-2</v>
      </c>
      <c r="AA118">
        <v>9226435</v>
      </c>
      <c r="AB118">
        <v>27195</v>
      </c>
      <c r="AD118" t="s">
        <v>2</v>
      </c>
      <c r="AE118">
        <v>14</v>
      </c>
      <c r="AF118">
        <v>3</v>
      </c>
      <c r="AH118" t="s">
        <v>10831</v>
      </c>
      <c r="AI118" t="s">
        <v>10830</v>
      </c>
      <c r="AJ118" t="s">
        <v>10829</v>
      </c>
      <c r="AK118" t="s">
        <v>10828</v>
      </c>
      <c r="AL118">
        <v>2</v>
      </c>
      <c r="AM118" s="5">
        <f t="shared" si="10"/>
        <v>0.1</v>
      </c>
      <c r="AN118" s="4">
        <f t="shared" si="15"/>
        <v>1.5145778114350627E-4</v>
      </c>
      <c r="AO118" s="3"/>
      <c r="AP118">
        <v>0</v>
      </c>
      <c r="AR118" t="s">
        <v>10827</v>
      </c>
      <c r="AT118" s="2">
        <v>2.012</v>
      </c>
      <c r="AU118" s="1">
        <f t="shared" si="11"/>
        <v>1.4770084300521211</v>
      </c>
      <c r="AV118" s="1">
        <f t="shared" si="12"/>
        <v>1.0593333866413295</v>
      </c>
      <c r="AW118" s="1">
        <f t="shared" si="13"/>
        <v>0.64165834323053794</v>
      </c>
    </row>
    <row r="119" spans="1:49" x14ac:dyDescent="0.2">
      <c r="A119">
        <v>117</v>
      </c>
      <c r="B119" t="s">
        <v>10826</v>
      </c>
      <c r="C119" t="s">
        <v>10825</v>
      </c>
      <c r="F119" t="s">
        <v>10824</v>
      </c>
      <c r="G119" t="s">
        <v>5</v>
      </c>
      <c r="H119" t="s">
        <v>4</v>
      </c>
      <c r="I119" t="s">
        <v>10823</v>
      </c>
      <c r="J119" t="s">
        <v>10822</v>
      </c>
      <c r="K119" t="s">
        <v>10821</v>
      </c>
      <c r="L119" t="s">
        <v>10820</v>
      </c>
      <c r="M119" t="s">
        <v>358</v>
      </c>
      <c r="N119">
        <v>2</v>
      </c>
      <c r="O119" t="s">
        <v>10819</v>
      </c>
      <c r="P119" t="s">
        <v>10818</v>
      </c>
      <c r="Q119" t="s">
        <v>10817</v>
      </c>
      <c r="R119" s="7">
        <v>37591</v>
      </c>
      <c r="S119" s="8">
        <f t="shared" si="8"/>
        <v>2002</v>
      </c>
      <c r="T119" s="8">
        <v>2002</v>
      </c>
      <c r="U119" s="8">
        <f t="shared" si="9"/>
        <v>20</v>
      </c>
      <c r="V119" s="7">
        <v>2002</v>
      </c>
      <c r="W119" t="s">
        <v>710</v>
      </c>
      <c r="X119" s="2">
        <v>1.3280000000000001</v>
      </c>
      <c r="Y119" s="6">
        <f t="shared" si="14"/>
        <v>3.5450201542937994E-2</v>
      </c>
      <c r="AA119">
        <v>15361225</v>
      </c>
      <c r="AB119">
        <v>18894</v>
      </c>
      <c r="AD119" t="s">
        <v>2</v>
      </c>
      <c r="AE119">
        <v>1</v>
      </c>
      <c r="AH119" t="s">
        <v>10816</v>
      </c>
      <c r="AI119" t="s">
        <v>10815</v>
      </c>
      <c r="AJ119" t="s">
        <v>10814</v>
      </c>
      <c r="AK119" t="s">
        <v>10813</v>
      </c>
      <c r="AL119">
        <v>60</v>
      </c>
      <c r="AM119" s="5">
        <f t="shared" si="10"/>
        <v>3</v>
      </c>
      <c r="AN119" s="4">
        <f t="shared" si="15"/>
        <v>4.5437334343051876E-3</v>
      </c>
      <c r="AO119" s="3"/>
      <c r="AP119">
        <v>0</v>
      </c>
      <c r="AR119" t="s">
        <v>1</v>
      </c>
      <c r="AT119" s="2">
        <v>3.8340000000000001</v>
      </c>
      <c r="AU119" s="1">
        <f t="shared" si="11"/>
        <v>2.6178261110348151</v>
      </c>
      <c r="AV119" s="1">
        <f t="shared" si="12"/>
        <v>1.9996967488621591</v>
      </c>
      <c r="AW119" s="1">
        <f t="shared" si="13"/>
        <v>1.3815673866895029</v>
      </c>
    </row>
    <row r="120" spans="1:49" x14ac:dyDescent="0.2">
      <c r="A120">
        <v>118</v>
      </c>
      <c r="B120" t="s">
        <v>10812</v>
      </c>
      <c r="C120" t="s">
        <v>10811</v>
      </c>
      <c r="F120" t="s">
        <v>10810</v>
      </c>
      <c r="G120" t="s">
        <v>5</v>
      </c>
      <c r="H120" t="s">
        <v>4</v>
      </c>
      <c r="I120" t="s">
        <v>1963</v>
      </c>
      <c r="J120">
        <v>60029738</v>
      </c>
      <c r="K120" t="s">
        <v>1027</v>
      </c>
      <c r="L120" t="s">
        <v>1026</v>
      </c>
      <c r="M120" t="s">
        <v>41</v>
      </c>
      <c r="N120">
        <v>2</v>
      </c>
      <c r="O120" t="s">
        <v>1962</v>
      </c>
      <c r="P120" t="s">
        <v>1961</v>
      </c>
      <c r="Q120" t="s">
        <v>1960</v>
      </c>
      <c r="R120" s="7">
        <v>37591</v>
      </c>
      <c r="S120" s="8">
        <f t="shared" si="8"/>
        <v>2002</v>
      </c>
      <c r="T120" s="8">
        <v>2002</v>
      </c>
      <c r="U120" s="8">
        <f t="shared" si="9"/>
        <v>20</v>
      </c>
      <c r="V120" s="7">
        <v>2002</v>
      </c>
      <c r="W120" t="s">
        <v>710</v>
      </c>
      <c r="X120" s="2">
        <v>1.3280000000000001</v>
      </c>
      <c r="Y120" s="6">
        <f t="shared" si="14"/>
        <v>3.5450201542937994E-2</v>
      </c>
      <c r="AA120">
        <v>15361225</v>
      </c>
      <c r="AB120">
        <v>18894</v>
      </c>
      <c r="AD120" t="s">
        <v>2</v>
      </c>
      <c r="AE120">
        <v>1</v>
      </c>
      <c r="AH120" t="s">
        <v>10809</v>
      </c>
      <c r="AI120" t="s">
        <v>10808</v>
      </c>
      <c r="AJ120" t="s">
        <v>10807</v>
      </c>
      <c r="AK120" t="s">
        <v>10806</v>
      </c>
      <c r="AL120">
        <v>9</v>
      </c>
      <c r="AM120" s="5">
        <f t="shared" si="10"/>
        <v>0.45</v>
      </c>
      <c r="AN120" s="4">
        <f t="shared" si="15"/>
        <v>6.8156001514577808E-4</v>
      </c>
      <c r="AO120" s="3"/>
      <c r="AP120">
        <v>0</v>
      </c>
      <c r="AR120" t="s">
        <v>1</v>
      </c>
      <c r="AT120" s="2">
        <v>3.8340000000000001</v>
      </c>
      <c r="AU120" s="1">
        <f t="shared" si="11"/>
        <v>2.5019609084600329</v>
      </c>
      <c r="AV120" s="1">
        <f t="shared" si="12"/>
        <v>1.8065880779041885</v>
      </c>
      <c r="AW120" s="1">
        <f t="shared" si="13"/>
        <v>1.1112152473483443</v>
      </c>
    </row>
    <row r="121" spans="1:49" x14ac:dyDescent="0.2">
      <c r="A121">
        <v>119</v>
      </c>
      <c r="B121" t="s">
        <v>10805</v>
      </c>
      <c r="C121" t="s">
        <v>10804</v>
      </c>
      <c r="F121" t="s">
        <v>10803</v>
      </c>
      <c r="G121" t="s">
        <v>5</v>
      </c>
      <c r="H121" t="s">
        <v>4</v>
      </c>
      <c r="I121" t="s">
        <v>10802</v>
      </c>
      <c r="J121" t="s">
        <v>10801</v>
      </c>
      <c r="K121" t="s">
        <v>10800</v>
      </c>
      <c r="L121" t="s">
        <v>10799</v>
      </c>
      <c r="M121" t="s">
        <v>10798</v>
      </c>
      <c r="N121">
        <v>2</v>
      </c>
      <c r="O121" t="s">
        <v>10797</v>
      </c>
      <c r="P121" t="s">
        <v>10796</v>
      </c>
      <c r="Q121" t="s">
        <v>10795</v>
      </c>
      <c r="R121" s="7">
        <v>37591</v>
      </c>
      <c r="S121" s="8">
        <f t="shared" si="8"/>
        <v>2002</v>
      </c>
      <c r="T121" s="8">
        <v>2002</v>
      </c>
      <c r="U121" s="8">
        <f t="shared" si="9"/>
        <v>20</v>
      </c>
      <c r="V121" s="7">
        <v>2002</v>
      </c>
      <c r="W121" t="s">
        <v>710</v>
      </c>
      <c r="X121" s="2">
        <v>1.3280000000000001</v>
      </c>
      <c r="Y121" s="6">
        <f t="shared" si="14"/>
        <v>3.5450201542937994E-2</v>
      </c>
      <c r="AA121">
        <v>15361225</v>
      </c>
      <c r="AB121">
        <v>18894</v>
      </c>
      <c r="AD121" t="s">
        <v>2</v>
      </c>
      <c r="AE121">
        <v>1</v>
      </c>
      <c r="AH121" t="s">
        <v>10794</v>
      </c>
      <c r="AI121" t="s">
        <v>10793</v>
      </c>
      <c r="AJ121" t="s">
        <v>10792</v>
      </c>
      <c r="AK121" t="s">
        <v>10791</v>
      </c>
      <c r="AL121">
        <v>14</v>
      </c>
      <c r="AM121" s="5">
        <f t="shared" si="10"/>
        <v>0.7</v>
      </c>
      <c r="AN121" s="4">
        <f t="shared" si="15"/>
        <v>1.0602044680045437E-3</v>
      </c>
      <c r="AO121" s="3"/>
      <c r="AP121">
        <v>0</v>
      </c>
      <c r="AR121" t="s">
        <v>1</v>
      </c>
      <c r="AT121" s="2">
        <v>3.8340000000000001</v>
      </c>
      <c r="AU121" s="1">
        <f t="shared" si="11"/>
        <v>2.5133202420457961</v>
      </c>
      <c r="AV121" s="1">
        <f t="shared" si="12"/>
        <v>1.825520300547127</v>
      </c>
      <c r="AW121" s="1">
        <f t="shared" si="13"/>
        <v>1.1377203590484579</v>
      </c>
    </row>
    <row r="122" spans="1:49" x14ac:dyDescent="0.2">
      <c r="A122">
        <v>120</v>
      </c>
      <c r="B122" t="s">
        <v>10790</v>
      </c>
      <c r="C122" t="s">
        <v>10789</v>
      </c>
      <c r="F122" t="s">
        <v>10788</v>
      </c>
      <c r="G122" t="s">
        <v>5</v>
      </c>
      <c r="H122" t="s">
        <v>4</v>
      </c>
      <c r="I122" t="s">
        <v>1114</v>
      </c>
      <c r="J122" t="s">
        <v>1067</v>
      </c>
      <c r="K122" t="s">
        <v>1066</v>
      </c>
      <c r="L122" t="s">
        <v>324</v>
      </c>
      <c r="M122" t="s">
        <v>323</v>
      </c>
      <c r="N122">
        <v>2</v>
      </c>
      <c r="O122" t="s">
        <v>10688</v>
      </c>
      <c r="P122" t="s">
        <v>10687</v>
      </c>
      <c r="Q122" t="s">
        <v>10787</v>
      </c>
      <c r="R122" s="7">
        <v>37591</v>
      </c>
      <c r="S122" s="8">
        <f t="shared" si="8"/>
        <v>2002</v>
      </c>
      <c r="T122" s="8">
        <v>2002</v>
      </c>
      <c r="U122" s="8">
        <f t="shared" si="9"/>
        <v>20</v>
      </c>
      <c r="V122" s="7">
        <v>2002</v>
      </c>
      <c r="W122" t="s">
        <v>710</v>
      </c>
      <c r="X122" s="2">
        <v>1.3280000000000001</v>
      </c>
      <c r="Y122" s="6">
        <f t="shared" si="14"/>
        <v>3.5450201542937994E-2</v>
      </c>
      <c r="AA122">
        <v>15361225</v>
      </c>
      <c r="AB122">
        <v>18894</v>
      </c>
      <c r="AD122" t="s">
        <v>2</v>
      </c>
      <c r="AE122">
        <v>1</v>
      </c>
      <c r="AH122" t="s">
        <v>157</v>
      </c>
      <c r="AI122" t="s">
        <v>10786</v>
      </c>
      <c r="AJ122" t="s">
        <v>10785</v>
      </c>
      <c r="AK122" t="s">
        <v>10784</v>
      </c>
      <c r="AL122">
        <v>61</v>
      </c>
      <c r="AM122" s="5">
        <f t="shared" si="10"/>
        <v>3.05</v>
      </c>
      <c r="AN122" s="4">
        <f t="shared" si="15"/>
        <v>4.61946232487694E-3</v>
      </c>
      <c r="AO122" s="3"/>
      <c r="AP122">
        <v>0</v>
      </c>
      <c r="AR122" t="s">
        <v>1</v>
      </c>
      <c r="AT122" s="2">
        <v>3.8340000000000001</v>
      </c>
      <c r="AU122" s="1">
        <f t="shared" si="11"/>
        <v>2.6200979777519677</v>
      </c>
      <c r="AV122" s="1">
        <f t="shared" si="12"/>
        <v>2.0034831933907467</v>
      </c>
      <c r="AW122" s="1">
        <f t="shared" si="13"/>
        <v>1.3868684090295256</v>
      </c>
    </row>
    <row r="123" spans="1:49" x14ac:dyDescent="0.2">
      <c r="A123">
        <v>121</v>
      </c>
      <c r="B123" t="s">
        <v>10783</v>
      </c>
      <c r="C123" t="s">
        <v>10782</v>
      </c>
      <c r="F123" t="s">
        <v>10781</v>
      </c>
      <c r="G123" t="s">
        <v>5</v>
      </c>
      <c r="H123" t="s">
        <v>4</v>
      </c>
      <c r="I123" t="s">
        <v>661</v>
      </c>
      <c r="J123" t="s">
        <v>660</v>
      </c>
      <c r="K123" t="s">
        <v>659</v>
      </c>
      <c r="L123" t="s">
        <v>658</v>
      </c>
      <c r="M123" t="s">
        <v>657</v>
      </c>
      <c r="N123">
        <v>1</v>
      </c>
      <c r="O123" t="s">
        <v>10780</v>
      </c>
      <c r="P123">
        <v>7406720850</v>
      </c>
      <c r="Q123" t="s">
        <v>10779</v>
      </c>
      <c r="R123" s="7">
        <v>37591</v>
      </c>
      <c r="S123" s="8">
        <f t="shared" si="8"/>
        <v>2002</v>
      </c>
      <c r="T123" s="8">
        <v>2002</v>
      </c>
      <c r="U123" s="8">
        <f t="shared" si="9"/>
        <v>20</v>
      </c>
      <c r="V123" s="7">
        <v>2002</v>
      </c>
      <c r="W123" t="s">
        <v>9027</v>
      </c>
      <c r="X123" s="2">
        <v>2.0099999999999998</v>
      </c>
      <c r="Y123" s="6">
        <f t="shared" si="14"/>
        <v>5.3655802034115477E-2</v>
      </c>
      <c r="AA123">
        <v>15361276</v>
      </c>
      <c r="AB123">
        <v>18933</v>
      </c>
      <c r="AD123" t="s">
        <v>2</v>
      </c>
      <c r="AE123">
        <v>1</v>
      </c>
      <c r="AF123">
        <v>3</v>
      </c>
      <c r="AH123" t="s">
        <v>10778</v>
      </c>
      <c r="AI123" t="s">
        <v>10777</v>
      </c>
      <c r="AJ123" t="s">
        <v>10776</v>
      </c>
      <c r="AK123" t="s">
        <v>10775</v>
      </c>
      <c r="AL123">
        <v>27</v>
      </c>
      <c r="AM123" s="5">
        <f t="shared" si="10"/>
        <v>1.35</v>
      </c>
      <c r="AN123" s="4">
        <f t="shared" si="15"/>
        <v>2.0446800454373346E-3</v>
      </c>
      <c r="AO123" s="3"/>
      <c r="AP123">
        <v>0</v>
      </c>
      <c r="AQ123" t="s">
        <v>1145</v>
      </c>
      <c r="AR123">
        <v>7001262</v>
      </c>
      <c r="AS123" t="s">
        <v>393</v>
      </c>
      <c r="AT123" s="2" t="s">
        <v>0</v>
      </c>
      <c r="AU123" s="1">
        <f t="shared" si="11"/>
        <v>3.8172465437512031</v>
      </c>
      <c r="AV123" s="1">
        <f t="shared" si="12"/>
        <v>2.7850241039776407</v>
      </c>
      <c r="AW123" s="1">
        <f t="shared" si="13"/>
        <v>1.7528016642040776</v>
      </c>
    </row>
    <row r="124" spans="1:49" x14ac:dyDescent="0.2">
      <c r="A124">
        <v>122</v>
      </c>
      <c r="B124" t="s">
        <v>10774</v>
      </c>
      <c r="C124" t="s">
        <v>10773</v>
      </c>
      <c r="F124" t="s">
        <v>10772</v>
      </c>
      <c r="G124" t="s">
        <v>5</v>
      </c>
      <c r="H124" t="s">
        <v>4</v>
      </c>
      <c r="I124" t="s">
        <v>10771</v>
      </c>
      <c r="J124">
        <v>60005837</v>
      </c>
      <c r="K124" t="s">
        <v>9731</v>
      </c>
      <c r="L124" t="s">
        <v>680</v>
      </c>
      <c r="M124" t="s">
        <v>7</v>
      </c>
      <c r="N124">
        <v>5</v>
      </c>
      <c r="O124" t="s">
        <v>10770</v>
      </c>
      <c r="P124" t="s">
        <v>10769</v>
      </c>
      <c r="Q124" t="s">
        <v>9728</v>
      </c>
      <c r="R124" s="7">
        <v>37591</v>
      </c>
      <c r="S124" s="8">
        <f t="shared" si="8"/>
        <v>2002</v>
      </c>
      <c r="T124" s="8">
        <v>2002</v>
      </c>
      <c r="U124" s="8">
        <f t="shared" si="9"/>
        <v>20</v>
      </c>
      <c r="V124" s="7">
        <v>2002</v>
      </c>
      <c r="W124" t="s">
        <v>710</v>
      </c>
      <c r="X124" s="2">
        <v>1.3280000000000001</v>
      </c>
      <c r="Y124" s="6">
        <f t="shared" si="14"/>
        <v>3.5450201542937994E-2</v>
      </c>
      <c r="AA124">
        <v>15361225</v>
      </c>
      <c r="AB124">
        <v>18894</v>
      </c>
      <c r="AD124" t="s">
        <v>2</v>
      </c>
      <c r="AE124">
        <v>1</v>
      </c>
      <c r="AH124" s="9">
        <v>44447</v>
      </c>
      <c r="AI124" t="s">
        <v>10768</v>
      </c>
      <c r="AJ124" t="s">
        <v>10767</v>
      </c>
      <c r="AK124" t="s">
        <v>10766</v>
      </c>
      <c r="AL124">
        <v>20</v>
      </c>
      <c r="AM124" s="5">
        <f t="shared" si="10"/>
        <v>1</v>
      </c>
      <c r="AN124" s="4">
        <f t="shared" si="15"/>
        <v>1.5145778114350624E-3</v>
      </c>
      <c r="AO124" s="3"/>
      <c r="AP124">
        <v>0</v>
      </c>
      <c r="AQ124" t="s">
        <v>10765</v>
      </c>
      <c r="AR124" t="s">
        <v>1</v>
      </c>
      <c r="AS124" t="s">
        <v>9731</v>
      </c>
      <c r="AT124" s="2">
        <v>3.8340000000000001</v>
      </c>
      <c r="AU124" s="1">
        <f t="shared" si="11"/>
        <v>2.5269514423487114</v>
      </c>
      <c r="AV124" s="1">
        <f t="shared" si="12"/>
        <v>1.8482389677186528</v>
      </c>
      <c r="AW124" s="1">
        <f t="shared" si="13"/>
        <v>1.1695264930885942</v>
      </c>
    </row>
    <row r="125" spans="1:49" x14ac:dyDescent="0.2">
      <c r="A125">
        <v>123</v>
      </c>
      <c r="B125" t="s">
        <v>10764</v>
      </c>
      <c r="F125" t="s">
        <v>10763</v>
      </c>
      <c r="G125" t="s">
        <v>5</v>
      </c>
      <c r="H125" t="s">
        <v>4</v>
      </c>
      <c r="I125" t="s">
        <v>10762</v>
      </c>
      <c r="J125">
        <v>60032619</v>
      </c>
      <c r="K125" t="s">
        <v>10761</v>
      </c>
      <c r="L125" t="s">
        <v>10760</v>
      </c>
      <c r="M125" t="s">
        <v>121</v>
      </c>
      <c r="N125">
        <v>3</v>
      </c>
      <c r="O125" t="s">
        <v>10759</v>
      </c>
      <c r="P125" t="s">
        <v>10758</v>
      </c>
      <c r="Q125" t="s">
        <v>10757</v>
      </c>
      <c r="R125" s="7">
        <v>37591</v>
      </c>
      <c r="S125" s="8">
        <f t="shared" si="8"/>
        <v>2002</v>
      </c>
      <c r="T125" s="8">
        <v>2002</v>
      </c>
      <c r="U125" s="8">
        <f t="shared" si="9"/>
        <v>20</v>
      </c>
      <c r="V125" s="7">
        <v>2002</v>
      </c>
      <c r="W125" t="s">
        <v>10756</v>
      </c>
      <c r="X125" s="2">
        <v>0.183</v>
      </c>
      <c r="Y125" s="6">
        <f t="shared" si="14"/>
        <v>4.8850804837030515E-3</v>
      </c>
      <c r="AA125">
        <v>11951036</v>
      </c>
      <c r="AB125">
        <v>22632</v>
      </c>
      <c r="AD125" t="s">
        <v>2</v>
      </c>
      <c r="AE125">
        <v>56</v>
      </c>
      <c r="AF125">
        <v>1</v>
      </c>
      <c r="AH125" s="10">
        <v>43770</v>
      </c>
      <c r="AI125" t="s">
        <v>10755</v>
      </c>
      <c r="AK125" t="s">
        <v>10754</v>
      </c>
      <c r="AL125">
        <v>1</v>
      </c>
      <c r="AM125" s="5">
        <f t="shared" si="10"/>
        <v>0.05</v>
      </c>
      <c r="AN125" s="4">
        <f t="shared" si="15"/>
        <v>7.5728890571753133E-5</v>
      </c>
      <c r="AO125" s="3"/>
      <c r="AP125">
        <v>0</v>
      </c>
      <c r="AR125" t="s">
        <v>1</v>
      </c>
      <c r="AT125" s="2" t="s">
        <v>0</v>
      </c>
      <c r="AU125" s="1">
        <f t="shared" si="11"/>
        <v>0.3442275005763662</v>
      </c>
      <c r="AV125" s="1">
        <f t="shared" si="12"/>
        <v>0.24804046871374025</v>
      </c>
      <c r="AW125" s="1">
        <f t="shared" si="13"/>
        <v>0.15185343685111427</v>
      </c>
    </row>
    <row r="126" spans="1:49" x14ac:dyDescent="0.2">
      <c r="A126">
        <v>124</v>
      </c>
      <c r="B126" t="s">
        <v>10753</v>
      </c>
      <c r="C126" t="s">
        <v>10752</v>
      </c>
      <c r="F126" t="s">
        <v>10751</v>
      </c>
      <c r="G126" t="s">
        <v>5</v>
      </c>
      <c r="H126" t="s">
        <v>4</v>
      </c>
      <c r="I126" t="s">
        <v>10750</v>
      </c>
      <c r="J126" t="s">
        <v>10749</v>
      </c>
      <c r="K126" t="s">
        <v>10748</v>
      </c>
      <c r="L126" t="s">
        <v>10747</v>
      </c>
      <c r="M126" t="s">
        <v>75</v>
      </c>
      <c r="N126">
        <v>5</v>
      </c>
      <c r="O126" t="s">
        <v>10746</v>
      </c>
      <c r="P126" t="s">
        <v>10745</v>
      </c>
      <c r="Q126" t="s">
        <v>10744</v>
      </c>
      <c r="R126" s="7">
        <v>37591</v>
      </c>
      <c r="S126" s="8">
        <f t="shared" si="8"/>
        <v>2002</v>
      </c>
      <c r="T126" s="8">
        <v>2002</v>
      </c>
      <c r="U126" s="8">
        <f t="shared" si="9"/>
        <v>20</v>
      </c>
      <c r="V126" s="7">
        <v>2002</v>
      </c>
      <c r="W126" t="s">
        <v>710</v>
      </c>
      <c r="X126" s="2">
        <v>1.3280000000000001</v>
      </c>
      <c r="Y126" s="6">
        <f t="shared" si="14"/>
        <v>3.5450201542937994E-2</v>
      </c>
      <c r="AA126">
        <v>15361225</v>
      </c>
      <c r="AB126">
        <v>18894</v>
      </c>
      <c r="AD126" t="s">
        <v>2</v>
      </c>
      <c r="AE126">
        <v>1</v>
      </c>
      <c r="AH126" t="s">
        <v>10743</v>
      </c>
      <c r="AI126" t="s">
        <v>10742</v>
      </c>
      <c r="AJ126" t="s">
        <v>10741</v>
      </c>
      <c r="AK126" t="s">
        <v>10740</v>
      </c>
      <c r="AL126">
        <v>1</v>
      </c>
      <c r="AM126" s="5">
        <f t="shared" si="10"/>
        <v>0.05</v>
      </c>
      <c r="AN126" s="4">
        <f t="shared" si="15"/>
        <v>7.5728890571753133E-5</v>
      </c>
      <c r="AO126" s="3"/>
      <c r="AP126">
        <v>0</v>
      </c>
      <c r="AR126" t="s">
        <v>1</v>
      </c>
      <c r="AT126" s="2">
        <v>3.8340000000000001</v>
      </c>
      <c r="AU126" s="1">
        <f t="shared" si="11"/>
        <v>2.4837859747228119</v>
      </c>
      <c r="AV126" s="1">
        <f t="shared" si="12"/>
        <v>1.7762965216754873</v>
      </c>
      <c r="AW126" s="1">
        <f t="shared" si="13"/>
        <v>1.0688070686281625</v>
      </c>
    </row>
    <row r="127" spans="1:49" x14ac:dyDescent="0.2">
      <c r="A127">
        <v>125</v>
      </c>
      <c r="B127" t="s">
        <v>10739</v>
      </c>
      <c r="C127" t="s">
        <v>10738</v>
      </c>
      <c r="F127" t="s">
        <v>10737</v>
      </c>
      <c r="G127" t="s">
        <v>5</v>
      </c>
      <c r="H127" t="s">
        <v>4</v>
      </c>
      <c r="I127" t="s">
        <v>10736</v>
      </c>
      <c r="J127" t="s">
        <v>660</v>
      </c>
      <c r="K127" t="s">
        <v>659</v>
      </c>
      <c r="L127" t="s">
        <v>658</v>
      </c>
      <c r="M127" t="s">
        <v>657</v>
      </c>
      <c r="N127">
        <v>3</v>
      </c>
      <c r="O127" t="s">
        <v>10735</v>
      </c>
      <c r="P127" t="s">
        <v>10734</v>
      </c>
      <c r="Q127" t="s">
        <v>10733</v>
      </c>
      <c r="R127" s="7">
        <v>37591</v>
      </c>
      <c r="S127" s="8">
        <f t="shared" si="8"/>
        <v>2002</v>
      </c>
      <c r="T127" s="8">
        <v>2002</v>
      </c>
      <c r="U127" s="8">
        <f t="shared" si="9"/>
        <v>20</v>
      </c>
      <c r="V127" s="7">
        <v>2002</v>
      </c>
      <c r="W127" t="s">
        <v>710</v>
      </c>
      <c r="X127" s="2">
        <v>1.3280000000000001</v>
      </c>
      <c r="Y127" s="6">
        <f t="shared" si="14"/>
        <v>3.5450201542937994E-2</v>
      </c>
      <c r="AA127">
        <v>15361225</v>
      </c>
      <c r="AB127">
        <v>18894</v>
      </c>
      <c r="AD127" t="s">
        <v>2</v>
      </c>
      <c r="AE127">
        <v>1</v>
      </c>
      <c r="AH127" t="s">
        <v>10732</v>
      </c>
      <c r="AI127" t="s">
        <v>10731</v>
      </c>
      <c r="AJ127" t="s">
        <v>6679</v>
      </c>
      <c r="AK127" t="s">
        <v>10730</v>
      </c>
      <c r="AL127">
        <v>25</v>
      </c>
      <c r="AM127" s="5">
        <f t="shared" si="10"/>
        <v>1.25</v>
      </c>
      <c r="AN127" s="4">
        <f t="shared" si="15"/>
        <v>1.8932222642938281E-3</v>
      </c>
      <c r="AO127" s="3"/>
      <c r="AP127">
        <v>0</v>
      </c>
      <c r="AR127" t="s">
        <v>10729</v>
      </c>
      <c r="AT127" s="2">
        <v>3.8340000000000001</v>
      </c>
      <c r="AU127" s="1">
        <f t="shared" si="11"/>
        <v>2.5383107759344745</v>
      </c>
      <c r="AV127" s="1">
        <f t="shared" si="12"/>
        <v>1.8671711903615913</v>
      </c>
      <c r="AW127" s="1">
        <f t="shared" si="13"/>
        <v>1.1960316047887078</v>
      </c>
    </row>
    <row r="128" spans="1:49" x14ac:dyDescent="0.2">
      <c r="A128">
        <v>126</v>
      </c>
      <c r="B128" t="s">
        <v>10728</v>
      </c>
      <c r="F128" t="s">
        <v>10727</v>
      </c>
      <c r="G128" t="s">
        <v>5</v>
      </c>
      <c r="H128" t="s">
        <v>4</v>
      </c>
      <c r="I128" t="s">
        <v>648</v>
      </c>
      <c r="J128" t="s">
        <v>10726</v>
      </c>
      <c r="K128" t="s">
        <v>10725</v>
      </c>
      <c r="L128" t="s">
        <v>295</v>
      </c>
      <c r="M128" t="s">
        <v>295</v>
      </c>
      <c r="N128">
        <v>2</v>
      </c>
      <c r="O128" t="s">
        <v>10724</v>
      </c>
      <c r="P128" t="s">
        <v>10723</v>
      </c>
      <c r="Q128" t="s">
        <v>10722</v>
      </c>
      <c r="R128" s="7">
        <v>37591</v>
      </c>
      <c r="S128" s="8">
        <f t="shared" si="8"/>
        <v>2002</v>
      </c>
      <c r="T128" s="8">
        <v>2002</v>
      </c>
      <c r="U128" s="8">
        <f t="shared" si="9"/>
        <v>20</v>
      </c>
      <c r="V128" s="7">
        <v>37591</v>
      </c>
      <c r="W128" t="s">
        <v>611</v>
      </c>
      <c r="X128" s="2" t="s">
        <v>0</v>
      </c>
      <c r="Y128" s="6" t="e">
        <f t="shared" si="14"/>
        <v>#VALUE!</v>
      </c>
      <c r="AA128">
        <v>9149260</v>
      </c>
      <c r="AB128">
        <v>23105</v>
      </c>
      <c r="AD128" t="s">
        <v>2</v>
      </c>
      <c r="AE128">
        <v>49</v>
      </c>
      <c r="AF128">
        <v>4</v>
      </c>
      <c r="AH128" t="s">
        <v>10721</v>
      </c>
      <c r="AI128" t="s">
        <v>10720</v>
      </c>
      <c r="AJ128" t="s">
        <v>10719</v>
      </c>
      <c r="AK128" t="s">
        <v>10718</v>
      </c>
      <c r="AL128">
        <v>2</v>
      </c>
      <c r="AM128" s="5">
        <f t="shared" si="10"/>
        <v>0.1</v>
      </c>
      <c r="AN128" s="4">
        <f t="shared" si="15"/>
        <v>1.5145778114350627E-4</v>
      </c>
      <c r="AO128" s="3"/>
      <c r="AP128">
        <v>0</v>
      </c>
      <c r="AR128" t="s">
        <v>1</v>
      </c>
      <c r="AT128" s="2" t="s">
        <v>0</v>
      </c>
      <c r="AU128" s="1" t="e">
        <f t="shared" si="11"/>
        <v>#VALUE!</v>
      </c>
      <c r="AV128" s="1" t="e">
        <f t="shared" si="12"/>
        <v>#VALUE!</v>
      </c>
      <c r="AW128" s="1" t="e">
        <f t="shared" si="13"/>
        <v>#VALUE!</v>
      </c>
    </row>
    <row r="129" spans="1:49" x14ac:dyDescent="0.2">
      <c r="A129">
        <v>127</v>
      </c>
      <c r="B129" t="s">
        <v>10717</v>
      </c>
      <c r="F129" t="s">
        <v>10716</v>
      </c>
      <c r="G129" t="s">
        <v>5</v>
      </c>
      <c r="H129" t="s">
        <v>4</v>
      </c>
      <c r="I129" t="s">
        <v>10715</v>
      </c>
      <c r="J129" t="s">
        <v>10714</v>
      </c>
      <c r="K129" t="s">
        <v>10713</v>
      </c>
      <c r="L129" t="s">
        <v>295</v>
      </c>
      <c r="M129" t="s">
        <v>10712</v>
      </c>
      <c r="N129">
        <v>5</v>
      </c>
      <c r="O129" t="s">
        <v>10711</v>
      </c>
      <c r="P129" t="s">
        <v>10710</v>
      </c>
      <c r="Q129" t="s">
        <v>10709</v>
      </c>
      <c r="R129" s="7">
        <v>37591</v>
      </c>
      <c r="S129" s="8">
        <f t="shared" si="8"/>
        <v>2002</v>
      </c>
      <c r="T129" s="8">
        <v>2002</v>
      </c>
      <c r="U129" s="8">
        <f t="shared" si="9"/>
        <v>20</v>
      </c>
      <c r="V129" s="7">
        <v>37591</v>
      </c>
      <c r="W129" t="s">
        <v>611</v>
      </c>
      <c r="X129" s="2" t="s">
        <v>0</v>
      </c>
      <c r="Y129" s="6" t="e">
        <f t="shared" si="14"/>
        <v>#VALUE!</v>
      </c>
      <c r="AA129">
        <v>9149260</v>
      </c>
      <c r="AB129">
        <v>23105</v>
      </c>
      <c r="AD129" t="s">
        <v>2</v>
      </c>
      <c r="AE129">
        <v>49</v>
      </c>
      <c r="AF129">
        <v>4</v>
      </c>
      <c r="AH129" t="s">
        <v>10708</v>
      </c>
      <c r="AI129" t="s">
        <v>10707</v>
      </c>
      <c r="AJ129" t="s">
        <v>10706</v>
      </c>
      <c r="AK129" t="s">
        <v>10705</v>
      </c>
      <c r="AL129">
        <v>2</v>
      </c>
      <c r="AM129" s="5">
        <f t="shared" si="10"/>
        <v>0.1</v>
      </c>
      <c r="AN129" s="4">
        <f t="shared" si="15"/>
        <v>1.5145778114350627E-4</v>
      </c>
      <c r="AO129" s="3"/>
      <c r="AP129">
        <v>0</v>
      </c>
      <c r="AR129" t="s">
        <v>1</v>
      </c>
      <c r="AT129" s="2" t="s">
        <v>0</v>
      </c>
      <c r="AU129" s="1" t="e">
        <f t="shared" si="11"/>
        <v>#VALUE!</v>
      </c>
      <c r="AV129" s="1" t="e">
        <f t="shared" si="12"/>
        <v>#VALUE!</v>
      </c>
      <c r="AW129" s="1" t="e">
        <f t="shared" si="13"/>
        <v>#VALUE!</v>
      </c>
    </row>
    <row r="130" spans="1:49" x14ac:dyDescent="0.2">
      <c r="A130">
        <v>128</v>
      </c>
      <c r="B130" t="s">
        <v>10704</v>
      </c>
      <c r="C130" t="s">
        <v>10703</v>
      </c>
      <c r="F130" t="s">
        <v>10702</v>
      </c>
      <c r="G130" t="s">
        <v>5</v>
      </c>
      <c r="H130" t="s">
        <v>4</v>
      </c>
      <c r="I130" t="s">
        <v>953</v>
      </c>
      <c r="J130" t="s">
        <v>10701</v>
      </c>
      <c r="K130" t="s">
        <v>10700</v>
      </c>
      <c r="L130" t="s">
        <v>10699</v>
      </c>
      <c r="M130" t="s">
        <v>74</v>
      </c>
      <c r="N130">
        <v>4</v>
      </c>
      <c r="O130" t="s">
        <v>10698</v>
      </c>
      <c r="P130" t="s">
        <v>10697</v>
      </c>
      <c r="Q130" t="s">
        <v>10696</v>
      </c>
      <c r="R130" s="7">
        <v>37591</v>
      </c>
      <c r="S130" s="8">
        <f t="shared" ref="S130:S193" si="16">YEAR(R130)</f>
        <v>2002</v>
      </c>
      <c r="T130" s="8">
        <v>2002</v>
      </c>
      <c r="U130" s="8">
        <f t="shared" ref="U130:U193" si="17">2022-T130</f>
        <v>20</v>
      </c>
      <c r="V130" s="7">
        <v>2002</v>
      </c>
      <c r="W130" t="s">
        <v>710</v>
      </c>
      <c r="X130" s="2">
        <v>1.3280000000000001</v>
      </c>
      <c r="Y130" s="6">
        <f t="shared" si="14"/>
        <v>3.5450201542937994E-2</v>
      </c>
      <c r="AA130">
        <v>15361225</v>
      </c>
      <c r="AB130">
        <v>18894</v>
      </c>
      <c r="AD130" t="s">
        <v>2</v>
      </c>
      <c r="AE130">
        <v>1</v>
      </c>
      <c r="AH130" t="s">
        <v>10695</v>
      </c>
      <c r="AI130" t="s">
        <v>10694</v>
      </c>
      <c r="AJ130" t="s">
        <v>10693</v>
      </c>
      <c r="AK130" t="s">
        <v>10692</v>
      </c>
      <c r="AL130">
        <v>57</v>
      </c>
      <c r="AM130" s="5">
        <f t="shared" ref="AM130:AM193" si="18">AL130/U130</f>
        <v>2.85</v>
      </c>
      <c r="AN130" s="4">
        <f t="shared" si="15"/>
        <v>4.3165467625899279E-3</v>
      </c>
      <c r="AO130" s="3"/>
      <c r="AP130">
        <v>0</v>
      </c>
      <c r="AQ130" t="s">
        <v>799</v>
      </c>
      <c r="AR130" t="s">
        <v>952</v>
      </c>
      <c r="AS130" t="s">
        <v>798</v>
      </c>
      <c r="AT130" s="2">
        <v>3.8340000000000001</v>
      </c>
      <c r="AU130" s="1">
        <f t="shared" ref="AU130:AU193" si="19">(Y130*0.7+AN130*0.3)*100</f>
        <v>2.6110105108833577</v>
      </c>
      <c r="AV130" s="1">
        <f t="shared" ref="AV130:AV193" si="20">(Y130*0.5+AN130*0.5)*100</f>
        <v>1.988337415276396</v>
      </c>
      <c r="AW130" s="1">
        <f t="shared" ref="AW130:AW193" si="21">(Y130*0.3+AN130*0.7)*100</f>
        <v>1.3656643196694347</v>
      </c>
    </row>
    <row r="131" spans="1:49" x14ac:dyDescent="0.2">
      <c r="A131">
        <v>129</v>
      </c>
      <c r="B131" t="s">
        <v>10691</v>
      </c>
      <c r="C131" t="s">
        <v>10690</v>
      </c>
      <c r="F131" t="s">
        <v>10689</v>
      </c>
      <c r="G131" t="s">
        <v>5</v>
      </c>
      <c r="H131" t="s">
        <v>4</v>
      </c>
      <c r="I131" t="s">
        <v>1114</v>
      </c>
      <c r="J131" t="s">
        <v>1067</v>
      </c>
      <c r="K131" t="s">
        <v>1066</v>
      </c>
      <c r="L131" t="s">
        <v>324</v>
      </c>
      <c r="M131" t="s">
        <v>323</v>
      </c>
      <c r="N131">
        <v>2</v>
      </c>
      <c r="O131" t="s">
        <v>10688</v>
      </c>
      <c r="P131" t="s">
        <v>10687</v>
      </c>
      <c r="Q131" t="s">
        <v>10686</v>
      </c>
      <c r="R131" s="7">
        <v>37591</v>
      </c>
      <c r="S131" s="8">
        <f t="shared" si="16"/>
        <v>2002</v>
      </c>
      <c r="T131" s="8">
        <v>2002</v>
      </c>
      <c r="U131" s="8">
        <f t="shared" si="17"/>
        <v>20</v>
      </c>
      <c r="V131" s="7">
        <v>2002</v>
      </c>
      <c r="W131" t="s">
        <v>710</v>
      </c>
      <c r="X131" s="2">
        <v>1.3280000000000001</v>
      </c>
      <c r="Y131" s="6">
        <f t="shared" ref="Y131:Y194" si="22">(X131-$Z$3)/($Z$2-$Z$3)</f>
        <v>3.5450201542937994E-2</v>
      </c>
      <c r="AA131">
        <v>15361225</v>
      </c>
      <c r="AB131">
        <v>18894</v>
      </c>
      <c r="AD131" t="s">
        <v>2</v>
      </c>
      <c r="AE131">
        <v>1</v>
      </c>
      <c r="AH131" t="s">
        <v>10685</v>
      </c>
      <c r="AI131" t="s">
        <v>10684</v>
      </c>
      <c r="AJ131" t="s">
        <v>10683</v>
      </c>
      <c r="AK131" t="s">
        <v>10682</v>
      </c>
      <c r="AL131">
        <v>77</v>
      </c>
      <c r="AM131" s="5">
        <f t="shared" si="18"/>
        <v>3.85</v>
      </c>
      <c r="AN131" s="4">
        <f t="shared" ref="AN131:AN194" si="23">(AM131-$AO$3)/($AO$2-$AO$3)</f>
        <v>5.8311245740249908E-3</v>
      </c>
      <c r="AO131" s="3"/>
      <c r="AP131">
        <v>0</v>
      </c>
      <c r="AR131" t="s">
        <v>1</v>
      </c>
      <c r="AT131" s="2">
        <v>3.8340000000000001</v>
      </c>
      <c r="AU131" s="1">
        <f t="shared" si="19"/>
        <v>2.6564478452264093</v>
      </c>
      <c r="AV131" s="1">
        <f t="shared" si="20"/>
        <v>2.0640663058481494</v>
      </c>
      <c r="AW131" s="1">
        <f t="shared" si="21"/>
        <v>1.4716847664698891</v>
      </c>
    </row>
    <row r="132" spans="1:49" x14ac:dyDescent="0.2">
      <c r="A132">
        <v>130</v>
      </c>
      <c r="B132" t="s">
        <v>10681</v>
      </c>
      <c r="C132" t="s">
        <v>10680</v>
      </c>
      <c r="F132" t="s">
        <v>10679</v>
      </c>
      <c r="G132" t="s">
        <v>5</v>
      </c>
      <c r="H132" t="s">
        <v>4</v>
      </c>
      <c r="I132" t="s">
        <v>10678</v>
      </c>
      <c r="J132" t="s">
        <v>10677</v>
      </c>
      <c r="K132" t="s">
        <v>10676</v>
      </c>
      <c r="L132" t="s">
        <v>10675</v>
      </c>
      <c r="M132" t="s">
        <v>3</v>
      </c>
      <c r="N132">
        <v>6</v>
      </c>
      <c r="O132" t="s">
        <v>10674</v>
      </c>
      <c r="P132" t="s">
        <v>10673</v>
      </c>
      <c r="Q132" t="s">
        <v>10672</v>
      </c>
      <c r="R132" s="7">
        <v>37591</v>
      </c>
      <c r="S132" s="8">
        <f t="shared" si="16"/>
        <v>2002</v>
      </c>
      <c r="T132" s="8">
        <v>2002</v>
      </c>
      <c r="U132" s="8">
        <f t="shared" si="17"/>
        <v>20</v>
      </c>
      <c r="V132" s="7">
        <v>37591</v>
      </c>
      <c r="W132" t="s">
        <v>10671</v>
      </c>
      <c r="X132" s="2">
        <v>0.39200000000000002</v>
      </c>
      <c r="Y132" s="6">
        <f t="shared" si="22"/>
        <v>1.0464216118096155E-2</v>
      </c>
      <c r="AA132">
        <v>1758659</v>
      </c>
      <c r="AB132">
        <v>22536</v>
      </c>
      <c r="AD132" t="s">
        <v>2</v>
      </c>
      <c r="AE132">
        <v>18</v>
      </c>
      <c r="AF132" s="9">
        <v>44351</v>
      </c>
      <c r="AH132" t="s">
        <v>10670</v>
      </c>
      <c r="AI132" t="s">
        <v>10669</v>
      </c>
      <c r="AK132" t="s">
        <v>10668</v>
      </c>
      <c r="AL132">
        <v>25</v>
      </c>
      <c r="AM132" s="5">
        <f t="shared" si="18"/>
        <v>1.25</v>
      </c>
      <c r="AN132" s="4">
        <f t="shared" si="23"/>
        <v>1.8932222642938281E-3</v>
      </c>
      <c r="AO132" s="3"/>
      <c r="AP132">
        <v>0</v>
      </c>
      <c r="AR132" t="s">
        <v>1</v>
      </c>
      <c r="AT132" s="2">
        <v>0.89200000000000002</v>
      </c>
      <c r="AU132" s="1">
        <f t="shared" si="19"/>
        <v>0.78929179619554557</v>
      </c>
      <c r="AV132" s="1">
        <f t="shared" si="20"/>
        <v>0.61787191911949912</v>
      </c>
      <c r="AW132" s="1">
        <f t="shared" si="21"/>
        <v>0.44645204204345262</v>
      </c>
    </row>
    <row r="133" spans="1:49" x14ac:dyDescent="0.2">
      <c r="A133">
        <v>131</v>
      </c>
      <c r="B133" t="s">
        <v>10667</v>
      </c>
      <c r="C133" t="s">
        <v>10666</v>
      </c>
      <c r="F133" t="s">
        <v>10665</v>
      </c>
      <c r="G133" t="s">
        <v>5</v>
      </c>
      <c r="H133" t="s">
        <v>4</v>
      </c>
      <c r="I133" t="s">
        <v>10664</v>
      </c>
      <c r="J133" t="s">
        <v>10663</v>
      </c>
      <c r="K133" t="s">
        <v>10662</v>
      </c>
      <c r="L133" t="s">
        <v>10661</v>
      </c>
      <c r="M133" t="s">
        <v>272</v>
      </c>
      <c r="N133">
        <v>2</v>
      </c>
      <c r="O133" t="s">
        <v>10660</v>
      </c>
      <c r="P133" t="s">
        <v>10659</v>
      </c>
      <c r="Q133" t="s">
        <v>10658</v>
      </c>
      <c r="R133" s="7">
        <v>37591</v>
      </c>
      <c r="S133" s="8">
        <f t="shared" si="16"/>
        <v>2002</v>
      </c>
      <c r="T133" s="8">
        <v>2002</v>
      </c>
      <c r="U133" s="8">
        <f t="shared" si="17"/>
        <v>20</v>
      </c>
      <c r="V133" s="7">
        <v>2002</v>
      </c>
      <c r="W133" t="s">
        <v>710</v>
      </c>
      <c r="X133" s="2">
        <v>1.3280000000000001</v>
      </c>
      <c r="Y133" s="6">
        <f t="shared" si="22"/>
        <v>3.5450201542937994E-2</v>
      </c>
      <c r="AA133">
        <v>15361225</v>
      </c>
      <c r="AB133">
        <v>18894</v>
      </c>
      <c r="AD133" t="s">
        <v>2</v>
      </c>
      <c r="AE133">
        <v>1</v>
      </c>
      <c r="AH133" t="s">
        <v>1112</v>
      </c>
      <c r="AI133" t="s">
        <v>10657</v>
      </c>
      <c r="AJ133" t="s">
        <v>10656</v>
      </c>
      <c r="AK133" t="s">
        <v>10655</v>
      </c>
      <c r="AL133">
        <v>2</v>
      </c>
      <c r="AM133" s="5">
        <f t="shared" si="18"/>
        <v>0.1</v>
      </c>
      <c r="AN133" s="4">
        <f t="shared" si="23"/>
        <v>1.5145778114350627E-4</v>
      </c>
      <c r="AO133" s="3"/>
      <c r="AP133">
        <v>0</v>
      </c>
      <c r="AR133" t="s">
        <v>1</v>
      </c>
      <c r="AT133" s="2">
        <v>3.8340000000000001</v>
      </c>
      <c r="AU133" s="1">
        <f t="shared" si="19"/>
        <v>2.4860578414399646</v>
      </c>
      <c r="AV133" s="1">
        <f t="shared" si="20"/>
        <v>1.7800829662040749</v>
      </c>
      <c r="AW133" s="1">
        <f t="shared" si="21"/>
        <v>1.0741080909681853</v>
      </c>
    </row>
    <row r="134" spans="1:49" x14ac:dyDescent="0.2">
      <c r="A134">
        <v>132</v>
      </c>
      <c r="B134" t="s">
        <v>10654</v>
      </c>
      <c r="C134" t="s">
        <v>10653</v>
      </c>
      <c r="F134" t="s">
        <v>10652</v>
      </c>
      <c r="G134" t="s">
        <v>5</v>
      </c>
      <c r="H134" t="s">
        <v>4</v>
      </c>
      <c r="I134" t="s">
        <v>1068</v>
      </c>
      <c r="J134" t="s">
        <v>921</v>
      </c>
      <c r="K134" t="s">
        <v>920</v>
      </c>
      <c r="L134" t="s">
        <v>815</v>
      </c>
      <c r="M134" t="s">
        <v>272</v>
      </c>
      <c r="N134">
        <v>5</v>
      </c>
      <c r="O134" t="s">
        <v>10651</v>
      </c>
      <c r="P134" t="s">
        <v>10650</v>
      </c>
      <c r="Q134" t="s">
        <v>10649</v>
      </c>
      <c r="R134" s="7">
        <v>37591</v>
      </c>
      <c r="S134" s="8">
        <f t="shared" si="16"/>
        <v>2002</v>
      </c>
      <c r="T134" s="8">
        <v>2002</v>
      </c>
      <c r="U134" s="8">
        <f t="shared" si="17"/>
        <v>20</v>
      </c>
      <c r="V134" s="7">
        <v>2002</v>
      </c>
      <c r="W134" t="s">
        <v>710</v>
      </c>
      <c r="X134" s="2">
        <v>1.3280000000000001</v>
      </c>
      <c r="Y134" s="6">
        <f t="shared" si="22"/>
        <v>3.5450201542937994E-2</v>
      </c>
      <c r="AA134">
        <v>15361225</v>
      </c>
      <c r="AB134">
        <v>18894</v>
      </c>
      <c r="AD134" t="s">
        <v>2</v>
      </c>
      <c r="AE134">
        <v>1</v>
      </c>
      <c r="AH134" t="s">
        <v>10648</v>
      </c>
      <c r="AI134" t="s">
        <v>10647</v>
      </c>
      <c r="AJ134" t="s">
        <v>10646</v>
      </c>
      <c r="AK134" t="s">
        <v>10645</v>
      </c>
      <c r="AL134">
        <v>5</v>
      </c>
      <c r="AM134" s="5">
        <f t="shared" si="18"/>
        <v>0.25</v>
      </c>
      <c r="AN134" s="4">
        <f t="shared" si="23"/>
        <v>3.786444528587656E-4</v>
      </c>
      <c r="AO134" s="3"/>
      <c r="AP134">
        <v>0</v>
      </c>
      <c r="AR134" t="s">
        <v>1</v>
      </c>
      <c r="AT134" s="2">
        <v>3.8340000000000001</v>
      </c>
      <c r="AU134" s="1">
        <f t="shared" si="19"/>
        <v>2.4928734415914224</v>
      </c>
      <c r="AV134" s="1">
        <f t="shared" si="20"/>
        <v>1.791442299789838</v>
      </c>
      <c r="AW134" s="1">
        <f t="shared" si="21"/>
        <v>1.0900111579882534</v>
      </c>
    </row>
    <row r="135" spans="1:49" x14ac:dyDescent="0.2">
      <c r="A135">
        <v>133</v>
      </c>
      <c r="B135" t="s">
        <v>10644</v>
      </c>
      <c r="C135" t="s">
        <v>10643</v>
      </c>
      <c r="D135" t="s">
        <v>10642</v>
      </c>
      <c r="F135" t="s">
        <v>10641</v>
      </c>
      <c r="G135" t="s">
        <v>5</v>
      </c>
      <c r="H135" t="s">
        <v>4</v>
      </c>
      <c r="I135" t="s">
        <v>588</v>
      </c>
      <c r="J135" t="s">
        <v>10640</v>
      </c>
      <c r="K135" t="s">
        <v>10639</v>
      </c>
      <c r="L135" t="s">
        <v>10638</v>
      </c>
      <c r="M135" t="s">
        <v>74</v>
      </c>
      <c r="N135">
        <v>6</v>
      </c>
      <c r="O135" t="s">
        <v>10637</v>
      </c>
      <c r="P135" t="s">
        <v>10636</v>
      </c>
      <c r="Q135" t="s">
        <v>10635</v>
      </c>
      <c r="R135" s="7">
        <v>37591</v>
      </c>
      <c r="S135" s="8">
        <f t="shared" si="16"/>
        <v>2002</v>
      </c>
      <c r="T135" s="8">
        <v>2002</v>
      </c>
      <c r="U135" s="8">
        <f t="shared" si="17"/>
        <v>20</v>
      </c>
      <c r="V135" s="7">
        <v>2002</v>
      </c>
      <c r="W135" t="s">
        <v>9027</v>
      </c>
      <c r="X135" s="2">
        <v>2.0099999999999998</v>
      </c>
      <c r="Y135" s="6">
        <f t="shared" si="22"/>
        <v>5.3655802034115477E-2</v>
      </c>
      <c r="AA135">
        <v>15361276</v>
      </c>
      <c r="AB135">
        <v>18933</v>
      </c>
      <c r="AD135" t="s">
        <v>2</v>
      </c>
      <c r="AE135">
        <v>1</v>
      </c>
      <c r="AF135">
        <v>2</v>
      </c>
      <c r="AH135" t="s">
        <v>10634</v>
      </c>
      <c r="AI135" t="s">
        <v>10633</v>
      </c>
      <c r="AJ135" t="s">
        <v>10632</v>
      </c>
      <c r="AK135" t="s">
        <v>10631</v>
      </c>
      <c r="AL135">
        <v>44</v>
      </c>
      <c r="AM135" s="5">
        <f t="shared" si="18"/>
        <v>2.2000000000000002</v>
      </c>
      <c r="AN135" s="4">
        <f t="shared" si="23"/>
        <v>3.3320711851571377E-3</v>
      </c>
      <c r="AO135" s="3"/>
      <c r="AP135">
        <v>0</v>
      </c>
      <c r="AR135" t="s">
        <v>1</v>
      </c>
      <c r="AT135" s="2" t="s">
        <v>0</v>
      </c>
      <c r="AU135" s="1">
        <f t="shared" si="19"/>
        <v>3.8558682779427969</v>
      </c>
      <c r="AV135" s="1">
        <f t="shared" si="20"/>
        <v>2.8493936609636306</v>
      </c>
      <c r="AW135" s="1">
        <f t="shared" si="21"/>
        <v>1.8429190439844638</v>
      </c>
    </row>
    <row r="136" spans="1:49" x14ac:dyDescent="0.2">
      <c r="A136">
        <v>134</v>
      </c>
      <c r="B136" t="s">
        <v>10630</v>
      </c>
      <c r="C136" t="s">
        <v>10629</v>
      </c>
      <c r="F136" t="s">
        <v>10628</v>
      </c>
      <c r="G136" t="s">
        <v>5</v>
      </c>
      <c r="H136" t="s">
        <v>4</v>
      </c>
      <c r="I136" t="s">
        <v>438</v>
      </c>
      <c r="J136" t="s">
        <v>10627</v>
      </c>
      <c r="K136" t="s">
        <v>10626</v>
      </c>
      <c r="L136" t="s">
        <v>10625</v>
      </c>
      <c r="M136" t="s">
        <v>11</v>
      </c>
      <c r="N136">
        <v>4</v>
      </c>
      <c r="O136" t="s">
        <v>10624</v>
      </c>
      <c r="P136" t="s">
        <v>10623</v>
      </c>
      <c r="Q136" t="s">
        <v>10622</v>
      </c>
      <c r="R136" s="7">
        <v>37591</v>
      </c>
      <c r="S136" s="8">
        <f t="shared" si="16"/>
        <v>2002</v>
      </c>
      <c r="T136" s="8">
        <v>2002</v>
      </c>
      <c r="U136" s="8">
        <f t="shared" si="17"/>
        <v>20</v>
      </c>
      <c r="V136" s="7">
        <v>2002</v>
      </c>
      <c r="W136" t="s">
        <v>9027</v>
      </c>
      <c r="X136" s="2">
        <v>2.0099999999999998</v>
      </c>
      <c r="Y136" s="6">
        <f t="shared" si="22"/>
        <v>5.3655802034115477E-2</v>
      </c>
      <c r="AA136">
        <v>15361276</v>
      </c>
      <c r="AB136">
        <v>18933</v>
      </c>
      <c r="AD136" t="s">
        <v>2</v>
      </c>
      <c r="AE136">
        <v>1</v>
      </c>
      <c r="AF136">
        <v>4</v>
      </c>
      <c r="AH136" t="s">
        <v>539</v>
      </c>
      <c r="AI136" t="s">
        <v>10621</v>
      </c>
      <c r="AJ136" t="s">
        <v>10620</v>
      </c>
      <c r="AK136" t="s">
        <v>10619</v>
      </c>
      <c r="AL136">
        <v>121</v>
      </c>
      <c r="AM136" s="5">
        <f t="shared" si="18"/>
        <v>6.05</v>
      </c>
      <c r="AN136" s="4">
        <f t="shared" si="23"/>
        <v>9.1631957591821276E-3</v>
      </c>
      <c r="AO136" s="3"/>
      <c r="AP136">
        <v>0</v>
      </c>
      <c r="AR136" t="s">
        <v>1</v>
      </c>
      <c r="AT136" s="2" t="s">
        <v>0</v>
      </c>
      <c r="AU136" s="1">
        <f t="shared" si="19"/>
        <v>4.0308020151635464</v>
      </c>
      <c r="AV136" s="1">
        <f t="shared" si="20"/>
        <v>3.1409498896648804</v>
      </c>
      <c r="AW136" s="1">
        <f t="shared" si="21"/>
        <v>2.2510977641662131</v>
      </c>
    </row>
    <row r="137" spans="1:49" x14ac:dyDescent="0.2">
      <c r="A137">
        <v>135</v>
      </c>
      <c r="B137" t="s">
        <v>10618</v>
      </c>
      <c r="C137" t="s">
        <v>10617</v>
      </c>
      <c r="F137" t="s">
        <v>10616</v>
      </c>
      <c r="G137" t="s">
        <v>5</v>
      </c>
      <c r="H137" t="s">
        <v>4</v>
      </c>
      <c r="I137" t="s">
        <v>10615</v>
      </c>
      <c r="J137" t="s">
        <v>856</v>
      </c>
      <c r="K137" t="s">
        <v>855</v>
      </c>
      <c r="L137" t="s">
        <v>854</v>
      </c>
      <c r="M137" t="s">
        <v>657</v>
      </c>
      <c r="N137">
        <v>2</v>
      </c>
      <c r="O137" t="s">
        <v>10614</v>
      </c>
      <c r="P137" t="s">
        <v>10613</v>
      </c>
      <c r="Q137" t="s">
        <v>10612</v>
      </c>
      <c r="R137" s="7">
        <v>37591</v>
      </c>
      <c r="S137" s="8">
        <f t="shared" si="16"/>
        <v>2002</v>
      </c>
      <c r="T137" s="8">
        <v>2002</v>
      </c>
      <c r="U137" s="8">
        <f t="shared" si="17"/>
        <v>20</v>
      </c>
      <c r="V137" s="7">
        <v>2002</v>
      </c>
      <c r="W137" t="s">
        <v>9027</v>
      </c>
      <c r="X137" s="2">
        <v>2.0099999999999998</v>
      </c>
      <c r="Y137" s="6">
        <f t="shared" si="22"/>
        <v>5.3655802034115477E-2</v>
      </c>
      <c r="AA137">
        <v>15361276</v>
      </c>
      <c r="AB137">
        <v>18933</v>
      </c>
      <c r="AD137" t="s">
        <v>2</v>
      </c>
      <c r="AE137">
        <v>1</v>
      </c>
      <c r="AF137">
        <v>4</v>
      </c>
      <c r="AH137" t="s">
        <v>10611</v>
      </c>
      <c r="AI137" t="s">
        <v>10610</v>
      </c>
      <c r="AJ137" t="s">
        <v>10609</v>
      </c>
      <c r="AK137" t="s">
        <v>10608</v>
      </c>
      <c r="AL137">
        <v>64</v>
      </c>
      <c r="AM137" s="5">
        <f t="shared" si="18"/>
        <v>3.2</v>
      </c>
      <c r="AN137" s="4">
        <f t="shared" si="23"/>
        <v>4.8466489965922005E-3</v>
      </c>
      <c r="AO137" s="3"/>
      <c r="AP137">
        <v>0</v>
      </c>
      <c r="AQ137" t="s">
        <v>6484</v>
      </c>
      <c r="AR137" t="s">
        <v>10607</v>
      </c>
      <c r="AS137" t="s">
        <v>6482</v>
      </c>
      <c r="AT137" s="2" t="s">
        <v>0</v>
      </c>
      <c r="AU137" s="1">
        <f t="shared" si="19"/>
        <v>3.9013056122858494</v>
      </c>
      <c r="AV137" s="1">
        <f t="shared" si="20"/>
        <v>2.925122551535384</v>
      </c>
      <c r="AW137" s="1">
        <f t="shared" si="21"/>
        <v>1.9489394907849182</v>
      </c>
    </row>
    <row r="138" spans="1:49" x14ac:dyDescent="0.2">
      <c r="A138">
        <v>136</v>
      </c>
      <c r="B138" t="s">
        <v>10606</v>
      </c>
      <c r="C138" t="s">
        <v>10605</v>
      </c>
      <c r="F138" t="s">
        <v>10604</v>
      </c>
      <c r="G138" t="s">
        <v>5</v>
      </c>
      <c r="H138" t="s">
        <v>4</v>
      </c>
      <c r="I138" t="s">
        <v>10603</v>
      </c>
      <c r="J138" t="s">
        <v>10602</v>
      </c>
      <c r="K138" t="s">
        <v>10601</v>
      </c>
      <c r="L138" t="s">
        <v>10600</v>
      </c>
      <c r="M138" t="s">
        <v>10599</v>
      </c>
      <c r="N138">
        <v>3</v>
      </c>
      <c r="O138" t="s">
        <v>10598</v>
      </c>
      <c r="P138" t="s">
        <v>10597</v>
      </c>
      <c r="Q138" t="s">
        <v>10596</v>
      </c>
      <c r="R138" s="7">
        <v>37591</v>
      </c>
      <c r="S138" s="8">
        <f t="shared" si="16"/>
        <v>2002</v>
      </c>
      <c r="T138" s="8">
        <v>2002</v>
      </c>
      <c r="U138" s="8">
        <f t="shared" si="17"/>
        <v>20</v>
      </c>
      <c r="V138" s="7">
        <v>37591</v>
      </c>
      <c r="W138" t="s">
        <v>713</v>
      </c>
      <c r="X138" s="2">
        <v>0.42</v>
      </c>
      <c r="Y138" s="6">
        <f t="shared" si="22"/>
        <v>1.1211660126531593E-2</v>
      </c>
      <c r="AA138">
        <v>15308669</v>
      </c>
      <c r="AB138">
        <v>17543</v>
      </c>
      <c r="AD138" t="s">
        <v>2</v>
      </c>
      <c r="AE138">
        <v>2</v>
      </c>
      <c r="AF138">
        <v>8</v>
      </c>
      <c r="AH138" t="s">
        <v>10595</v>
      </c>
      <c r="AI138" t="s">
        <v>10594</v>
      </c>
      <c r="AJ138" t="s">
        <v>10593</v>
      </c>
      <c r="AK138" t="s">
        <v>10592</v>
      </c>
      <c r="AL138">
        <v>1</v>
      </c>
      <c r="AM138" s="5">
        <f t="shared" si="18"/>
        <v>0.05</v>
      </c>
      <c r="AN138" s="4">
        <f t="shared" si="23"/>
        <v>7.5728890571753133E-5</v>
      </c>
      <c r="AO138" s="3"/>
      <c r="AP138">
        <v>0</v>
      </c>
      <c r="AR138" t="s">
        <v>1</v>
      </c>
      <c r="AT138" s="2" t="s">
        <v>0</v>
      </c>
      <c r="AU138" s="1">
        <f t="shared" si="19"/>
        <v>0.787088075574364</v>
      </c>
      <c r="AV138" s="1">
        <f t="shared" si="20"/>
        <v>0.56436945085516721</v>
      </c>
      <c r="AW138" s="1">
        <f t="shared" si="21"/>
        <v>0.34165082613597048</v>
      </c>
    </row>
    <row r="139" spans="1:49" x14ac:dyDescent="0.2">
      <c r="A139">
        <v>137</v>
      </c>
      <c r="B139" t="s">
        <v>10591</v>
      </c>
      <c r="F139" t="s">
        <v>10590</v>
      </c>
      <c r="G139" t="s">
        <v>5</v>
      </c>
      <c r="H139" t="s">
        <v>4</v>
      </c>
      <c r="I139" t="s">
        <v>10589</v>
      </c>
      <c r="J139">
        <v>60072749</v>
      </c>
      <c r="K139" t="s">
        <v>10588</v>
      </c>
      <c r="L139" t="s">
        <v>10587</v>
      </c>
      <c r="M139" t="s">
        <v>10586</v>
      </c>
      <c r="N139">
        <v>2</v>
      </c>
      <c r="O139" t="s">
        <v>10585</v>
      </c>
      <c r="P139" t="s">
        <v>10584</v>
      </c>
      <c r="Q139" t="s">
        <v>10583</v>
      </c>
      <c r="R139" s="7">
        <v>37591</v>
      </c>
      <c r="S139" s="8">
        <f t="shared" si="16"/>
        <v>2002</v>
      </c>
      <c r="T139" s="8">
        <v>2002</v>
      </c>
      <c r="U139" s="8">
        <f t="shared" si="17"/>
        <v>20</v>
      </c>
      <c r="V139" s="7">
        <v>2002</v>
      </c>
      <c r="W139" t="s">
        <v>10582</v>
      </c>
      <c r="X139" s="2" t="s">
        <v>0</v>
      </c>
      <c r="Y139" s="6" t="e">
        <f t="shared" si="22"/>
        <v>#VALUE!</v>
      </c>
      <c r="AB139">
        <v>74522</v>
      </c>
      <c r="AD139" t="s">
        <v>2</v>
      </c>
      <c r="AE139">
        <v>15</v>
      </c>
      <c r="AH139" t="s">
        <v>925</v>
      </c>
      <c r="AI139" t="s">
        <v>10581</v>
      </c>
      <c r="AJ139" t="s">
        <v>10580</v>
      </c>
      <c r="AK139" t="s">
        <v>10579</v>
      </c>
      <c r="AL139">
        <v>0</v>
      </c>
      <c r="AM139" s="5">
        <f t="shared" si="18"/>
        <v>0</v>
      </c>
      <c r="AN139" s="4">
        <f t="shared" si="23"/>
        <v>0</v>
      </c>
      <c r="AO139" s="3"/>
      <c r="AP139">
        <v>0</v>
      </c>
      <c r="AR139" t="s">
        <v>1</v>
      </c>
      <c r="AT139" s="2" t="s">
        <v>0</v>
      </c>
      <c r="AU139" s="1" t="e">
        <f t="shared" si="19"/>
        <v>#VALUE!</v>
      </c>
      <c r="AV139" s="1" t="e">
        <f t="shared" si="20"/>
        <v>#VALUE!</v>
      </c>
      <c r="AW139" s="1" t="e">
        <f t="shared" si="21"/>
        <v>#VALUE!</v>
      </c>
    </row>
    <row r="140" spans="1:49" x14ac:dyDescent="0.2">
      <c r="A140">
        <v>138</v>
      </c>
      <c r="B140" t="s">
        <v>10578</v>
      </c>
      <c r="C140" t="s">
        <v>10577</v>
      </c>
      <c r="F140" t="s">
        <v>10576</v>
      </c>
      <c r="G140" t="s">
        <v>5</v>
      </c>
      <c r="H140" t="s">
        <v>4</v>
      </c>
      <c r="I140" t="s">
        <v>10575</v>
      </c>
      <c r="J140" t="s">
        <v>10571</v>
      </c>
      <c r="K140" t="s">
        <v>10574</v>
      </c>
      <c r="L140" t="s">
        <v>9596</v>
      </c>
      <c r="M140" t="s">
        <v>405</v>
      </c>
      <c r="N140">
        <v>2</v>
      </c>
      <c r="O140" t="s">
        <v>10573</v>
      </c>
      <c r="P140" t="s">
        <v>10572</v>
      </c>
      <c r="Q140" t="s">
        <v>10571</v>
      </c>
      <c r="R140" s="7">
        <v>37591</v>
      </c>
      <c r="S140" s="8">
        <f t="shared" si="16"/>
        <v>2002</v>
      </c>
      <c r="T140" s="8">
        <v>2002</v>
      </c>
      <c r="U140" s="8">
        <f t="shared" si="17"/>
        <v>20</v>
      </c>
      <c r="V140" s="7">
        <v>37591</v>
      </c>
      <c r="W140" t="s">
        <v>713</v>
      </c>
      <c r="X140" s="2">
        <v>0.42</v>
      </c>
      <c r="Y140" s="6">
        <f t="shared" si="22"/>
        <v>1.1211660126531593E-2</v>
      </c>
      <c r="AA140">
        <v>15308669</v>
      </c>
      <c r="AB140">
        <v>17543</v>
      </c>
      <c r="AD140" t="s">
        <v>2</v>
      </c>
      <c r="AE140">
        <v>2</v>
      </c>
      <c r="AF140">
        <v>8</v>
      </c>
      <c r="AH140" t="s">
        <v>10570</v>
      </c>
      <c r="AI140" t="s">
        <v>10569</v>
      </c>
      <c r="AK140" t="s">
        <v>10568</v>
      </c>
      <c r="AL140">
        <v>27</v>
      </c>
      <c r="AM140" s="5">
        <f t="shared" si="18"/>
        <v>1.35</v>
      </c>
      <c r="AN140" s="4">
        <f t="shared" si="23"/>
        <v>2.0446800454373346E-3</v>
      </c>
      <c r="AO140" s="3"/>
      <c r="AP140">
        <v>0</v>
      </c>
      <c r="AR140" t="s">
        <v>1</v>
      </c>
      <c r="AT140" s="2" t="s">
        <v>0</v>
      </c>
      <c r="AU140" s="1">
        <f t="shared" si="19"/>
        <v>0.8461566102203314</v>
      </c>
      <c r="AV140" s="1">
        <f t="shared" si="20"/>
        <v>0.66281700859844639</v>
      </c>
      <c r="AW140" s="1">
        <f t="shared" si="21"/>
        <v>0.47947740697656116</v>
      </c>
    </row>
    <row r="141" spans="1:49" x14ac:dyDescent="0.2">
      <c r="A141">
        <v>139</v>
      </c>
      <c r="B141" t="s">
        <v>10567</v>
      </c>
      <c r="C141" t="s">
        <v>10566</v>
      </c>
      <c r="F141" t="s">
        <v>10565</v>
      </c>
      <c r="G141" t="s">
        <v>5</v>
      </c>
      <c r="H141" t="s">
        <v>4</v>
      </c>
      <c r="I141" t="s">
        <v>10564</v>
      </c>
      <c r="J141" t="s">
        <v>10563</v>
      </c>
      <c r="K141" t="s">
        <v>10562</v>
      </c>
      <c r="L141" t="s">
        <v>10561</v>
      </c>
      <c r="M141" t="s">
        <v>80</v>
      </c>
      <c r="N141">
        <v>4</v>
      </c>
      <c r="O141" t="s">
        <v>10560</v>
      </c>
      <c r="P141" t="s">
        <v>10559</v>
      </c>
      <c r="Q141" t="s">
        <v>10558</v>
      </c>
      <c r="R141" s="7">
        <v>37591</v>
      </c>
      <c r="S141" s="8">
        <f t="shared" si="16"/>
        <v>2002</v>
      </c>
      <c r="T141" s="8">
        <v>2002</v>
      </c>
      <c r="U141" s="8">
        <f t="shared" si="17"/>
        <v>20</v>
      </c>
      <c r="V141" s="7">
        <v>37591</v>
      </c>
      <c r="W141" t="s">
        <v>10557</v>
      </c>
      <c r="X141" s="2">
        <v>0.48499999999999999</v>
      </c>
      <c r="Y141" s="6">
        <f t="shared" si="22"/>
        <v>1.294679800325672E-2</v>
      </c>
      <c r="AA141">
        <v>9478396</v>
      </c>
      <c r="AB141">
        <v>27027</v>
      </c>
      <c r="AD141" t="s">
        <v>2</v>
      </c>
      <c r="AE141">
        <v>74</v>
      </c>
      <c r="AF141" t="s">
        <v>10556</v>
      </c>
      <c r="AI141" t="s">
        <v>10555</v>
      </c>
      <c r="AK141" t="s">
        <v>10554</v>
      </c>
      <c r="AL141">
        <v>1</v>
      </c>
      <c r="AM141" s="5">
        <f t="shared" si="18"/>
        <v>0.05</v>
      </c>
      <c r="AN141" s="4">
        <f t="shared" si="23"/>
        <v>7.5728890571753133E-5</v>
      </c>
      <c r="AO141" s="3"/>
      <c r="AP141">
        <v>0</v>
      </c>
      <c r="AR141" t="s">
        <v>1</v>
      </c>
      <c r="AT141" s="2" t="s">
        <v>0</v>
      </c>
      <c r="AU141" s="1">
        <f t="shared" si="19"/>
        <v>0.90854772694512298</v>
      </c>
      <c r="AV141" s="1">
        <f t="shared" si="20"/>
        <v>0.65112634469142361</v>
      </c>
      <c r="AW141" s="1">
        <f t="shared" si="21"/>
        <v>0.39370496243772435</v>
      </c>
    </row>
    <row r="142" spans="1:49" x14ac:dyDescent="0.2">
      <c r="A142">
        <v>140</v>
      </c>
      <c r="B142" t="s">
        <v>10553</v>
      </c>
      <c r="C142" t="s">
        <v>10552</v>
      </c>
      <c r="F142" t="s">
        <v>10551</v>
      </c>
      <c r="G142" t="s">
        <v>5</v>
      </c>
      <c r="H142" t="s">
        <v>4</v>
      </c>
      <c r="I142" t="s">
        <v>1087</v>
      </c>
      <c r="J142" t="s">
        <v>326</v>
      </c>
      <c r="K142" t="s">
        <v>325</v>
      </c>
      <c r="L142" t="s">
        <v>324</v>
      </c>
      <c r="M142" t="s">
        <v>323</v>
      </c>
      <c r="N142">
        <v>3</v>
      </c>
      <c r="O142" t="s">
        <v>10550</v>
      </c>
      <c r="P142" t="s">
        <v>10549</v>
      </c>
      <c r="Q142" t="s">
        <v>10548</v>
      </c>
      <c r="R142" s="7">
        <v>37591</v>
      </c>
      <c r="S142" s="8">
        <f t="shared" si="16"/>
        <v>2002</v>
      </c>
      <c r="T142" s="8">
        <v>2002</v>
      </c>
      <c r="U142" s="8">
        <f t="shared" si="17"/>
        <v>20</v>
      </c>
      <c r="V142" s="7">
        <v>2002</v>
      </c>
      <c r="W142" t="s">
        <v>710</v>
      </c>
      <c r="X142" s="2">
        <v>1.3280000000000001</v>
      </c>
      <c r="Y142" s="6">
        <f t="shared" si="22"/>
        <v>3.5450201542937994E-2</v>
      </c>
      <c r="AA142">
        <v>15361225</v>
      </c>
      <c r="AB142">
        <v>18894</v>
      </c>
      <c r="AD142" t="s">
        <v>2</v>
      </c>
      <c r="AE142">
        <v>1</v>
      </c>
      <c r="AH142" t="s">
        <v>10547</v>
      </c>
      <c r="AI142" t="s">
        <v>10546</v>
      </c>
      <c r="AJ142" t="s">
        <v>10545</v>
      </c>
      <c r="AK142" t="s">
        <v>10544</v>
      </c>
      <c r="AL142">
        <v>313</v>
      </c>
      <c r="AM142" s="5">
        <f t="shared" si="18"/>
        <v>15.65</v>
      </c>
      <c r="AN142" s="4">
        <f t="shared" si="23"/>
        <v>2.3703142748958728E-2</v>
      </c>
      <c r="AO142" s="3"/>
      <c r="AP142">
        <v>0</v>
      </c>
      <c r="AR142" t="s">
        <v>1</v>
      </c>
      <c r="AT142" s="2">
        <v>3.8340000000000001</v>
      </c>
      <c r="AU142" s="1">
        <f t="shared" si="19"/>
        <v>3.1926083904744211</v>
      </c>
      <c r="AV142" s="1">
        <f t="shared" si="20"/>
        <v>2.9576672145948364</v>
      </c>
      <c r="AW142" s="1">
        <f t="shared" si="21"/>
        <v>2.7227260387152508</v>
      </c>
    </row>
    <row r="143" spans="1:49" x14ac:dyDescent="0.2">
      <c r="A143">
        <v>141</v>
      </c>
      <c r="B143" t="s">
        <v>10543</v>
      </c>
      <c r="F143" t="s">
        <v>10542</v>
      </c>
      <c r="G143" t="s">
        <v>5</v>
      </c>
      <c r="H143" t="s">
        <v>4</v>
      </c>
      <c r="I143" t="s">
        <v>867</v>
      </c>
      <c r="J143">
        <v>60029284</v>
      </c>
      <c r="K143" t="s">
        <v>1109</v>
      </c>
      <c r="L143" t="s">
        <v>499</v>
      </c>
      <c r="M143" t="s">
        <v>125</v>
      </c>
      <c r="N143">
        <v>2</v>
      </c>
      <c r="O143" t="s">
        <v>866</v>
      </c>
      <c r="P143" t="s">
        <v>865</v>
      </c>
      <c r="Q143" t="s">
        <v>1108</v>
      </c>
      <c r="R143" s="7">
        <v>37591</v>
      </c>
      <c r="S143" s="8">
        <f t="shared" si="16"/>
        <v>2002</v>
      </c>
      <c r="T143" s="8">
        <v>2002</v>
      </c>
      <c r="U143" s="8">
        <f t="shared" si="17"/>
        <v>20</v>
      </c>
      <c r="V143" s="7">
        <v>2002</v>
      </c>
      <c r="W143" t="s">
        <v>10541</v>
      </c>
      <c r="X143" s="2" t="s">
        <v>0</v>
      </c>
      <c r="Y143" s="6" t="e">
        <f t="shared" si="22"/>
        <v>#VALUE!</v>
      </c>
      <c r="AA143">
        <v>15167399</v>
      </c>
      <c r="AB143">
        <v>4700152267</v>
      </c>
      <c r="AD143" t="s">
        <v>2</v>
      </c>
      <c r="AE143">
        <v>2</v>
      </c>
      <c r="AF143">
        <v>5</v>
      </c>
      <c r="AH143" t="s">
        <v>10540</v>
      </c>
      <c r="AI143" t="s">
        <v>10539</v>
      </c>
      <c r="AJ143" t="s">
        <v>10538</v>
      </c>
      <c r="AK143" t="s">
        <v>10537</v>
      </c>
      <c r="AL143">
        <v>12</v>
      </c>
      <c r="AM143" s="5">
        <f t="shared" si="18"/>
        <v>0.6</v>
      </c>
      <c r="AN143" s="4">
        <f t="shared" si="23"/>
        <v>9.0874668686103744E-4</v>
      </c>
      <c r="AO143" s="3"/>
      <c r="AP143">
        <v>0</v>
      </c>
      <c r="AR143" t="s">
        <v>1</v>
      </c>
      <c r="AT143" s="2" t="s">
        <v>0</v>
      </c>
      <c r="AU143" s="1" t="e">
        <f t="shared" si="19"/>
        <v>#VALUE!</v>
      </c>
      <c r="AV143" s="1" t="e">
        <f t="shared" si="20"/>
        <v>#VALUE!</v>
      </c>
      <c r="AW143" s="1" t="e">
        <f t="shared" si="21"/>
        <v>#VALUE!</v>
      </c>
    </row>
    <row r="144" spans="1:49" x14ac:dyDescent="0.2">
      <c r="A144">
        <v>142</v>
      </c>
      <c r="B144" t="s">
        <v>10536</v>
      </c>
      <c r="C144" t="s">
        <v>10535</v>
      </c>
      <c r="F144" t="s">
        <v>10534</v>
      </c>
      <c r="G144" t="s">
        <v>5</v>
      </c>
      <c r="H144" t="s">
        <v>4</v>
      </c>
      <c r="I144" t="s">
        <v>10533</v>
      </c>
      <c r="J144" t="s">
        <v>10532</v>
      </c>
      <c r="K144" t="s">
        <v>10531</v>
      </c>
      <c r="L144" t="s">
        <v>10530</v>
      </c>
      <c r="M144" t="s">
        <v>92</v>
      </c>
      <c r="N144">
        <v>9</v>
      </c>
      <c r="O144" t="s">
        <v>10529</v>
      </c>
      <c r="P144" t="s">
        <v>10528</v>
      </c>
      <c r="Q144" t="s">
        <v>10527</v>
      </c>
      <c r="R144" s="7">
        <v>37591</v>
      </c>
      <c r="S144" s="8">
        <f t="shared" si="16"/>
        <v>2002</v>
      </c>
      <c r="T144" s="8">
        <v>2002</v>
      </c>
      <c r="U144" s="8">
        <f t="shared" si="17"/>
        <v>20</v>
      </c>
      <c r="V144" s="7">
        <v>37591</v>
      </c>
      <c r="W144" t="s">
        <v>10526</v>
      </c>
      <c r="X144" s="2">
        <v>0.69399999999999995</v>
      </c>
      <c r="Y144" s="6">
        <f t="shared" si="22"/>
        <v>1.8525933637649823E-2</v>
      </c>
      <c r="AA144">
        <v>7038992</v>
      </c>
      <c r="AB144">
        <v>13809</v>
      </c>
      <c r="AC144">
        <v>17127971</v>
      </c>
      <c r="AD144" t="s">
        <v>2</v>
      </c>
      <c r="AE144">
        <v>28</v>
      </c>
      <c r="AF144">
        <v>6</v>
      </c>
      <c r="AH144" t="s">
        <v>10525</v>
      </c>
      <c r="AI144" t="s">
        <v>10524</v>
      </c>
      <c r="AK144" t="s">
        <v>10523</v>
      </c>
      <c r="AL144">
        <v>83</v>
      </c>
      <c r="AM144" s="5">
        <f t="shared" si="18"/>
        <v>4.1500000000000004</v>
      </c>
      <c r="AN144" s="4">
        <f t="shared" si="23"/>
        <v>6.2854979174555101E-3</v>
      </c>
      <c r="AO144" s="3"/>
      <c r="AP144">
        <v>0</v>
      </c>
      <c r="AR144" t="s">
        <v>1</v>
      </c>
      <c r="AT144" s="2">
        <v>2</v>
      </c>
      <c r="AU144" s="1">
        <f t="shared" si="19"/>
        <v>1.4853802921591528</v>
      </c>
      <c r="AV144" s="1">
        <f t="shared" si="20"/>
        <v>1.2405715777552666</v>
      </c>
      <c r="AW144" s="1">
        <f t="shared" si="21"/>
        <v>0.99576286335138031</v>
      </c>
    </row>
    <row r="145" spans="1:49" x14ac:dyDescent="0.2">
      <c r="A145">
        <v>143</v>
      </c>
      <c r="B145" t="s">
        <v>10522</v>
      </c>
      <c r="F145" t="s">
        <v>10521</v>
      </c>
      <c r="G145" t="s">
        <v>5</v>
      </c>
      <c r="H145" t="s">
        <v>4</v>
      </c>
      <c r="I145" t="s">
        <v>10520</v>
      </c>
      <c r="J145">
        <v>60019106</v>
      </c>
      <c r="K145" t="s">
        <v>3415</v>
      </c>
      <c r="L145" t="s">
        <v>3414</v>
      </c>
      <c r="M145" t="s">
        <v>125</v>
      </c>
      <c r="N145">
        <v>2</v>
      </c>
      <c r="O145" t="s">
        <v>10519</v>
      </c>
      <c r="P145" t="s">
        <v>10518</v>
      </c>
      <c r="Q145" t="s">
        <v>3411</v>
      </c>
      <c r="R145" s="7">
        <v>37591</v>
      </c>
      <c r="S145" s="8">
        <f t="shared" si="16"/>
        <v>2002</v>
      </c>
      <c r="T145" s="8">
        <v>2002</v>
      </c>
      <c r="U145" s="8">
        <f t="shared" si="17"/>
        <v>20</v>
      </c>
      <c r="V145" s="7">
        <v>2002</v>
      </c>
      <c r="W145" t="s">
        <v>10517</v>
      </c>
      <c r="X145" s="2">
        <v>0.14099999999999999</v>
      </c>
      <c r="Y145" s="6">
        <f t="shared" si="22"/>
        <v>3.7639144710498915E-3</v>
      </c>
      <c r="AA145">
        <v>7252986</v>
      </c>
      <c r="AB145">
        <v>18037</v>
      </c>
      <c r="AD145" t="s">
        <v>2</v>
      </c>
      <c r="AE145">
        <v>22</v>
      </c>
      <c r="AF145">
        <v>2</v>
      </c>
      <c r="AH145" t="s">
        <v>10516</v>
      </c>
      <c r="AI145" t="s">
        <v>10515</v>
      </c>
      <c r="AK145" t="s">
        <v>10514</v>
      </c>
      <c r="AL145">
        <v>0</v>
      </c>
      <c r="AM145" s="5">
        <f t="shared" si="18"/>
        <v>0</v>
      </c>
      <c r="AN145" s="4">
        <f t="shared" si="23"/>
        <v>0</v>
      </c>
      <c r="AO145" s="3"/>
      <c r="AP145">
        <v>0</v>
      </c>
      <c r="AR145" t="s">
        <v>1</v>
      </c>
      <c r="AT145" s="2" t="s">
        <v>0</v>
      </c>
      <c r="AU145" s="1">
        <f t="shared" si="19"/>
        <v>0.26347401297349238</v>
      </c>
      <c r="AV145" s="1">
        <f t="shared" si="20"/>
        <v>0.18819572355249459</v>
      </c>
      <c r="AW145" s="1">
        <f t="shared" si="21"/>
        <v>0.11291743413149673</v>
      </c>
    </row>
    <row r="146" spans="1:49" x14ac:dyDescent="0.2">
      <c r="A146">
        <v>144</v>
      </c>
      <c r="B146" t="s">
        <v>10513</v>
      </c>
      <c r="C146" t="s">
        <v>10512</v>
      </c>
      <c r="F146" t="s">
        <v>10511</v>
      </c>
      <c r="G146" t="s">
        <v>5</v>
      </c>
      <c r="H146" t="s">
        <v>4</v>
      </c>
      <c r="I146" t="s">
        <v>185</v>
      </c>
      <c r="J146" t="s">
        <v>10510</v>
      </c>
      <c r="K146" t="s">
        <v>10509</v>
      </c>
      <c r="L146" t="s">
        <v>1434</v>
      </c>
      <c r="M146" t="s">
        <v>76</v>
      </c>
      <c r="N146">
        <v>3</v>
      </c>
      <c r="O146" t="s">
        <v>10508</v>
      </c>
      <c r="P146" t="s">
        <v>10507</v>
      </c>
      <c r="Q146" t="s">
        <v>10506</v>
      </c>
      <c r="R146" s="7">
        <v>37591</v>
      </c>
      <c r="S146" s="8">
        <f t="shared" si="16"/>
        <v>2002</v>
      </c>
      <c r="T146" s="8">
        <v>2002</v>
      </c>
      <c r="U146" s="8">
        <f t="shared" si="17"/>
        <v>20</v>
      </c>
      <c r="V146" s="7">
        <v>2002</v>
      </c>
      <c r="W146" t="s">
        <v>710</v>
      </c>
      <c r="X146" s="2">
        <v>1.3280000000000001</v>
      </c>
      <c r="Y146" s="6">
        <f t="shared" si="22"/>
        <v>3.5450201542937994E-2</v>
      </c>
      <c r="AA146">
        <v>15361225</v>
      </c>
      <c r="AB146">
        <v>18894</v>
      </c>
      <c r="AD146" t="s">
        <v>2</v>
      </c>
      <c r="AE146">
        <v>1</v>
      </c>
      <c r="AH146" t="s">
        <v>10505</v>
      </c>
      <c r="AI146" t="s">
        <v>10504</v>
      </c>
      <c r="AJ146" t="s">
        <v>10503</v>
      </c>
      <c r="AK146" t="s">
        <v>10502</v>
      </c>
      <c r="AL146">
        <v>8</v>
      </c>
      <c r="AM146" s="5">
        <f t="shared" si="18"/>
        <v>0.4</v>
      </c>
      <c r="AN146" s="4">
        <f t="shared" si="23"/>
        <v>6.0583112457402507E-4</v>
      </c>
      <c r="AO146" s="3"/>
      <c r="AP146">
        <v>0</v>
      </c>
      <c r="AR146" t="s">
        <v>10501</v>
      </c>
      <c r="AS146" t="s">
        <v>10500</v>
      </c>
      <c r="AT146" s="2">
        <v>3.8340000000000001</v>
      </c>
      <c r="AU146" s="1">
        <f t="shared" si="19"/>
        <v>2.4996890417428803</v>
      </c>
      <c r="AV146" s="1">
        <f t="shared" si="20"/>
        <v>1.802801633375601</v>
      </c>
      <c r="AW146" s="1">
        <f t="shared" si="21"/>
        <v>1.1059142250083216</v>
      </c>
    </row>
    <row r="147" spans="1:49" x14ac:dyDescent="0.2">
      <c r="A147">
        <v>145</v>
      </c>
      <c r="B147" t="s">
        <v>10499</v>
      </c>
      <c r="C147" t="s">
        <v>10498</v>
      </c>
      <c r="F147" t="s">
        <v>10497</v>
      </c>
      <c r="G147" t="s">
        <v>5</v>
      </c>
      <c r="H147" t="s">
        <v>4</v>
      </c>
      <c r="I147" t="s">
        <v>1009</v>
      </c>
      <c r="J147" t="s">
        <v>10496</v>
      </c>
      <c r="K147" t="s">
        <v>10495</v>
      </c>
      <c r="L147" t="s">
        <v>10494</v>
      </c>
      <c r="M147" t="s">
        <v>3</v>
      </c>
      <c r="N147">
        <v>1</v>
      </c>
      <c r="O147" t="s">
        <v>1008</v>
      </c>
      <c r="P147">
        <v>24512080300</v>
      </c>
      <c r="Q147" t="s">
        <v>10493</v>
      </c>
      <c r="R147" s="7">
        <v>37591</v>
      </c>
      <c r="S147" s="8">
        <f t="shared" si="16"/>
        <v>2002</v>
      </c>
      <c r="T147" s="8">
        <v>2002</v>
      </c>
      <c r="U147" s="8">
        <f t="shared" si="17"/>
        <v>20</v>
      </c>
      <c r="V147" s="7">
        <v>2002</v>
      </c>
      <c r="W147" t="s">
        <v>710</v>
      </c>
      <c r="X147" s="2">
        <v>1.3280000000000001</v>
      </c>
      <c r="Y147" s="6">
        <f t="shared" si="22"/>
        <v>3.5450201542937994E-2</v>
      </c>
      <c r="AA147">
        <v>15361225</v>
      </c>
      <c r="AB147">
        <v>18894</v>
      </c>
      <c r="AD147" t="s">
        <v>2</v>
      </c>
      <c r="AE147">
        <v>1</v>
      </c>
      <c r="AH147" t="s">
        <v>10492</v>
      </c>
      <c r="AI147" t="s">
        <v>10491</v>
      </c>
      <c r="AJ147" t="s">
        <v>10490</v>
      </c>
      <c r="AK147" t="s">
        <v>10489</v>
      </c>
      <c r="AL147">
        <v>39</v>
      </c>
      <c r="AM147" s="5">
        <f t="shared" si="18"/>
        <v>1.95</v>
      </c>
      <c r="AN147" s="4">
        <f t="shared" si="23"/>
        <v>2.9534267322983716E-3</v>
      </c>
      <c r="AO147" s="3"/>
      <c r="AP147">
        <v>0</v>
      </c>
      <c r="AR147" t="s">
        <v>1</v>
      </c>
      <c r="AT147" s="2">
        <v>3.8340000000000001</v>
      </c>
      <c r="AU147" s="1">
        <f t="shared" si="19"/>
        <v>2.5701169099746108</v>
      </c>
      <c r="AV147" s="1">
        <f t="shared" si="20"/>
        <v>1.9201814137618183</v>
      </c>
      <c r="AW147" s="1">
        <f t="shared" si="21"/>
        <v>1.2702459175490257</v>
      </c>
    </row>
    <row r="148" spans="1:49" x14ac:dyDescent="0.2">
      <c r="A148">
        <v>146</v>
      </c>
      <c r="B148" t="s">
        <v>10488</v>
      </c>
      <c r="C148" t="s">
        <v>10487</v>
      </c>
      <c r="D148" t="s">
        <v>10486</v>
      </c>
      <c r="F148" t="s">
        <v>10485</v>
      </c>
      <c r="G148" t="s">
        <v>5</v>
      </c>
      <c r="H148" t="s">
        <v>4</v>
      </c>
      <c r="I148" t="s">
        <v>10484</v>
      </c>
      <c r="J148" t="s">
        <v>1075</v>
      </c>
      <c r="K148" t="s">
        <v>1074</v>
      </c>
      <c r="L148" t="s">
        <v>1073</v>
      </c>
      <c r="M148" t="s">
        <v>3</v>
      </c>
      <c r="N148">
        <v>3</v>
      </c>
      <c r="O148" t="s">
        <v>10483</v>
      </c>
      <c r="P148" t="s">
        <v>10482</v>
      </c>
      <c r="Q148" t="s">
        <v>10481</v>
      </c>
      <c r="R148" s="7">
        <v>37591</v>
      </c>
      <c r="S148" s="8">
        <f t="shared" si="16"/>
        <v>2002</v>
      </c>
      <c r="T148" s="8">
        <v>2002</v>
      </c>
      <c r="U148" s="8">
        <f t="shared" si="17"/>
        <v>20</v>
      </c>
      <c r="V148" s="7">
        <v>2002</v>
      </c>
      <c r="W148" t="s">
        <v>9027</v>
      </c>
      <c r="X148" s="2">
        <v>2.0099999999999998</v>
      </c>
      <c r="Y148" s="6">
        <f t="shared" si="22"/>
        <v>5.3655802034115477E-2</v>
      </c>
      <c r="AA148">
        <v>15361276</v>
      </c>
      <c r="AB148">
        <v>18933</v>
      </c>
      <c r="AD148" t="s">
        <v>2</v>
      </c>
      <c r="AE148">
        <v>1</v>
      </c>
      <c r="AF148">
        <v>2</v>
      </c>
      <c r="AH148" t="s">
        <v>9555</v>
      </c>
      <c r="AI148" t="s">
        <v>10480</v>
      </c>
      <c r="AJ148" t="s">
        <v>10479</v>
      </c>
      <c r="AK148" t="s">
        <v>10478</v>
      </c>
      <c r="AL148">
        <v>39</v>
      </c>
      <c r="AM148" s="5">
        <f t="shared" si="18"/>
        <v>1.95</v>
      </c>
      <c r="AN148" s="4">
        <f t="shared" si="23"/>
        <v>2.9534267322983716E-3</v>
      </c>
      <c r="AO148" s="3"/>
      <c r="AP148">
        <v>0</v>
      </c>
      <c r="AQ148" t="s">
        <v>799</v>
      </c>
      <c r="AR148" t="s">
        <v>1</v>
      </c>
      <c r="AS148" t="s">
        <v>798</v>
      </c>
      <c r="AT148" s="2" t="s">
        <v>0</v>
      </c>
      <c r="AU148" s="1">
        <f t="shared" si="19"/>
        <v>3.8445089443570342</v>
      </c>
      <c r="AV148" s="1">
        <f t="shared" si="20"/>
        <v>2.8304614383206923</v>
      </c>
      <c r="AW148" s="1">
        <f t="shared" si="21"/>
        <v>1.8164139322843502</v>
      </c>
    </row>
    <row r="149" spans="1:49" x14ac:dyDescent="0.2">
      <c r="A149">
        <v>147</v>
      </c>
      <c r="B149" t="s">
        <v>10477</v>
      </c>
      <c r="C149" t="s">
        <v>10476</v>
      </c>
      <c r="F149" t="s">
        <v>10475</v>
      </c>
      <c r="G149" t="s">
        <v>5</v>
      </c>
      <c r="H149" t="s">
        <v>4</v>
      </c>
      <c r="I149" t="s">
        <v>10474</v>
      </c>
      <c r="J149" t="s">
        <v>10473</v>
      </c>
      <c r="K149" t="s">
        <v>10472</v>
      </c>
      <c r="L149" t="s">
        <v>10471</v>
      </c>
      <c r="M149" t="s">
        <v>3</v>
      </c>
      <c r="N149">
        <v>4</v>
      </c>
      <c r="O149" t="s">
        <v>10470</v>
      </c>
      <c r="P149" t="s">
        <v>10469</v>
      </c>
      <c r="Q149" t="s">
        <v>10468</v>
      </c>
      <c r="R149" s="7">
        <v>37591</v>
      </c>
      <c r="S149" s="8">
        <f t="shared" si="16"/>
        <v>2002</v>
      </c>
      <c r="T149" s="8">
        <v>2002</v>
      </c>
      <c r="U149" s="8">
        <f t="shared" si="17"/>
        <v>20</v>
      </c>
      <c r="V149" s="7">
        <v>37591</v>
      </c>
      <c r="W149" t="s">
        <v>703</v>
      </c>
      <c r="X149" s="2">
        <v>2.3759999999999999</v>
      </c>
      <c r="Y149" s="6">
        <f t="shared" si="22"/>
        <v>6.3425963001521576E-2</v>
      </c>
      <c r="AA149" t="s">
        <v>702</v>
      </c>
      <c r="AB149">
        <v>26765</v>
      </c>
      <c r="AC149">
        <v>15384357</v>
      </c>
      <c r="AD149" t="s">
        <v>2</v>
      </c>
      <c r="AE149">
        <v>580</v>
      </c>
      <c r="AF149" t="s">
        <v>919</v>
      </c>
      <c r="AH149" t="s">
        <v>10467</v>
      </c>
      <c r="AI149" t="s">
        <v>10466</v>
      </c>
      <c r="AJ149" t="s">
        <v>10465</v>
      </c>
      <c r="AK149" t="s">
        <v>10464</v>
      </c>
      <c r="AL149">
        <v>17</v>
      </c>
      <c r="AM149" s="5">
        <f t="shared" si="18"/>
        <v>0.85</v>
      </c>
      <c r="AN149" s="4">
        <f t="shared" si="23"/>
        <v>1.2873911397198031E-3</v>
      </c>
      <c r="AO149" s="3"/>
      <c r="AP149">
        <v>0</v>
      </c>
      <c r="AR149" t="s">
        <v>1</v>
      </c>
      <c r="AT149" s="2">
        <v>5.8739999999999997</v>
      </c>
      <c r="AU149" s="1">
        <f t="shared" si="19"/>
        <v>4.478439144298104</v>
      </c>
      <c r="AV149" s="1">
        <f t="shared" si="20"/>
        <v>3.2356677070620692</v>
      </c>
      <c r="AW149" s="1">
        <f t="shared" si="21"/>
        <v>1.9928962698260337</v>
      </c>
    </row>
    <row r="150" spans="1:49" x14ac:dyDescent="0.2">
      <c r="A150">
        <v>148</v>
      </c>
      <c r="B150" t="s">
        <v>10463</v>
      </c>
      <c r="C150" t="s">
        <v>10462</v>
      </c>
      <c r="F150" t="s">
        <v>10461</v>
      </c>
      <c r="G150" t="s">
        <v>5</v>
      </c>
      <c r="H150" t="s">
        <v>4</v>
      </c>
      <c r="I150" t="s">
        <v>10460</v>
      </c>
      <c r="J150" t="s">
        <v>10459</v>
      </c>
      <c r="K150" t="s">
        <v>10458</v>
      </c>
      <c r="L150" t="s">
        <v>10457</v>
      </c>
      <c r="M150" t="s">
        <v>74</v>
      </c>
      <c r="N150">
        <v>2</v>
      </c>
      <c r="O150" t="s">
        <v>10456</v>
      </c>
      <c r="P150" t="s">
        <v>10455</v>
      </c>
      <c r="Q150" t="s">
        <v>10454</v>
      </c>
      <c r="R150" s="7">
        <v>37591</v>
      </c>
      <c r="S150" s="8">
        <f t="shared" si="16"/>
        <v>2002</v>
      </c>
      <c r="T150" s="8">
        <v>2002</v>
      </c>
      <c r="U150" s="8">
        <f t="shared" si="17"/>
        <v>20</v>
      </c>
      <c r="V150" s="7">
        <v>2002</v>
      </c>
      <c r="W150" t="s">
        <v>9027</v>
      </c>
      <c r="X150" s="2">
        <v>2.0099999999999998</v>
      </c>
      <c r="Y150" s="6">
        <f t="shared" si="22"/>
        <v>5.3655802034115477E-2</v>
      </c>
      <c r="AA150">
        <v>15361276</v>
      </c>
      <c r="AB150">
        <v>18933</v>
      </c>
      <c r="AD150" t="s">
        <v>2</v>
      </c>
      <c r="AE150">
        <v>1</v>
      </c>
      <c r="AF150">
        <v>4</v>
      </c>
      <c r="AH150" t="s">
        <v>10453</v>
      </c>
      <c r="AI150" t="s">
        <v>10452</v>
      </c>
      <c r="AJ150" t="s">
        <v>6443</v>
      </c>
      <c r="AK150" t="s">
        <v>10451</v>
      </c>
      <c r="AL150">
        <v>60</v>
      </c>
      <c r="AM150" s="5">
        <f t="shared" si="18"/>
        <v>3</v>
      </c>
      <c r="AN150" s="4">
        <f t="shared" si="23"/>
        <v>4.5437334343051876E-3</v>
      </c>
      <c r="AO150" s="3"/>
      <c r="AP150">
        <v>0</v>
      </c>
      <c r="AQ150" t="s">
        <v>290</v>
      </c>
      <c r="AR150" t="s">
        <v>1143</v>
      </c>
      <c r="AS150" t="s">
        <v>289</v>
      </c>
      <c r="AT150" s="2" t="s">
        <v>0</v>
      </c>
      <c r="AU150" s="1">
        <f t="shared" si="19"/>
        <v>3.8922181454172389</v>
      </c>
      <c r="AV150" s="1">
        <f t="shared" si="20"/>
        <v>2.9099767734210333</v>
      </c>
      <c r="AW150" s="1">
        <f t="shared" si="21"/>
        <v>1.9277354014248274</v>
      </c>
    </row>
    <row r="151" spans="1:49" x14ac:dyDescent="0.2">
      <c r="A151">
        <v>149</v>
      </c>
      <c r="B151" t="s">
        <v>10450</v>
      </c>
      <c r="C151" t="s">
        <v>10449</v>
      </c>
      <c r="F151" t="s">
        <v>10448</v>
      </c>
      <c r="G151" t="s">
        <v>5</v>
      </c>
      <c r="H151" t="s">
        <v>4</v>
      </c>
      <c r="I151" t="s">
        <v>712</v>
      </c>
      <c r="N151">
        <v>2</v>
      </c>
      <c r="O151" t="s">
        <v>10447</v>
      </c>
      <c r="P151" t="s">
        <v>10446</v>
      </c>
      <c r="Q151" t="s">
        <v>295</v>
      </c>
      <c r="R151" s="7">
        <v>37591</v>
      </c>
      <c r="S151" s="8">
        <f t="shared" si="16"/>
        <v>2002</v>
      </c>
      <c r="T151" s="8">
        <v>2002</v>
      </c>
      <c r="U151" s="8">
        <f t="shared" si="17"/>
        <v>20</v>
      </c>
      <c r="V151" s="7">
        <v>2002</v>
      </c>
      <c r="W151" t="s">
        <v>710</v>
      </c>
      <c r="X151" s="2">
        <v>1.3280000000000001</v>
      </c>
      <c r="Y151" s="6">
        <f t="shared" si="22"/>
        <v>3.5450201542937994E-2</v>
      </c>
      <c r="AA151">
        <v>15361225</v>
      </c>
      <c r="AB151">
        <v>18894</v>
      </c>
      <c r="AD151" t="s">
        <v>2</v>
      </c>
      <c r="AE151">
        <v>1</v>
      </c>
      <c r="AH151" t="s">
        <v>804</v>
      </c>
      <c r="AI151" t="s">
        <v>10445</v>
      </c>
      <c r="AJ151" t="s">
        <v>10444</v>
      </c>
      <c r="AK151" t="s">
        <v>10443</v>
      </c>
      <c r="AL151">
        <v>92</v>
      </c>
      <c r="AM151" s="5">
        <f t="shared" si="18"/>
        <v>4.5999999999999996</v>
      </c>
      <c r="AN151" s="4">
        <f t="shared" si="23"/>
        <v>6.9670579326012866E-3</v>
      </c>
      <c r="AO151" s="3"/>
      <c r="AP151">
        <v>0</v>
      </c>
      <c r="AR151" t="s">
        <v>1</v>
      </c>
      <c r="AT151" s="2">
        <v>3.8340000000000001</v>
      </c>
      <c r="AU151" s="1">
        <f t="shared" si="19"/>
        <v>2.6905258459836983</v>
      </c>
      <c r="AV151" s="1">
        <f t="shared" si="20"/>
        <v>2.1208629737769642</v>
      </c>
      <c r="AW151" s="1">
        <f t="shared" si="21"/>
        <v>1.5512001015702297</v>
      </c>
    </row>
    <row r="152" spans="1:49" x14ac:dyDescent="0.2">
      <c r="A152">
        <v>150</v>
      </c>
      <c r="B152" t="s">
        <v>10442</v>
      </c>
      <c r="C152" t="s">
        <v>10441</v>
      </c>
      <c r="F152" t="s">
        <v>10440</v>
      </c>
      <c r="G152" t="s">
        <v>5</v>
      </c>
      <c r="H152" t="s">
        <v>4</v>
      </c>
      <c r="I152" t="s">
        <v>8879</v>
      </c>
      <c r="J152" t="s">
        <v>10439</v>
      </c>
      <c r="K152" t="s">
        <v>10438</v>
      </c>
      <c r="L152" t="s">
        <v>10437</v>
      </c>
      <c r="M152" t="s">
        <v>74</v>
      </c>
      <c r="N152">
        <v>3</v>
      </c>
      <c r="O152" t="s">
        <v>10436</v>
      </c>
      <c r="P152" t="s">
        <v>10435</v>
      </c>
      <c r="Q152" t="s">
        <v>10434</v>
      </c>
      <c r="R152" s="7">
        <v>37591</v>
      </c>
      <c r="S152" s="8">
        <f t="shared" si="16"/>
        <v>2002</v>
      </c>
      <c r="T152" s="8">
        <v>2002</v>
      </c>
      <c r="U152" s="8">
        <f t="shared" si="17"/>
        <v>20</v>
      </c>
      <c r="V152" s="7">
        <v>2002</v>
      </c>
      <c r="W152" t="s">
        <v>9027</v>
      </c>
      <c r="X152" s="2">
        <v>2.0099999999999998</v>
      </c>
      <c r="Y152" s="6">
        <f t="shared" si="22"/>
        <v>5.3655802034115477E-2</v>
      </c>
      <c r="AA152">
        <v>15361276</v>
      </c>
      <c r="AB152">
        <v>18933</v>
      </c>
      <c r="AD152" t="s">
        <v>2</v>
      </c>
      <c r="AE152">
        <v>1</v>
      </c>
      <c r="AF152">
        <v>3</v>
      </c>
      <c r="AH152" t="s">
        <v>10433</v>
      </c>
      <c r="AI152" t="s">
        <v>10432</v>
      </c>
      <c r="AJ152" t="s">
        <v>10431</v>
      </c>
      <c r="AK152" t="s">
        <v>10430</v>
      </c>
      <c r="AL152">
        <v>131</v>
      </c>
      <c r="AM152" s="5">
        <f t="shared" si="18"/>
        <v>6.55</v>
      </c>
      <c r="AN152" s="4">
        <f t="shared" si="23"/>
        <v>9.9204846648996581E-3</v>
      </c>
      <c r="AO152" s="3"/>
      <c r="AP152">
        <v>0</v>
      </c>
      <c r="AR152" t="s">
        <v>1</v>
      </c>
      <c r="AT152" s="2" t="s">
        <v>0</v>
      </c>
      <c r="AU152" s="1">
        <f t="shared" si="19"/>
        <v>4.0535206823350727</v>
      </c>
      <c r="AV152" s="1">
        <f t="shared" si="20"/>
        <v>3.1788143349507565</v>
      </c>
      <c r="AW152" s="1">
        <f t="shared" si="21"/>
        <v>2.3041079875664403</v>
      </c>
    </row>
    <row r="153" spans="1:49" x14ac:dyDescent="0.2">
      <c r="A153">
        <v>151</v>
      </c>
      <c r="B153" t="s">
        <v>10429</v>
      </c>
      <c r="C153" t="s">
        <v>10428</v>
      </c>
      <c r="F153" t="s">
        <v>10427</v>
      </c>
      <c r="G153" t="s">
        <v>5</v>
      </c>
      <c r="H153" t="s">
        <v>4</v>
      </c>
      <c r="I153" t="s">
        <v>482</v>
      </c>
      <c r="J153">
        <v>60002947</v>
      </c>
      <c r="K153" t="s">
        <v>481</v>
      </c>
      <c r="L153" t="s">
        <v>18</v>
      </c>
      <c r="M153" t="s">
        <v>463</v>
      </c>
      <c r="N153">
        <v>2</v>
      </c>
      <c r="O153" t="s">
        <v>480</v>
      </c>
      <c r="P153" t="s">
        <v>479</v>
      </c>
      <c r="Q153" t="s">
        <v>478</v>
      </c>
      <c r="R153" s="7">
        <v>37591</v>
      </c>
      <c r="S153" s="8">
        <f t="shared" si="16"/>
        <v>2002</v>
      </c>
      <c r="T153" s="8">
        <v>2002</v>
      </c>
      <c r="U153" s="8">
        <f t="shared" si="17"/>
        <v>20</v>
      </c>
      <c r="V153" s="7">
        <v>2002</v>
      </c>
      <c r="W153" t="s">
        <v>10426</v>
      </c>
      <c r="X153" s="2">
        <v>0.437</v>
      </c>
      <c r="Y153" s="6">
        <f t="shared" si="22"/>
        <v>1.1665465417367396E-2</v>
      </c>
      <c r="AA153">
        <v>10704698</v>
      </c>
      <c r="AB153">
        <v>5300152513</v>
      </c>
      <c r="AC153">
        <v>15598985</v>
      </c>
      <c r="AD153" t="s">
        <v>2</v>
      </c>
      <c r="AE153">
        <v>36</v>
      </c>
      <c r="AH153" t="s">
        <v>10425</v>
      </c>
      <c r="AI153" t="s">
        <v>477</v>
      </c>
      <c r="AK153" t="s">
        <v>476</v>
      </c>
      <c r="AL153">
        <v>41</v>
      </c>
      <c r="AM153" s="5">
        <f t="shared" si="18"/>
        <v>2.0499999999999998</v>
      </c>
      <c r="AN153" s="4">
        <f t="shared" si="23"/>
        <v>3.104884513441878E-3</v>
      </c>
      <c r="AO153" s="3"/>
      <c r="AP153">
        <v>1</v>
      </c>
      <c r="AR153" t="s">
        <v>1</v>
      </c>
      <c r="AT153" s="2" t="s">
        <v>0</v>
      </c>
      <c r="AU153" s="1">
        <f t="shared" si="19"/>
        <v>0.90972911461897399</v>
      </c>
      <c r="AV153" s="1">
        <f t="shared" si="20"/>
        <v>0.73851749654046372</v>
      </c>
      <c r="AW153" s="1">
        <f t="shared" si="21"/>
        <v>0.56730587846195335</v>
      </c>
    </row>
    <row r="154" spans="1:49" x14ac:dyDescent="0.2">
      <c r="A154">
        <v>152</v>
      </c>
      <c r="B154" t="s">
        <v>10424</v>
      </c>
      <c r="C154" t="s">
        <v>10423</v>
      </c>
      <c r="D154" t="s">
        <v>10422</v>
      </c>
      <c r="F154" t="s">
        <v>10421</v>
      </c>
      <c r="G154" t="s">
        <v>5</v>
      </c>
      <c r="H154" t="s">
        <v>4</v>
      </c>
      <c r="I154" t="s">
        <v>10420</v>
      </c>
      <c r="J154" t="s">
        <v>10419</v>
      </c>
      <c r="K154" t="s">
        <v>10418</v>
      </c>
      <c r="L154" t="s">
        <v>10417</v>
      </c>
      <c r="M154" t="s">
        <v>74</v>
      </c>
      <c r="N154">
        <v>2</v>
      </c>
      <c r="O154" t="s">
        <v>10416</v>
      </c>
      <c r="P154" t="s">
        <v>10415</v>
      </c>
      <c r="Q154" t="s">
        <v>10414</v>
      </c>
      <c r="R154" s="7">
        <v>37591</v>
      </c>
      <c r="S154" s="8">
        <f t="shared" si="16"/>
        <v>2002</v>
      </c>
      <c r="T154" s="8">
        <v>2002</v>
      </c>
      <c r="U154" s="8">
        <f t="shared" si="17"/>
        <v>20</v>
      </c>
      <c r="V154" s="7">
        <v>2002</v>
      </c>
      <c r="W154" t="s">
        <v>9027</v>
      </c>
      <c r="X154" s="2">
        <v>2.0099999999999998</v>
      </c>
      <c r="Y154" s="6">
        <f t="shared" si="22"/>
        <v>5.3655802034115477E-2</v>
      </c>
      <c r="AA154">
        <v>15361276</v>
      </c>
      <c r="AB154">
        <v>18933</v>
      </c>
      <c r="AD154" t="s">
        <v>2</v>
      </c>
      <c r="AE154">
        <v>1</v>
      </c>
      <c r="AF154">
        <v>1</v>
      </c>
      <c r="AH154" t="s">
        <v>10413</v>
      </c>
      <c r="AI154" t="s">
        <v>10412</v>
      </c>
      <c r="AJ154" t="s">
        <v>10411</v>
      </c>
      <c r="AK154" t="s">
        <v>10410</v>
      </c>
      <c r="AL154">
        <v>26</v>
      </c>
      <c r="AM154" s="5">
        <f t="shared" si="18"/>
        <v>1.3</v>
      </c>
      <c r="AN154" s="4">
        <f t="shared" si="23"/>
        <v>1.9689511548655813E-3</v>
      </c>
      <c r="AO154" s="3"/>
      <c r="AP154">
        <v>0</v>
      </c>
      <c r="AR154" t="s">
        <v>1</v>
      </c>
      <c r="AT154" s="2" t="s">
        <v>0</v>
      </c>
      <c r="AU154" s="1">
        <f t="shared" si="19"/>
        <v>3.8149746770340505</v>
      </c>
      <c r="AV154" s="1">
        <f t="shared" si="20"/>
        <v>2.7812376594490531</v>
      </c>
      <c r="AW154" s="1">
        <f t="shared" si="21"/>
        <v>1.7475006418640551</v>
      </c>
    </row>
    <row r="155" spans="1:49" x14ac:dyDescent="0.2">
      <c r="A155">
        <v>153</v>
      </c>
      <c r="B155" t="s">
        <v>10409</v>
      </c>
      <c r="C155" t="s">
        <v>10408</v>
      </c>
      <c r="F155" t="s">
        <v>10407</v>
      </c>
      <c r="G155" t="s">
        <v>5</v>
      </c>
      <c r="H155" t="s">
        <v>4</v>
      </c>
      <c r="I155" t="s">
        <v>10406</v>
      </c>
      <c r="J155">
        <v>60024350</v>
      </c>
      <c r="K155" t="s">
        <v>2503</v>
      </c>
      <c r="L155" t="s">
        <v>2502</v>
      </c>
      <c r="M155" t="s">
        <v>21</v>
      </c>
      <c r="N155">
        <v>2</v>
      </c>
      <c r="O155" t="s">
        <v>10405</v>
      </c>
      <c r="P155" t="s">
        <v>10404</v>
      </c>
      <c r="Q155" t="s">
        <v>10403</v>
      </c>
      <c r="R155" s="7">
        <v>37591</v>
      </c>
      <c r="S155" s="8">
        <f t="shared" si="16"/>
        <v>2002</v>
      </c>
      <c r="T155" s="8">
        <v>2002</v>
      </c>
      <c r="U155" s="8">
        <f t="shared" si="17"/>
        <v>20</v>
      </c>
      <c r="V155" s="7">
        <v>37591</v>
      </c>
      <c r="W155" t="s">
        <v>462</v>
      </c>
      <c r="X155" s="2">
        <v>0.251</v>
      </c>
      <c r="Y155" s="6">
        <f t="shared" si="22"/>
        <v>6.7003016470462617E-3</v>
      </c>
      <c r="AA155">
        <v>207217</v>
      </c>
      <c r="AB155">
        <v>26145</v>
      </c>
      <c r="AD155" t="s">
        <v>2</v>
      </c>
      <c r="AE155">
        <v>89</v>
      </c>
      <c r="AF155">
        <v>12</v>
      </c>
      <c r="AH155" t="s">
        <v>10402</v>
      </c>
      <c r="AI155" t="s">
        <v>10401</v>
      </c>
      <c r="AK155" t="s">
        <v>10400</v>
      </c>
      <c r="AL155">
        <v>9</v>
      </c>
      <c r="AM155" s="5">
        <f t="shared" si="18"/>
        <v>0.45</v>
      </c>
      <c r="AN155" s="4">
        <f t="shared" si="23"/>
        <v>6.8156001514577808E-4</v>
      </c>
      <c r="AO155" s="3"/>
      <c r="AP155">
        <v>0</v>
      </c>
      <c r="AR155" t="s">
        <v>1</v>
      </c>
      <c r="AT155" s="2">
        <v>1.3360000000000001</v>
      </c>
      <c r="AU155" s="1">
        <f t="shared" si="19"/>
        <v>0.48946791574761161</v>
      </c>
      <c r="AV155" s="1">
        <f t="shared" si="20"/>
        <v>0.36909308310960198</v>
      </c>
      <c r="AW155" s="1">
        <f t="shared" si="21"/>
        <v>0.24871825047159229</v>
      </c>
    </row>
    <row r="156" spans="1:49" x14ac:dyDescent="0.2">
      <c r="A156">
        <v>154</v>
      </c>
      <c r="B156" t="s">
        <v>10399</v>
      </c>
      <c r="F156" t="s">
        <v>10398</v>
      </c>
      <c r="G156" t="s">
        <v>5</v>
      </c>
      <c r="H156" t="s">
        <v>4</v>
      </c>
      <c r="I156" t="s">
        <v>10397</v>
      </c>
      <c r="J156">
        <v>101232518</v>
      </c>
      <c r="K156" t="s">
        <v>10396</v>
      </c>
      <c r="L156" t="s">
        <v>10395</v>
      </c>
      <c r="M156" t="s">
        <v>7</v>
      </c>
      <c r="N156">
        <v>1</v>
      </c>
      <c r="O156" t="s">
        <v>10394</v>
      </c>
      <c r="P156">
        <v>6508345517</v>
      </c>
      <c r="Q156">
        <v>101232518</v>
      </c>
      <c r="R156" s="7">
        <v>37591</v>
      </c>
      <c r="S156" s="8">
        <f t="shared" si="16"/>
        <v>2002</v>
      </c>
      <c r="T156" s="8">
        <v>2002</v>
      </c>
      <c r="U156" s="8">
        <f t="shared" si="17"/>
        <v>20</v>
      </c>
      <c r="V156" s="7">
        <v>2002</v>
      </c>
      <c r="W156" t="s">
        <v>533</v>
      </c>
      <c r="X156" s="2" t="s">
        <v>0</v>
      </c>
      <c r="Y156" s="6" t="e">
        <f t="shared" si="22"/>
        <v>#VALUE!</v>
      </c>
      <c r="AA156">
        <v>9248625</v>
      </c>
      <c r="AB156">
        <v>12897</v>
      </c>
      <c r="AD156" t="s">
        <v>2</v>
      </c>
      <c r="AE156">
        <v>18</v>
      </c>
      <c r="AF156" s="9">
        <v>44289</v>
      </c>
      <c r="AH156" t="s">
        <v>10393</v>
      </c>
      <c r="AI156" t="s">
        <v>10392</v>
      </c>
      <c r="AK156" t="s">
        <v>10391</v>
      </c>
      <c r="AL156">
        <v>0</v>
      </c>
      <c r="AM156" s="5">
        <f t="shared" si="18"/>
        <v>0</v>
      </c>
      <c r="AN156" s="4">
        <f t="shared" si="23"/>
        <v>0</v>
      </c>
      <c r="AO156" s="3"/>
      <c r="AP156">
        <v>0</v>
      </c>
      <c r="AR156" t="s">
        <v>1</v>
      </c>
      <c r="AT156" s="2" t="s">
        <v>0</v>
      </c>
      <c r="AU156" s="1" t="e">
        <f t="shared" si="19"/>
        <v>#VALUE!</v>
      </c>
      <c r="AV156" s="1" t="e">
        <f t="shared" si="20"/>
        <v>#VALUE!</v>
      </c>
      <c r="AW156" s="1" t="e">
        <f t="shared" si="21"/>
        <v>#VALUE!</v>
      </c>
    </row>
    <row r="157" spans="1:49" x14ac:dyDescent="0.2">
      <c r="A157">
        <v>155</v>
      </c>
      <c r="B157" t="s">
        <v>10390</v>
      </c>
      <c r="F157" t="s">
        <v>10389</v>
      </c>
      <c r="G157" t="s">
        <v>5</v>
      </c>
      <c r="H157" t="s">
        <v>4</v>
      </c>
      <c r="I157" t="s">
        <v>10388</v>
      </c>
      <c r="J157" t="s">
        <v>10387</v>
      </c>
      <c r="K157" t="s">
        <v>10386</v>
      </c>
      <c r="L157" t="s">
        <v>10385</v>
      </c>
      <c r="M157" t="s">
        <v>567</v>
      </c>
      <c r="N157">
        <v>5</v>
      </c>
      <c r="O157" t="s">
        <v>10384</v>
      </c>
      <c r="P157" t="s">
        <v>10383</v>
      </c>
      <c r="Q157" t="s">
        <v>10382</v>
      </c>
      <c r="R157" s="7">
        <v>37591</v>
      </c>
      <c r="S157" s="8">
        <f t="shared" si="16"/>
        <v>2002</v>
      </c>
      <c r="T157" s="8">
        <v>2002</v>
      </c>
      <c r="U157" s="8">
        <f t="shared" si="17"/>
        <v>20</v>
      </c>
      <c r="V157" s="7">
        <v>2002</v>
      </c>
      <c r="W157" t="s">
        <v>533</v>
      </c>
      <c r="X157" s="2" t="s">
        <v>0</v>
      </c>
      <c r="Y157" s="6" t="e">
        <f t="shared" si="22"/>
        <v>#VALUE!</v>
      </c>
      <c r="AA157">
        <v>9248625</v>
      </c>
      <c r="AB157">
        <v>12897</v>
      </c>
      <c r="AD157" t="s">
        <v>2</v>
      </c>
      <c r="AE157">
        <v>18</v>
      </c>
      <c r="AF157" s="9">
        <v>44289</v>
      </c>
      <c r="AH157" t="s">
        <v>732</v>
      </c>
      <c r="AI157" t="s">
        <v>10381</v>
      </c>
      <c r="AK157" t="s">
        <v>10380</v>
      </c>
      <c r="AL157">
        <v>5</v>
      </c>
      <c r="AM157" s="5">
        <f t="shared" si="18"/>
        <v>0.25</v>
      </c>
      <c r="AN157" s="4">
        <f t="shared" si="23"/>
        <v>3.786444528587656E-4</v>
      </c>
      <c r="AO157" s="3"/>
      <c r="AP157">
        <v>0</v>
      </c>
      <c r="AR157" t="s">
        <v>1</v>
      </c>
      <c r="AT157" s="2" t="s">
        <v>0</v>
      </c>
      <c r="AU157" s="1" t="e">
        <f t="shared" si="19"/>
        <v>#VALUE!</v>
      </c>
      <c r="AV157" s="1" t="e">
        <f t="shared" si="20"/>
        <v>#VALUE!</v>
      </c>
      <c r="AW157" s="1" t="e">
        <f t="shared" si="21"/>
        <v>#VALUE!</v>
      </c>
    </row>
    <row r="158" spans="1:49" x14ac:dyDescent="0.2">
      <c r="A158">
        <v>156</v>
      </c>
      <c r="B158" t="s">
        <v>10379</v>
      </c>
      <c r="F158" t="s">
        <v>10378</v>
      </c>
      <c r="G158" t="s">
        <v>5</v>
      </c>
      <c r="H158" t="s">
        <v>4</v>
      </c>
      <c r="I158" t="s">
        <v>10377</v>
      </c>
      <c r="J158" t="s">
        <v>10376</v>
      </c>
      <c r="K158" t="s">
        <v>10375</v>
      </c>
      <c r="L158" t="s">
        <v>10374</v>
      </c>
      <c r="M158" t="s">
        <v>10373</v>
      </c>
      <c r="N158">
        <v>5</v>
      </c>
      <c r="O158" t="s">
        <v>10372</v>
      </c>
      <c r="P158" t="s">
        <v>10371</v>
      </c>
      <c r="Q158" t="s">
        <v>10370</v>
      </c>
      <c r="R158" s="7">
        <v>37591</v>
      </c>
      <c r="S158" s="8">
        <f t="shared" si="16"/>
        <v>2002</v>
      </c>
      <c r="T158" s="8">
        <v>2002</v>
      </c>
      <c r="U158" s="8">
        <f t="shared" si="17"/>
        <v>20</v>
      </c>
      <c r="V158" s="7">
        <v>2002</v>
      </c>
      <c r="W158" t="s">
        <v>10369</v>
      </c>
      <c r="X158" s="2" t="s">
        <v>0</v>
      </c>
      <c r="Y158" s="6" t="e">
        <f t="shared" si="22"/>
        <v>#VALUE!</v>
      </c>
      <c r="AA158">
        <v>15725</v>
      </c>
      <c r="AB158">
        <v>27412</v>
      </c>
      <c r="AD158" t="s">
        <v>2</v>
      </c>
      <c r="AE158">
        <v>50</v>
      </c>
      <c r="AF158">
        <v>4</v>
      </c>
      <c r="AH158" t="s">
        <v>10368</v>
      </c>
      <c r="AI158" t="s">
        <v>10367</v>
      </c>
      <c r="AJ158" t="s">
        <v>10366</v>
      </c>
      <c r="AK158" t="s">
        <v>10365</v>
      </c>
      <c r="AL158">
        <v>3</v>
      </c>
      <c r="AM158" s="5">
        <f t="shared" si="18"/>
        <v>0.15</v>
      </c>
      <c r="AN158" s="4">
        <f t="shared" si="23"/>
        <v>2.2718667171525936E-4</v>
      </c>
      <c r="AO158" s="3"/>
      <c r="AP158">
        <v>0</v>
      </c>
      <c r="AR158" t="s">
        <v>1</v>
      </c>
      <c r="AT158" s="2" t="s">
        <v>0</v>
      </c>
      <c r="AU158" s="1" t="e">
        <f t="shared" si="19"/>
        <v>#VALUE!</v>
      </c>
      <c r="AV158" s="1" t="e">
        <f t="shared" si="20"/>
        <v>#VALUE!</v>
      </c>
      <c r="AW158" s="1" t="e">
        <f t="shared" si="21"/>
        <v>#VALUE!</v>
      </c>
    </row>
    <row r="159" spans="1:49" x14ac:dyDescent="0.2">
      <c r="A159">
        <v>157</v>
      </c>
      <c r="B159" t="s">
        <v>10364</v>
      </c>
      <c r="F159" t="s">
        <v>10363</v>
      </c>
      <c r="G159" t="s">
        <v>5</v>
      </c>
      <c r="H159" t="s">
        <v>4</v>
      </c>
      <c r="I159" t="s">
        <v>10362</v>
      </c>
      <c r="J159" t="s">
        <v>10361</v>
      </c>
      <c r="K159" t="s">
        <v>10360</v>
      </c>
      <c r="L159" t="s">
        <v>10359</v>
      </c>
      <c r="M159" t="s">
        <v>32</v>
      </c>
      <c r="N159">
        <v>4</v>
      </c>
      <c r="O159" t="s">
        <v>10358</v>
      </c>
      <c r="P159" t="s">
        <v>10357</v>
      </c>
      <c r="Q159" t="s">
        <v>10356</v>
      </c>
      <c r="R159" s="7">
        <v>37591</v>
      </c>
      <c r="S159" s="8">
        <f t="shared" si="16"/>
        <v>2002</v>
      </c>
      <c r="T159" s="8">
        <v>2002</v>
      </c>
      <c r="U159" s="8">
        <f t="shared" si="17"/>
        <v>20</v>
      </c>
      <c r="V159" s="7">
        <v>2002</v>
      </c>
      <c r="W159" t="s">
        <v>9822</v>
      </c>
      <c r="X159" s="2">
        <v>0.29899999999999999</v>
      </c>
      <c r="Y159" s="6">
        <f t="shared" si="22"/>
        <v>7.9816342329355871E-3</v>
      </c>
      <c r="AA159">
        <v>1464116</v>
      </c>
      <c r="AB159">
        <v>24906</v>
      </c>
      <c r="AD159" t="s">
        <v>2</v>
      </c>
      <c r="AE159">
        <v>36</v>
      </c>
      <c r="AF159">
        <v>4</v>
      </c>
      <c r="AH159" t="s">
        <v>10355</v>
      </c>
      <c r="AI159" t="s">
        <v>10354</v>
      </c>
      <c r="AK159" t="s">
        <v>10353</v>
      </c>
      <c r="AL159">
        <v>0</v>
      </c>
      <c r="AM159" s="5">
        <f t="shared" si="18"/>
        <v>0</v>
      </c>
      <c r="AN159" s="4">
        <f t="shared" si="23"/>
        <v>0</v>
      </c>
      <c r="AO159" s="3"/>
      <c r="AP159">
        <v>0</v>
      </c>
      <c r="AR159" t="s">
        <v>1</v>
      </c>
      <c r="AT159" s="2" t="s">
        <v>0</v>
      </c>
      <c r="AU159" s="1">
        <f t="shared" si="19"/>
        <v>0.55871439630549102</v>
      </c>
      <c r="AV159" s="1">
        <f t="shared" si="20"/>
        <v>0.39908171164677936</v>
      </c>
      <c r="AW159" s="1">
        <f t="shared" si="21"/>
        <v>0.23944902698806758</v>
      </c>
    </row>
    <row r="160" spans="1:49" x14ac:dyDescent="0.2">
      <c r="A160">
        <v>158</v>
      </c>
      <c r="B160" t="s">
        <v>10352</v>
      </c>
      <c r="C160" t="s">
        <v>10351</v>
      </c>
      <c r="F160" t="s">
        <v>10350</v>
      </c>
      <c r="G160" t="s">
        <v>5</v>
      </c>
      <c r="H160" t="s">
        <v>4</v>
      </c>
      <c r="I160" t="s">
        <v>10349</v>
      </c>
      <c r="J160" t="s">
        <v>10348</v>
      </c>
      <c r="K160" t="s">
        <v>10347</v>
      </c>
      <c r="L160" t="s">
        <v>10346</v>
      </c>
      <c r="M160" t="s">
        <v>10345</v>
      </c>
      <c r="N160">
        <v>2</v>
      </c>
      <c r="O160" t="s">
        <v>10344</v>
      </c>
      <c r="P160" t="s">
        <v>10343</v>
      </c>
      <c r="Q160" t="s">
        <v>10342</v>
      </c>
      <c r="R160" s="7">
        <v>37591</v>
      </c>
      <c r="S160" s="8">
        <f t="shared" si="16"/>
        <v>2002</v>
      </c>
      <c r="T160" s="8">
        <v>2002</v>
      </c>
      <c r="U160" s="8">
        <f t="shared" si="17"/>
        <v>20</v>
      </c>
      <c r="V160" s="7">
        <v>2002</v>
      </c>
      <c r="W160" t="s">
        <v>9027</v>
      </c>
      <c r="X160" s="2">
        <v>2.0099999999999998</v>
      </c>
      <c r="Y160" s="6">
        <f t="shared" si="22"/>
        <v>5.3655802034115477E-2</v>
      </c>
      <c r="AA160">
        <v>15361276</v>
      </c>
      <c r="AB160">
        <v>18933</v>
      </c>
      <c r="AD160" t="s">
        <v>2</v>
      </c>
      <c r="AE160">
        <v>1</v>
      </c>
      <c r="AF160">
        <v>4</v>
      </c>
      <c r="AH160" t="s">
        <v>10341</v>
      </c>
      <c r="AI160" t="s">
        <v>10340</v>
      </c>
      <c r="AJ160" t="s">
        <v>10339</v>
      </c>
      <c r="AK160" t="s">
        <v>10338</v>
      </c>
      <c r="AL160">
        <v>33</v>
      </c>
      <c r="AM160" s="5">
        <f t="shared" si="18"/>
        <v>1.65</v>
      </c>
      <c r="AN160" s="4">
        <f t="shared" si="23"/>
        <v>2.4990533888678531E-3</v>
      </c>
      <c r="AO160" s="3"/>
      <c r="AP160">
        <v>0</v>
      </c>
      <c r="AR160" t="s">
        <v>1</v>
      </c>
      <c r="AT160" s="2" t="s">
        <v>0</v>
      </c>
      <c r="AU160" s="1">
        <f t="shared" si="19"/>
        <v>3.8308777440541188</v>
      </c>
      <c r="AV160" s="1">
        <f t="shared" si="20"/>
        <v>2.8077427711491665</v>
      </c>
      <c r="AW160" s="1">
        <f t="shared" si="21"/>
        <v>1.7846077982442139</v>
      </c>
    </row>
    <row r="161" spans="1:49" x14ac:dyDescent="0.2">
      <c r="A161">
        <v>159</v>
      </c>
      <c r="B161" t="s">
        <v>10337</v>
      </c>
      <c r="C161" t="s">
        <v>10336</v>
      </c>
      <c r="F161" t="s">
        <v>10335</v>
      </c>
      <c r="G161" t="s">
        <v>5</v>
      </c>
      <c r="H161" t="s">
        <v>4</v>
      </c>
      <c r="I161" t="s">
        <v>254</v>
      </c>
      <c r="J161" t="s">
        <v>10334</v>
      </c>
      <c r="K161" t="s">
        <v>10333</v>
      </c>
      <c r="L161" t="s">
        <v>10332</v>
      </c>
      <c r="M161" t="s">
        <v>74</v>
      </c>
      <c r="N161">
        <v>3</v>
      </c>
      <c r="O161" t="s">
        <v>10331</v>
      </c>
      <c r="P161" t="s">
        <v>10330</v>
      </c>
      <c r="Q161" t="s">
        <v>10329</v>
      </c>
      <c r="R161" s="7">
        <v>37591</v>
      </c>
      <c r="S161" s="8">
        <f t="shared" si="16"/>
        <v>2002</v>
      </c>
      <c r="T161" s="8">
        <v>2002</v>
      </c>
      <c r="U161" s="8">
        <f t="shared" si="17"/>
        <v>20</v>
      </c>
      <c r="V161" s="7">
        <v>2002</v>
      </c>
      <c r="W161" t="s">
        <v>710</v>
      </c>
      <c r="X161" s="2">
        <v>1.3280000000000001</v>
      </c>
      <c r="Y161" s="6">
        <f t="shared" si="22"/>
        <v>3.5450201542937994E-2</v>
      </c>
      <c r="AA161">
        <v>15361225</v>
      </c>
      <c r="AB161">
        <v>18894</v>
      </c>
      <c r="AD161" t="s">
        <v>2</v>
      </c>
      <c r="AE161">
        <v>1</v>
      </c>
      <c r="AH161" s="9">
        <v>44382</v>
      </c>
      <c r="AI161" t="s">
        <v>10328</v>
      </c>
      <c r="AJ161" t="s">
        <v>10327</v>
      </c>
      <c r="AK161" t="s">
        <v>10326</v>
      </c>
      <c r="AL161">
        <v>31</v>
      </c>
      <c r="AM161" s="5">
        <f t="shared" si="18"/>
        <v>1.55</v>
      </c>
      <c r="AN161" s="4">
        <f t="shared" si="23"/>
        <v>2.347595607724347E-3</v>
      </c>
      <c r="AO161" s="3"/>
      <c r="AP161">
        <v>0</v>
      </c>
      <c r="AR161" t="s">
        <v>1</v>
      </c>
      <c r="AT161" s="2">
        <v>3.8340000000000001</v>
      </c>
      <c r="AU161" s="1">
        <f t="shared" si="19"/>
        <v>2.5519419762373898</v>
      </c>
      <c r="AV161" s="1">
        <f t="shared" si="20"/>
        <v>1.8898898575331169</v>
      </c>
      <c r="AW161" s="1">
        <f t="shared" si="21"/>
        <v>1.2278377388288442</v>
      </c>
    </row>
    <row r="162" spans="1:49" x14ac:dyDescent="0.2">
      <c r="A162">
        <v>160</v>
      </c>
      <c r="B162" t="s">
        <v>10325</v>
      </c>
      <c r="F162" t="s">
        <v>10324</v>
      </c>
      <c r="G162" t="s">
        <v>5</v>
      </c>
      <c r="H162" t="s">
        <v>4</v>
      </c>
      <c r="I162" t="s">
        <v>1159</v>
      </c>
      <c r="J162">
        <v>60016835</v>
      </c>
      <c r="K162" t="s">
        <v>1158</v>
      </c>
      <c r="L162" t="s">
        <v>72</v>
      </c>
      <c r="M162" t="s">
        <v>21</v>
      </c>
      <c r="N162">
        <v>2</v>
      </c>
      <c r="O162" t="s">
        <v>10323</v>
      </c>
      <c r="P162" t="s">
        <v>10322</v>
      </c>
      <c r="Q162" t="s">
        <v>10321</v>
      </c>
      <c r="R162" s="7">
        <v>37591</v>
      </c>
      <c r="S162" s="8">
        <f t="shared" si="16"/>
        <v>2002</v>
      </c>
      <c r="T162" s="8">
        <v>2002</v>
      </c>
      <c r="U162" s="8">
        <f t="shared" si="17"/>
        <v>20</v>
      </c>
      <c r="V162" s="7">
        <v>37591</v>
      </c>
      <c r="W162" t="s">
        <v>1157</v>
      </c>
      <c r="X162" s="2">
        <v>0.128</v>
      </c>
      <c r="Y162" s="6">
        <f t="shared" si="22"/>
        <v>3.4168868957048667E-3</v>
      </c>
      <c r="AA162">
        <v>10040579</v>
      </c>
      <c r="AB162">
        <v>19474</v>
      </c>
      <c r="AD162" t="s">
        <v>2</v>
      </c>
      <c r="AE162">
        <v>11</v>
      </c>
      <c r="AF162">
        <v>4</v>
      </c>
      <c r="AH162" t="s">
        <v>10320</v>
      </c>
      <c r="AI162" t="s">
        <v>10319</v>
      </c>
      <c r="AJ162" t="s">
        <v>10318</v>
      </c>
      <c r="AK162" t="s">
        <v>10317</v>
      </c>
      <c r="AL162">
        <v>1</v>
      </c>
      <c r="AM162" s="5">
        <f t="shared" si="18"/>
        <v>0.05</v>
      </c>
      <c r="AN162" s="4">
        <f t="shared" si="23"/>
        <v>7.5728890571753133E-5</v>
      </c>
      <c r="AO162" s="3"/>
      <c r="AP162">
        <v>0</v>
      </c>
      <c r="AR162" t="s">
        <v>1</v>
      </c>
      <c r="AT162" s="2" t="s">
        <v>0</v>
      </c>
      <c r="AU162" s="1">
        <f t="shared" si="19"/>
        <v>0.24145394941649329</v>
      </c>
      <c r="AV162" s="1">
        <f t="shared" si="20"/>
        <v>0.174630789313831</v>
      </c>
      <c r="AW162" s="1">
        <f t="shared" si="21"/>
        <v>0.10780762921116871</v>
      </c>
    </row>
    <row r="163" spans="1:49" x14ac:dyDescent="0.2">
      <c r="A163">
        <v>161</v>
      </c>
      <c r="B163" t="s">
        <v>10316</v>
      </c>
      <c r="C163" t="s">
        <v>10315</v>
      </c>
      <c r="F163" t="s">
        <v>10314</v>
      </c>
      <c r="G163" t="s">
        <v>5</v>
      </c>
      <c r="H163" t="s">
        <v>4</v>
      </c>
      <c r="I163" t="s">
        <v>10313</v>
      </c>
      <c r="J163" t="s">
        <v>10312</v>
      </c>
      <c r="K163" t="s">
        <v>10311</v>
      </c>
      <c r="L163" t="s">
        <v>10310</v>
      </c>
      <c r="M163" t="s">
        <v>3</v>
      </c>
      <c r="N163">
        <v>2</v>
      </c>
      <c r="O163" t="s">
        <v>10309</v>
      </c>
      <c r="P163" t="s">
        <v>10308</v>
      </c>
      <c r="Q163" t="s">
        <v>10307</v>
      </c>
      <c r="R163" s="7">
        <v>37591</v>
      </c>
      <c r="S163" s="8">
        <f t="shared" si="16"/>
        <v>2002</v>
      </c>
      <c r="T163" s="8">
        <v>2002</v>
      </c>
      <c r="U163" s="8">
        <f t="shared" si="17"/>
        <v>20</v>
      </c>
      <c r="V163" s="7">
        <v>2002</v>
      </c>
      <c r="W163" t="s">
        <v>710</v>
      </c>
      <c r="X163" s="2">
        <v>1.3280000000000001</v>
      </c>
      <c r="Y163" s="6">
        <f t="shared" si="22"/>
        <v>3.5450201542937994E-2</v>
      </c>
      <c r="AA163">
        <v>15361225</v>
      </c>
      <c r="AB163">
        <v>18894</v>
      </c>
      <c r="AD163" t="s">
        <v>2</v>
      </c>
      <c r="AE163">
        <v>1</v>
      </c>
      <c r="AH163" t="s">
        <v>772</v>
      </c>
      <c r="AI163" t="s">
        <v>10306</v>
      </c>
      <c r="AJ163" t="s">
        <v>10305</v>
      </c>
      <c r="AK163" t="s">
        <v>10304</v>
      </c>
      <c r="AL163">
        <v>19</v>
      </c>
      <c r="AM163" s="5">
        <f t="shared" si="18"/>
        <v>0.95</v>
      </c>
      <c r="AN163" s="4">
        <f t="shared" si="23"/>
        <v>1.4388489208633094E-3</v>
      </c>
      <c r="AO163" s="3"/>
      <c r="AP163">
        <v>0</v>
      </c>
      <c r="AQ163" t="s">
        <v>290</v>
      </c>
      <c r="AR163" t="s">
        <v>10303</v>
      </c>
      <c r="AS163" t="s">
        <v>289</v>
      </c>
      <c r="AT163" s="2">
        <v>3.8340000000000001</v>
      </c>
      <c r="AU163" s="1">
        <f t="shared" si="19"/>
        <v>2.5246795756315588</v>
      </c>
      <c r="AV163" s="1">
        <f t="shared" si="20"/>
        <v>1.844452523190065</v>
      </c>
      <c r="AW163" s="1">
        <f t="shared" si="21"/>
        <v>1.1642254707485715</v>
      </c>
    </row>
    <row r="164" spans="1:49" x14ac:dyDescent="0.2">
      <c r="A164">
        <v>162</v>
      </c>
      <c r="B164" t="s">
        <v>10302</v>
      </c>
      <c r="C164" t="s">
        <v>10301</v>
      </c>
      <c r="F164" t="s">
        <v>10300</v>
      </c>
      <c r="G164" t="s">
        <v>5</v>
      </c>
      <c r="H164" t="s">
        <v>4</v>
      </c>
      <c r="I164" t="s">
        <v>10299</v>
      </c>
      <c r="J164" t="s">
        <v>10298</v>
      </c>
      <c r="K164" t="s">
        <v>10297</v>
      </c>
      <c r="L164" t="s">
        <v>10296</v>
      </c>
      <c r="M164" t="s">
        <v>39</v>
      </c>
      <c r="N164">
        <v>5</v>
      </c>
      <c r="O164" t="s">
        <v>10295</v>
      </c>
      <c r="P164" t="s">
        <v>10294</v>
      </c>
      <c r="Q164" t="s">
        <v>10293</v>
      </c>
      <c r="R164" s="7">
        <v>37591</v>
      </c>
      <c r="S164" s="8">
        <f t="shared" si="16"/>
        <v>2002</v>
      </c>
      <c r="T164" s="8">
        <v>2002</v>
      </c>
      <c r="U164" s="8">
        <f t="shared" si="17"/>
        <v>20</v>
      </c>
      <c r="V164" s="7">
        <v>37591</v>
      </c>
      <c r="W164" t="s">
        <v>418</v>
      </c>
      <c r="X164" s="2">
        <v>1.6519999999999999</v>
      </c>
      <c r="Y164" s="6">
        <f t="shared" si="22"/>
        <v>4.409919649769093E-2</v>
      </c>
      <c r="AA164" t="s">
        <v>417</v>
      </c>
      <c r="AB164">
        <v>17337</v>
      </c>
      <c r="AD164" t="s">
        <v>2</v>
      </c>
      <c r="AE164">
        <v>50</v>
      </c>
      <c r="AF164">
        <v>12</v>
      </c>
      <c r="AH164" t="s">
        <v>10292</v>
      </c>
      <c r="AI164" t="s">
        <v>10291</v>
      </c>
      <c r="AJ164" t="s">
        <v>10290</v>
      </c>
      <c r="AK164" t="s">
        <v>10289</v>
      </c>
      <c r="AL164">
        <v>24</v>
      </c>
      <c r="AM164" s="5">
        <f t="shared" si="18"/>
        <v>1.2</v>
      </c>
      <c r="AN164" s="4">
        <f t="shared" si="23"/>
        <v>1.8174933737220749E-3</v>
      </c>
      <c r="AO164" s="3"/>
      <c r="AP164">
        <v>0</v>
      </c>
      <c r="AR164" t="s">
        <v>1</v>
      </c>
      <c r="AT164" s="2" t="s">
        <v>0</v>
      </c>
      <c r="AU164" s="1">
        <f t="shared" si="19"/>
        <v>3.1414685560500275</v>
      </c>
      <c r="AV164" s="1">
        <f t="shared" si="20"/>
        <v>2.2958344935706503</v>
      </c>
      <c r="AW164" s="1">
        <f t="shared" si="21"/>
        <v>1.4502004310912731</v>
      </c>
    </row>
    <row r="165" spans="1:49" x14ac:dyDescent="0.2">
      <c r="A165">
        <v>163</v>
      </c>
      <c r="B165" t="s">
        <v>10288</v>
      </c>
      <c r="C165" t="s">
        <v>10287</v>
      </c>
      <c r="F165" t="s">
        <v>10286</v>
      </c>
      <c r="G165" t="s">
        <v>5</v>
      </c>
      <c r="H165" t="s">
        <v>4</v>
      </c>
      <c r="I165" t="s">
        <v>10285</v>
      </c>
      <c r="J165" t="s">
        <v>10284</v>
      </c>
      <c r="K165" t="s">
        <v>10283</v>
      </c>
      <c r="L165" t="s">
        <v>10282</v>
      </c>
      <c r="M165" t="s">
        <v>3</v>
      </c>
      <c r="N165">
        <v>4</v>
      </c>
      <c r="O165" t="s">
        <v>10281</v>
      </c>
      <c r="P165" t="s">
        <v>10280</v>
      </c>
      <c r="Q165" t="s">
        <v>10279</v>
      </c>
      <c r="R165" s="7">
        <v>37591</v>
      </c>
      <c r="S165" s="8">
        <f t="shared" si="16"/>
        <v>2002</v>
      </c>
      <c r="T165" s="8">
        <v>2002</v>
      </c>
      <c r="U165" s="8">
        <f t="shared" si="17"/>
        <v>20</v>
      </c>
      <c r="V165" s="7">
        <v>37591</v>
      </c>
      <c r="W165" t="s">
        <v>418</v>
      </c>
      <c r="X165" s="2">
        <v>1.6519999999999999</v>
      </c>
      <c r="Y165" s="6">
        <f t="shared" si="22"/>
        <v>4.409919649769093E-2</v>
      </c>
      <c r="AA165" t="s">
        <v>417</v>
      </c>
      <c r="AB165">
        <v>17337</v>
      </c>
      <c r="AD165" t="s">
        <v>2</v>
      </c>
      <c r="AE165">
        <v>50</v>
      </c>
      <c r="AF165">
        <v>12</v>
      </c>
      <c r="AH165" t="s">
        <v>10278</v>
      </c>
      <c r="AI165" t="s">
        <v>10277</v>
      </c>
      <c r="AJ165" t="s">
        <v>10276</v>
      </c>
      <c r="AK165" t="s">
        <v>10275</v>
      </c>
      <c r="AL165">
        <v>172</v>
      </c>
      <c r="AM165" s="5">
        <f t="shared" si="18"/>
        <v>8.6</v>
      </c>
      <c r="AN165" s="4">
        <f t="shared" si="23"/>
        <v>1.3025369178341536E-2</v>
      </c>
      <c r="AO165" s="3"/>
      <c r="AP165">
        <v>0</v>
      </c>
      <c r="AR165" t="s">
        <v>1</v>
      </c>
      <c r="AT165" s="2" t="s">
        <v>0</v>
      </c>
      <c r="AU165" s="1">
        <f t="shared" si="19"/>
        <v>3.4777048301886113</v>
      </c>
      <c r="AV165" s="1">
        <f t="shared" si="20"/>
        <v>2.8562282838016233</v>
      </c>
      <c r="AW165" s="1">
        <f t="shared" si="21"/>
        <v>2.2347517374146353</v>
      </c>
    </row>
    <row r="166" spans="1:49" x14ac:dyDescent="0.2">
      <c r="A166">
        <v>164</v>
      </c>
      <c r="B166" t="s">
        <v>10274</v>
      </c>
      <c r="C166" t="s">
        <v>10273</v>
      </c>
      <c r="F166" t="s">
        <v>10272</v>
      </c>
      <c r="G166" t="s">
        <v>5</v>
      </c>
      <c r="H166" t="s">
        <v>4</v>
      </c>
      <c r="I166" t="s">
        <v>10271</v>
      </c>
      <c r="J166">
        <v>60007951</v>
      </c>
      <c r="K166" t="s">
        <v>10022</v>
      </c>
      <c r="L166" t="s">
        <v>10021</v>
      </c>
      <c r="M166" t="s">
        <v>36</v>
      </c>
      <c r="N166">
        <v>8</v>
      </c>
      <c r="O166" t="s">
        <v>10270</v>
      </c>
      <c r="P166" t="s">
        <v>10269</v>
      </c>
      <c r="Q166" t="s">
        <v>10268</v>
      </c>
      <c r="R166" s="7">
        <v>37591</v>
      </c>
      <c r="S166" s="8">
        <f t="shared" si="16"/>
        <v>2002</v>
      </c>
      <c r="T166" s="8">
        <v>2002</v>
      </c>
      <c r="U166" s="8">
        <f t="shared" si="17"/>
        <v>20</v>
      </c>
      <c r="V166" s="7">
        <v>37591</v>
      </c>
      <c r="W166" t="s">
        <v>1000</v>
      </c>
      <c r="X166" s="2">
        <v>1.3460000000000001</v>
      </c>
      <c r="Y166" s="6">
        <f t="shared" si="22"/>
        <v>3.593070126264649E-2</v>
      </c>
      <c r="AA166">
        <v>7338724</v>
      </c>
      <c r="AB166">
        <v>12178</v>
      </c>
      <c r="AD166" t="s">
        <v>2</v>
      </c>
      <c r="AE166">
        <v>20</v>
      </c>
      <c r="AF166">
        <v>12</v>
      </c>
      <c r="AH166" t="s">
        <v>10267</v>
      </c>
      <c r="AI166" t="s">
        <v>10266</v>
      </c>
      <c r="AJ166" t="s">
        <v>10265</v>
      </c>
      <c r="AK166" t="s">
        <v>10264</v>
      </c>
      <c r="AL166">
        <v>62</v>
      </c>
      <c r="AM166" s="5">
        <f t="shared" si="18"/>
        <v>3.1</v>
      </c>
      <c r="AN166" s="4">
        <f t="shared" si="23"/>
        <v>4.6951912154486941E-3</v>
      </c>
      <c r="AO166" s="3"/>
      <c r="AP166">
        <v>0</v>
      </c>
      <c r="AR166" t="s">
        <v>1</v>
      </c>
      <c r="AT166" s="2">
        <v>4.1420000000000003</v>
      </c>
      <c r="AU166" s="1">
        <f t="shared" si="19"/>
        <v>2.6560048248487149</v>
      </c>
      <c r="AV166" s="1">
        <f t="shared" si="20"/>
        <v>2.0312946239047593</v>
      </c>
      <c r="AW166" s="1">
        <f t="shared" si="21"/>
        <v>1.4065844229608031</v>
      </c>
    </row>
    <row r="167" spans="1:49" x14ac:dyDescent="0.2">
      <c r="A167">
        <v>165</v>
      </c>
      <c r="B167" t="s">
        <v>10263</v>
      </c>
      <c r="C167" t="s">
        <v>10262</v>
      </c>
      <c r="F167" t="s">
        <v>10261</v>
      </c>
      <c r="G167" t="s">
        <v>5</v>
      </c>
      <c r="H167" t="s">
        <v>4</v>
      </c>
      <c r="I167" t="s">
        <v>10260</v>
      </c>
      <c r="J167" t="s">
        <v>10255</v>
      </c>
      <c r="K167" t="s">
        <v>10259</v>
      </c>
      <c r="L167" t="s">
        <v>10258</v>
      </c>
      <c r="M167" t="s">
        <v>587</v>
      </c>
      <c r="N167">
        <v>2</v>
      </c>
      <c r="O167" t="s">
        <v>10257</v>
      </c>
      <c r="P167" t="s">
        <v>10256</v>
      </c>
      <c r="Q167" t="s">
        <v>10255</v>
      </c>
      <c r="R167" s="7">
        <v>37591</v>
      </c>
      <c r="S167" s="8">
        <f t="shared" si="16"/>
        <v>2002</v>
      </c>
      <c r="T167" s="8">
        <v>2002</v>
      </c>
      <c r="U167" s="8">
        <f t="shared" si="17"/>
        <v>20</v>
      </c>
      <c r="V167" s="7">
        <v>37591</v>
      </c>
      <c r="W167" t="s">
        <v>418</v>
      </c>
      <c r="X167" s="2">
        <v>1.6519999999999999</v>
      </c>
      <c r="Y167" s="6">
        <f t="shared" si="22"/>
        <v>4.409919649769093E-2</v>
      </c>
      <c r="AA167" t="s">
        <v>417</v>
      </c>
      <c r="AB167">
        <v>17337</v>
      </c>
      <c r="AD167" t="s">
        <v>2</v>
      </c>
      <c r="AE167">
        <v>50</v>
      </c>
      <c r="AF167">
        <v>12</v>
      </c>
      <c r="AH167" t="s">
        <v>10254</v>
      </c>
      <c r="AI167" t="s">
        <v>10253</v>
      </c>
      <c r="AJ167" t="s">
        <v>10252</v>
      </c>
      <c r="AK167" t="s">
        <v>10251</v>
      </c>
      <c r="AL167">
        <v>16</v>
      </c>
      <c r="AM167" s="5">
        <f t="shared" si="18"/>
        <v>0.8</v>
      </c>
      <c r="AN167" s="4">
        <f t="shared" si="23"/>
        <v>1.2116622491480501E-3</v>
      </c>
      <c r="AO167" s="3"/>
      <c r="AP167">
        <v>0</v>
      </c>
      <c r="AR167" t="s">
        <v>1</v>
      </c>
      <c r="AT167" s="2" t="s">
        <v>0</v>
      </c>
      <c r="AU167" s="1">
        <f t="shared" si="19"/>
        <v>3.1232936223128065</v>
      </c>
      <c r="AV167" s="1">
        <f t="shared" si="20"/>
        <v>2.2655429373419489</v>
      </c>
      <c r="AW167" s="1">
        <f t="shared" si="21"/>
        <v>1.4077922523710913</v>
      </c>
    </row>
    <row r="168" spans="1:49" x14ac:dyDescent="0.2">
      <c r="A168">
        <v>166</v>
      </c>
      <c r="B168" t="s">
        <v>10250</v>
      </c>
      <c r="C168" t="s">
        <v>10249</v>
      </c>
      <c r="F168" t="s">
        <v>10248</v>
      </c>
      <c r="G168" t="s">
        <v>5</v>
      </c>
      <c r="H168" t="s">
        <v>4</v>
      </c>
      <c r="I168" t="s">
        <v>837</v>
      </c>
      <c r="J168">
        <v>60021032</v>
      </c>
      <c r="K168" t="s">
        <v>10247</v>
      </c>
      <c r="L168" t="s">
        <v>844</v>
      </c>
      <c r="M168" t="s">
        <v>7</v>
      </c>
      <c r="N168">
        <v>2</v>
      </c>
      <c r="O168" t="s">
        <v>833</v>
      </c>
      <c r="P168" t="s">
        <v>832</v>
      </c>
      <c r="Q168" t="s">
        <v>10246</v>
      </c>
      <c r="R168" s="7">
        <v>37591</v>
      </c>
      <c r="S168" s="8">
        <f t="shared" si="16"/>
        <v>2002</v>
      </c>
      <c r="T168" s="8">
        <v>2002</v>
      </c>
      <c r="U168" s="8">
        <f t="shared" si="17"/>
        <v>20</v>
      </c>
      <c r="V168" s="7">
        <v>37591</v>
      </c>
      <c r="W168" t="s">
        <v>418</v>
      </c>
      <c r="X168" s="2">
        <v>1.6519999999999999</v>
      </c>
      <c r="Y168" s="6">
        <f t="shared" si="22"/>
        <v>4.409919649769093E-2</v>
      </c>
      <c r="AA168" t="s">
        <v>417</v>
      </c>
      <c r="AB168">
        <v>17337</v>
      </c>
      <c r="AD168" t="s">
        <v>2</v>
      </c>
      <c r="AE168">
        <v>50</v>
      </c>
      <c r="AF168">
        <v>12</v>
      </c>
      <c r="AH168" t="s">
        <v>10245</v>
      </c>
      <c r="AI168" t="s">
        <v>10244</v>
      </c>
      <c r="AJ168" t="s">
        <v>10243</v>
      </c>
      <c r="AK168" t="s">
        <v>10242</v>
      </c>
      <c r="AL168">
        <v>19</v>
      </c>
      <c r="AM168" s="5">
        <f t="shared" si="18"/>
        <v>0.95</v>
      </c>
      <c r="AN168" s="4">
        <f t="shared" si="23"/>
        <v>1.4388489208633094E-3</v>
      </c>
      <c r="AO168" s="3"/>
      <c r="AP168">
        <v>0</v>
      </c>
      <c r="AQ168" t="s">
        <v>831</v>
      </c>
      <c r="AR168" t="s">
        <v>830</v>
      </c>
      <c r="AS168" t="s">
        <v>829</v>
      </c>
      <c r="AT168" s="2" t="s">
        <v>0</v>
      </c>
      <c r="AU168" s="1">
        <f t="shared" si="19"/>
        <v>3.1301092224642639</v>
      </c>
      <c r="AV168" s="1">
        <f t="shared" si="20"/>
        <v>2.276902270927712</v>
      </c>
      <c r="AW168" s="1">
        <f t="shared" si="21"/>
        <v>1.4236953193911595</v>
      </c>
    </row>
    <row r="169" spans="1:49" x14ac:dyDescent="0.2">
      <c r="A169">
        <v>167</v>
      </c>
      <c r="B169" t="s">
        <v>10241</v>
      </c>
      <c r="C169" t="s">
        <v>10240</v>
      </c>
      <c r="F169" t="s">
        <v>10239</v>
      </c>
      <c r="G169" t="s">
        <v>5</v>
      </c>
      <c r="H169" t="s">
        <v>4</v>
      </c>
      <c r="I169" t="s">
        <v>10238</v>
      </c>
      <c r="J169" t="s">
        <v>10237</v>
      </c>
      <c r="K169" t="s">
        <v>10236</v>
      </c>
      <c r="L169" t="s">
        <v>10235</v>
      </c>
      <c r="M169" t="s">
        <v>117</v>
      </c>
      <c r="N169">
        <v>2</v>
      </c>
      <c r="O169" t="s">
        <v>10234</v>
      </c>
      <c r="P169" t="s">
        <v>10233</v>
      </c>
      <c r="Q169" t="s">
        <v>10232</v>
      </c>
      <c r="R169" s="7">
        <v>37591</v>
      </c>
      <c r="S169" s="8">
        <f t="shared" si="16"/>
        <v>2002</v>
      </c>
      <c r="T169" s="8">
        <v>2002</v>
      </c>
      <c r="U169" s="8">
        <f t="shared" si="17"/>
        <v>20</v>
      </c>
      <c r="V169" s="7">
        <v>37591</v>
      </c>
      <c r="W169" t="s">
        <v>418</v>
      </c>
      <c r="X169" s="2">
        <v>1.6519999999999999</v>
      </c>
      <c r="Y169" s="6">
        <f t="shared" si="22"/>
        <v>4.409919649769093E-2</v>
      </c>
      <c r="AA169" t="s">
        <v>417</v>
      </c>
      <c r="AB169">
        <v>17337</v>
      </c>
      <c r="AD169" t="s">
        <v>2</v>
      </c>
      <c r="AE169">
        <v>50</v>
      </c>
      <c r="AF169">
        <v>12</v>
      </c>
      <c r="AH169" t="s">
        <v>10231</v>
      </c>
      <c r="AI169" t="s">
        <v>10230</v>
      </c>
      <c r="AJ169" t="s">
        <v>10229</v>
      </c>
      <c r="AK169" t="s">
        <v>10228</v>
      </c>
      <c r="AL169">
        <v>27</v>
      </c>
      <c r="AM169" s="5">
        <f t="shared" si="18"/>
        <v>1.35</v>
      </c>
      <c r="AN169" s="4">
        <f t="shared" si="23"/>
        <v>2.0446800454373346E-3</v>
      </c>
      <c r="AO169" s="3"/>
      <c r="AP169">
        <v>0</v>
      </c>
      <c r="AR169" t="s">
        <v>1</v>
      </c>
      <c r="AT169" s="2" t="s">
        <v>0</v>
      </c>
      <c r="AU169" s="1">
        <f t="shared" si="19"/>
        <v>3.1482841562014849</v>
      </c>
      <c r="AV169" s="1">
        <f t="shared" si="20"/>
        <v>2.3071938271564134</v>
      </c>
      <c r="AW169" s="1">
        <f t="shared" si="21"/>
        <v>1.4661034981113412</v>
      </c>
    </row>
    <row r="170" spans="1:49" x14ac:dyDescent="0.2">
      <c r="A170">
        <v>168</v>
      </c>
      <c r="B170" t="s">
        <v>10227</v>
      </c>
      <c r="C170" t="s">
        <v>10226</v>
      </c>
      <c r="F170" t="s">
        <v>10225</v>
      </c>
      <c r="G170" t="s">
        <v>5</v>
      </c>
      <c r="H170" t="s">
        <v>4</v>
      </c>
      <c r="I170" t="s">
        <v>10224</v>
      </c>
      <c r="J170">
        <v>60080173</v>
      </c>
      <c r="K170" t="s">
        <v>10223</v>
      </c>
      <c r="L170" t="s">
        <v>10222</v>
      </c>
      <c r="M170" t="s">
        <v>362</v>
      </c>
      <c r="N170">
        <v>2</v>
      </c>
      <c r="O170" t="s">
        <v>10221</v>
      </c>
      <c r="P170" t="s">
        <v>10220</v>
      </c>
      <c r="Q170" t="s">
        <v>10219</v>
      </c>
      <c r="R170" s="7">
        <v>37591</v>
      </c>
      <c r="S170" s="8">
        <f t="shared" si="16"/>
        <v>2002</v>
      </c>
      <c r="T170" s="8">
        <v>2002</v>
      </c>
      <c r="U170" s="8">
        <f t="shared" si="17"/>
        <v>20</v>
      </c>
      <c r="V170" s="7">
        <v>37591</v>
      </c>
      <c r="W170" t="s">
        <v>418</v>
      </c>
      <c r="X170" s="2">
        <v>1.6519999999999999</v>
      </c>
      <c r="Y170" s="6">
        <f t="shared" si="22"/>
        <v>4.409919649769093E-2</v>
      </c>
      <c r="AA170" t="s">
        <v>417</v>
      </c>
      <c r="AB170">
        <v>17337</v>
      </c>
      <c r="AD170" t="s">
        <v>2</v>
      </c>
      <c r="AE170">
        <v>50</v>
      </c>
      <c r="AF170">
        <v>12</v>
      </c>
      <c r="AH170" t="s">
        <v>10218</v>
      </c>
      <c r="AI170" t="s">
        <v>10217</v>
      </c>
      <c r="AJ170" t="s">
        <v>10216</v>
      </c>
      <c r="AK170" t="s">
        <v>10215</v>
      </c>
      <c r="AL170">
        <v>55</v>
      </c>
      <c r="AM170" s="5">
        <f t="shared" si="18"/>
        <v>2.75</v>
      </c>
      <c r="AN170" s="4">
        <f t="shared" si="23"/>
        <v>4.1650889814464215E-3</v>
      </c>
      <c r="AO170" s="3"/>
      <c r="AP170">
        <v>0</v>
      </c>
      <c r="AR170" t="s">
        <v>1</v>
      </c>
      <c r="AT170" s="2" t="s">
        <v>0</v>
      </c>
      <c r="AU170" s="1">
        <f t="shared" si="19"/>
        <v>3.211896424281758</v>
      </c>
      <c r="AV170" s="1">
        <f t="shared" si="20"/>
        <v>2.4132142739568674</v>
      </c>
      <c r="AW170" s="1">
        <f t="shared" si="21"/>
        <v>1.6145321236319774</v>
      </c>
    </row>
    <row r="171" spans="1:49" x14ac:dyDescent="0.2">
      <c r="A171">
        <v>169</v>
      </c>
      <c r="B171" t="s">
        <v>10214</v>
      </c>
      <c r="C171" t="s">
        <v>10213</v>
      </c>
      <c r="F171" t="s">
        <v>10212</v>
      </c>
      <c r="G171" t="s">
        <v>5</v>
      </c>
      <c r="H171" t="s">
        <v>4</v>
      </c>
      <c r="I171" t="s">
        <v>10211</v>
      </c>
      <c r="J171" t="s">
        <v>10210</v>
      </c>
      <c r="K171" t="s">
        <v>10209</v>
      </c>
      <c r="L171" t="s">
        <v>10208</v>
      </c>
      <c r="M171" t="s">
        <v>195</v>
      </c>
      <c r="N171">
        <v>5</v>
      </c>
      <c r="O171" t="s">
        <v>10207</v>
      </c>
      <c r="P171" t="s">
        <v>10206</v>
      </c>
      <c r="Q171" t="s">
        <v>10205</v>
      </c>
      <c r="R171" s="7">
        <v>37591</v>
      </c>
      <c r="S171" s="8">
        <f t="shared" si="16"/>
        <v>2002</v>
      </c>
      <c r="T171" s="8">
        <v>2002</v>
      </c>
      <c r="U171" s="8">
        <f t="shared" si="17"/>
        <v>20</v>
      </c>
      <c r="V171" s="7">
        <v>37591</v>
      </c>
      <c r="W171" t="s">
        <v>418</v>
      </c>
      <c r="X171" s="2">
        <v>1.6519999999999999</v>
      </c>
      <c r="Y171" s="6">
        <f t="shared" si="22"/>
        <v>4.409919649769093E-2</v>
      </c>
      <c r="AA171" t="s">
        <v>417</v>
      </c>
      <c r="AB171">
        <v>17337</v>
      </c>
      <c r="AD171" t="s">
        <v>2</v>
      </c>
      <c r="AE171">
        <v>50</v>
      </c>
      <c r="AF171">
        <v>12</v>
      </c>
      <c r="AH171" t="s">
        <v>10204</v>
      </c>
      <c r="AI171" t="s">
        <v>10203</v>
      </c>
      <c r="AJ171" t="s">
        <v>10202</v>
      </c>
      <c r="AK171" t="s">
        <v>10201</v>
      </c>
      <c r="AL171">
        <v>19</v>
      </c>
      <c r="AM171" s="5">
        <f t="shared" si="18"/>
        <v>0.95</v>
      </c>
      <c r="AN171" s="4">
        <f t="shared" si="23"/>
        <v>1.4388489208633094E-3</v>
      </c>
      <c r="AO171" s="3"/>
      <c r="AP171">
        <v>0</v>
      </c>
      <c r="AR171" t="s">
        <v>1</v>
      </c>
      <c r="AT171" s="2" t="s">
        <v>0</v>
      </c>
      <c r="AU171" s="1">
        <f t="shared" si="19"/>
        <v>3.1301092224642639</v>
      </c>
      <c r="AV171" s="1">
        <f t="shared" si="20"/>
        <v>2.276902270927712</v>
      </c>
      <c r="AW171" s="1">
        <f t="shared" si="21"/>
        <v>1.4236953193911595</v>
      </c>
    </row>
    <row r="172" spans="1:49" x14ac:dyDescent="0.2">
      <c r="A172">
        <v>170</v>
      </c>
      <c r="B172" t="s">
        <v>10200</v>
      </c>
      <c r="C172" t="s">
        <v>10199</v>
      </c>
      <c r="F172" t="s">
        <v>10198</v>
      </c>
      <c r="G172" t="s">
        <v>5</v>
      </c>
      <c r="H172" t="s">
        <v>4</v>
      </c>
      <c r="I172" t="s">
        <v>10197</v>
      </c>
      <c r="J172">
        <v>60007951</v>
      </c>
      <c r="K172" t="s">
        <v>10022</v>
      </c>
      <c r="L172" t="s">
        <v>10021</v>
      </c>
      <c r="M172" t="s">
        <v>36</v>
      </c>
      <c r="N172">
        <v>3</v>
      </c>
      <c r="O172" t="s">
        <v>10196</v>
      </c>
      <c r="P172" t="s">
        <v>10195</v>
      </c>
      <c r="Q172" t="s">
        <v>10018</v>
      </c>
      <c r="R172" s="7">
        <v>37591</v>
      </c>
      <c r="S172" s="8">
        <f t="shared" si="16"/>
        <v>2002</v>
      </c>
      <c r="T172" s="8">
        <v>2002</v>
      </c>
      <c r="U172" s="8">
        <f t="shared" si="17"/>
        <v>20</v>
      </c>
      <c r="V172" s="7">
        <v>37591</v>
      </c>
      <c r="W172" t="s">
        <v>1000</v>
      </c>
      <c r="X172" s="2">
        <v>1.3460000000000001</v>
      </c>
      <c r="Y172" s="6">
        <f t="shared" si="22"/>
        <v>3.593070126264649E-2</v>
      </c>
      <c r="AA172">
        <v>7338724</v>
      </c>
      <c r="AB172">
        <v>12178</v>
      </c>
      <c r="AD172" t="s">
        <v>2</v>
      </c>
      <c r="AE172">
        <v>20</v>
      </c>
      <c r="AF172">
        <v>12</v>
      </c>
      <c r="AH172" t="s">
        <v>10194</v>
      </c>
      <c r="AI172" t="s">
        <v>10193</v>
      </c>
      <c r="AJ172" t="s">
        <v>10192</v>
      </c>
      <c r="AK172" t="s">
        <v>10191</v>
      </c>
      <c r="AL172">
        <v>34</v>
      </c>
      <c r="AM172" s="5">
        <f t="shared" si="18"/>
        <v>1.7</v>
      </c>
      <c r="AN172" s="4">
        <f t="shared" si="23"/>
        <v>2.5747822794396063E-3</v>
      </c>
      <c r="AO172" s="3"/>
      <c r="AP172">
        <v>0</v>
      </c>
      <c r="AR172" t="s">
        <v>1</v>
      </c>
      <c r="AT172" s="2">
        <v>4.1420000000000003</v>
      </c>
      <c r="AU172" s="1">
        <f t="shared" si="19"/>
        <v>2.5923925567684423</v>
      </c>
      <c r="AV172" s="1">
        <f t="shared" si="20"/>
        <v>1.9252741771043049</v>
      </c>
      <c r="AW172" s="1">
        <f t="shared" si="21"/>
        <v>1.2581557974401671</v>
      </c>
    </row>
    <row r="173" spans="1:49" x14ac:dyDescent="0.2">
      <c r="A173">
        <v>171</v>
      </c>
      <c r="B173" t="s">
        <v>10190</v>
      </c>
      <c r="C173" t="s">
        <v>10189</v>
      </c>
      <c r="F173" t="s">
        <v>10188</v>
      </c>
      <c r="G173" t="s">
        <v>5</v>
      </c>
      <c r="H173" t="s">
        <v>4</v>
      </c>
      <c r="I173" t="s">
        <v>257</v>
      </c>
      <c r="J173">
        <v>60027550</v>
      </c>
      <c r="K173" t="s">
        <v>288</v>
      </c>
      <c r="L173" t="s">
        <v>69</v>
      </c>
      <c r="M173" t="s">
        <v>7</v>
      </c>
      <c r="N173">
        <v>2</v>
      </c>
      <c r="O173" t="s">
        <v>10187</v>
      </c>
      <c r="P173" t="s">
        <v>10186</v>
      </c>
      <c r="Q173" t="s">
        <v>727</v>
      </c>
      <c r="R173" s="7">
        <v>37591</v>
      </c>
      <c r="S173" s="8">
        <f t="shared" si="16"/>
        <v>2002</v>
      </c>
      <c r="T173" s="8">
        <v>2002</v>
      </c>
      <c r="U173" s="8">
        <f t="shared" si="17"/>
        <v>20</v>
      </c>
      <c r="V173" s="7">
        <v>37591</v>
      </c>
      <c r="W173" t="s">
        <v>418</v>
      </c>
      <c r="X173" s="2">
        <v>1.6519999999999999</v>
      </c>
      <c r="Y173" s="6">
        <f t="shared" si="22"/>
        <v>4.409919649769093E-2</v>
      </c>
      <c r="AA173" t="s">
        <v>417</v>
      </c>
      <c r="AB173">
        <v>17337</v>
      </c>
      <c r="AD173" t="s">
        <v>2</v>
      </c>
      <c r="AE173">
        <v>50</v>
      </c>
      <c r="AF173">
        <v>12</v>
      </c>
      <c r="AH173" t="s">
        <v>10185</v>
      </c>
      <c r="AI173" t="s">
        <v>10184</v>
      </c>
      <c r="AJ173" t="s">
        <v>10183</v>
      </c>
      <c r="AK173" t="s">
        <v>10182</v>
      </c>
      <c r="AL173">
        <v>34</v>
      </c>
      <c r="AM173" s="5">
        <f t="shared" si="18"/>
        <v>1.7</v>
      </c>
      <c r="AN173" s="4">
        <f t="shared" si="23"/>
        <v>2.5747822794396063E-3</v>
      </c>
      <c r="AO173" s="3"/>
      <c r="AP173">
        <v>0</v>
      </c>
      <c r="AQ173" t="s">
        <v>914</v>
      </c>
      <c r="AR173" t="s">
        <v>10181</v>
      </c>
      <c r="AS173" t="s">
        <v>662</v>
      </c>
      <c r="AT173" s="2" t="s">
        <v>0</v>
      </c>
      <c r="AU173" s="1">
        <f t="shared" si="19"/>
        <v>3.1641872232215533</v>
      </c>
      <c r="AV173" s="1">
        <f t="shared" si="20"/>
        <v>2.3336989388565268</v>
      </c>
      <c r="AW173" s="1">
        <f t="shared" si="21"/>
        <v>1.5032106544915003</v>
      </c>
    </row>
    <row r="174" spans="1:49" x14ac:dyDescent="0.2">
      <c r="A174">
        <v>172</v>
      </c>
      <c r="B174" t="s">
        <v>10180</v>
      </c>
      <c r="C174" t="s">
        <v>10179</v>
      </c>
      <c r="F174" t="s">
        <v>10178</v>
      </c>
      <c r="G174" t="s">
        <v>5</v>
      </c>
      <c r="H174" t="s">
        <v>4</v>
      </c>
      <c r="I174" t="s">
        <v>959</v>
      </c>
      <c r="J174">
        <v>60005510</v>
      </c>
      <c r="K174" t="s">
        <v>668</v>
      </c>
      <c r="L174" t="s">
        <v>87</v>
      </c>
      <c r="M174" t="s">
        <v>86</v>
      </c>
      <c r="N174">
        <v>1</v>
      </c>
      <c r="O174" t="s">
        <v>10177</v>
      </c>
      <c r="P174">
        <v>7006035284</v>
      </c>
      <c r="Q174">
        <v>60005510</v>
      </c>
      <c r="R174" s="7">
        <v>37591</v>
      </c>
      <c r="S174" s="8">
        <f t="shared" si="16"/>
        <v>2002</v>
      </c>
      <c r="T174" s="8">
        <v>2002</v>
      </c>
      <c r="U174" s="8">
        <f t="shared" si="17"/>
        <v>20</v>
      </c>
      <c r="V174" s="7">
        <v>37591</v>
      </c>
      <c r="W174" t="s">
        <v>418</v>
      </c>
      <c r="X174" s="2">
        <v>1.6519999999999999</v>
      </c>
      <c r="Y174" s="6">
        <f t="shared" si="22"/>
        <v>4.409919649769093E-2</v>
      </c>
      <c r="AA174" t="s">
        <v>417</v>
      </c>
      <c r="AB174">
        <v>17337</v>
      </c>
      <c r="AD174" t="s">
        <v>2</v>
      </c>
      <c r="AE174">
        <v>50</v>
      </c>
      <c r="AF174">
        <v>12</v>
      </c>
      <c r="AH174" t="s">
        <v>10176</v>
      </c>
      <c r="AI174" t="s">
        <v>10175</v>
      </c>
      <c r="AJ174" t="s">
        <v>10174</v>
      </c>
      <c r="AK174" t="s">
        <v>10173</v>
      </c>
      <c r="AL174">
        <v>92</v>
      </c>
      <c r="AM174" s="5">
        <f t="shared" si="18"/>
        <v>4.5999999999999996</v>
      </c>
      <c r="AN174" s="4">
        <f t="shared" si="23"/>
        <v>6.9670579326012866E-3</v>
      </c>
      <c r="AO174" s="3"/>
      <c r="AP174">
        <v>0</v>
      </c>
      <c r="AR174" t="s">
        <v>1</v>
      </c>
      <c r="AT174" s="2" t="s">
        <v>0</v>
      </c>
      <c r="AU174" s="1">
        <f t="shared" si="19"/>
        <v>3.2959554928164034</v>
      </c>
      <c r="AV174" s="1">
        <f t="shared" si="20"/>
        <v>2.5533127215146108</v>
      </c>
      <c r="AW174" s="1">
        <f t="shared" si="21"/>
        <v>1.8106699502128176</v>
      </c>
    </row>
    <row r="175" spans="1:49" x14ac:dyDescent="0.2">
      <c r="A175">
        <v>173</v>
      </c>
      <c r="B175" t="s">
        <v>10172</v>
      </c>
      <c r="C175" t="s">
        <v>10171</v>
      </c>
      <c r="F175" t="s">
        <v>10170</v>
      </c>
      <c r="G175" t="s">
        <v>5</v>
      </c>
      <c r="H175" t="s">
        <v>4</v>
      </c>
      <c r="I175" t="s">
        <v>420</v>
      </c>
      <c r="J175">
        <v>60013983</v>
      </c>
      <c r="K175" t="s">
        <v>393</v>
      </c>
      <c r="L175" t="s">
        <v>392</v>
      </c>
      <c r="M175" t="s">
        <v>114</v>
      </c>
      <c r="N175">
        <v>1</v>
      </c>
      <c r="O175" t="s">
        <v>419</v>
      </c>
      <c r="P175">
        <v>56415172000</v>
      </c>
      <c r="Q175">
        <v>60013983</v>
      </c>
      <c r="R175" s="7">
        <v>37591</v>
      </c>
      <c r="S175" s="8">
        <f t="shared" si="16"/>
        <v>2002</v>
      </c>
      <c r="T175" s="8">
        <v>2002</v>
      </c>
      <c r="U175" s="8">
        <f t="shared" si="17"/>
        <v>20</v>
      </c>
      <c r="V175" s="7">
        <v>37591</v>
      </c>
      <c r="W175" t="s">
        <v>418</v>
      </c>
      <c r="X175" s="2">
        <v>1.6519999999999999</v>
      </c>
      <c r="Y175" s="6">
        <f t="shared" si="22"/>
        <v>4.409919649769093E-2</v>
      </c>
      <c r="AA175" t="s">
        <v>417</v>
      </c>
      <c r="AB175">
        <v>17337</v>
      </c>
      <c r="AD175" t="s">
        <v>2</v>
      </c>
      <c r="AE175">
        <v>50</v>
      </c>
      <c r="AF175">
        <v>12</v>
      </c>
      <c r="AH175" t="s">
        <v>10169</v>
      </c>
      <c r="AI175" t="s">
        <v>10168</v>
      </c>
      <c r="AJ175" t="s">
        <v>10167</v>
      </c>
      <c r="AK175" t="s">
        <v>10166</v>
      </c>
      <c r="AL175">
        <v>7</v>
      </c>
      <c r="AM175" s="5">
        <f t="shared" si="18"/>
        <v>0.35</v>
      </c>
      <c r="AN175" s="4">
        <f t="shared" si="23"/>
        <v>5.3010223400227184E-4</v>
      </c>
      <c r="AO175" s="3"/>
      <c r="AP175">
        <v>0</v>
      </c>
      <c r="AQ175" t="s">
        <v>6484</v>
      </c>
      <c r="AR175" t="s">
        <v>10165</v>
      </c>
      <c r="AS175" t="s">
        <v>6482</v>
      </c>
      <c r="AT175" s="2" t="s">
        <v>0</v>
      </c>
      <c r="AU175" s="1">
        <f t="shared" si="19"/>
        <v>3.1028468218584333</v>
      </c>
      <c r="AV175" s="1">
        <f t="shared" si="20"/>
        <v>2.2314649365846604</v>
      </c>
      <c r="AW175" s="1">
        <f t="shared" si="21"/>
        <v>1.360083051310887</v>
      </c>
    </row>
    <row r="176" spans="1:49" x14ac:dyDescent="0.2">
      <c r="A176">
        <v>174</v>
      </c>
      <c r="B176" t="s">
        <v>10164</v>
      </c>
      <c r="C176" t="s">
        <v>10163</v>
      </c>
      <c r="F176" t="s">
        <v>10162</v>
      </c>
      <c r="G176" t="s">
        <v>5</v>
      </c>
      <c r="H176" t="s">
        <v>4</v>
      </c>
      <c r="I176" t="s">
        <v>471</v>
      </c>
      <c r="J176">
        <v>60027509</v>
      </c>
      <c r="K176" t="s">
        <v>470</v>
      </c>
      <c r="L176" t="s">
        <v>99</v>
      </c>
      <c r="M176" t="s">
        <v>19</v>
      </c>
      <c r="N176">
        <v>2</v>
      </c>
      <c r="O176" t="s">
        <v>10161</v>
      </c>
      <c r="P176" t="s">
        <v>10160</v>
      </c>
      <c r="Q176" t="s">
        <v>640</v>
      </c>
      <c r="R176" s="7">
        <v>37591</v>
      </c>
      <c r="S176" s="8">
        <f t="shared" si="16"/>
        <v>2002</v>
      </c>
      <c r="T176" s="8">
        <v>2002</v>
      </c>
      <c r="U176" s="8">
        <f t="shared" si="17"/>
        <v>20</v>
      </c>
      <c r="V176" s="7">
        <v>37591</v>
      </c>
      <c r="W176" t="s">
        <v>418</v>
      </c>
      <c r="X176" s="2">
        <v>1.6519999999999999</v>
      </c>
      <c r="Y176" s="6">
        <f t="shared" si="22"/>
        <v>4.409919649769093E-2</v>
      </c>
      <c r="AA176" t="s">
        <v>417</v>
      </c>
      <c r="AB176">
        <v>17337</v>
      </c>
      <c r="AD176" t="s">
        <v>2</v>
      </c>
      <c r="AE176">
        <v>50</v>
      </c>
      <c r="AF176">
        <v>12</v>
      </c>
      <c r="AH176" t="s">
        <v>10159</v>
      </c>
      <c r="AI176" t="s">
        <v>10158</v>
      </c>
      <c r="AJ176" t="s">
        <v>10157</v>
      </c>
      <c r="AK176" t="s">
        <v>10156</v>
      </c>
      <c r="AL176">
        <v>6</v>
      </c>
      <c r="AM176" s="5">
        <f t="shared" si="18"/>
        <v>0.3</v>
      </c>
      <c r="AN176" s="4">
        <f t="shared" si="23"/>
        <v>4.5437334343051872E-4</v>
      </c>
      <c r="AO176" s="3"/>
      <c r="AP176">
        <v>0</v>
      </c>
      <c r="AQ176" t="s">
        <v>990</v>
      </c>
      <c r="AR176" t="s">
        <v>1</v>
      </c>
      <c r="AS176" t="s">
        <v>989</v>
      </c>
      <c r="AT176" s="2" t="s">
        <v>0</v>
      </c>
      <c r="AU176" s="1">
        <f t="shared" si="19"/>
        <v>3.1005749551412807</v>
      </c>
      <c r="AV176" s="1">
        <f t="shared" si="20"/>
        <v>2.2276784920560724</v>
      </c>
      <c r="AW176" s="1">
        <f t="shared" si="21"/>
        <v>1.3547820289708641</v>
      </c>
    </row>
    <row r="177" spans="1:49" x14ac:dyDescent="0.2">
      <c r="A177">
        <v>175</v>
      </c>
      <c r="B177" t="s">
        <v>10155</v>
      </c>
      <c r="C177" t="s">
        <v>10154</v>
      </c>
      <c r="F177" t="s">
        <v>10153</v>
      </c>
      <c r="G177" t="s">
        <v>5</v>
      </c>
      <c r="H177" t="s">
        <v>4</v>
      </c>
      <c r="I177" t="s">
        <v>196</v>
      </c>
      <c r="J177" t="s">
        <v>10152</v>
      </c>
      <c r="K177" t="s">
        <v>10151</v>
      </c>
      <c r="L177" t="s">
        <v>10150</v>
      </c>
      <c r="M177" t="s">
        <v>74</v>
      </c>
      <c r="N177">
        <v>5</v>
      </c>
      <c r="O177" t="s">
        <v>10149</v>
      </c>
      <c r="P177" t="s">
        <v>10148</v>
      </c>
      <c r="Q177" t="s">
        <v>10147</v>
      </c>
      <c r="R177" s="7">
        <v>37591</v>
      </c>
      <c r="S177" s="8">
        <f t="shared" si="16"/>
        <v>2002</v>
      </c>
      <c r="T177" s="8">
        <v>2002</v>
      </c>
      <c r="U177" s="8">
        <f t="shared" si="17"/>
        <v>20</v>
      </c>
      <c r="V177" s="7">
        <v>37591</v>
      </c>
      <c r="W177" t="s">
        <v>418</v>
      </c>
      <c r="X177" s="2">
        <v>1.6519999999999999</v>
      </c>
      <c r="Y177" s="6">
        <f t="shared" si="22"/>
        <v>4.409919649769093E-2</v>
      </c>
      <c r="AA177" t="s">
        <v>417</v>
      </c>
      <c r="AB177">
        <v>17337</v>
      </c>
      <c r="AD177" t="s">
        <v>2</v>
      </c>
      <c r="AE177">
        <v>50</v>
      </c>
      <c r="AF177">
        <v>12</v>
      </c>
      <c r="AH177" t="s">
        <v>10146</v>
      </c>
      <c r="AI177" t="s">
        <v>10145</v>
      </c>
      <c r="AJ177" t="s">
        <v>10144</v>
      </c>
      <c r="AK177" t="s">
        <v>10143</v>
      </c>
      <c r="AL177">
        <v>142</v>
      </c>
      <c r="AM177" s="5">
        <f t="shared" si="18"/>
        <v>7.1</v>
      </c>
      <c r="AN177" s="4">
        <f t="shared" si="23"/>
        <v>1.0753502461188943E-2</v>
      </c>
      <c r="AO177" s="3"/>
      <c r="AP177">
        <v>0</v>
      </c>
      <c r="AR177" t="s">
        <v>1</v>
      </c>
      <c r="AT177" s="2" t="s">
        <v>0</v>
      </c>
      <c r="AU177" s="1">
        <f t="shared" si="19"/>
        <v>3.4095488286740334</v>
      </c>
      <c r="AV177" s="1">
        <f t="shared" si="20"/>
        <v>2.7426349479439933</v>
      </c>
      <c r="AW177" s="1">
        <f t="shared" si="21"/>
        <v>2.0757210672139537</v>
      </c>
    </row>
    <row r="178" spans="1:49" x14ac:dyDescent="0.2">
      <c r="A178">
        <v>176</v>
      </c>
      <c r="B178" t="s">
        <v>10142</v>
      </c>
      <c r="C178" t="s">
        <v>10141</v>
      </c>
      <c r="F178" t="s">
        <v>10140</v>
      </c>
      <c r="G178" t="s">
        <v>5</v>
      </c>
      <c r="H178" t="s">
        <v>4</v>
      </c>
      <c r="I178" t="s">
        <v>10139</v>
      </c>
      <c r="J178" t="s">
        <v>10138</v>
      </c>
      <c r="K178" t="s">
        <v>10137</v>
      </c>
      <c r="L178" t="s">
        <v>10136</v>
      </c>
      <c r="M178" t="s">
        <v>11</v>
      </c>
      <c r="N178">
        <v>6</v>
      </c>
      <c r="O178" t="s">
        <v>10135</v>
      </c>
      <c r="P178" t="s">
        <v>10134</v>
      </c>
      <c r="Q178" t="s">
        <v>10133</v>
      </c>
      <c r="R178" s="7">
        <v>37591</v>
      </c>
      <c r="S178" s="8">
        <f t="shared" si="16"/>
        <v>2002</v>
      </c>
      <c r="T178" s="8">
        <v>2002</v>
      </c>
      <c r="U178" s="8">
        <f t="shared" si="17"/>
        <v>20</v>
      </c>
      <c r="V178" s="7">
        <v>37591</v>
      </c>
      <c r="W178" t="s">
        <v>418</v>
      </c>
      <c r="X178" s="2">
        <v>1.6519999999999999</v>
      </c>
      <c r="Y178" s="6">
        <f t="shared" si="22"/>
        <v>4.409919649769093E-2</v>
      </c>
      <c r="AA178" t="s">
        <v>417</v>
      </c>
      <c r="AB178">
        <v>17337</v>
      </c>
      <c r="AD178" t="s">
        <v>2</v>
      </c>
      <c r="AE178">
        <v>50</v>
      </c>
      <c r="AF178">
        <v>12</v>
      </c>
      <c r="AH178" t="s">
        <v>10132</v>
      </c>
      <c r="AI178" t="s">
        <v>10131</v>
      </c>
      <c r="AJ178" t="s">
        <v>10130</v>
      </c>
      <c r="AK178" t="s">
        <v>10129</v>
      </c>
      <c r="AL178">
        <v>9</v>
      </c>
      <c r="AM178" s="5">
        <f t="shared" si="18"/>
        <v>0.45</v>
      </c>
      <c r="AN178" s="4">
        <f t="shared" si="23"/>
        <v>6.8156001514577808E-4</v>
      </c>
      <c r="AO178" s="3"/>
      <c r="AP178">
        <v>0</v>
      </c>
      <c r="AR178" t="s">
        <v>1</v>
      </c>
      <c r="AT178" s="2" t="s">
        <v>0</v>
      </c>
      <c r="AU178" s="1">
        <f t="shared" si="19"/>
        <v>3.1073905552927386</v>
      </c>
      <c r="AV178" s="1">
        <f t="shared" si="20"/>
        <v>2.2390378256418355</v>
      </c>
      <c r="AW178" s="1">
        <f t="shared" si="21"/>
        <v>1.3706850959909322</v>
      </c>
    </row>
    <row r="179" spans="1:49" x14ac:dyDescent="0.2">
      <c r="A179">
        <v>177</v>
      </c>
      <c r="B179" t="s">
        <v>10128</v>
      </c>
      <c r="C179" t="s">
        <v>10127</v>
      </c>
      <c r="F179" t="s">
        <v>10126</v>
      </c>
      <c r="G179" t="s">
        <v>5</v>
      </c>
      <c r="H179" t="s">
        <v>4</v>
      </c>
      <c r="I179" t="s">
        <v>10125</v>
      </c>
      <c r="J179">
        <v>60002947</v>
      </c>
      <c r="K179" t="s">
        <v>481</v>
      </c>
      <c r="L179" t="s">
        <v>18</v>
      </c>
      <c r="M179" t="s">
        <v>463</v>
      </c>
      <c r="N179">
        <v>4</v>
      </c>
      <c r="O179" t="s">
        <v>10124</v>
      </c>
      <c r="P179" t="s">
        <v>10123</v>
      </c>
      <c r="Q179" t="s">
        <v>10122</v>
      </c>
      <c r="R179" s="7">
        <v>37591</v>
      </c>
      <c r="S179" s="8">
        <f t="shared" si="16"/>
        <v>2002</v>
      </c>
      <c r="T179" s="8">
        <v>2002</v>
      </c>
      <c r="U179" s="8">
        <f t="shared" si="17"/>
        <v>20</v>
      </c>
      <c r="V179" s="7">
        <v>37591</v>
      </c>
      <c r="W179" t="s">
        <v>773</v>
      </c>
      <c r="X179" s="2">
        <v>0.88100000000000001</v>
      </c>
      <c r="Y179" s="6">
        <f t="shared" si="22"/>
        <v>2.3517791836843653E-2</v>
      </c>
      <c r="AA179">
        <v>10459243</v>
      </c>
      <c r="AB179">
        <v>17248</v>
      </c>
      <c r="AD179" t="s">
        <v>2</v>
      </c>
      <c r="AE179">
        <v>44</v>
      </c>
      <c r="AF179">
        <v>6</v>
      </c>
      <c r="AH179" t="s">
        <v>65</v>
      </c>
      <c r="AI179" t="s">
        <v>10121</v>
      </c>
      <c r="AJ179" t="s">
        <v>10120</v>
      </c>
      <c r="AK179" t="s">
        <v>10119</v>
      </c>
      <c r="AL179">
        <v>12</v>
      </c>
      <c r="AM179" s="5">
        <f t="shared" si="18"/>
        <v>0.6</v>
      </c>
      <c r="AN179" s="4">
        <f t="shared" si="23"/>
        <v>9.0874668686103744E-4</v>
      </c>
      <c r="AO179" s="3"/>
      <c r="AP179">
        <v>0</v>
      </c>
      <c r="AR179" t="s">
        <v>1</v>
      </c>
      <c r="AT179" s="2" t="s">
        <v>0</v>
      </c>
      <c r="AU179" s="1">
        <f t="shared" si="19"/>
        <v>1.6735078291848868</v>
      </c>
      <c r="AV179" s="1">
        <f t="shared" si="20"/>
        <v>1.2213269261852346</v>
      </c>
      <c r="AW179" s="1">
        <f t="shared" si="21"/>
        <v>0.76914602318558212</v>
      </c>
    </row>
    <row r="180" spans="1:49" x14ac:dyDescent="0.2">
      <c r="A180">
        <v>178</v>
      </c>
      <c r="B180" t="s">
        <v>10118</v>
      </c>
      <c r="C180" t="s">
        <v>10117</v>
      </c>
      <c r="F180" t="s">
        <v>10116</v>
      </c>
      <c r="G180" t="s">
        <v>5</v>
      </c>
      <c r="H180" t="s">
        <v>4</v>
      </c>
      <c r="I180" t="s">
        <v>10115</v>
      </c>
      <c r="J180">
        <v>60031159</v>
      </c>
      <c r="K180" t="s">
        <v>47</v>
      </c>
      <c r="L180" t="s">
        <v>46</v>
      </c>
      <c r="M180" t="s">
        <v>45</v>
      </c>
      <c r="N180">
        <v>3</v>
      </c>
      <c r="O180" t="s">
        <v>10114</v>
      </c>
      <c r="P180" t="s">
        <v>10113</v>
      </c>
      <c r="Q180" t="s">
        <v>10112</v>
      </c>
      <c r="R180" s="7">
        <v>37591</v>
      </c>
      <c r="S180" s="8">
        <f t="shared" si="16"/>
        <v>2002</v>
      </c>
      <c r="T180" s="8">
        <v>2002</v>
      </c>
      <c r="U180" s="8">
        <f t="shared" si="17"/>
        <v>20</v>
      </c>
      <c r="V180" s="7">
        <v>37591</v>
      </c>
      <c r="W180" t="s">
        <v>773</v>
      </c>
      <c r="X180" s="2">
        <v>0.88100000000000001</v>
      </c>
      <c r="Y180" s="6">
        <f t="shared" si="22"/>
        <v>2.3517791836843653E-2</v>
      </c>
      <c r="AA180">
        <v>10459243</v>
      </c>
      <c r="AB180">
        <v>17248</v>
      </c>
      <c r="AD180" t="s">
        <v>2</v>
      </c>
      <c r="AE180">
        <v>44</v>
      </c>
      <c r="AF180">
        <v>6</v>
      </c>
      <c r="AH180" s="10">
        <v>45261</v>
      </c>
      <c r="AI180" t="s">
        <v>10111</v>
      </c>
      <c r="AJ180" t="s">
        <v>10110</v>
      </c>
      <c r="AK180" t="s">
        <v>10109</v>
      </c>
      <c r="AL180">
        <v>7</v>
      </c>
      <c r="AM180" s="5">
        <f t="shared" si="18"/>
        <v>0.35</v>
      </c>
      <c r="AN180" s="4">
        <f t="shared" si="23"/>
        <v>5.3010223400227184E-4</v>
      </c>
      <c r="AO180" s="3"/>
      <c r="AP180">
        <v>0</v>
      </c>
      <c r="AQ180" t="s">
        <v>10108</v>
      </c>
      <c r="AR180" t="s">
        <v>1</v>
      </c>
      <c r="AS180" t="s">
        <v>288</v>
      </c>
      <c r="AT180" s="2" t="s">
        <v>0</v>
      </c>
      <c r="AU180" s="1">
        <f t="shared" si="19"/>
        <v>1.6621484955991237</v>
      </c>
      <c r="AV180" s="1">
        <f t="shared" si="20"/>
        <v>1.2023947035422964</v>
      </c>
      <c r="AW180" s="1">
        <f t="shared" si="21"/>
        <v>0.74264091148546862</v>
      </c>
    </row>
    <row r="181" spans="1:49" x14ac:dyDescent="0.2">
      <c r="A181">
        <v>179</v>
      </c>
      <c r="B181" t="s">
        <v>10107</v>
      </c>
      <c r="C181" t="s">
        <v>10106</v>
      </c>
      <c r="F181" t="s">
        <v>10105</v>
      </c>
      <c r="G181" t="s">
        <v>5</v>
      </c>
      <c r="H181" t="s">
        <v>4</v>
      </c>
      <c r="I181" t="s">
        <v>10104</v>
      </c>
      <c r="J181">
        <v>60033154</v>
      </c>
      <c r="K181" t="s">
        <v>1574</v>
      </c>
      <c r="L181" t="s">
        <v>983</v>
      </c>
      <c r="M181" t="s">
        <v>121</v>
      </c>
      <c r="N181">
        <v>2</v>
      </c>
      <c r="O181" t="s">
        <v>10103</v>
      </c>
      <c r="P181" t="s">
        <v>10102</v>
      </c>
      <c r="Q181" t="s">
        <v>10101</v>
      </c>
      <c r="R181" s="7">
        <v>37591</v>
      </c>
      <c r="S181" s="8">
        <f t="shared" si="16"/>
        <v>2002</v>
      </c>
      <c r="T181" s="8">
        <v>2002</v>
      </c>
      <c r="U181" s="8">
        <f t="shared" si="17"/>
        <v>20</v>
      </c>
      <c r="V181" s="7">
        <v>37591</v>
      </c>
      <c r="W181" t="s">
        <v>773</v>
      </c>
      <c r="X181" s="2">
        <v>0.88100000000000001</v>
      </c>
      <c r="Y181" s="6">
        <f t="shared" si="22"/>
        <v>2.3517791836843653E-2</v>
      </c>
      <c r="AA181">
        <v>10459243</v>
      </c>
      <c r="AB181">
        <v>17248</v>
      </c>
      <c r="AD181" t="s">
        <v>2</v>
      </c>
      <c r="AE181">
        <v>44</v>
      </c>
      <c r="AF181">
        <v>6</v>
      </c>
      <c r="AH181" t="s">
        <v>566</v>
      </c>
      <c r="AI181" t="s">
        <v>10100</v>
      </c>
      <c r="AJ181" t="s">
        <v>10099</v>
      </c>
      <c r="AK181" t="s">
        <v>10098</v>
      </c>
      <c r="AL181">
        <v>5</v>
      </c>
      <c r="AM181" s="5">
        <f t="shared" si="18"/>
        <v>0.25</v>
      </c>
      <c r="AN181" s="4">
        <f t="shared" si="23"/>
        <v>3.786444528587656E-4</v>
      </c>
      <c r="AO181" s="3"/>
      <c r="AP181">
        <v>0</v>
      </c>
      <c r="AR181" t="s">
        <v>1</v>
      </c>
      <c r="AT181" s="2" t="s">
        <v>0</v>
      </c>
      <c r="AU181" s="1">
        <f t="shared" si="19"/>
        <v>1.6576047621648184</v>
      </c>
      <c r="AV181" s="1">
        <f t="shared" si="20"/>
        <v>1.1948218144851208</v>
      </c>
      <c r="AW181" s="1">
        <f t="shared" si="21"/>
        <v>0.73203886680542318</v>
      </c>
    </row>
    <row r="182" spans="1:49" x14ac:dyDescent="0.2">
      <c r="A182">
        <v>180</v>
      </c>
      <c r="B182" t="s">
        <v>10097</v>
      </c>
      <c r="F182" t="s">
        <v>10096</v>
      </c>
      <c r="G182" t="s">
        <v>5</v>
      </c>
      <c r="H182" t="s">
        <v>4</v>
      </c>
      <c r="I182" t="s">
        <v>10095</v>
      </c>
      <c r="J182" t="s">
        <v>10094</v>
      </c>
      <c r="K182" t="s">
        <v>10093</v>
      </c>
      <c r="L182" t="s">
        <v>10092</v>
      </c>
      <c r="M182" t="s">
        <v>10091</v>
      </c>
      <c r="N182">
        <v>4</v>
      </c>
      <c r="O182" t="s">
        <v>10090</v>
      </c>
      <c r="P182" t="s">
        <v>10089</v>
      </c>
      <c r="Q182" t="s">
        <v>10088</v>
      </c>
      <c r="R182" s="7">
        <v>37591</v>
      </c>
      <c r="S182" s="8">
        <f t="shared" si="16"/>
        <v>2002</v>
      </c>
      <c r="T182" s="8">
        <v>2002</v>
      </c>
      <c r="U182" s="8">
        <f t="shared" si="17"/>
        <v>20</v>
      </c>
      <c r="V182" s="7">
        <v>37591</v>
      </c>
      <c r="W182" t="s">
        <v>276</v>
      </c>
      <c r="X182" s="2">
        <v>0.76500000000000001</v>
      </c>
      <c r="Y182" s="6">
        <f t="shared" si="22"/>
        <v>2.0421238087611118E-2</v>
      </c>
      <c r="AA182">
        <v>138703</v>
      </c>
      <c r="AB182">
        <v>19793</v>
      </c>
      <c r="AD182" t="s">
        <v>2</v>
      </c>
      <c r="AE182">
        <v>105</v>
      </c>
      <c r="AF182" s="9">
        <v>44257</v>
      </c>
      <c r="AH182" t="s">
        <v>10087</v>
      </c>
      <c r="AI182" t="s">
        <v>10086</v>
      </c>
      <c r="AJ182" t="s">
        <v>10085</v>
      </c>
      <c r="AK182" t="s">
        <v>10084</v>
      </c>
      <c r="AL182">
        <v>12</v>
      </c>
      <c r="AM182" s="5">
        <f t="shared" si="18"/>
        <v>0.6</v>
      </c>
      <c r="AN182" s="4">
        <f t="shared" si="23"/>
        <v>9.0874668686103744E-4</v>
      </c>
      <c r="AO182" s="3"/>
      <c r="AP182">
        <v>0</v>
      </c>
      <c r="AR182" t="s">
        <v>1</v>
      </c>
      <c r="AT182" s="2" t="s">
        <v>0</v>
      </c>
      <c r="AU182" s="1">
        <f t="shared" si="19"/>
        <v>1.4567490667386092</v>
      </c>
      <c r="AV182" s="1">
        <f t="shared" si="20"/>
        <v>1.0664992387236079</v>
      </c>
      <c r="AW182" s="1">
        <f t="shared" si="21"/>
        <v>0.67624941070860611</v>
      </c>
    </row>
    <row r="183" spans="1:49" x14ac:dyDescent="0.2">
      <c r="A183">
        <v>181</v>
      </c>
      <c r="B183" t="s">
        <v>10083</v>
      </c>
      <c r="C183" t="s">
        <v>10082</v>
      </c>
      <c r="F183" t="s">
        <v>10081</v>
      </c>
      <c r="G183" t="s">
        <v>5</v>
      </c>
      <c r="H183" t="s">
        <v>4</v>
      </c>
      <c r="I183" t="s">
        <v>1011</v>
      </c>
      <c r="J183" t="s">
        <v>3281</v>
      </c>
      <c r="K183" t="s">
        <v>3285</v>
      </c>
      <c r="L183" t="s">
        <v>3284</v>
      </c>
      <c r="M183" t="s">
        <v>3</v>
      </c>
      <c r="N183">
        <v>2</v>
      </c>
      <c r="O183" t="s">
        <v>10080</v>
      </c>
      <c r="P183" t="s">
        <v>10079</v>
      </c>
      <c r="Q183" t="s">
        <v>10078</v>
      </c>
      <c r="R183" s="7">
        <v>37591</v>
      </c>
      <c r="S183" s="8">
        <f t="shared" si="16"/>
        <v>2002</v>
      </c>
      <c r="T183" s="8">
        <v>2002</v>
      </c>
      <c r="U183" s="8">
        <f t="shared" si="17"/>
        <v>20</v>
      </c>
      <c r="V183" s="7">
        <v>37591</v>
      </c>
      <c r="W183" t="s">
        <v>773</v>
      </c>
      <c r="X183" s="2">
        <v>0.88100000000000001</v>
      </c>
      <c r="Y183" s="6">
        <f t="shared" si="22"/>
        <v>2.3517791836843653E-2</v>
      </c>
      <c r="AA183">
        <v>10459243</v>
      </c>
      <c r="AB183">
        <v>17248</v>
      </c>
      <c r="AD183" t="s">
        <v>2</v>
      </c>
      <c r="AE183">
        <v>44</v>
      </c>
      <c r="AF183">
        <v>6</v>
      </c>
      <c r="AH183" t="s">
        <v>10077</v>
      </c>
      <c r="AI183" t="s">
        <v>10076</v>
      </c>
      <c r="AJ183" t="s">
        <v>10075</v>
      </c>
      <c r="AK183" t="s">
        <v>10074</v>
      </c>
      <c r="AL183">
        <v>14</v>
      </c>
      <c r="AM183" s="5">
        <f t="shared" si="18"/>
        <v>0.7</v>
      </c>
      <c r="AN183" s="4">
        <f t="shared" si="23"/>
        <v>1.0602044680045437E-3</v>
      </c>
      <c r="AO183" s="3"/>
      <c r="AP183">
        <v>0</v>
      </c>
      <c r="AQ183" t="s">
        <v>290</v>
      </c>
      <c r="AR183" t="s">
        <v>1</v>
      </c>
      <c r="AS183" t="s">
        <v>289</v>
      </c>
      <c r="AT183" s="2" t="s">
        <v>0</v>
      </c>
      <c r="AU183" s="1">
        <f t="shared" si="19"/>
        <v>1.6780515626191921</v>
      </c>
      <c r="AV183" s="1">
        <f t="shared" si="20"/>
        <v>1.2288998152424098</v>
      </c>
      <c r="AW183" s="1">
        <f t="shared" si="21"/>
        <v>0.77974806786562756</v>
      </c>
    </row>
    <row r="184" spans="1:49" x14ac:dyDescent="0.2">
      <c r="A184">
        <v>182</v>
      </c>
      <c r="B184" t="s">
        <v>10073</v>
      </c>
      <c r="C184" t="s">
        <v>10072</v>
      </c>
      <c r="F184" t="s">
        <v>10071</v>
      </c>
      <c r="G184" t="s">
        <v>5</v>
      </c>
      <c r="H184" t="s">
        <v>4</v>
      </c>
      <c r="I184" t="s">
        <v>10070</v>
      </c>
      <c r="J184">
        <v>60025778</v>
      </c>
      <c r="K184" t="s">
        <v>116</v>
      </c>
      <c r="L184" t="s">
        <v>115</v>
      </c>
      <c r="M184" t="s">
        <v>7</v>
      </c>
      <c r="N184">
        <v>1</v>
      </c>
      <c r="O184" t="s">
        <v>10069</v>
      </c>
      <c r="P184">
        <v>7202900529</v>
      </c>
      <c r="Q184">
        <v>60025778</v>
      </c>
      <c r="R184" s="7">
        <v>37591</v>
      </c>
      <c r="S184" s="8">
        <f t="shared" si="16"/>
        <v>2002</v>
      </c>
      <c r="T184" s="8">
        <v>2002</v>
      </c>
      <c r="U184" s="8">
        <f t="shared" si="17"/>
        <v>20</v>
      </c>
      <c r="V184" s="7">
        <v>37591</v>
      </c>
      <c r="W184" t="s">
        <v>773</v>
      </c>
      <c r="X184" s="2">
        <v>0.88100000000000001</v>
      </c>
      <c r="Y184" s="6">
        <f t="shared" si="22"/>
        <v>2.3517791836843653E-2</v>
      </c>
      <c r="AA184">
        <v>10459243</v>
      </c>
      <c r="AB184">
        <v>17248</v>
      </c>
      <c r="AD184" t="s">
        <v>2</v>
      </c>
      <c r="AE184">
        <v>44</v>
      </c>
      <c r="AF184">
        <v>6</v>
      </c>
      <c r="AH184" t="s">
        <v>10068</v>
      </c>
      <c r="AI184" t="s">
        <v>10067</v>
      </c>
      <c r="AJ184" t="s">
        <v>10066</v>
      </c>
      <c r="AK184" t="s">
        <v>10065</v>
      </c>
      <c r="AL184">
        <v>4</v>
      </c>
      <c r="AM184" s="5">
        <f t="shared" si="18"/>
        <v>0.2</v>
      </c>
      <c r="AN184" s="4">
        <f t="shared" si="23"/>
        <v>3.0291556228701253E-4</v>
      </c>
      <c r="AO184" s="3"/>
      <c r="AP184">
        <v>0</v>
      </c>
      <c r="AR184" t="s">
        <v>1</v>
      </c>
      <c r="AT184" s="2" t="s">
        <v>0</v>
      </c>
      <c r="AU184" s="1">
        <f t="shared" si="19"/>
        <v>1.655332895447666</v>
      </c>
      <c r="AV184" s="1">
        <f t="shared" si="20"/>
        <v>1.1910353699565333</v>
      </c>
      <c r="AW184" s="1">
        <f t="shared" si="21"/>
        <v>0.72673784446540046</v>
      </c>
    </row>
    <row r="185" spans="1:49" x14ac:dyDescent="0.2">
      <c r="A185">
        <v>183</v>
      </c>
      <c r="B185" t="s">
        <v>10064</v>
      </c>
      <c r="C185" t="s">
        <v>10063</v>
      </c>
      <c r="F185" t="s">
        <v>10062</v>
      </c>
      <c r="G185" t="s">
        <v>5</v>
      </c>
      <c r="H185" t="s">
        <v>4</v>
      </c>
      <c r="I185" t="s">
        <v>10061</v>
      </c>
      <c r="J185">
        <v>60030162</v>
      </c>
      <c r="K185" t="s">
        <v>1039</v>
      </c>
      <c r="L185" t="s">
        <v>342</v>
      </c>
      <c r="M185" t="s">
        <v>7</v>
      </c>
      <c r="N185">
        <v>2</v>
      </c>
      <c r="O185" t="s">
        <v>10060</v>
      </c>
      <c r="P185" t="s">
        <v>10059</v>
      </c>
      <c r="Q185" t="s">
        <v>10058</v>
      </c>
      <c r="R185" s="7">
        <v>37591</v>
      </c>
      <c r="S185" s="8">
        <f t="shared" si="16"/>
        <v>2002</v>
      </c>
      <c r="T185" s="8">
        <v>2002</v>
      </c>
      <c r="U185" s="8">
        <f t="shared" si="17"/>
        <v>20</v>
      </c>
      <c r="V185" s="7">
        <v>37591</v>
      </c>
      <c r="W185" t="s">
        <v>773</v>
      </c>
      <c r="X185" s="2">
        <v>0.88100000000000001</v>
      </c>
      <c r="Y185" s="6">
        <f t="shared" si="22"/>
        <v>2.3517791836843653E-2</v>
      </c>
      <c r="AA185">
        <v>10459243</v>
      </c>
      <c r="AB185">
        <v>17248</v>
      </c>
      <c r="AD185" t="s">
        <v>2</v>
      </c>
      <c r="AE185">
        <v>44</v>
      </c>
      <c r="AF185">
        <v>6</v>
      </c>
      <c r="AH185" t="s">
        <v>3820</v>
      </c>
      <c r="AI185" t="s">
        <v>10057</v>
      </c>
      <c r="AJ185" t="s">
        <v>10056</v>
      </c>
      <c r="AK185" t="s">
        <v>10055</v>
      </c>
      <c r="AL185">
        <v>6</v>
      </c>
      <c r="AM185" s="5">
        <f t="shared" si="18"/>
        <v>0.3</v>
      </c>
      <c r="AN185" s="4">
        <f t="shared" si="23"/>
        <v>4.5437334343051872E-4</v>
      </c>
      <c r="AO185" s="3"/>
      <c r="AP185">
        <v>0</v>
      </c>
      <c r="AR185" t="s">
        <v>1</v>
      </c>
      <c r="AT185" s="2" t="s">
        <v>0</v>
      </c>
      <c r="AU185" s="1">
        <f t="shared" si="19"/>
        <v>1.6598766288819713</v>
      </c>
      <c r="AV185" s="1">
        <f t="shared" si="20"/>
        <v>1.1986082590137086</v>
      </c>
      <c r="AW185" s="1">
        <f t="shared" si="21"/>
        <v>0.7373398891454459</v>
      </c>
    </row>
    <row r="186" spans="1:49" x14ac:dyDescent="0.2">
      <c r="A186">
        <v>184</v>
      </c>
      <c r="B186" t="s">
        <v>10054</v>
      </c>
      <c r="C186" t="s">
        <v>10053</v>
      </c>
      <c r="F186" t="s">
        <v>10052</v>
      </c>
      <c r="G186" t="s">
        <v>5</v>
      </c>
      <c r="H186" t="s">
        <v>4</v>
      </c>
      <c r="I186" t="s">
        <v>10051</v>
      </c>
      <c r="J186" t="s">
        <v>10050</v>
      </c>
      <c r="K186" t="s">
        <v>10049</v>
      </c>
      <c r="L186" t="s">
        <v>10048</v>
      </c>
      <c r="M186" t="s">
        <v>3</v>
      </c>
      <c r="N186">
        <v>3</v>
      </c>
      <c r="O186" t="s">
        <v>10047</v>
      </c>
      <c r="P186" t="s">
        <v>10046</v>
      </c>
      <c r="Q186" t="s">
        <v>10045</v>
      </c>
      <c r="R186" s="7">
        <v>37591</v>
      </c>
      <c r="S186" s="8">
        <f t="shared" si="16"/>
        <v>2002</v>
      </c>
      <c r="T186" s="8">
        <v>2002</v>
      </c>
      <c r="U186" s="8">
        <f t="shared" si="17"/>
        <v>20</v>
      </c>
      <c r="V186" s="7">
        <v>37591</v>
      </c>
      <c r="W186" t="s">
        <v>773</v>
      </c>
      <c r="X186" s="2">
        <v>0.88100000000000001</v>
      </c>
      <c r="Y186" s="6">
        <f t="shared" si="22"/>
        <v>2.3517791836843653E-2</v>
      </c>
      <c r="AA186">
        <v>10459243</v>
      </c>
      <c r="AB186">
        <v>17248</v>
      </c>
      <c r="AD186" t="s">
        <v>2</v>
      </c>
      <c r="AE186">
        <v>44</v>
      </c>
      <c r="AF186">
        <v>6</v>
      </c>
      <c r="AH186" t="s">
        <v>10044</v>
      </c>
      <c r="AI186" t="s">
        <v>10043</v>
      </c>
      <c r="AJ186" t="s">
        <v>10042</v>
      </c>
      <c r="AK186" t="s">
        <v>10041</v>
      </c>
      <c r="AL186">
        <v>5</v>
      </c>
      <c r="AM186" s="5">
        <f t="shared" si="18"/>
        <v>0.25</v>
      </c>
      <c r="AN186" s="4">
        <f t="shared" si="23"/>
        <v>3.786444528587656E-4</v>
      </c>
      <c r="AO186" s="3"/>
      <c r="AP186">
        <v>0</v>
      </c>
      <c r="AR186" t="s">
        <v>1</v>
      </c>
      <c r="AT186" s="2" t="s">
        <v>0</v>
      </c>
      <c r="AU186" s="1">
        <f t="shared" si="19"/>
        <v>1.6576047621648184</v>
      </c>
      <c r="AV186" s="1">
        <f t="shared" si="20"/>
        <v>1.1948218144851208</v>
      </c>
      <c r="AW186" s="1">
        <f t="shared" si="21"/>
        <v>0.73203886680542318</v>
      </c>
    </row>
    <row r="187" spans="1:49" x14ac:dyDescent="0.2">
      <c r="A187">
        <v>185</v>
      </c>
      <c r="B187" t="s">
        <v>10040</v>
      </c>
      <c r="C187" t="s">
        <v>10039</v>
      </c>
      <c r="F187" t="s">
        <v>10038</v>
      </c>
      <c r="G187" t="s">
        <v>5</v>
      </c>
      <c r="H187" t="s">
        <v>4</v>
      </c>
      <c r="I187" t="s">
        <v>10037</v>
      </c>
      <c r="J187" t="s">
        <v>10036</v>
      </c>
      <c r="K187" t="s">
        <v>10035</v>
      </c>
      <c r="L187" t="s">
        <v>10034</v>
      </c>
      <c r="M187" t="s">
        <v>641</v>
      </c>
      <c r="N187">
        <v>4</v>
      </c>
      <c r="O187" t="s">
        <v>10033</v>
      </c>
      <c r="P187" t="s">
        <v>10032</v>
      </c>
      <c r="Q187" t="s">
        <v>10031</v>
      </c>
      <c r="R187" s="7">
        <v>37591</v>
      </c>
      <c r="S187" s="8">
        <f t="shared" si="16"/>
        <v>2002</v>
      </c>
      <c r="T187" s="8">
        <v>2002</v>
      </c>
      <c r="U187" s="8">
        <f t="shared" si="17"/>
        <v>20</v>
      </c>
      <c r="V187" s="7">
        <v>2002</v>
      </c>
      <c r="W187" t="s">
        <v>10030</v>
      </c>
      <c r="X187" s="2">
        <v>0.69299999999999995</v>
      </c>
      <c r="Y187" s="6">
        <f t="shared" si="22"/>
        <v>1.8499239208777128E-2</v>
      </c>
      <c r="AA187">
        <v>13231650</v>
      </c>
      <c r="AB187">
        <v>27846</v>
      </c>
      <c r="AD187" t="s">
        <v>2</v>
      </c>
      <c r="AE187">
        <v>53</v>
      </c>
      <c r="AF187">
        <v>8</v>
      </c>
      <c r="AH187" t="s">
        <v>10029</v>
      </c>
      <c r="AI187" t="s">
        <v>10028</v>
      </c>
      <c r="AJ187" t="s">
        <v>10027</v>
      </c>
      <c r="AK187" t="s">
        <v>10026</v>
      </c>
      <c r="AL187">
        <v>16</v>
      </c>
      <c r="AM187" s="5">
        <f t="shared" si="18"/>
        <v>0.8</v>
      </c>
      <c r="AN187" s="4">
        <f t="shared" si="23"/>
        <v>1.2116622491480501E-3</v>
      </c>
      <c r="AO187" s="3"/>
      <c r="AP187">
        <v>0</v>
      </c>
      <c r="AR187" t="s">
        <v>1</v>
      </c>
      <c r="AT187" s="2">
        <v>2.0699999999999998</v>
      </c>
      <c r="AU187" s="1">
        <f t="shared" si="19"/>
        <v>1.3312966120888403</v>
      </c>
      <c r="AV187" s="1">
        <f t="shared" si="20"/>
        <v>0.98554507289625903</v>
      </c>
      <c r="AW187" s="1">
        <f t="shared" si="21"/>
        <v>0.63979353370367731</v>
      </c>
    </row>
    <row r="188" spans="1:49" x14ac:dyDescent="0.2">
      <c r="A188">
        <v>186</v>
      </c>
      <c r="B188" t="s">
        <v>10025</v>
      </c>
      <c r="F188" t="s">
        <v>10024</v>
      </c>
      <c r="G188" t="s">
        <v>5</v>
      </c>
      <c r="H188" t="s">
        <v>4</v>
      </c>
      <c r="I188" t="s">
        <v>10023</v>
      </c>
      <c r="J188">
        <v>60007951</v>
      </c>
      <c r="K188" t="s">
        <v>10022</v>
      </c>
      <c r="L188" t="s">
        <v>10021</v>
      </c>
      <c r="M188" t="s">
        <v>36</v>
      </c>
      <c r="N188">
        <v>3</v>
      </c>
      <c r="O188" t="s">
        <v>10020</v>
      </c>
      <c r="P188" t="s">
        <v>10019</v>
      </c>
      <c r="Q188" t="s">
        <v>10018</v>
      </c>
      <c r="R188" s="7">
        <v>37591</v>
      </c>
      <c r="S188" s="8">
        <f t="shared" si="16"/>
        <v>2002</v>
      </c>
      <c r="T188" s="8">
        <v>2002</v>
      </c>
      <c r="U188" s="8">
        <f t="shared" si="17"/>
        <v>20</v>
      </c>
      <c r="V188" s="7">
        <v>2002</v>
      </c>
      <c r="W188" t="s">
        <v>10017</v>
      </c>
      <c r="X188" s="2">
        <v>0.161</v>
      </c>
      <c r="Y188" s="6">
        <f t="shared" si="22"/>
        <v>4.2978030485037776E-3</v>
      </c>
      <c r="AA188">
        <v>162523</v>
      </c>
      <c r="AB188">
        <v>16740</v>
      </c>
      <c r="AD188" t="s">
        <v>2</v>
      </c>
      <c r="AE188">
        <v>38</v>
      </c>
      <c r="AF188">
        <v>2</v>
      </c>
      <c r="AH188" t="s">
        <v>10016</v>
      </c>
      <c r="AI188" t="s">
        <v>10015</v>
      </c>
      <c r="AK188" t="s">
        <v>10014</v>
      </c>
      <c r="AL188">
        <v>8</v>
      </c>
      <c r="AM188" s="5">
        <f t="shared" si="18"/>
        <v>0.4</v>
      </c>
      <c r="AN188" s="4">
        <f t="shared" si="23"/>
        <v>6.0583112457402507E-4</v>
      </c>
      <c r="AO188" s="3"/>
      <c r="AP188">
        <v>0</v>
      </c>
      <c r="AR188" t="s">
        <v>1</v>
      </c>
      <c r="AT188" s="2" t="s">
        <v>0</v>
      </c>
      <c r="AU188" s="1">
        <f t="shared" si="19"/>
        <v>0.31902114713248514</v>
      </c>
      <c r="AV188" s="1">
        <f t="shared" si="20"/>
        <v>0.24518170865389013</v>
      </c>
      <c r="AW188" s="1">
        <f t="shared" si="21"/>
        <v>0.1713422701752951</v>
      </c>
    </row>
    <row r="189" spans="1:49" x14ac:dyDescent="0.2">
      <c r="A189">
        <v>187</v>
      </c>
      <c r="B189" t="s">
        <v>10013</v>
      </c>
      <c r="C189" t="s">
        <v>10012</v>
      </c>
      <c r="F189" t="s">
        <v>10011</v>
      </c>
      <c r="G189" t="s">
        <v>5</v>
      </c>
      <c r="H189" t="s">
        <v>4</v>
      </c>
      <c r="I189" t="s">
        <v>10010</v>
      </c>
      <c r="J189">
        <v>60013826</v>
      </c>
      <c r="K189" t="s">
        <v>764</v>
      </c>
      <c r="L189" t="s">
        <v>763</v>
      </c>
      <c r="M189" t="s">
        <v>762</v>
      </c>
      <c r="N189">
        <v>1</v>
      </c>
      <c r="O189" t="s">
        <v>10009</v>
      </c>
      <c r="P189">
        <v>15050960900</v>
      </c>
      <c r="Q189">
        <v>60013826</v>
      </c>
      <c r="R189" s="7">
        <v>37591</v>
      </c>
      <c r="S189" s="8">
        <f t="shared" si="16"/>
        <v>2002</v>
      </c>
      <c r="T189" s="8">
        <v>2002</v>
      </c>
      <c r="U189" s="8">
        <f t="shared" si="17"/>
        <v>20</v>
      </c>
      <c r="V189" s="7">
        <v>37591</v>
      </c>
      <c r="W189" t="s">
        <v>773</v>
      </c>
      <c r="X189" s="2">
        <v>0.88100000000000001</v>
      </c>
      <c r="Y189" s="6">
        <f t="shared" si="22"/>
        <v>2.3517791836843653E-2</v>
      </c>
      <c r="AA189">
        <v>10459243</v>
      </c>
      <c r="AB189">
        <v>17248</v>
      </c>
      <c r="AD189" t="s">
        <v>2</v>
      </c>
      <c r="AE189">
        <v>44</v>
      </c>
      <c r="AF189">
        <v>6</v>
      </c>
      <c r="AH189" t="s">
        <v>10008</v>
      </c>
      <c r="AI189" t="s">
        <v>10007</v>
      </c>
      <c r="AJ189" t="s">
        <v>10006</v>
      </c>
      <c r="AK189" t="s">
        <v>10005</v>
      </c>
      <c r="AL189">
        <v>33</v>
      </c>
      <c r="AM189" s="5">
        <f t="shared" si="18"/>
        <v>1.65</v>
      </c>
      <c r="AN189" s="4">
        <f t="shared" si="23"/>
        <v>2.4990533888678531E-3</v>
      </c>
      <c r="AO189" s="3"/>
      <c r="AP189">
        <v>0</v>
      </c>
      <c r="AR189" t="s">
        <v>10004</v>
      </c>
      <c r="AT189" s="2" t="s">
        <v>0</v>
      </c>
      <c r="AU189" s="1">
        <f t="shared" si="19"/>
        <v>1.7212170302450911</v>
      </c>
      <c r="AV189" s="1">
        <f t="shared" si="20"/>
        <v>1.3008422612855752</v>
      </c>
      <c r="AW189" s="1">
        <f t="shared" si="21"/>
        <v>0.88046749232605936</v>
      </c>
    </row>
    <row r="190" spans="1:49" x14ac:dyDescent="0.2">
      <c r="A190">
        <v>188</v>
      </c>
      <c r="B190" t="s">
        <v>10003</v>
      </c>
      <c r="C190" t="s">
        <v>10002</v>
      </c>
      <c r="F190" t="s">
        <v>10001</v>
      </c>
      <c r="G190" t="s">
        <v>5</v>
      </c>
      <c r="H190" t="s">
        <v>4</v>
      </c>
      <c r="I190" t="s">
        <v>10000</v>
      </c>
      <c r="J190" t="s">
        <v>9999</v>
      </c>
      <c r="K190" t="s">
        <v>9998</v>
      </c>
      <c r="L190" t="s">
        <v>9997</v>
      </c>
      <c r="M190" t="s">
        <v>9996</v>
      </c>
      <c r="N190">
        <v>66</v>
      </c>
      <c r="O190" t="s">
        <v>9995</v>
      </c>
      <c r="P190" t="s">
        <v>9994</v>
      </c>
      <c r="Q190" t="s">
        <v>9993</v>
      </c>
      <c r="R190" s="7">
        <v>37591</v>
      </c>
      <c r="S190" s="8">
        <f t="shared" si="16"/>
        <v>2002</v>
      </c>
      <c r="T190" s="8">
        <v>2002</v>
      </c>
      <c r="U190" s="8">
        <f t="shared" si="17"/>
        <v>20</v>
      </c>
      <c r="V190" s="7">
        <v>2002</v>
      </c>
      <c r="W190" t="s">
        <v>9992</v>
      </c>
      <c r="X190" s="2">
        <v>1.026</v>
      </c>
      <c r="Y190" s="6">
        <f t="shared" si="22"/>
        <v>2.738848402338432E-2</v>
      </c>
      <c r="AA190">
        <v>380938</v>
      </c>
      <c r="AB190">
        <v>28245</v>
      </c>
      <c r="AD190" t="s">
        <v>2</v>
      </c>
      <c r="AE190">
        <v>210</v>
      </c>
      <c r="AF190" s="9">
        <v>44228</v>
      </c>
      <c r="AH190" s="10">
        <v>11749</v>
      </c>
      <c r="AI190" t="s">
        <v>9991</v>
      </c>
      <c r="AK190" t="s">
        <v>9990</v>
      </c>
      <c r="AL190">
        <v>1361</v>
      </c>
      <c r="AM190" s="5">
        <f t="shared" si="18"/>
        <v>68.05</v>
      </c>
      <c r="AN190" s="4">
        <f t="shared" si="23"/>
        <v>0.103067020068156</v>
      </c>
      <c r="AO190" s="3"/>
      <c r="AP190">
        <v>0</v>
      </c>
      <c r="AQ190" t="s">
        <v>368</v>
      </c>
      <c r="AR190" t="s">
        <v>9989</v>
      </c>
      <c r="AS190" t="s">
        <v>367</v>
      </c>
      <c r="AT190" s="2">
        <v>2.6709999999999998</v>
      </c>
      <c r="AU190" s="1">
        <f t="shared" si="19"/>
        <v>5.0092044836815823</v>
      </c>
      <c r="AV190" s="1">
        <f t="shared" si="20"/>
        <v>6.5227752045770169</v>
      </c>
      <c r="AW190" s="1">
        <f t="shared" si="21"/>
        <v>8.0363459254724496</v>
      </c>
    </row>
    <row r="191" spans="1:49" x14ac:dyDescent="0.2">
      <c r="A191">
        <v>189</v>
      </c>
      <c r="B191" t="s">
        <v>9988</v>
      </c>
      <c r="C191" t="s">
        <v>9987</v>
      </c>
      <c r="F191" t="s">
        <v>9986</v>
      </c>
      <c r="G191" t="s">
        <v>5</v>
      </c>
      <c r="H191" t="s">
        <v>4</v>
      </c>
      <c r="I191" t="s">
        <v>9985</v>
      </c>
      <c r="J191" t="s">
        <v>9980</v>
      </c>
      <c r="K191" t="s">
        <v>9984</v>
      </c>
      <c r="L191" t="s">
        <v>9983</v>
      </c>
      <c r="M191" t="s">
        <v>74</v>
      </c>
      <c r="N191">
        <v>3</v>
      </c>
      <c r="O191" t="s">
        <v>9982</v>
      </c>
      <c r="P191" t="s">
        <v>9981</v>
      </c>
      <c r="Q191" t="s">
        <v>9980</v>
      </c>
      <c r="R191" s="7">
        <v>37591</v>
      </c>
      <c r="S191" s="8">
        <f t="shared" si="16"/>
        <v>2002</v>
      </c>
      <c r="T191" s="8">
        <v>2002</v>
      </c>
      <c r="U191" s="8">
        <f t="shared" si="17"/>
        <v>20</v>
      </c>
      <c r="V191" s="7">
        <v>37591</v>
      </c>
      <c r="W191" t="s">
        <v>347</v>
      </c>
      <c r="X191" s="2">
        <v>1.468</v>
      </c>
      <c r="Y191" s="6">
        <f t="shared" si="22"/>
        <v>3.9187421585115186E-2</v>
      </c>
      <c r="AA191">
        <v>906778</v>
      </c>
      <c r="AB191">
        <v>18931</v>
      </c>
      <c r="AD191" t="s">
        <v>2</v>
      </c>
      <c r="AE191">
        <v>50</v>
      </c>
      <c r="AF191">
        <v>12</v>
      </c>
      <c r="AH191" t="s">
        <v>9979</v>
      </c>
      <c r="AI191" t="s">
        <v>9978</v>
      </c>
      <c r="AJ191" t="s">
        <v>9977</v>
      </c>
      <c r="AK191" t="s">
        <v>9976</v>
      </c>
      <c r="AL191">
        <v>25</v>
      </c>
      <c r="AM191" s="5">
        <f t="shared" si="18"/>
        <v>1.25</v>
      </c>
      <c r="AN191" s="4">
        <f t="shared" si="23"/>
        <v>1.8932222642938281E-3</v>
      </c>
      <c r="AO191" s="3"/>
      <c r="AP191">
        <v>0</v>
      </c>
      <c r="AR191" t="s">
        <v>1</v>
      </c>
      <c r="AT191" s="2">
        <v>5.0830000000000002</v>
      </c>
      <c r="AU191" s="1">
        <f t="shared" si="19"/>
        <v>2.7999161788868778</v>
      </c>
      <c r="AV191" s="1">
        <f t="shared" si="20"/>
        <v>2.0540321924704505</v>
      </c>
      <c r="AW191" s="1">
        <f t="shared" si="21"/>
        <v>1.3081482060540237</v>
      </c>
    </row>
    <row r="192" spans="1:49" x14ac:dyDescent="0.2">
      <c r="A192">
        <v>190</v>
      </c>
      <c r="B192" t="s">
        <v>9975</v>
      </c>
      <c r="C192" t="s">
        <v>9974</v>
      </c>
      <c r="F192" t="s">
        <v>9973</v>
      </c>
      <c r="G192" t="s">
        <v>5</v>
      </c>
      <c r="H192" t="s">
        <v>4</v>
      </c>
      <c r="I192" t="s">
        <v>995</v>
      </c>
      <c r="J192" t="s">
        <v>9972</v>
      </c>
      <c r="K192" t="s">
        <v>9971</v>
      </c>
      <c r="L192" t="s">
        <v>9970</v>
      </c>
      <c r="M192" t="s">
        <v>9969</v>
      </c>
      <c r="N192">
        <v>4</v>
      </c>
      <c r="O192" t="s">
        <v>9968</v>
      </c>
      <c r="P192" t="s">
        <v>9967</v>
      </c>
      <c r="Q192" t="s">
        <v>9966</v>
      </c>
      <c r="R192" s="7">
        <v>37591</v>
      </c>
      <c r="S192" s="8">
        <f t="shared" si="16"/>
        <v>2002</v>
      </c>
      <c r="T192" s="8">
        <v>2002</v>
      </c>
      <c r="U192" s="8">
        <f t="shared" si="17"/>
        <v>20</v>
      </c>
      <c r="V192" s="7">
        <v>37591</v>
      </c>
      <c r="W192" t="s">
        <v>347</v>
      </c>
      <c r="X192" s="2">
        <v>1.468</v>
      </c>
      <c r="Y192" s="6">
        <f t="shared" si="22"/>
        <v>3.9187421585115186E-2</v>
      </c>
      <c r="AA192">
        <v>906778</v>
      </c>
      <c r="AB192">
        <v>18931</v>
      </c>
      <c r="AD192" t="s">
        <v>2</v>
      </c>
      <c r="AE192">
        <v>50</v>
      </c>
      <c r="AF192">
        <v>12</v>
      </c>
      <c r="AH192" t="s">
        <v>9965</v>
      </c>
      <c r="AI192" t="s">
        <v>9964</v>
      </c>
      <c r="AJ192" t="s">
        <v>9963</v>
      </c>
      <c r="AK192" t="s">
        <v>9962</v>
      </c>
      <c r="AL192">
        <v>694</v>
      </c>
      <c r="AM192" s="5">
        <f t="shared" si="18"/>
        <v>34.700000000000003</v>
      </c>
      <c r="AN192" s="4">
        <f t="shared" si="23"/>
        <v>5.2555850056796673E-2</v>
      </c>
      <c r="AO192" s="3"/>
      <c r="AP192">
        <v>0</v>
      </c>
      <c r="AQ192" t="s">
        <v>818</v>
      </c>
      <c r="AR192" t="s">
        <v>6180</v>
      </c>
      <c r="AS192" t="s">
        <v>863</v>
      </c>
      <c r="AT192" s="2">
        <v>5.0830000000000002</v>
      </c>
      <c r="AU192" s="1">
        <f t="shared" si="19"/>
        <v>4.3197950126619631</v>
      </c>
      <c r="AV192" s="1">
        <f t="shared" si="20"/>
        <v>4.5871635820955925</v>
      </c>
      <c r="AW192" s="1">
        <f t="shared" si="21"/>
        <v>4.8545321515292228</v>
      </c>
    </row>
    <row r="193" spans="1:49" x14ac:dyDescent="0.2">
      <c r="A193">
        <v>191</v>
      </c>
      <c r="B193" t="s">
        <v>9961</v>
      </c>
      <c r="C193" t="s">
        <v>9960</v>
      </c>
      <c r="F193" t="s">
        <v>9959</v>
      </c>
      <c r="G193" t="s">
        <v>5</v>
      </c>
      <c r="H193" t="s">
        <v>4</v>
      </c>
      <c r="I193" t="s">
        <v>9958</v>
      </c>
      <c r="J193">
        <v>60000762</v>
      </c>
      <c r="K193" t="s">
        <v>138</v>
      </c>
      <c r="L193" t="s">
        <v>137</v>
      </c>
      <c r="M193" t="s">
        <v>112</v>
      </c>
      <c r="N193">
        <v>3</v>
      </c>
      <c r="O193" t="s">
        <v>9957</v>
      </c>
      <c r="P193" t="s">
        <v>9956</v>
      </c>
      <c r="Q193" t="s">
        <v>9955</v>
      </c>
      <c r="R193" s="7">
        <v>37591</v>
      </c>
      <c r="S193" s="8">
        <f t="shared" si="16"/>
        <v>2002</v>
      </c>
      <c r="T193" s="8">
        <v>2002</v>
      </c>
      <c r="U193" s="8">
        <f t="shared" si="17"/>
        <v>20</v>
      </c>
      <c r="V193" s="7">
        <v>2002</v>
      </c>
      <c r="W193" t="s">
        <v>4288</v>
      </c>
      <c r="X193" s="2">
        <v>0.755</v>
      </c>
      <c r="Y193" s="6">
        <f t="shared" si="22"/>
        <v>2.0154293798884174E-2</v>
      </c>
      <c r="AA193">
        <v>3003604</v>
      </c>
      <c r="AB193">
        <v>16515</v>
      </c>
      <c r="AD193" t="s">
        <v>2</v>
      </c>
      <c r="AE193">
        <v>40</v>
      </c>
      <c r="AF193">
        <v>3</v>
      </c>
      <c r="AH193" t="s">
        <v>9954</v>
      </c>
      <c r="AI193" t="s">
        <v>9953</v>
      </c>
      <c r="AJ193" t="s">
        <v>9952</v>
      </c>
      <c r="AK193" t="s">
        <v>9951</v>
      </c>
      <c r="AL193">
        <v>9</v>
      </c>
      <c r="AM193" s="5">
        <f t="shared" si="18"/>
        <v>0.45</v>
      </c>
      <c r="AN193" s="4">
        <f t="shared" si="23"/>
        <v>6.8156001514577808E-4</v>
      </c>
      <c r="AO193" s="3"/>
      <c r="AP193">
        <v>0</v>
      </c>
      <c r="AR193" t="s">
        <v>1</v>
      </c>
      <c r="AT193" s="2">
        <v>3.1890000000000001</v>
      </c>
      <c r="AU193" s="1">
        <f t="shared" si="19"/>
        <v>1.4312473663762653</v>
      </c>
      <c r="AV193" s="1">
        <f t="shared" si="20"/>
        <v>1.0417926907014976</v>
      </c>
      <c r="AW193" s="1">
        <f t="shared" si="21"/>
        <v>0.65233801502672961</v>
      </c>
    </row>
    <row r="194" spans="1:49" x14ac:dyDescent="0.2">
      <c r="A194">
        <v>192</v>
      </c>
      <c r="B194" t="s">
        <v>9950</v>
      </c>
      <c r="C194" t="s">
        <v>9949</v>
      </c>
      <c r="F194" t="s">
        <v>9948</v>
      </c>
      <c r="G194" t="s">
        <v>5</v>
      </c>
      <c r="H194" t="s">
        <v>4</v>
      </c>
      <c r="I194" t="s">
        <v>9947</v>
      </c>
      <c r="J194">
        <v>60029445</v>
      </c>
      <c r="K194" t="s">
        <v>10</v>
      </c>
      <c r="L194" t="s">
        <v>9</v>
      </c>
      <c r="M194" t="s">
        <v>7</v>
      </c>
      <c r="N194">
        <v>3</v>
      </c>
      <c r="O194" t="s">
        <v>9946</v>
      </c>
      <c r="P194" t="s">
        <v>9945</v>
      </c>
      <c r="Q194" t="s">
        <v>8</v>
      </c>
      <c r="R194" s="7">
        <v>37591</v>
      </c>
      <c r="S194" s="8">
        <f t="shared" ref="S194:S257" si="24">YEAR(R194)</f>
        <v>2002</v>
      </c>
      <c r="T194" s="8">
        <v>2002</v>
      </c>
      <c r="U194" s="8">
        <f t="shared" ref="U194:U257" si="25">2022-T194</f>
        <v>20</v>
      </c>
      <c r="V194" s="7">
        <v>37591</v>
      </c>
      <c r="W194" t="s">
        <v>347</v>
      </c>
      <c r="X194" s="2">
        <v>1.468</v>
      </c>
      <c r="Y194" s="6">
        <f t="shared" si="22"/>
        <v>3.9187421585115186E-2</v>
      </c>
      <c r="AA194">
        <v>906778</v>
      </c>
      <c r="AB194">
        <v>18931</v>
      </c>
      <c r="AD194" t="s">
        <v>2</v>
      </c>
      <c r="AE194">
        <v>50</v>
      </c>
      <c r="AF194">
        <v>12</v>
      </c>
      <c r="AH194" t="s">
        <v>9944</v>
      </c>
      <c r="AI194" t="s">
        <v>9943</v>
      </c>
      <c r="AJ194" t="s">
        <v>9942</v>
      </c>
      <c r="AK194" t="s">
        <v>9941</v>
      </c>
      <c r="AL194">
        <v>48</v>
      </c>
      <c r="AM194" s="5">
        <f t="shared" ref="AM194:AM257" si="26">AL194/U194</f>
        <v>2.4</v>
      </c>
      <c r="AN194" s="4">
        <f t="shared" si="23"/>
        <v>3.6349867474441497E-3</v>
      </c>
      <c r="AO194" s="3"/>
      <c r="AP194">
        <v>0</v>
      </c>
      <c r="AQ194" t="s">
        <v>290</v>
      </c>
      <c r="AR194" t="s">
        <v>9940</v>
      </c>
      <c r="AS194" t="s">
        <v>289</v>
      </c>
      <c r="AT194" s="2">
        <v>5.0830000000000002</v>
      </c>
      <c r="AU194" s="1">
        <f t="shared" ref="AU194:AU257" si="27">(Y194*0.7+AN194*0.3)*100</f>
        <v>2.8521691133813873</v>
      </c>
      <c r="AV194" s="1">
        <f t="shared" ref="AV194:AV257" si="28">(Y194*0.5+AN194*0.5)*100</f>
        <v>2.1411204166279667</v>
      </c>
      <c r="AW194" s="1">
        <f t="shared" ref="AW194:AW257" si="29">(Y194*0.3+AN194*0.7)*100</f>
        <v>1.4300717198745461</v>
      </c>
    </row>
    <row r="195" spans="1:49" x14ac:dyDescent="0.2">
      <c r="A195">
        <v>193</v>
      </c>
      <c r="B195" t="s">
        <v>9939</v>
      </c>
      <c r="F195" t="s">
        <v>9938</v>
      </c>
      <c r="G195" t="s">
        <v>5</v>
      </c>
      <c r="H195" t="s">
        <v>4</v>
      </c>
      <c r="I195" t="s">
        <v>9937</v>
      </c>
      <c r="J195">
        <v>60119141</v>
      </c>
      <c r="K195" t="s">
        <v>9936</v>
      </c>
      <c r="L195" t="s">
        <v>9935</v>
      </c>
      <c r="M195" t="s">
        <v>7</v>
      </c>
      <c r="N195">
        <v>1</v>
      </c>
      <c r="O195" t="s">
        <v>9934</v>
      </c>
      <c r="P195">
        <v>8290164900</v>
      </c>
      <c r="Q195">
        <v>60119141</v>
      </c>
      <c r="R195" s="7">
        <v>37591</v>
      </c>
      <c r="S195" s="8">
        <f t="shared" si="24"/>
        <v>2002</v>
      </c>
      <c r="T195" s="8">
        <v>2002</v>
      </c>
      <c r="U195" s="8">
        <f t="shared" si="25"/>
        <v>20</v>
      </c>
      <c r="V195" s="7">
        <v>37591</v>
      </c>
      <c r="W195" t="s">
        <v>9933</v>
      </c>
      <c r="X195" s="2">
        <v>0.36799999999999999</v>
      </c>
      <c r="Y195" s="6">
        <f t="shared" ref="Y195:Y258" si="30">(X195-$Z$3)/($Z$2-$Z$3)</f>
        <v>9.8235498251514914E-3</v>
      </c>
      <c r="AA195">
        <v>28320</v>
      </c>
      <c r="AB195">
        <v>19118</v>
      </c>
      <c r="AD195" t="s">
        <v>2</v>
      </c>
      <c r="AE195">
        <v>128</v>
      </c>
      <c r="AF195">
        <v>4</v>
      </c>
      <c r="AH195" t="s">
        <v>9932</v>
      </c>
      <c r="AI195" t="s">
        <v>9931</v>
      </c>
      <c r="AJ195" t="s">
        <v>9930</v>
      </c>
      <c r="AK195" t="s">
        <v>9929</v>
      </c>
      <c r="AL195">
        <v>3</v>
      </c>
      <c r="AM195" s="5">
        <f t="shared" si="26"/>
        <v>0.15</v>
      </c>
      <c r="AN195" s="4">
        <f t="shared" ref="AN195:AN258" si="31">(AM195-$AO$3)/($AO$2-$AO$3)</f>
        <v>2.2718667171525936E-4</v>
      </c>
      <c r="AO195" s="3"/>
      <c r="AP195">
        <v>0</v>
      </c>
      <c r="AR195" t="s">
        <v>1</v>
      </c>
      <c r="AT195" s="2" t="s">
        <v>0</v>
      </c>
      <c r="AU195" s="1">
        <f t="shared" si="27"/>
        <v>0.69446408791206216</v>
      </c>
      <c r="AV195" s="1">
        <f t="shared" si="28"/>
        <v>0.5025368248433375</v>
      </c>
      <c r="AW195" s="1">
        <f t="shared" si="29"/>
        <v>0.31060956177461285</v>
      </c>
    </row>
    <row r="196" spans="1:49" x14ac:dyDescent="0.2">
      <c r="A196">
        <v>194</v>
      </c>
      <c r="B196" t="s">
        <v>9928</v>
      </c>
      <c r="C196" t="s">
        <v>9927</v>
      </c>
      <c r="F196" t="s">
        <v>9926</v>
      </c>
      <c r="G196" t="s">
        <v>5</v>
      </c>
      <c r="H196" t="s">
        <v>4</v>
      </c>
      <c r="I196" t="s">
        <v>9925</v>
      </c>
      <c r="J196" t="s">
        <v>9924</v>
      </c>
      <c r="K196" t="s">
        <v>9923</v>
      </c>
      <c r="L196" t="s">
        <v>9922</v>
      </c>
      <c r="M196" t="s">
        <v>195</v>
      </c>
      <c r="N196">
        <v>3</v>
      </c>
      <c r="O196" t="s">
        <v>9921</v>
      </c>
      <c r="P196" t="s">
        <v>9920</v>
      </c>
      <c r="Q196" t="s">
        <v>9919</v>
      </c>
      <c r="R196" s="7">
        <v>37591</v>
      </c>
      <c r="S196" s="8">
        <f t="shared" si="24"/>
        <v>2002</v>
      </c>
      <c r="T196" s="8">
        <v>2002</v>
      </c>
      <c r="U196" s="8">
        <f t="shared" si="25"/>
        <v>20</v>
      </c>
      <c r="V196" s="7">
        <v>37591</v>
      </c>
      <c r="W196" t="s">
        <v>643</v>
      </c>
      <c r="X196" s="2">
        <v>2.141</v>
      </c>
      <c r="Y196" s="6">
        <f t="shared" si="30"/>
        <v>5.7152772216438434E-2</v>
      </c>
      <c r="AA196">
        <v>1962892</v>
      </c>
      <c r="AB196">
        <v>17360</v>
      </c>
      <c r="AD196" t="s">
        <v>2</v>
      </c>
      <c r="AE196">
        <v>40</v>
      </c>
      <c r="AF196">
        <v>12</v>
      </c>
      <c r="AH196" t="s">
        <v>9918</v>
      </c>
      <c r="AI196" t="s">
        <v>9917</v>
      </c>
      <c r="AJ196" t="s">
        <v>9916</v>
      </c>
      <c r="AK196" t="s">
        <v>9915</v>
      </c>
      <c r="AL196">
        <v>68</v>
      </c>
      <c r="AM196" s="5">
        <f t="shared" si="26"/>
        <v>3.4</v>
      </c>
      <c r="AN196" s="4">
        <f t="shared" si="31"/>
        <v>5.1495645588792126E-3</v>
      </c>
      <c r="AO196" s="3"/>
      <c r="AP196">
        <v>0</v>
      </c>
      <c r="AQ196" t="s">
        <v>1153</v>
      </c>
      <c r="AR196">
        <v>99009020</v>
      </c>
      <c r="AS196" t="s">
        <v>1152</v>
      </c>
      <c r="AT196" s="2" t="s">
        <v>0</v>
      </c>
      <c r="AU196" s="1">
        <f t="shared" si="27"/>
        <v>4.1551809919170664</v>
      </c>
      <c r="AV196" s="1">
        <f t="shared" si="28"/>
        <v>3.1151168387658821</v>
      </c>
      <c r="AW196" s="1">
        <f t="shared" si="29"/>
        <v>2.0750526856146978</v>
      </c>
    </row>
    <row r="197" spans="1:49" x14ac:dyDescent="0.2">
      <c r="A197">
        <v>195</v>
      </c>
      <c r="B197" t="s">
        <v>9914</v>
      </c>
      <c r="C197" t="s">
        <v>9913</v>
      </c>
      <c r="F197" t="s">
        <v>9912</v>
      </c>
      <c r="G197" t="s">
        <v>5</v>
      </c>
      <c r="H197" t="s">
        <v>4</v>
      </c>
      <c r="I197" t="s">
        <v>9911</v>
      </c>
      <c r="J197">
        <v>100371102</v>
      </c>
      <c r="K197" t="s">
        <v>9910</v>
      </c>
      <c r="L197" t="s">
        <v>9909</v>
      </c>
      <c r="M197" t="s">
        <v>7</v>
      </c>
      <c r="N197">
        <v>1</v>
      </c>
      <c r="O197" t="s">
        <v>9908</v>
      </c>
      <c r="P197">
        <v>8638997200</v>
      </c>
      <c r="Q197">
        <v>100371102</v>
      </c>
      <c r="R197" s="7">
        <v>37591</v>
      </c>
      <c r="S197" s="8">
        <f t="shared" si="24"/>
        <v>2002</v>
      </c>
      <c r="T197" s="8">
        <v>2002</v>
      </c>
      <c r="U197" s="8">
        <f t="shared" si="25"/>
        <v>20</v>
      </c>
      <c r="V197" s="7">
        <v>37591</v>
      </c>
      <c r="W197" t="s">
        <v>9907</v>
      </c>
      <c r="X197" s="2">
        <v>0.81799999999999995</v>
      </c>
      <c r="Y197" s="6">
        <f t="shared" si="30"/>
        <v>2.1836042817863912E-2</v>
      </c>
      <c r="AA197">
        <v>2182718</v>
      </c>
      <c r="AB197">
        <v>28074</v>
      </c>
      <c r="AD197" t="s">
        <v>2</v>
      </c>
      <c r="AE197">
        <v>11</v>
      </c>
      <c r="AF197">
        <v>10</v>
      </c>
      <c r="AH197" t="s">
        <v>9906</v>
      </c>
      <c r="AI197" t="s">
        <v>9905</v>
      </c>
      <c r="AK197" t="s">
        <v>9904</v>
      </c>
      <c r="AL197">
        <v>4</v>
      </c>
      <c r="AM197" s="5">
        <f t="shared" si="26"/>
        <v>0.2</v>
      </c>
      <c r="AN197" s="4">
        <f t="shared" si="31"/>
        <v>3.0291556228701253E-4</v>
      </c>
      <c r="AO197" s="3"/>
      <c r="AP197">
        <v>0</v>
      </c>
      <c r="AR197" t="s">
        <v>1</v>
      </c>
      <c r="AT197" s="2" t="s">
        <v>0</v>
      </c>
      <c r="AU197" s="1">
        <f t="shared" si="27"/>
        <v>1.5376104641190842</v>
      </c>
      <c r="AV197" s="1">
        <f t="shared" si="28"/>
        <v>1.1069479190075462</v>
      </c>
      <c r="AW197" s="1">
        <f t="shared" si="29"/>
        <v>0.67628537389600829</v>
      </c>
    </row>
    <row r="198" spans="1:49" x14ac:dyDescent="0.2">
      <c r="A198">
        <v>196</v>
      </c>
      <c r="B198" t="s">
        <v>9903</v>
      </c>
      <c r="C198" t="s">
        <v>9902</v>
      </c>
      <c r="F198" t="s">
        <v>9901</v>
      </c>
      <c r="G198" t="s">
        <v>5</v>
      </c>
      <c r="H198" t="s">
        <v>4</v>
      </c>
      <c r="I198" t="s">
        <v>9900</v>
      </c>
      <c r="J198">
        <v>60026306</v>
      </c>
      <c r="K198" t="s">
        <v>230</v>
      </c>
      <c r="L198" t="s">
        <v>229</v>
      </c>
      <c r="M198" t="s">
        <v>7</v>
      </c>
      <c r="N198">
        <v>2</v>
      </c>
      <c r="O198" t="s">
        <v>9899</v>
      </c>
      <c r="P198" t="s">
        <v>9898</v>
      </c>
      <c r="Q198" t="s">
        <v>228</v>
      </c>
      <c r="R198" s="7">
        <v>37591</v>
      </c>
      <c r="S198" s="8">
        <f t="shared" si="24"/>
        <v>2002</v>
      </c>
      <c r="T198" s="8">
        <v>2002</v>
      </c>
      <c r="U198" s="8">
        <f t="shared" si="25"/>
        <v>20</v>
      </c>
      <c r="V198" s="7">
        <v>37591</v>
      </c>
      <c r="W198" t="s">
        <v>643</v>
      </c>
      <c r="X198" s="2">
        <v>2.141</v>
      </c>
      <c r="Y198" s="6">
        <f t="shared" si="30"/>
        <v>5.7152772216438434E-2</v>
      </c>
      <c r="AA198">
        <v>1962892</v>
      </c>
      <c r="AB198">
        <v>17360</v>
      </c>
      <c r="AD198" t="s">
        <v>2</v>
      </c>
      <c r="AE198">
        <v>40</v>
      </c>
      <c r="AF198">
        <v>12</v>
      </c>
      <c r="AH198" t="s">
        <v>9897</v>
      </c>
      <c r="AI198" t="s">
        <v>9896</v>
      </c>
      <c r="AJ198" t="s">
        <v>9895</v>
      </c>
      <c r="AK198" t="s">
        <v>9894</v>
      </c>
      <c r="AL198">
        <v>60</v>
      </c>
      <c r="AM198" s="5">
        <f t="shared" si="26"/>
        <v>3</v>
      </c>
      <c r="AN198" s="4">
        <f t="shared" si="31"/>
        <v>4.5437334343051876E-3</v>
      </c>
      <c r="AO198" s="3"/>
      <c r="AP198">
        <v>0</v>
      </c>
      <c r="AQ198" t="s">
        <v>1013</v>
      </c>
      <c r="AR198" t="s">
        <v>9893</v>
      </c>
      <c r="AS198" t="s">
        <v>1012</v>
      </c>
      <c r="AT198" s="2" t="s">
        <v>0</v>
      </c>
      <c r="AU198" s="1">
        <f t="shared" si="27"/>
        <v>4.1370060581798453</v>
      </c>
      <c r="AV198" s="1">
        <f t="shared" si="28"/>
        <v>3.0848252825371811</v>
      </c>
      <c r="AW198" s="1">
        <f t="shared" si="29"/>
        <v>2.032644506894516</v>
      </c>
    </row>
    <row r="199" spans="1:49" x14ac:dyDescent="0.2">
      <c r="A199">
        <v>197</v>
      </c>
      <c r="B199" t="s">
        <v>9892</v>
      </c>
      <c r="C199" t="s">
        <v>9891</v>
      </c>
      <c r="F199" t="s">
        <v>9890</v>
      </c>
      <c r="G199" t="s">
        <v>5</v>
      </c>
      <c r="H199" t="s">
        <v>4</v>
      </c>
      <c r="I199" t="s">
        <v>824</v>
      </c>
      <c r="J199">
        <v>60008592</v>
      </c>
      <c r="K199" t="s">
        <v>692</v>
      </c>
      <c r="L199" t="s">
        <v>114</v>
      </c>
      <c r="M199" t="s">
        <v>114</v>
      </c>
      <c r="N199">
        <v>3</v>
      </c>
      <c r="O199" t="s">
        <v>9889</v>
      </c>
      <c r="P199" t="s">
        <v>9888</v>
      </c>
      <c r="Q199" t="s">
        <v>9887</v>
      </c>
      <c r="R199" s="7">
        <v>37591</v>
      </c>
      <c r="S199" s="8">
        <f t="shared" si="24"/>
        <v>2002</v>
      </c>
      <c r="T199" s="8">
        <v>2002</v>
      </c>
      <c r="U199" s="8">
        <f t="shared" si="25"/>
        <v>20</v>
      </c>
      <c r="V199" s="7">
        <v>37591</v>
      </c>
      <c r="W199" t="s">
        <v>347</v>
      </c>
      <c r="X199" s="2">
        <v>1.468</v>
      </c>
      <c r="Y199" s="6">
        <f t="shared" si="30"/>
        <v>3.9187421585115186E-2</v>
      </c>
      <c r="AA199">
        <v>906778</v>
      </c>
      <c r="AB199">
        <v>18931</v>
      </c>
      <c r="AD199" t="s">
        <v>2</v>
      </c>
      <c r="AE199">
        <v>50</v>
      </c>
      <c r="AF199">
        <v>12</v>
      </c>
      <c r="AH199" t="s">
        <v>9886</v>
      </c>
      <c r="AI199" t="s">
        <v>9885</v>
      </c>
      <c r="AJ199" t="s">
        <v>9884</v>
      </c>
      <c r="AK199" t="s">
        <v>9883</v>
      </c>
      <c r="AL199">
        <v>102</v>
      </c>
      <c r="AM199" s="5">
        <f t="shared" si="26"/>
        <v>5.0999999999999996</v>
      </c>
      <c r="AN199" s="4">
        <f t="shared" si="31"/>
        <v>7.724346838318818E-3</v>
      </c>
      <c r="AO199" s="3"/>
      <c r="AP199">
        <v>0</v>
      </c>
      <c r="AR199" t="s">
        <v>9882</v>
      </c>
      <c r="AT199" s="2">
        <v>5.0830000000000002</v>
      </c>
      <c r="AU199" s="1">
        <f t="shared" si="27"/>
        <v>2.9748499161076274</v>
      </c>
      <c r="AV199" s="1">
        <f t="shared" si="28"/>
        <v>2.3455884211717</v>
      </c>
      <c r="AW199" s="1">
        <f t="shared" si="29"/>
        <v>1.7163269262357728</v>
      </c>
    </row>
    <row r="200" spans="1:49" x14ac:dyDescent="0.2">
      <c r="A200">
        <v>198</v>
      </c>
      <c r="B200" t="s">
        <v>9881</v>
      </c>
      <c r="C200" t="s">
        <v>9880</v>
      </c>
      <c r="F200" t="s">
        <v>9879</v>
      </c>
      <c r="G200" t="s">
        <v>5</v>
      </c>
      <c r="H200" t="s">
        <v>4</v>
      </c>
      <c r="I200" t="s">
        <v>9878</v>
      </c>
      <c r="J200">
        <v>60032995</v>
      </c>
      <c r="K200" t="s">
        <v>9877</v>
      </c>
      <c r="L200" t="s">
        <v>9876</v>
      </c>
      <c r="M200" t="s">
        <v>7</v>
      </c>
      <c r="N200">
        <v>1</v>
      </c>
      <c r="O200" t="s">
        <v>9875</v>
      </c>
      <c r="P200">
        <v>6701377867</v>
      </c>
      <c r="Q200">
        <v>60032995</v>
      </c>
      <c r="R200" s="7">
        <v>37591</v>
      </c>
      <c r="S200" s="8">
        <f t="shared" si="24"/>
        <v>2002</v>
      </c>
      <c r="T200" s="8">
        <v>2002</v>
      </c>
      <c r="U200" s="8">
        <f t="shared" si="25"/>
        <v>20</v>
      </c>
      <c r="V200" s="7">
        <v>37591</v>
      </c>
      <c r="W200" t="s">
        <v>402</v>
      </c>
      <c r="X200" s="2">
        <v>0.39600000000000002</v>
      </c>
      <c r="Y200" s="6">
        <f t="shared" si="30"/>
        <v>1.0570993833586931E-2</v>
      </c>
      <c r="AA200">
        <v>8858985</v>
      </c>
      <c r="AB200">
        <v>25993</v>
      </c>
      <c r="AD200" t="s">
        <v>2</v>
      </c>
      <c r="AE200">
        <v>17</v>
      </c>
      <c r="AF200">
        <v>12</v>
      </c>
      <c r="AH200" s="9">
        <v>44476</v>
      </c>
      <c r="AI200" t="s">
        <v>9874</v>
      </c>
      <c r="AK200" t="s">
        <v>9873</v>
      </c>
      <c r="AL200">
        <v>6</v>
      </c>
      <c r="AM200" s="5">
        <f t="shared" si="26"/>
        <v>0.3</v>
      </c>
      <c r="AN200" s="4">
        <f t="shared" si="31"/>
        <v>4.5437334343051872E-4</v>
      </c>
      <c r="AO200" s="3"/>
      <c r="AP200">
        <v>0</v>
      </c>
      <c r="AR200" t="s">
        <v>1</v>
      </c>
      <c r="AT200" s="2" t="s">
        <v>0</v>
      </c>
      <c r="AU200" s="1">
        <f t="shared" si="27"/>
        <v>0.75360076865400072</v>
      </c>
      <c r="AV200" s="1">
        <f t="shared" si="28"/>
        <v>0.55126835885087255</v>
      </c>
      <c r="AW200" s="1">
        <f t="shared" si="29"/>
        <v>0.34893594904774422</v>
      </c>
    </row>
    <row r="201" spans="1:49" x14ac:dyDescent="0.2">
      <c r="A201">
        <v>199</v>
      </c>
      <c r="B201" t="s">
        <v>9872</v>
      </c>
      <c r="E201">
        <v>12518942</v>
      </c>
      <c r="F201" t="s">
        <v>9871</v>
      </c>
      <c r="G201" t="s">
        <v>5</v>
      </c>
      <c r="H201" t="s">
        <v>4</v>
      </c>
      <c r="I201" t="s">
        <v>9870</v>
      </c>
      <c r="J201">
        <v>60011846</v>
      </c>
      <c r="K201" t="s">
        <v>9869</v>
      </c>
      <c r="L201" t="s">
        <v>9868</v>
      </c>
      <c r="M201" t="s">
        <v>36</v>
      </c>
      <c r="N201">
        <v>5</v>
      </c>
      <c r="O201" t="s">
        <v>9867</v>
      </c>
      <c r="P201" t="s">
        <v>9866</v>
      </c>
      <c r="Q201" t="s">
        <v>9865</v>
      </c>
      <c r="R201" s="7">
        <v>37591</v>
      </c>
      <c r="S201" s="8">
        <f t="shared" si="24"/>
        <v>2002</v>
      </c>
      <c r="T201" s="8">
        <v>2002</v>
      </c>
      <c r="U201" s="8">
        <f t="shared" si="25"/>
        <v>20</v>
      </c>
      <c r="V201" s="7">
        <v>37591</v>
      </c>
      <c r="W201" t="s">
        <v>9864</v>
      </c>
      <c r="X201" s="2">
        <v>1.1160000000000001</v>
      </c>
      <c r="Y201" s="6">
        <f t="shared" si="30"/>
        <v>2.9790982621926809E-2</v>
      </c>
      <c r="AA201">
        <v>33219</v>
      </c>
      <c r="AB201">
        <v>24291</v>
      </c>
      <c r="AD201" t="s">
        <v>2</v>
      </c>
      <c r="AE201">
        <v>72</v>
      </c>
      <c r="AF201">
        <v>6</v>
      </c>
      <c r="AH201" t="s">
        <v>554</v>
      </c>
      <c r="AI201" t="s">
        <v>9863</v>
      </c>
      <c r="AJ201" t="s">
        <v>9862</v>
      </c>
      <c r="AK201" t="s">
        <v>9861</v>
      </c>
      <c r="AL201">
        <v>24</v>
      </c>
      <c r="AM201" s="5">
        <f t="shared" si="26"/>
        <v>1.2</v>
      </c>
      <c r="AN201" s="4">
        <f t="shared" si="31"/>
        <v>1.8174933737220749E-3</v>
      </c>
      <c r="AO201" s="3"/>
      <c r="AP201">
        <v>0</v>
      </c>
      <c r="AR201" t="s">
        <v>1</v>
      </c>
      <c r="AT201" s="2">
        <v>2.0790000000000002</v>
      </c>
      <c r="AU201" s="1">
        <f t="shared" si="27"/>
        <v>2.1398935847465386</v>
      </c>
      <c r="AV201" s="1">
        <f t="shared" si="28"/>
        <v>1.5804237997824444</v>
      </c>
      <c r="AW201" s="1">
        <f t="shared" si="29"/>
        <v>1.0209540148183494</v>
      </c>
    </row>
    <row r="202" spans="1:49" x14ac:dyDescent="0.2">
      <c r="A202">
        <v>200</v>
      </c>
      <c r="B202" t="s">
        <v>9860</v>
      </c>
      <c r="C202" t="s">
        <v>9859</v>
      </c>
      <c r="F202" t="s">
        <v>9858</v>
      </c>
      <c r="G202" t="s">
        <v>5</v>
      </c>
      <c r="H202" t="s">
        <v>4</v>
      </c>
      <c r="I202" t="s">
        <v>9857</v>
      </c>
      <c r="J202" t="s">
        <v>9851</v>
      </c>
      <c r="K202" t="s">
        <v>9856</v>
      </c>
      <c r="L202" t="s">
        <v>9855</v>
      </c>
      <c r="M202" t="s">
        <v>9854</v>
      </c>
      <c r="N202">
        <v>2</v>
      </c>
      <c r="O202" t="s">
        <v>9853</v>
      </c>
      <c r="P202" t="s">
        <v>9852</v>
      </c>
      <c r="Q202" t="s">
        <v>9851</v>
      </c>
      <c r="R202" s="7">
        <v>37591</v>
      </c>
      <c r="S202" s="8">
        <f t="shared" si="24"/>
        <v>2002</v>
      </c>
      <c r="T202" s="8">
        <v>2002</v>
      </c>
      <c r="U202" s="8">
        <f t="shared" si="25"/>
        <v>20</v>
      </c>
      <c r="V202" s="7">
        <v>37591</v>
      </c>
      <c r="W202" t="s">
        <v>35</v>
      </c>
      <c r="X202" s="2">
        <v>3.2160000000000002</v>
      </c>
      <c r="Y202" s="6">
        <f t="shared" si="30"/>
        <v>8.5849283254584782E-2</v>
      </c>
      <c r="AA202">
        <v>15361284</v>
      </c>
      <c r="AB202">
        <v>18935</v>
      </c>
      <c r="AD202" t="s">
        <v>2</v>
      </c>
      <c r="AE202">
        <v>9</v>
      </c>
      <c r="AF202">
        <v>6</v>
      </c>
      <c r="AH202" t="s">
        <v>9850</v>
      </c>
      <c r="AI202" t="s">
        <v>9849</v>
      </c>
      <c r="AK202" t="s">
        <v>9848</v>
      </c>
      <c r="AL202">
        <v>15</v>
      </c>
      <c r="AM202" s="5">
        <f t="shared" si="26"/>
        <v>0.75</v>
      </c>
      <c r="AN202" s="4">
        <f t="shared" si="31"/>
        <v>1.1359333585762969E-3</v>
      </c>
      <c r="AO202" s="3"/>
      <c r="AP202">
        <v>0</v>
      </c>
      <c r="AR202" t="s">
        <v>1</v>
      </c>
      <c r="AT202" s="2">
        <v>11.978999999999999</v>
      </c>
      <c r="AU202" s="1">
        <f t="shared" si="27"/>
        <v>6.043527828578223</v>
      </c>
      <c r="AV202" s="1">
        <f t="shared" si="28"/>
        <v>4.3492608306580545</v>
      </c>
      <c r="AW202" s="1">
        <f t="shared" si="29"/>
        <v>2.6549938327378841</v>
      </c>
    </row>
    <row r="203" spans="1:49" x14ac:dyDescent="0.2">
      <c r="A203">
        <v>201</v>
      </c>
      <c r="B203" t="s">
        <v>9847</v>
      </c>
      <c r="C203" t="s">
        <v>9846</v>
      </c>
      <c r="F203" t="s">
        <v>9845</v>
      </c>
      <c r="G203" t="s">
        <v>5</v>
      </c>
      <c r="H203" t="s">
        <v>4</v>
      </c>
      <c r="I203" t="s">
        <v>9844</v>
      </c>
      <c r="J203">
        <v>60024322</v>
      </c>
      <c r="K203" t="s">
        <v>930</v>
      </c>
      <c r="L203" t="s">
        <v>929</v>
      </c>
      <c r="M203" t="s">
        <v>36</v>
      </c>
      <c r="N203">
        <v>6</v>
      </c>
      <c r="O203" t="s">
        <v>9843</v>
      </c>
      <c r="P203" t="s">
        <v>9842</v>
      </c>
      <c r="Q203" t="s">
        <v>9841</v>
      </c>
      <c r="R203" s="7">
        <v>37591</v>
      </c>
      <c r="S203" s="8">
        <f t="shared" si="24"/>
        <v>2002</v>
      </c>
      <c r="T203" s="8">
        <v>2002</v>
      </c>
      <c r="U203" s="8">
        <f t="shared" si="25"/>
        <v>20</v>
      </c>
      <c r="V203" s="7">
        <v>37591</v>
      </c>
      <c r="W203" t="s">
        <v>35</v>
      </c>
      <c r="X203" s="2">
        <v>3.2160000000000002</v>
      </c>
      <c r="Y203" s="6">
        <f t="shared" si="30"/>
        <v>8.5849283254584782E-2</v>
      </c>
      <c r="AA203">
        <v>15361284</v>
      </c>
      <c r="AB203">
        <v>18935</v>
      </c>
      <c r="AD203" t="s">
        <v>2</v>
      </c>
      <c r="AE203">
        <v>9</v>
      </c>
      <c r="AF203">
        <v>6</v>
      </c>
      <c r="AH203" s="10">
        <v>42948</v>
      </c>
      <c r="AI203" t="s">
        <v>9840</v>
      </c>
      <c r="AK203" t="s">
        <v>9839</v>
      </c>
      <c r="AL203">
        <v>39</v>
      </c>
      <c r="AM203" s="5">
        <f t="shared" si="26"/>
        <v>1.95</v>
      </c>
      <c r="AN203" s="4">
        <f t="shared" si="31"/>
        <v>2.9534267322983716E-3</v>
      </c>
      <c r="AO203" s="3"/>
      <c r="AP203">
        <v>0</v>
      </c>
      <c r="AR203" t="s">
        <v>1</v>
      </c>
      <c r="AT203" s="2">
        <v>11.978999999999999</v>
      </c>
      <c r="AU203" s="1">
        <f t="shared" si="27"/>
        <v>6.0980526297898852</v>
      </c>
      <c r="AV203" s="1">
        <f t="shared" si="28"/>
        <v>4.4401354993441577</v>
      </c>
      <c r="AW203" s="1">
        <f t="shared" si="29"/>
        <v>2.7822183688984294</v>
      </c>
    </row>
    <row r="204" spans="1:49" x14ac:dyDescent="0.2">
      <c r="A204">
        <v>202</v>
      </c>
      <c r="B204" t="s">
        <v>9838</v>
      </c>
      <c r="F204" t="s">
        <v>9837</v>
      </c>
      <c r="G204" t="s">
        <v>5</v>
      </c>
      <c r="H204" t="s">
        <v>4</v>
      </c>
      <c r="I204" t="s">
        <v>9836</v>
      </c>
      <c r="J204">
        <v>60018308</v>
      </c>
      <c r="K204" t="s">
        <v>1162</v>
      </c>
      <c r="L204" t="s">
        <v>605</v>
      </c>
      <c r="M204" t="s">
        <v>21</v>
      </c>
      <c r="N204">
        <v>3</v>
      </c>
      <c r="O204" t="s">
        <v>9835</v>
      </c>
      <c r="P204" t="s">
        <v>9834</v>
      </c>
      <c r="Q204" t="s">
        <v>1161</v>
      </c>
      <c r="R204" s="7">
        <v>37591</v>
      </c>
      <c r="S204" s="8">
        <f t="shared" si="24"/>
        <v>2002</v>
      </c>
      <c r="T204" s="8">
        <v>2002</v>
      </c>
      <c r="U204" s="8">
        <f t="shared" si="25"/>
        <v>20</v>
      </c>
      <c r="V204" s="7">
        <v>37591</v>
      </c>
      <c r="W204" t="s">
        <v>1160</v>
      </c>
      <c r="X204" s="2">
        <v>0.30099999999999999</v>
      </c>
      <c r="Y204" s="6">
        <f t="shared" si="30"/>
        <v>8.0350230906809754E-3</v>
      </c>
      <c r="AA204">
        <v>16711793</v>
      </c>
      <c r="AB204">
        <v>58655</v>
      </c>
      <c r="AD204" t="s">
        <v>2</v>
      </c>
      <c r="AE204">
        <v>13</v>
      </c>
      <c r="AF204">
        <v>4</v>
      </c>
      <c r="AH204" s="10">
        <v>42583</v>
      </c>
      <c r="AI204" t="s">
        <v>9833</v>
      </c>
      <c r="AJ204" t="s">
        <v>9832</v>
      </c>
      <c r="AK204" t="s">
        <v>9831</v>
      </c>
      <c r="AL204">
        <v>0</v>
      </c>
      <c r="AM204" s="5">
        <f t="shared" si="26"/>
        <v>0</v>
      </c>
      <c r="AN204" s="4">
        <f t="shared" si="31"/>
        <v>0</v>
      </c>
      <c r="AO204" s="3"/>
      <c r="AP204">
        <v>0</v>
      </c>
      <c r="AR204" t="s">
        <v>1</v>
      </c>
      <c r="AT204" s="2">
        <v>1.1859999999999999</v>
      </c>
      <c r="AU204" s="1">
        <f t="shared" si="27"/>
        <v>0.56245161634766827</v>
      </c>
      <c r="AV204" s="1">
        <f t="shared" si="28"/>
        <v>0.40175115453404875</v>
      </c>
      <c r="AW204" s="1">
        <f t="shared" si="29"/>
        <v>0.24105069272042928</v>
      </c>
    </row>
    <row r="205" spans="1:49" x14ac:dyDescent="0.2">
      <c r="A205">
        <v>203</v>
      </c>
      <c r="B205" t="s">
        <v>9830</v>
      </c>
      <c r="F205" t="s">
        <v>9829</v>
      </c>
      <c r="G205" t="s">
        <v>5</v>
      </c>
      <c r="H205" t="s">
        <v>4</v>
      </c>
      <c r="I205" t="s">
        <v>9828</v>
      </c>
      <c r="J205">
        <v>100329638</v>
      </c>
      <c r="K205" t="s">
        <v>9827</v>
      </c>
      <c r="L205" t="s">
        <v>9826</v>
      </c>
      <c r="M205" t="s">
        <v>26</v>
      </c>
      <c r="N205">
        <v>3</v>
      </c>
      <c r="O205" t="s">
        <v>9825</v>
      </c>
      <c r="P205" t="s">
        <v>9824</v>
      </c>
      <c r="Q205" t="s">
        <v>9823</v>
      </c>
      <c r="R205" s="7">
        <v>37591</v>
      </c>
      <c r="S205" s="8">
        <f t="shared" si="24"/>
        <v>2002</v>
      </c>
      <c r="T205" s="8">
        <v>2002</v>
      </c>
      <c r="U205" s="8">
        <f t="shared" si="25"/>
        <v>20</v>
      </c>
      <c r="V205" s="7">
        <v>2002</v>
      </c>
      <c r="W205" t="s">
        <v>9822</v>
      </c>
      <c r="X205" s="2">
        <v>0.29899999999999999</v>
      </c>
      <c r="Y205" s="6">
        <f t="shared" si="30"/>
        <v>7.9816342329355871E-3</v>
      </c>
      <c r="AA205">
        <v>1464116</v>
      </c>
      <c r="AB205">
        <v>24906</v>
      </c>
      <c r="AD205" t="s">
        <v>2</v>
      </c>
      <c r="AE205">
        <v>36</v>
      </c>
      <c r="AF205">
        <v>2</v>
      </c>
      <c r="AH205" s="10">
        <v>41913</v>
      </c>
      <c r="AI205" t="s">
        <v>9821</v>
      </c>
      <c r="AK205" t="s">
        <v>9820</v>
      </c>
      <c r="AL205">
        <v>0</v>
      </c>
      <c r="AM205" s="5">
        <f t="shared" si="26"/>
        <v>0</v>
      </c>
      <c r="AN205" s="4">
        <f t="shared" si="31"/>
        <v>0</v>
      </c>
      <c r="AO205" s="3"/>
      <c r="AP205">
        <v>0</v>
      </c>
      <c r="AR205" t="s">
        <v>1</v>
      </c>
      <c r="AT205" s="2" t="s">
        <v>0</v>
      </c>
      <c r="AU205" s="1">
        <f t="shared" si="27"/>
        <v>0.55871439630549102</v>
      </c>
      <c r="AV205" s="1">
        <f t="shared" si="28"/>
        <v>0.39908171164677936</v>
      </c>
      <c r="AW205" s="1">
        <f t="shared" si="29"/>
        <v>0.23944902698806758</v>
      </c>
    </row>
    <row r="206" spans="1:49" x14ac:dyDescent="0.2">
      <c r="A206">
        <v>204</v>
      </c>
      <c r="B206" t="s">
        <v>9819</v>
      </c>
      <c r="F206" t="s">
        <v>9818</v>
      </c>
      <c r="G206" t="s">
        <v>5</v>
      </c>
      <c r="H206" t="s">
        <v>4</v>
      </c>
      <c r="I206" t="s">
        <v>9817</v>
      </c>
      <c r="J206" t="s">
        <v>9816</v>
      </c>
      <c r="K206" t="s">
        <v>9815</v>
      </c>
      <c r="L206" t="s">
        <v>9814</v>
      </c>
      <c r="M206" t="s">
        <v>3</v>
      </c>
      <c r="N206">
        <v>4</v>
      </c>
      <c r="O206" t="s">
        <v>9813</v>
      </c>
      <c r="P206" t="s">
        <v>9812</v>
      </c>
      <c r="Q206" t="s">
        <v>9811</v>
      </c>
      <c r="R206" s="7">
        <v>37591</v>
      </c>
      <c r="S206" s="8">
        <f t="shared" si="24"/>
        <v>2002</v>
      </c>
      <c r="T206" s="8">
        <v>2002</v>
      </c>
      <c r="U206" s="8">
        <f t="shared" si="25"/>
        <v>20</v>
      </c>
      <c r="V206" s="7">
        <v>37591</v>
      </c>
      <c r="W206" t="s">
        <v>1167</v>
      </c>
      <c r="X206" s="2">
        <v>0.57799999999999996</v>
      </c>
      <c r="Y206" s="6">
        <f t="shared" si="30"/>
        <v>1.5429379888417288E-2</v>
      </c>
      <c r="AA206">
        <v>917648</v>
      </c>
      <c r="AB206">
        <v>24505</v>
      </c>
      <c r="AD206" t="s">
        <v>2</v>
      </c>
      <c r="AE206">
        <v>30</v>
      </c>
      <c r="AF206">
        <v>4</v>
      </c>
      <c r="AH206" t="s">
        <v>9810</v>
      </c>
      <c r="AI206" t="s">
        <v>9809</v>
      </c>
      <c r="AJ206" t="s">
        <v>9808</v>
      </c>
      <c r="AK206" t="s">
        <v>9807</v>
      </c>
      <c r="AL206">
        <v>20</v>
      </c>
      <c r="AM206" s="5">
        <f t="shared" si="26"/>
        <v>1</v>
      </c>
      <c r="AN206" s="4">
        <f t="shared" si="31"/>
        <v>1.5145778114350624E-3</v>
      </c>
      <c r="AO206" s="3"/>
      <c r="AP206">
        <v>0</v>
      </c>
      <c r="AR206" t="s">
        <v>1</v>
      </c>
      <c r="AT206" s="2">
        <v>1.583</v>
      </c>
      <c r="AU206" s="1">
        <f t="shared" si="27"/>
        <v>1.1254939265322621</v>
      </c>
      <c r="AV206" s="1">
        <f t="shared" si="28"/>
        <v>0.84719788499261739</v>
      </c>
      <c r="AW206" s="1">
        <f t="shared" si="29"/>
        <v>0.56890184345297301</v>
      </c>
    </row>
    <row r="207" spans="1:49" x14ac:dyDescent="0.2">
      <c r="A207">
        <v>205</v>
      </c>
      <c r="B207" t="s">
        <v>9806</v>
      </c>
      <c r="C207" t="s">
        <v>9805</v>
      </c>
      <c r="F207" t="s">
        <v>9804</v>
      </c>
      <c r="G207" t="s">
        <v>5</v>
      </c>
      <c r="H207" t="s">
        <v>4</v>
      </c>
      <c r="I207" t="s">
        <v>9803</v>
      </c>
      <c r="J207">
        <v>60008524</v>
      </c>
      <c r="K207" t="s">
        <v>9802</v>
      </c>
      <c r="L207" t="s">
        <v>9801</v>
      </c>
      <c r="M207" t="s">
        <v>41</v>
      </c>
      <c r="N207">
        <v>1</v>
      </c>
      <c r="O207" t="s">
        <v>9800</v>
      </c>
      <c r="P207">
        <v>7006824457</v>
      </c>
      <c r="Q207">
        <v>60008524</v>
      </c>
      <c r="R207" s="7">
        <v>37591</v>
      </c>
      <c r="S207" s="8">
        <f t="shared" si="24"/>
        <v>2002</v>
      </c>
      <c r="T207" s="8">
        <v>2002</v>
      </c>
      <c r="U207" s="8">
        <f t="shared" si="25"/>
        <v>20</v>
      </c>
      <c r="V207" s="7">
        <v>37591</v>
      </c>
      <c r="W207" t="s">
        <v>9777</v>
      </c>
      <c r="X207" s="2">
        <v>0.27100000000000002</v>
      </c>
      <c r="Y207" s="6">
        <f t="shared" si="30"/>
        <v>7.2341902245001474E-3</v>
      </c>
      <c r="AA207">
        <v>2780097</v>
      </c>
      <c r="AB207">
        <v>12679</v>
      </c>
      <c r="AD207" t="s">
        <v>2</v>
      </c>
      <c r="AE207">
        <v>21</v>
      </c>
      <c r="AF207" t="s">
        <v>9776</v>
      </c>
      <c r="AH207" t="s">
        <v>9799</v>
      </c>
      <c r="AI207" t="s">
        <v>9798</v>
      </c>
      <c r="AK207" t="s">
        <v>9797</v>
      </c>
      <c r="AL207">
        <v>3</v>
      </c>
      <c r="AM207" s="5">
        <f t="shared" si="26"/>
        <v>0.15</v>
      </c>
      <c r="AN207" s="4">
        <f t="shared" si="31"/>
        <v>2.2718667171525936E-4</v>
      </c>
      <c r="AO207" s="3"/>
      <c r="AP207">
        <v>0</v>
      </c>
      <c r="AR207" t="s">
        <v>1</v>
      </c>
      <c r="AT207" s="2">
        <v>1.554</v>
      </c>
      <c r="AU207" s="1">
        <f t="shared" si="27"/>
        <v>0.51320891586646811</v>
      </c>
      <c r="AV207" s="1">
        <f t="shared" si="28"/>
        <v>0.37306884481077035</v>
      </c>
      <c r="AW207" s="1">
        <f t="shared" si="29"/>
        <v>0.23292877375507257</v>
      </c>
    </row>
    <row r="208" spans="1:49" x14ac:dyDescent="0.2">
      <c r="A208">
        <v>206</v>
      </c>
      <c r="B208" t="s">
        <v>9796</v>
      </c>
      <c r="C208" t="s">
        <v>9795</v>
      </c>
      <c r="F208" t="s">
        <v>9794</v>
      </c>
      <c r="G208" t="s">
        <v>5</v>
      </c>
      <c r="H208" t="s">
        <v>4</v>
      </c>
      <c r="I208" t="s">
        <v>9793</v>
      </c>
      <c r="J208">
        <v>60008673</v>
      </c>
      <c r="K208" t="s">
        <v>872</v>
      </c>
      <c r="L208" t="s">
        <v>871</v>
      </c>
      <c r="M208" t="s">
        <v>26</v>
      </c>
      <c r="N208">
        <v>2</v>
      </c>
      <c r="O208" t="s">
        <v>9792</v>
      </c>
      <c r="P208" t="s">
        <v>9791</v>
      </c>
      <c r="Q208" t="s">
        <v>877</v>
      </c>
      <c r="R208" s="7">
        <v>37591</v>
      </c>
      <c r="S208" s="8">
        <f t="shared" si="24"/>
        <v>2002</v>
      </c>
      <c r="T208" s="8">
        <v>2002</v>
      </c>
      <c r="U208" s="8">
        <f t="shared" si="25"/>
        <v>20</v>
      </c>
      <c r="V208" s="7">
        <v>37591</v>
      </c>
      <c r="W208" t="s">
        <v>1316</v>
      </c>
      <c r="X208" s="2">
        <v>0.33300000000000002</v>
      </c>
      <c r="Y208" s="6">
        <f t="shared" si="30"/>
        <v>8.8892448146071917E-3</v>
      </c>
      <c r="AA208" t="s">
        <v>1315</v>
      </c>
      <c r="AB208">
        <v>29252</v>
      </c>
      <c r="AD208" t="s">
        <v>2</v>
      </c>
      <c r="AE208">
        <v>28</v>
      </c>
      <c r="AF208">
        <v>12</v>
      </c>
      <c r="AH208" t="s">
        <v>9790</v>
      </c>
      <c r="AI208" t="s">
        <v>9789</v>
      </c>
      <c r="AK208" t="s">
        <v>9788</v>
      </c>
      <c r="AL208">
        <v>4</v>
      </c>
      <c r="AM208" s="5">
        <f t="shared" si="26"/>
        <v>0.2</v>
      </c>
      <c r="AN208" s="4">
        <f t="shared" si="31"/>
        <v>3.0291556228701253E-4</v>
      </c>
      <c r="AO208" s="3"/>
      <c r="AP208">
        <v>0</v>
      </c>
      <c r="AQ208" t="s">
        <v>682</v>
      </c>
      <c r="AR208" t="s">
        <v>9787</v>
      </c>
      <c r="AS208" t="s">
        <v>526</v>
      </c>
      <c r="AT208" s="2">
        <v>0.97699999999999998</v>
      </c>
      <c r="AU208" s="1">
        <f t="shared" si="27"/>
        <v>0.63133460389111373</v>
      </c>
      <c r="AV208" s="1">
        <f t="shared" si="28"/>
        <v>0.45960801884471025</v>
      </c>
      <c r="AW208" s="1">
        <f t="shared" si="29"/>
        <v>0.28788143379830661</v>
      </c>
    </row>
    <row r="209" spans="1:49" x14ac:dyDescent="0.2">
      <c r="A209">
        <v>207</v>
      </c>
      <c r="B209" t="s">
        <v>9786</v>
      </c>
      <c r="C209" t="s">
        <v>9785</v>
      </c>
      <c r="F209" t="s">
        <v>9784</v>
      </c>
      <c r="G209" t="s">
        <v>5</v>
      </c>
      <c r="H209" t="s">
        <v>4</v>
      </c>
      <c r="I209" t="s">
        <v>9783</v>
      </c>
      <c r="J209" t="s">
        <v>9778</v>
      </c>
      <c r="K209" t="s">
        <v>9782</v>
      </c>
      <c r="L209" t="s">
        <v>9781</v>
      </c>
      <c r="M209" t="s">
        <v>272</v>
      </c>
      <c r="N209">
        <v>2</v>
      </c>
      <c r="O209" t="s">
        <v>9780</v>
      </c>
      <c r="P209" t="s">
        <v>9779</v>
      </c>
      <c r="Q209" t="s">
        <v>9778</v>
      </c>
      <c r="R209" s="7">
        <v>37591</v>
      </c>
      <c r="S209" s="8">
        <f t="shared" si="24"/>
        <v>2002</v>
      </c>
      <c r="T209" s="8">
        <v>2002</v>
      </c>
      <c r="U209" s="8">
        <f t="shared" si="25"/>
        <v>20</v>
      </c>
      <c r="V209" s="7">
        <v>37591</v>
      </c>
      <c r="W209" t="s">
        <v>9777</v>
      </c>
      <c r="X209" s="2">
        <v>0.27100000000000002</v>
      </c>
      <c r="Y209" s="6">
        <f t="shared" si="30"/>
        <v>7.2341902245001474E-3</v>
      </c>
      <c r="AA209">
        <v>2780097</v>
      </c>
      <c r="AB209">
        <v>12679</v>
      </c>
      <c r="AD209" t="s">
        <v>2</v>
      </c>
      <c r="AE209">
        <v>21</v>
      </c>
      <c r="AF209" t="s">
        <v>9776</v>
      </c>
      <c r="AH209" t="s">
        <v>9775</v>
      </c>
      <c r="AI209" t="s">
        <v>9774</v>
      </c>
      <c r="AK209" t="s">
        <v>9773</v>
      </c>
      <c r="AL209">
        <v>1</v>
      </c>
      <c r="AM209" s="5">
        <f t="shared" si="26"/>
        <v>0.05</v>
      </c>
      <c r="AN209" s="4">
        <f t="shared" si="31"/>
        <v>7.5728890571753133E-5</v>
      </c>
      <c r="AO209" s="3"/>
      <c r="AP209">
        <v>0</v>
      </c>
      <c r="AR209" t="s">
        <v>1</v>
      </c>
      <c r="AT209" s="2">
        <v>1.554</v>
      </c>
      <c r="AU209" s="1">
        <f t="shared" si="27"/>
        <v>0.50866518243216285</v>
      </c>
      <c r="AV209" s="1">
        <f t="shared" si="28"/>
        <v>0.365495955753595</v>
      </c>
      <c r="AW209" s="1">
        <f t="shared" si="29"/>
        <v>0.22232672907502712</v>
      </c>
    </row>
    <row r="210" spans="1:49" x14ac:dyDescent="0.2">
      <c r="A210">
        <v>208</v>
      </c>
      <c r="B210" t="s">
        <v>9772</v>
      </c>
      <c r="C210" t="s">
        <v>9771</v>
      </c>
      <c r="E210">
        <v>12564798</v>
      </c>
      <c r="F210" t="s">
        <v>9770</v>
      </c>
      <c r="G210" t="s">
        <v>5</v>
      </c>
      <c r="H210" t="s">
        <v>4</v>
      </c>
      <c r="I210" t="s">
        <v>1034</v>
      </c>
      <c r="J210">
        <v>60001565</v>
      </c>
      <c r="K210" t="s">
        <v>83</v>
      </c>
      <c r="L210" t="s">
        <v>82</v>
      </c>
      <c r="M210" t="s">
        <v>81</v>
      </c>
      <c r="N210">
        <v>4</v>
      </c>
      <c r="O210" t="s">
        <v>9769</v>
      </c>
      <c r="P210" t="s">
        <v>9768</v>
      </c>
      <c r="Q210" t="s">
        <v>9767</v>
      </c>
      <c r="R210" s="7">
        <v>37591</v>
      </c>
      <c r="S210" s="8">
        <f t="shared" si="24"/>
        <v>2002</v>
      </c>
      <c r="T210" s="8">
        <v>2002</v>
      </c>
      <c r="U210" s="8">
        <f t="shared" si="25"/>
        <v>20</v>
      </c>
      <c r="V210" s="7">
        <v>37591</v>
      </c>
      <c r="W210" t="s">
        <v>627</v>
      </c>
      <c r="X210" s="2">
        <v>0.85499999999999998</v>
      </c>
      <c r="Y210" s="6">
        <f t="shared" si="30"/>
        <v>2.28237366861536E-2</v>
      </c>
      <c r="AA210">
        <v>980331</v>
      </c>
      <c r="AB210">
        <v>23342</v>
      </c>
      <c r="AD210" t="s">
        <v>2</v>
      </c>
      <c r="AE210">
        <v>28</v>
      </c>
      <c r="AF210">
        <v>12</v>
      </c>
      <c r="AH210" t="s">
        <v>9766</v>
      </c>
      <c r="AI210" t="s">
        <v>9765</v>
      </c>
      <c r="AJ210" t="s">
        <v>9764</v>
      </c>
      <c r="AK210" t="s">
        <v>9763</v>
      </c>
      <c r="AL210">
        <v>25</v>
      </c>
      <c r="AM210" s="5">
        <f t="shared" si="26"/>
        <v>1.25</v>
      </c>
      <c r="AN210" s="4">
        <f t="shared" si="31"/>
        <v>1.8932222642938281E-3</v>
      </c>
      <c r="AO210" s="3"/>
      <c r="AP210">
        <v>0</v>
      </c>
      <c r="AQ210" t="s">
        <v>9762</v>
      </c>
      <c r="AR210" t="s">
        <v>1</v>
      </c>
      <c r="AS210" t="s">
        <v>9761</v>
      </c>
      <c r="AT210" s="2">
        <v>2.6259999999999999</v>
      </c>
      <c r="AU210" s="1">
        <f t="shared" si="27"/>
        <v>1.6544582359595668</v>
      </c>
      <c r="AV210" s="1">
        <f t="shared" si="28"/>
        <v>1.2358479475223714</v>
      </c>
      <c r="AW210" s="1">
        <f t="shared" si="29"/>
        <v>0.81723765908517598</v>
      </c>
    </row>
    <row r="211" spans="1:49" x14ac:dyDescent="0.2">
      <c r="A211">
        <v>209</v>
      </c>
      <c r="B211" t="s">
        <v>9760</v>
      </c>
      <c r="C211" t="s">
        <v>9759</v>
      </c>
      <c r="E211">
        <v>12564805</v>
      </c>
      <c r="F211" t="s">
        <v>9758</v>
      </c>
      <c r="G211" t="s">
        <v>5</v>
      </c>
      <c r="H211" t="s">
        <v>4</v>
      </c>
      <c r="I211" t="s">
        <v>9757</v>
      </c>
      <c r="J211" t="s">
        <v>9756</v>
      </c>
      <c r="K211" t="s">
        <v>9755</v>
      </c>
      <c r="L211" t="s">
        <v>9754</v>
      </c>
      <c r="M211" t="s">
        <v>846</v>
      </c>
      <c r="N211">
        <v>3</v>
      </c>
      <c r="O211" t="s">
        <v>9753</v>
      </c>
      <c r="P211" t="s">
        <v>9752</v>
      </c>
      <c r="Q211" t="s">
        <v>9751</v>
      </c>
      <c r="R211" s="7">
        <v>37591</v>
      </c>
      <c r="S211" s="8">
        <f t="shared" si="24"/>
        <v>2002</v>
      </c>
      <c r="T211" s="8">
        <v>2002</v>
      </c>
      <c r="U211" s="8">
        <f t="shared" si="25"/>
        <v>20</v>
      </c>
      <c r="V211" s="7">
        <v>37591</v>
      </c>
      <c r="W211" t="s">
        <v>627</v>
      </c>
      <c r="X211" s="2">
        <v>0.85499999999999998</v>
      </c>
      <c r="Y211" s="6">
        <f t="shared" si="30"/>
        <v>2.28237366861536E-2</v>
      </c>
      <c r="AA211">
        <v>980331</v>
      </c>
      <c r="AB211">
        <v>23342</v>
      </c>
      <c r="AD211" t="s">
        <v>2</v>
      </c>
      <c r="AE211">
        <v>28</v>
      </c>
      <c r="AF211">
        <v>12</v>
      </c>
      <c r="AH211" t="s">
        <v>9750</v>
      </c>
      <c r="AI211" t="s">
        <v>9749</v>
      </c>
      <c r="AJ211" t="s">
        <v>9748</v>
      </c>
      <c r="AK211" t="s">
        <v>9747</v>
      </c>
      <c r="AL211">
        <v>19</v>
      </c>
      <c r="AM211" s="5">
        <f t="shared" si="26"/>
        <v>0.95</v>
      </c>
      <c r="AN211" s="4">
        <f t="shared" si="31"/>
        <v>1.4388489208633094E-3</v>
      </c>
      <c r="AO211" s="3"/>
      <c r="AP211">
        <v>0</v>
      </c>
      <c r="AR211" t="s">
        <v>1</v>
      </c>
      <c r="AT211" s="2">
        <v>2.6259999999999999</v>
      </c>
      <c r="AU211" s="1">
        <f t="shared" si="27"/>
        <v>1.6408270356566512</v>
      </c>
      <c r="AV211" s="1">
        <f t="shared" si="28"/>
        <v>1.2131292803508453</v>
      </c>
      <c r="AW211" s="1">
        <f t="shared" si="29"/>
        <v>0.78543152504503966</v>
      </c>
    </row>
    <row r="212" spans="1:49" x14ac:dyDescent="0.2">
      <c r="A212">
        <v>210</v>
      </c>
      <c r="B212" t="s">
        <v>9746</v>
      </c>
      <c r="C212" t="s">
        <v>9745</v>
      </c>
      <c r="E212">
        <v>12564800</v>
      </c>
      <c r="F212" t="s">
        <v>9744</v>
      </c>
      <c r="G212" t="s">
        <v>5</v>
      </c>
      <c r="H212" t="s">
        <v>4</v>
      </c>
      <c r="I212" t="s">
        <v>9743</v>
      </c>
      <c r="J212" t="s">
        <v>9709</v>
      </c>
      <c r="K212" t="s">
        <v>9708</v>
      </c>
      <c r="L212" t="s">
        <v>9707</v>
      </c>
      <c r="M212" t="s">
        <v>9706</v>
      </c>
      <c r="N212">
        <v>5</v>
      </c>
      <c r="O212" t="s">
        <v>9742</v>
      </c>
      <c r="P212" t="s">
        <v>9741</v>
      </c>
      <c r="Q212" t="s">
        <v>9740</v>
      </c>
      <c r="R212" s="7">
        <v>37591</v>
      </c>
      <c r="S212" s="8">
        <f t="shared" si="24"/>
        <v>2002</v>
      </c>
      <c r="T212" s="8">
        <v>2002</v>
      </c>
      <c r="U212" s="8">
        <f t="shared" si="25"/>
        <v>20</v>
      </c>
      <c r="V212" s="7">
        <v>37591</v>
      </c>
      <c r="W212" t="s">
        <v>627</v>
      </c>
      <c r="X212" s="2">
        <v>0.85499999999999998</v>
      </c>
      <c r="Y212" s="6">
        <f t="shared" si="30"/>
        <v>2.28237366861536E-2</v>
      </c>
      <c r="AA212">
        <v>980331</v>
      </c>
      <c r="AB212">
        <v>23342</v>
      </c>
      <c r="AD212" t="s">
        <v>2</v>
      </c>
      <c r="AE212">
        <v>28</v>
      </c>
      <c r="AF212">
        <v>12</v>
      </c>
      <c r="AH212" t="s">
        <v>9739</v>
      </c>
      <c r="AI212" t="s">
        <v>9738</v>
      </c>
      <c r="AJ212" t="s">
        <v>9737</v>
      </c>
      <c r="AK212" t="s">
        <v>9736</v>
      </c>
      <c r="AL212">
        <v>25</v>
      </c>
      <c r="AM212" s="5">
        <f t="shared" si="26"/>
        <v>1.25</v>
      </c>
      <c r="AN212" s="4">
        <f t="shared" si="31"/>
        <v>1.8932222642938281E-3</v>
      </c>
      <c r="AO212" s="3"/>
      <c r="AP212">
        <v>0</v>
      </c>
      <c r="AR212" t="s">
        <v>1</v>
      </c>
      <c r="AT212" s="2">
        <v>2.6259999999999999</v>
      </c>
      <c r="AU212" s="1">
        <f t="shared" si="27"/>
        <v>1.6544582359595668</v>
      </c>
      <c r="AV212" s="1">
        <f t="shared" si="28"/>
        <v>1.2358479475223714</v>
      </c>
      <c r="AW212" s="1">
        <f t="shared" si="29"/>
        <v>0.81723765908517598</v>
      </c>
    </row>
    <row r="213" spans="1:49" x14ac:dyDescent="0.2">
      <c r="A213">
        <v>211</v>
      </c>
      <c r="B213" t="s">
        <v>9735</v>
      </c>
      <c r="C213" t="s">
        <v>9734</v>
      </c>
      <c r="F213" t="s">
        <v>9733</v>
      </c>
      <c r="G213" t="s">
        <v>5</v>
      </c>
      <c r="H213" t="s">
        <v>4</v>
      </c>
      <c r="I213" t="s">
        <v>9732</v>
      </c>
      <c r="J213">
        <v>60005837</v>
      </c>
      <c r="K213" t="s">
        <v>9731</v>
      </c>
      <c r="L213" t="s">
        <v>680</v>
      </c>
      <c r="M213" t="s">
        <v>7</v>
      </c>
      <c r="N213">
        <v>5</v>
      </c>
      <c r="O213" t="s">
        <v>9730</v>
      </c>
      <c r="P213" t="s">
        <v>9729</v>
      </c>
      <c r="Q213" t="s">
        <v>9728</v>
      </c>
      <c r="R213" s="7">
        <v>37591</v>
      </c>
      <c r="S213" s="8">
        <f t="shared" si="24"/>
        <v>2002</v>
      </c>
      <c r="T213" s="8">
        <v>2002</v>
      </c>
      <c r="U213" s="8">
        <f t="shared" si="25"/>
        <v>20</v>
      </c>
      <c r="V213" s="7">
        <v>37591</v>
      </c>
      <c r="W213" s="11" t="s">
        <v>2498</v>
      </c>
      <c r="X213" s="2">
        <v>2.383</v>
      </c>
      <c r="Y213" s="6">
        <f t="shared" si="30"/>
        <v>6.3612824003630442E-2</v>
      </c>
      <c r="AA213">
        <v>13502395</v>
      </c>
      <c r="AB213">
        <v>17418</v>
      </c>
      <c r="AD213" t="s">
        <v>2</v>
      </c>
      <c r="AE213">
        <v>149</v>
      </c>
      <c r="AF213">
        <v>6</v>
      </c>
      <c r="AH213" t="s">
        <v>9727</v>
      </c>
      <c r="AI213" t="s">
        <v>9726</v>
      </c>
      <c r="AK213" t="s">
        <v>9725</v>
      </c>
      <c r="AL213">
        <v>17</v>
      </c>
      <c r="AM213" s="5">
        <f t="shared" si="26"/>
        <v>0.85</v>
      </c>
      <c r="AN213" s="4">
        <f t="shared" si="31"/>
        <v>1.2873911397198031E-3</v>
      </c>
      <c r="AO213" s="3"/>
      <c r="AP213">
        <v>0</v>
      </c>
      <c r="AR213" t="s">
        <v>1</v>
      </c>
      <c r="AT213" s="2" t="s">
        <v>0</v>
      </c>
      <c r="AU213" s="1">
        <f t="shared" si="27"/>
        <v>4.4915194144457251</v>
      </c>
      <c r="AV213" s="1">
        <f t="shared" si="28"/>
        <v>3.2450107571675124</v>
      </c>
      <c r="AW213" s="1">
        <f t="shared" si="29"/>
        <v>1.9985020998892995</v>
      </c>
    </row>
    <row r="214" spans="1:49" x14ac:dyDescent="0.2">
      <c r="A214">
        <v>212</v>
      </c>
      <c r="B214" t="s">
        <v>9724</v>
      </c>
      <c r="C214" t="s">
        <v>9723</v>
      </c>
      <c r="F214" t="s">
        <v>9722</v>
      </c>
      <c r="G214" t="s">
        <v>5</v>
      </c>
      <c r="H214" t="s">
        <v>4</v>
      </c>
      <c r="I214" t="s">
        <v>449</v>
      </c>
      <c r="J214" t="s">
        <v>9721</v>
      </c>
      <c r="K214" t="s">
        <v>9720</v>
      </c>
      <c r="L214" t="s">
        <v>9719</v>
      </c>
      <c r="M214" t="s">
        <v>3</v>
      </c>
      <c r="N214">
        <v>2</v>
      </c>
      <c r="O214" t="s">
        <v>448</v>
      </c>
      <c r="P214" t="s">
        <v>447</v>
      </c>
      <c r="Q214" t="s">
        <v>9718</v>
      </c>
      <c r="R214" s="7">
        <v>37591</v>
      </c>
      <c r="S214" s="8">
        <f t="shared" si="24"/>
        <v>2002</v>
      </c>
      <c r="T214" s="8">
        <v>2002</v>
      </c>
      <c r="U214" s="8">
        <f t="shared" si="25"/>
        <v>20</v>
      </c>
      <c r="V214" s="7">
        <v>37591</v>
      </c>
      <c r="W214" t="s">
        <v>691</v>
      </c>
      <c r="X214" s="2">
        <v>0.317</v>
      </c>
      <c r="Y214" s="6">
        <f t="shared" si="30"/>
        <v>8.4621339526440836E-3</v>
      </c>
      <c r="AA214">
        <v>11108657</v>
      </c>
      <c r="AB214">
        <v>26646</v>
      </c>
      <c r="AD214" t="s">
        <v>2</v>
      </c>
      <c r="AE214">
        <v>2002</v>
      </c>
      <c r="AF214">
        <v>12</v>
      </c>
      <c r="AH214" t="s">
        <v>9717</v>
      </c>
      <c r="AI214" t="s">
        <v>9716</v>
      </c>
      <c r="AJ214" t="s">
        <v>9715</v>
      </c>
      <c r="AK214" t="s">
        <v>9714</v>
      </c>
      <c r="AL214">
        <v>8</v>
      </c>
      <c r="AM214" s="5">
        <f t="shared" si="26"/>
        <v>0.4</v>
      </c>
      <c r="AN214" s="4">
        <f t="shared" si="31"/>
        <v>6.0583112457402507E-4</v>
      </c>
      <c r="AO214" s="3"/>
      <c r="AP214">
        <v>1</v>
      </c>
      <c r="AR214" t="s">
        <v>1</v>
      </c>
      <c r="AT214" s="2" t="s">
        <v>0</v>
      </c>
      <c r="AU214" s="1">
        <f t="shared" si="27"/>
        <v>0.61052431042230659</v>
      </c>
      <c r="AV214" s="1">
        <f t="shared" si="28"/>
        <v>0.45339825386090549</v>
      </c>
      <c r="AW214" s="1">
        <f t="shared" si="29"/>
        <v>0.29627219729950421</v>
      </c>
    </row>
    <row r="215" spans="1:49" x14ac:dyDescent="0.2">
      <c r="A215">
        <v>213</v>
      </c>
      <c r="B215" t="s">
        <v>9713</v>
      </c>
      <c r="C215" t="s">
        <v>9712</v>
      </c>
      <c r="E215">
        <v>12564799</v>
      </c>
      <c r="F215" t="s">
        <v>9711</v>
      </c>
      <c r="G215" t="s">
        <v>5</v>
      </c>
      <c r="H215" t="s">
        <v>4</v>
      </c>
      <c r="I215" t="s">
        <v>9710</v>
      </c>
      <c r="J215" t="s">
        <v>9709</v>
      </c>
      <c r="K215" t="s">
        <v>9708</v>
      </c>
      <c r="L215" t="s">
        <v>9707</v>
      </c>
      <c r="M215" t="s">
        <v>9706</v>
      </c>
      <c r="N215">
        <v>6</v>
      </c>
      <c r="O215" t="s">
        <v>9705</v>
      </c>
      <c r="P215" t="s">
        <v>9704</v>
      </c>
      <c r="Q215" t="s">
        <v>9703</v>
      </c>
      <c r="R215" s="7">
        <v>37591</v>
      </c>
      <c r="S215" s="8">
        <f t="shared" si="24"/>
        <v>2002</v>
      </c>
      <c r="T215" s="8">
        <v>2002</v>
      </c>
      <c r="U215" s="8">
        <f t="shared" si="25"/>
        <v>20</v>
      </c>
      <c r="V215" s="7">
        <v>37591</v>
      </c>
      <c r="W215" t="s">
        <v>627</v>
      </c>
      <c r="X215" s="2">
        <v>0.85499999999999998</v>
      </c>
      <c r="Y215" s="6">
        <f t="shared" si="30"/>
        <v>2.28237366861536E-2</v>
      </c>
      <c r="AA215">
        <v>980331</v>
      </c>
      <c r="AB215">
        <v>23342</v>
      </c>
      <c r="AD215" t="s">
        <v>2</v>
      </c>
      <c r="AE215">
        <v>28</v>
      </c>
      <c r="AF215">
        <v>12</v>
      </c>
      <c r="AH215" t="s">
        <v>9702</v>
      </c>
      <c r="AI215" t="s">
        <v>9701</v>
      </c>
      <c r="AJ215" t="s">
        <v>9700</v>
      </c>
      <c r="AK215" t="s">
        <v>9699</v>
      </c>
      <c r="AL215">
        <v>9</v>
      </c>
      <c r="AM215" s="5">
        <f t="shared" si="26"/>
        <v>0.45</v>
      </c>
      <c r="AN215" s="4">
        <f t="shared" si="31"/>
        <v>6.8156001514577808E-4</v>
      </c>
      <c r="AO215" s="3"/>
      <c r="AP215">
        <v>0</v>
      </c>
      <c r="AR215" t="s">
        <v>1</v>
      </c>
      <c r="AT215" s="2">
        <v>2.6259999999999999</v>
      </c>
      <c r="AU215" s="1">
        <f t="shared" si="27"/>
        <v>1.6181083684851252</v>
      </c>
      <c r="AV215" s="1">
        <f t="shared" si="28"/>
        <v>1.1752648350649688</v>
      </c>
      <c r="AW215" s="1">
        <f t="shared" si="29"/>
        <v>0.73242130164481245</v>
      </c>
    </row>
    <row r="216" spans="1:49" x14ac:dyDescent="0.2">
      <c r="A216">
        <v>214</v>
      </c>
      <c r="B216" t="s">
        <v>9698</v>
      </c>
      <c r="F216" t="s">
        <v>9697</v>
      </c>
      <c r="G216" t="s">
        <v>5</v>
      </c>
      <c r="H216" t="s">
        <v>4</v>
      </c>
      <c r="I216" t="s">
        <v>9696</v>
      </c>
      <c r="J216" t="s">
        <v>9695</v>
      </c>
      <c r="K216" t="s">
        <v>9694</v>
      </c>
      <c r="L216" t="s">
        <v>2539</v>
      </c>
      <c r="M216" t="s">
        <v>88</v>
      </c>
      <c r="N216">
        <v>4</v>
      </c>
      <c r="O216" t="s">
        <v>9693</v>
      </c>
      <c r="P216" t="s">
        <v>9692</v>
      </c>
      <c r="Q216" t="s">
        <v>9691</v>
      </c>
      <c r="R216" s="7">
        <v>37591</v>
      </c>
      <c r="S216" s="8">
        <f t="shared" si="24"/>
        <v>2002</v>
      </c>
      <c r="T216" s="8">
        <v>2002</v>
      </c>
      <c r="U216" s="8">
        <f t="shared" si="25"/>
        <v>20</v>
      </c>
      <c r="V216" s="7">
        <v>2002</v>
      </c>
      <c r="W216" t="s">
        <v>383</v>
      </c>
      <c r="X216" s="2" t="s">
        <v>0</v>
      </c>
      <c r="Y216" s="6" t="e">
        <f t="shared" si="30"/>
        <v>#VALUE!</v>
      </c>
      <c r="AA216">
        <v>8929270</v>
      </c>
      <c r="AB216">
        <v>30115</v>
      </c>
      <c r="AD216" t="s">
        <v>2</v>
      </c>
      <c r="AE216">
        <v>22</v>
      </c>
      <c r="AF216" s="9">
        <v>44228</v>
      </c>
      <c r="AH216" s="10">
        <v>42248</v>
      </c>
      <c r="AI216" t="s">
        <v>9690</v>
      </c>
      <c r="AJ216" t="s">
        <v>9689</v>
      </c>
      <c r="AK216" t="s">
        <v>9688</v>
      </c>
      <c r="AL216">
        <v>0</v>
      </c>
      <c r="AM216" s="5">
        <f t="shared" si="26"/>
        <v>0</v>
      </c>
      <c r="AN216" s="4">
        <f t="shared" si="31"/>
        <v>0</v>
      </c>
      <c r="AO216" s="3"/>
      <c r="AP216">
        <v>0</v>
      </c>
      <c r="AR216" t="s">
        <v>1</v>
      </c>
      <c r="AT216" s="2" t="s">
        <v>0</v>
      </c>
      <c r="AU216" s="1" t="e">
        <f t="shared" si="27"/>
        <v>#VALUE!</v>
      </c>
      <c r="AV216" s="1" t="e">
        <f t="shared" si="28"/>
        <v>#VALUE!</v>
      </c>
      <c r="AW216" s="1" t="e">
        <f t="shared" si="29"/>
        <v>#VALUE!</v>
      </c>
    </row>
    <row r="217" spans="1:49" x14ac:dyDescent="0.2">
      <c r="A217">
        <v>215</v>
      </c>
      <c r="B217" t="s">
        <v>9687</v>
      </c>
      <c r="C217" t="s">
        <v>9686</v>
      </c>
      <c r="E217">
        <v>12564797</v>
      </c>
      <c r="F217" t="s">
        <v>9685</v>
      </c>
      <c r="G217" t="s">
        <v>5</v>
      </c>
      <c r="H217" t="s">
        <v>4</v>
      </c>
      <c r="I217" t="s">
        <v>211</v>
      </c>
      <c r="J217" t="s">
        <v>9684</v>
      </c>
      <c r="K217" t="s">
        <v>9683</v>
      </c>
      <c r="L217" t="s">
        <v>9682</v>
      </c>
      <c r="M217" t="s">
        <v>9681</v>
      </c>
      <c r="N217">
        <v>4</v>
      </c>
      <c r="O217" t="s">
        <v>9680</v>
      </c>
      <c r="P217" t="s">
        <v>9679</v>
      </c>
      <c r="Q217" t="s">
        <v>9678</v>
      </c>
      <c r="R217" s="7">
        <v>37591</v>
      </c>
      <c r="S217" s="8">
        <f t="shared" si="24"/>
        <v>2002</v>
      </c>
      <c r="T217" s="8">
        <v>2002</v>
      </c>
      <c r="U217" s="8">
        <f t="shared" si="25"/>
        <v>20</v>
      </c>
      <c r="V217" s="7">
        <v>37591</v>
      </c>
      <c r="W217" t="s">
        <v>627</v>
      </c>
      <c r="X217" s="2">
        <v>0.85499999999999998</v>
      </c>
      <c r="Y217" s="6">
        <f t="shared" si="30"/>
        <v>2.28237366861536E-2</v>
      </c>
      <c r="AA217">
        <v>980331</v>
      </c>
      <c r="AB217">
        <v>23342</v>
      </c>
      <c r="AD217" t="s">
        <v>2</v>
      </c>
      <c r="AE217">
        <v>28</v>
      </c>
      <c r="AF217">
        <v>12</v>
      </c>
      <c r="AH217" t="s">
        <v>9677</v>
      </c>
      <c r="AI217" t="s">
        <v>9676</v>
      </c>
      <c r="AJ217" t="s">
        <v>9675</v>
      </c>
      <c r="AK217" t="s">
        <v>9674</v>
      </c>
      <c r="AL217">
        <v>6</v>
      </c>
      <c r="AM217" s="5">
        <f t="shared" si="26"/>
        <v>0.3</v>
      </c>
      <c r="AN217" s="4">
        <f t="shared" si="31"/>
        <v>4.5437334343051872E-4</v>
      </c>
      <c r="AO217" s="3"/>
      <c r="AP217">
        <v>0</v>
      </c>
      <c r="AR217" t="s">
        <v>1</v>
      </c>
      <c r="AT217" s="2">
        <v>2.6259999999999999</v>
      </c>
      <c r="AU217" s="1">
        <f t="shared" si="27"/>
        <v>1.6112927683336675</v>
      </c>
      <c r="AV217" s="1">
        <f t="shared" si="28"/>
        <v>1.1639055014792059</v>
      </c>
      <c r="AW217" s="1">
        <f t="shared" si="29"/>
        <v>0.71651823462474429</v>
      </c>
    </row>
    <row r="218" spans="1:49" x14ac:dyDescent="0.2">
      <c r="A218">
        <v>216</v>
      </c>
      <c r="B218" t="s">
        <v>9673</v>
      </c>
      <c r="C218" t="s">
        <v>9672</v>
      </c>
      <c r="F218" t="s">
        <v>9671</v>
      </c>
      <c r="G218" t="s">
        <v>5</v>
      </c>
      <c r="H218" t="s">
        <v>4</v>
      </c>
      <c r="I218" t="s">
        <v>2245</v>
      </c>
      <c r="J218">
        <v>60002731</v>
      </c>
      <c r="K218" t="s">
        <v>525</v>
      </c>
      <c r="L218" t="s">
        <v>484</v>
      </c>
      <c r="M218" t="s">
        <v>41</v>
      </c>
      <c r="N218">
        <v>2</v>
      </c>
      <c r="O218" t="s">
        <v>9670</v>
      </c>
      <c r="P218" t="s">
        <v>2243</v>
      </c>
      <c r="Q218" t="s">
        <v>524</v>
      </c>
      <c r="R218" s="7">
        <v>37591</v>
      </c>
      <c r="S218" s="8">
        <f t="shared" si="24"/>
        <v>2002</v>
      </c>
      <c r="T218" s="8">
        <v>2002</v>
      </c>
      <c r="U218" s="8">
        <f t="shared" si="25"/>
        <v>20</v>
      </c>
      <c r="V218" s="7">
        <v>37591</v>
      </c>
      <c r="W218" s="11" t="s">
        <v>2498</v>
      </c>
      <c r="X218" s="2">
        <v>2.383</v>
      </c>
      <c r="Y218" s="6">
        <f t="shared" si="30"/>
        <v>6.3612824003630442E-2</v>
      </c>
      <c r="AA218">
        <v>13502395</v>
      </c>
      <c r="AB218">
        <v>17418</v>
      </c>
      <c r="AD218" t="s">
        <v>2</v>
      </c>
      <c r="AE218">
        <v>149</v>
      </c>
      <c r="AF218">
        <v>6</v>
      </c>
      <c r="AH218" t="s">
        <v>6920</v>
      </c>
      <c r="AI218" t="s">
        <v>9669</v>
      </c>
      <c r="AK218" t="s">
        <v>9668</v>
      </c>
      <c r="AL218">
        <v>1</v>
      </c>
      <c r="AM218" s="5">
        <f t="shared" si="26"/>
        <v>0.05</v>
      </c>
      <c r="AN218" s="4">
        <f t="shared" si="31"/>
        <v>7.5728890571753133E-5</v>
      </c>
      <c r="AO218" s="3"/>
      <c r="AP218">
        <v>0</v>
      </c>
      <c r="AR218" t="s">
        <v>1</v>
      </c>
      <c r="AT218" s="2" t="s">
        <v>0</v>
      </c>
      <c r="AU218" s="1">
        <f t="shared" si="27"/>
        <v>4.4551695469712831</v>
      </c>
      <c r="AV218" s="1">
        <f t="shared" si="28"/>
        <v>3.1844276447101096</v>
      </c>
      <c r="AW218" s="1">
        <f t="shared" si="29"/>
        <v>1.913685742448936</v>
      </c>
    </row>
    <row r="219" spans="1:49" x14ac:dyDescent="0.2">
      <c r="A219">
        <v>217</v>
      </c>
      <c r="B219" t="s">
        <v>9667</v>
      </c>
      <c r="C219" t="s">
        <v>9666</v>
      </c>
      <c r="F219" t="s">
        <v>9665</v>
      </c>
      <c r="G219" t="s">
        <v>5</v>
      </c>
      <c r="H219" t="s">
        <v>4</v>
      </c>
      <c r="I219" t="s">
        <v>9664</v>
      </c>
      <c r="J219">
        <v>60016896</v>
      </c>
      <c r="K219" t="s">
        <v>9663</v>
      </c>
      <c r="L219" t="s">
        <v>9662</v>
      </c>
      <c r="M219" t="s">
        <v>26</v>
      </c>
      <c r="N219">
        <v>1</v>
      </c>
      <c r="O219" t="s">
        <v>9661</v>
      </c>
      <c r="P219">
        <v>7401644230</v>
      </c>
      <c r="Q219">
        <v>60016896</v>
      </c>
      <c r="R219" s="7">
        <v>37591</v>
      </c>
      <c r="S219" s="8">
        <f t="shared" si="24"/>
        <v>2002</v>
      </c>
      <c r="T219" s="8">
        <v>2002</v>
      </c>
      <c r="U219" s="8">
        <f t="shared" si="25"/>
        <v>20</v>
      </c>
      <c r="V219" s="7">
        <v>2002</v>
      </c>
      <c r="W219" t="s">
        <v>9660</v>
      </c>
      <c r="X219" s="2">
        <v>0.371</v>
      </c>
      <c r="Y219" s="6">
        <f t="shared" si="30"/>
        <v>9.9036331117695747E-3</v>
      </c>
      <c r="AA219">
        <v>10618309</v>
      </c>
      <c r="AB219">
        <v>17903</v>
      </c>
      <c r="AD219" t="s">
        <v>2</v>
      </c>
      <c r="AE219">
        <v>38</v>
      </c>
      <c r="AF219">
        <v>9</v>
      </c>
      <c r="AH219" t="s">
        <v>9659</v>
      </c>
      <c r="AI219" t="s">
        <v>9658</v>
      </c>
      <c r="AK219" t="s">
        <v>9657</v>
      </c>
      <c r="AL219">
        <v>0</v>
      </c>
      <c r="AM219" s="5">
        <f t="shared" si="26"/>
        <v>0</v>
      </c>
      <c r="AN219" s="4">
        <f t="shared" si="31"/>
        <v>0</v>
      </c>
      <c r="AO219" s="3"/>
      <c r="AP219">
        <v>0</v>
      </c>
      <c r="AR219" t="s">
        <v>1</v>
      </c>
      <c r="AT219" s="2" t="s">
        <v>0</v>
      </c>
      <c r="AU219" s="1">
        <f t="shared" si="27"/>
        <v>0.69325431782387015</v>
      </c>
      <c r="AV219" s="1">
        <f t="shared" si="28"/>
        <v>0.49518165558847871</v>
      </c>
      <c r="AW219" s="1">
        <f t="shared" si="29"/>
        <v>0.29710899335308727</v>
      </c>
    </row>
    <row r="220" spans="1:49" x14ac:dyDescent="0.2">
      <c r="A220">
        <v>218</v>
      </c>
      <c r="B220" t="s">
        <v>9656</v>
      </c>
      <c r="C220" t="s">
        <v>9655</v>
      </c>
      <c r="F220" t="s">
        <v>9654</v>
      </c>
      <c r="G220" t="s">
        <v>5</v>
      </c>
      <c r="H220" t="s">
        <v>4</v>
      </c>
      <c r="I220" t="s">
        <v>9653</v>
      </c>
      <c r="J220" t="s">
        <v>9652</v>
      </c>
      <c r="K220" t="s">
        <v>9651</v>
      </c>
      <c r="L220" t="s">
        <v>9650</v>
      </c>
      <c r="M220" t="s">
        <v>58</v>
      </c>
      <c r="N220">
        <v>4</v>
      </c>
      <c r="O220" t="s">
        <v>9649</v>
      </c>
      <c r="P220" t="s">
        <v>9648</v>
      </c>
      <c r="Q220" t="s">
        <v>9647</v>
      </c>
      <c r="R220" s="7">
        <v>37591</v>
      </c>
      <c r="S220" s="8">
        <f t="shared" si="24"/>
        <v>2002</v>
      </c>
      <c r="T220" s="8">
        <v>2002</v>
      </c>
      <c r="U220" s="8">
        <f t="shared" si="25"/>
        <v>20</v>
      </c>
      <c r="V220" s="7">
        <v>37591</v>
      </c>
      <c r="W220" t="s">
        <v>609</v>
      </c>
      <c r="X220" s="2">
        <v>0.78200000000000003</v>
      </c>
      <c r="Y220" s="6">
        <f t="shared" si="30"/>
        <v>2.0875043378446919E-2</v>
      </c>
      <c r="AA220">
        <v>189316</v>
      </c>
      <c r="AB220">
        <v>19901</v>
      </c>
      <c r="AD220" t="s">
        <v>2</v>
      </c>
      <c r="AE220">
        <v>48</v>
      </c>
      <c r="AF220">
        <v>4</v>
      </c>
      <c r="AH220" t="s">
        <v>1103</v>
      </c>
      <c r="AI220" t="s">
        <v>9646</v>
      </c>
      <c r="AJ220" t="s">
        <v>9645</v>
      </c>
      <c r="AK220" t="s">
        <v>9644</v>
      </c>
      <c r="AL220">
        <v>3</v>
      </c>
      <c r="AM220" s="5">
        <f t="shared" si="26"/>
        <v>0.15</v>
      </c>
      <c r="AN220" s="4">
        <f t="shared" si="31"/>
        <v>2.2718667171525936E-4</v>
      </c>
      <c r="AO220" s="3"/>
      <c r="AP220">
        <v>0</v>
      </c>
      <c r="AQ220" t="s">
        <v>9643</v>
      </c>
      <c r="AR220" t="s">
        <v>1</v>
      </c>
      <c r="AS220" t="s">
        <v>333</v>
      </c>
      <c r="AT220" s="2">
        <v>3.863</v>
      </c>
      <c r="AU220" s="1">
        <f t="shared" si="27"/>
        <v>1.468068636642742</v>
      </c>
      <c r="AV220" s="1">
        <f t="shared" si="28"/>
        <v>1.055111502508109</v>
      </c>
      <c r="AW220" s="1">
        <f t="shared" si="29"/>
        <v>0.64215436837347573</v>
      </c>
    </row>
    <row r="221" spans="1:49" x14ac:dyDescent="0.2">
      <c r="A221">
        <v>219</v>
      </c>
      <c r="B221" t="s">
        <v>9642</v>
      </c>
      <c r="C221" t="s">
        <v>9641</v>
      </c>
      <c r="F221" t="s">
        <v>9640</v>
      </c>
      <c r="G221" t="s">
        <v>5</v>
      </c>
      <c r="H221" t="s">
        <v>4</v>
      </c>
      <c r="I221" t="s">
        <v>9639</v>
      </c>
      <c r="J221" t="s">
        <v>9638</v>
      </c>
      <c r="K221" t="s">
        <v>9637</v>
      </c>
      <c r="L221" t="s">
        <v>9636</v>
      </c>
      <c r="M221" t="s">
        <v>567</v>
      </c>
      <c r="N221">
        <v>11</v>
      </c>
      <c r="O221" t="s">
        <v>9635</v>
      </c>
      <c r="P221" t="s">
        <v>9634</v>
      </c>
      <c r="Q221" t="s">
        <v>9633</v>
      </c>
      <c r="R221" s="7">
        <v>37591</v>
      </c>
      <c r="S221" s="8">
        <f t="shared" si="24"/>
        <v>2002</v>
      </c>
      <c r="T221" s="8">
        <v>2002</v>
      </c>
      <c r="U221" s="8">
        <f t="shared" si="25"/>
        <v>20</v>
      </c>
      <c r="V221" s="7">
        <v>37591</v>
      </c>
      <c r="W221" t="s">
        <v>9632</v>
      </c>
      <c r="X221" s="2" t="s">
        <v>0</v>
      </c>
      <c r="Y221" s="6" t="e">
        <f t="shared" si="30"/>
        <v>#VALUE!</v>
      </c>
      <c r="AA221">
        <v>13447653</v>
      </c>
      <c r="AB221">
        <v>20480</v>
      </c>
      <c r="AD221" t="s">
        <v>2</v>
      </c>
      <c r="AE221">
        <v>45</v>
      </c>
      <c r="AF221">
        <v>4</v>
      </c>
      <c r="AH221" t="s">
        <v>9631</v>
      </c>
      <c r="AI221" t="s">
        <v>9630</v>
      </c>
      <c r="AJ221" t="s">
        <v>9629</v>
      </c>
      <c r="AK221" t="s">
        <v>9628</v>
      </c>
      <c r="AL221">
        <v>2</v>
      </c>
      <c r="AM221" s="5">
        <f t="shared" si="26"/>
        <v>0.1</v>
      </c>
      <c r="AN221" s="4">
        <f t="shared" si="31"/>
        <v>1.5145778114350627E-4</v>
      </c>
      <c r="AO221" s="3"/>
      <c r="AP221">
        <v>0</v>
      </c>
      <c r="AR221" t="s">
        <v>1</v>
      </c>
      <c r="AT221" s="2" t="s">
        <v>0</v>
      </c>
      <c r="AU221" s="1" t="e">
        <f t="shared" si="27"/>
        <v>#VALUE!</v>
      </c>
      <c r="AV221" s="1" t="e">
        <f t="shared" si="28"/>
        <v>#VALUE!</v>
      </c>
      <c r="AW221" s="1" t="e">
        <f t="shared" si="29"/>
        <v>#VALUE!</v>
      </c>
    </row>
    <row r="222" spans="1:49" x14ac:dyDescent="0.2">
      <c r="A222">
        <v>220</v>
      </c>
      <c r="B222" t="s">
        <v>9627</v>
      </c>
      <c r="C222" t="s">
        <v>9626</v>
      </c>
      <c r="F222" t="s">
        <v>9625</v>
      </c>
      <c r="G222" t="s">
        <v>5</v>
      </c>
      <c r="H222" t="s">
        <v>4</v>
      </c>
      <c r="I222" t="s">
        <v>9624</v>
      </c>
      <c r="J222" t="s">
        <v>9623</v>
      </c>
      <c r="K222" t="s">
        <v>9622</v>
      </c>
      <c r="L222" t="s">
        <v>9621</v>
      </c>
      <c r="M222" t="s">
        <v>1605</v>
      </c>
      <c r="N222">
        <v>6</v>
      </c>
      <c r="O222" t="s">
        <v>9620</v>
      </c>
      <c r="P222" t="s">
        <v>9619</v>
      </c>
      <c r="Q222" t="s">
        <v>9618</v>
      </c>
      <c r="R222" s="7">
        <v>37591</v>
      </c>
      <c r="S222" s="8">
        <f t="shared" si="24"/>
        <v>2002</v>
      </c>
      <c r="T222" s="8">
        <v>2002</v>
      </c>
      <c r="U222" s="8">
        <f t="shared" si="25"/>
        <v>20</v>
      </c>
      <c r="V222" s="7">
        <v>37591</v>
      </c>
      <c r="W222" t="s">
        <v>609</v>
      </c>
      <c r="X222" s="2">
        <v>0.78200000000000003</v>
      </c>
      <c r="Y222" s="6">
        <f t="shared" si="30"/>
        <v>2.0875043378446919E-2</v>
      </c>
      <c r="AA222">
        <v>189316</v>
      </c>
      <c r="AB222">
        <v>19901</v>
      </c>
      <c r="AD222" t="s">
        <v>2</v>
      </c>
      <c r="AE222">
        <v>48</v>
      </c>
      <c r="AF222">
        <v>4</v>
      </c>
      <c r="AH222" t="s">
        <v>9617</v>
      </c>
      <c r="AI222" t="s">
        <v>9616</v>
      </c>
      <c r="AJ222" t="s">
        <v>9615</v>
      </c>
      <c r="AK222" t="s">
        <v>9614</v>
      </c>
      <c r="AL222">
        <v>6</v>
      </c>
      <c r="AM222" s="5">
        <f t="shared" si="26"/>
        <v>0.3</v>
      </c>
      <c r="AN222" s="4">
        <f t="shared" si="31"/>
        <v>4.5437334343051872E-4</v>
      </c>
      <c r="AO222" s="3"/>
      <c r="AP222">
        <v>0</v>
      </c>
      <c r="AR222" t="s">
        <v>1</v>
      </c>
      <c r="AT222" s="2">
        <v>3.863</v>
      </c>
      <c r="AU222" s="1">
        <f t="shared" si="27"/>
        <v>1.4748842367941999</v>
      </c>
      <c r="AV222" s="1">
        <f t="shared" si="28"/>
        <v>1.0664708360938717</v>
      </c>
      <c r="AW222" s="1">
        <f t="shared" si="29"/>
        <v>0.65805743539354389</v>
      </c>
    </row>
    <row r="223" spans="1:49" x14ac:dyDescent="0.2">
      <c r="A223">
        <v>221</v>
      </c>
      <c r="B223" t="s">
        <v>9613</v>
      </c>
      <c r="C223" t="s">
        <v>9612</v>
      </c>
      <c r="F223" t="s">
        <v>9611</v>
      </c>
      <c r="G223" t="s">
        <v>5</v>
      </c>
      <c r="H223" t="s">
        <v>4</v>
      </c>
      <c r="I223" t="s">
        <v>9610</v>
      </c>
      <c r="J223">
        <v>100619623</v>
      </c>
      <c r="K223" t="s">
        <v>9609</v>
      </c>
      <c r="L223" t="s">
        <v>69</v>
      </c>
      <c r="M223" t="s">
        <v>7</v>
      </c>
      <c r="N223">
        <v>2</v>
      </c>
      <c r="O223" t="s">
        <v>9608</v>
      </c>
      <c r="P223" t="s">
        <v>9607</v>
      </c>
      <c r="Q223" t="s">
        <v>9606</v>
      </c>
      <c r="R223" s="7">
        <v>37591</v>
      </c>
      <c r="S223" s="8">
        <f t="shared" si="24"/>
        <v>2002</v>
      </c>
      <c r="T223" s="8">
        <v>2002</v>
      </c>
      <c r="U223" s="8">
        <f t="shared" si="25"/>
        <v>20</v>
      </c>
      <c r="V223" s="7">
        <v>37591</v>
      </c>
      <c r="W223" t="s">
        <v>609</v>
      </c>
      <c r="X223" s="2">
        <v>0.78200000000000003</v>
      </c>
      <c r="Y223" s="6">
        <f t="shared" si="30"/>
        <v>2.0875043378446919E-2</v>
      </c>
      <c r="AA223">
        <v>189316</v>
      </c>
      <c r="AB223">
        <v>19901</v>
      </c>
      <c r="AD223" t="s">
        <v>2</v>
      </c>
      <c r="AE223">
        <v>48</v>
      </c>
      <c r="AF223">
        <v>4</v>
      </c>
      <c r="AH223" t="s">
        <v>9605</v>
      </c>
      <c r="AI223" t="s">
        <v>9604</v>
      </c>
      <c r="AJ223" t="s">
        <v>9603</v>
      </c>
      <c r="AK223" t="s">
        <v>9602</v>
      </c>
      <c r="AL223">
        <v>2</v>
      </c>
      <c r="AM223" s="5">
        <f t="shared" si="26"/>
        <v>0.1</v>
      </c>
      <c r="AN223" s="4">
        <f t="shared" si="31"/>
        <v>1.5145778114350627E-4</v>
      </c>
      <c r="AO223" s="3"/>
      <c r="AP223">
        <v>0</v>
      </c>
      <c r="AR223" t="s">
        <v>1</v>
      </c>
      <c r="AT223" s="2">
        <v>3.863</v>
      </c>
      <c r="AU223" s="1">
        <f t="shared" si="27"/>
        <v>1.4657967699255894</v>
      </c>
      <c r="AV223" s="1">
        <f t="shared" si="28"/>
        <v>1.0513250579795212</v>
      </c>
      <c r="AW223" s="1">
        <f t="shared" si="29"/>
        <v>0.636853346033453</v>
      </c>
    </row>
    <row r="224" spans="1:49" x14ac:dyDescent="0.2">
      <c r="A224">
        <v>222</v>
      </c>
      <c r="B224" t="s">
        <v>9601</v>
      </c>
      <c r="C224" t="s">
        <v>9600</v>
      </c>
      <c r="F224" t="s">
        <v>9599</v>
      </c>
      <c r="G224" t="s">
        <v>5</v>
      </c>
      <c r="H224" t="s">
        <v>4</v>
      </c>
      <c r="I224" t="s">
        <v>623</v>
      </c>
      <c r="J224" t="s">
        <v>9598</v>
      </c>
      <c r="K224" t="s">
        <v>9597</v>
      </c>
      <c r="L224" t="s">
        <v>9596</v>
      </c>
      <c r="M224" t="s">
        <v>405</v>
      </c>
      <c r="N224">
        <v>3</v>
      </c>
      <c r="O224" t="s">
        <v>9595</v>
      </c>
      <c r="P224" t="s">
        <v>9594</v>
      </c>
      <c r="Q224" t="s">
        <v>9593</v>
      </c>
      <c r="R224" s="7">
        <v>37591</v>
      </c>
      <c r="S224" s="8">
        <f t="shared" si="24"/>
        <v>2002</v>
      </c>
      <c r="T224" s="8">
        <v>2002</v>
      </c>
      <c r="U224" s="8">
        <f t="shared" si="25"/>
        <v>20</v>
      </c>
      <c r="V224" s="7">
        <v>37591</v>
      </c>
      <c r="W224" t="s">
        <v>549</v>
      </c>
      <c r="X224" s="2">
        <v>0.92900000000000005</v>
      </c>
      <c r="Y224" s="6">
        <f t="shared" si="30"/>
        <v>2.4799124422732979E-2</v>
      </c>
      <c r="AA224">
        <v>10897798</v>
      </c>
      <c r="AB224">
        <v>18896</v>
      </c>
      <c r="AD224" t="s">
        <v>2</v>
      </c>
      <c r="AE224">
        <v>6</v>
      </c>
      <c r="AF224">
        <v>12</v>
      </c>
      <c r="AH224" t="s">
        <v>9592</v>
      </c>
      <c r="AI224" t="s">
        <v>9591</v>
      </c>
      <c r="AJ224" t="s">
        <v>9590</v>
      </c>
      <c r="AK224" t="s">
        <v>9589</v>
      </c>
      <c r="AL224">
        <v>3</v>
      </c>
      <c r="AM224" s="5">
        <f t="shared" si="26"/>
        <v>0.15</v>
      </c>
      <c r="AN224" s="4">
        <f t="shared" si="31"/>
        <v>2.2718667171525936E-4</v>
      </c>
      <c r="AO224" s="3"/>
      <c r="AP224">
        <v>0</v>
      </c>
      <c r="AQ224" t="s">
        <v>368</v>
      </c>
      <c r="AR224" t="s">
        <v>9588</v>
      </c>
      <c r="AS224" t="s">
        <v>367</v>
      </c>
      <c r="AT224" s="2">
        <v>3.4359999999999999</v>
      </c>
      <c r="AU224" s="1">
        <f t="shared" si="27"/>
        <v>1.742754309742766</v>
      </c>
      <c r="AV224" s="1">
        <f t="shared" si="28"/>
        <v>1.251315554722412</v>
      </c>
      <c r="AW224" s="1">
        <f t="shared" si="29"/>
        <v>0.75987679970205746</v>
      </c>
    </row>
    <row r="225" spans="1:49" x14ac:dyDescent="0.2">
      <c r="A225">
        <v>223</v>
      </c>
      <c r="B225" t="s">
        <v>9587</v>
      </c>
      <c r="C225" t="s">
        <v>9586</v>
      </c>
      <c r="F225" t="s">
        <v>9585</v>
      </c>
      <c r="G225" t="s">
        <v>5</v>
      </c>
      <c r="H225" t="s">
        <v>4</v>
      </c>
      <c r="I225" t="s">
        <v>9584</v>
      </c>
      <c r="J225">
        <v>60013682</v>
      </c>
      <c r="K225" t="s">
        <v>767</v>
      </c>
      <c r="L225" t="s">
        <v>153</v>
      </c>
      <c r="M225" t="s">
        <v>152</v>
      </c>
      <c r="N225">
        <v>2</v>
      </c>
      <c r="O225" t="s">
        <v>9583</v>
      </c>
      <c r="P225" t="s">
        <v>9582</v>
      </c>
      <c r="Q225" t="s">
        <v>766</v>
      </c>
      <c r="R225" s="7">
        <v>37591</v>
      </c>
      <c r="S225" s="8">
        <f t="shared" si="24"/>
        <v>2002</v>
      </c>
      <c r="T225" s="8">
        <v>2002</v>
      </c>
      <c r="U225" s="8">
        <f t="shared" si="25"/>
        <v>20</v>
      </c>
      <c r="V225" s="7">
        <v>37591</v>
      </c>
      <c r="W225" t="s">
        <v>549</v>
      </c>
      <c r="X225" s="2">
        <v>0.92900000000000005</v>
      </c>
      <c r="Y225" s="6">
        <f t="shared" si="30"/>
        <v>2.4799124422732979E-2</v>
      </c>
      <c r="AA225">
        <v>10897798</v>
      </c>
      <c r="AB225">
        <v>18896</v>
      </c>
      <c r="AD225" t="s">
        <v>2</v>
      </c>
      <c r="AE225">
        <v>6</v>
      </c>
      <c r="AF225">
        <v>12</v>
      </c>
      <c r="AH225" t="s">
        <v>9581</v>
      </c>
      <c r="AI225" t="s">
        <v>9580</v>
      </c>
      <c r="AJ225" t="s">
        <v>9579</v>
      </c>
      <c r="AK225" t="s">
        <v>9578</v>
      </c>
      <c r="AL225">
        <v>10</v>
      </c>
      <c r="AM225" s="5">
        <f t="shared" si="26"/>
        <v>0.5</v>
      </c>
      <c r="AN225" s="4">
        <f t="shared" si="31"/>
        <v>7.572889057175312E-4</v>
      </c>
      <c r="AO225" s="3"/>
      <c r="AP225">
        <v>0</v>
      </c>
      <c r="AQ225" t="s">
        <v>9577</v>
      </c>
      <c r="AR225" t="s">
        <v>1</v>
      </c>
      <c r="AS225" t="s">
        <v>9576</v>
      </c>
      <c r="AT225" s="2">
        <v>3.4359999999999999</v>
      </c>
      <c r="AU225" s="1">
        <f t="shared" si="27"/>
        <v>1.7586573767628344</v>
      </c>
      <c r="AV225" s="1">
        <f t="shared" si="28"/>
        <v>1.2778206664225256</v>
      </c>
      <c r="AW225" s="1">
        <f t="shared" si="29"/>
        <v>0.79698395608221662</v>
      </c>
    </row>
    <row r="226" spans="1:49" x14ac:dyDescent="0.2">
      <c r="A226">
        <v>224</v>
      </c>
      <c r="B226" t="s">
        <v>9575</v>
      </c>
      <c r="C226" t="s">
        <v>9574</v>
      </c>
      <c r="F226" t="s">
        <v>9573</v>
      </c>
      <c r="G226" t="s">
        <v>5</v>
      </c>
      <c r="H226" t="s">
        <v>4</v>
      </c>
      <c r="I226" t="s">
        <v>681</v>
      </c>
      <c r="J226">
        <v>60004827</v>
      </c>
      <c r="K226" t="s">
        <v>9572</v>
      </c>
      <c r="L226" t="s">
        <v>9571</v>
      </c>
      <c r="M226" t="s">
        <v>429</v>
      </c>
      <c r="N226">
        <v>1</v>
      </c>
      <c r="O226" t="s">
        <v>9570</v>
      </c>
      <c r="P226">
        <v>35618021600</v>
      </c>
      <c r="Q226">
        <v>60004827</v>
      </c>
      <c r="R226" s="7">
        <v>37591</v>
      </c>
      <c r="S226" s="8">
        <f t="shared" si="24"/>
        <v>2002</v>
      </c>
      <c r="T226" s="8">
        <v>2002</v>
      </c>
      <c r="U226" s="8">
        <f t="shared" si="25"/>
        <v>20</v>
      </c>
      <c r="V226" s="7">
        <v>37591</v>
      </c>
      <c r="W226" t="s">
        <v>609</v>
      </c>
      <c r="X226" s="2">
        <v>0.78200000000000003</v>
      </c>
      <c r="Y226" s="6">
        <f t="shared" si="30"/>
        <v>2.0875043378446919E-2</v>
      </c>
      <c r="AA226">
        <v>189316</v>
      </c>
      <c r="AB226">
        <v>19901</v>
      </c>
      <c r="AD226" t="s">
        <v>2</v>
      </c>
      <c r="AE226">
        <v>48</v>
      </c>
      <c r="AF226">
        <v>4</v>
      </c>
      <c r="AH226" t="s">
        <v>9569</v>
      </c>
      <c r="AI226" t="s">
        <v>9568</v>
      </c>
      <c r="AJ226" t="s">
        <v>9567</v>
      </c>
      <c r="AK226" t="s">
        <v>9566</v>
      </c>
      <c r="AL226">
        <v>5</v>
      </c>
      <c r="AM226" s="5">
        <f t="shared" si="26"/>
        <v>0.25</v>
      </c>
      <c r="AN226" s="4">
        <f t="shared" si="31"/>
        <v>3.786444528587656E-4</v>
      </c>
      <c r="AO226" s="3"/>
      <c r="AP226">
        <v>0</v>
      </c>
      <c r="AR226" t="s">
        <v>1</v>
      </c>
      <c r="AT226" s="2">
        <v>3.863</v>
      </c>
      <c r="AU226" s="1">
        <f t="shared" si="27"/>
        <v>1.4726123700770473</v>
      </c>
      <c r="AV226" s="1">
        <f t="shared" si="28"/>
        <v>1.0626843915652842</v>
      </c>
      <c r="AW226" s="1">
        <f t="shared" si="29"/>
        <v>0.65275641305352117</v>
      </c>
    </row>
    <row r="227" spans="1:49" x14ac:dyDescent="0.2">
      <c r="A227">
        <v>225</v>
      </c>
      <c r="B227" t="s">
        <v>9565</v>
      </c>
      <c r="C227" t="s">
        <v>9564</v>
      </c>
      <c r="F227" t="s">
        <v>9563</v>
      </c>
      <c r="G227" t="s">
        <v>5</v>
      </c>
      <c r="H227" t="s">
        <v>4</v>
      </c>
      <c r="I227" t="s">
        <v>9562</v>
      </c>
      <c r="J227" t="s">
        <v>9561</v>
      </c>
      <c r="K227" t="s">
        <v>9560</v>
      </c>
      <c r="L227" t="s">
        <v>9559</v>
      </c>
      <c r="M227" t="s">
        <v>663</v>
      </c>
      <c r="N227">
        <v>2</v>
      </c>
      <c r="O227" t="s">
        <v>9558</v>
      </c>
      <c r="P227" t="s">
        <v>9557</v>
      </c>
      <c r="Q227" t="s">
        <v>9556</v>
      </c>
      <c r="R227" s="7">
        <v>37591</v>
      </c>
      <c r="S227" s="8">
        <f t="shared" si="24"/>
        <v>2002</v>
      </c>
      <c r="T227" s="8">
        <v>2002</v>
      </c>
      <c r="U227" s="8">
        <f t="shared" si="25"/>
        <v>20</v>
      </c>
      <c r="V227" s="7">
        <v>37591</v>
      </c>
      <c r="W227" t="s">
        <v>609</v>
      </c>
      <c r="X227" s="2">
        <v>0.78200000000000003</v>
      </c>
      <c r="Y227" s="6">
        <f t="shared" si="30"/>
        <v>2.0875043378446919E-2</v>
      </c>
      <c r="AA227">
        <v>189316</v>
      </c>
      <c r="AB227">
        <v>19901</v>
      </c>
      <c r="AD227" t="s">
        <v>2</v>
      </c>
      <c r="AE227">
        <v>48</v>
      </c>
      <c r="AF227">
        <v>4</v>
      </c>
      <c r="AH227" t="s">
        <v>9555</v>
      </c>
      <c r="AI227" t="s">
        <v>9554</v>
      </c>
      <c r="AJ227" t="s">
        <v>9553</v>
      </c>
      <c r="AK227" t="s">
        <v>9552</v>
      </c>
      <c r="AL227">
        <v>17</v>
      </c>
      <c r="AM227" s="5">
        <f t="shared" si="26"/>
        <v>0.85</v>
      </c>
      <c r="AN227" s="4">
        <f t="shared" si="31"/>
        <v>1.2873911397198031E-3</v>
      </c>
      <c r="AO227" s="3"/>
      <c r="AP227">
        <v>0</v>
      </c>
      <c r="AQ227" t="s">
        <v>9551</v>
      </c>
      <c r="AR227" t="s">
        <v>9550</v>
      </c>
      <c r="AS227" t="s">
        <v>9549</v>
      </c>
      <c r="AT227" s="2">
        <v>3.863</v>
      </c>
      <c r="AU227" s="1">
        <f t="shared" si="27"/>
        <v>1.4998747706828783</v>
      </c>
      <c r="AV227" s="1">
        <f t="shared" si="28"/>
        <v>1.1081217259083362</v>
      </c>
      <c r="AW227" s="1">
        <f t="shared" si="29"/>
        <v>0.71636868113379382</v>
      </c>
    </row>
    <row r="228" spans="1:49" x14ac:dyDescent="0.2">
      <c r="A228">
        <v>226</v>
      </c>
      <c r="B228" t="s">
        <v>9548</v>
      </c>
      <c r="C228" t="s">
        <v>9547</v>
      </c>
      <c r="F228" t="s">
        <v>9546</v>
      </c>
      <c r="G228" t="s">
        <v>5</v>
      </c>
      <c r="H228" t="s">
        <v>4</v>
      </c>
      <c r="I228" t="s">
        <v>9545</v>
      </c>
      <c r="J228" t="s">
        <v>9544</v>
      </c>
      <c r="K228" t="s">
        <v>9543</v>
      </c>
      <c r="L228" t="s">
        <v>176</v>
      </c>
      <c r="M228" t="s">
        <v>94</v>
      </c>
      <c r="N228">
        <v>3</v>
      </c>
      <c r="O228" t="s">
        <v>9542</v>
      </c>
      <c r="P228" t="s">
        <v>9541</v>
      </c>
      <c r="Q228" t="s">
        <v>9540</v>
      </c>
      <c r="R228" s="7">
        <v>37591</v>
      </c>
      <c r="S228" s="8">
        <f t="shared" si="24"/>
        <v>2002</v>
      </c>
      <c r="T228" s="8">
        <v>2002</v>
      </c>
      <c r="U228" s="8">
        <f t="shared" si="25"/>
        <v>20</v>
      </c>
      <c r="V228" s="7">
        <v>37591</v>
      </c>
      <c r="W228" t="s">
        <v>549</v>
      </c>
      <c r="X228" s="2">
        <v>0.92900000000000005</v>
      </c>
      <c r="Y228" s="6">
        <f t="shared" si="30"/>
        <v>2.4799124422732979E-2</v>
      </c>
      <c r="AA228">
        <v>10897798</v>
      </c>
      <c r="AB228">
        <v>18896</v>
      </c>
      <c r="AD228" t="s">
        <v>2</v>
      </c>
      <c r="AE228">
        <v>6</v>
      </c>
      <c r="AF228">
        <v>12</v>
      </c>
      <c r="AH228" t="s">
        <v>9539</v>
      </c>
      <c r="AI228" t="s">
        <v>9538</v>
      </c>
      <c r="AJ228" t="s">
        <v>9537</v>
      </c>
      <c r="AK228" t="s">
        <v>9536</v>
      </c>
      <c r="AL228">
        <v>65</v>
      </c>
      <c r="AM228" s="5">
        <f t="shared" si="26"/>
        <v>3.25</v>
      </c>
      <c r="AN228" s="4">
        <f t="shared" si="31"/>
        <v>4.9223778871639529E-3</v>
      </c>
      <c r="AO228" s="3"/>
      <c r="AP228">
        <v>0</v>
      </c>
      <c r="AR228" t="s">
        <v>1</v>
      </c>
      <c r="AT228" s="2">
        <v>3.4359999999999999</v>
      </c>
      <c r="AU228" s="1">
        <f t="shared" si="27"/>
        <v>1.8836100462062269</v>
      </c>
      <c r="AV228" s="1">
        <f t="shared" si="28"/>
        <v>1.4860751154948466</v>
      </c>
      <c r="AW228" s="1">
        <f t="shared" si="29"/>
        <v>1.0885401847834659</v>
      </c>
    </row>
    <row r="229" spans="1:49" x14ac:dyDescent="0.2">
      <c r="A229">
        <v>227</v>
      </c>
      <c r="B229" t="s">
        <v>9535</v>
      </c>
      <c r="C229" t="s">
        <v>9534</v>
      </c>
      <c r="F229" t="s">
        <v>9533</v>
      </c>
      <c r="G229" t="s">
        <v>5</v>
      </c>
      <c r="H229" t="s">
        <v>4</v>
      </c>
      <c r="I229" t="s">
        <v>9532</v>
      </c>
      <c r="J229">
        <v>60011029</v>
      </c>
      <c r="K229" t="s">
        <v>9531</v>
      </c>
      <c r="L229" t="s">
        <v>9530</v>
      </c>
      <c r="M229" t="s">
        <v>739</v>
      </c>
      <c r="N229">
        <v>2</v>
      </c>
      <c r="O229" t="s">
        <v>9529</v>
      </c>
      <c r="P229" t="s">
        <v>9528</v>
      </c>
      <c r="Q229" t="s">
        <v>9527</v>
      </c>
      <c r="R229" s="7">
        <v>37591</v>
      </c>
      <c r="S229" s="8">
        <f t="shared" si="24"/>
        <v>2002</v>
      </c>
      <c r="T229" s="8">
        <v>2002</v>
      </c>
      <c r="U229" s="8">
        <f t="shared" si="25"/>
        <v>20</v>
      </c>
      <c r="V229" s="7">
        <v>2002</v>
      </c>
      <c r="W229" t="s">
        <v>9526</v>
      </c>
      <c r="X229" s="2">
        <v>0.93</v>
      </c>
      <c r="Y229" s="6">
        <f t="shared" si="30"/>
        <v>2.4825818851605671E-2</v>
      </c>
      <c r="AA229">
        <v>253162</v>
      </c>
      <c r="AB229">
        <v>12165</v>
      </c>
      <c r="AD229" t="s">
        <v>2</v>
      </c>
      <c r="AE229">
        <v>141</v>
      </c>
      <c r="AF229">
        <v>1</v>
      </c>
      <c r="AH229" t="s">
        <v>9525</v>
      </c>
      <c r="AI229" t="s">
        <v>9524</v>
      </c>
      <c r="AK229" t="s">
        <v>9523</v>
      </c>
      <c r="AL229">
        <v>15</v>
      </c>
      <c r="AM229" s="5">
        <f t="shared" si="26"/>
        <v>0.75</v>
      </c>
      <c r="AN229" s="4">
        <f t="shared" si="31"/>
        <v>1.1359333585762969E-3</v>
      </c>
      <c r="AO229" s="3"/>
      <c r="AP229">
        <v>0</v>
      </c>
      <c r="AR229" t="s">
        <v>1</v>
      </c>
      <c r="AT229" s="2">
        <v>2.573</v>
      </c>
      <c r="AU229" s="1">
        <f t="shared" si="27"/>
        <v>1.7718853203696858</v>
      </c>
      <c r="AV229" s="1">
        <f t="shared" si="28"/>
        <v>1.2980876105090984</v>
      </c>
      <c r="AW229" s="1">
        <f t="shared" si="29"/>
        <v>0.82428990064851093</v>
      </c>
    </row>
    <row r="230" spans="1:49" x14ac:dyDescent="0.2">
      <c r="A230">
        <v>228</v>
      </c>
      <c r="B230" t="s">
        <v>9522</v>
      </c>
      <c r="C230" t="s">
        <v>9521</v>
      </c>
      <c r="E230">
        <v>11875655</v>
      </c>
      <c r="F230" t="s">
        <v>9520</v>
      </c>
      <c r="G230" t="s">
        <v>5</v>
      </c>
      <c r="H230" t="s">
        <v>4</v>
      </c>
      <c r="I230" t="s">
        <v>9519</v>
      </c>
      <c r="J230">
        <v>60022148</v>
      </c>
      <c r="K230" t="s">
        <v>485</v>
      </c>
      <c r="L230" t="s">
        <v>484</v>
      </c>
      <c r="M230" t="s">
        <v>41</v>
      </c>
      <c r="N230">
        <v>4</v>
      </c>
      <c r="O230" t="s">
        <v>9518</v>
      </c>
      <c r="P230" t="s">
        <v>9517</v>
      </c>
      <c r="Q230" t="s">
        <v>9516</v>
      </c>
      <c r="R230" s="7">
        <v>37591</v>
      </c>
      <c r="S230" s="8">
        <f t="shared" si="24"/>
        <v>2002</v>
      </c>
      <c r="T230" s="8">
        <v>2002</v>
      </c>
      <c r="U230" s="8">
        <f t="shared" si="25"/>
        <v>20</v>
      </c>
      <c r="V230" s="7">
        <v>2002</v>
      </c>
      <c r="W230" t="s">
        <v>9515</v>
      </c>
      <c r="X230" s="2">
        <v>0.67400000000000004</v>
      </c>
      <c r="Y230" s="6">
        <f t="shared" si="30"/>
        <v>1.799204506019594E-2</v>
      </c>
      <c r="AA230" t="s">
        <v>9514</v>
      </c>
      <c r="AB230">
        <v>14532</v>
      </c>
      <c r="AD230" t="s">
        <v>2</v>
      </c>
      <c r="AE230">
        <v>212</v>
      </c>
      <c r="AF230">
        <v>1</v>
      </c>
      <c r="AH230" t="s">
        <v>9513</v>
      </c>
      <c r="AI230" t="s">
        <v>9512</v>
      </c>
      <c r="AJ230" t="s">
        <v>9511</v>
      </c>
      <c r="AK230" t="s">
        <v>9510</v>
      </c>
      <c r="AL230">
        <v>14</v>
      </c>
      <c r="AM230" s="5">
        <f t="shared" si="26"/>
        <v>0.7</v>
      </c>
      <c r="AN230" s="4">
        <f t="shared" si="31"/>
        <v>1.0602044680045437E-3</v>
      </c>
      <c r="AO230" s="3"/>
      <c r="AP230">
        <v>0</v>
      </c>
      <c r="AQ230" t="s">
        <v>9509</v>
      </c>
      <c r="AR230" t="s">
        <v>1</v>
      </c>
      <c r="AS230" t="s">
        <v>9508</v>
      </c>
      <c r="AT230" s="2">
        <v>0.9</v>
      </c>
      <c r="AU230" s="1">
        <f t="shared" si="27"/>
        <v>1.291249288253852</v>
      </c>
      <c r="AV230" s="1">
        <f t="shared" si="28"/>
        <v>0.95261247641002422</v>
      </c>
      <c r="AW230" s="1">
        <f t="shared" si="29"/>
        <v>0.61397566456619623</v>
      </c>
    </row>
    <row r="231" spans="1:49" x14ac:dyDescent="0.2">
      <c r="A231">
        <v>229</v>
      </c>
      <c r="B231" t="s">
        <v>9507</v>
      </c>
      <c r="C231" t="s">
        <v>9506</v>
      </c>
      <c r="F231" t="s">
        <v>9505</v>
      </c>
      <c r="G231" t="s">
        <v>5</v>
      </c>
      <c r="H231" t="s">
        <v>4</v>
      </c>
      <c r="I231" t="s">
        <v>3912</v>
      </c>
      <c r="J231" t="s">
        <v>9504</v>
      </c>
      <c r="K231" t="s">
        <v>9503</v>
      </c>
      <c r="L231" t="s">
        <v>9502</v>
      </c>
      <c r="M231" t="s">
        <v>22</v>
      </c>
      <c r="N231">
        <v>4</v>
      </c>
      <c r="O231" t="s">
        <v>9501</v>
      </c>
      <c r="P231" t="s">
        <v>9500</v>
      </c>
      <c r="Q231" t="s">
        <v>9499</v>
      </c>
      <c r="R231" s="7">
        <v>37591</v>
      </c>
      <c r="S231" s="8">
        <f t="shared" si="24"/>
        <v>2002</v>
      </c>
      <c r="T231" s="8">
        <v>2002</v>
      </c>
      <c r="U231" s="8">
        <f t="shared" si="25"/>
        <v>20</v>
      </c>
      <c r="V231" s="7">
        <v>37591</v>
      </c>
      <c r="W231" t="s">
        <v>5219</v>
      </c>
      <c r="X231" s="2">
        <v>0.60499999999999998</v>
      </c>
      <c r="Y231" s="6">
        <f t="shared" si="30"/>
        <v>1.6150129467980032E-2</v>
      </c>
      <c r="AA231">
        <v>346748</v>
      </c>
      <c r="AB231">
        <v>15563</v>
      </c>
      <c r="AD231" t="s">
        <v>2</v>
      </c>
      <c r="AE231">
        <v>73</v>
      </c>
      <c r="AF231">
        <v>12</v>
      </c>
      <c r="AH231" t="s">
        <v>9498</v>
      </c>
      <c r="AI231" t="s">
        <v>9497</v>
      </c>
      <c r="AK231" t="s">
        <v>9496</v>
      </c>
      <c r="AL231">
        <v>3</v>
      </c>
      <c r="AM231" s="5">
        <f t="shared" si="26"/>
        <v>0.15</v>
      </c>
      <c r="AN231" s="4">
        <f t="shared" si="31"/>
        <v>2.2718667171525936E-4</v>
      </c>
      <c r="AO231" s="3"/>
      <c r="AP231">
        <v>0</v>
      </c>
      <c r="AR231" t="s">
        <v>1</v>
      </c>
      <c r="AT231" s="2">
        <v>1.5229999999999999</v>
      </c>
      <c r="AU231" s="1">
        <f t="shared" si="27"/>
        <v>1.13732466291006</v>
      </c>
      <c r="AV231" s="1">
        <f t="shared" si="28"/>
        <v>0.81886580698476463</v>
      </c>
      <c r="AW231" s="1">
        <f t="shared" si="29"/>
        <v>0.50040695105946909</v>
      </c>
    </row>
    <row r="232" spans="1:49" x14ac:dyDescent="0.2">
      <c r="A232">
        <v>230</v>
      </c>
      <c r="B232" t="s">
        <v>9495</v>
      </c>
      <c r="C232" t="s">
        <v>9494</v>
      </c>
      <c r="F232" t="s">
        <v>9493</v>
      </c>
      <c r="G232" t="s">
        <v>5</v>
      </c>
      <c r="H232" t="s">
        <v>4</v>
      </c>
      <c r="I232" t="s">
        <v>9492</v>
      </c>
      <c r="J232" t="s">
        <v>9491</v>
      </c>
      <c r="K232" t="s">
        <v>9490</v>
      </c>
      <c r="L232" t="s">
        <v>9489</v>
      </c>
      <c r="M232" t="s">
        <v>9488</v>
      </c>
      <c r="N232">
        <v>10</v>
      </c>
      <c r="O232" t="s">
        <v>9487</v>
      </c>
      <c r="P232" t="s">
        <v>9486</v>
      </c>
      <c r="Q232" t="s">
        <v>9485</v>
      </c>
      <c r="R232" s="7">
        <v>37591</v>
      </c>
      <c r="S232" s="8">
        <f t="shared" si="24"/>
        <v>2002</v>
      </c>
      <c r="T232" s="8">
        <v>2002</v>
      </c>
      <c r="U232" s="8">
        <f t="shared" si="25"/>
        <v>20</v>
      </c>
      <c r="V232" s="7">
        <v>37591</v>
      </c>
      <c r="W232" t="s">
        <v>9484</v>
      </c>
      <c r="X232" s="2">
        <v>0.75</v>
      </c>
      <c r="Y232" s="6">
        <f t="shared" si="30"/>
        <v>2.0020821654520703E-2</v>
      </c>
      <c r="AA232" t="s">
        <v>9483</v>
      </c>
      <c r="AB232">
        <v>29221</v>
      </c>
      <c r="AD232" t="s">
        <v>2</v>
      </c>
      <c r="AE232">
        <v>9</v>
      </c>
      <c r="AF232">
        <v>12</v>
      </c>
      <c r="AH232" t="s">
        <v>9482</v>
      </c>
      <c r="AI232" t="s">
        <v>9481</v>
      </c>
      <c r="AK232" t="s">
        <v>9480</v>
      </c>
      <c r="AL232">
        <v>61</v>
      </c>
      <c r="AM232" s="5">
        <f t="shared" si="26"/>
        <v>3.05</v>
      </c>
      <c r="AN232" s="4">
        <f t="shared" si="31"/>
        <v>4.61946232487694E-3</v>
      </c>
      <c r="AO232" s="3"/>
      <c r="AP232">
        <v>0</v>
      </c>
      <c r="AR232" t="s">
        <v>1</v>
      </c>
      <c r="AT232" s="2">
        <v>2.0230000000000001</v>
      </c>
      <c r="AU232" s="1">
        <f t="shared" si="27"/>
        <v>1.5400413855627575</v>
      </c>
      <c r="AV232" s="1">
        <f t="shared" si="28"/>
        <v>1.2320141989698821</v>
      </c>
      <c r="AW232" s="1">
        <f t="shared" si="29"/>
        <v>0.92398701237700676</v>
      </c>
    </row>
    <row r="233" spans="1:49" x14ac:dyDescent="0.2">
      <c r="A233">
        <v>231</v>
      </c>
      <c r="B233" t="s">
        <v>9479</v>
      </c>
      <c r="C233" t="s">
        <v>9478</v>
      </c>
      <c r="F233" t="s">
        <v>9477</v>
      </c>
      <c r="G233" t="s">
        <v>5</v>
      </c>
      <c r="H233" t="s">
        <v>4</v>
      </c>
      <c r="I233" t="s">
        <v>9476</v>
      </c>
      <c r="J233">
        <v>60005038</v>
      </c>
      <c r="K233" t="s">
        <v>9475</v>
      </c>
      <c r="L233" t="s">
        <v>9474</v>
      </c>
      <c r="M233" t="s">
        <v>36</v>
      </c>
      <c r="N233">
        <v>4</v>
      </c>
      <c r="O233" t="s">
        <v>9473</v>
      </c>
      <c r="P233" t="s">
        <v>9472</v>
      </c>
      <c r="Q233" t="s">
        <v>9471</v>
      </c>
      <c r="R233" s="7">
        <v>37591</v>
      </c>
      <c r="S233" s="8">
        <f t="shared" si="24"/>
        <v>2002</v>
      </c>
      <c r="T233" s="8">
        <v>2002</v>
      </c>
      <c r="U233" s="8">
        <f t="shared" si="25"/>
        <v>20</v>
      </c>
      <c r="V233" s="7">
        <v>2002</v>
      </c>
      <c r="W233" t="s">
        <v>475</v>
      </c>
      <c r="X233" s="2">
        <v>1.1579999999999999</v>
      </c>
      <c r="Y233" s="6">
        <f t="shared" si="30"/>
        <v>3.0912148634579962E-2</v>
      </c>
      <c r="AA233">
        <v>1668595</v>
      </c>
      <c r="AB233">
        <v>14223</v>
      </c>
      <c r="AD233" t="s">
        <v>2</v>
      </c>
      <c r="AE233">
        <v>74</v>
      </c>
      <c r="AF233">
        <v>3</v>
      </c>
      <c r="AH233" t="s">
        <v>9470</v>
      </c>
      <c r="AI233" t="s">
        <v>9469</v>
      </c>
      <c r="AJ233" t="s">
        <v>9468</v>
      </c>
      <c r="AK233" t="s">
        <v>9467</v>
      </c>
      <c r="AL233">
        <v>8</v>
      </c>
      <c r="AM233" s="5">
        <f t="shared" si="26"/>
        <v>0.4</v>
      </c>
      <c r="AN233" s="4">
        <f t="shared" si="31"/>
        <v>6.0583112457402507E-4</v>
      </c>
      <c r="AO233" s="3"/>
      <c r="AP233">
        <v>0</v>
      </c>
      <c r="AR233" t="s">
        <v>1</v>
      </c>
      <c r="AT233" s="2">
        <v>3.573</v>
      </c>
      <c r="AU233" s="1">
        <f t="shared" si="27"/>
        <v>2.1820253381578181</v>
      </c>
      <c r="AV233" s="1">
        <f t="shared" si="28"/>
        <v>1.5758989879576992</v>
      </c>
      <c r="AW233" s="1">
        <f t="shared" si="29"/>
        <v>0.9697726377575806</v>
      </c>
    </row>
    <row r="234" spans="1:49" x14ac:dyDescent="0.2">
      <c r="A234">
        <v>232</v>
      </c>
      <c r="B234" t="s">
        <v>9466</v>
      </c>
      <c r="C234" t="s">
        <v>9465</v>
      </c>
      <c r="F234" t="s">
        <v>9464</v>
      </c>
      <c r="G234" t="s">
        <v>5</v>
      </c>
      <c r="H234" t="s">
        <v>4</v>
      </c>
      <c r="I234" t="s">
        <v>9463</v>
      </c>
      <c r="J234" t="s">
        <v>9462</v>
      </c>
      <c r="K234" t="s">
        <v>9461</v>
      </c>
      <c r="L234" t="s">
        <v>9460</v>
      </c>
      <c r="M234" t="s">
        <v>9459</v>
      </c>
      <c r="N234">
        <v>1</v>
      </c>
      <c r="O234" t="s">
        <v>9458</v>
      </c>
      <c r="P234">
        <v>7004517058</v>
      </c>
      <c r="Q234" t="s">
        <v>9457</v>
      </c>
      <c r="R234" s="7">
        <v>37591</v>
      </c>
      <c r="S234" s="8">
        <f t="shared" si="24"/>
        <v>2002</v>
      </c>
      <c r="T234" s="8">
        <v>2002</v>
      </c>
      <c r="U234" s="8">
        <f t="shared" si="25"/>
        <v>20</v>
      </c>
      <c r="V234" s="7">
        <v>37591</v>
      </c>
      <c r="W234" t="s">
        <v>271</v>
      </c>
      <c r="X234" s="2">
        <v>0.87</v>
      </c>
      <c r="Y234" s="6">
        <f t="shared" si="30"/>
        <v>2.3224153119244015E-2</v>
      </c>
      <c r="AA234">
        <v>1427873</v>
      </c>
      <c r="AB234">
        <v>29635</v>
      </c>
      <c r="AD234" t="s">
        <v>2</v>
      </c>
      <c r="AE234">
        <v>24</v>
      </c>
      <c r="AF234">
        <v>12</v>
      </c>
      <c r="AH234" t="s">
        <v>9456</v>
      </c>
      <c r="AI234" t="s">
        <v>9455</v>
      </c>
      <c r="AK234" t="s">
        <v>9454</v>
      </c>
      <c r="AL234">
        <v>21</v>
      </c>
      <c r="AM234" s="5">
        <f t="shared" si="26"/>
        <v>1.05</v>
      </c>
      <c r="AN234" s="4">
        <f t="shared" si="31"/>
        <v>1.5903067020068156E-3</v>
      </c>
      <c r="AO234" s="3"/>
      <c r="AP234">
        <v>1</v>
      </c>
      <c r="AR234" t="s">
        <v>1</v>
      </c>
      <c r="AT234" s="2">
        <v>2.4550000000000001</v>
      </c>
      <c r="AU234" s="1">
        <f t="shared" si="27"/>
        <v>1.6733999194072855</v>
      </c>
      <c r="AV234" s="1">
        <f t="shared" si="28"/>
        <v>1.2407229910625417</v>
      </c>
      <c r="AW234" s="1">
        <f t="shared" si="29"/>
        <v>0.80804606271779755</v>
      </c>
    </row>
    <row r="235" spans="1:49" x14ac:dyDescent="0.2">
      <c r="A235">
        <v>233</v>
      </c>
      <c r="B235" t="s">
        <v>9453</v>
      </c>
      <c r="C235" t="s">
        <v>9452</v>
      </c>
      <c r="E235">
        <v>12403704</v>
      </c>
      <c r="F235" t="s">
        <v>9451</v>
      </c>
      <c r="G235" t="s">
        <v>5</v>
      </c>
      <c r="H235" t="s">
        <v>4</v>
      </c>
      <c r="I235" t="s">
        <v>9450</v>
      </c>
      <c r="J235">
        <v>60010269</v>
      </c>
      <c r="K235" t="s">
        <v>9449</v>
      </c>
      <c r="L235" t="s">
        <v>149</v>
      </c>
      <c r="M235" t="s">
        <v>41</v>
      </c>
      <c r="N235">
        <v>2</v>
      </c>
      <c r="O235" t="s">
        <v>9448</v>
      </c>
      <c r="P235" t="s">
        <v>9447</v>
      </c>
      <c r="Q235" t="s">
        <v>9446</v>
      </c>
      <c r="R235" s="7">
        <v>37591</v>
      </c>
      <c r="S235" s="8">
        <f t="shared" si="24"/>
        <v>2002</v>
      </c>
      <c r="T235" s="8">
        <v>2002</v>
      </c>
      <c r="U235" s="8">
        <f t="shared" si="25"/>
        <v>20</v>
      </c>
      <c r="V235" s="7">
        <v>37591</v>
      </c>
      <c r="W235" t="s">
        <v>4076</v>
      </c>
      <c r="X235" s="2">
        <v>0.15</v>
      </c>
      <c r="Y235" s="6">
        <f t="shared" si="30"/>
        <v>4.0041643309041402E-3</v>
      </c>
      <c r="AA235">
        <v>9501991</v>
      </c>
      <c r="AB235">
        <v>14531</v>
      </c>
      <c r="AD235" t="s">
        <v>2</v>
      </c>
      <c r="AE235">
        <v>129</v>
      </c>
      <c r="AF235">
        <v>23</v>
      </c>
      <c r="AH235" t="s">
        <v>9445</v>
      </c>
      <c r="AI235" t="s">
        <v>9444</v>
      </c>
      <c r="AJ235" t="s">
        <v>9443</v>
      </c>
      <c r="AK235" t="s">
        <v>9442</v>
      </c>
      <c r="AL235">
        <v>76</v>
      </c>
      <c r="AM235" s="5">
        <f t="shared" si="26"/>
        <v>3.8</v>
      </c>
      <c r="AN235" s="4">
        <f t="shared" si="31"/>
        <v>5.7553956834532375E-3</v>
      </c>
      <c r="AO235" s="3"/>
      <c r="AP235">
        <v>1</v>
      </c>
      <c r="AR235" t="s">
        <v>1</v>
      </c>
      <c r="AT235" s="2">
        <v>6.8680000000000003</v>
      </c>
      <c r="AU235" s="1">
        <f t="shared" si="27"/>
        <v>0.45295337366688698</v>
      </c>
      <c r="AV235" s="1">
        <f t="shared" si="28"/>
        <v>0.48797800071786884</v>
      </c>
      <c r="AW235" s="1">
        <f t="shared" si="29"/>
        <v>0.52300262776885076</v>
      </c>
    </row>
    <row r="236" spans="1:49" x14ac:dyDescent="0.2">
      <c r="A236">
        <v>234</v>
      </c>
      <c r="B236" t="s">
        <v>9441</v>
      </c>
      <c r="C236" t="s">
        <v>9440</v>
      </c>
      <c r="E236">
        <v>12481076</v>
      </c>
      <c r="F236" t="s">
        <v>9439</v>
      </c>
      <c r="G236" t="s">
        <v>5</v>
      </c>
      <c r="H236" t="s">
        <v>4</v>
      </c>
      <c r="I236" t="s">
        <v>9438</v>
      </c>
      <c r="J236" t="s">
        <v>9437</v>
      </c>
      <c r="K236" t="s">
        <v>9436</v>
      </c>
      <c r="L236" t="s">
        <v>9435</v>
      </c>
      <c r="M236" t="s">
        <v>784</v>
      </c>
      <c r="N236">
        <v>4</v>
      </c>
      <c r="O236" t="s">
        <v>9434</v>
      </c>
      <c r="P236" t="s">
        <v>9433</v>
      </c>
      <c r="Q236" t="s">
        <v>9432</v>
      </c>
      <c r="R236" s="7">
        <v>37591</v>
      </c>
      <c r="S236" s="8">
        <f t="shared" si="24"/>
        <v>2002</v>
      </c>
      <c r="T236" s="8">
        <v>2002</v>
      </c>
      <c r="U236" s="8">
        <f t="shared" si="25"/>
        <v>20</v>
      </c>
      <c r="V236" s="7">
        <v>37591</v>
      </c>
      <c r="W236" t="s">
        <v>13</v>
      </c>
      <c r="X236" s="2">
        <v>3.5539999999999998</v>
      </c>
      <c r="Y236" s="6">
        <f t="shared" si="30"/>
        <v>9.4872000213555435E-2</v>
      </c>
      <c r="AA236">
        <v>320889</v>
      </c>
      <c r="AB236">
        <v>16615</v>
      </c>
      <c r="AD236" t="s">
        <v>2</v>
      </c>
      <c r="AE236">
        <v>130</v>
      </c>
      <c r="AF236">
        <v>4</v>
      </c>
      <c r="AH236" t="s">
        <v>9431</v>
      </c>
      <c r="AI236" t="s">
        <v>9430</v>
      </c>
      <c r="AK236" t="s">
        <v>9429</v>
      </c>
      <c r="AL236">
        <v>36</v>
      </c>
      <c r="AM236" s="5">
        <f t="shared" si="26"/>
        <v>1.8</v>
      </c>
      <c r="AN236" s="4">
        <f t="shared" si="31"/>
        <v>2.7262400605831123E-3</v>
      </c>
      <c r="AO236" s="3"/>
      <c r="AP236">
        <v>1</v>
      </c>
      <c r="AR236" t="s">
        <v>1</v>
      </c>
      <c r="AT236" s="2">
        <v>8.34</v>
      </c>
      <c r="AU236" s="1">
        <f t="shared" si="27"/>
        <v>6.7228272167663734</v>
      </c>
      <c r="AV236" s="1">
        <f t="shared" si="28"/>
        <v>4.8799120137069272</v>
      </c>
      <c r="AW236" s="1">
        <f t="shared" si="29"/>
        <v>3.0369968106474809</v>
      </c>
    </row>
    <row r="237" spans="1:49" x14ac:dyDescent="0.2">
      <c r="A237">
        <v>235</v>
      </c>
      <c r="B237" t="s">
        <v>9428</v>
      </c>
      <c r="C237" t="s">
        <v>9427</v>
      </c>
      <c r="F237" t="s">
        <v>9426</v>
      </c>
      <c r="G237" t="s">
        <v>5</v>
      </c>
      <c r="H237" t="s">
        <v>4</v>
      </c>
      <c r="I237" t="s">
        <v>9425</v>
      </c>
      <c r="J237" t="s">
        <v>9424</v>
      </c>
      <c r="K237" t="s">
        <v>9423</v>
      </c>
      <c r="L237" t="s">
        <v>9422</v>
      </c>
      <c r="M237" t="s">
        <v>22</v>
      </c>
      <c r="N237">
        <v>3</v>
      </c>
      <c r="O237" t="s">
        <v>9421</v>
      </c>
      <c r="P237" t="s">
        <v>9420</v>
      </c>
      <c r="Q237" t="s">
        <v>9419</v>
      </c>
      <c r="R237" s="7">
        <v>37591</v>
      </c>
      <c r="S237" s="8">
        <f t="shared" si="24"/>
        <v>2002</v>
      </c>
      <c r="T237" s="8">
        <v>2002</v>
      </c>
      <c r="U237" s="8">
        <f t="shared" si="25"/>
        <v>20</v>
      </c>
      <c r="V237" s="7">
        <v>37591</v>
      </c>
      <c r="W237" t="s">
        <v>9418</v>
      </c>
      <c r="X237" s="2">
        <v>0.41199999999999998</v>
      </c>
      <c r="Y237" s="6">
        <f t="shared" si="30"/>
        <v>1.0998104695550039E-2</v>
      </c>
      <c r="AA237">
        <v>9199268</v>
      </c>
      <c r="AB237">
        <v>12786</v>
      </c>
      <c r="AD237" t="s">
        <v>2</v>
      </c>
      <c r="AE237">
        <v>68</v>
      </c>
      <c r="AF237">
        <v>6</v>
      </c>
      <c r="AH237" t="s">
        <v>9417</v>
      </c>
      <c r="AI237" t="s">
        <v>9416</v>
      </c>
      <c r="AJ237" t="s">
        <v>9415</v>
      </c>
      <c r="AK237" t="s">
        <v>9414</v>
      </c>
      <c r="AL237">
        <v>52</v>
      </c>
      <c r="AM237" s="5">
        <f t="shared" si="26"/>
        <v>2.6</v>
      </c>
      <c r="AN237" s="4">
        <f t="shared" si="31"/>
        <v>3.9379023097311627E-3</v>
      </c>
      <c r="AO237" s="3"/>
      <c r="AP237">
        <v>0</v>
      </c>
      <c r="AR237" t="s">
        <v>1</v>
      </c>
      <c r="AT237" s="2">
        <v>1.617</v>
      </c>
      <c r="AU237" s="1">
        <f t="shared" si="27"/>
        <v>0.88800439798043751</v>
      </c>
      <c r="AV237" s="1">
        <f t="shared" si="28"/>
        <v>0.74680035026406011</v>
      </c>
      <c r="AW237" s="1">
        <f t="shared" si="29"/>
        <v>0.6055963025476826</v>
      </c>
    </row>
    <row r="238" spans="1:49" x14ac:dyDescent="0.2">
      <c r="A238">
        <v>236</v>
      </c>
      <c r="B238" t="s">
        <v>9413</v>
      </c>
      <c r="C238" t="s">
        <v>9412</v>
      </c>
      <c r="E238">
        <v>12421707</v>
      </c>
      <c r="F238" t="s">
        <v>9411</v>
      </c>
      <c r="G238" t="s">
        <v>5</v>
      </c>
      <c r="H238" t="s">
        <v>4</v>
      </c>
      <c r="I238" t="s">
        <v>9410</v>
      </c>
      <c r="J238">
        <v>60012614</v>
      </c>
      <c r="K238" t="s">
        <v>4280</v>
      </c>
      <c r="L238" t="s">
        <v>4279</v>
      </c>
      <c r="M238" t="s">
        <v>223</v>
      </c>
      <c r="N238">
        <v>2</v>
      </c>
      <c r="O238" t="s">
        <v>9409</v>
      </c>
      <c r="P238" t="s">
        <v>9408</v>
      </c>
      <c r="Q238" t="s">
        <v>9407</v>
      </c>
      <c r="R238" s="7">
        <v>37591</v>
      </c>
      <c r="S238" s="8">
        <f t="shared" si="24"/>
        <v>2002</v>
      </c>
      <c r="T238" s="8">
        <v>2002</v>
      </c>
      <c r="U238" s="8">
        <f t="shared" si="25"/>
        <v>20</v>
      </c>
      <c r="V238" s="7">
        <v>37591</v>
      </c>
      <c r="W238" t="s">
        <v>4076</v>
      </c>
      <c r="X238" s="2">
        <v>0.15</v>
      </c>
      <c r="Y238" s="6">
        <f t="shared" si="30"/>
        <v>4.0041643309041402E-3</v>
      </c>
      <c r="AA238">
        <v>9501991</v>
      </c>
      <c r="AB238">
        <v>14531</v>
      </c>
      <c r="AD238" t="s">
        <v>2</v>
      </c>
      <c r="AE238">
        <v>129</v>
      </c>
      <c r="AF238">
        <v>24</v>
      </c>
      <c r="AH238" t="s">
        <v>9406</v>
      </c>
      <c r="AI238" t="s">
        <v>9405</v>
      </c>
      <c r="AJ238" t="s">
        <v>9404</v>
      </c>
      <c r="AK238" t="s">
        <v>9403</v>
      </c>
      <c r="AL238">
        <v>105</v>
      </c>
      <c r="AM238" s="5">
        <f t="shared" si="26"/>
        <v>5.25</v>
      </c>
      <c r="AN238" s="4">
        <f t="shared" si="31"/>
        <v>7.9515335100340777E-3</v>
      </c>
      <c r="AO238" s="3"/>
      <c r="AP238">
        <v>1</v>
      </c>
      <c r="AR238" t="s">
        <v>1</v>
      </c>
      <c r="AT238" s="2">
        <v>6.8680000000000003</v>
      </c>
      <c r="AU238" s="1">
        <f t="shared" si="27"/>
        <v>0.51883750846431209</v>
      </c>
      <c r="AV238" s="1">
        <f t="shared" si="28"/>
        <v>0.59778489204691088</v>
      </c>
      <c r="AW238" s="1">
        <f t="shared" si="29"/>
        <v>0.67673227562950966</v>
      </c>
    </row>
    <row r="239" spans="1:49" x14ac:dyDescent="0.2">
      <c r="A239">
        <v>237</v>
      </c>
      <c r="B239" t="s">
        <v>9402</v>
      </c>
      <c r="F239" t="s">
        <v>9401</v>
      </c>
      <c r="G239" t="s">
        <v>5</v>
      </c>
      <c r="H239" t="s">
        <v>4</v>
      </c>
      <c r="I239" t="s">
        <v>9400</v>
      </c>
      <c r="J239">
        <v>60020661</v>
      </c>
      <c r="K239" t="s">
        <v>68</v>
      </c>
      <c r="L239" t="s">
        <v>67</v>
      </c>
      <c r="M239" t="s">
        <v>41</v>
      </c>
      <c r="N239">
        <v>3</v>
      </c>
      <c r="O239" t="s">
        <v>9399</v>
      </c>
      <c r="P239" t="s">
        <v>9398</v>
      </c>
      <c r="Q239" t="s">
        <v>9397</v>
      </c>
      <c r="R239" s="7">
        <v>37591</v>
      </c>
      <c r="S239" s="8">
        <f t="shared" si="24"/>
        <v>2002</v>
      </c>
      <c r="T239" s="8">
        <v>2002</v>
      </c>
      <c r="U239" s="8">
        <f t="shared" si="25"/>
        <v>20</v>
      </c>
      <c r="V239" s="7">
        <v>37591</v>
      </c>
      <c r="W239" t="s">
        <v>9396</v>
      </c>
      <c r="X239" s="2">
        <v>0.251</v>
      </c>
      <c r="Y239" s="6">
        <f t="shared" si="30"/>
        <v>6.7003016470462617E-3</v>
      </c>
      <c r="AA239">
        <v>13542575</v>
      </c>
      <c r="AB239">
        <v>21069</v>
      </c>
      <c r="AD239" t="s">
        <v>2</v>
      </c>
      <c r="AE239">
        <v>44</v>
      </c>
      <c r="AF239">
        <v>12</v>
      </c>
      <c r="AH239" t="s">
        <v>9395</v>
      </c>
      <c r="AI239" t="s">
        <v>9394</v>
      </c>
      <c r="AK239" t="s">
        <v>9393</v>
      </c>
      <c r="AL239">
        <v>4</v>
      </c>
      <c r="AM239" s="5">
        <f t="shared" si="26"/>
        <v>0.2</v>
      </c>
      <c r="AN239" s="4">
        <f t="shared" si="31"/>
        <v>3.0291556228701253E-4</v>
      </c>
      <c r="AO239" s="3"/>
      <c r="AP239">
        <v>0</v>
      </c>
      <c r="AR239" t="s">
        <v>1</v>
      </c>
      <c r="AT239" s="2" t="s">
        <v>0</v>
      </c>
      <c r="AU239" s="1">
        <f t="shared" si="27"/>
        <v>0.47810858216184859</v>
      </c>
      <c r="AV239" s="1">
        <f t="shared" si="28"/>
        <v>0.35016086046666373</v>
      </c>
      <c r="AW239" s="1">
        <f t="shared" si="29"/>
        <v>0.22221313877147869</v>
      </c>
    </row>
    <row r="240" spans="1:49" x14ac:dyDescent="0.2">
      <c r="A240">
        <v>238</v>
      </c>
      <c r="B240" t="s">
        <v>9392</v>
      </c>
      <c r="F240" t="s">
        <v>9391</v>
      </c>
      <c r="G240" t="s">
        <v>5</v>
      </c>
      <c r="H240" t="s">
        <v>4</v>
      </c>
      <c r="I240" t="s">
        <v>9390</v>
      </c>
      <c r="J240">
        <v>60068756</v>
      </c>
      <c r="K240" t="s">
        <v>9389</v>
      </c>
      <c r="L240" t="s">
        <v>9388</v>
      </c>
      <c r="M240" t="s">
        <v>9387</v>
      </c>
      <c r="N240">
        <v>1</v>
      </c>
      <c r="O240" t="s">
        <v>9386</v>
      </c>
      <c r="P240">
        <v>6603208353</v>
      </c>
      <c r="Q240">
        <v>60068756</v>
      </c>
      <c r="R240" s="7">
        <v>37591</v>
      </c>
      <c r="S240" s="8">
        <f t="shared" si="24"/>
        <v>2002</v>
      </c>
      <c r="T240" s="8">
        <v>2002</v>
      </c>
      <c r="U240" s="8">
        <f t="shared" si="25"/>
        <v>20</v>
      </c>
      <c r="V240" s="7">
        <v>2002</v>
      </c>
      <c r="W240" t="s">
        <v>9385</v>
      </c>
      <c r="X240" s="2" t="s">
        <v>0</v>
      </c>
      <c r="Y240" s="6" t="e">
        <f t="shared" si="30"/>
        <v>#VALUE!</v>
      </c>
      <c r="AA240">
        <v>7612508</v>
      </c>
      <c r="AB240">
        <v>28513</v>
      </c>
      <c r="AD240" t="s">
        <v>2</v>
      </c>
      <c r="AE240">
        <v>75</v>
      </c>
      <c r="AF240" s="9">
        <v>44289</v>
      </c>
      <c r="AH240" t="s">
        <v>275</v>
      </c>
      <c r="AI240" t="s">
        <v>9384</v>
      </c>
      <c r="AJ240" t="s">
        <v>9383</v>
      </c>
      <c r="AK240" t="s">
        <v>9382</v>
      </c>
      <c r="AL240">
        <v>0</v>
      </c>
      <c r="AM240" s="5">
        <f t="shared" si="26"/>
        <v>0</v>
      </c>
      <c r="AN240" s="4">
        <f t="shared" si="31"/>
        <v>0</v>
      </c>
      <c r="AO240" s="3"/>
      <c r="AP240">
        <v>0</v>
      </c>
      <c r="AR240" t="s">
        <v>1</v>
      </c>
      <c r="AT240" s="2" t="s">
        <v>0</v>
      </c>
      <c r="AU240" s="1" t="e">
        <f t="shared" si="27"/>
        <v>#VALUE!</v>
      </c>
      <c r="AV240" s="1" t="e">
        <f t="shared" si="28"/>
        <v>#VALUE!</v>
      </c>
      <c r="AW240" s="1" t="e">
        <f t="shared" si="29"/>
        <v>#VALUE!</v>
      </c>
    </row>
    <row r="241" spans="1:49" x14ac:dyDescent="0.2">
      <c r="A241">
        <v>239</v>
      </c>
      <c r="B241" t="s">
        <v>9381</v>
      </c>
      <c r="C241" t="s">
        <v>9380</v>
      </c>
      <c r="D241" t="s">
        <v>9379</v>
      </c>
      <c r="F241" t="s">
        <v>9378</v>
      </c>
      <c r="G241" t="s">
        <v>5</v>
      </c>
      <c r="H241" t="s">
        <v>4</v>
      </c>
      <c r="I241" t="s">
        <v>9377</v>
      </c>
      <c r="J241">
        <v>60032325</v>
      </c>
      <c r="K241" t="s">
        <v>38</v>
      </c>
      <c r="L241" t="s">
        <v>37</v>
      </c>
      <c r="M241" t="s">
        <v>36</v>
      </c>
      <c r="N241">
        <v>5</v>
      </c>
      <c r="O241" t="s">
        <v>9376</v>
      </c>
      <c r="P241" t="s">
        <v>9375</v>
      </c>
      <c r="Q241" t="s">
        <v>9374</v>
      </c>
      <c r="R241" s="7">
        <v>37591</v>
      </c>
      <c r="S241" s="8">
        <f t="shared" si="24"/>
        <v>2002</v>
      </c>
      <c r="T241" s="8">
        <v>2002</v>
      </c>
      <c r="U241" s="8">
        <f t="shared" si="25"/>
        <v>20</v>
      </c>
      <c r="V241" s="7">
        <v>37591</v>
      </c>
      <c r="W241" t="s">
        <v>996</v>
      </c>
      <c r="X241" s="2">
        <v>1.0329999999999999</v>
      </c>
      <c r="Y241" s="6">
        <f t="shared" si="30"/>
        <v>2.7575345025493178E-2</v>
      </c>
      <c r="AA241">
        <v>9532048</v>
      </c>
      <c r="AB241">
        <v>12278</v>
      </c>
      <c r="AD241" t="s">
        <v>2</v>
      </c>
      <c r="AE241">
        <v>15</v>
      </c>
      <c r="AF241">
        <v>12</v>
      </c>
      <c r="AH241" t="s">
        <v>9373</v>
      </c>
      <c r="AI241" t="s">
        <v>9372</v>
      </c>
      <c r="AK241" t="s">
        <v>9371</v>
      </c>
      <c r="AL241">
        <v>6</v>
      </c>
      <c r="AM241" s="5">
        <f t="shared" si="26"/>
        <v>0.3</v>
      </c>
      <c r="AN241" s="4">
        <f t="shared" si="31"/>
        <v>4.5437334343051872E-4</v>
      </c>
      <c r="AO241" s="3"/>
      <c r="AP241">
        <v>0</v>
      </c>
      <c r="AR241" t="s">
        <v>1</v>
      </c>
      <c r="AT241" s="2" t="s">
        <v>0</v>
      </c>
      <c r="AU241" s="1">
        <f t="shared" si="27"/>
        <v>1.9439053520874379</v>
      </c>
      <c r="AV241" s="1">
        <f t="shared" si="28"/>
        <v>1.4014859184461848</v>
      </c>
      <c r="AW241" s="1">
        <f t="shared" si="29"/>
        <v>0.85906648480493164</v>
      </c>
    </row>
    <row r="242" spans="1:49" x14ac:dyDescent="0.2">
      <c r="A242">
        <v>240</v>
      </c>
      <c r="B242" t="s">
        <v>9370</v>
      </c>
      <c r="C242" t="s">
        <v>9369</v>
      </c>
      <c r="D242" t="s">
        <v>9368</v>
      </c>
      <c r="F242" t="s">
        <v>9367</v>
      </c>
      <c r="G242" t="s">
        <v>5</v>
      </c>
      <c r="H242" t="s">
        <v>4</v>
      </c>
      <c r="I242" t="s">
        <v>9366</v>
      </c>
      <c r="J242" t="s">
        <v>9365</v>
      </c>
      <c r="K242" t="s">
        <v>9364</v>
      </c>
      <c r="L242" t="s">
        <v>9363</v>
      </c>
      <c r="M242" t="s">
        <v>9362</v>
      </c>
      <c r="N242">
        <v>7</v>
      </c>
      <c r="O242" t="s">
        <v>9361</v>
      </c>
      <c r="P242" t="s">
        <v>9360</v>
      </c>
      <c r="Q242" t="s">
        <v>9359</v>
      </c>
      <c r="R242" s="7">
        <v>37591</v>
      </c>
      <c r="S242" s="8">
        <f t="shared" si="24"/>
        <v>2002</v>
      </c>
      <c r="T242" s="8">
        <v>2002</v>
      </c>
      <c r="U242" s="8">
        <f t="shared" si="25"/>
        <v>20</v>
      </c>
      <c r="V242" s="7">
        <v>37591</v>
      </c>
      <c r="W242" t="s">
        <v>287</v>
      </c>
      <c r="X242" s="2">
        <v>1.774</v>
      </c>
      <c r="Y242" s="6">
        <f t="shared" si="30"/>
        <v>4.7355916820159633E-2</v>
      </c>
      <c r="AA242">
        <v>295515</v>
      </c>
      <c r="AB242">
        <v>29066</v>
      </c>
      <c r="AD242" t="s">
        <v>2</v>
      </c>
      <c r="AE242">
        <v>42</v>
      </c>
      <c r="AF242">
        <v>12</v>
      </c>
      <c r="AH242" t="s">
        <v>9358</v>
      </c>
      <c r="AI242" t="s">
        <v>9357</v>
      </c>
      <c r="AK242" t="s">
        <v>9356</v>
      </c>
      <c r="AL242">
        <v>30</v>
      </c>
      <c r="AM242" s="5">
        <f t="shared" si="26"/>
        <v>1.5</v>
      </c>
      <c r="AN242" s="4">
        <f t="shared" si="31"/>
        <v>2.2718667171525938E-3</v>
      </c>
      <c r="AO242" s="3"/>
      <c r="AP242">
        <v>0</v>
      </c>
      <c r="AR242" t="s">
        <v>1</v>
      </c>
      <c r="AT242" s="2">
        <v>3.1789999999999998</v>
      </c>
      <c r="AU242" s="1">
        <f t="shared" si="27"/>
        <v>3.383070178925752</v>
      </c>
      <c r="AV242" s="1">
        <f t="shared" si="28"/>
        <v>2.4813891768656111</v>
      </c>
      <c r="AW242" s="1">
        <f t="shared" si="29"/>
        <v>1.5797081748054707</v>
      </c>
    </row>
    <row r="243" spans="1:49" x14ac:dyDescent="0.2">
      <c r="A243">
        <v>241</v>
      </c>
      <c r="B243" t="s">
        <v>9355</v>
      </c>
      <c r="C243" t="s">
        <v>9354</v>
      </c>
      <c r="F243" t="s">
        <v>9353</v>
      </c>
      <c r="G243" t="s">
        <v>5</v>
      </c>
      <c r="H243" t="s">
        <v>4</v>
      </c>
      <c r="I243" t="s">
        <v>9352</v>
      </c>
      <c r="J243" t="s">
        <v>9351</v>
      </c>
      <c r="K243" t="s">
        <v>9350</v>
      </c>
      <c r="L243" t="s">
        <v>9349</v>
      </c>
      <c r="M243" t="s">
        <v>3</v>
      </c>
      <c r="N243">
        <v>2</v>
      </c>
      <c r="O243" t="s">
        <v>9348</v>
      </c>
      <c r="P243" t="s">
        <v>9347</v>
      </c>
      <c r="Q243" t="s">
        <v>9346</v>
      </c>
      <c r="R243" s="7">
        <v>37591</v>
      </c>
      <c r="S243" s="8">
        <f t="shared" si="24"/>
        <v>2002</v>
      </c>
      <c r="T243" s="8">
        <v>2002</v>
      </c>
      <c r="U243" s="8">
        <f t="shared" si="25"/>
        <v>20</v>
      </c>
      <c r="V243" s="7">
        <v>37591</v>
      </c>
      <c r="W243" t="s">
        <v>870</v>
      </c>
      <c r="X243" s="2">
        <v>1.218</v>
      </c>
      <c r="Y243" s="6">
        <f t="shared" si="30"/>
        <v>3.2513814366941618E-2</v>
      </c>
      <c r="AA243">
        <v>189448</v>
      </c>
      <c r="AB243">
        <v>15107</v>
      </c>
      <c r="AD243" t="s">
        <v>2</v>
      </c>
      <c r="AE243">
        <v>48</v>
      </c>
      <c r="AF243">
        <v>12</v>
      </c>
      <c r="AH243" t="s">
        <v>9345</v>
      </c>
      <c r="AI243" t="s">
        <v>9344</v>
      </c>
      <c r="AJ243" t="s">
        <v>9343</v>
      </c>
      <c r="AK243" t="s">
        <v>9342</v>
      </c>
      <c r="AL243">
        <v>83</v>
      </c>
      <c r="AM243" s="5">
        <f t="shared" si="26"/>
        <v>4.1500000000000004</v>
      </c>
      <c r="AN243" s="4">
        <f t="shared" si="31"/>
        <v>6.2854979174555101E-3</v>
      </c>
      <c r="AO243" s="3"/>
      <c r="AP243">
        <v>0</v>
      </c>
      <c r="AQ243" t="s">
        <v>290</v>
      </c>
      <c r="AR243" t="s">
        <v>9341</v>
      </c>
      <c r="AS243" t="s">
        <v>289</v>
      </c>
      <c r="AT243" s="2" t="s">
        <v>0</v>
      </c>
      <c r="AU243" s="1">
        <f t="shared" si="27"/>
        <v>2.4645319432095785</v>
      </c>
      <c r="AV243" s="1">
        <f t="shared" si="28"/>
        <v>1.9399656142198562</v>
      </c>
      <c r="AW243" s="1">
        <f t="shared" si="29"/>
        <v>1.415399285230134</v>
      </c>
    </row>
    <row r="244" spans="1:49" x14ac:dyDescent="0.2">
      <c r="A244">
        <v>242</v>
      </c>
      <c r="B244" t="s">
        <v>9340</v>
      </c>
      <c r="F244" t="s">
        <v>9339</v>
      </c>
      <c r="G244" t="s">
        <v>5</v>
      </c>
      <c r="H244" t="s">
        <v>4</v>
      </c>
      <c r="I244" t="s">
        <v>9338</v>
      </c>
      <c r="J244">
        <v>60092005</v>
      </c>
      <c r="K244" t="s">
        <v>9337</v>
      </c>
      <c r="L244" t="s">
        <v>9336</v>
      </c>
      <c r="M244" t="s">
        <v>36</v>
      </c>
      <c r="N244">
        <v>1</v>
      </c>
      <c r="O244" t="s">
        <v>9335</v>
      </c>
      <c r="P244">
        <v>56472098600</v>
      </c>
      <c r="Q244">
        <v>60092005</v>
      </c>
      <c r="R244" s="7">
        <v>37591</v>
      </c>
      <c r="S244" s="8">
        <f t="shared" si="24"/>
        <v>2002</v>
      </c>
      <c r="T244" s="8">
        <v>2002</v>
      </c>
      <c r="U244" s="8">
        <f t="shared" si="25"/>
        <v>20</v>
      </c>
      <c r="V244" s="7">
        <v>2002</v>
      </c>
      <c r="W244" t="s">
        <v>9334</v>
      </c>
      <c r="X244" s="2" t="s">
        <v>0</v>
      </c>
      <c r="Y244" s="6" t="e">
        <f t="shared" si="30"/>
        <v>#VALUE!</v>
      </c>
      <c r="AA244">
        <v>13480693</v>
      </c>
      <c r="AB244">
        <v>145467</v>
      </c>
      <c r="AC244">
        <v>13494244</v>
      </c>
      <c r="AD244" t="s">
        <v>2</v>
      </c>
      <c r="AE244">
        <v>51</v>
      </c>
      <c r="AH244" t="s">
        <v>9333</v>
      </c>
      <c r="AI244" t="s">
        <v>9332</v>
      </c>
      <c r="AK244" t="s">
        <v>9331</v>
      </c>
      <c r="AL244">
        <v>0</v>
      </c>
      <c r="AM244" s="5">
        <f t="shared" si="26"/>
        <v>0</v>
      </c>
      <c r="AN244" s="4">
        <f t="shared" si="31"/>
        <v>0</v>
      </c>
      <c r="AO244" s="3"/>
      <c r="AP244">
        <v>0</v>
      </c>
      <c r="AR244" t="s">
        <v>1</v>
      </c>
      <c r="AT244" s="2" t="s">
        <v>0</v>
      </c>
      <c r="AU244" s="1" t="e">
        <f t="shared" si="27"/>
        <v>#VALUE!</v>
      </c>
      <c r="AV244" s="1" t="e">
        <f t="shared" si="28"/>
        <v>#VALUE!</v>
      </c>
      <c r="AW244" s="1" t="e">
        <f t="shared" si="29"/>
        <v>#VALUE!</v>
      </c>
    </row>
    <row r="245" spans="1:49" x14ac:dyDescent="0.2">
      <c r="A245">
        <v>243</v>
      </c>
      <c r="B245" t="s">
        <v>9330</v>
      </c>
      <c r="C245" t="s">
        <v>9329</v>
      </c>
      <c r="F245" t="s">
        <v>9328</v>
      </c>
      <c r="G245" t="s">
        <v>5</v>
      </c>
      <c r="H245" t="s">
        <v>4</v>
      </c>
      <c r="I245" t="s">
        <v>351</v>
      </c>
      <c r="J245" t="s">
        <v>9323</v>
      </c>
      <c r="K245" t="s">
        <v>9327</v>
      </c>
      <c r="L245" t="s">
        <v>9326</v>
      </c>
      <c r="M245" t="s">
        <v>3</v>
      </c>
      <c r="N245">
        <v>2</v>
      </c>
      <c r="O245" t="s">
        <v>9325</v>
      </c>
      <c r="P245" t="s">
        <v>9324</v>
      </c>
      <c r="Q245" t="s">
        <v>9323</v>
      </c>
      <c r="R245" s="7">
        <v>37591</v>
      </c>
      <c r="S245" s="8">
        <f t="shared" si="24"/>
        <v>2002</v>
      </c>
      <c r="T245" s="8">
        <v>2002</v>
      </c>
      <c r="U245" s="8">
        <f t="shared" si="25"/>
        <v>20</v>
      </c>
      <c r="V245" s="7">
        <v>37591</v>
      </c>
      <c r="W245" t="s">
        <v>870</v>
      </c>
      <c r="X245" s="2">
        <v>1.218</v>
      </c>
      <c r="Y245" s="6">
        <f t="shared" si="30"/>
        <v>3.2513814366941618E-2</v>
      </c>
      <c r="AA245">
        <v>189448</v>
      </c>
      <c r="AB245">
        <v>15107</v>
      </c>
      <c r="AD245" t="s">
        <v>2</v>
      </c>
      <c r="AE245">
        <v>48</v>
      </c>
      <c r="AF245">
        <v>12</v>
      </c>
      <c r="AH245" t="s">
        <v>9322</v>
      </c>
      <c r="AI245" t="s">
        <v>9321</v>
      </c>
      <c r="AJ245" t="s">
        <v>9320</v>
      </c>
      <c r="AK245" t="s">
        <v>9319</v>
      </c>
      <c r="AL245">
        <v>150</v>
      </c>
      <c r="AM245" s="5">
        <f t="shared" si="26"/>
        <v>7.5</v>
      </c>
      <c r="AN245" s="4">
        <f t="shared" si="31"/>
        <v>1.1359333585762969E-2</v>
      </c>
      <c r="AO245" s="3"/>
      <c r="AP245">
        <v>0</v>
      </c>
      <c r="AR245" t="s">
        <v>1</v>
      </c>
      <c r="AT245" s="2" t="s">
        <v>0</v>
      </c>
      <c r="AU245" s="1">
        <f t="shared" si="27"/>
        <v>2.6167470132588022</v>
      </c>
      <c r="AV245" s="1">
        <f t="shared" si="28"/>
        <v>2.1936573976352292</v>
      </c>
      <c r="AW245" s="1">
        <f t="shared" si="29"/>
        <v>1.7705677820116561</v>
      </c>
    </row>
    <row r="246" spans="1:49" x14ac:dyDescent="0.2">
      <c r="A246">
        <v>244</v>
      </c>
      <c r="B246" t="s">
        <v>9318</v>
      </c>
      <c r="C246" t="s">
        <v>9317</v>
      </c>
      <c r="F246" t="s">
        <v>9316</v>
      </c>
      <c r="G246" t="s">
        <v>5</v>
      </c>
      <c r="H246" t="s">
        <v>4</v>
      </c>
      <c r="I246" t="s">
        <v>9315</v>
      </c>
      <c r="J246" t="s">
        <v>9314</v>
      </c>
      <c r="K246" t="s">
        <v>9313</v>
      </c>
      <c r="L246" t="s">
        <v>9312</v>
      </c>
      <c r="M246" t="s">
        <v>22</v>
      </c>
      <c r="N246">
        <v>4</v>
      </c>
      <c r="O246" t="s">
        <v>9311</v>
      </c>
      <c r="P246" t="s">
        <v>9310</v>
      </c>
      <c r="Q246" t="s">
        <v>9309</v>
      </c>
      <c r="R246" s="7">
        <v>37591</v>
      </c>
      <c r="S246" s="8">
        <f t="shared" si="24"/>
        <v>2002</v>
      </c>
      <c r="T246" s="8">
        <v>2002</v>
      </c>
      <c r="U246" s="8">
        <f t="shared" si="25"/>
        <v>20</v>
      </c>
      <c r="V246" s="7">
        <v>37591</v>
      </c>
      <c r="W246" t="s">
        <v>928</v>
      </c>
      <c r="X246" s="2">
        <v>0.13900000000000001</v>
      </c>
      <c r="Y246" s="6">
        <f t="shared" si="30"/>
        <v>3.7105256133045036E-3</v>
      </c>
      <c r="AA246" t="s">
        <v>927</v>
      </c>
      <c r="AB246">
        <v>24891</v>
      </c>
      <c r="AD246" t="s">
        <v>2</v>
      </c>
      <c r="AE246">
        <v>85</v>
      </c>
      <c r="AF246">
        <v>12</v>
      </c>
      <c r="AH246" t="s">
        <v>9308</v>
      </c>
      <c r="AI246" t="s">
        <v>9307</v>
      </c>
      <c r="AJ246" t="s">
        <v>9306</v>
      </c>
      <c r="AK246" t="s">
        <v>9305</v>
      </c>
      <c r="AL246">
        <v>0</v>
      </c>
      <c r="AM246" s="5">
        <f t="shared" si="26"/>
        <v>0</v>
      </c>
      <c r="AN246" s="4">
        <f t="shared" si="31"/>
        <v>0</v>
      </c>
      <c r="AO246" s="3"/>
      <c r="AP246">
        <v>0</v>
      </c>
      <c r="AR246" t="s">
        <v>1</v>
      </c>
      <c r="AT246" s="2" t="s">
        <v>0</v>
      </c>
      <c r="AU246" s="1">
        <f t="shared" si="27"/>
        <v>0.25973679293131524</v>
      </c>
      <c r="AV246" s="1">
        <f t="shared" si="28"/>
        <v>0.1855262806652252</v>
      </c>
      <c r="AW246" s="1">
        <f t="shared" si="29"/>
        <v>0.1113157683991351</v>
      </c>
    </row>
    <row r="247" spans="1:49" x14ac:dyDescent="0.2">
      <c r="A247">
        <v>245</v>
      </c>
      <c r="B247" t="s">
        <v>9304</v>
      </c>
      <c r="C247" t="s">
        <v>9303</v>
      </c>
      <c r="F247" t="s">
        <v>9302</v>
      </c>
      <c r="G247" t="s">
        <v>5</v>
      </c>
      <c r="H247" t="s">
        <v>4</v>
      </c>
      <c r="I247" t="s">
        <v>733</v>
      </c>
      <c r="J247" t="s">
        <v>9301</v>
      </c>
      <c r="K247" t="s">
        <v>9300</v>
      </c>
      <c r="L247" t="s">
        <v>9299</v>
      </c>
      <c r="M247" t="s">
        <v>74</v>
      </c>
      <c r="N247">
        <v>3</v>
      </c>
      <c r="O247" t="s">
        <v>9298</v>
      </c>
      <c r="P247" t="s">
        <v>9297</v>
      </c>
      <c r="Q247" t="s">
        <v>9296</v>
      </c>
      <c r="R247" s="7">
        <v>37591</v>
      </c>
      <c r="S247" s="8">
        <f t="shared" si="24"/>
        <v>2002</v>
      </c>
      <c r="T247" s="8">
        <v>2002</v>
      </c>
      <c r="U247" s="8">
        <f t="shared" si="25"/>
        <v>20</v>
      </c>
      <c r="V247" s="7">
        <v>37591</v>
      </c>
      <c r="W247" t="s">
        <v>870</v>
      </c>
      <c r="X247" s="2">
        <v>1.218</v>
      </c>
      <c r="Y247" s="6">
        <f t="shared" si="30"/>
        <v>3.2513814366941618E-2</v>
      </c>
      <c r="AA247">
        <v>189448</v>
      </c>
      <c r="AB247">
        <v>15107</v>
      </c>
      <c r="AD247" t="s">
        <v>2</v>
      </c>
      <c r="AE247">
        <v>48</v>
      </c>
      <c r="AF247">
        <v>12</v>
      </c>
      <c r="AH247" t="s">
        <v>9295</v>
      </c>
      <c r="AI247" t="s">
        <v>9294</v>
      </c>
      <c r="AJ247" t="s">
        <v>9293</v>
      </c>
      <c r="AK247" t="s">
        <v>9292</v>
      </c>
      <c r="AL247">
        <v>48</v>
      </c>
      <c r="AM247" s="5">
        <f t="shared" si="26"/>
        <v>2.4</v>
      </c>
      <c r="AN247" s="4">
        <f t="shared" si="31"/>
        <v>3.6349867474441497E-3</v>
      </c>
      <c r="AO247" s="3"/>
      <c r="AP247">
        <v>0</v>
      </c>
      <c r="AQ247" t="s">
        <v>290</v>
      </c>
      <c r="AR247" t="s">
        <v>6166</v>
      </c>
      <c r="AS247" t="s">
        <v>289</v>
      </c>
      <c r="AT247" s="2" t="s">
        <v>0</v>
      </c>
      <c r="AU247" s="1">
        <f t="shared" si="27"/>
        <v>2.3850166081092374</v>
      </c>
      <c r="AV247" s="1">
        <f t="shared" si="28"/>
        <v>1.8074400557192882</v>
      </c>
      <c r="AW247" s="1">
        <f t="shared" si="29"/>
        <v>1.229863503329339</v>
      </c>
    </row>
    <row r="248" spans="1:49" x14ac:dyDescent="0.2">
      <c r="A248">
        <v>246</v>
      </c>
      <c r="B248" t="s">
        <v>9291</v>
      </c>
      <c r="C248" t="s">
        <v>9290</v>
      </c>
      <c r="F248" t="s">
        <v>9289</v>
      </c>
      <c r="G248" t="s">
        <v>5</v>
      </c>
      <c r="H248" t="s">
        <v>4</v>
      </c>
      <c r="I248" t="s">
        <v>9288</v>
      </c>
      <c r="J248">
        <v>60000293</v>
      </c>
      <c r="K248" t="s">
        <v>9287</v>
      </c>
      <c r="L248" t="s">
        <v>104</v>
      </c>
      <c r="M248" t="s">
        <v>36</v>
      </c>
      <c r="N248">
        <v>1</v>
      </c>
      <c r="O248" t="s">
        <v>9286</v>
      </c>
      <c r="P248">
        <v>6701895600</v>
      </c>
      <c r="Q248">
        <v>60000293</v>
      </c>
      <c r="R248" s="7">
        <v>37591</v>
      </c>
      <c r="S248" s="8">
        <f t="shared" si="24"/>
        <v>2002</v>
      </c>
      <c r="T248" s="8">
        <v>2002</v>
      </c>
      <c r="U248" s="8">
        <f t="shared" si="25"/>
        <v>20</v>
      </c>
      <c r="V248" s="7">
        <v>37591</v>
      </c>
      <c r="W248" t="s">
        <v>928</v>
      </c>
      <c r="X248" s="2">
        <v>0.13900000000000001</v>
      </c>
      <c r="Y248" s="6">
        <f t="shared" si="30"/>
        <v>3.7105256133045036E-3</v>
      </c>
      <c r="AA248" t="s">
        <v>927</v>
      </c>
      <c r="AB248">
        <v>24891</v>
      </c>
      <c r="AD248" t="s">
        <v>2</v>
      </c>
      <c r="AE248">
        <v>85</v>
      </c>
      <c r="AF248">
        <v>12</v>
      </c>
      <c r="AH248" t="s">
        <v>1010</v>
      </c>
      <c r="AI248" t="s">
        <v>9285</v>
      </c>
      <c r="AJ248" t="s">
        <v>9284</v>
      </c>
      <c r="AK248" t="s">
        <v>9283</v>
      </c>
      <c r="AL248">
        <v>2</v>
      </c>
      <c r="AM248" s="5">
        <f t="shared" si="26"/>
        <v>0.1</v>
      </c>
      <c r="AN248" s="4">
        <f t="shared" si="31"/>
        <v>1.5145778114350627E-4</v>
      </c>
      <c r="AO248" s="3"/>
      <c r="AP248">
        <v>0</v>
      </c>
      <c r="AR248" t="s">
        <v>1</v>
      </c>
      <c r="AT248" s="2" t="s">
        <v>0</v>
      </c>
      <c r="AU248" s="1">
        <f t="shared" si="27"/>
        <v>0.26428052636562038</v>
      </c>
      <c r="AV248" s="1">
        <f t="shared" si="28"/>
        <v>0.19309916972240052</v>
      </c>
      <c r="AW248" s="1">
        <f t="shared" si="29"/>
        <v>0.12191781307918054</v>
      </c>
    </row>
    <row r="249" spans="1:49" x14ac:dyDescent="0.2">
      <c r="A249">
        <v>247</v>
      </c>
      <c r="B249" t="s">
        <v>9282</v>
      </c>
      <c r="C249" t="s">
        <v>9281</v>
      </c>
      <c r="F249" t="s">
        <v>9280</v>
      </c>
      <c r="G249" t="s">
        <v>5</v>
      </c>
      <c r="H249" t="s">
        <v>4</v>
      </c>
      <c r="I249" t="s">
        <v>9279</v>
      </c>
      <c r="J249">
        <v>60027384</v>
      </c>
      <c r="K249" t="s">
        <v>9278</v>
      </c>
      <c r="L249" t="s">
        <v>9277</v>
      </c>
      <c r="M249" t="s">
        <v>14</v>
      </c>
      <c r="N249">
        <v>3</v>
      </c>
      <c r="O249" t="s">
        <v>9276</v>
      </c>
      <c r="P249" t="s">
        <v>9275</v>
      </c>
      <c r="Q249" t="s">
        <v>9274</v>
      </c>
      <c r="R249" s="7">
        <v>37591</v>
      </c>
      <c r="S249" s="8">
        <f t="shared" si="24"/>
        <v>2002</v>
      </c>
      <c r="T249" s="8">
        <v>2002</v>
      </c>
      <c r="U249" s="8">
        <f t="shared" si="25"/>
        <v>20</v>
      </c>
      <c r="V249" s="7">
        <v>37591</v>
      </c>
      <c r="W249" t="s">
        <v>339</v>
      </c>
      <c r="X249" s="2">
        <v>0.30199999999999999</v>
      </c>
      <c r="Y249" s="6">
        <f t="shared" si="30"/>
        <v>8.0617175195536687E-3</v>
      </c>
      <c r="AA249">
        <v>9296212</v>
      </c>
      <c r="AB249">
        <v>20725</v>
      </c>
      <c r="AD249" t="s">
        <v>2</v>
      </c>
      <c r="AE249">
        <v>23</v>
      </c>
      <c r="AF249">
        <v>3</v>
      </c>
      <c r="AH249" t="s">
        <v>9273</v>
      </c>
      <c r="AI249" t="s">
        <v>9272</v>
      </c>
      <c r="AJ249" t="s">
        <v>9271</v>
      </c>
      <c r="AK249" t="s">
        <v>9270</v>
      </c>
      <c r="AL249">
        <v>29</v>
      </c>
      <c r="AM249" s="5">
        <f t="shared" si="26"/>
        <v>1.45</v>
      </c>
      <c r="AN249" s="4">
        <f t="shared" si="31"/>
        <v>2.1961378265808406E-3</v>
      </c>
      <c r="AO249" s="3"/>
      <c r="AP249">
        <v>0</v>
      </c>
      <c r="AR249" t="s">
        <v>1</v>
      </c>
      <c r="AT249" s="2">
        <v>1.671</v>
      </c>
      <c r="AU249" s="1">
        <f t="shared" si="27"/>
        <v>0.63020436116618195</v>
      </c>
      <c r="AV249" s="1">
        <f t="shared" si="28"/>
        <v>0.51289276730672551</v>
      </c>
      <c r="AW249" s="1">
        <f t="shared" si="29"/>
        <v>0.39558117344726884</v>
      </c>
    </row>
    <row r="250" spans="1:49" x14ac:dyDescent="0.2">
      <c r="A250">
        <v>248</v>
      </c>
      <c r="B250" t="s">
        <v>9269</v>
      </c>
      <c r="C250" t="s">
        <v>9268</v>
      </c>
      <c r="D250" t="s">
        <v>9267</v>
      </c>
      <c r="E250">
        <v>12445512</v>
      </c>
      <c r="F250" t="s">
        <v>9266</v>
      </c>
      <c r="G250" t="s">
        <v>5</v>
      </c>
      <c r="H250" t="s">
        <v>4</v>
      </c>
      <c r="I250" t="s">
        <v>9265</v>
      </c>
      <c r="J250" t="s">
        <v>9260</v>
      </c>
      <c r="K250" t="s">
        <v>9264</v>
      </c>
      <c r="L250" t="s">
        <v>9263</v>
      </c>
      <c r="M250" t="s">
        <v>187</v>
      </c>
      <c r="N250">
        <v>2</v>
      </c>
      <c r="O250" t="s">
        <v>9262</v>
      </c>
      <c r="P250" t="s">
        <v>9261</v>
      </c>
      <c r="Q250" t="s">
        <v>9260</v>
      </c>
      <c r="R250" s="7">
        <v>37591</v>
      </c>
      <c r="S250" s="8">
        <f t="shared" si="24"/>
        <v>2002</v>
      </c>
      <c r="T250" s="8">
        <v>2002</v>
      </c>
      <c r="U250" s="8">
        <f t="shared" si="25"/>
        <v>20</v>
      </c>
      <c r="V250" s="7">
        <v>37591</v>
      </c>
      <c r="W250" t="s">
        <v>9259</v>
      </c>
      <c r="X250" s="2">
        <v>0.441</v>
      </c>
      <c r="Y250" s="6">
        <f t="shared" si="30"/>
        <v>1.1772243132858172E-2</v>
      </c>
      <c r="AA250">
        <v>3069877</v>
      </c>
      <c r="AB250">
        <v>17833</v>
      </c>
      <c r="AD250" t="s">
        <v>2</v>
      </c>
      <c r="AE250">
        <v>59</v>
      </c>
      <c r="AF250">
        <v>6</v>
      </c>
      <c r="AH250" t="s">
        <v>9258</v>
      </c>
      <c r="AI250" t="s">
        <v>9257</v>
      </c>
      <c r="AK250" t="s">
        <v>9256</v>
      </c>
      <c r="AL250">
        <v>27</v>
      </c>
      <c r="AM250" s="5">
        <f t="shared" si="26"/>
        <v>1.35</v>
      </c>
      <c r="AN250" s="4">
        <f t="shared" si="31"/>
        <v>2.0446800454373346E-3</v>
      </c>
      <c r="AO250" s="3"/>
      <c r="AP250">
        <v>0</v>
      </c>
      <c r="AR250" t="s">
        <v>1</v>
      </c>
      <c r="AT250" s="2">
        <v>1.538</v>
      </c>
      <c r="AU250" s="1">
        <f t="shared" si="27"/>
        <v>0.88539742066319205</v>
      </c>
      <c r="AV250" s="1">
        <f t="shared" si="28"/>
        <v>0.6908461589147753</v>
      </c>
      <c r="AW250" s="1">
        <f t="shared" si="29"/>
        <v>0.49629489716635855</v>
      </c>
    </row>
    <row r="251" spans="1:49" x14ac:dyDescent="0.2">
      <c r="A251">
        <v>249</v>
      </c>
      <c r="B251" t="s">
        <v>9255</v>
      </c>
      <c r="C251" t="s">
        <v>9254</v>
      </c>
      <c r="F251" t="s">
        <v>9253</v>
      </c>
      <c r="G251" t="s">
        <v>5</v>
      </c>
      <c r="H251" t="s">
        <v>4</v>
      </c>
      <c r="I251" t="s">
        <v>9252</v>
      </c>
      <c r="J251" t="s">
        <v>9251</v>
      </c>
      <c r="K251" t="s">
        <v>9250</v>
      </c>
      <c r="L251" t="s">
        <v>9249</v>
      </c>
      <c r="M251" t="s">
        <v>74</v>
      </c>
      <c r="N251">
        <v>7</v>
      </c>
      <c r="O251" t="s">
        <v>9248</v>
      </c>
      <c r="P251" t="s">
        <v>9247</v>
      </c>
      <c r="Q251" t="s">
        <v>9246</v>
      </c>
      <c r="R251" s="7">
        <v>37591</v>
      </c>
      <c r="S251" s="8">
        <f t="shared" si="24"/>
        <v>2002</v>
      </c>
      <c r="T251" s="8">
        <v>2002</v>
      </c>
      <c r="U251" s="8">
        <f t="shared" si="25"/>
        <v>20</v>
      </c>
      <c r="V251" s="7">
        <v>37591</v>
      </c>
      <c r="W251" t="s">
        <v>857</v>
      </c>
      <c r="X251" s="2">
        <v>2.9860000000000002</v>
      </c>
      <c r="Y251" s="6">
        <f t="shared" si="30"/>
        <v>7.9709564613865094E-2</v>
      </c>
      <c r="AA251">
        <v>7338716</v>
      </c>
      <c r="AB251">
        <v>18902</v>
      </c>
      <c r="AD251" t="s">
        <v>2</v>
      </c>
      <c r="AE251">
        <v>20</v>
      </c>
      <c r="AF251">
        <v>9</v>
      </c>
      <c r="AH251" t="s">
        <v>9245</v>
      </c>
      <c r="AI251" t="s">
        <v>9244</v>
      </c>
      <c r="AJ251" t="s">
        <v>9243</v>
      </c>
      <c r="AK251" t="s">
        <v>9242</v>
      </c>
      <c r="AL251">
        <v>85</v>
      </c>
      <c r="AM251" s="5">
        <f t="shared" si="26"/>
        <v>4.25</v>
      </c>
      <c r="AN251" s="4">
        <f t="shared" si="31"/>
        <v>6.4369556985990157E-3</v>
      </c>
      <c r="AO251" s="3"/>
      <c r="AP251">
        <v>0</v>
      </c>
      <c r="AR251" t="s">
        <v>1</v>
      </c>
      <c r="AT251" s="2" t="s">
        <v>0</v>
      </c>
      <c r="AU251" s="1">
        <f t="shared" si="27"/>
        <v>5.7727781939285263</v>
      </c>
      <c r="AV251" s="1">
        <f t="shared" si="28"/>
        <v>4.3073260156232056</v>
      </c>
      <c r="AW251" s="1">
        <f t="shared" si="29"/>
        <v>2.8418738373178836</v>
      </c>
    </row>
    <row r="252" spans="1:49" x14ac:dyDescent="0.2">
      <c r="A252">
        <v>250</v>
      </c>
      <c r="B252" t="s">
        <v>9241</v>
      </c>
      <c r="C252" t="s">
        <v>9240</v>
      </c>
      <c r="D252" t="s">
        <v>9239</v>
      </c>
      <c r="F252" t="s">
        <v>9238</v>
      </c>
      <c r="G252" t="s">
        <v>5</v>
      </c>
      <c r="H252" t="s">
        <v>4</v>
      </c>
      <c r="I252" t="s">
        <v>1056</v>
      </c>
      <c r="J252" t="s">
        <v>9237</v>
      </c>
      <c r="K252" t="s">
        <v>9236</v>
      </c>
      <c r="L252" t="s">
        <v>9235</v>
      </c>
      <c r="M252" t="s">
        <v>11</v>
      </c>
      <c r="N252">
        <v>4</v>
      </c>
      <c r="O252" t="s">
        <v>9234</v>
      </c>
      <c r="P252" t="s">
        <v>9233</v>
      </c>
      <c r="Q252" t="s">
        <v>9232</v>
      </c>
      <c r="R252" s="7">
        <v>37591</v>
      </c>
      <c r="S252" s="8">
        <f t="shared" si="24"/>
        <v>2002</v>
      </c>
      <c r="T252" s="8">
        <v>2002</v>
      </c>
      <c r="U252" s="8">
        <f t="shared" si="25"/>
        <v>20</v>
      </c>
      <c r="V252" s="7">
        <v>37591</v>
      </c>
      <c r="W252" t="s">
        <v>311</v>
      </c>
      <c r="X252" s="2">
        <v>0.69899999999999995</v>
      </c>
      <c r="Y252" s="6">
        <f t="shared" si="30"/>
        <v>1.8659405782013295E-2</v>
      </c>
      <c r="AA252">
        <v>9244247</v>
      </c>
      <c r="AB252">
        <v>13660</v>
      </c>
      <c r="AD252" t="s">
        <v>2</v>
      </c>
      <c r="AE252">
        <v>102</v>
      </c>
      <c r="AF252" s="9">
        <v>44228</v>
      </c>
      <c r="AH252" t="s">
        <v>9231</v>
      </c>
      <c r="AI252" t="s">
        <v>9230</v>
      </c>
      <c r="AJ252" t="s">
        <v>9229</v>
      </c>
      <c r="AK252" t="s">
        <v>9228</v>
      </c>
      <c r="AL252">
        <v>19</v>
      </c>
      <c r="AM252" s="5">
        <f t="shared" si="26"/>
        <v>0.95</v>
      </c>
      <c r="AN252" s="4">
        <f t="shared" si="31"/>
        <v>1.4388489208633094E-3</v>
      </c>
      <c r="AO252" s="3"/>
      <c r="AP252">
        <v>0</v>
      </c>
      <c r="AQ252" t="s">
        <v>290</v>
      </c>
      <c r="AR252" t="s">
        <v>1052</v>
      </c>
      <c r="AS252" t="s">
        <v>289</v>
      </c>
      <c r="AT252" s="2" t="s">
        <v>0</v>
      </c>
      <c r="AU252" s="1">
        <f t="shared" si="27"/>
        <v>1.3493238723668299</v>
      </c>
      <c r="AV252" s="1">
        <f t="shared" si="28"/>
        <v>1.0049127351438303</v>
      </c>
      <c r="AW252" s="1">
        <f t="shared" si="29"/>
        <v>0.66050159792083041</v>
      </c>
    </row>
    <row r="253" spans="1:49" x14ac:dyDescent="0.2">
      <c r="A253">
        <v>251</v>
      </c>
      <c r="B253" t="s">
        <v>9227</v>
      </c>
      <c r="C253" t="s">
        <v>9226</v>
      </c>
      <c r="D253" t="s">
        <v>9225</v>
      </c>
      <c r="F253" t="s">
        <v>9224</v>
      </c>
      <c r="G253" t="s">
        <v>5</v>
      </c>
      <c r="H253" t="s">
        <v>4</v>
      </c>
      <c r="I253" t="s">
        <v>9223</v>
      </c>
      <c r="J253">
        <v>60004354</v>
      </c>
      <c r="K253" t="s">
        <v>213</v>
      </c>
      <c r="L253" t="s">
        <v>212</v>
      </c>
      <c r="M253" t="s">
        <v>7</v>
      </c>
      <c r="N253">
        <v>2</v>
      </c>
      <c r="O253" t="s">
        <v>9222</v>
      </c>
      <c r="P253" t="s">
        <v>9221</v>
      </c>
      <c r="Q253" t="s">
        <v>9220</v>
      </c>
      <c r="R253" s="7">
        <v>37591</v>
      </c>
      <c r="S253" s="8">
        <f t="shared" si="24"/>
        <v>2002</v>
      </c>
      <c r="T253" s="8">
        <v>2002</v>
      </c>
      <c r="U253" s="8">
        <f t="shared" si="25"/>
        <v>20</v>
      </c>
      <c r="V253" s="7">
        <v>37591</v>
      </c>
      <c r="W253" t="s">
        <v>628</v>
      </c>
      <c r="X253" s="2">
        <v>0.89900000000000002</v>
      </c>
      <c r="Y253" s="6">
        <f t="shared" si="30"/>
        <v>2.399829155655215E-2</v>
      </c>
      <c r="AA253">
        <v>221910</v>
      </c>
      <c r="AB253">
        <v>20487</v>
      </c>
      <c r="AD253" t="s">
        <v>2</v>
      </c>
      <c r="AE253">
        <v>48</v>
      </c>
      <c r="AF253">
        <v>12</v>
      </c>
      <c r="AH253" t="s">
        <v>9219</v>
      </c>
      <c r="AI253" t="s">
        <v>9218</v>
      </c>
      <c r="AJ253" t="s">
        <v>9217</v>
      </c>
      <c r="AK253" t="s">
        <v>9216</v>
      </c>
      <c r="AL253">
        <v>30</v>
      </c>
      <c r="AM253" s="5">
        <f t="shared" si="26"/>
        <v>1.5</v>
      </c>
      <c r="AN253" s="4">
        <f t="shared" si="31"/>
        <v>2.2718667171525938E-3</v>
      </c>
      <c r="AO253" s="3"/>
      <c r="AP253">
        <v>0</v>
      </c>
      <c r="AQ253" t="s">
        <v>799</v>
      </c>
      <c r="AR253">
        <v>6524</v>
      </c>
      <c r="AS253" t="s">
        <v>798</v>
      </c>
      <c r="AT253" s="2">
        <v>2.3540000000000001</v>
      </c>
      <c r="AU253" s="1">
        <f t="shared" si="27"/>
        <v>1.748036410473228</v>
      </c>
      <c r="AV253" s="1">
        <f t="shared" si="28"/>
        <v>1.3135079136852372</v>
      </c>
      <c r="AW253" s="1">
        <f t="shared" si="29"/>
        <v>0.8789794168972459</v>
      </c>
    </row>
    <row r="254" spans="1:49" x14ac:dyDescent="0.2">
      <c r="A254">
        <v>252</v>
      </c>
      <c r="B254" t="s">
        <v>9215</v>
      </c>
      <c r="C254" t="s">
        <v>9214</v>
      </c>
      <c r="D254" t="s">
        <v>9213</v>
      </c>
      <c r="F254" t="s">
        <v>9212</v>
      </c>
      <c r="G254" t="s">
        <v>5</v>
      </c>
      <c r="H254" t="s">
        <v>4</v>
      </c>
      <c r="I254" t="s">
        <v>9211</v>
      </c>
      <c r="J254" t="s">
        <v>9210</v>
      </c>
      <c r="K254" t="s">
        <v>9209</v>
      </c>
      <c r="L254" t="s">
        <v>9208</v>
      </c>
      <c r="M254" t="s">
        <v>9207</v>
      </c>
      <c r="N254">
        <v>3</v>
      </c>
      <c r="O254" t="s">
        <v>9206</v>
      </c>
      <c r="P254" t="s">
        <v>9205</v>
      </c>
      <c r="Q254" t="s">
        <v>9204</v>
      </c>
      <c r="R254" s="7">
        <v>37591</v>
      </c>
      <c r="S254" s="8">
        <f t="shared" si="24"/>
        <v>2002</v>
      </c>
      <c r="T254" s="8">
        <v>2002</v>
      </c>
      <c r="U254" s="8">
        <f t="shared" si="25"/>
        <v>20</v>
      </c>
      <c r="V254" s="7">
        <v>37591</v>
      </c>
      <c r="W254" t="s">
        <v>628</v>
      </c>
      <c r="X254" s="2">
        <v>0.89900000000000002</v>
      </c>
      <c r="Y254" s="6">
        <f t="shared" si="30"/>
        <v>2.399829155655215E-2</v>
      </c>
      <c r="AA254">
        <v>221910</v>
      </c>
      <c r="AB254">
        <v>20487</v>
      </c>
      <c r="AD254" t="s">
        <v>2</v>
      </c>
      <c r="AE254">
        <v>48</v>
      </c>
      <c r="AF254">
        <v>12</v>
      </c>
      <c r="AH254" t="s">
        <v>9203</v>
      </c>
      <c r="AI254" t="s">
        <v>9202</v>
      </c>
      <c r="AJ254" t="s">
        <v>9201</v>
      </c>
      <c r="AK254" t="s">
        <v>9200</v>
      </c>
      <c r="AL254">
        <v>20</v>
      </c>
      <c r="AM254" s="5">
        <f t="shared" si="26"/>
        <v>1</v>
      </c>
      <c r="AN254" s="4">
        <f t="shared" si="31"/>
        <v>1.5145778114350624E-3</v>
      </c>
      <c r="AO254" s="3"/>
      <c r="AP254">
        <v>0</v>
      </c>
      <c r="AR254" t="s">
        <v>1</v>
      </c>
      <c r="AT254" s="2">
        <v>2.3540000000000001</v>
      </c>
      <c r="AU254" s="1">
        <f t="shared" si="27"/>
        <v>1.725317743301702</v>
      </c>
      <c r="AV254" s="1">
        <f t="shared" si="28"/>
        <v>1.2756434683993605</v>
      </c>
      <c r="AW254" s="1">
        <f t="shared" si="29"/>
        <v>0.82596919349701881</v>
      </c>
    </row>
    <row r="255" spans="1:49" x14ac:dyDescent="0.2">
      <c r="A255">
        <v>253</v>
      </c>
      <c r="B255" t="s">
        <v>9199</v>
      </c>
      <c r="C255" t="s">
        <v>9198</v>
      </c>
      <c r="F255" t="s">
        <v>9197</v>
      </c>
      <c r="G255" t="s">
        <v>5</v>
      </c>
      <c r="H255" t="s">
        <v>4</v>
      </c>
      <c r="I255" t="s">
        <v>9196</v>
      </c>
      <c r="J255" t="s">
        <v>9195</v>
      </c>
      <c r="K255" t="s">
        <v>9194</v>
      </c>
      <c r="L255" t="s">
        <v>9193</v>
      </c>
      <c r="M255" t="s">
        <v>9192</v>
      </c>
      <c r="N255">
        <v>6</v>
      </c>
      <c r="O255" t="s">
        <v>9191</v>
      </c>
      <c r="P255" t="s">
        <v>9190</v>
      </c>
      <c r="Q255" t="s">
        <v>9189</v>
      </c>
      <c r="R255" s="7">
        <v>37591</v>
      </c>
      <c r="S255" s="8">
        <f t="shared" si="24"/>
        <v>2002</v>
      </c>
      <c r="T255" s="8">
        <v>2002</v>
      </c>
      <c r="U255" s="8">
        <f t="shared" si="25"/>
        <v>20</v>
      </c>
      <c r="V255" s="7">
        <v>37591</v>
      </c>
      <c r="W255" t="s">
        <v>9188</v>
      </c>
      <c r="X255" s="2">
        <v>0.66700000000000004</v>
      </c>
      <c r="Y255" s="6">
        <f t="shared" si="30"/>
        <v>1.7805184058087078E-2</v>
      </c>
      <c r="AA255">
        <v>9066691</v>
      </c>
      <c r="AB255">
        <v>21449</v>
      </c>
      <c r="AD255" t="s">
        <v>2</v>
      </c>
      <c r="AE255">
        <v>11</v>
      </c>
      <c r="AF255">
        <v>4</v>
      </c>
      <c r="AH255" t="s">
        <v>9187</v>
      </c>
      <c r="AI255" t="s">
        <v>9186</v>
      </c>
      <c r="AJ255" t="s">
        <v>9185</v>
      </c>
      <c r="AK255" t="s">
        <v>9184</v>
      </c>
      <c r="AL255">
        <v>13</v>
      </c>
      <c r="AM255" s="5">
        <f t="shared" si="26"/>
        <v>0.65</v>
      </c>
      <c r="AN255" s="4">
        <f t="shared" si="31"/>
        <v>9.8447557743279067E-4</v>
      </c>
      <c r="AO255" s="3"/>
      <c r="AP255">
        <v>0</v>
      </c>
      <c r="AR255" t="s">
        <v>1</v>
      </c>
      <c r="AT255" s="2">
        <v>2.0390000000000001</v>
      </c>
      <c r="AU255" s="1">
        <f t="shared" si="27"/>
        <v>1.2758971513890791</v>
      </c>
      <c r="AV255" s="1">
        <f t="shared" si="28"/>
        <v>0.93948298177599343</v>
      </c>
      <c r="AW255" s="1">
        <f t="shared" si="29"/>
        <v>0.60306881216290764</v>
      </c>
    </row>
    <row r="256" spans="1:49" x14ac:dyDescent="0.2">
      <c r="A256">
        <v>254</v>
      </c>
      <c r="B256" t="s">
        <v>9183</v>
      </c>
      <c r="C256" t="s">
        <v>9182</v>
      </c>
      <c r="D256" t="s">
        <v>9181</v>
      </c>
      <c r="F256" t="s">
        <v>9180</v>
      </c>
      <c r="G256" t="s">
        <v>5</v>
      </c>
      <c r="H256" t="s">
        <v>4</v>
      </c>
      <c r="I256" t="s">
        <v>9179</v>
      </c>
      <c r="J256" t="s">
        <v>9178</v>
      </c>
      <c r="K256" t="s">
        <v>9177</v>
      </c>
      <c r="L256" t="s">
        <v>9176</v>
      </c>
      <c r="M256" t="s">
        <v>9175</v>
      </c>
      <c r="N256">
        <v>4</v>
      </c>
      <c r="O256" t="s">
        <v>9174</v>
      </c>
      <c r="P256" t="s">
        <v>9173</v>
      </c>
      <c r="Q256" t="s">
        <v>9172</v>
      </c>
      <c r="R256" s="7">
        <v>37591</v>
      </c>
      <c r="S256" s="8">
        <f t="shared" si="24"/>
        <v>2002</v>
      </c>
      <c r="T256" s="8">
        <v>2002</v>
      </c>
      <c r="U256" s="8">
        <f t="shared" si="25"/>
        <v>20</v>
      </c>
      <c r="V256" s="7">
        <v>37591</v>
      </c>
      <c r="W256" t="s">
        <v>596</v>
      </c>
      <c r="X256" s="2">
        <v>0.627</v>
      </c>
      <c r="Y256" s="6">
        <f t="shared" si="30"/>
        <v>1.6737406903179305E-2</v>
      </c>
      <c r="AA256">
        <v>9269851</v>
      </c>
      <c r="AB256">
        <v>28435</v>
      </c>
      <c r="AD256" t="s">
        <v>2</v>
      </c>
      <c r="AE256">
        <v>51</v>
      </c>
      <c r="AF256" s="9">
        <v>44288</v>
      </c>
      <c r="AH256" t="s">
        <v>9171</v>
      </c>
      <c r="AI256" t="s">
        <v>9170</v>
      </c>
      <c r="AJ256" t="s">
        <v>9169</v>
      </c>
      <c r="AK256" t="s">
        <v>9168</v>
      </c>
      <c r="AL256">
        <v>101</v>
      </c>
      <c r="AM256" s="5">
        <f t="shared" si="26"/>
        <v>5.05</v>
      </c>
      <c r="AN256" s="4">
        <f t="shared" si="31"/>
        <v>7.6486179477470656E-3</v>
      </c>
      <c r="AO256" s="3"/>
      <c r="AP256">
        <v>0</v>
      </c>
      <c r="AQ256" t="s">
        <v>9167</v>
      </c>
      <c r="AR256" t="s">
        <v>1</v>
      </c>
      <c r="AS256" t="s">
        <v>9166</v>
      </c>
      <c r="AT256" s="2">
        <v>2.121</v>
      </c>
      <c r="AU256" s="1">
        <f t="shared" si="27"/>
        <v>1.4010770216549633</v>
      </c>
      <c r="AV256" s="1">
        <f t="shared" si="28"/>
        <v>1.2193012425463186</v>
      </c>
      <c r="AW256" s="1">
        <f t="shared" si="29"/>
        <v>1.0375254634376736</v>
      </c>
    </row>
    <row r="257" spans="1:49" x14ac:dyDescent="0.2">
      <c r="A257">
        <v>255</v>
      </c>
      <c r="B257" t="s">
        <v>9165</v>
      </c>
      <c r="C257" t="s">
        <v>9164</v>
      </c>
      <c r="D257" t="s">
        <v>9163</v>
      </c>
      <c r="E257">
        <v>12429129</v>
      </c>
      <c r="F257" t="s">
        <v>9162</v>
      </c>
      <c r="G257" t="s">
        <v>5</v>
      </c>
      <c r="H257" t="s">
        <v>4</v>
      </c>
      <c r="I257" t="s">
        <v>9161</v>
      </c>
      <c r="J257">
        <v>60014439</v>
      </c>
      <c r="K257" t="s">
        <v>1120</v>
      </c>
      <c r="L257" t="s">
        <v>1119</v>
      </c>
      <c r="M257" t="s">
        <v>7</v>
      </c>
      <c r="N257">
        <v>2</v>
      </c>
      <c r="O257" t="s">
        <v>9160</v>
      </c>
      <c r="P257" t="s">
        <v>9159</v>
      </c>
      <c r="Q257" t="s">
        <v>9158</v>
      </c>
      <c r="R257" s="7">
        <v>37591</v>
      </c>
      <c r="S257" s="8">
        <f t="shared" si="24"/>
        <v>2002</v>
      </c>
      <c r="T257" s="8">
        <v>2002</v>
      </c>
      <c r="U257" s="8">
        <f t="shared" si="25"/>
        <v>20</v>
      </c>
      <c r="V257" s="7">
        <v>37591</v>
      </c>
      <c r="W257" t="s">
        <v>7546</v>
      </c>
      <c r="X257" s="2">
        <v>1.718</v>
      </c>
      <c r="Y257" s="6">
        <f t="shared" si="30"/>
        <v>4.5861028803288753E-2</v>
      </c>
      <c r="AA257">
        <v>9651748</v>
      </c>
      <c r="AB257">
        <v>20384</v>
      </c>
      <c r="AD257" t="s">
        <v>2</v>
      </c>
      <c r="AE257">
        <v>32</v>
      </c>
      <c r="AF257">
        <v>12</v>
      </c>
      <c r="AH257" t="s">
        <v>9157</v>
      </c>
      <c r="AI257" t="s">
        <v>9156</v>
      </c>
      <c r="AJ257" t="s">
        <v>9155</v>
      </c>
      <c r="AK257" t="s">
        <v>9154</v>
      </c>
      <c r="AL257">
        <v>62</v>
      </c>
      <c r="AM257" s="5">
        <f t="shared" si="26"/>
        <v>3.1</v>
      </c>
      <c r="AN257" s="4">
        <f t="shared" si="31"/>
        <v>4.6951912154486941E-3</v>
      </c>
      <c r="AO257" s="3"/>
      <c r="AP257">
        <v>0</v>
      </c>
      <c r="AQ257" t="s">
        <v>9153</v>
      </c>
      <c r="AR257" t="s">
        <v>9152</v>
      </c>
      <c r="AS257" t="s">
        <v>9151</v>
      </c>
      <c r="AT257" s="2" t="s">
        <v>0</v>
      </c>
      <c r="AU257" s="1">
        <f t="shared" si="27"/>
        <v>3.3511277526936731</v>
      </c>
      <c r="AV257" s="1">
        <f t="shared" si="28"/>
        <v>2.5278110009368726</v>
      </c>
      <c r="AW257" s="1">
        <f t="shared" si="29"/>
        <v>1.7044942491800712</v>
      </c>
    </row>
    <row r="258" spans="1:49" x14ac:dyDescent="0.2">
      <c r="A258">
        <v>256</v>
      </c>
      <c r="B258" t="s">
        <v>9150</v>
      </c>
      <c r="C258" t="s">
        <v>9149</v>
      </c>
      <c r="D258" t="s">
        <v>9148</v>
      </c>
      <c r="F258" t="s">
        <v>9147</v>
      </c>
      <c r="G258" t="s">
        <v>5</v>
      </c>
      <c r="H258" t="s">
        <v>4</v>
      </c>
      <c r="I258" t="s">
        <v>9146</v>
      </c>
      <c r="J258">
        <v>60002575</v>
      </c>
      <c r="K258" t="s">
        <v>9145</v>
      </c>
      <c r="L258" t="s">
        <v>7137</v>
      </c>
      <c r="M258" t="s">
        <v>800</v>
      </c>
      <c r="N258">
        <v>1</v>
      </c>
      <c r="O258" t="s">
        <v>9144</v>
      </c>
      <c r="P258">
        <v>7005141896</v>
      </c>
      <c r="Q258">
        <v>60002575</v>
      </c>
      <c r="R258" s="7">
        <v>37591</v>
      </c>
      <c r="S258" s="8">
        <f t="shared" ref="S258:S321" si="32">YEAR(R258)</f>
        <v>2002</v>
      </c>
      <c r="T258" s="8">
        <v>2002</v>
      </c>
      <c r="U258" s="8">
        <f t="shared" ref="U258:U321" si="33">2022-T258</f>
        <v>20</v>
      </c>
      <c r="V258" s="7">
        <v>37591</v>
      </c>
      <c r="W258" t="s">
        <v>9143</v>
      </c>
      <c r="X258" s="2">
        <v>1.6619999999999999</v>
      </c>
      <c r="Y258" s="6">
        <f t="shared" si="30"/>
        <v>4.4366140786417874E-2</v>
      </c>
      <c r="AA258">
        <v>9500618</v>
      </c>
      <c r="AB258">
        <v>24443</v>
      </c>
      <c r="AD258" t="s">
        <v>2</v>
      </c>
      <c r="AE258">
        <v>16</v>
      </c>
      <c r="AF258">
        <v>8</v>
      </c>
      <c r="AH258" t="s">
        <v>9142</v>
      </c>
      <c r="AI258" t="s">
        <v>9141</v>
      </c>
      <c r="AJ258" t="s">
        <v>9140</v>
      </c>
      <c r="AK258" t="s">
        <v>9139</v>
      </c>
      <c r="AL258">
        <v>5</v>
      </c>
      <c r="AM258" s="5">
        <f t="shared" ref="AM258:AM321" si="34">AL258/U258</f>
        <v>0.25</v>
      </c>
      <c r="AN258" s="4">
        <f t="shared" si="31"/>
        <v>3.786444528587656E-4</v>
      </c>
      <c r="AO258" s="3"/>
      <c r="AP258">
        <v>0</v>
      </c>
      <c r="AR258" t="s">
        <v>1</v>
      </c>
      <c r="AT258" s="2">
        <v>6.141</v>
      </c>
      <c r="AU258" s="1">
        <f t="shared" ref="AU258:AU321" si="35">(Y258*0.7+AN258*0.3)*100</f>
        <v>3.1169891886350136</v>
      </c>
      <c r="AV258" s="1">
        <f t="shared" ref="AV258:AV321" si="36">(Y258*0.5+AN258*0.5)*100</f>
        <v>2.2372392619638322</v>
      </c>
      <c r="AW258" s="1">
        <f t="shared" ref="AW258:AW321" si="37">(Y258*0.3+AN258*0.7)*100</f>
        <v>1.3574893352926498</v>
      </c>
    </row>
    <row r="259" spans="1:49" x14ac:dyDescent="0.2">
      <c r="A259">
        <v>257</v>
      </c>
      <c r="B259" t="s">
        <v>9138</v>
      </c>
      <c r="C259" t="s">
        <v>9137</v>
      </c>
      <c r="D259" t="s">
        <v>9136</v>
      </c>
      <c r="F259" t="s">
        <v>9135</v>
      </c>
      <c r="G259" t="s">
        <v>5</v>
      </c>
      <c r="H259" t="s">
        <v>4</v>
      </c>
      <c r="I259" t="s">
        <v>584</v>
      </c>
      <c r="J259">
        <v>60022144</v>
      </c>
      <c r="K259" t="s">
        <v>583</v>
      </c>
      <c r="L259" t="s">
        <v>582</v>
      </c>
      <c r="M259" t="s">
        <v>7</v>
      </c>
      <c r="N259">
        <v>2</v>
      </c>
      <c r="O259" t="s">
        <v>581</v>
      </c>
      <c r="P259" t="s">
        <v>580</v>
      </c>
      <c r="Q259" t="s">
        <v>579</v>
      </c>
      <c r="R259" s="7">
        <v>37591</v>
      </c>
      <c r="S259" s="8">
        <f t="shared" si="32"/>
        <v>2002</v>
      </c>
      <c r="T259" s="8">
        <v>2002</v>
      </c>
      <c r="U259" s="8">
        <f t="shared" si="33"/>
        <v>20</v>
      </c>
      <c r="V259" s="7">
        <v>37591</v>
      </c>
      <c r="W259" t="s">
        <v>9134</v>
      </c>
      <c r="X259" s="2">
        <v>0.54200000000000004</v>
      </c>
      <c r="Y259" s="6">
        <f t="shared" ref="Y259:Y322" si="38">(X259-$Z$3)/($Z$2-$Z$3)</f>
        <v>1.4468380449000295E-2</v>
      </c>
      <c r="AA259">
        <v>13504495</v>
      </c>
      <c r="AB259">
        <v>12121</v>
      </c>
      <c r="AD259" t="s">
        <v>2</v>
      </c>
      <c r="AE259">
        <v>43</v>
      </c>
      <c r="AF259">
        <v>6</v>
      </c>
      <c r="AH259" t="s">
        <v>9133</v>
      </c>
      <c r="AI259" t="s">
        <v>9132</v>
      </c>
      <c r="AJ259" t="s">
        <v>9131</v>
      </c>
      <c r="AK259" t="s">
        <v>9130</v>
      </c>
      <c r="AL259">
        <v>15</v>
      </c>
      <c r="AM259" s="5">
        <f t="shared" si="34"/>
        <v>0.75</v>
      </c>
      <c r="AN259" s="4">
        <f t="shared" ref="AN259:AN322" si="39">(AM259-$AO$3)/($AO$2-$AO$3)</f>
        <v>1.1359333585762969E-3</v>
      </c>
      <c r="AO259" s="3"/>
      <c r="AP259">
        <v>0</v>
      </c>
      <c r="AQ259" t="s">
        <v>368</v>
      </c>
      <c r="AR259" t="s">
        <v>1</v>
      </c>
      <c r="AS259" t="s">
        <v>367</v>
      </c>
      <c r="AT259" s="2" t="s">
        <v>0</v>
      </c>
      <c r="AU259" s="1">
        <f t="shared" si="35"/>
        <v>1.0468646321873094</v>
      </c>
      <c r="AV259" s="1">
        <f t="shared" si="36"/>
        <v>0.78021569037882965</v>
      </c>
      <c r="AW259" s="1">
        <f t="shared" si="37"/>
        <v>0.51356674857034956</v>
      </c>
    </row>
    <row r="260" spans="1:49" x14ac:dyDescent="0.2">
      <c r="A260">
        <v>258</v>
      </c>
      <c r="B260" t="s">
        <v>9129</v>
      </c>
      <c r="C260" t="s">
        <v>9128</v>
      </c>
      <c r="F260" t="s">
        <v>9127</v>
      </c>
      <c r="G260" t="s">
        <v>5</v>
      </c>
      <c r="H260" t="s">
        <v>4</v>
      </c>
      <c r="I260" t="s">
        <v>9126</v>
      </c>
      <c r="J260" t="s">
        <v>9125</v>
      </c>
      <c r="K260" t="s">
        <v>9124</v>
      </c>
      <c r="L260" t="s">
        <v>9123</v>
      </c>
      <c r="M260" t="s">
        <v>9122</v>
      </c>
      <c r="N260">
        <v>6</v>
      </c>
      <c r="O260" t="s">
        <v>9121</v>
      </c>
      <c r="P260" t="s">
        <v>9120</v>
      </c>
      <c r="Q260" t="s">
        <v>9119</v>
      </c>
      <c r="R260" s="7">
        <v>37591</v>
      </c>
      <c r="S260" s="8">
        <f t="shared" si="32"/>
        <v>2002</v>
      </c>
      <c r="T260" s="8">
        <v>2002</v>
      </c>
      <c r="U260" s="8">
        <f t="shared" si="33"/>
        <v>20</v>
      </c>
      <c r="V260" s="7">
        <v>2002</v>
      </c>
      <c r="W260" t="s">
        <v>1029</v>
      </c>
      <c r="X260" s="2">
        <v>0.24399999999999999</v>
      </c>
      <c r="Y260" s="6">
        <f t="shared" si="38"/>
        <v>6.5134406449374018E-3</v>
      </c>
      <c r="AA260">
        <v>84204</v>
      </c>
      <c r="AB260">
        <v>27420</v>
      </c>
      <c r="AD260" t="s">
        <v>2</v>
      </c>
      <c r="AE260">
        <v>80</v>
      </c>
      <c r="AF260">
        <v>4</v>
      </c>
      <c r="AH260" t="s">
        <v>9118</v>
      </c>
      <c r="AI260" t="s">
        <v>9117</v>
      </c>
      <c r="AK260" t="s">
        <v>9116</v>
      </c>
      <c r="AL260">
        <v>21</v>
      </c>
      <c r="AM260" s="5">
        <f t="shared" si="34"/>
        <v>1.05</v>
      </c>
      <c r="AN260" s="4">
        <f t="shared" si="39"/>
        <v>1.5903067020068156E-3</v>
      </c>
      <c r="AO260" s="3"/>
      <c r="AP260">
        <v>0</v>
      </c>
      <c r="AR260" t="s">
        <v>1</v>
      </c>
      <c r="AT260" s="2">
        <v>1.24</v>
      </c>
      <c r="AU260" s="1">
        <f t="shared" si="35"/>
        <v>0.50365004620582254</v>
      </c>
      <c r="AV260" s="1">
        <f t="shared" si="36"/>
        <v>0.40518736734721089</v>
      </c>
      <c r="AW260" s="1">
        <f t="shared" si="37"/>
        <v>0.30672468848859907</v>
      </c>
    </row>
    <row r="261" spans="1:49" x14ac:dyDescent="0.2">
      <c r="A261">
        <v>259</v>
      </c>
      <c r="B261" t="s">
        <v>9115</v>
      </c>
      <c r="C261" t="s">
        <v>9114</v>
      </c>
      <c r="E261">
        <v>11956304</v>
      </c>
      <c r="F261" t="s">
        <v>9113</v>
      </c>
      <c r="G261" t="s">
        <v>5</v>
      </c>
      <c r="H261" t="s">
        <v>4</v>
      </c>
      <c r="I261" t="s">
        <v>9112</v>
      </c>
      <c r="J261">
        <v>60013473</v>
      </c>
      <c r="K261" t="s">
        <v>9111</v>
      </c>
      <c r="L261" t="s">
        <v>9110</v>
      </c>
      <c r="M261" t="s">
        <v>36</v>
      </c>
      <c r="N261">
        <v>11</v>
      </c>
      <c r="O261" t="s">
        <v>9109</v>
      </c>
      <c r="P261" t="s">
        <v>9108</v>
      </c>
      <c r="Q261" t="s">
        <v>9107</v>
      </c>
      <c r="R261" s="7">
        <v>37591</v>
      </c>
      <c r="S261" s="8">
        <f t="shared" si="32"/>
        <v>2002</v>
      </c>
      <c r="T261" s="8">
        <v>2002</v>
      </c>
      <c r="U261" s="8">
        <f t="shared" si="33"/>
        <v>20</v>
      </c>
      <c r="V261" s="7">
        <v>2002</v>
      </c>
      <c r="W261" t="s">
        <v>9106</v>
      </c>
      <c r="X261" s="2">
        <v>0.76800000000000002</v>
      </c>
      <c r="Y261" s="6">
        <f t="shared" si="38"/>
        <v>2.0501321374229199E-2</v>
      </c>
      <c r="AA261">
        <v>3682811</v>
      </c>
      <c r="AB261">
        <v>29927</v>
      </c>
      <c r="AD261" t="s">
        <v>2</v>
      </c>
      <c r="AE261">
        <v>32</v>
      </c>
      <c r="AF261">
        <v>3</v>
      </c>
      <c r="AH261" t="s">
        <v>9105</v>
      </c>
      <c r="AI261" t="s">
        <v>9104</v>
      </c>
      <c r="AJ261" t="s">
        <v>9103</v>
      </c>
      <c r="AK261" t="s">
        <v>9102</v>
      </c>
      <c r="AL261">
        <v>22</v>
      </c>
      <c r="AM261" s="5">
        <f t="shared" si="34"/>
        <v>1.1000000000000001</v>
      </c>
      <c r="AN261" s="4">
        <f t="shared" si="39"/>
        <v>1.6660355925785689E-3</v>
      </c>
      <c r="AO261" s="3"/>
      <c r="AP261">
        <v>0</v>
      </c>
      <c r="AR261" t="s">
        <v>1</v>
      </c>
      <c r="AT261" s="2">
        <v>3.0190000000000001</v>
      </c>
      <c r="AU261" s="1">
        <f t="shared" si="35"/>
        <v>1.485073563973401</v>
      </c>
      <c r="AV261" s="1">
        <f t="shared" si="36"/>
        <v>1.1083678483403885</v>
      </c>
      <c r="AW261" s="1">
        <f t="shared" si="37"/>
        <v>0.73166213270737579</v>
      </c>
    </row>
    <row r="262" spans="1:49" x14ac:dyDescent="0.2">
      <c r="A262">
        <v>260</v>
      </c>
      <c r="B262" t="s">
        <v>9101</v>
      </c>
      <c r="C262" t="s">
        <v>9100</v>
      </c>
      <c r="F262" t="s">
        <v>9099</v>
      </c>
      <c r="G262" t="s">
        <v>5</v>
      </c>
      <c r="H262" t="s">
        <v>4</v>
      </c>
      <c r="I262" t="s">
        <v>9098</v>
      </c>
      <c r="J262">
        <v>60032330</v>
      </c>
      <c r="K262" t="s">
        <v>1017</v>
      </c>
      <c r="L262" t="s">
        <v>1016</v>
      </c>
      <c r="M262" t="s">
        <v>152</v>
      </c>
      <c r="N262">
        <v>6</v>
      </c>
      <c r="O262" t="s">
        <v>9097</v>
      </c>
      <c r="P262" t="s">
        <v>9096</v>
      </c>
      <c r="Q262" t="s">
        <v>9095</v>
      </c>
      <c r="R262" s="7">
        <v>37591</v>
      </c>
      <c r="S262" s="8">
        <f t="shared" si="32"/>
        <v>2002</v>
      </c>
      <c r="T262" s="8">
        <v>2002</v>
      </c>
      <c r="U262" s="8">
        <f t="shared" si="33"/>
        <v>20</v>
      </c>
      <c r="V262" s="7">
        <v>2002</v>
      </c>
      <c r="W262" t="s">
        <v>9094</v>
      </c>
      <c r="X262" s="2">
        <v>0.36199999999999999</v>
      </c>
      <c r="Y262" s="6">
        <f t="shared" si="38"/>
        <v>9.6633832519153248E-3</v>
      </c>
      <c r="AA262">
        <v>1915665</v>
      </c>
      <c r="AB262">
        <v>13614</v>
      </c>
      <c r="AD262" t="s">
        <v>2</v>
      </c>
      <c r="AE262">
        <v>38</v>
      </c>
      <c r="AF262">
        <v>5</v>
      </c>
      <c r="AH262" t="s">
        <v>9093</v>
      </c>
      <c r="AI262" t="s">
        <v>9092</v>
      </c>
      <c r="AJ262" t="s">
        <v>9091</v>
      </c>
      <c r="AK262" t="s">
        <v>9090</v>
      </c>
      <c r="AL262">
        <v>13</v>
      </c>
      <c r="AM262" s="5">
        <f t="shared" si="34"/>
        <v>0.65</v>
      </c>
      <c r="AN262" s="4">
        <f t="shared" si="39"/>
        <v>9.8447557743279067E-4</v>
      </c>
      <c r="AO262" s="3"/>
      <c r="AP262">
        <v>0</v>
      </c>
      <c r="AQ262" t="s">
        <v>626</v>
      </c>
      <c r="AR262" t="s">
        <v>9089</v>
      </c>
      <c r="AS262" t="s">
        <v>625</v>
      </c>
      <c r="AT262" s="2">
        <v>1.333</v>
      </c>
      <c r="AU262" s="1">
        <f t="shared" si="35"/>
        <v>0.70597109495705634</v>
      </c>
      <c r="AV262" s="1">
        <f t="shared" si="36"/>
        <v>0.53239294146740579</v>
      </c>
      <c r="AW262" s="1">
        <f t="shared" si="37"/>
        <v>0.35881478797775512</v>
      </c>
    </row>
    <row r="263" spans="1:49" x14ac:dyDescent="0.2">
      <c r="A263">
        <v>261</v>
      </c>
      <c r="B263" t="s">
        <v>9088</v>
      </c>
      <c r="C263" t="s">
        <v>9087</v>
      </c>
      <c r="F263" t="s">
        <v>9086</v>
      </c>
      <c r="G263" t="s">
        <v>5</v>
      </c>
      <c r="H263" t="s">
        <v>4</v>
      </c>
      <c r="I263" t="s">
        <v>9085</v>
      </c>
      <c r="J263" t="s">
        <v>9084</v>
      </c>
      <c r="K263" t="s">
        <v>9083</v>
      </c>
      <c r="L263" t="s">
        <v>9082</v>
      </c>
      <c r="M263" t="s">
        <v>9081</v>
      </c>
      <c r="N263">
        <v>4</v>
      </c>
      <c r="O263" t="s">
        <v>9080</v>
      </c>
      <c r="P263" t="s">
        <v>9079</v>
      </c>
      <c r="Q263" t="s">
        <v>9078</v>
      </c>
      <c r="R263" s="7">
        <v>37591</v>
      </c>
      <c r="S263" s="8">
        <f t="shared" si="32"/>
        <v>2002</v>
      </c>
      <c r="T263" s="8">
        <v>2002</v>
      </c>
      <c r="U263" s="8">
        <f t="shared" si="33"/>
        <v>20</v>
      </c>
      <c r="V263" s="7">
        <v>2002</v>
      </c>
      <c r="W263" t="s">
        <v>9041</v>
      </c>
      <c r="X263" s="2">
        <v>2.294</v>
      </c>
      <c r="Y263" s="6">
        <f t="shared" si="38"/>
        <v>6.1237019833960654E-2</v>
      </c>
      <c r="AA263">
        <v>46280</v>
      </c>
      <c r="AB263">
        <v>27781</v>
      </c>
      <c r="AD263" t="s">
        <v>2</v>
      </c>
      <c r="AE263">
        <v>114</v>
      </c>
      <c r="AF263">
        <v>800</v>
      </c>
      <c r="AH263" t="s">
        <v>9077</v>
      </c>
      <c r="AI263" t="s">
        <v>9076</v>
      </c>
      <c r="AK263" t="s">
        <v>9075</v>
      </c>
      <c r="AL263">
        <v>4</v>
      </c>
      <c r="AM263" s="5">
        <f t="shared" si="34"/>
        <v>0.2</v>
      </c>
      <c r="AN263" s="4">
        <f t="shared" si="39"/>
        <v>3.0291556228701253E-4</v>
      </c>
      <c r="AO263" s="3"/>
      <c r="AP263">
        <v>0</v>
      </c>
      <c r="AR263" t="s">
        <v>1</v>
      </c>
      <c r="AT263" s="2" t="s">
        <v>0</v>
      </c>
      <c r="AU263" s="1">
        <f t="shared" si="35"/>
        <v>4.295678855245856</v>
      </c>
      <c r="AV263" s="1">
        <f t="shared" si="36"/>
        <v>3.076996769812383</v>
      </c>
      <c r="AW263" s="1">
        <f t="shared" si="37"/>
        <v>1.8583146843789102</v>
      </c>
    </row>
    <row r="264" spans="1:49" x14ac:dyDescent="0.2">
      <c r="A264">
        <v>262</v>
      </c>
      <c r="B264" t="s">
        <v>9074</v>
      </c>
      <c r="C264" t="s">
        <v>9073</v>
      </c>
      <c r="F264" t="s">
        <v>9072</v>
      </c>
      <c r="G264" t="s">
        <v>5</v>
      </c>
      <c r="H264" t="s">
        <v>4</v>
      </c>
      <c r="I264" t="s">
        <v>9071</v>
      </c>
      <c r="J264">
        <v>60031581</v>
      </c>
      <c r="K264" t="s">
        <v>2082</v>
      </c>
      <c r="L264" t="s">
        <v>650</v>
      </c>
      <c r="M264" t="s">
        <v>7</v>
      </c>
      <c r="N264">
        <v>1</v>
      </c>
      <c r="O264" t="s">
        <v>9070</v>
      </c>
      <c r="P264">
        <v>57208870720</v>
      </c>
      <c r="Q264">
        <v>60031581</v>
      </c>
      <c r="R264" s="7">
        <v>37591</v>
      </c>
      <c r="S264" s="8">
        <f t="shared" si="32"/>
        <v>2002</v>
      </c>
      <c r="T264" s="8">
        <v>2002</v>
      </c>
      <c r="U264" s="8">
        <f t="shared" si="33"/>
        <v>20</v>
      </c>
      <c r="V264" s="7">
        <v>2002</v>
      </c>
      <c r="W264" t="s">
        <v>9069</v>
      </c>
      <c r="X264" s="2">
        <v>0.82199999999999995</v>
      </c>
      <c r="Y264" s="6">
        <f t="shared" si="38"/>
        <v>2.1942820533354689E-2</v>
      </c>
      <c r="AA264">
        <v>17701</v>
      </c>
      <c r="AB264">
        <v>27975</v>
      </c>
      <c r="AD264" t="s">
        <v>2</v>
      </c>
      <c r="AE264">
        <v>34</v>
      </c>
      <c r="AF264">
        <v>3</v>
      </c>
      <c r="AH264" t="s">
        <v>9068</v>
      </c>
      <c r="AI264" t="s">
        <v>9067</v>
      </c>
      <c r="AJ264" t="s">
        <v>9066</v>
      </c>
      <c r="AK264" t="s">
        <v>9065</v>
      </c>
      <c r="AL264">
        <v>0</v>
      </c>
      <c r="AM264" s="5">
        <f t="shared" si="34"/>
        <v>0</v>
      </c>
      <c r="AN264" s="4">
        <f t="shared" si="39"/>
        <v>0</v>
      </c>
      <c r="AO264" s="3"/>
      <c r="AP264">
        <v>0</v>
      </c>
      <c r="AR264" t="s">
        <v>1</v>
      </c>
      <c r="AT264" s="2">
        <v>2.5129999999999999</v>
      </c>
      <c r="AU264" s="1">
        <f t="shared" si="35"/>
        <v>1.5359974373348282</v>
      </c>
      <c r="AV264" s="1">
        <f t="shared" si="36"/>
        <v>1.0971410266677344</v>
      </c>
      <c r="AW264" s="1">
        <f t="shared" si="37"/>
        <v>0.65828461600064059</v>
      </c>
    </row>
    <row r="265" spans="1:49" x14ac:dyDescent="0.2">
      <c r="A265">
        <v>263</v>
      </c>
      <c r="B265" t="s">
        <v>9064</v>
      </c>
      <c r="C265" t="s">
        <v>9063</v>
      </c>
      <c r="F265" t="s">
        <v>9062</v>
      </c>
      <c r="G265" t="s">
        <v>5</v>
      </c>
      <c r="H265" t="s">
        <v>4</v>
      </c>
      <c r="I265" t="s">
        <v>9061</v>
      </c>
      <c r="J265" t="s">
        <v>9060</v>
      </c>
      <c r="K265" t="s">
        <v>9059</v>
      </c>
      <c r="L265" t="s">
        <v>233</v>
      </c>
      <c r="M265" t="s">
        <v>3</v>
      </c>
      <c r="N265">
        <v>3</v>
      </c>
      <c r="O265" t="s">
        <v>232</v>
      </c>
      <c r="P265" t="s">
        <v>231</v>
      </c>
      <c r="Q265" t="s">
        <v>9058</v>
      </c>
      <c r="R265" s="7">
        <v>37591</v>
      </c>
      <c r="S265" s="8">
        <f t="shared" si="32"/>
        <v>2002</v>
      </c>
      <c r="T265" s="8">
        <v>2002</v>
      </c>
      <c r="U265" s="8">
        <f t="shared" si="33"/>
        <v>20</v>
      </c>
      <c r="V265" s="7">
        <v>2002</v>
      </c>
      <c r="W265" t="s">
        <v>9057</v>
      </c>
      <c r="X265" s="2">
        <v>1.0029999999999999</v>
      </c>
      <c r="Y265" s="6">
        <f t="shared" si="38"/>
        <v>2.6774512159312348E-2</v>
      </c>
      <c r="AA265">
        <v>10197168</v>
      </c>
      <c r="AB265">
        <v>28041</v>
      </c>
      <c r="AD265" t="s">
        <v>2</v>
      </c>
      <c r="AE265">
        <v>16</v>
      </c>
      <c r="AF265" s="9">
        <v>44257</v>
      </c>
      <c r="AH265" t="s">
        <v>9056</v>
      </c>
      <c r="AI265" t="s">
        <v>9055</v>
      </c>
      <c r="AJ265" t="s">
        <v>9054</v>
      </c>
      <c r="AK265" t="s">
        <v>9053</v>
      </c>
      <c r="AL265">
        <v>5</v>
      </c>
      <c r="AM265" s="5">
        <f t="shared" si="34"/>
        <v>0.25</v>
      </c>
      <c r="AN265" s="4">
        <f t="shared" si="39"/>
        <v>3.786444528587656E-4</v>
      </c>
      <c r="AO265" s="3"/>
      <c r="AP265">
        <v>0</v>
      </c>
      <c r="AR265" t="s">
        <v>1</v>
      </c>
      <c r="AT265" s="2" t="s">
        <v>0</v>
      </c>
      <c r="AU265" s="1">
        <f t="shared" si="35"/>
        <v>1.885575184737627</v>
      </c>
      <c r="AV265" s="1">
        <f t="shared" si="36"/>
        <v>1.3576578306085556</v>
      </c>
      <c r="AW265" s="1">
        <f t="shared" si="37"/>
        <v>0.82974047647948412</v>
      </c>
    </row>
    <row r="266" spans="1:49" x14ac:dyDescent="0.2">
      <c r="A266">
        <v>264</v>
      </c>
      <c r="B266" t="s">
        <v>9052</v>
      </c>
      <c r="C266" t="s">
        <v>9051</v>
      </c>
      <c r="F266" t="s">
        <v>9050</v>
      </c>
      <c r="G266" t="s">
        <v>5</v>
      </c>
      <c r="H266" t="s">
        <v>4</v>
      </c>
      <c r="I266" t="s">
        <v>9049</v>
      </c>
      <c r="J266" t="s">
        <v>9048</v>
      </c>
      <c r="K266" t="s">
        <v>9047</v>
      </c>
      <c r="L266" t="s">
        <v>9046</v>
      </c>
      <c r="M266" t="s">
        <v>9045</v>
      </c>
      <c r="N266">
        <v>16</v>
      </c>
      <c r="O266" t="s">
        <v>9044</v>
      </c>
      <c r="P266" t="s">
        <v>9043</v>
      </c>
      <c r="Q266" t="s">
        <v>9042</v>
      </c>
      <c r="R266" s="7">
        <v>37591</v>
      </c>
      <c r="S266" s="8">
        <f t="shared" si="32"/>
        <v>2002</v>
      </c>
      <c r="T266" s="8">
        <v>2002</v>
      </c>
      <c r="U266" s="8">
        <f t="shared" si="33"/>
        <v>20</v>
      </c>
      <c r="V266" s="7">
        <v>2002</v>
      </c>
      <c r="W266" t="s">
        <v>9041</v>
      </c>
      <c r="X266" s="2">
        <v>2.294</v>
      </c>
      <c r="Y266" s="6">
        <f t="shared" si="38"/>
        <v>6.1237019833960654E-2</v>
      </c>
      <c r="AA266">
        <v>46280</v>
      </c>
      <c r="AB266">
        <v>27781</v>
      </c>
      <c r="AD266" t="s">
        <v>2</v>
      </c>
      <c r="AE266">
        <v>114</v>
      </c>
      <c r="AF266">
        <v>791</v>
      </c>
      <c r="AH266" t="s">
        <v>9040</v>
      </c>
      <c r="AI266" t="s">
        <v>9039</v>
      </c>
      <c r="AK266" t="s">
        <v>9038</v>
      </c>
      <c r="AL266">
        <v>75</v>
      </c>
      <c r="AM266" s="5">
        <f t="shared" si="34"/>
        <v>3.75</v>
      </c>
      <c r="AN266" s="4">
        <f t="shared" si="39"/>
        <v>5.6796667928814843E-3</v>
      </c>
      <c r="AO266" s="3"/>
      <c r="AP266">
        <v>0</v>
      </c>
      <c r="AR266" t="s">
        <v>1</v>
      </c>
      <c r="AT266" s="2" t="s">
        <v>0</v>
      </c>
      <c r="AU266" s="1">
        <f t="shared" si="35"/>
        <v>4.4569813921636898</v>
      </c>
      <c r="AV266" s="1">
        <f t="shared" si="36"/>
        <v>3.3458343313421066</v>
      </c>
      <c r="AW266" s="1">
        <f t="shared" si="37"/>
        <v>2.234687270520523</v>
      </c>
    </row>
    <row r="267" spans="1:49" x14ac:dyDescent="0.2">
      <c r="A267">
        <v>265</v>
      </c>
      <c r="B267" t="s">
        <v>9037</v>
      </c>
      <c r="C267" t="s">
        <v>9036</v>
      </c>
      <c r="D267" t="s">
        <v>9035</v>
      </c>
      <c r="F267" t="s">
        <v>9034</v>
      </c>
      <c r="G267" t="s">
        <v>5</v>
      </c>
      <c r="H267" t="s">
        <v>4</v>
      </c>
      <c r="I267" t="s">
        <v>1147</v>
      </c>
      <c r="J267" t="s">
        <v>9033</v>
      </c>
      <c r="K267" t="s">
        <v>9032</v>
      </c>
      <c r="L267" t="s">
        <v>9031</v>
      </c>
      <c r="M267" t="s">
        <v>1005</v>
      </c>
      <c r="N267">
        <v>3</v>
      </c>
      <c r="O267" t="s">
        <v>9030</v>
      </c>
      <c r="P267" t="s">
        <v>9029</v>
      </c>
      <c r="Q267" t="s">
        <v>9028</v>
      </c>
      <c r="R267" s="7">
        <v>37591</v>
      </c>
      <c r="S267" s="8">
        <f t="shared" si="32"/>
        <v>2002</v>
      </c>
      <c r="T267" s="8">
        <v>2002</v>
      </c>
      <c r="U267" s="8">
        <f t="shared" si="33"/>
        <v>20</v>
      </c>
      <c r="V267" s="7">
        <v>2002</v>
      </c>
      <c r="W267" t="s">
        <v>9027</v>
      </c>
      <c r="X267" s="2">
        <v>2.0099999999999998</v>
      </c>
      <c r="Y267" s="6">
        <f t="shared" si="38"/>
        <v>5.3655802034115477E-2</v>
      </c>
      <c r="AA267">
        <v>15361276</v>
      </c>
      <c r="AB267">
        <v>18933</v>
      </c>
      <c r="AD267" t="s">
        <v>2</v>
      </c>
      <c r="AE267">
        <v>1</v>
      </c>
      <c r="AF267">
        <v>2</v>
      </c>
      <c r="AH267" t="s">
        <v>9026</v>
      </c>
      <c r="AI267" t="s">
        <v>9025</v>
      </c>
      <c r="AJ267" t="s">
        <v>9024</v>
      </c>
      <c r="AK267" t="s">
        <v>9023</v>
      </c>
      <c r="AL267">
        <v>149</v>
      </c>
      <c r="AM267" s="5">
        <f t="shared" si="34"/>
        <v>7.45</v>
      </c>
      <c r="AN267" s="4">
        <f t="shared" si="39"/>
        <v>1.1283604695191216E-2</v>
      </c>
      <c r="AO267" s="3"/>
      <c r="AP267">
        <v>0</v>
      </c>
      <c r="AR267" t="s">
        <v>1</v>
      </c>
      <c r="AT267" s="2" t="s">
        <v>0</v>
      </c>
      <c r="AU267" s="1">
        <f t="shared" si="35"/>
        <v>4.09441428324382</v>
      </c>
      <c r="AV267" s="1">
        <f t="shared" si="36"/>
        <v>3.2469703364653344</v>
      </c>
      <c r="AW267" s="1">
        <f t="shared" si="37"/>
        <v>2.3995263896868493</v>
      </c>
    </row>
    <row r="268" spans="1:49" x14ac:dyDescent="0.2">
      <c r="A268">
        <v>266</v>
      </c>
      <c r="B268" t="s">
        <v>9022</v>
      </c>
      <c r="C268" t="s">
        <v>9021</v>
      </c>
      <c r="E268">
        <v>12324473</v>
      </c>
      <c r="F268" t="s">
        <v>9020</v>
      </c>
      <c r="G268" t="s">
        <v>5</v>
      </c>
      <c r="H268" t="s">
        <v>4</v>
      </c>
      <c r="I268" t="s">
        <v>9019</v>
      </c>
      <c r="J268">
        <v>60012413</v>
      </c>
      <c r="K268" t="s">
        <v>9018</v>
      </c>
      <c r="L268" t="s">
        <v>9017</v>
      </c>
      <c r="M268" t="s">
        <v>463</v>
      </c>
      <c r="N268">
        <v>4</v>
      </c>
      <c r="O268" t="s">
        <v>9016</v>
      </c>
      <c r="P268" t="s">
        <v>9015</v>
      </c>
      <c r="Q268" t="s">
        <v>9014</v>
      </c>
      <c r="R268" s="7">
        <v>37589</v>
      </c>
      <c r="S268" s="8">
        <f t="shared" si="32"/>
        <v>2002</v>
      </c>
      <c r="T268" s="8">
        <v>2002</v>
      </c>
      <c r="U268" s="8">
        <f t="shared" si="33"/>
        <v>20</v>
      </c>
      <c r="V268" s="7">
        <v>37589</v>
      </c>
      <c r="W268" t="s">
        <v>807</v>
      </c>
      <c r="X268" s="2">
        <v>2.3610000000000002</v>
      </c>
      <c r="Y268" s="6">
        <f t="shared" si="38"/>
        <v>6.3025546568431179E-2</v>
      </c>
      <c r="AA268">
        <v>219258</v>
      </c>
      <c r="AB268">
        <v>17592</v>
      </c>
      <c r="AD268" t="s">
        <v>2</v>
      </c>
      <c r="AE268">
        <v>277</v>
      </c>
      <c r="AF268">
        <v>48</v>
      </c>
      <c r="AH268" t="s">
        <v>9013</v>
      </c>
      <c r="AI268" t="s">
        <v>9012</v>
      </c>
      <c r="AK268" t="s">
        <v>9011</v>
      </c>
      <c r="AL268">
        <v>37</v>
      </c>
      <c r="AM268" s="5">
        <f t="shared" si="34"/>
        <v>1.85</v>
      </c>
      <c r="AN268" s="4">
        <f t="shared" si="39"/>
        <v>2.8019689511548655E-3</v>
      </c>
      <c r="AO268" s="3"/>
      <c r="AP268">
        <v>1</v>
      </c>
      <c r="AR268" t="s">
        <v>1</v>
      </c>
      <c r="AT268" s="2">
        <v>5.157</v>
      </c>
      <c r="AU268" s="1">
        <f t="shared" si="35"/>
        <v>4.4958473283248281</v>
      </c>
      <c r="AV268" s="1">
        <f t="shared" si="36"/>
        <v>3.2913757759793021</v>
      </c>
      <c r="AW268" s="1">
        <f t="shared" si="37"/>
        <v>2.086904223633776</v>
      </c>
    </row>
    <row r="269" spans="1:49" x14ac:dyDescent="0.2">
      <c r="A269">
        <v>267</v>
      </c>
      <c r="B269" t="s">
        <v>9010</v>
      </c>
      <c r="C269" t="s">
        <v>9009</v>
      </c>
      <c r="D269" t="s">
        <v>9008</v>
      </c>
      <c r="F269" t="s">
        <v>9007</v>
      </c>
      <c r="G269" t="s">
        <v>5</v>
      </c>
      <c r="H269" t="s">
        <v>4</v>
      </c>
      <c r="I269" t="s">
        <v>9006</v>
      </c>
      <c r="J269">
        <v>60007457</v>
      </c>
      <c r="K269" t="s">
        <v>528</v>
      </c>
      <c r="L269" t="s">
        <v>27</v>
      </c>
      <c r="M269" t="s">
        <v>26</v>
      </c>
      <c r="N269">
        <v>2</v>
      </c>
      <c r="O269" t="s">
        <v>9005</v>
      </c>
      <c r="P269" t="s">
        <v>9004</v>
      </c>
      <c r="Q269" t="s">
        <v>879</v>
      </c>
      <c r="R269" s="7">
        <v>37585</v>
      </c>
      <c r="S269" s="8">
        <f t="shared" si="32"/>
        <v>2002</v>
      </c>
      <c r="T269" s="8">
        <v>2002</v>
      </c>
      <c r="U269" s="8">
        <f t="shared" si="33"/>
        <v>20</v>
      </c>
      <c r="V269" s="7">
        <v>37585</v>
      </c>
      <c r="W269" t="s">
        <v>878</v>
      </c>
      <c r="X269" s="2">
        <v>0.499</v>
      </c>
      <c r="Y269" s="6">
        <f t="shared" si="38"/>
        <v>1.332052000747444E-2</v>
      </c>
      <c r="AA269">
        <v>3759601</v>
      </c>
      <c r="AB269">
        <v>29464</v>
      </c>
      <c r="AD269" t="s">
        <v>2</v>
      </c>
      <c r="AE269">
        <v>305</v>
      </c>
      <c r="AF269" s="9">
        <v>44228</v>
      </c>
      <c r="AH269" t="s">
        <v>9003</v>
      </c>
      <c r="AI269" t="s">
        <v>9002</v>
      </c>
      <c r="AJ269" t="s">
        <v>9001</v>
      </c>
      <c r="AK269" t="s">
        <v>9000</v>
      </c>
      <c r="AL269">
        <v>4</v>
      </c>
      <c r="AM269" s="5">
        <f t="shared" si="34"/>
        <v>0.2</v>
      </c>
      <c r="AN269" s="4">
        <f t="shared" si="39"/>
        <v>3.0291556228701253E-4</v>
      </c>
      <c r="AO269" s="3"/>
      <c r="AP269">
        <v>0</v>
      </c>
      <c r="AQ269" t="s">
        <v>290</v>
      </c>
      <c r="AR269" t="s">
        <v>1184</v>
      </c>
      <c r="AS269" t="s">
        <v>289</v>
      </c>
      <c r="AT269" s="2" t="s">
        <v>0</v>
      </c>
      <c r="AU269" s="1">
        <f t="shared" si="35"/>
        <v>0.94152386739182126</v>
      </c>
      <c r="AV269" s="1">
        <f t="shared" si="36"/>
        <v>0.68117177848807264</v>
      </c>
      <c r="AW269" s="1">
        <f t="shared" si="37"/>
        <v>0.42081968958432409</v>
      </c>
    </row>
    <row r="270" spans="1:49" x14ac:dyDescent="0.2">
      <c r="A270">
        <v>268</v>
      </c>
      <c r="B270" t="s">
        <v>8999</v>
      </c>
      <c r="C270" t="s">
        <v>8998</v>
      </c>
      <c r="F270" t="s">
        <v>8997</v>
      </c>
      <c r="G270" t="s">
        <v>5</v>
      </c>
      <c r="H270" t="s">
        <v>4</v>
      </c>
      <c r="I270" t="s">
        <v>8996</v>
      </c>
      <c r="J270">
        <v>60018714</v>
      </c>
      <c r="K270" t="s">
        <v>8995</v>
      </c>
      <c r="L270" t="s">
        <v>222</v>
      </c>
      <c r="M270" t="s">
        <v>121</v>
      </c>
      <c r="N270">
        <v>3</v>
      </c>
      <c r="O270" t="s">
        <v>8994</v>
      </c>
      <c r="P270" t="s">
        <v>8993</v>
      </c>
      <c r="Q270" t="s">
        <v>8992</v>
      </c>
      <c r="R270" s="7">
        <v>37581</v>
      </c>
      <c r="S270" s="8">
        <f t="shared" si="32"/>
        <v>2002</v>
      </c>
      <c r="T270" s="8">
        <v>2002</v>
      </c>
      <c r="U270" s="8">
        <f t="shared" si="33"/>
        <v>20</v>
      </c>
      <c r="V270" s="7">
        <v>37581</v>
      </c>
      <c r="W270" t="s">
        <v>786</v>
      </c>
      <c r="X270" s="2">
        <v>0.375</v>
      </c>
      <c r="Y270" s="6">
        <f t="shared" si="38"/>
        <v>1.0010410827260351E-2</v>
      </c>
      <c r="AA270">
        <v>135194</v>
      </c>
      <c r="AB270">
        <v>24918</v>
      </c>
      <c r="AD270" t="s">
        <v>2</v>
      </c>
      <c r="AE270">
        <v>38</v>
      </c>
      <c r="AF270">
        <v>24</v>
      </c>
      <c r="AH270" t="s">
        <v>8991</v>
      </c>
      <c r="AI270" t="s">
        <v>8990</v>
      </c>
      <c r="AK270" t="s">
        <v>8989</v>
      </c>
      <c r="AL270">
        <v>33</v>
      </c>
      <c r="AM270" s="5">
        <f t="shared" si="34"/>
        <v>1.65</v>
      </c>
      <c r="AN270" s="4">
        <f t="shared" si="39"/>
        <v>2.4990533888678531E-3</v>
      </c>
      <c r="AO270" s="3"/>
      <c r="AP270">
        <v>0</v>
      </c>
      <c r="AR270" t="s">
        <v>1</v>
      </c>
      <c r="AT270" s="2">
        <v>1.3140000000000001</v>
      </c>
      <c r="AU270" s="1">
        <f t="shared" si="35"/>
        <v>0.77570035957426009</v>
      </c>
      <c r="AV270" s="1">
        <f t="shared" si="36"/>
        <v>0.62547321080641016</v>
      </c>
      <c r="AW270" s="1">
        <f t="shared" si="37"/>
        <v>0.47524606203856024</v>
      </c>
    </row>
    <row r="271" spans="1:49" x14ac:dyDescent="0.2">
      <c r="A271">
        <v>269</v>
      </c>
      <c r="B271" t="s">
        <v>8988</v>
      </c>
      <c r="C271" t="s">
        <v>8987</v>
      </c>
      <c r="F271" t="s">
        <v>8986</v>
      </c>
      <c r="G271" t="s">
        <v>5</v>
      </c>
      <c r="H271" t="s">
        <v>4</v>
      </c>
      <c r="I271" t="s">
        <v>8985</v>
      </c>
      <c r="J271">
        <v>60027884</v>
      </c>
      <c r="K271" t="s">
        <v>8984</v>
      </c>
      <c r="L271" t="s">
        <v>153</v>
      </c>
      <c r="M271" t="s">
        <v>152</v>
      </c>
      <c r="N271">
        <v>4</v>
      </c>
      <c r="O271" t="s">
        <v>8983</v>
      </c>
      <c r="P271" t="s">
        <v>8982</v>
      </c>
      <c r="Q271" t="s">
        <v>8981</v>
      </c>
      <c r="R271" s="7">
        <v>37581</v>
      </c>
      <c r="S271" s="8">
        <f t="shared" si="32"/>
        <v>2002</v>
      </c>
      <c r="T271" s="8">
        <v>2002</v>
      </c>
      <c r="U271" s="8">
        <f t="shared" si="33"/>
        <v>20</v>
      </c>
      <c r="V271" s="7">
        <v>37581</v>
      </c>
      <c r="W271" t="s">
        <v>786</v>
      </c>
      <c r="X271" s="2">
        <v>0.375</v>
      </c>
      <c r="Y271" s="6">
        <f t="shared" si="38"/>
        <v>1.0010410827260351E-2</v>
      </c>
      <c r="AA271">
        <v>135194</v>
      </c>
      <c r="AB271">
        <v>24918</v>
      </c>
      <c r="AD271" t="s">
        <v>2</v>
      </c>
      <c r="AE271">
        <v>38</v>
      </c>
      <c r="AF271">
        <v>24</v>
      </c>
      <c r="AH271" t="s">
        <v>8980</v>
      </c>
      <c r="AI271" t="s">
        <v>8979</v>
      </c>
      <c r="AK271" t="s">
        <v>8978</v>
      </c>
      <c r="AL271">
        <v>7</v>
      </c>
      <c r="AM271" s="5">
        <f t="shared" si="34"/>
        <v>0.35</v>
      </c>
      <c r="AN271" s="4">
        <f t="shared" si="39"/>
        <v>5.3010223400227184E-4</v>
      </c>
      <c r="AO271" s="3"/>
      <c r="AP271">
        <v>0</v>
      </c>
      <c r="AR271" t="s">
        <v>1</v>
      </c>
      <c r="AT271" s="2">
        <v>1.3140000000000001</v>
      </c>
      <c r="AU271" s="1">
        <f t="shared" si="35"/>
        <v>0.71663182492829269</v>
      </c>
      <c r="AV271" s="1">
        <f t="shared" si="36"/>
        <v>0.52702565306313121</v>
      </c>
      <c r="AW271" s="1">
        <f t="shared" si="37"/>
        <v>0.33741948119796955</v>
      </c>
    </row>
    <row r="272" spans="1:49" x14ac:dyDescent="0.2">
      <c r="A272">
        <v>270</v>
      </c>
      <c r="B272" t="s">
        <v>8977</v>
      </c>
      <c r="C272" t="s">
        <v>8976</v>
      </c>
      <c r="F272" t="s">
        <v>8975</v>
      </c>
      <c r="G272" t="s">
        <v>5</v>
      </c>
      <c r="H272" t="s">
        <v>4</v>
      </c>
      <c r="I272" t="s">
        <v>8974</v>
      </c>
      <c r="J272">
        <v>60010421</v>
      </c>
      <c r="K272" t="s">
        <v>8973</v>
      </c>
      <c r="L272" t="s">
        <v>544</v>
      </c>
      <c r="M272" t="s">
        <v>21</v>
      </c>
      <c r="N272">
        <v>2</v>
      </c>
      <c r="O272" t="s">
        <v>8972</v>
      </c>
      <c r="P272" t="s">
        <v>8971</v>
      </c>
      <c r="Q272" t="s">
        <v>8970</v>
      </c>
      <c r="R272" s="7">
        <v>37581</v>
      </c>
      <c r="S272" s="8">
        <f t="shared" si="32"/>
        <v>2002</v>
      </c>
      <c r="T272" s="8">
        <v>2002</v>
      </c>
      <c r="U272" s="8">
        <f t="shared" si="33"/>
        <v>20</v>
      </c>
      <c r="V272" s="7">
        <v>37581</v>
      </c>
      <c r="W272" t="s">
        <v>786</v>
      </c>
      <c r="X272" s="2">
        <v>0.375</v>
      </c>
      <c r="Y272" s="6">
        <f t="shared" si="38"/>
        <v>1.0010410827260351E-2</v>
      </c>
      <c r="AA272">
        <v>135194</v>
      </c>
      <c r="AB272">
        <v>24918</v>
      </c>
      <c r="AD272" t="s">
        <v>2</v>
      </c>
      <c r="AE272">
        <v>38</v>
      </c>
      <c r="AF272">
        <v>24</v>
      </c>
      <c r="AH272" t="s">
        <v>8969</v>
      </c>
      <c r="AI272" t="s">
        <v>8968</v>
      </c>
      <c r="AK272" t="s">
        <v>8967</v>
      </c>
      <c r="AL272">
        <v>23</v>
      </c>
      <c r="AM272" s="5">
        <f t="shared" si="34"/>
        <v>1.1499999999999999</v>
      </c>
      <c r="AN272" s="4">
        <f t="shared" si="39"/>
        <v>1.7417644831503216E-3</v>
      </c>
      <c r="AO272" s="3"/>
      <c r="AP272">
        <v>0</v>
      </c>
      <c r="AR272" t="s">
        <v>1</v>
      </c>
      <c r="AT272" s="2">
        <v>1.3140000000000001</v>
      </c>
      <c r="AU272" s="1">
        <f t="shared" si="35"/>
        <v>0.75298169240273427</v>
      </c>
      <c r="AV272" s="1">
        <f t="shared" si="36"/>
        <v>0.58760876552053365</v>
      </c>
      <c r="AW272" s="1">
        <f t="shared" si="37"/>
        <v>0.42223583863833303</v>
      </c>
    </row>
    <row r="273" spans="1:49" x14ac:dyDescent="0.2">
      <c r="A273">
        <v>271</v>
      </c>
      <c r="B273" t="s">
        <v>8966</v>
      </c>
      <c r="C273" t="s">
        <v>8965</v>
      </c>
      <c r="F273" t="s">
        <v>8964</v>
      </c>
      <c r="G273" t="s">
        <v>5</v>
      </c>
      <c r="H273" t="s">
        <v>4</v>
      </c>
      <c r="I273" t="s">
        <v>8963</v>
      </c>
      <c r="J273">
        <v>60025225</v>
      </c>
      <c r="K273" t="s">
        <v>8962</v>
      </c>
      <c r="L273" t="s">
        <v>8961</v>
      </c>
      <c r="M273" t="s">
        <v>41</v>
      </c>
      <c r="N273">
        <v>2</v>
      </c>
      <c r="O273" t="s">
        <v>8960</v>
      </c>
      <c r="P273" t="s">
        <v>8959</v>
      </c>
      <c r="Q273" t="s">
        <v>8958</v>
      </c>
      <c r="R273" s="7">
        <v>37581</v>
      </c>
      <c r="S273" s="8">
        <f t="shared" si="32"/>
        <v>2002</v>
      </c>
      <c r="T273" s="8">
        <v>2002</v>
      </c>
      <c r="U273" s="8">
        <f t="shared" si="33"/>
        <v>20</v>
      </c>
      <c r="V273" s="7">
        <v>37581</v>
      </c>
      <c r="W273" t="s">
        <v>786</v>
      </c>
      <c r="X273" s="2">
        <v>0.375</v>
      </c>
      <c r="Y273" s="6">
        <f t="shared" si="38"/>
        <v>1.0010410827260351E-2</v>
      </c>
      <c r="AA273">
        <v>135194</v>
      </c>
      <c r="AB273">
        <v>24918</v>
      </c>
      <c r="AD273" t="s">
        <v>2</v>
      </c>
      <c r="AE273">
        <v>38</v>
      </c>
      <c r="AF273">
        <v>24</v>
      </c>
      <c r="AH273" t="s">
        <v>8957</v>
      </c>
      <c r="AI273" t="s">
        <v>8956</v>
      </c>
      <c r="AK273" t="s">
        <v>8955</v>
      </c>
      <c r="AL273">
        <v>19</v>
      </c>
      <c r="AM273" s="5">
        <f t="shared" si="34"/>
        <v>0.95</v>
      </c>
      <c r="AN273" s="4">
        <f t="shared" si="39"/>
        <v>1.4388489208633094E-3</v>
      </c>
      <c r="AO273" s="3"/>
      <c r="AP273">
        <v>0</v>
      </c>
      <c r="AR273" t="s">
        <v>1</v>
      </c>
      <c r="AT273" s="2">
        <v>1.3140000000000001</v>
      </c>
      <c r="AU273" s="1">
        <f t="shared" si="35"/>
        <v>0.74389422553412388</v>
      </c>
      <c r="AV273" s="1">
        <f t="shared" si="36"/>
        <v>0.57246298740618295</v>
      </c>
      <c r="AW273" s="1">
        <f t="shared" si="37"/>
        <v>0.4010317492782422</v>
      </c>
    </row>
    <row r="274" spans="1:49" x14ac:dyDescent="0.2">
      <c r="A274">
        <v>272</v>
      </c>
      <c r="B274" t="s">
        <v>8954</v>
      </c>
      <c r="C274" t="s">
        <v>8953</v>
      </c>
      <c r="F274" t="s">
        <v>8952</v>
      </c>
      <c r="G274" t="s">
        <v>5</v>
      </c>
      <c r="H274" t="s">
        <v>4</v>
      </c>
      <c r="I274" t="s">
        <v>8951</v>
      </c>
      <c r="J274" t="s">
        <v>8950</v>
      </c>
      <c r="K274" t="s">
        <v>8949</v>
      </c>
      <c r="L274" t="s">
        <v>8948</v>
      </c>
      <c r="M274" t="s">
        <v>8947</v>
      </c>
      <c r="N274">
        <v>3</v>
      </c>
      <c r="O274" t="s">
        <v>8946</v>
      </c>
      <c r="P274" t="s">
        <v>8945</v>
      </c>
      <c r="Q274" t="s">
        <v>8944</v>
      </c>
      <c r="R274" s="7">
        <v>37581</v>
      </c>
      <c r="S274" s="8">
        <f t="shared" si="32"/>
        <v>2002</v>
      </c>
      <c r="T274" s="8">
        <v>2002</v>
      </c>
      <c r="U274" s="8">
        <f t="shared" si="33"/>
        <v>20</v>
      </c>
      <c r="V274" s="7">
        <v>37581</v>
      </c>
      <c r="W274" t="s">
        <v>786</v>
      </c>
      <c r="X274" s="2">
        <v>0.375</v>
      </c>
      <c r="Y274" s="6">
        <f t="shared" si="38"/>
        <v>1.0010410827260351E-2</v>
      </c>
      <c r="AA274">
        <v>135194</v>
      </c>
      <c r="AB274">
        <v>24918</v>
      </c>
      <c r="AD274" t="s">
        <v>2</v>
      </c>
      <c r="AE274">
        <v>38</v>
      </c>
      <c r="AF274">
        <v>24</v>
      </c>
      <c r="AH274" t="s">
        <v>8943</v>
      </c>
      <c r="AI274" t="s">
        <v>8942</v>
      </c>
      <c r="AK274" t="s">
        <v>8941</v>
      </c>
      <c r="AL274">
        <v>2</v>
      </c>
      <c r="AM274" s="5">
        <f t="shared" si="34"/>
        <v>0.1</v>
      </c>
      <c r="AN274" s="4">
        <f t="shared" si="39"/>
        <v>1.5145778114350627E-4</v>
      </c>
      <c r="AO274" s="3"/>
      <c r="AP274">
        <v>0</v>
      </c>
      <c r="AR274" t="s">
        <v>1</v>
      </c>
      <c r="AT274" s="2">
        <v>1.3140000000000001</v>
      </c>
      <c r="AU274" s="1">
        <f t="shared" si="35"/>
        <v>0.70527249134252978</v>
      </c>
      <c r="AV274" s="1">
        <f t="shared" si="36"/>
        <v>0.50809343042019284</v>
      </c>
      <c r="AW274" s="1">
        <f t="shared" si="37"/>
        <v>0.31091436949785595</v>
      </c>
    </row>
    <row r="275" spans="1:49" x14ac:dyDescent="0.2">
      <c r="A275">
        <v>273</v>
      </c>
      <c r="B275" t="s">
        <v>8940</v>
      </c>
      <c r="C275" t="s">
        <v>8939</v>
      </c>
      <c r="F275" t="s">
        <v>8938</v>
      </c>
      <c r="G275" t="s">
        <v>5</v>
      </c>
      <c r="H275" t="s">
        <v>4</v>
      </c>
      <c r="I275" t="s">
        <v>8937</v>
      </c>
      <c r="J275" t="s">
        <v>97</v>
      </c>
      <c r="K275" t="s">
        <v>96</v>
      </c>
      <c r="L275" t="s">
        <v>95</v>
      </c>
      <c r="M275" t="s">
        <v>94</v>
      </c>
      <c r="N275">
        <v>4</v>
      </c>
      <c r="O275" t="s">
        <v>8936</v>
      </c>
      <c r="P275" t="s">
        <v>8935</v>
      </c>
      <c r="Q275" t="s">
        <v>8934</v>
      </c>
      <c r="R275" s="7">
        <v>37581</v>
      </c>
      <c r="S275" s="8">
        <f t="shared" si="32"/>
        <v>2002</v>
      </c>
      <c r="T275" s="8">
        <v>2002</v>
      </c>
      <c r="U275" s="8">
        <f t="shared" si="33"/>
        <v>20</v>
      </c>
      <c r="V275" s="7">
        <v>37581</v>
      </c>
      <c r="W275" t="s">
        <v>786</v>
      </c>
      <c r="X275" s="2">
        <v>0.375</v>
      </c>
      <c r="Y275" s="6">
        <f t="shared" si="38"/>
        <v>1.0010410827260351E-2</v>
      </c>
      <c r="AA275">
        <v>135194</v>
      </c>
      <c r="AB275">
        <v>24918</v>
      </c>
      <c r="AD275" t="s">
        <v>2</v>
      </c>
      <c r="AE275">
        <v>38</v>
      </c>
      <c r="AF275">
        <v>24</v>
      </c>
      <c r="AH275" t="s">
        <v>8933</v>
      </c>
      <c r="AI275" t="s">
        <v>8932</v>
      </c>
      <c r="AK275" t="s">
        <v>8931</v>
      </c>
      <c r="AL275">
        <v>15</v>
      </c>
      <c r="AM275" s="5">
        <f t="shared" si="34"/>
        <v>0.75</v>
      </c>
      <c r="AN275" s="4">
        <f t="shared" si="39"/>
        <v>1.1359333585762969E-3</v>
      </c>
      <c r="AO275" s="3"/>
      <c r="AP275">
        <v>0</v>
      </c>
      <c r="AR275" t="s">
        <v>1</v>
      </c>
      <c r="AT275" s="2">
        <v>1.3140000000000001</v>
      </c>
      <c r="AU275" s="1">
        <f t="shared" si="35"/>
        <v>0.73480675866551348</v>
      </c>
      <c r="AV275" s="1">
        <f t="shared" si="36"/>
        <v>0.55731720929183248</v>
      </c>
      <c r="AW275" s="1">
        <f t="shared" si="37"/>
        <v>0.37982765991815132</v>
      </c>
    </row>
    <row r="276" spans="1:49" x14ac:dyDescent="0.2">
      <c r="A276">
        <v>274</v>
      </c>
      <c r="B276" t="s">
        <v>8930</v>
      </c>
      <c r="C276" t="s">
        <v>8929</v>
      </c>
      <c r="F276" t="s">
        <v>8928</v>
      </c>
      <c r="G276" t="s">
        <v>5</v>
      </c>
      <c r="H276" t="s">
        <v>4</v>
      </c>
      <c r="I276" t="s">
        <v>8927</v>
      </c>
      <c r="J276">
        <v>60020650</v>
      </c>
      <c r="K276" t="s">
        <v>43</v>
      </c>
      <c r="L276" t="s">
        <v>42</v>
      </c>
      <c r="M276" t="s">
        <v>41</v>
      </c>
      <c r="N276">
        <v>4</v>
      </c>
      <c r="O276" t="s">
        <v>8926</v>
      </c>
      <c r="P276" t="s">
        <v>8925</v>
      </c>
      <c r="Q276" t="s">
        <v>8924</v>
      </c>
      <c r="R276" s="7">
        <v>37581</v>
      </c>
      <c r="S276" s="8">
        <f t="shared" si="32"/>
        <v>2002</v>
      </c>
      <c r="T276" s="8">
        <v>2002</v>
      </c>
      <c r="U276" s="8">
        <f t="shared" si="33"/>
        <v>20</v>
      </c>
      <c r="V276" s="7">
        <v>37581</v>
      </c>
      <c r="W276" t="s">
        <v>786</v>
      </c>
      <c r="X276" s="2">
        <v>0.375</v>
      </c>
      <c r="Y276" s="6">
        <f t="shared" si="38"/>
        <v>1.0010410827260351E-2</v>
      </c>
      <c r="AA276">
        <v>135194</v>
      </c>
      <c r="AB276">
        <v>24918</v>
      </c>
      <c r="AD276" t="s">
        <v>2</v>
      </c>
      <c r="AE276">
        <v>38</v>
      </c>
      <c r="AF276">
        <v>24</v>
      </c>
      <c r="AH276" t="s">
        <v>8923</v>
      </c>
      <c r="AI276" t="s">
        <v>8922</v>
      </c>
      <c r="AK276" t="s">
        <v>8921</v>
      </c>
      <c r="AL276">
        <v>10</v>
      </c>
      <c r="AM276" s="5">
        <f t="shared" si="34"/>
        <v>0.5</v>
      </c>
      <c r="AN276" s="4">
        <f t="shared" si="39"/>
        <v>7.572889057175312E-4</v>
      </c>
      <c r="AO276" s="3"/>
      <c r="AP276">
        <v>0</v>
      </c>
      <c r="AR276" t="s">
        <v>1</v>
      </c>
      <c r="AT276" s="2">
        <v>1.3140000000000001</v>
      </c>
      <c r="AU276" s="1">
        <f t="shared" si="35"/>
        <v>0.72344742507975057</v>
      </c>
      <c r="AV276" s="1">
        <f t="shared" si="36"/>
        <v>0.53838498664889411</v>
      </c>
      <c r="AW276" s="1">
        <f t="shared" si="37"/>
        <v>0.35332254821803771</v>
      </c>
    </row>
    <row r="277" spans="1:49" x14ac:dyDescent="0.2">
      <c r="A277">
        <v>275</v>
      </c>
      <c r="B277" t="s">
        <v>8920</v>
      </c>
      <c r="C277" t="s">
        <v>8919</v>
      </c>
      <c r="F277" t="s">
        <v>8918</v>
      </c>
      <c r="G277" t="s">
        <v>5</v>
      </c>
      <c r="H277" t="s">
        <v>4</v>
      </c>
      <c r="I277" t="s">
        <v>111</v>
      </c>
      <c r="J277" t="s">
        <v>110</v>
      </c>
      <c r="K277" t="s">
        <v>109</v>
      </c>
      <c r="L277" t="s">
        <v>108</v>
      </c>
      <c r="M277" t="s">
        <v>92</v>
      </c>
      <c r="N277">
        <v>4</v>
      </c>
      <c r="O277" t="s">
        <v>265</v>
      </c>
      <c r="P277" t="s">
        <v>107</v>
      </c>
      <c r="Q277" t="s">
        <v>8917</v>
      </c>
      <c r="R277" s="7">
        <v>37581</v>
      </c>
      <c r="S277" s="8">
        <f t="shared" si="32"/>
        <v>2002</v>
      </c>
      <c r="T277" s="8">
        <v>2002</v>
      </c>
      <c r="U277" s="8">
        <f t="shared" si="33"/>
        <v>20</v>
      </c>
      <c r="V277" s="7">
        <v>37581</v>
      </c>
      <c r="W277" t="s">
        <v>786</v>
      </c>
      <c r="X277" s="2">
        <v>0.375</v>
      </c>
      <c r="Y277" s="6">
        <f t="shared" si="38"/>
        <v>1.0010410827260351E-2</v>
      </c>
      <c r="AA277">
        <v>135194</v>
      </c>
      <c r="AB277">
        <v>24918</v>
      </c>
      <c r="AD277" t="s">
        <v>2</v>
      </c>
      <c r="AE277">
        <v>38</v>
      </c>
      <c r="AF277">
        <v>24</v>
      </c>
      <c r="AH277" t="s">
        <v>8916</v>
      </c>
      <c r="AI277" t="s">
        <v>8915</v>
      </c>
      <c r="AK277" t="s">
        <v>8914</v>
      </c>
      <c r="AL277">
        <v>17</v>
      </c>
      <c r="AM277" s="5">
        <f t="shared" si="34"/>
        <v>0.85</v>
      </c>
      <c r="AN277" s="4">
        <f t="shared" si="39"/>
        <v>1.2873911397198031E-3</v>
      </c>
      <c r="AO277" s="3"/>
      <c r="AP277">
        <v>0</v>
      </c>
      <c r="AR277" t="s">
        <v>1</v>
      </c>
      <c r="AT277" s="2">
        <v>1.3140000000000001</v>
      </c>
      <c r="AU277" s="1">
        <f t="shared" si="35"/>
        <v>0.73935049209981873</v>
      </c>
      <c r="AV277" s="1">
        <f t="shared" si="36"/>
        <v>0.56489009834900772</v>
      </c>
      <c r="AW277" s="1">
        <f t="shared" si="37"/>
        <v>0.39042970459819676</v>
      </c>
    </row>
    <row r="278" spans="1:49" x14ac:dyDescent="0.2">
      <c r="A278">
        <v>276</v>
      </c>
      <c r="B278" t="s">
        <v>8913</v>
      </c>
      <c r="C278" t="s">
        <v>8912</v>
      </c>
      <c r="F278" t="s">
        <v>8911</v>
      </c>
      <c r="G278" t="s">
        <v>5</v>
      </c>
      <c r="H278" t="s">
        <v>4</v>
      </c>
      <c r="I278" t="s">
        <v>8910</v>
      </c>
      <c r="J278">
        <v>60030821</v>
      </c>
      <c r="K278" t="s">
        <v>151</v>
      </c>
      <c r="L278" t="s">
        <v>150</v>
      </c>
      <c r="M278" t="s">
        <v>7</v>
      </c>
      <c r="N278">
        <v>2</v>
      </c>
      <c r="O278" t="s">
        <v>8909</v>
      </c>
      <c r="P278" t="s">
        <v>8908</v>
      </c>
      <c r="Q278" t="s">
        <v>8907</v>
      </c>
      <c r="R278" s="7">
        <v>37581</v>
      </c>
      <c r="S278" s="8">
        <f t="shared" si="32"/>
        <v>2002</v>
      </c>
      <c r="T278" s="8">
        <v>2002</v>
      </c>
      <c r="U278" s="8">
        <f t="shared" si="33"/>
        <v>20</v>
      </c>
      <c r="V278" s="7">
        <v>37581</v>
      </c>
      <c r="W278" t="s">
        <v>786</v>
      </c>
      <c r="X278" s="2">
        <v>0.375</v>
      </c>
      <c r="Y278" s="6">
        <f t="shared" si="38"/>
        <v>1.0010410827260351E-2</v>
      </c>
      <c r="AA278">
        <v>135194</v>
      </c>
      <c r="AB278">
        <v>24918</v>
      </c>
      <c r="AD278" t="s">
        <v>2</v>
      </c>
      <c r="AE278">
        <v>38</v>
      </c>
      <c r="AF278">
        <v>24</v>
      </c>
      <c r="AH278" t="s">
        <v>8906</v>
      </c>
      <c r="AI278" t="s">
        <v>8905</v>
      </c>
      <c r="AK278" t="s">
        <v>8904</v>
      </c>
      <c r="AL278">
        <v>12</v>
      </c>
      <c r="AM278" s="5">
        <f t="shared" si="34"/>
        <v>0.6</v>
      </c>
      <c r="AN278" s="4">
        <f t="shared" si="39"/>
        <v>9.0874668686103744E-4</v>
      </c>
      <c r="AO278" s="3"/>
      <c r="AP278">
        <v>0</v>
      </c>
      <c r="AR278" t="s">
        <v>1</v>
      </c>
      <c r="AT278" s="2">
        <v>1.3140000000000001</v>
      </c>
      <c r="AU278" s="1">
        <f t="shared" si="35"/>
        <v>0.72799115851405571</v>
      </c>
      <c r="AV278" s="1">
        <f t="shared" si="36"/>
        <v>0.54595787570606946</v>
      </c>
      <c r="AW278" s="1">
        <f t="shared" si="37"/>
        <v>0.3639245928980831</v>
      </c>
    </row>
    <row r="279" spans="1:49" x14ac:dyDescent="0.2">
      <c r="A279">
        <v>277</v>
      </c>
      <c r="B279" t="s">
        <v>8903</v>
      </c>
      <c r="C279" t="s">
        <v>8902</v>
      </c>
      <c r="F279" t="s">
        <v>8901</v>
      </c>
      <c r="G279" t="s">
        <v>5</v>
      </c>
      <c r="H279" t="s">
        <v>4</v>
      </c>
      <c r="I279" t="s">
        <v>8900</v>
      </c>
      <c r="J279" t="s">
        <v>8899</v>
      </c>
      <c r="K279" t="s">
        <v>8898</v>
      </c>
      <c r="L279" t="s">
        <v>8897</v>
      </c>
      <c r="M279" t="s">
        <v>663</v>
      </c>
      <c r="N279">
        <v>4</v>
      </c>
      <c r="O279" t="s">
        <v>8896</v>
      </c>
      <c r="P279" t="s">
        <v>8895</v>
      </c>
      <c r="Q279" t="s">
        <v>8894</v>
      </c>
      <c r="R279" s="7">
        <v>37580</v>
      </c>
      <c r="S279" s="8">
        <f t="shared" si="32"/>
        <v>2002</v>
      </c>
      <c r="T279" s="8">
        <v>2002</v>
      </c>
      <c r="U279" s="8">
        <f t="shared" si="33"/>
        <v>20</v>
      </c>
      <c r="V279" s="7">
        <v>37580</v>
      </c>
      <c r="W279" t="s">
        <v>789</v>
      </c>
      <c r="X279" s="2">
        <v>0.30399999999999999</v>
      </c>
      <c r="Y279" s="6">
        <f t="shared" si="38"/>
        <v>8.115106377299057E-3</v>
      </c>
      <c r="AA279">
        <v>8952477</v>
      </c>
      <c r="AB279">
        <v>12250</v>
      </c>
      <c r="AD279" t="s">
        <v>2</v>
      </c>
      <c r="AE279">
        <v>35</v>
      </c>
      <c r="AF279">
        <v>4</v>
      </c>
      <c r="AH279" t="s">
        <v>8893</v>
      </c>
      <c r="AI279" t="s">
        <v>8892</v>
      </c>
      <c r="AJ279" t="s">
        <v>8891</v>
      </c>
      <c r="AK279" t="s">
        <v>8890</v>
      </c>
      <c r="AL279">
        <v>31</v>
      </c>
      <c r="AM279" s="5">
        <f t="shared" si="34"/>
        <v>1.55</v>
      </c>
      <c r="AN279" s="4">
        <f t="shared" si="39"/>
        <v>2.347595607724347E-3</v>
      </c>
      <c r="AO279" s="3"/>
      <c r="AP279">
        <v>0</v>
      </c>
      <c r="AR279" t="s">
        <v>1</v>
      </c>
      <c r="AT279" s="2" t="s">
        <v>0</v>
      </c>
      <c r="AU279" s="1">
        <f t="shared" si="35"/>
        <v>0.63848531464266434</v>
      </c>
      <c r="AV279" s="1">
        <f t="shared" si="36"/>
        <v>0.52313509925117019</v>
      </c>
      <c r="AW279" s="1">
        <f t="shared" si="37"/>
        <v>0.40778488385967598</v>
      </c>
    </row>
    <row r="280" spans="1:49" x14ac:dyDescent="0.2">
      <c r="A280">
        <v>278</v>
      </c>
      <c r="B280" t="s">
        <v>8889</v>
      </c>
      <c r="C280" t="s">
        <v>8888</v>
      </c>
      <c r="F280" t="s">
        <v>8887</v>
      </c>
      <c r="G280" t="s">
        <v>5</v>
      </c>
      <c r="H280" t="s">
        <v>4</v>
      </c>
      <c r="I280" t="s">
        <v>8886</v>
      </c>
      <c r="N280">
        <v>1</v>
      </c>
      <c r="O280" t="s">
        <v>711</v>
      </c>
      <c r="P280">
        <v>7102270511</v>
      </c>
      <c r="R280" s="7">
        <v>37580</v>
      </c>
      <c r="S280" s="8">
        <f t="shared" si="32"/>
        <v>2002</v>
      </c>
      <c r="T280" s="8">
        <v>2002</v>
      </c>
      <c r="U280" s="8">
        <f t="shared" si="33"/>
        <v>20</v>
      </c>
      <c r="V280" s="7">
        <v>37580</v>
      </c>
      <c r="W280" t="s">
        <v>789</v>
      </c>
      <c r="X280" s="2">
        <v>0.30399999999999999</v>
      </c>
      <c r="Y280" s="6">
        <f t="shared" si="38"/>
        <v>8.115106377299057E-3</v>
      </c>
      <c r="AA280">
        <v>8952477</v>
      </c>
      <c r="AB280">
        <v>12250</v>
      </c>
      <c r="AD280" t="s">
        <v>2</v>
      </c>
      <c r="AE280">
        <v>35</v>
      </c>
      <c r="AF280">
        <v>4</v>
      </c>
      <c r="AH280" t="s">
        <v>1166</v>
      </c>
      <c r="AI280" t="s">
        <v>8885</v>
      </c>
      <c r="AJ280" t="s">
        <v>8884</v>
      </c>
      <c r="AK280" t="s">
        <v>8883</v>
      </c>
      <c r="AL280">
        <v>57</v>
      </c>
      <c r="AM280" s="5">
        <f t="shared" si="34"/>
        <v>2.85</v>
      </c>
      <c r="AN280" s="4">
        <f t="shared" si="39"/>
        <v>4.3165467625899279E-3</v>
      </c>
      <c r="AO280" s="3"/>
      <c r="AP280">
        <v>0</v>
      </c>
      <c r="AR280" t="s">
        <v>1</v>
      </c>
      <c r="AT280" s="2" t="s">
        <v>0</v>
      </c>
      <c r="AU280" s="1">
        <f t="shared" si="35"/>
        <v>0.69755384928863173</v>
      </c>
      <c r="AV280" s="1">
        <f t="shared" si="36"/>
        <v>0.62158265699444926</v>
      </c>
      <c r="AW280" s="1">
        <f t="shared" si="37"/>
        <v>0.54561146470026667</v>
      </c>
    </row>
    <row r="281" spans="1:49" x14ac:dyDescent="0.2">
      <c r="A281">
        <v>279</v>
      </c>
      <c r="B281" t="s">
        <v>8882</v>
      </c>
      <c r="C281" t="s">
        <v>8881</v>
      </c>
      <c r="F281" t="s">
        <v>8880</v>
      </c>
      <c r="G281" t="s">
        <v>5</v>
      </c>
      <c r="H281" t="s">
        <v>4</v>
      </c>
      <c r="I281" t="s">
        <v>8879</v>
      </c>
      <c r="J281" t="s">
        <v>8878</v>
      </c>
      <c r="K281" t="s">
        <v>8877</v>
      </c>
      <c r="L281" t="s">
        <v>8876</v>
      </c>
      <c r="M281" t="s">
        <v>3</v>
      </c>
      <c r="N281">
        <v>4</v>
      </c>
      <c r="O281" t="s">
        <v>8875</v>
      </c>
      <c r="P281" t="s">
        <v>8874</v>
      </c>
      <c r="Q281" t="s">
        <v>8873</v>
      </c>
      <c r="R281" s="7">
        <v>37580</v>
      </c>
      <c r="S281" s="8">
        <f t="shared" si="32"/>
        <v>2002</v>
      </c>
      <c r="T281" s="8">
        <v>2002</v>
      </c>
      <c r="U281" s="8">
        <f t="shared" si="33"/>
        <v>20</v>
      </c>
      <c r="V281" s="7">
        <v>37580</v>
      </c>
      <c r="W281" t="s">
        <v>789</v>
      </c>
      <c r="X281" s="2">
        <v>0.30399999999999999</v>
      </c>
      <c r="Y281" s="6">
        <f t="shared" si="38"/>
        <v>8.115106377299057E-3</v>
      </c>
      <c r="AA281">
        <v>8952477</v>
      </c>
      <c r="AB281">
        <v>12250</v>
      </c>
      <c r="AD281" t="s">
        <v>2</v>
      </c>
      <c r="AE281">
        <v>35</v>
      </c>
      <c r="AF281">
        <v>4</v>
      </c>
      <c r="AH281" t="s">
        <v>8872</v>
      </c>
      <c r="AI281" t="s">
        <v>8871</v>
      </c>
      <c r="AJ281" t="s">
        <v>8870</v>
      </c>
      <c r="AK281" t="s">
        <v>8869</v>
      </c>
      <c r="AL281">
        <v>1</v>
      </c>
      <c r="AM281" s="5">
        <f t="shared" si="34"/>
        <v>0.05</v>
      </c>
      <c r="AN281" s="4">
        <f t="shared" si="39"/>
        <v>7.5728890571753133E-5</v>
      </c>
      <c r="AO281" s="3"/>
      <c r="AP281">
        <v>0</v>
      </c>
      <c r="AR281" t="s">
        <v>1</v>
      </c>
      <c r="AT281" s="2" t="s">
        <v>0</v>
      </c>
      <c r="AU281" s="1">
        <f t="shared" si="35"/>
        <v>0.57032931312808655</v>
      </c>
      <c r="AV281" s="1">
        <f t="shared" si="36"/>
        <v>0.40954176339354048</v>
      </c>
      <c r="AW281" s="1">
        <f t="shared" si="37"/>
        <v>0.24875421365899444</v>
      </c>
    </row>
    <row r="282" spans="1:49" x14ac:dyDescent="0.2">
      <c r="A282">
        <v>280</v>
      </c>
      <c r="B282" t="s">
        <v>8868</v>
      </c>
      <c r="C282" t="s">
        <v>8867</v>
      </c>
      <c r="F282" t="s">
        <v>8866</v>
      </c>
      <c r="G282" t="s">
        <v>5</v>
      </c>
      <c r="H282" t="s">
        <v>4</v>
      </c>
      <c r="I282" t="s">
        <v>234</v>
      </c>
      <c r="J282" t="s">
        <v>181</v>
      </c>
      <c r="K282" t="s">
        <v>180</v>
      </c>
      <c r="L282" t="s">
        <v>179</v>
      </c>
      <c r="M282" t="s">
        <v>59</v>
      </c>
      <c r="N282">
        <v>3</v>
      </c>
      <c r="O282" t="s">
        <v>8865</v>
      </c>
      <c r="P282" t="s">
        <v>8864</v>
      </c>
      <c r="Q282" t="s">
        <v>791</v>
      </c>
      <c r="R282" s="7">
        <v>37580</v>
      </c>
      <c r="S282" s="8">
        <f t="shared" si="32"/>
        <v>2002</v>
      </c>
      <c r="T282" s="8">
        <v>2002</v>
      </c>
      <c r="U282" s="8">
        <f t="shared" si="33"/>
        <v>20</v>
      </c>
      <c r="V282" s="7">
        <v>37580</v>
      </c>
      <c r="W282" t="s">
        <v>789</v>
      </c>
      <c r="X282" s="2">
        <v>0.30399999999999999</v>
      </c>
      <c r="Y282" s="6">
        <f t="shared" si="38"/>
        <v>8.115106377299057E-3</v>
      </c>
      <c r="AA282">
        <v>8952477</v>
      </c>
      <c r="AB282">
        <v>12250</v>
      </c>
      <c r="AD282" t="s">
        <v>2</v>
      </c>
      <c r="AE282">
        <v>35</v>
      </c>
      <c r="AF282">
        <v>4</v>
      </c>
      <c r="AH282" t="s">
        <v>8863</v>
      </c>
      <c r="AI282" t="s">
        <v>8862</v>
      </c>
      <c r="AJ282" t="s">
        <v>8861</v>
      </c>
      <c r="AK282" t="s">
        <v>8860</v>
      </c>
      <c r="AL282">
        <v>8</v>
      </c>
      <c r="AM282" s="5">
        <f t="shared" si="34"/>
        <v>0.4</v>
      </c>
      <c r="AN282" s="4">
        <f t="shared" si="39"/>
        <v>6.0583112457402507E-4</v>
      </c>
      <c r="AO282" s="3"/>
      <c r="AP282">
        <v>0</v>
      </c>
      <c r="AR282" t="s">
        <v>1</v>
      </c>
      <c r="AT282" s="2" t="s">
        <v>0</v>
      </c>
      <c r="AU282" s="1">
        <f t="shared" si="35"/>
        <v>0.58623238014815471</v>
      </c>
      <c r="AV282" s="1">
        <f t="shared" si="36"/>
        <v>0.43604687509365414</v>
      </c>
      <c r="AW282" s="1">
        <f t="shared" si="37"/>
        <v>0.28586137003915346</v>
      </c>
    </row>
    <row r="283" spans="1:49" x14ac:dyDescent="0.2">
      <c r="A283">
        <v>281</v>
      </c>
      <c r="B283" t="s">
        <v>8859</v>
      </c>
      <c r="C283" t="s">
        <v>8858</v>
      </c>
      <c r="F283" t="s">
        <v>8857</v>
      </c>
      <c r="G283" t="s">
        <v>5</v>
      </c>
      <c r="H283" t="s">
        <v>4</v>
      </c>
      <c r="I283" t="s">
        <v>1051</v>
      </c>
      <c r="J283" t="s">
        <v>509</v>
      </c>
      <c r="K283" t="s">
        <v>508</v>
      </c>
      <c r="L283" t="s">
        <v>507</v>
      </c>
      <c r="M283" t="s">
        <v>177</v>
      </c>
      <c r="N283">
        <v>4</v>
      </c>
      <c r="O283" t="s">
        <v>8856</v>
      </c>
      <c r="P283" t="s">
        <v>8855</v>
      </c>
      <c r="Q283" t="s">
        <v>8854</v>
      </c>
      <c r="R283" s="7">
        <v>37580</v>
      </c>
      <c r="S283" s="8">
        <f t="shared" si="32"/>
        <v>2002</v>
      </c>
      <c r="T283" s="8">
        <v>2002</v>
      </c>
      <c r="U283" s="8">
        <f t="shared" si="33"/>
        <v>20</v>
      </c>
      <c r="V283" s="7">
        <v>37580</v>
      </c>
      <c r="W283" t="s">
        <v>789</v>
      </c>
      <c r="X283" s="2">
        <v>0.30399999999999999</v>
      </c>
      <c r="Y283" s="6">
        <f t="shared" si="38"/>
        <v>8.115106377299057E-3</v>
      </c>
      <c r="AA283">
        <v>8952477</v>
      </c>
      <c r="AB283">
        <v>12250</v>
      </c>
      <c r="AD283" t="s">
        <v>2</v>
      </c>
      <c r="AE283">
        <v>35</v>
      </c>
      <c r="AF283">
        <v>4</v>
      </c>
      <c r="AH283" t="s">
        <v>8853</v>
      </c>
      <c r="AI283" t="s">
        <v>8852</v>
      </c>
      <c r="AJ283" t="s">
        <v>8851</v>
      </c>
      <c r="AK283" t="s">
        <v>8850</v>
      </c>
      <c r="AL283">
        <v>5</v>
      </c>
      <c r="AM283" s="5">
        <f t="shared" si="34"/>
        <v>0.25</v>
      </c>
      <c r="AN283" s="4">
        <f t="shared" si="39"/>
        <v>3.786444528587656E-4</v>
      </c>
      <c r="AO283" s="3"/>
      <c r="AP283">
        <v>0</v>
      </c>
      <c r="AR283" t="s">
        <v>1</v>
      </c>
      <c r="AT283" s="2" t="s">
        <v>0</v>
      </c>
      <c r="AU283" s="1">
        <f t="shared" si="35"/>
        <v>0.57941677999669683</v>
      </c>
      <c r="AV283" s="1">
        <f t="shared" si="36"/>
        <v>0.42468754150789112</v>
      </c>
      <c r="AW283" s="1">
        <f t="shared" si="37"/>
        <v>0.2699583030190853</v>
      </c>
    </row>
    <row r="284" spans="1:49" x14ac:dyDescent="0.2">
      <c r="A284">
        <v>282</v>
      </c>
      <c r="B284" t="s">
        <v>8849</v>
      </c>
      <c r="C284" t="s">
        <v>8848</v>
      </c>
      <c r="F284" t="s">
        <v>8847</v>
      </c>
      <c r="G284" t="s">
        <v>5</v>
      </c>
      <c r="H284" t="s">
        <v>4</v>
      </c>
      <c r="I284" t="s">
        <v>712</v>
      </c>
      <c r="N284">
        <v>1</v>
      </c>
      <c r="O284" t="s">
        <v>711</v>
      </c>
      <c r="P284">
        <v>7102270511</v>
      </c>
      <c r="R284" s="7">
        <v>37580</v>
      </c>
      <c r="S284" s="8">
        <f t="shared" si="32"/>
        <v>2002</v>
      </c>
      <c r="T284" s="8">
        <v>2002</v>
      </c>
      <c r="U284" s="8">
        <f t="shared" si="33"/>
        <v>20</v>
      </c>
      <c r="V284" s="7">
        <v>37580</v>
      </c>
      <c r="W284" t="s">
        <v>789</v>
      </c>
      <c r="X284" s="2">
        <v>0.30399999999999999</v>
      </c>
      <c r="Y284" s="6">
        <f t="shared" si="38"/>
        <v>8.115106377299057E-3</v>
      </c>
      <c r="AA284">
        <v>8952477</v>
      </c>
      <c r="AB284">
        <v>12250</v>
      </c>
      <c r="AD284" t="s">
        <v>2</v>
      </c>
      <c r="AE284">
        <v>35</v>
      </c>
      <c r="AF284">
        <v>4</v>
      </c>
      <c r="AH284" t="s">
        <v>8846</v>
      </c>
      <c r="AI284" t="s">
        <v>8845</v>
      </c>
      <c r="AJ284" t="s">
        <v>8844</v>
      </c>
      <c r="AK284" t="s">
        <v>8843</v>
      </c>
      <c r="AL284">
        <v>5</v>
      </c>
      <c r="AM284" s="5">
        <f t="shared" si="34"/>
        <v>0.25</v>
      </c>
      <c r="AN284" s="4">
        <f t="shared" si="39"/>
        <v>3.786444528587656E-4</v>
      </c>
      <c r="AO284" s="3"/>
      <c r="AP284">
        <v>0</v>
      </c>
      <c r="AR284" t="s">
        <v>1</v>
      </c>
      <c r="AT284" s="2" t="s">
        <v>0</v>
      </c>
      <c r="AU284" s="1">
        <f t="shared" si="35"/>
        <v>0.57941677999669683</v>
      </c>
      <c r="AV284" s="1">
        <f t="shared" si="36"/>
        <v>0.42468754150789112</v>
      </c>
      <c r="AW284" s="1">
        <f t="shared" si="37"/>
        <v>0.2699583030190853</v>
      </c>
    </row>
    <row r="285" spans="1:49" x14ac:dyDescent="0.2">
      <c r="A285">
        <v>283</v>
      </c>
      <c r="B285" t="s">
        <v>8842</v>
      </c>
      <c r="C285" t="s">
        <v>8841</v>
      </c>
      <c r="F285" t="s">
        <v>8840</v>
      </c>
      <c r="G285" t="s">
        <v>5</v>
      </c>
      <c r="H285" t="s">
        <v>4</v>
      </c>
      <c r="I285" t="s">
        <v>8839</v>
      </c>
      <c r="J285" t="s">
        <v>8838</v>
      </c>
      <c r="K285" t="s">
        <v>8837</v>
      </c>
      <c r="L285" t="s">
        <v>8836</v>
      </c>
      <c r="M285" t="s">
        <v>8835</v>
      </c>
      <c r="N285">
        <v>4</v>
      </c>
      <c r="O285" t="s">
        <v>8834</v>
      </c>
      <c r="P285" t="s">
        <v>8833</v>
      </c>
      <c r="Q285" t="s">
        <v>8832</v>
      </c>
      <c r="R285" s="7">
        <v>37580</v>
      </c>
      <c r="S285" s="8">
        <f t="shared" si="32"/>
        <v>2002</v>
      </c>
      <c r="T285" s="8">
        <v>2002</v>
      </c>
      <c r="U285" s="8">
        <f t="shared" si="33"/>
        <v>20</v>
      </c>
      <c r="V285" s="7">
        <v>37580</v>
      </c>
      <c r="W285" t="s">
        <v>789</v>
      </c>
      <c r="X285" s="2">
        <v>0.30399999999999999</v>
      </c>
      <c r="Y285" s="6">
        <f t="shared" si="38"/>
        <v>8.115106377299057E-3</v>
      </c>
      <c r="AA285">
        <v>8952477</v>
      </c>
      <c r="AB285">
        <v>12250</v>
      </c>
      <c r="AD285" t="s">
        <v>2</v>
      </c>
      <c r="AE285">
        <v>35</v>
      </c>
      <c r="AF285">
        <v>4</v>
      </c>
      <c r="AH285" t="s">
        <v>8831</v>
      </c>
      <c r="AI285" t="s">
        <v>8830</v>
      </c>
      <c r="AJ285" t="s">
        <v>8829</v>
      </c>
      <c r="AK285" t="s">
        <v>8828</v>
      </c>
      <c r="AL285">
        <v>13</v>
      </c>
      <c r="AM285" s="5">
        <f t="shared" si="34"/>
        <v>0.65</v>
      </c>
      <c r="AN285" s="4">
        <f t="shared" si="39"/>
        <v>9.8447557743279067E-4</v>
      </c>
      <c r="AO285" s="3"/>
      <c r="AP285">
        <v>0</v>
      </c>
      <c r="AR285" t="s">
        <v>1</v>
      </c>
      <c r="AT285" s="2" t="s">
        <v>0</v>
      </c>
      <c r="AU285" s="1">
        <f t="shared" si="35"/>
        <v>0.59759171373391762</v>
      </c>
      <c r="AV285" s="1">
        <f t="shared" si="36"/>
        <v>0.4549790977365924</v>
      </c>
      <c r="AW285" s="1">
        <f t="shared" si="37"/>
        <v>0.31236648173926707</v>
      </c>
    </row>
    <row r="286" spans="1:49" x14ac:dyDescent="0.2">
      <c r="A286">
        <v>284</v>
      </c>
      <c r="B286" t="s">
        <v>8827</v>
      </c>
      <c r="C286" t="s">
        <v>8826</v>
      </c>
      <c r="F286" t="s">
        <v>8825</v>
      </c>
      <c r="G286" t="s">
        <v>5</v>
      </c>
      <c r="H286" t="s">
        <v>4</v>
      </c>
      <c r="I286" t="s">
        <v>254</v>
      </c>
      <c r="J286">
        <v>60022144</v>
      </c>
      <c r="K286" t="s">
        <v>583</v>
      </c>
      <c r="L286" t="s">
        <v>582</v>
      </c>
      <c r="M286" t="s">
        <v>7</v>
      </c>
      <c r="N286">
        <v>2</v>
      </c>
      <c r="O286" t="s">
        <v>8824</v>
      </c>
      <c r="P286" t="s">
        <v>8823</v>
      </c>
      <c r="Q286" t="s">
        <v>579</v>
      </c>
      <c r="R286" s="7">
        <v>37580</v>
      </c>
      <c r="S286" s="8">
        <f t="shared" si="32"/>
        <v>2002</v>
      </c>
      <c r="T286" s="8">
        <v>2002</v>
      </c>
      <c r="U286" s="8">
        <f t="shared" si="33"/>
        <v>20</v>
      </c>
      <c r="V286" s="7">
        <v>37580</v>
      </c>
      <c r="W286" t="s">
        <v>789</v>
      </c>
      <c r="X286" s="2">
        <v>0.30399999999999999</v>
      </c>
      <c r="Y286" s="6">
        <f t="shared" si="38"/>
        <v>8.115106377299057E-3</v>
      </c>
      <c r="AA286">
        <v>8952477</v>
      </c>
      <c r="AB286">
        <v>12250</v>
      </c>
      <c r="AD286" t="s">
        <v>2</v>
      </c>
      <c r="AE286">
        <v>35</v>
      </c>
      <c r="AF286">
        <v>4</v>
      </c>
      <c r="AH286" t="s">
        <v>8822</v>
      </c>
      <c r="AI286" t="s">
        <v>8821</v>
      </c>
      <c r="AJ286" t="s">
        <v>8820</v>
      </c>
      <c r="AK286" t="s">
        <v>8819</v>
      </c>
      <c r="AL286">
        <v>2</v>
      </c>
      <c r="AM286" s="5">
        <f t="shared" si="34"/>
        <v>0.1</v>
      </c>
      <c r="AN286" s="4">
        <f t="shared" si="39"/>
        <v>1.5145778114350627E-4</v>
      </c>
      <c r="AO286" s="3"/>
      <c r="AP286">
        <v>0</v>
      </c>
      <c r="AR286" t="s">
        <v>1</v>
      </c>
      <c r="AT286" s="2" t="s">
        <v>0</v>
      </c>
      <c r="AU286" s="1">
        <f t="shared" si="35"/>
        <v>0.57260117984523917</v>
      </c>
      <c r="AV286" s="1">
        <f t="shared" si="36"/>
        <v>0.41332820792212815</v>
      </c>
      <c r="AW286" s="1">
        <f t="shared" si="37"/>
        <v>0.25405523599901714</v>
      </c>
    </row>
    <row r="287" spans="1:49" x14ac:dyDescent="0.2">
      <c r="A287">
        <v>285</v>
      </c>
      <c r="B287" t="s">
        <v>8818</v>
      </c>
      <c r="C287" t="s">
        <v>8817</v>
      </c>
      <c r="F287" t="s">
        <v>8816</v>
      </c>
      <c r="G287" t="s">
        <v>5</v>
      </c>
      <c r="H287" t="s">
        <v>4</v>
      </c>
      <c r="I287" t="s">
        <v>8815</v>
      </c>
      <c r="J287" t="s">
        <v>638</v>
      </c>
      <c r="K287" t="s">
        <v>637</v>
      </c>
      <c r="L287" t="s">
        <v>636</v>
      </c>
      <c r="M287" t="s">
        <v>635</v>
      </c>
      <c r="N287">
        <v>4</v>
      </c>
      <c r="O287" t="s">
        <v>8814</v>
      </c>
      <c r="P287" t="s">
        <v>8813</v>
      </c>
      <c r="Q287" t="s">
        <v>8812</v>
      </c>
      <c r="R287" s="7">
        <v>37580</v>
      </c>
      <c r="S287" s="8">
        <f t="shared" si="32"/>
        <v>2002</v>
      </c>
      <c r="T287" s="8">
        <v>2002</v>
      </c>
      <c r="U287" s="8">
        <f t="shared" si="33"/>
        <v>20</v>
      </c>
      <c r="V287" s="7">
        <v>37580</v>
      </c>
      <c r="W287" t="s">
        <v>789</v>
      </c>
      <c r="X287" s="2">
        <v>0.30399999999999999</v>
      </c>
      <c r="Y287" s="6">
        <f t="shared" si="38"/>
        <v>8.115106377299057E-3</v>
      </c>
      <c r="AA287">
        <v>8952477</v>
      </c>
      <c r="AB287">
        <v>12250</v>
      </c>
      <c r="AD287" t="s">
        <v>2</v>
      </c>
      <c r="AE287">
        <v>35</v>
      </c>
      <c r="AF287">
        <v>4</v>
      </c>
      <c r="AH287" t="s">
        <v>8811</v>
      </c>
      <c r="AI287" t="s">
        <v>8810</v>
      </c>
      <c r="AJ287" t="s">
        <v>8809</v>
      </c>
      <c r="AK287" t="s">
        <v>8808</v>
      </c>
      <c r="AL287">
        <v>18</v>
      </c>
      <c r="AM287" s="5">
        <f t="shared" si="34"/>
        <v>0.9</v>
      </c>
      <c r="AN287" s="4">
        <f t="shared" si="39"/>
        <v>1.3631200302915562E-3</v>
      </c>
      <c r="AO287" s="3"/>
      <c r="AP287">
        <v>0</v>
      </c>
      <c r="AR287" t="s">
        <v>1</v>
      </c>
      <c r="AT287" s="2" t="s">
        <v>0</v>
      </c>
      <c r="AU287" s="1">
        <f t="shared" si="35"/>
        <v>0.60895104731968053</v>
      </c>
      <c r="AV287" s="1">
        <f t="shared" si="36"/>
        <v>0.47391132037953065</v>
      </c>
      <c r="AW287" s="1">
        <f t="shared" si="37"/>
        <v>0.33887159343938061</v>
      </c>
    </row>
    <row r="288" spans="1:49" x14ac:dyDescent="0.2">
      <c r="A288">
        <v>286</v>
      </c>
      <c r="B288" t="s">
        <v>8807</v>
      </c>
      <c r="C288" t="s">
        <v>8806</v>
      </c>
      <c r="F288" t="s">
        <v>8805</v>
      </c>
      <c r="G288" t="s">
        <v>5</v>
      </c>
      <c r="H288" t="s">
        <v>4</v>
      </c>
      <c r="I288" t="s">
        <v>130</v>
      </c>
      <c r="J288" t="s">
        <v>1090</v>
      </c>
      <c r="K288" t="s">
        <v>1089</v>
      </c>
      <c r="L288" t="s">
        <v>1088</v>
      </c>
      <c r="M288" t="s">
        <v>816</v>
      </c>
      <c r="N288">
        <v>3</v>
      </c>
      <c r="O288" t="s">
        <v>8804</v>
      </c>
      <c r="P288" t="s">
        <v>8803</v>
      </c>
      <c r="Q288" t="s">
        <v>8802</v>
      </c>
      <c r="R288" s="7">
        <v>37580</v>
      </c>
      <c r="S288" s="8">
        <f t="shared" si="32"/>
        <v>2002</v>
      </c>
      <c r="T288" s="8">
        <v>2002</v>
      </c>
      <c r="U288" s="8">
        <f t="shared" si="33"/>
        <v>20</v>
      </c>
      <c r="V288" s="7">
        <v>37580</v>
      </c>
      <c r="W288" t="s">
        <v>789</v>
      </c>
      <c r="X288" s="2">
        <v>0.30399999999999999</v>
      </c>
      <c r="Y288" s="6">
        <f t="shared" si="38"/>
        <v>8.115106377299057E-3</v>
      </c>
      <c r="AA288">
        <v>8952477</v>
      </c>
      <c r="AB288">
        <v>12250</v>
      </c>
      <c r="AD288" t="s">
        <v>2</v>
      </c>
      <c r="AE288">
        <v>35</v>
      </c>
      <c r="AF288">
        <v>4</v>
      </c>
      <c r="AH288" t="s">
        <v>8801</v>
      </c>
      <c r="AI288" t="s">
        <v>8800</v>
      </c>
      <c r="AJ288" t="s">
        <v>8799</v>
      </c>
      <c r="AK288" t="s">
        <v>8798</v>
      </c>
      <c r="AL288">
        <v>11</v>
      </c>
      <c r="AM288" s="5">
        <f t="shared" si="34"/>
        <v>0.55000000000000004</v>
      </c>
      <c r="AN288" s="4">
        <f t="shared" si="39"/>
        <v>8.3301779628928443E-4</v>
      </c>
      <c r="AO288" s="3"/>
      <c r="AP288">
        <v>0</v>
      </c>
      <c r="AR288" t="s">
        <v>1</v>
      </c>
      <c r="AT288" s="2" t="s">
        <v>0</v>
      </c>
      <c r="AU288" s="1">
        <f t="shared" si="35"/>
        <v>0.59304798029961248</v>
      </c>
      <c r="AV288" s="1">
        <f t="shared" si="36"/>
        <v>0.44740620867941711</v>
      </c>
      <c r="AW288" s="1">
        <f t="shared" si="37"/>
        <v>0.30176443705922162</v>
      </c>
    </row>
    <row r="289" spans="1:49" x14ac:dyDescent="0.2">
      <c r="A289">
        <v>287</v>
      </c>
      <c r="B289" t="s">
        <v>8797</v>
      </c>
      <c r="C289" t="s">
        <v>8796</v>
      </c>
      <c r="F289" t="s">
        <v>8795</v>
      </c>
      <c r="G289" t="s">
        <v>5</v>
      </c>
      <c r="H289" t="s">
        <v>4</v>
      </c>
      <c r="I289" t="s">
        <v>868</v>
      </c>
      <c r="J289">
        <v>60017161</v>
      </c>
      <c r="K289" t="s">
        <v>360</v>
      </c>
      <c r="L289" t="s">
        <v>87</v>
      </c>
      <c r="M289" t="s">
        <v>86</v>
      </c>
      <c r="N289">
        <v>2</v>
      </c>
      <c r="O289" t="s">
        <v>8794</v>
      </c>
      <c r="P289" t="s">
        <v>8793</v>
      </c>
      <c r="Q289" t="s">
        <v>898</v>
      </c>
      <c r="R289" s="7">
        <v>37580</v>
      </c>
      <c r="S289" s="8">
        <f t="shared" si="32"/>
        <v>2002</v>
      </c>
      <c r="T289" s="8">
        <v>2002</v>
      </c>
      <c r="U289" s="8">
        <f t="shared" si="33"/>
        <v>20</v>
      </c>
      <c r="V289" s="7">
        <v>37580</v>
      </c>
      <c r="W289" t="s">
        <v>789</v>
      </c>
      <c r="X289" s="2">
        <v>0.30399999999999999</v>
      </c>
      <c r="Y289" s="6">
        <f t="shared" si="38"/>
        <v>8.115106377299057E-3</v>
      </c>
      <c r="AA289">
        <v>8952477</v>
      </c>
      <c r="AB289">
        <v>12250</v>
      </c>
      <c r="AD289" t="s">
        <v>2</v>
      </c>
      <c r="AE289">
        <v>35</v>
      </c>
      <c r="AF289">
        <v>4</v>
      </c>
      <c r="AH289" t="s">
        <v>8792</v>
      </c>
      <c r="AI289" t="s">
        <v>8791</v>
      </c>
      <c r="AJ289" t="s">
        <v>8790</v>
      </c>
      <c r="AK289" t="s">
        <v>8789</v>
      </c>
      <c r="AL289">
        <v>1</v>
      </c>
      <c r="AM289" s="5">
        <f t="shared" si="34"/>
        <v>0.05</v>
      </c>
      <c r="AN289" s="4">
        <f t="shared" si="39"/>
        <v>7.5728890571753133E-5</v>
      </c>
      <c r="AO289" s="3"/>
      <c r="AP289">
        <v>0</v>
      </c>
      <c r="AR289" t="s">
        <v>1</v>
      </c>
      <c r="AT289" s="2" t="s">
        <v>0</v>
      </c>
      <c r="AU289" s="1">
        <f t="shared" si="35"/>
        <v>0.57032931312808655</v>
      </c>
      <c r="AV289" s="1">
        <f t="shared" si="36"/>
        <v>0.40954176339354048</v>
      </c>
      <c r="AW289" s="1">
        <f t="shared" si="37"/>
        <v>0.24875421365899444</v>
      </c>
    </row>
    <row r="290" spans="1:49" x14ac:dyDescent="0.2">
      <c r="A290">
        <v>288</v>
      </c>
      <c r="B290" t="s">
        <v>8788</v>
      </c>
      <c r="C290" t="s">
        <v>8787</v>
      </c>
      <c r="F290" t="s">
        <v>8786</v>
      </c>
      <c r="G290" t="s">
        <v>5</v>
      </c>
      <c r="H290" t="s">
        <v>4</v>
      </c>
      <c r="I290" t="s">
        <v>1117</v>
      </c>
      <c r="J290" t="s">
        <v>901</v>
      </c>
      <c r="K290" t="s">
        <v>900</v>
      </c>
      <c r="L290" t="s">
        <v>899</v>
      </c>
      <c r="M290" t="s">
        <v>59</v>
      </c>
      <c r="N290">
        <v>4</v>
      </c>
      <c r="O290" t="s">
        <v>8785</v>
      </c>
      <c r="P290" t="s">
        <v>8784</v>
      </c>
      <c r="Q290" t="s">
        <v>8783</v>
      </c>
      <c r="R290" s="7">
        <v>37580</v>
      </c>
      <c r="S290" s="8">
        <f t="shared" si="32"/>
        <v>2002</v>
      </c>
      <c r="T290" s="8">
        <v>2002</v>
      </c>
      <c r="U290" s="8">
        <f t="shared" si="33"/>
        <v>20</v>
      </c>
      <c r="V290" s="7">
        <v>37580</v>
      </c>
      <c r="W290" t="s">
        <v>789</v>
      </c>
      <c r="X290" s="2">
        <v>0.30399999999999999</v>
      </c>
      <c r="Y290" s="6">
        <f t="shared" si="38"/>
        <v>8.115106377299057E-3</v>
      </c>
      <c r="AA290">
        <v>8952477</v>
      </c>
      <c r="AB290">
        <v>12250</v>
      </c>
      <c r="AD290" t="s">
        <v>2</v>
      </c>
      <c r="AE290">
        <v>35</v>
      </c>
      <c r="AF290">
        <v>4</v>
      </c>
      <c r="AH290" t="s">
        <v>8782</v>
      </c>
      <c r="AI290" t="s">
        <v>8781</v>
      </c>
      <c r="AJ290" t="s">
        <v>8780</v>
      </c>
      <c r="AK290" t="s">
        <v>8779</v>
      </c>
      <c r="AL290">
        <v>66</v>
      </c>
      <c r="AM290" s="5">
        <f t="shared" si="34"/>
        <v>3.3</v>
      </c>
      <c r="AN290" s="4">
        <f t="shared" si="39"/>
        <v>4.9981067777357061E-3</v>
      </c>
      <c r="AO290" s="3"/>
      <c r="AP290">
        <v>0</v>
      </c>
      <c r="AR290" t="s">
        <v>1</v>
      </c>
      <c r="AT290" s="2" t="s">
        <v>0</v>
      </c>
      <c r="AU290" s="1">
        <f t="shared" si="35"/>
        <v>0.71800064974300515</v>
      </c>
      <c r="AV290" s="1">
        <f t="shared" si="36"/>
        <v>0.65566065775173821</v>
      </c>
      <c r="AW290" s="1">
        <f t="shared" si="37"/>
        <v>0.59332066576047116</v>
      </c>
    </row>
    <row r="291" spans="1:49" x14ac:dyDescent="0.2">
      <c r="A291">
        <v>289</v>
      </c>
      <c r="B291" t="s">
        <v>8778</v>
      </c>
      <c r="C291" t="s">
        <v>8777</v>
      </c>
      <c r="F291" t="s">
        <v>8776</v>
      </c>
      <c r="G291" t="s">
        <v>5</v>
      </c>
      <c r="H291" t="s">
        <v>4</v>
      </c>
      <c r="I291" t="s">
        <v>8775</v>
      </c>
      <c r="J291" t="s">
        <v>91</v>
      </c>
      <c r="K291" t="s">
        <v>90</v>
      </c>
      <c r="L291" t="s">
        <v>89</v>
      </c>
      <c r="M291" t="s">
        <v>88</v>
      </c>
      <c r="N291">
        <v>5</v>
      </c>
      <c r="O291" t="s">
        <v>8774</v>
      </c>
      <c r="P291" t="s">
        <v>8773</v>
      </c>
      <c r="Q291" t="s">
        <v>8772</v>
      </c>
      <c r="R291" s="7">
        <v>37580</v>
      </c>
      <c r="S291" s="8">
        <f t="shared" si="32"/>
        <v>2002</v>
      </c>
      <c r="T291" s="8">
        <v>2002</v>
      </c>
      <c r="U291" s="8">
        <f t="shared" si="33"/>
        <v>20</v>
      </c>
      <c r="V291" s="7">
        <v>37580</v>
      </c>
      <c r="W291" t="s">
        <v>789</v>
      </c>
      <c r="X291" s="2">
        <v>0.30399999999999999</v>
      </c>
      <c r="Y291" s="6">
        <f t="shared" si="38"/>
        <v>8.115106377299057E-3</v>
      </c>
      <c r="AA291">
        <v>8952477</v>
      </c>
      <c r="AB291">
        <v>12250</v>
      </c>
      <c r="AD291" t="s">
        <v>2</v>
      </c>
      <c r="AE291">
        <v>35</v>
      </c>
      <c r="AF291">
        <v>4</v>
      </c>
      <c r="AH291" t="s">
        <v>759</v>
      </c>
      <c r="AI291" t="s">
        <v>8771</v>
      </c>
      <c r="AJ291" t="s">
        <v>8770</v>
      </c>
      <c r="AK291" t="s">
        <v>8769</v>
      </c>
      <c r="AL291">
        <v>26</v>
      </c>
      <c r="AM291" s="5">
        <f t="shared" si="34"/>
        <v>1.3</v>
      </c>
      <c r="AN291" s="4">
        <f t="shared" si="39"/>
        <v>1.9689511548655813E-3</v>
      </c>
      <c r="AO291" s="3"/>
      <c r="AP291">
        <v>0</v>
      </c>
      <c r="AR291" t="s">
        <v>1</v>
      </c>
      <c r="AT291" s="2" t="s">
        <v>0</v>
      </c>
      <c r="AU291" s="1">
        <f t="shared" si="35"/>
        <v>0.62712598105690143</v>
      </c>
      <c r="AV291" s="1">
        <f t="shared" si="36"/>
        <v>0.50420287660823193</v>
      </c>
      <c r="AW291" s="1">
        <f t="shared" si="37"/>
        <v>0.38127977215956244</v>
      </c>
    </row>
    <row r="292" spans="1:49" x14ac:dyDescent="0.2">
      <c r="A292">
        <v>290</v>
      </c>
      <c r="B292" t="s">
        <v>8768</v>
      </c>
      <c r="C292" t="s">
        <v>8767</v>
      </c>
      <c r="F292" t="s">
        <v>8766</v>
      </c>
      <c r="G292" t="s">
        <v>5</v>
      </c>
      <c r="H292" t="s">
        <v>4</v>
      </c>
      <c r="I292" t="s">
        <v>8765</v>
      </c>
      <c r="J292" t="s">
        <v>909</v>
      </c>
      <c r="K292" t="s">
        <v>908</v>
      </c>
      <c r="L292" t="s">
        <v>690</v>
      </c>
      <c r="M292" t="s">
        <v>94</v>
      </c>
      <c r="N292">
        <v>7</v>
      </c>
      <c r="O292" t="s">
        <v>8764</v>
      </c>
      <c r="P292" t="s">
        <v>8763</v>
      </c>
      <c r="Q292" t="s">
        <v>8762</v>
      </c>
      <c r="R292" s="7">
        <v>37580</v>
      </c>
      <c r="S292" s="8">
        <f t="shared" si="32"/>
        <v>2002</v>
      </c>
      <c r="T292" s="8">
        <v>2002</v>
      </c>
      <c r="U292" s="8">
        <f t="shared" si="33"/>
        <v>20</v>
      </c>
      <c r="V292" s="7">
        <v>37580</v>
      </c>
      <c r="W292" t="s">
        <v>789</v>
      </c>
      <c r="X292" s="2">
        <v>0.30399999999999999</v>
      </c>
      <c r="Y292" s="6">
        <f t="shared" si="38"/>
        <v>8.115106377299057E-3</v>
      </c>
      <c r="AA292">
        <v>8952477</v>
      </c>
      <c r="AB292">
        <v>12250</v>
      </c>
      <c r="AD292" t="s">
        <v>2</v>
      </c>
      <c r="AE292">
        <v>35</v>
      </c>
      <c r="AF292">
        <v>4</v>
      </c>
      <c r="AH292" t="s">
        <v>957</v>
      </c>
      <c r="AI292" t="s">
        <v>8761</v>
      </c>
      <c r="AJ292" t="s">
        <v>8760</v>
      </c>
      <c r="AK292" t="s">
        <v>8759</v>
      </c>
      <c r="AL292">
        <v>8</v>
      </c>
      <c r="AM292" s="5">
        <f t="shared" si="34"/>
        <v>0.4</v>
      </c>
      <c r="AN292" s="4">
        <f t="shared" si="39"/>
        <v>6.0583112457402507E-4</v>
      </c>
      <c r="AO292" s="3"/>
      <c r="AP292">
        <v>0</v>
      </c>
      <c r="AR292" t="s">
        <v>1</v>
      </c>
      <c r="AT292" s="2" t="s">
        <v>0</v>
      </c>
      <c r="AU292" s="1">
        <f t="shared" si="35"/>
        <v>0.58623238014815471</v>
      </c>
      <c r="AV292" s="1">
        <f t="shared" si="36"/>
        <v>0.43604687509365414</v>
      </c>
      <c r="AW292" s="1">
        <f t="shared" si="37"/>
        <v>0.28586137003915346</v>
      </c>
    </row>
    <row r="293" spans="1:49" x14ac:dyDescent="0.2">
      <c r="A293">
        <v>291</v>
      </c>
      <c r="B293" t="s">
        <v>8758</v>
      </c>
      <c r="C293" t="s">
        <v>8757</v>
      </c>
      <c r="F293" t="s">
        <v>8756</v>
      </c>
      <c r="G293" t="s">
        <v>5</v>
      </c>
      <c r="H293" t="s">
        <v>4</v>
      </c>
      <c r="I293" t="s">
        <v>8755</v>
      </c>
      <c r="J293" t="s">
        <v>8754</v>
      </c>
      <c r="K293" t="s">
        <v>8753</v>
      </c>
      <c r="L293" t="s">
        <v>8752</v>
      </c>
      <c r="M293" t="s">
        <v>273</v>
      </c>
      <c r="N293">
        <v>5</v>
      </c>
      <c r="O293" t="s">
        <v>8751</v>
      </c>
      <c r="P293" t="s">
        <v>8750</v>
      </c>
      <c r="Q293" t="s">
        <v>8749</v>
      </c>
      <c r="R293" s="7">
        <v>37578</v>
      </c>
      <c r="S293" s="8">
        <f t="shared" si="32"/>
        <v>2002</v>
      </c>
      <c r="T293" s="8">
        <v>2002</v>
      </c>
      <c r="U293" s="8">
        <f t="shared" si="33"/>
        <v>20</v>
      </c>
      <c r="V293" s="7">
        <v>37578</v>
      </c>
      <c r="W293" t="s">
        <v>958</v>
      </c>
      <c r="X293" s="2">
        <v>1.1819999999999999</v>
      </c>
      <c r="Y293" s="6">
        <f t="shared" si="38"/>
        <v>3.1552814927524625E-2</v>
      </c>
      <c r="AA293">
        <v>36951</v>
      </c>
      <c r="AB293">
        <v>27030</v>
      </c>
      <c r="AD293" t="s">
        <v>2</v>
      </c>
      <c r="AE293">
        <v>81</v>
      </c>
      <c r="AF293">
        <v>21</v>
      </c>
      <c r="AH293" t="s">
        <v>8748</v>
      </c>
      <c r="AI293" t="s">
        <v>8747</v>
      </c>
      <c r="AK293" t="s">
        <v>8746</v>
      </c>
      <c r="AL293">
        <v>21</v>
      </c>
      <c r="AM293" s="5">
        <f t="shared" si="34"/>
        <v>1.05</v>
      </c>
      <c r="AN293" s="4">
        <f t="shared" si="39"/>
        <v>1.5903067020068156E-3</v>
      </c>
      <c r="AO293" s="3"/>
      <c r="AP293">
        <v>0</v>
      </c>
      <c r="AR293" t="s">
        <v>1</v>
      </c>
      <c r="AT293" s="2">
        <v>3.7909999999999999</v>
      </c>
      <c r="AU293" s="1">
        <f t="shared" si="35"/>
        <v>2.2564062459869283</v>
      </c>
      <c r="AV293" s="1">
        <f t="shared" si="36"/>
        <v>1.657156081476572</v>
      </c>
      <c r="AW293" s="1">
        <f t="shared" si="37"/>
        <v>1.0579059169662159</v>
      </c>
    </row>
    <row r="294" spans="1:49" x14ac:dyDescent="0.2">
      <c r="A294">
        <v>292</v>
      </c>
      <c r="B294" t="s">
        <v>8745</v>
      </c>
      <c r="C294" t="s">
        <v>8744</v>
      </c>
      <c r="E294">
        <v>12426386</v>
      </c>
      <c r="F294" t="s">
        <v>8743</v>
      </c>
      <c r="G294" t="s">
        <v>5</v>
      </c>
      <c r="H294" t="s">
        <v>4</v>
      </c>
      <c r="I294" t="s">
        <v>8742</v>
      </c>
      <c r="J294" t="s">
        <v>8741</v>
      </c>
      <c r="K294" t="s">
        <v>8740</v>
      </c>
      <c r="L294" t="s">
        <v>8739</v>
      </c>
      <c r="M294" t="s">
        <v>8738</v>
      </c>
      <c r="N294">
        <v>5</v>
      </c>
      <c r="O294" t="s">
        <v>8737</v>
      </c>
      <c r="P294" t="s">
        <v>8736</v>
      </c>
      <c r="Q294" t="s">
        <v>8735</v>
      </c>
      <c r="R294" s="7">
        <v>37575</v>
      </c>
      <c r="S294" s="8">
        <f t="shared" si="32"/>
        <v>2002</v>
      </c>
      <c r="T294" s="8">
        <v>2002</v>
      </c>
      <c r="U294" s="8">
        <f t="shared" si="33"/>
        <v>20</v>
      </c>
      <c r="V294" s="7">
        <v>37575</v>
      </c>
      <c r="W294" t="s">
        <v>2563</v>
      </c>
      <c r="X294" s="2">
        <v>7.484</v>
      </c>
      <c r="Y294" s="6">
        <f t="shared" si="38"/>
        <v>0.19978110568324392</v>
      </c>
      <c r="AA294">
        <v>2614189</v>
      </c>
      <c r="AB294">
        <v>17435</v>
      </c>
      <c r="AD294" t="s">
        <v>2</v>
      </c>
      <c r="AE294">
        <v>21</v>
      </c>
      <c r="AF294">
        <v>22</v>
      </c>
      <c r="AH294" t="s">
        <v>8734</v>
      </c>
      <c r="AI294" t="s">
        <v>8733</v>
      </c>
      <c r="AJ294" t="s">
        <v>8732</v>
      </c>
      <c r="AK294" t="s">
        <v>8731</v>
      </c>
      <c r="AL294">
        <v>74</v>
      </c>
      <c r="AM294" s="5">
        <f t="shared" si="34"/>
        <v>3.7</v>
      </c>
      <c r="AN294" s="4">
        <f t="shared" si="39"/>
        <v>5.6039379023097311E-3</v>
      </c>
      <c r="AO294" s="3"/>
      <c r="AP294">
        <v>0</v>
      </c>
      <c r="AR294" t="s">
        <v>1</v>
      </c>
      <c r="AT294" s="2">
        <v>11.598000000000001</v>
      </c>
      <c r="AU294" s="1">
        <f t="shared" si="35"/>
        <v>14.152795534896365</v>
      </c>
      <c r="AV294" s="1">
        <f t="shared" si="36"/>
        <v>10.269252179277682</v>
      </c>
      <c r="AW294" s="1">
        <f t="shared" si="37"/>
        <v>6.3857088236589981</v>
      </c>
    </row>
    <row r="295" spans="1:49" x14ac:dyDescent="0.2">
      <c r="A295">
        <v>293</v>
      </c>
      <c r="B295" t="s">
        <v>8730</v>
      </c>
      <c r="C295" t="s">
        <v>8729</v>
      </c>
      <c r="D295" t="s">
        <v>8728</v>
      </c>
      <c r="E295">
        <v>12429417</v>
      </c>
      <c r="F295" t="s">
        <v>8727</v>
      </c>
      <c r="G295" t="s">
        <v>5</v>
      </c>
      <c r="H295" t="s">
        <v>4</v>
      </c>
      <c r="I295" t="s">
        <v>8726</v>
      </c>
      <c r="J295" t="s">
        <v>8725</v>
      </c>
      <c r="K295" t="s">
        <v>8724</v>
      </c>
      <c r="L295" t="s">
        <v>8723</v>
      </c>
      <c r="M295" t="s">
        <v>80</v>
      </c>
      <c r="N295">
        <v>5</v>
      </c>
      <c r="O295" t="s">
        <v>8722</v>
      </c>
      <c r="P295" t="s">
        <v>8721</v>
      </c>
      <c r="Q295" t="s">
        <v>8720</v>
      </c>
      <c r="R295" s="7">
        <v>37575</v>
      </c>
      <c r="S295" s="8">
        <f t="shared" si="32"/>
        <v>2002</v>
      </c>
      <c r="T295" s="8">
        <v>2002</v>
      </c>
      <c r="U295" s="8">
        <f t="shared" si="33"/>
        <v>20</v>
      </c>
      <c r="V295" s="7">
        <v>37575</v>
      </c>
      <c r="W295" t="s">
        <v>8719</v>
      </c>
      <c r="X295" s="2">
        <v>1.113</v>
      </c>
      <c r="Y295" s="6">
        <f t="shared" si="38"/>
        <v>2.9710899335308721E-2</v>
      </c>
      <c r="AA295">
        <v>1664328</v>
      </c>
      <c r="AB295">
        <v>14285</v>
      </c>
      <c r="AD295" t="s">
        <v>2</v>
      </c>
      <c r="AE295">
        <v>136</v>
      </c>
      <c r="AF295">
        <v>2</v>
      </c>
      <c r="AH295" t="s">
        <v>8718</v>
      </c>
      <c r="AI295" t="s">
        <v>8717</v>
      </c>
      <c r="AJ295" t="s">
        <v>8716</v>
      </c>
      <c r="AK295" t="s">
        <v>8715</v>
      </c>
      <c r="AL295">
        <v>156</v>
      </c>
      <c r="AM295" s="5">
        <f t="shared" si="34"/>
        <v>7.8</v>
      </c>
      <c r="AN295" s="4">
        <f t="shared" si="39"/>
        <v>1.1813706929193486E-2</v>
      </c>
      <c r="AO295" s="3"/>
      <c r="AP295">
        <v>0</v>
      </c>
      <c r="AQ295" t="s">
        <v>318</v>
      </c>
      <c r="AR295" t="s">
        <v>8714</v>
      </c>
      <c r="AS295" t="s">
        <v>317</v>
      </c>
      <c r="AT295" s="2">
        <v>3.3319999999999999</v>
      </c>
      <c r="AU295" s="1">
        <f t="shared" si="35"/>
        <v>2.4341741613474146</v>
      </c>
      <c r="AV295" s="1">
        <f t="shared" si="36"/>
        <v>2.0762303132251101</v>
      </c>
      <c r="AW295" s="1">
        <f t="shared" si="37"/>
        <v>1.7182864651028056</v>
      </c>
    </row>
    <row r="296" spans="1:49" x14ac:dyDescent="0.2">
      <c r="A296">
        <v>294</v>
      </c>
      <c r="B296" t="s">
        <v>8713</v>
      </c>
      <c r="C296" t="s">
        <v>8712</v>
      </c>
      <c r="F296" t="s">
        <v>8711</v>
      </c>
      <c r="G296" t="s">
        <v>5</v>
      </c>
      <c r="H296" t="s">
        <v>4</v>
      </c>
      <c r="I296" t="s">
        <v>967</v>
      </c>
      <c r="J296" t="s">
        <v>8710</v>
      </c>
      <c r="K296" t="s">
        <v>8709</v>
      </c>
      <c r="L296" t="s">
        <v>8708</v>
      </c>
      <c r="M296" t="s">
        <v>22</v>
      </c>
      <c r="N296">
        <v>6</v>
      </c>
      <c r="O296" t="s">
        <v>8707</v>
      </c>
      <c r="P296" t="s">
        <v>8706</v>
      </c>
      <c r="Q296" t="s">
        <v>8705</v>
      </c>
      <c r="R296" s="7">
        <v>37574</v>
      </c>
      <c r="S296" s="8">
        <f t="shared" si="32"/>
        <v>2002</v>
      </c>
      <c r="T296" s="8">
        <v>2002</v>
      </c>
      <c r="U296" s="8">
        <f t="shared" si="33"/>
        <v>20</v>
      </c>
      <c r="V296" s="7">
        <v>2002</v>
      </c>
      <c r="W296" t="s">
        <v>8704</v>
      </c>
      <c r="X296" s="2">
        <v>0.318</v>
      </c>
      <c r="Y296" s="6">
        <f t="shared" si="38"/>
        <v>8.4888283815167786E-3</v>
      </c>
      <c r="AA296">
        <v>920606</v>
      </c>
      <c r="AB296">
        <v>14894</v>
      </c>
      <c r="AD296" t="s">
        <v>2</v>
      </c>
      <c r="AE296">
        <v>28</v>
      </c>
      <c r="AF296">
        <v>3</v>
      </c>
      <c r="AH296" t="s">
        <v>8703</v>
      </c>
      <c r="AI296" t="s">
        <v>8702</v>
      </c>
      <c r="AJ296" t="s">
        <v>8701</v>
      </c>
      <c r="AK296" t="s">
        <v>8700</v>
      </c>
      <c r="AL296">
        <v>6</v>
      </c>
      <c r="AM296" s="5">
        <f t="shared" si="34"/>
        <v>0.3</v>
      </c>
      <c r="AN296" s="4">
        <f t="shared" si="39"/>
        <v>4.5437334343051872E-4</v>
      </c>
      <c r="AO296" s="3"/>
      <c r="AP296">
        <v>0</v>
      </c>
      <c r="AQ296" t="s">
        <v>569</v>
      </c>
      <c r="AR296" t="s">
        <v>1</v>
      </c>
      <c r="AS296" t="s">
        <v>568</v>
      </c>
      <c r="AT296" s="2">
        <v>1.365</v>
      </c>
      <c r="AU296" s="1">
        <f t="shared" si="35"/>
        <v>0.60784918700909008</v>
      </c>
      <c r="AV296" s="1">
        <f t="shared" si="36"/>
        <v>0.44716008624736492</v>
      </c>
      <c r="AW296" s="1">
        <f t="shared" si="37"/>
        <v>0.28647098548563965</v>
      </c>
    </row>
    <row r="297" spans="1:49" x14ac:dyDescent="0.2">
      <c r="A297">
        <v>295</v>
      </c>
      <c r="B297" t="s">
        <v>8699</v>
      </c>
      <c r="C297" t="s">
        <v>8698</v>
      </c>
      <c r="F297" t="s">
        <v>8697</v>
      </c>
      <c r="G297" t="s">
        <v>5</v>
      </c>
      <c r="H297" t="s">
        <v>4</v>
      </c>
      <c r="I297" t="s">
        <v>8696</v>
      </c>
      <c r="J297">
        <v>100658720</v>
      </c>
      <c r="K297" t="s">
        <v>8695</v>
      </c>
      <c r="L297" t="s">
        <v>113</v>
      </c>
      <c r="M297" t="s">
        <v>112</v>
      </c>
      <c r="N297">
        <v>1</v>
      </c>
      <c r="O297" t="s">
        <v>8694</v>
      </c>
      <c r="P297">
        <v>6507373180</v>
      </c>
      <c r="Q297">
        <v>100658720</v>
      </c>
      <c r="R297" s="7">
        <v>37574</v>
      </c>
      <c r="S297" s="8">
        <f t="shared" si="32"/>
        <v>2002</v>
      </c>
      <c r="T297" s="8">
        <v>2002</v>
      </c>
      <c r="U297" s="8">
        <f t="shared" si="33"/>
        <v>20</v>
      </c>
      <c r="V297" s="7">
        <v>2002</v>
      </c>
      <c r="W297" t="s">
        <v>8682</v>
      </c>
      <c r="X297" s="2">
        <v>0.14399999999999999</v>
      </c>
      <c r="Y297" s="6">
        <f t="shared" si="38"/>
        <v>3.8439977576679744E-3</v>
      </c>
      <c r="AA297">
        <v>8827516</v>
      </c>
      <c r="AB297">
        <v>18673</v>
      </c>
      <c r="AD297" t="s">
        <v>2</v>
      </c>
      <c r="AE297">
        <v>25</v>
      </c>
      <c r="AF297">
        <v>1</v>
      </c>
      <c r="AH297" t="s">
        <v>8693</v>
      </c>
      <c r="AI297" t="s">
        <v>8692</v>
      </c>
      <c r="AJ297" t="s">
        <v>8691</v>
      </c>
      <c r="AK297" t="s">
        <v>8690</v>
      </c>
      <c r="AL297">
        <v>2</v>
      </c>
      <c r="AM297" s="5">
        <f t="shared" si="34"/>
        <v>0.1</v>
      </c>
      <c r="AN297" s="4">
        <f t="shared" si="39"/>
        <v>1.5145778114350627E-4</v>
      </c>
      <c r="AO297" s="3"/>
      <c r="AP297">
        <v>1</v>
      </c>
      <c r="AR297" t="s">
        <v>1</v>
      </c>
      <c r="AT297" s="2" t="s">
        <v>0</v>
      </c>
      <c r="AU297" s="1">
        <f t="shared" si="35"/>
        <v>0.27362357647106333</v>
      </c>
      <c r="AV297" s="1">
        <f t="shared" si="36"/>
        <v>0.19977277694057405</v>
      </c>
      <c r="AW297" s="1">
        <f t="shared" si="37"/>
        <v>0.12592197741008465</v>
      </c>
    </row>
    <row r="298" spans="1:49" x14ac:dyDescent="0.2">
      <c r="A298">
        <v>296</v>
      </c>
      <c r="B298" t="s">
        <v>8689</v>
      </c>
      <c r="C298" t="s">
        <v>8688</v>
      </c>
      <c r="F298" t="s">
        <v>8687</v>
      </c>
      <c r="G298" t="s">
        <v>5</v>
      </c>
      <c r="H298" t="s">
        <v>4</v>
      </c>
      <c r="I298" t="s">
        <v>8686</v>
      </c>
      <c r="J298">
        <v>60000745</v>
      </c>
      <c r="K298" t="s">
        <v>165</v>
      </c>
      <c r="L298" t="s">
        <v>164</v>
      </c>
      <c r="M298" t="s">
        <v>7</v>
      </c>
      <c r="N298">
        <v>5</v>
      </c>
      <c r="O298" t="s">
        <v>8685</v>
      </c>
      <c r="P298" t="s">
        <v>8684</v>
      </c>
      <c r="Q298" t="s">
        <v>8683</v>
      </c>
      <c r="R298" s="7">
        <v>37574</v>
      </c>
      <c r="S298" s="8">
        <f t="shared" si="32"/>
        <v>2002</v>
      </c>
      <c r="T298" s="8">
        <v>2002</v>
      </c>
      <c r="U298" s="8">
        <f t="shared" si="33"/>
        <v>20</v>
      </c>
      <c r="V298" s="7">
        <v>2002</v>
      </c>
      <c r="W298" t="s">
        <v>8682</v>
      </c>
      <c r="X298" s="2">
        <v>0.14399999999999999</v>
      </c>
      <c r="Y298" s="6">
        <f t="shared" si="38"/>
        <v>3.8439977576679744E-3</v>
      </c>
      <c r="AA298">
        <v>8827516</v>
      </c>
      <c r="AB298">
        <v>18673</v>
      </c>
      <c r="AD298" t="s">
        <v>2</v>
      </c>
      <c r="AE298">
        <v>25</v>
      </c>
      <c r="AF298">
        <v>1</v>
      </c>
      <c r="AH298" t="s">
        <v>8681</v>
      </c>
      <c r="AI298" t="s">
        <v>8680</v>
      </c>
      <c r="AK298" t="s">
        <v>8679</v>
      </c>
      <c r="AL298">
        <v>1</v>
      </c>
      <c r="AM298" s="5">
        <f t="shared" si="34"/>
        <v>0.05</v>
      </c>
      <c r="AN298" s="4">
        <f t="shared" si="39"/>
        <v>7.5728890571753133E-5</v>
      </c>
      <c r="AO298" s="3"/>
      <c r="AP298">
        <v>1</v>
      </c>
      <c r="AR298" t="s">
        <v>1</v>
      </c>
      <c r="AT298" s="2" t="s">
        <v>0</v>
      </c>
      <c r="AU298" s="1">
        <f t="shared" si="35"/>
        <v>0.27135170975391076</v>
      </c>
      <c r="AV298" s="1">
        <f t="shared" si="36"/>
        <v>0.19598633241198637</v>
      </c>
      <c r="AW298" s="1">
        <f t="shared" si="37"/>
        <v>0.12062095507006194</v>
      </c>
    </row>
    <row r="299" spans="1:49" x14ac:dyDescent="0.2">
      <c r="A299">
        <v>297</v>
      </c>
      <c r="B299" t="s">
        <v>8678</v>
      </c>
      <c r="F299" t="s">
        <v>8677</v>
      </c>
      <c r="G299" t="s">
        <v>5</v>
      </c>
      <c r="H299" t="s">
        <v>4</v>
      </c>
      <c r="I299" t="s">
        <v>673</v>
      </c>
      <c r="J299">
        <v>60003217</v>
      </c>
      <c r="K299" t="s">
        <v>55</v>
      </c>
      <c r="L299" t="s">
        <v>54</v>
      </c>
      <c r="M299" t="s">
        <v>49</v>
      </c>
      <c r="N299">
        <v>2</v>
      </c>
      <c r="O299" t="s">
        <v>8676</v>
      </c>
      <c r="P299" t="s">
        <v>8675</v>
      </c>
      <c r="Q299" t="s">
        <v>8674</v>
      </c>
      <c r="R299" s="7">
        <v>37574</v>
      </c>
      <c r="S299" s="8">
        <f t="shared" si="32"/>
        <v>2002</v>
      </c>
      <c r="T299" s="8">
        <v>2002</v>
      </c>
      <c r="U299" s="8">
        <f t="shared" si="33"/>
        <v>20</v>
      </c>
      <c r="V299" s="7">
        <v>2002</v>
      </c>
      <c r="W299" t="s">
        <v>1185</v>
      </c>
      <c r="X299" s="2">
        <v>0.22500000000000001</v>
      </c>
      <c r="Y299" s="6">
        <f t="shared" si="38"/>
        <v>6.0062464963562111E-3</v>
      </c>
      <c r="AA299">
        <v>13000632</v>
      </c>
      <c r="AB299">
        <v>22933</v>
      </c>
      <c r="AD299" t="s">
        <v>2</v>
      </c>
      <c r="AE299">
        <v>10</v>
      </c>
      <c r="AF299">
        <v>3</v>
      </c>
      <c r="AH299" t="s">
        <v>278</v>
      </c>
      <c r="AI299" t="s">
        <v>8673</v>
      </c>
      <c r="AK299" t="s">
        <v>8672</v>
      </c>
      <c r="AL299">
        <v>7</v>
      </c>
      <c r="AM299" s="5">
        <f t="shared" si="34"/>
        <v>0.35</v>
      </c>
      <c r="AN299" s="4">
        <f t="shared" si="39"/>
        <v>5.3010223400227184E-4</v>
      </c>
      <c r="AO299" s="3"/>
      <c r="AP299">
        <v>0</v>
      </c>
      <c r="AR299" t="s">
        <v>1</v>
      </c>
      <c r="AT299" s="2" t="s">
        <v>0</v>
      </c>
      <c r="AU299" s="1">
        <f t="shared" si="35"/>
        <v>0.43634032176500293</v>
      </c>
      <c r="AV299" s="1">
        <f t="shared" si="36"/>
        <v>0.32681743651792416</v>
      </c>
      <c r="AW299" s="1">
        <f t="shared" si="37"/>
        <v>0.21729455127084538</v>
      </c>
    </row>
    <row r="300" spans="1:49" x14ac:dyDescent="0.2">
      <c r="A300">
        <v>298</v>
      </c>
      <c r="B300" t="s">
        <v>8671</v>
      </c>
      <c r="C300" t="s">
        <v>8670</v>
      </c>
      <c r="F300" t="s">
        <v>8669</v>
      </c>
      <c r="G300" t="s">
        <v>5</v>
      </c>
      <c r="H300" t="s">
        <v>4</v>
      </c>
      <c r="I300" t="s">
        <v>8668</v>
      </c>
      <c r="J300">
        <v>60019081</v>
      </c>
      <c r="K300" t="s">
        <v>8667</v>
      </c>
      <c r="L300" t="s">
        <v>8666</v>
      </c>
      <c r="M300" t="s">
        <v>7</v>
      </c>
      <c r="N300">
        <v>5</v>
      </c>
      <c r="O300" t="s">
        <v>8665</v>
      </c>
      <c r="P300" t="s">
        <v>8664</v>
      </c>
      <c r="Q300" t="s">
        <v>8663</v>
      </c>
      <c r="R300" s="7">
        <v>37573</v>
      </c>
      <c r="S300" s="8">
        <f t="shared" si="32"/>
        <v>2002</v>
      </c>
      <c r="T300" s="8">
        <v>2002</v>
      </c>
      <c r="U300" s="8">
        <f t="shared" si="33"/>
        <v>20</v>
      </c>
      <c r="V300" s="7">
        <v>2002</v>
      </c>
      <c r="W300" t="s">
        <v>4288</v>
      </c>
      <c r="X300" s="2">
        <v>0.755</v>
      </c>
      <c r="Y300" s="6">
        <f t="shared" si="38"/>
        <v>2.0154293798884174E-2</v>
      </c>
      <c r="AA300">
        <v>3003604</v>
      </c>
      <c r="AB300">
        <v>16515</v>
      </c>
      <c r="AD300" t="s">
        <v>2</v>
      </c>
      <c r="AE300">
        <v>40</v>
      </c>
      <c r="AF300">
        <v>2</v>
      </c>
      <c r="AH300" t="s">
        <v>895</v>
      </c>
      <c r="AI300" t="s">
        <v>8662</v>
      </c>
      <c r="AJ300" t="s">
        <v>8661</v>
      </c>
      <c r="AK300" t="s">
        <v>8660</v>
      </c>
      <c r="AL300">
        <v>1</v>
      </c>
      <c r="AM300" s="5">
        <f t="shared" si="34"/>
        <v>0.05</v>
      </c>
      <c r="AN300" s="4">
        <f t="shared" si="39"/>
        <v>7.5728890571753133E-5</v>
      </c>
      <c r="AO300" s="3"/>
      <c r="AP300">
        <v>0</v>
      </c>
      <c r="AR300" t="s">
        <v>1</v>
      </c>
      <c r="AT300" s="2">
        <v>3.1890000000000001</v>
      </c>
      <c r="AU300" s="1">
        <f t="shared" si="35"/>
        <v>1.4130724326390447</v>
      </c>
      <c r="AV300" s="1">
        <f t="shared" si="36"/>
        <v>1.0115011344727964</v>
      </c>
      <c r="AW300" s="1">
        <f t="shared" si="37"/>
        <v>0.60992983630654796</v>
      </c>
    </row>
    <row r="301" spans="1:49" x14ac:dyDescent="0.2">
      <c r="A301">
        <v>299</v>
      </c>
      <c r="B301" t="s">
        <v>8659</v>
      </c>
      <c r="C301" t="s">
        <v>8658</v>
      </c>
      <c r="D301" t="s">
        <v>8657</v>
      </c>
      <c r="F301" t="s">
        <v>8656</v>
      </c>
      <c r="G301" t="s">
        <v>5</v>
      </c>
      <c r="H301" t="s">
        <v>4</v>
      </c>
      <c r="I301" t="s">
        <v>8655</v>
      </c>
      <c r="J301" t="s">
        <v>8649</v>
      </c>
      <c r="K301" t="s">
        <v>8654</v>
      </c>
      <c r="L301" t="s">
        <v>8653</v>
      </c>
      <c r="M301" t="s">
        <v>8652</v>
      </c>
      <c r="N301">
        <v>2</v>
      </c>
      <c r="O301" t="s">
        <v>8651</v>
      </c>
      <c r="P301" t="s">
        <v>8650</v>
      </c>
      <c r="Q301" t="s">
        <v>8649</v>
      </c>
      <c r="R301" s="7">
        <v>37570</v>
      </c>
      <c r="S301" s="8">
        <f t="shared" si="32"/>
        <v>2002</v>
      </c>
      <c r="T301" s="8">
        <v>2002</v>
      </c>
      <c r="U301" s="8">
        <f t="shared" si="33"/>
        <v>20</v>
      </c>
      <c r="V301" s="7">
        <v>37570</v>
      </c>
      <c r="W301" t="s">
        <v>8648</v>
      </c>
      <c r="X301" s="2">
        <v>0.97199999999999998</v>
      </c>
      <c r="Y301" s="6">
        <f t="shared" si="38"/>
        <v>2.594698486425883E-2</v>
      </c>
      <c r="AA301">
        <v>963003</v>
      </c>
      <c r="AB301">
        <v>25170</v>
      </c>
      <c r="AD301" t="s">
        <v>2</v>
      </c>
      <c r="AE301">
        <v>132</v>
      </c>
      <c r="AF301" s="9">
        <v>44257</v>
      </c>
      <c r="AH301" t="s">
        <v>8647</v>
      </c>
      <c r="AI301" t="s">
        <v>8646</v>
      </c>
      <c r="AJ301" t="s">
        <v>8645</v>
      </c>
      <c r="AK301" t="s">
        <v>8644</v>
      </c>
      <c r="AL301">
        <v>1</v>
      </c>
      <c r="AM301" s="5">
        <f t="shared" si="34"/>
        <v>0.05</v>
      </c>
      <c r="AN301" s="4">
        <f t="shared" si="39"/>
        <v>7.5728890571753133E-5</v>
      </c>
      <c r="AO301" s="3"/>
      <c r="AP301">
        <v>0</v>
      </c>
      <c r="AR301" t="s">
        <v>1</v>
      </c>
      <c r="AT301" s="2">
        <v>4.0910000000000002</v>
      </c>
      <c r="AU301" s="1">
        <f t="shared" si="35"/>
        <v>1.8185608072152704</v>
      </c>
      <c r="AV301" s="1">
        <f t="shared" si="36"/>
        <v>1.3011356877415292</v>
      </c>
      <c r="AW301" s="1">
        <f t="shared" si="37"/>
        <v>0.78371056826778762</v>
      </c>
    </row>
    <row r="302" spans="1:49" x14ac:dyDescent="0.2">
      <c r="A302">
        <v>300</v>
      </c>
      <c r="B302" t="s">
        <v>8643</v>
      </c>
      <c r="C302" t="s">
        <v>8642</v>
      </c>
      <c r="E302">
        <v>12207030</v>
      </c>
      <c r="F302" t="s">
        <v>8641</v>
      </c>
      <c r="G302" t="s">
        <v>5</v>
      </c>
      <c r="H302" t="s">
        <v>4</v>
      </c>
      <c r="I302" t="s">
        <v>962</v>
      </c>
      <c r="J302" t="s">
        <v>8640</v>
      </c>
      <c r="K302" t="s">
        <v>8639</v>
      </c>
      <c r="L302" t="s">
        <v>8638</v>
      </c>
      <c r="M302" t="s">
        <v>8637</v>
      </c>
      <c r="N302">
        <v>5</v>
      </c>
      <c r="O302" t="s">
        <v>8636</v>
      </c>
      <c r="P302" t="s">
        <v>8635</v>
      </c>
      <c r="Q302" t="s">
        <v>8634</v>
      </c>
      <c r="R302" s="7">
        <v>37568</v>
      </c>
      <c r="S302" s="8">
        <f t="shared" si="32"/>
        <v>2002</v>
      </c>
      <c r="T302" s="8">
        <v>2002</v>
      </c>
      <c r="U302" s="8">
        <f t="shared" si="33"/>
        <v>20</v>
      </c>
      <c r="V302" s="7">
        <v>37568</v>
      </c>
      <c r="W302" t="s">
        <v>807</v>
      </c>
      <c r="X302" s="2">
        <v>2.3610000000000002</v>
      </c>
      <c r="Y302" s="6">
        <f t="shared" si="38"/>
        <v>6.3025546568431179E-2</v>
      </c>
      <c r="AA302">
        <v>219258</v>
      </c>
      <c r="AB302">
        <v>17592</v>
      </c>
      <c r="AD302" t="s">
        <v>2</v>
      </c>
      <c r="AE302">
        <v>277</v>
      </c>
      <c r="AF302">
        <v>45</v>
      </c>
      <c r="AH302" t="s">
        <v>8633</v>
      </c>
      <c r="AI302" t="s">
        <v>8632</v>
      </c>
      <c r="AK302" t="s">
        <v>8631</v>
      </c>
      <c r="AL302">
        <v>61</v>
      </c>
      <c r="AM302" s="5">
        <f t="shared" si="34"/>
        <v>3.05</v>
      </c>
      <c r="AN302" s="4">
        <f t="shared" si="39"/>
        <v>4.61946232487694E-3</v>
      </c>
      <c r="AO302" s="3"/>
      <c r="AP302">
        <v>1</v>
      </c>
      <c r="AR302" t="s">
        <v>1</v>
      </c>
      <c r="AT302" s="2">
        <v>5.157</v>
      </c>
      <c r="AU302" s="1">
        <f t="shared" si="35"/>
        <v>4.5503721295364903</v>
      </c>
      <c r="AV302" s="1">
        <f t="shared" si="36"/>
        <v>3.3822504446654058</v>
      </c>
      <c r="AW302" s="1">
        <f t="shared" si="37"/>
        <v>2.2141287597943213</v>
      </c>
    </row>
    <row r="303" spans="1:49" x14ac:dyDescent="0.2">
      <c r="A303">
        <v>301</v>
      </c>
      <c r="B303" t="s">
        <v>8630</v>
      </c>
      <c r="C303" t="s">
        <v>8629</v>
      </c>
      <c r="F303" t="s">
        <v>8628</v>
      </c>
      <c r="G303" t="s">
        <v>5</v>
      </c>
      <c r="H303" t="s">
        <v>4</v>
      </c>
      <c r="I303" t="s">
        <v>8627</v>
      </c>
      <c r="J303">
        <v>60019702</v>
      </c>
      <c r="K303" t="s">
        <v>141</v>
      </c>
      <c r="L303" t="s">
        <v>140</v>
      </c>
      <c r="M303" t="s">
        <v>41</v>
      </c>
      <c r="N303">
        <v>3</v>
      </c>
      <c r="O303" t="s">
        <v>8626</v>
      </c>
      <c r="P303" t="s">
        <v>8625</v>
      </c>
      <c r="Q303" t="s">
        <v>139</v>
      </c>
      <c r="R303" s="7">
        <v>37567</v>
      </c>
      <c r="S303" s="8">
        <f t="shared" si="32"/>
        <v>2002</v>
      </c>
      <c r="T303" s="8">
        <v>2002</v>
      </c>
      <c r="U303" s="8">
        <f t="shared" si="33"/>
        <v>20</v>
      </c>
      <c r="V303" s="7">
        <v>37567</v>
      </c>
      <c r="W303" t="s">
        <v>786</v>
      </c>
      <c r="X303" s="2">
        <v>0.375</v>
      </c>
      <c r="Y303" s="6">
        <f t="shared" si="38"/>
        <v>1.0010410827260351E-2</v>
      </c>
      <c r="AA303">
        <v>135194</v>
      </c>
      <c r="AB303">
        <v>24918</v>
      </c>
      <c r="AD303" t="s">
        <v>2</v>
      </c>
      <c r="AE303">
        <v>38</v>
      </c>
      <c r="AF303">
        <v>23</v>
      </c>
      <c r="AH303" t="s">
        <v>8624</v>
      </c>
      <c r="AI303" t="s">
        <v>8623</v>
      </c>
      <c r="AK303" t="s">
        <v>8622</v>
      </c>
      <c r="AL303">
        <v>11</v>
      </c>
      <c r="AM303" s="5">
        <f t="shared" si="34"/>
        <v>0.55000000000000004</v>
      </c>
      <c r="AN303" s="4">
        <f t="shared" si="39"/>
        <v>8.3301779628928443E-4</v>
      </c>
      <c r="AO303" s="3"/>
      <c r="AP303">
        <v>0</v>
      </c>
      <c r="AR303" t="s">
        <v>1</v>
      </c>
      <c r="AT303" s="2">
        <v>1.3140000000000001</v>
      </c>
      <c r="AU303" s="1">
        <f t="shared" si="35"/>
        <v>0.7257192917969032</v>
      </c>
      <c r="AV303" s="1">
        <f t="shared" si="36"/>
        <v>0.54217143117748179</v>
      </c>
      <c r="AW303" s="1">
        <f t="shared" si="37"/>
        <v>0.35862357055806038</v>
      </c>
    </row>
    <row r="304" spans="1:49" x14ac:dyDescent="0.2">
      <c r="A304">
        <v>302</v>
      </c>
      <c r="B304" t="s">
        <v>8621</v>
      </c>
      <c r="C304" t="s">
        <v>8620</v>
      </c>
      <c r="F304" t="s">
        <v>8619</v>
      </c>
      <c r="G304" t="s">
        <v>5</v>
      </c>
      <c r="H304" t="s">
        <v>4</v>
      </c>
      <c r="I304" t="s">
        <v>8618</v>
      </c>
      <c r="J304">
        <v>60027550</v>
      </c>
      <c r="K304" t="s">
        <v>288</v>
      </c>
      <c r="L304" t="s">
        <v>69</v>
      </c>
      <c r="M304" t="s">
        <v>7</v>
      </c>
      <c r="N304">
        <v>3</v>
      </c>
      <c r="O304" t="s">
        <v>8617</v>
      </c>
      <c r="P304" t="s">
        <v>8616</v>
      </c>
      <c r="Q304" t="s">
        <v>8615</v>
      </c>
      <c r="R304" s="7">
        <v>37567</v>
      </c>
      <c r="S304" s="8">
        <f t="shared" si="32"/>
        <v>2002</v>
      </c>
      <c r="T304" s="8">
        <v>2002</v>
      </c>
      <c r="U304" s="8">
        <f t="shared" si="33"/>
        <v>20</v>
      </c>
      <c r="V304" s="7">
        <v>37567</v>
      </c>
      <c r="W304" t="s">
        <v>786</v>
      </c>
      <c r="X304" s="2">
        <v>0.375</v>
      </c>
      <c r="Y304" s="6">
        <f t="shared" si="38"/>
        <v>1.0010410827260351E-2</v>
      </c>
      <c r="AA304">
        <v>135194</v>
      </c>
      <c r="AB304">
        <v>24918</v>
      </c>
      <c r="AD304" t="s">
        <v>2</v>
      </c>
      <c r="AE304">
        <v>38</v>
      </c>
      <c r="AF304">
        <v>23</v>
      </c>
      <c r="AH304" t="s">
        <v>8614</v>
      </c>
      <c r="AI304" t="s">
        <v>8613</v>
      </c>
      <c r="AK304" t="s">
        <v>8612</v>
      </c>
      <c r="AL304">
        <v>442</v>
      </c>
      <c r="AM304" s="5">
        <f t="shared" si="34"/>
        <v>22.1</v>
      </c>
      <c r="AN304" s="4">
        <f t="shared" si="39"/>
        <v>3.3472169632714883E-2</v>
      </c>
      <c r="AO304" s="3"/>
      <c r="AP304">
        <v>0</v>
      </c>
      <c r="AR304" t="s">
        <v>1</v>
      </c>
      <c r="AT304" s="2">
        <v>1.3140000000000001</v>
      </c>
      <c r="AU304" s="1">
        <f t="shared" si="35"/>
        <v>1.7048938468896708</v>
      </c>
      <c r="AV304" s="1">
        <f t="shared" si="36"/>
        <v>2.1741290229987618</v>
      </c>
      <c r="AW304" s="1">
        <f t="shared" si="37"/>
        <v>2.643364199107852</v>
      </c>
    </row>
    <row r="305" spans="1:49" x14ac:dyDescent="0.2">
      <c r="A305">
        <v>303</v>
      </c>
      <c r="B305" t="s">
        <v>8611</v>
      </c>
      <c r="C305" t="s">
        <v>8610</v>
      </c>
      <c r="F305" t="s">
        <v>8609</v>
      </c>
      <c r="G305" t="s">
        <v>5</v>
      </c>
      <c r="H305" t="s">
        <v>4</v>
      </c>
      <c r="I305" t="s">
        <v>532</v>
      </c>
      <c r="J305">
        <v>112869924</v>
      </c>
      <c r="K305" t="s">
        <v>8608</v>
      </c>
      <c r="L305" t="s">
        <v>531</v>
      </c>
      <c r="M305" t="s">
        <v>7</v>
      </c>
      <c r="N305">
        <v>2</v>
      </c>
      <c r="O305" t="s">
        <v>8607</v>
      </c>
      <c r="P305" t="s">
        <v>530</v>
      </c>
      <c r="Q305" t="s">
        <v>8606</v>
      </c>
      <c r="R305" s="7">
        <v>37567</v>
      </c>
      <c r="S305" s="8">
        <f t="shared" si="32"/>
        <v>2002</v>
      </c>
      <c r="T305" s="8">
        <v>2002</v>
      </c>
      <c r="U305" s="8">
        <f t="shared" si="33"/>
        <v>20</v>
      </c>
      <c r="V305" s="7">
        <v>37567</v>
      </c>
      <c r="W305" t="s">
        <v>786</v>
      </c>
      <c r="X305" s="2">
        <v>0.375</v>
      </c>
      <c r="Y305" s="6">
        <f t="shared" si="38"/>
        <v>1.0010410827260351E-2</v>
      </c>
      <c r="AA305">
        <v>135194</v>
      </c>
      <c r="AB305">
        <v>24918</v>
      </c>
      <c r="AD305" t="s">
        <v>2</v>
      </c>
      <c r="AE305">
        <v>38</v>
      </c>
      <c r="AF305">
        <v>23</v>
      </c>
      <c r="AH305" t="s">
        <v>8605</v>
      </c>
      <c r="AI305" t="s">
        <v>8604</v>
      </c>
      <c r="AK305" t="s">
        <v>8603</v>
      </c>
      <c r="AL305">
        <v>1</v>
      </c>
      <c r="AM305" s="5">
        <f t="shared" si="34"/>
        <v>0.05</v>
      </c>
      <c r="AN305" s="4">
        <f t="shared" si="39"/>
        <v>7.5728890571753133E-5</v>
      </c>
      <c r="AO305" s="3"/>
      <c r="AP305">
        <v>0</v>
      </c>
      <c r="AR305" t="s">
        <v>1</v>
      </c>
      <c r="AT305" s="2">
        <v>1.3140000000000001</v>
      </c>
      <c r="AU305" s="1">
        <f t="shared" si="35"/>
        <v>0.70300062462537716</v>
      </c>
      <c r="AV305" s="1">
        <f t="shared" si="36"/>
        <v>0.50430698589160516</v>
      </c>
      <c r="AW305" s="1">
        <f t="shared" si="37"/>
        <v>0.30561334715783323</v>
      </c>
    </row>
    <row r="306" spans="1:49" x14ac:dyDescent="0.2">
      <c r="A306">
        <v>304</v>
      </c>
      <c r="B306" t="s">
        <v>8602</v>
      </c>
      <c r="C306" t="s">
        <v>8601</v>
      </c>
      <c r="F306" t="s">
        <v>8600</v>
      </c>
      <c r="G306" t="s">
        <v>5</v>
      </c>
      <c r="H306" t="s">
        <v>4</v>
      </c>
      <c r="I306" t="s">
        <v>953</v>
      </c>
      <c r="J306" t="s">
        <v>8599</v>
      </c>
      <c r="K306" t="s">
        <v>8598</v>
      </c>
      <c r="L306" t="s">
        <v>8597</v>
      </c>
      <c r="M306" t="s">
        <v>3</v>
      </c>
      <c r="N306">
        <v>3</v>
      </c>
      <c r="O306" t="s">
        <v>8596</v>
      </c>
      <c r="P306" t="s">
        <v>8595</v>
      </c>
      <c r="Q306" t="s">
        <v>8594</v>
      </c>
      <c r="R306" s="7">
        <v>37567</v>
      </c>
      <c r="S306" s="8">
        <f t="shared" si="32"/>
        <v>2002</v>
      </c>
      <c r="T306" s="8">
        <v>2002</v>
      </c>
      <c r="U306" s="8">
        <f t="shared" si="33"/>
        <v>20</v>
      </c>
      <c r="V306" s="7">
        <v>37567</v>
      </c>
      <c r="W306" t="s">
        <v>786</v>
      </c>
      <c r="X306" s="2">
        <v>0.375</v>
      </c>
      <c r="Y306" s="6">
        <f t="shared" si="38"/>
        <v>1.0010410827260351E-2</v>
      </c>
      <c r="AA306">
        <v>135194</v>
      </c>
      <c r="AB306">
        <v>24918</v>
      </c>
      <c r="AD306" t="s">
        <v>2</v>
      </c>
      <c r="AE306">
        <v>38</v>
      </c>
      <c r="AF306">
        <v>23</v>
      </c>
      <c r="AH306" t="s">
        <v>8593</v>
      </c>
      <c r="AI306" t="s">
        <v>8592</v>
      </c>
      <c r="AK306" t="s">
        <v>8591</v>
      </c>
      <c r="AL306">
        <v>6</v>
      </c>
      <c r="AM306" s="5">
        <f t="shared" si="34"/>
        <v>0.3</v>
      </c>
      <c r="AN306" s="4">
        <f t="shared" si="39"/>
        <v>4.5437334343051872E-4</v>
      </c>
      <c r="AO306" s="3"/>
      <c r="AP306">
        <v>0</v>
      </c>
      <c r="AR306" t="s">
        <v>1</v>
      </c>
      <c r="AT306" s="2">
        <v>1.3140000000000001</v>
      </c>
      <c r="AU306" s="1">
        <f t="shared" si="35"/>
        <v>0.71435995821114018</v>
      </c>
      <c r="AV306" s="1">
        <f t="shared" si="36"/>
        <v>0.52323920853454353</v>
      </c>
      <c r="AW306" s="1">
        <f t="shared" si="37"/>
        <v>0.33211845885794683</v>
      </c>
    </row>
    <row r="307" spans="1:49" x14ac:dyDescent="0.2">
      <c r="A307">
        <v>305</v>
      </c>
      <c r="B307" t="s">
        <v>8590</v>
      </c>
      <c r="C307" t="s">
        <v>8589</v>
      </c>
      <c r="F307" t="s">
        <v>8588</v>
      </c>
      <c r="G307" t="s">
        <v>5</v>
      </c>
      <c r="H307" t="s">
        <v>4</v>
      </c>
      <c r="I307" t="s">
        <v>6563</v>
      </c>
      <c r="J307" t="s">
        <v>8583</v>
      </c>
      <c r="K307" t="s">
        <v>8587</v>
      </c>
      <c r="L307" t="s">
        <v>8586</v>
      </c>
      <c r="M307" t="s">
        <v>92</v>
      </c>
      <c r="N307">
        <v>2</v>
      </c>
      <c r="O307" t="s">
        <v>8585</v>
      </c>
      <c r="P307" t="s">
        <v>8584</v>
      </c>
      <c r="Q307" t="s">
        <v>8583</v>
      </c>
      <c r="R307" s="7">
        <v>37567</v>
      </c>
      <c r="S307" s="8">
        <f t="shared" si="32"/>
        <v>2002</v>
      </c>
      <c r="T307" s="8">
        <v>2002</v>
      </c>
      <c r="U307" s="8">
        <f t="shared" si="33"/>
        <v>20</v>
      </c>
      <c r="V307" s="7">
        <v>37567</v>
      </c>
      <c r="W307" t="s">
        <v>786</v>
      </c>
      <c r="X307" s="2">
        <v>0.375</v>
      </c>
      <c r="Y307" s="6">
        <f t="shared" si="38"/>
        <v>1.0010410827260351E-2</v>
      </c>
      <c r="AA307">
        <v>135194</v>
      </c>
      <c r="AB307">
        <v>24918</v>
      </c>
      <c r="AD307" t="s">
        <v>2</v>
      </c>
      <c r="AE307">
        <v>38</v>
      </c>
      <c r="AF307">
        <v>23</v>
      </c>
      <c r="AH307" t="s">
        <v>8582</v>
      </c>
      <c r="AI307" t="s">
        <v>8581</v>
      </c>
      <c r="AK307" t="s">
        <v>8580</v>
      </c>
      <c r="AL307">
        <v>4</v>
      </c>
      <c r="AM307" s="5">
        <f t="shared" si="34"/>
        <v>0.2</v>
      </c>
      <c r="AN307" s="4">
        <f t="shared" si="39"/>
        <v>3.0291556228701253E-4</v>
      </c>
      <c r="AO307" s="3"/>
      <c r="AP307">
        <v>0</v>
      </c>
      <c r="AR307" t="s">
        <v>1</v>
      </c>
      <c r="AT307" s="2">
        <v>1.3140000000000001</v>
      </c>
      <c r="AU307" s="1">
        <f t="shared" si="35"/>
        <v>0.70981622477683493</v>
      </c>
      <c r="AV307" s="1">
        <f t="shared" si="36"/>
        <v>0.51566631947736818</v>
      </c>
      <c r="AW307" s="1">
        <f t="shared" si="37"/>
        <v>0.32151641417790139</v>
      </c>
    </row>
    <row r="308" spans="1:49" x14ac:dyDescent="0.2">
      <c r="A308">
        <v>306</v>
      </c>
      <c r="B308" t="s">
        <v>8579</v>
      </c>
      <c r="C308" t="s">
        <v>8578</v>
      </c>
      <c r="D308" t="s">
        <v>8577</v>
      </c>
      <c r="E308">
        <v>12452558</v>
      </c>
      <c r="F308" t="s">
        <v>8576</v>
      </c>
      <c r="G308" t="s">
        <v>5</v>
      </c>
      <c r="H308" t="s">
        <v>4</v>
      </c>
      <c r="I308" t="s">
        <v>8575</v>
      </c>
      <c r="J308">
        <v>60032325</v>
      </c>
      <c r="K308" t="s">
        <v>38</v>
      </c>
      <c r="L308" t="s">
        <v>37</v>
      </c>
      <c r="M308" t="s">
        <v>36</v>
      </c>
      <c r="N308">
        <v>4</v>
      </c>
      <c r="O308" t="s">
        <v>8574</v>
      </c>
      <c r="P308" t="s">
        <v>8573</v>
      </c>
      <c r="Q308" t="s">
        <v>8572</v>
      </c>
      <c r="R308" s="7">
        <v>37567</v>
      </c>
      <c r="S308" s="8">
        <f t="shared" si="32"/>
        <v>2002</v>
      </c>
      <c r="T308" s="8">
        <v>2002</v>
      </c>
      <c r="U308" s="8">
        <f t="shared" si="33"/>
        <v>20</v>
      </c>
      <c r="V308" s="7">
        <v>37567</v>
      </c>
      <c r="W308" t="s">
        <v>1118</v>
      </c>
      <c r="X308" s="2">
        <v>1.3120000000000001</v>
      </c>
      <c r="Y308" s="6">
        <f t="shared" si="38"/>
        <v>3.502309068097488E-2</v>
      </c>
      <c r="AA308">
        <v>319155</v>
      </c>
      <c r="AB308">
        <v>29203</v>
      </c>
      <c r="AD308" t="s">
        <v>2</v>
      </c>
      <c r="AE308">
        <v>47</v>
      </c>
      <c r="AF308">
        <v>21</v>
      </c>
      <c r="AH308" t="s">
        <v>8571</v>
      </c>
      <c r="AI308" t="s">
        <v>8570</v>
      </c>
      <c r="AK308" t="s">
        <v>8569</v>
      </c>
      <c r="AL308">
        <v>4</v>
      </c>
      <c r="AM308" s="5">
        <f t="shared" si="34"/>
        <v>0.2</v>
      </c>
      <c r="AN308" s="4">
        <f t="shared" si="39"/>
        <v>3.0291556228701253E-4</v>
      </c>
      <c r="AO308" s="3"/>
      <c r="AP308">
        <v>0</v>
      </c>
      <c r="AR308" t="s">
        <v>1</v>
      </c>
      <c r="AT308" s="2">
        <v>3.609</v>
      </c>
      <c r="AU308" s="1">
        <f t="shared" si="35"/>
        <v>2.4607038145368518</v>
      </c>
      <c r="AV308" s="1">
        <f t="shared" si="36"/>
        <v>1.7663003121630945</v>
      </c>
      <c r="AW308" s="1">
        <f t="shared" si="37"/>
        <v>1.0718968097893373</v>
      </c>
    </row>
    <row r="309" spans="1:49" x14ac:dyDescent="0.2">
      <c r="A309">
        <v>307</v>
      </c>
      <c r="B309" t="s">
        <v>8568</v>
      </c>
      <c r="C309" t="s">
        <v>8567</v>
      </c>
      <c r="D309" t="s">
        <v>8566</v>
      </c>
      <c r="E309">
        <v>12452562</v>
      </c>
      <c r="F309" t="s">
        <v>8565</v>
      </c>
      <c r="G309" t="s">
        <v>5</v>
      </c>
      <c r="H309" t="s">
        <v>4</v>
      </c>
      <c r="I309" t="s">
        <v>1047</v>
      </c>
      <c r="J309" t="s">
        <v>1046</v>
      </c>
      <c r="K309" t="s">
        <v>1045</v>
      </c>
      <c r="L309" t="s">
        <v>1044</v>
      </c>
      <c r="M309" t="s">
        <v>80</v>
      </c>
      <c r="N309">
        <v>8</v>
      </c>
      <c r="O309" t="s">
        <v>8564</v>
      </c>
      <c r="P309" t="s">
        <v>8563</v>
      </c>
      <c r="Q309" t="s">
        <v>8562</v>
      </c>
      <c r="R309" s="7">
        <v>37567</v>
      </c>
      <c r="S309" s="8">
        <f t="shared" si="32"/>
        <v>2002</v>
      </c>
      <c r="T309" s="8">
        <v>2002</v>
      </c>
      <c r="U309" s="8">
        <f t="shared" si="33"/>
        <v>20</v>
      </c>
      <c r="V309" s="7">
        <v>37567</v>
      </c>
      <c r="W309" t="s">
        <v>1118</v>
      </c>
      <c r="X309" s="2">
        <v>1.3120000000000001</v>
      </c>
      <c r="Y309" s="6">
        <f t="shared" si="38"/>
        <v>3.502309068097488E-2</v>
      </c>
      <c r="AA309">
        <v>319155</v>
      </c>
      <c r="AB309">
        <v>29203</v>
      </c>
      <c r="AD309" t="s">
        <v>2</v>
      </c>
      <c r="AE309">
        <v>47</v>
      </c>
      <c r="AF309">
        <v>21</v>
      </c>
      <c r="AH309" t="s">
        <v>8561</v>
      </c>
      <c r="AI309" t="s">
        <v>8560</v>
      </c>
      <c r="AK309" t="s">
        <v>8559</v>
      </c>
      <c r="AL309">
        <v>94</v>
      </c>
      <c r="AM309" s="5">
        <f t="shared" si="34"/>
        <v>4.7</v>
      </c>
      <c r="AN309" s="4">
        <f t="shared" si="39"/>
        <v>7.1185157137447939E-3</v>
      </c>
      <c r="AO309" s="3"/>
      <c r="AP309">
        <v>0</v>
      </c>
      <c r="AR309" t="s">
        <v>1</v>
      </c>
      <c r="AT309" s="2">
        <v>3.609</v>
      </c>
      <c r="AU309" s="1">
        <f t="shared" si="35"/>
        <v>2.6651718190805855</v>
      </c>
      <c r="AV309" s="1">
        <f t="shared" si="36"/>
        <v>2.1070803197359838</v>
      </c>
      <c r="AW309" s="1">
        <f t="shared" si="37"/>
        <v>1.548988820391382</v>
      </c>
    </row>
    <row r="310" spans="1:49" x14ac:dyDescent="0.2">
      <c r="A310">
        <v>308</v>
      </c>
      <c r="B310" t="s">
        <v>8558</v>
      </c>
      <c r="C310" t="s">
        <v>8557</v>
      </c>
      <c r="F310" t="s">
        <v>8556</v>
      </c>
      <c r="G310" t="s">
        <v>5</v>
      </c>
      <c r="H310" t="s">
        <v>4</v>
      </c>
      <c r="I310" t="s">
        <v>1180</v>
      </c>
      <c r="J310" t="s">
        <v>8555</v>
      </c>
      <c r="K310" t="s">
        <v>8554</v>
      </c>
      <c r="L310" t="s">
        <v>8553</v>
      </c>
      <c r="M310" t="s">
        <v>80</v>
      </c>
      <c r="N310">
        <v>4</v>
      </c>
      <c r="O310" t="s">
        <v>1179</v>
      </c>
      <c r="P310" t="s">
        <v>1178</v>
      </c>
      <c r="Q310" t="s">
        <v>8552</v>
      </c>
      <c r="R310" s="7">
        <v>37567</v>
      </c>
      <c r="S310" s="8">
        <f t="shared" si="32"/>
        <v>2002</v>
      </c>
      <c r="T310" s="8">
        <v>2002</v>
      </c>
      <c r="U310" s="8">
        <f t="shared" si="33"/>
        <v>20</v>
      </c>
      <c r="V310" s="7">
        <v>37567</v>
      </c>
      <c r="W310" t="s">
        <v>1048</v>
      </c>
      <c r="X310" s="2">
        <v>0.86399999999999999</v>
      </c>
      <c r="Y310" s="6">
        <f t="shared" si="38"/>
        <v>2.3063986546007848E-2</v>
      </c>
      <c r="AA310">
        <v>10895647</v>
      </c>
      <c r="AB310">
        <v>26970</v>
      </c>
      <c r="AD310" t="s">
        <v>2</v>
      </c>
      <c r="AE310">
        <v>106</v>
      </c>
      <c r="AF310">
        <v>44</v>
      </c>
      <c r="AH310" t="s">
        <v>8551</v>
      </c>
      <c r="AI310" t="s">
        <v>8550</v>
      </c>
      <c r="AK310" t="s">
        <v>8549</v>
      </c>
      <c r="AL310">
        <v>44</v>
      </c>
      <c r="AM310" s="5">
        <f t="shared" si="34"/>
        <v>2.2000000000000002</v>
      </c>
      <c r="AN310" s="4">
        <f t="shared" si="39"/>
        <v>3.3320711851571377E-3</v>
      </c>
      <c r="AO310" s="3"/>
      <c r="AP310">
        <v>0</v>
      </c>
      <c r="AR310" t="s">
        <v>1</v>
      </c>
      <c r="AT310" s="2">
        <v>2.9910000000000001</v>
      </c>
      <c r="AU310" s="1">
        <f t="shared" si="35"/>
        <v>1.7144411937752631</v>
      </c>
      <c r="AV310" s="1">
        <f t="shared" si="36"/>
        <v>1.3198028865582494</v>
      </c>
      <c r="AW310" s="1">
        <f t="shared" si="37"/>
        <v>0.92516457934123508</v>
      </c>
    </row>
    <row r="311" spans="1:49" x14ac:dyDescent="0.2">
      <c r="A311">
        <v>309</v>
      </c>
      <c r="B311" t="s">
        <v>8548</v>
      </c>
      <c r="C311" t="s">
        <v>8547</v>
      </c>
      <c r="F311" t="s">
        <v>8546</v>
      </c>
      <c r="G311" t="s">
        <v>5</v>
      </c>
      <c r="H311" t="s">
        <v>4</v>
      </c>
      <c r="I311" t="s">
        <v>8545</v>
      </c>
      <c r="J311" t="s">
        <v>8544</v>
      </c>
      <c r="K311" t="s">
        <v>8543</v>
      </c>
      <c r="L311" t="s">
        <v>8542</v>
      </c>
      <c r="M311" t="s">
        <v>705</v>
      </c>
      <c r="N311">
        <v>3</v>
      </c>
      <c r="O311" t="s">
        <v>8541</v>
      </c>
      <c r="P311" t="s">
        <v>8540</v>
      </c>
      <c r="Q311" t="s">
        <v>8539</v>
      </c>
      <c r="R311" s="7">
        <v>37565</v>
      </c>
      <c r="S311" s="8">
        <f t="shared" si="32"/>
        <v>2002</v>
      </c>
      <c r="T311" s="8">
        <v>2002</v>
      </c>
      <c r="U311" s="8">
        <f t="shared" si="33"/>
        <v>20</v>
      </c>
      <c r="V311" s="7">
        <v>37565</v>
      </c>
      <c r="W311" t="s">
        <v>789</v>
      </c>
      <c r="X311" s="2">
        <v>0.30399999999999999</v>
      </c>
      <c r="Y311" s="6">
        <f t="shared" si="38"/>
        <v>8.115106377299057E-3</v>
      </c>
      <c r="AA311">
        <v>8952477</v>
      </c>
      <c r="AB311">
        <v>12250</v>
      </c>
      <c r="AD311" t="s">
        <v>2</v>
      </c>
      <c r="AE311">
        <v>35</v>
      </c>
      <c r="AF311">
        <v>3</v>
      </c>
      <c r="AH311" t="s">
        <v>8538</v>
      </c>
      <c r="AI311" t="s">
        <v>8537</v>
      </c>
      <c r="AJ311" t="s">
        <v>8536</v>
      </c>
      <c r="AK311" t="s">
        <v>8535</v>
      </c>
      <c r="AL311">
        <v>4</v>
      </c>
      <c r="AM311" s="5">
        <f t="shared" si="34"/>
        <v>0.2</v>
      </c>
      <c r="AN311" s="4">
        <f t="shared" si="39"/>
        <v>3.0291556228701253E-4</v>
      </c>
      <c r="AO311" s="3"/>
      <c r="AP311">
        <v>0</v>
      </c>
      <c r="AR311" t="s">
        <v>1</v>
      </c>
      <c r="AT311" s="2" t="s">
        <v>0</v>
      </c>
      <c r="AU311" s="1">
        <f t="shared" si="35"/>
        <v>0.57714491327954431</v>
      </c>
      <c r="AV311" s="1">
        <f t="shared" si="36"/>
        <v>0.4209010969793035</v>
      </c>
      <c r="AW311" s="1">
        <f t="shared" si="37"/>
        <v>0.26465728067906258</v>
      </c>
    </row>
    <row r="312" spans="1:49" x14ac:dyDescent="0.2">
      <c r="A312">
        <v>310</v>
      </c>
      <c r="B312" t="s">
        <v>8534</v>
      </c>
      <c r="C312" t="s">
        <v>8533</v>
      </c>
      <c r="F312" t="s">
        <v>8532</v>
      </c>
      <c r="G312" t="s">
        <v>5</v>
      </c>
      <c r="H312" t="s">
        <v>4</v>
      </c>
      <c r="I312" t="s">
        <v>8531</v>
      </c>
      <c r="J312">
        <v>60031544</v>
      </c>
      <c r="K312" t="s">
        <v>127</v>
      </c>
      <c r="L312" t="s">
        <v>126</v>
      </c>
      <c r="M312" t="s">
        <v>125</v>
      </c>
      <c r="N312">
        <v>4</v>
      </c>
      <c r="O312" t="s">
        <v>8530</v>
      </c>
      <c r="P312" t="s">
        <v>8529</v>
      </c>
      <c r="Q312" t="s">
        <v>256</v>
      </c>
      <c r="R312" s="7">
        <v>37565</v>
      </c>
      <c r="S312" s="8">
        <f t="shared" si="32"/>
        <v>2002</v>
      </c>
      <c r="T312" s="8">
        <v>2002</v>
      </c>
      <c r="U312" s="8">
        <f t="shared" si="33"/>
        <v>20</v>
      </c>
      <c r="V312" s="7">
        <v>37565</v>
      </c>
      <c r="W312" t="s">
        <v>789</v>
      </c>
      <c r="X312" s="2">
        <v>0.30399999999999999</v>
      </c>
      <c r="Y312" s="6">
        <f t="shared" si="38"/>
        <v>8.115106377299057E-3</v>
      </c>
      <c r="AA312">
        <v>8952477</v>
      </c>
      <c r="AB312">
        <v>12250</v>
      </c>
      <c r="AD312" t="s">
        <v>2</v>
      </c>
      <c r="AE312">
        <v>35</v>
      </c>
      <c r="AF312">
        <v>3</v>
      </c>
      <c r="AH312" t="s">
        <v>8528</v>
      </c>
      <c r="AI312" t="s">
        <v>8527</v>
      </c>
      <c r="AJ312" t="s">
        <v>8526</v>
      </c>
      <c r="AK312" t="s">
        <v>8525</v>
      </c>
      <c r="AL312">
        <v>11</v>
      </c>
      <c r="AM312" s="5">
        <f t="shared" si="34"/>
        <v>0.55000000000000004</v>
      </c>
      <c r="AN312" s="4">
        <f t="shared" si="39"/>
        <v>8.3301779628928443E-4</v>
      </c>
      <c r="AO312" s="3"/>
      <c r="AP312">
        <v>0</v>
      </c>
      <c r="AR312" t="s">
        <v>1</v>
      </c>
      <c r="AT312" s="2" t="s">
        <v>0</v>
      </c>
      <c r="AU312" s="1">
        <f t="shared" si="35"/>
        <v>0.59304798029961248</v>
      </c>
      <c r="AV312" s="1">
        <f t="shared" si="36"/>
        <v>0.44740620867941711</v>
      </c>
      <c r="AW312" s="1">
        <f t="shared" si="37"/>
        <v>0.30176443705922162</v>
      </c>
    </row>
    <row r="313" spans="1:49" x14ac:dyDescent="0.2">
      <c r="A313">
        <v>311</v>
      </c>
      <c r="B313" t="s">
        <v>8524</v>
      </c>
      <c r="C313" t="s">
        <v>8523</v>
      </c>
      <c r="F313" t="s">
        <v>8522</v>
      </c>
      <c r="G313" t="s">
        <v>5</v>
      </c>
      <c r="H313" t="s">
        <v>4</v>
      </c>
      <c r="I313" t="s">
        <v>514</v>
      </c>
      <c r="J313" t="s">
        <v>513</v>
      </c>
      <c r="K313" t="s">
        <v>512</v>
      </c>
      <c r="L313" t="s">
        <v>511</v>
      </c>
      <c r="M313" t="s">
        <v>3</v>
      </c>
      <c r="N313">
        <v>4</v>
      </c>
      <c r="O313" t="s">
        <v>8521</v>
      </c>
      <c r="P313" t="s">
        <v>8520</v>
      </c>
      <c r="Q313" t="s">
        <v>8519</v>
      </c>
      <c r="R313" s="7">
        <v>37565</v>
      </c>
      <c r="S313" s="8">
        <f t="shared" si="32"/>
        <v>2002</v>
      </c>
      <c r="T313" s="8">
        <v>2002</v>
      </c>
      <c r="U313" s="8">
        <f t="shared" si="33"/>
        <v>20</v>
      </c>
      <c r="V313" s="7">
        <v>37565</v>
      </c>
      <c r="W313" t="s">
        <v>789</v>
      </c>
      <c r="X313" s="2">
        <v>0.30399999999999999</v>
      </c>
      <c r="Y313" s="6">
        <f t="shared" si="38"/>
        <v>8.115106377299057E-3</v>
      </c>
      <c r="AA313">
        <v>8952477</v>
      </c>
      <c r="AB313">
        <v>12250</v>
      </c>
      <c r="AD313" t="s">
        <v>2</v>
      </c>
      <c r="AE313">
        <v>35</v>
      </c>
      <c r="AF313">
        <v>3</v>
      </c>
      <c r="AH313" t="s">
        <v>8518</v>
      </c>
      <c r="AI313" t="s">
        <v>8517</v>
      </c>
      <c r="AJ313" t="s">
        <v>510</v>
      </c>
      <c r="AK313" t="s">
        <v>8516</v>
      </c>
      <c r="AL313">
        <v>2</v>
      </c>
      <c r="AM313" s="5">
        <f t="shared" si="34"/>
        <v>0.1</v>
      </c>
      <c r="AN313" s="4">
        <f t="shared" si="39"/>
        <v>1.5145778114350627E-4</v>
      </c>
      <c r="AO313" s="3"/>
      <c r="AP313">
        <v>0</v>
      </c>
      <c r="AR313" t="s">
        <v>1</v>
      </c>
      <c r="AT313" s="2" t="s">
        <v>0</v>
      </c>
      <c r="AU313" s="1">
        <f t="shared" si="35"/>
        <v>0.57260117984523917</v>
      </c>
      <c r="AV313" s="1">
        <f t="shared" si="36"/>
        <v>0.41332820792212815</v>
      </c>
      <c r="AW313" s="1">
        <f t="shared" si="37"/>
        <v>0.25405523599901714</v>
      </c>
    </row>
    <row r="314" spans="1:49" x14ac:dyDescent="0.2">
      <c r="A314">
        <v>312</v>
      </c>
      <c r="B314" t="s">
        <v>8515</v>
      </c>
      <c r="C314" t="s">
        <v>8514</v>
      </c>
      <c r="F314" t="s">
        <v>8513</v>
      </c>
      <c r="G314" t="s">
        <v>5</v>
      </c>
      <c r="H314" t="s">
        <v>4</v>
      </c>
      <c r="I314" t="s">
        <v>101</v>
      </c>
      <c r="J314">
        <v>60012630</v>
      </c>
      <c r="K314" t="s">
        <v>100</v>
      </c>
      <c r="L314" t="s">
        <v>99</v>
      </c>
      <c r="M314" t="s">
        <v>19</v>
      </c>
      <c r="N314">
        <v>3</v>
      </c>
      <c r="O314" t="s">
        <v>8512</v>
      </c>
      <c r="P314" t="s">
        <v>8511</v>
      </c>
      <c r="Q314" t="s">
        <v>98</v>
      </c>
      <c r="R314" s="7">
        <v>37565</v>
      </c>
      <c r="S314" s="8">
        <f t="shared" si="32"/>
        <v>2002</v>
      </c>
      <c r="T314" s="8">
        <v>2002</v>
      </c>
      <c r="U314" s="8">
        <f t="shared" si="33"/>
        <v>20</v>
      </c>
      <c r="V314" s="7">
        <v>37565</v>
      </c>
      <c r="W314" t="s">
        <v>789</v>
      </c>
      <c r="X314" s="2">
        <v>0.30399999999999999</v>
      </c>
      <c r="Y314" s="6">
        <f t="shared" si="38"/>
        <v>8.115106377299057E-3</v>
      </c>
      <c r="AA314">
        <v>8952477</v>
      </c>
      <c r="AB314">
        <v>12250</v>
      </c>
      <c r="AD314" t="s">
        <v>2</v>
      </c>
      <c r="AE314">
        <v>35</v>
      </c>
      <c r="AF314">
        <v>3</v>
      </c>
      <c r="AH314" t="s">
        <v>1062</v>
      </c>
      <c r="AI314" t="s">
        <v>8510</v>
      </c>
      <c r="AJ314" t="s">
        <v>8509</v>
      </c>
      <c r="AK314" t="s">
        <v>8508</v>
      </c>
      <c r="AL314">
        <v>4</v>
      </c>
      <c r="AM314" s="5">
        <f t="shared" si="34"/>
        <v>0.2</v>
      </c>
      <c r="AN314" s="4">
        <f t="shared" si="39"/>
        <v>3.0291556228701253E-4</v>
      </c>
      <c r="AO314" s="3"/>
      <c r="AP314">
        <v>0</v>
      </c>
      <c r="AR314" t="s">
        <v>1</v>
      </c>
      <c r="AT314" s="2" t="s">
        <v>0</v>
      </c>
      <c r="AU314" s="1">
        <f t="shared" si="35"/>
        <v>0.57714491327954431</v>
      </c>
      <c r="AV314" s="1">
        <f t="shared" si="36"/>
        <v>0.4209010969793035</v>
      </c>
      <c r="AW314" s="1">
        <f t="shared" si="37"/>
        <v>0.26465728067906258</v>
      </c>
    </row>
    <row r="315" spans="1:49" x14ac:dyDescent="0.2">
      <c r="A315">
        <v>313</v>
      </c>
      <c r="B315" t="s">
        <v>8507</v>
      </c>
      <c r="C315" t="s">
        <v>8506</v>
      </c>
      <c r="F315" t="s">
        <v>8505</v>
      </c>
      <c r="G315" t="s">
        <v>5</v>
      </c>
      <c r="H315" t="s">
        <v>4</v>
      </c>
      <c r="I315" t="s">
        <v>548</v>
      </c>
      <c r="J315">
        <v>60025084</v>
      </c>
      <c r="K315" t="s">
        <v>8504</v>
      </c>
      <c r="L315" t="s">
        <v>6743</v>
      </c>
      <c r="M315" t="s">
        <v>21</v>
      </c>
      <c r="N315">
        <v>3</v>
      </c>
      <c r="O315" t="s">
        <v>8503</v>
      </c>
      <c r="P315" t="s">
        <v>8502</v>
      </c>
      <c r="Q315" t="s">
        <v>8501</v>
      </c>
      <c r="R315" s="7">
        <v>37565</v>
      </c>
      <c r="S315" s="8">
        <f t="shared" si="32"/>
        <v>2002</v>
      </c>
      <c r="T315" s="8">
        <v>2002</v>
      </c>
      <c r="U315" s="8">
        <f t="shared" si="33"/>
        <v>20</v>
      </c>
      <c r="V315" s="7">
        <v>37565</v>
      </c>
      <c r="W315" t="s">
        <v>789</v>
      </c>
      <c r="X315" s="2">
        <v>0.30399999999999999</v>
      </c>
      <c r="Y315" s="6">
        <f t="shared" si="38"/>
        <v>8.115106377299057E-3</v>
      </c>
      <c r="AA315">
        <v>8952477</v>
      </c>
      <c r="AB315">
        <v>12250</v>
      </c>
      <c r="AD315" t="s">
        <v>2</v>
      </c>
      <c r="AE315">
        <v>35</v>
      </c>
      <c r="AF315">
        <v>3</v>
      </c>
      <c r="AH315" t="s">
        <v>8500</v>
      </c>
      <c r="AI315" t="s">
        <v>8499</v>
      </c>
      <c r="AJ315" t="s">
        <v>8498</v>
      </c>
      <c r="AK315" t="s">
        <v>8497</v>
      </c>
      <c r="AL315">
        <v>4</v>
      </c>
      <c r="AM315" s="5">
        <f t="shared" si="34"/>
        <v>0.2</v>
      </c>
      <c r="AN315" s="4">
        <f t="shared" si="39"/>
        <v>3.0291556228701253E-4</v>
      </c>
      <c r="AO315" s="3"/>
      <c r="AP315">
        <v>0</v>
      </c>
      <c r="AR315" t="s">
        <v>1</v>
      </c>
      <c r="AT315" s="2" t="s">
        <v>0</v>
      </c>
      <c r="AU315" s="1">
        <f t="shared" si="35"/>
        <v>0.57714491327954431</v>
      </c>
      <c r="AV315" s="1">
        <f t="shared" si="36"/>
        <v>0.4209010969793035</v>
      </c>
      <c r="AW315" s="1">
        <f t="shared" si="37"/>
        <v>0.26465728067906258</v>
      </c>
    </row>
    <row r="316" spans="1:49" x14ac:dyDescent="0.2">
      <c r="A316">
        <v>314</v>
      </c>
      <c r="B316" t="s">
        <v>8496</v>
      </c>
      <c r="C316" t="s">
        <v>8495</v>
      </c>
      <c r="F316" t="s">
        <v>8494</v>
      </c>
      <c r="G316" t="s">
        <v>5</v>
      </c>
      <c r="H316" t="s">
        <v>4</v>
      </c>
      <c r="I316" t="s">
        <v>792</v>
      </c>
      <c r="J316">
        <v>60011357</v>
      </c>
      <c r="K316" t="s">
        <v>217</v>
      </c>
      <c r="L316" t="s">
        <v>216</v>
      </c>
      <c r="M316" t="s">
        <v>135</v>
      </c>
      <c r="N316">
        <v>3</v>
      </c>
      <c r="O316" t="s">
        <v>8493</v>
      </c>
      <c r="P316" t="s">
        <v>8492</v>
      </c>
      <c r="Q316" t="s">
        <v>215</v>
      </c>
      <c r="R316" s="7">
        <v>37565</v>
      </c>
      <c r="S316" s="8">
        <f t="shared" si="32"/>
        <v>2002</v>
      </c>
      <c r="T316" s="8">
        <v>2002</v>
      </c>
      <c r="U316" s="8">
        <f t="shared" si="33"/>
        <v>20</v>
      </c>
      <c r="V316" s="7">
        <v>37565</v>
      </c>
      <c r="W316" t="s">
        <v>789</v>
      </c>
      <c r="X316" s="2">
        <v>0.30399999999999999</v>
      </c>
      <c r="Y316" s="6">
        <f t="shared" si="38"/>
        <v>8.115106377299057E-3</v>
      </c>
      <c r="AA316">
        <v>8952477</v>
      </c>
      <c r="AB316">
        <v>12250</v>
      </c>
      <c r="AD316" t="s">
        <v>2</v>
      </c>
      <c r="AE316">
        <v>35</v>
      </c>
      <c r="AF316">
        <v>3</v>
      </c>
      <c r="AH316" t="s">
        <v>8491</v>
      </c>
      <c r="AI316" t="s">
        <v>8490</v>
      </c>
      <c r="AJ316" t="s">
        <v>8489</v>
      </c>
      <c r="AK316" t="s">
        <v>8488</v>
      </c>
      <c r="AL316">
        <v>5</v>
      </c>
      <c r="AM316" s="5">
        <f t="shared" si="34"/>
        <v>0.25</v>
      </c>
      <c r="AN316" s="4">
        <f t="shared" si="39"/>
        <v>3.786444528587656E-4</v>
      </c>
      <c r="AO316" s="3"/>
      <c r="AP316">
        <v>0</v>
      </c>
      <c r="AR316" t="s">
        <v>1</v>
      </c>
      <c r="AT316" s="2" t="s">
        <v>0</v>
      </c>
      <c r="AU316" s="1">
        <f t="shared" si="35"/>
        <v>0.57941677999669683</v>
      </c>
      <c r="AV316" s="1">
        <f t="shared" si="36"/>
        <v>0.42468754150789112</v>
      </c>
      <c r="AW316" s="1">
        <f t="shared" si="37"/>
        <v>0.2699583030190853</v>
      </c>
    </row>
    <row r="317" spans="1:49" x14ac:dyDescent="0.2">
      <c r="A317">
        <v>315</v>
      </c>
      <c r="B317" t="s">
        <v>8487</v>
      </c>
      <c r="C317" t="s">
        <v>8486</v>
      </c>
      <c r="F317" t="s">
        <v>8485</v>
      </c>
      <c r="G317" t="s">
        <v>5</v>
      </c>
      <c r="H317" t="s">
        <v>4</v>
      </c>
      <c r="I317" t="s">
        <v>548</v>
      </c>
      <c r="J317">
        <v>60029428</v>
      </c>
      <c r="K317" t="s">
        <v>8484</v>
      </c>
      <c r="L317" t="s">
        <v>8483</v>
      </c>
      <c r="M317" t="s">
        <v>112</v>
      </c>
      <c r="N317">
        <v>3</v>
      </c>
      <c r="O317" t="s">
        <v>8482</v>
      </c>
      <c r="P317" t="s">
        <v>8481</v>
      </c>
      <c r="Q317" t="s">
        <v>8480</v>
      </c>
      <c r="R317" s="7">
        <v>37565</v>
      </c>
      <c r="S317" s="8">
        <f t="shared" si="32"/>
        <v>2002</v>
      </c>
      <c r="T317" s="8">
        <v>2002</v>
      </c>
      <c r="U317" s="8">
        <f t="shared" si="33"/>
        <v>20</v>
      </c>
      <c r="V317" s="7">
        <v>37565</v>
      </c>
      <c r="W317" t="s">
        <v>789</v>
      </c>
      <c r="X317" s="2">
        <v>0.30399999999999999</v>
      </c>
      <c r="Y317" s="6">
        <f t="shared" si="38"/>
        <v>8.115106377299057E-3</v>
      </c>
      <c r="AA317">
        <v>8952477</v>
      </c>
      <c r="AB317">
        <v>12250</v>
      </c>
      <c r="AD317" t="s">
        <v>2</v>
      </c>
      <c r="AE317">
        <v>35</v>
      </c>
      <c r="AF317">
        <v>3</v>
      </c>
      <c r="AH317" t="s">
        <v>3767</v>
      </c>
      <c r="AI317" t="s">
        <v>8479</v>
      </c>
      <c r="AJ317" t="s">
        <v>8478</v>
      </c>
      <c r="AK317" t="s">
        <v>8477</v>
      </c>
      <c r="AL317">
        <v>25</v>
      </c>
      <c r="AM317" s="5">
        <f t="shared" si="34"/>
        <v>1.25</v>
      </c>
      <c r="AN317" s="4">
        <f t="shared" si="39"/>
        <v>1.8932222642938281E-3</v>
      </c>
      <c r="AO317" s="3"/>
      <c r="AP317">
        <v>0</v>
      </c>
      <c r="AR317" t="s">
        <v>1</v>
      </c>
      <c r="AT317" s="2" t="s">
        <v>0</v>
      </c>
      <c r="AU317" s="1">
        <f t="shared" si="35"/>
        <v>0.6248541143397488</v>
      </c>
      <c r="AV317" s="1">
        <f t="shared" si="36"/>
        <v>0.50041643207964426</v>
      </c>
      <c r="AW317" s="1">
        <f t="shared" si="37"/>
        <v>0.37597874981953971</v>
      </c>
    </row>
    <row r="318" spans="1:49" x14ac:dyDescent="0.2">
      <c r="A318">
        <v>316</v>
      </c>
      <c r="B318" t="s">
        <v>8476</v>
      </c>
      <c r="C318" t="s">
        <v>8475</v>
      </c>
      <c r="F318" t="s">
        <v>8474</v>
      </c>
      <c r="G318" t="s">
        <v>5</v>
      </c>
      <c r="H318" t="s">
        <v>4</v>
      </c>
      <c r="I318" t="s">
        <v>8473</v>
      </c>
      <c r="J318">
        <v>60033316</v>
      </c>
      <c r="K318" t="s">
        <v>8472</v>
      </c>
      <c r="L318" t="s">
        <v>8471</v>
      </c>
      <c r="M318" t="s">
        <v>280</v>
      </c>
      <c r="N318">
        <v>2</v>
      </c>
      <c r="O318" t="s">
        <v>8470</v>
      </c>
      <c r="P318" t="s">
        <v>8469</v>
      </c>
      <c r="Q318" t="s">
        <v>8468</v>
      </c>
      <c r="R318" s="7">
        <v>37565</v>
      </c>
      <c r="S318" s="8">
        <f t="shared" si="32"/>
        <v>2002</v>
      </c>
      <c r="T318" s="8">
        <v>2002</v>
      </c>
      <c r="U318" s="8">
        <f t="shared" si="33"/>
        <v>20</v>
      </c>
      <c r="V318" s="7">
        <v>37565</v>
      </c>
      <c r="W318" t="s">
        <v>789</v>
      </c>
      <c r="X318" s="2">
        <v>0.30399999999999999</v>
      </c>
      <c r="Y318" s="6">
        <f t="shared" si="38"/>
        <v>8.115106377299057E-3</v>
      </c>
      <c r="AA318">
        <v>8952477</v>
      </c>
      <c r="AB318">
        <v>12250</v>
      </c>
      <c r="AD318" t="s">
        <v>2</v>
      </c>
      <c r="AE318">
        <v>35</v>
      </c>
      <c r="AF318">
        <v>3</v>
      </c>
      <c r="AH318" t="s">
        <v>8467</v>
      </c>
      <c r="AI318" t="s">
        <v>8466</v>
      </c>
      <c r="AJ318" t="s">
        <v>8465</v>
      </c>
      <c r="AK318" t="s">
        <v>8464</v>
      </c>
      <c r="AL318">
        <v>11</v>
      </c>
      <c r="AM318" s="5">
        <f t="shared" si="34"/>
        <v>0.55000000000000004</v>
      </c>
      <c r="AN318" s="4">
        <f t="shared" si="39"/>
        <v>8.3301779628928443E-4</v>
      </c>
      <c r="AO318" s="3"/>
      <c r="AP318">
        <v>0</v>
      </c>
      <c r="AR318" t="s">
        <v>1</v>
      </c>
      <c r="AT318" s="2" t="s">
        <v>0</v>
      </c>
      <c r="AU318" s="1">
        <f t="shared" si="35"/>
        <v>0.59304798029961248</v>
      </c>
      <c r="AV318" s="1">
        <f t="shared" si="36"/>
        <v>0.44740620867941711</v>
      </c>
      <c r="AW318" s="1">
        <f t="shared" si="37"/>
        <v>0.30176443705922162</v>
      </c>
    </row>
    <row r="319" spans="1:49" x14ac:dyDescent="0.2">
      <c r="A319">
        <v>317</v>
      </c>
      <c r="B319" t="s">
        <v>8463</v>
      </c>
      <c r="C319" t="s">
        <v>8462</v>
      </c>
      <c r="F319" t="s">
        <v>8461</v>
      </c>
      <c r="G319" t="s">
        <v>5</v>
      </c>
      <c r="H319" t="s">
        <v>4</v>
      </c>
      <c r="I319" t="s">
        <v>8460</v>
      </c>
      <c r="J319">
        <v>60025578</v>
      </c>
      <c r="K319" t="s">
        <v>606</v>
      </c>
      <c r="L319" t="s">
        <v>605</v>
      </c>
      <c r="M319" t="s">
        <v>21</v>
      </c>
      <c r="N319">
        <v>3</v>
      </c>
      <c r="O319" t="s">
        <v>8459</v>
      </c>
      <c r="P319" t="s">
        <v>8458</v>
      </c>
      <c r="Q319" t="s">
        <v>6333</v>
      </c>
      <c r="R319" s="7">
        <v>37565</v>
      </c>
      <c r="S319" s="8">
        <f t="shared" si="32"/>
        <v>2002</v>
      </c>
      <c r="T319" s="8">
        <v>2002</v>
      </c>
      <c r="U319" s="8">
        <f t="shared" si="33"/>
        <v>20</v>
      </c>
      <c r="V319" s="7">
        <v>37565</v>
      </c>
      <c r="W319" t="s">
        <v>789</v>
      </c>
      <c r="X319" s="2">
        <v>0.30399999999999999</v>
      </c>
      <c r="Y319" s="6">
        <f t="shared" si="38"/>
        <v>8.115106377299057E-3</v>
      </c>
      <c r="AA319">
        <v>8952477</v>
      </c>
      <c r="AB319">
        <v>12250</v>
      </c>
      <c r="AD319" t="s">
        <v>2</v>
      </c>
      <c r="AE319">
        <v>35</v>
      </c>
      <c r="AF319">
        <v>3</v>
      </c>
      <c r="AH319" t="s">
        <v>8457</v>
      </c>
      <c r="AI319" t="s">
        <v>8456</v>
      </c>
      <c r="AJ319" t="s">
        <v>8455</v>
      </c>
      <c r="AK319" t="s">
        <v>8454</v>
      </c>
      <c r="AL319">
        <v>8</v>
      </c>
      <c r="AM319" s="5">
        <f t="shared" si="34"/>
        <v>0.4</v>
      </c>
      <c r="AN319" s="4">
        <f t="shared" si="39"/>
        <v>6.0583112457402507E-4</v>
      </c>
      <c r="AO319" s="3"/>
      <c r="AP319">
        <v>0</v>
      </c>
      <c r="AR319" t="s">
        <v>1</v>
      </c>
      <c r="AT319" s="2" t="s">
        <v>0</v>
      </c>
      <c r="AU319" s="1">
        <f t="shared" si="35"/>
        <v>0.58623238014815471</v>
      </c>
      <c r="AV319" s="1">
        <f t="shared" si="36"/>
        <v>0.43604687509365414</v>
      </c>
      <c r="AW319" s="1">
        <f t="shared" si="37"/>
        <v>0.28586137003915346</v>
      </c>
    </row>
    <row r="320" spans="1:49" x14ac:dyDescent="0.2">
      <c r="A320">
        <v>318</v>
      </c>
      <c r="B320" t="s">
        <v>8453</v>
      </c>
      <c r="C320" t="s">
        <v>8452</v>
      </c>
      <c r="F320" t="s">
        <v>8451</v>
      </c>
      <c r="G320" t="s">
        <v>5</v>
      </c>
      <c r="H320" t="s">
        <v>4</v>
      </c>
      <c r="I320" t="s">
        <v>3729</v>
      </c>
      <c r="J320">
        <v>60033110</v>
      </c>
      <c r="K320" t="s">
        <v>8450</v>
      </c>
      <c r="L320" t="s">
        <v>216</v>
      </c>
      <c r="M320" t="s">
        <v>135</v>
      </c>
      <c r="N320">
        <v>1</v>
      </c>
      <c r="O320" t="s">
        <v>8449</v>
      </c>
      <c r="P320">
        <v>7406886947</v>
      </c>
      <c r="Q320">
        <v>60033110</v>
      </c>
      <c r="R320" s="7">
        <v>37565</v>
      </c>
      <c r="S320" s="8">
        <f t="shared" si="32"/>
        <v>2002</v>
      </c>
      <c r="T320" s="8">
        <v>2002</v>
      </c>
      <c r="U320" s="8">
        <f t="shared" si="33"/>
        <v>20</v>
      </c>
      <c r="V320" s="7">
        <v>37565</v>
      </c>
      <c r="W320" t="s">
        <v>789</v>
      </c>
      <c r="X320" s="2">
        <v>0.30399999999999999</v>
      </c>
      <c r="Y320" s="6">
        <f t="shared" si="38"/>
        <v>8.115106377299057E-3</v>
      </c>
      <c r="AA320">
        <v>8952477</v>
      </c>
      <c r="AB320">
        <v>12250</v>
      </c>
      <c r="AD320" t="s">
        <v>2</v>
      </c>
      <c r="AE320">
        <v>35</v>
      </c>
      <c r="AF320">
        <v>3</v>
      </c>
      <c r="AH320" t="s">
        <v>8448</v>
      </c>
      <c r="AI320" t="s">
        <v>8447</v>
      </c>
      <c r="AJ320" t="s">
        <v>8446</v>
      </c>
      <c r="AK320" t="s">
        <v>8445</v>
      </c>
      <c r="AL320">
        <v>4</v>
      </c>
      <c r="AM320" s="5">
        <f t="shared" si="34"/>
        <v>0.2</v>
      </c>
      <c r="AN320" s="4">
        <f t="shared" si="39"/>
        <v>3.0291556228701253E-4</v>
      </c>
      <c r="AO320" s="3"/>
      <c r="AP320">
        <v>0</v>
      </c>
      <c r="AR320" t="s">
        <v>1</v>
      </c>
      <c r="AT320" s="2" t="s">
        <v>0</v>
      </c>
      <c r="AU320" s="1">
        <f t="shared" si="35"/>
        <v>0.57714491327954431</v>
      </c>
      <c r="AV320" s="1">
        <f t="shared" si="36"/>
        <v>0.4209010969793035</v>
      </c>
      <c r="AW320" s="1">
        <f t="shared" si="37"/>
        <v>0.26465728067906258</v>
      </c>
    </row>
    <row r="321" spans="1:49" x14ac:dyDescent="0.2">
      <c r="A321">
        <v>319</v>
      </c>
      <c r="B321" t="s">
        <v>8444</v>
      </c>
      <c r="F321" t="s">
        <v>8443</v>
      </c>
      <c r="G321" t="s">
        <v>5</v>
      </c>
      <c r="H321" t="s">
        <v>4</v>
      </c>
      <c r="I321" t="s">
        <v>8442</v>
      </c>
      <c r="N321">
        <v>1</v>
      </c>
      <c r="O321" t="s">
        <v>8441</v>
      </c>
      <c r="P321">
        <v>6701759589</v>
      </c>
      <c r="R321" s="7">
        <v>37561</v>
      </c>
      <c r="S321" s="8">
        <f t="shared" si="32"/>
        <v>2002</v>
      </c>
      <c r="T321" s="8">
        <v>2002</v>
      </c>
      <c r="U321" s="8">
        <f t="shared" si="33"/>
        <v>20</v>
      </c>
      <c r="V321" s="7">
        <v>37561</v>
      </c>
      <c r="W321" t="s">
        <v>785</v>
      </c>
      <c r="X321" s="2">
        <v>0.29499999999999998</v>
      </c>
      <c r="Y321" s="6">
        <f t="shared" si="38"/>
        <v>7.8748565174448087E-3</v>
      </c>
      <c r="AA321">
        <v>10642269</v>
      </c>
      <c r="AB321">
        <v>19554</v>
      </c>
      <c r="AD321" t="s">
        <v>2</v>
      </c>
      <c r="AE321">
        <v>47</v>
      </c>
      <c r="AF321">
        <v>11</v>
      </c>
      <c r="AH321" t="s">
        <v>8440</v>
      </c>
      <c r="AI321" t="s">
        <v>8439</v>
      </c>
      <c r="AK321" t="s">
        <v>8438</v>
      </c>
      <c r="AL321">
        <v>0</v>
      </c>
      <c r="AM321" s="5">
        <f t="shared" si="34"/>
        <v>0</v>
      </c>
      <c r="AN321" s="4">
        <f t="shared" si="39"/>
        <v>0</v>
      </c>
      <c r="AO321" s="3"/>
      <c r="AP321">
        <v>0</v>
      </c>
      <c r="AR321" t="s">
        <v>1</v>
      </c>
      <c r="AT321" s="2" t="s">
        <v>0</v>
      </c>
      <c r="AU321" s="1">
        <f t="shared" si="35"/>
        <v>0.55123995622113653</v>
      </c>
      <c r="AV321" s="1">
        <f t="shared" si="36"/>
        <v>0.39374282587224041</v>
      </c>
      <c r="AW321" s="1">
        <f t="shared" si="37"/>
        <v>0.23624569552334423</v>
      </c>
    </row>
    <row r="322" spans="1:49" x14ac:dyDescent="0.2">
      <c r="A322">
        <v>320</v>
      </c>
      <c r="B322" t="s">
        <v>8437</v>
      </c>
      <c r="F322" t="s">
        <v>8436</v>
      </c>
      <c r="G322" t="s">
        <v>5</v>
      </c>
      <c r="H322" t="s">
        <v>4</v>
      </c>
      <c r="I322" t="s">
        <v>8435</v>
      </c>
      <c r="N322">
        <v>8</v>
      </c>
      <c r="O322" t="s">
        <v>8434</v>
      </c>
      <c r="P322" t="s">
        <v>8433</v>
      </c>
      <c r="Q322" t="s">
        <v>415</v>
      </c>
      <c r="R322" s="7">
        <v>37561</v>
      </c>
      <c r="S322" s="8">
        <f t="shared" ref="S322:S385" si="40">YEAR(R322)</f>
        <v>2002</v>
      </c>
      <c r="T322" s="8">
        <v>2002</v>
      </c>
      <c r="U322" s="8">
        <f t="shared" ref="U322:U385" si="41">2022-T322</f>
        <v>20</v>
      </c>
      <c r="V322" s="7">
        <v>37561</v>
      </c>
      <c r="W322" t="s">
        <v>785</v>
      </c>
      <c r="X322" s="2">
        <v>0.29499999999999998</v>
      </c>
      <c r="Y322" s="6">
        <f t="shared" si="38"/>
        <v>7.8748565174448087E-3</v>
      </c>
      <c r="AA322">
        <v>10642269</v>
      </c>
      <c r="AB322">
        <v>19554</v>
      </c>
      <c r="AD322" t="s">
        <v>2</v>
      </c>
      <c r="AE322">
        <v>47</v>
      </c>
      <c r="AF322">
        <v>11</v>
      </c>
      <c r="AH322" t="s">
        <v>8432</v>
      </c>
      <c r="AI322" t="s">
        <v>8431</v>
      </c>
      <c r="AK322" t="s">
        <v>8430</v>
      </c>
      <c r="AL322">
        <v>0</v>
      </c>
      <c r="AM322" s="5">
        <f t="shared" ref="AM322:AM385" si="42">AL322/U322</f>
        <v>0</v>
      </c>
      <c r="AN322" s="4">
        <f t="shared" si="39"/>
        <v>0</v>
      </c>
      <c r="AO322" s="3"/>
      <c r="AP322">
        <v>0</v>
      </c>
      <c r="AR322" t="s">
        <v>1</v>
      </c>
      <c r="AT322" s="2" t="s">
        <v>0</v>
      </c>
      <c r="AU322" s="1">
        <f t="shared" ref="AU322:AU385" si="43">(Y322*0.7+AN322*0.3)*100</f>
        <v>0.55123995622113653</v>
      </c>
      <c r="AV322" s="1">
        <f t="shared" ref="AV322:AV385" si="44">(Y322*0.5+AN322*0.5)*100</f>
        <v>0.39374282587224041</v>
      </c>
      <c r="AW322" s="1">
        <f t="shared" ref="AW322:AW385" si="45">(Y322*0.3+AN322*0.7)*100</f>
        <v>0.23624569552334423</v>
      </c>
    </row>
    <row r="323" spans="1:49" x14ac:dyDescent="0.2">
      <c r="A323">
        <v>321</v>
      </c>
      <c r="B323" t="s">
        <v>8429</v>
      </c>
      <c r="C323" t="s">
        <v>8428</v>
      </c>
      <c r="F323" t="s">
        <v>8427</v>
      </c>
      <c r="G323" t="s">
        <v>5</v>
      </c>
      <c r="H323" t="s">
        <v>4</v>
      </c>
      <c r="I323" t="s">
        <v>8426</v>
      </c>
      <c r="J323">
        <v>60009037</v>
      </c>
      <c r="K323" t="s">
        <v>662</v>
      </c>
      <c r="L323" t="s">
        <v>650</v>
      </c>
      <c r="M323" t="s">
        <v>7</v>
      </c>
      <c r="N323">
        <v>2</v>
      </c>
      <c r="O323" t="s">
        <v>8425</v>
      </c>
      <c r="P323" t="s">
        <v>8424</v>
      </c>
      <c r="Q323" t="s">
        <v>8423</v>
      </c>
      <c r="R323" s="7">
        <v>37561</v>
      </c>
      <c r="S323" s="8">
        <f t="shared" si="40"/>
        <v>2002</v>
      </c>
      <c r="T323" s="8">
        <v>2002</v>
      </c>
      <c r="U323" s="8">
        <f t="shared" si="41"/>
        <v>20</v>
      </c>
      <c r="V323" s="7">
        <v>37561</v>
      </c>
      <c r="W323" t="s">
        <v>754</v>
      </c>
      <c r="X323" s="2">
        <v>1.4950000000000001</v>
      </c>
      <c r="Y323" s="6">
        <f t="shared" ref="Y323:Y386" si="46">(X323-$Z$3)/($Z$2-$Z$3)</f>
        <v>3.9908171164677937E-2</v>
      </c>
      <c r="AA323">
        <v>10805370</v>
      </c>
      <c r="AB323">
        <v>144827</v>
      </c>
      <c r="AC323">
        <v>15211886</v>
      </c>
      <c r="AD323" t="s">
        <v>2</v>
      </c>
      <c r="AE323">
        <v>6</v>
      </c>
      <c r="AF323" s="9">
        <v>44228</v>
      </c>
      <c r="AH323" t="s">
        <v>8422</v>
      </c>
      <c r="AI323" t="s">
        <v>8421</v>
      </c>
      <c r="AJ323" t="s">
        <v>8420</v>
      </c>
      <c r="AK323" t="s">
        <v>8419</v>
      </c>
      <c r="AL323">
        <v>5</v>
      </c>
      <c r="AM323" s="5">
        <f t="shared" si="42"/>
        <v>0.25</v>
      </c>
      <c r="AN323" s="4">
        <f t="shared" ref="AN323:AN386" si="47">(AM323-$AO$3)/($AO$2-$AO$3)</f>
        <v>3.786444528587656E-4</v>
      </c>
      <c r="AO323" s="3"/>
      <c r="AP323">
        <v>0</v>
      </c>
      <c r="AR323" t="s">
        <v>1</v>
      </c>
      <c r="AT323" s="2">
        <v>4.0659999999999998</v>
      </c>
      <c r="AU323" s="1">
        <f t="shared" si="43"/>
        <v>2.804931315113218</v>
      </c>
      <c r="AV323" s="1">
        <f t="shared" si="44"/>
        <v>2.0143407808768354</v>
      </c>
      <c r="AW323" s="1">
        <f t="shared" si="45"/>
        <v>1.2237502466404517</v>
      </c>
    </row>
    <row r="324" spans="1:49" x14ac:dyDescent="0.2">
      <c r="A324">
        <v>322</v>
      </c>
      <c r="B324" t="s">
        <v>8418</v>
      </c>
      <c r="C324" t="s">
        <v>8417</v>
      </c>
      <c r="F324" t="s">
        <v>8416</v>
      </c>
      <c r="G324" t="s">
        <v>5</v>
      </c>
      <c r="H324" t="s">
        <v>4</v>
      </c>
      <c r="I324" t="s">
        <v>8415</v>
      </c>
      <c r="J324">
        <v>112704950</v>
      </c>
      <c r="K324" t="s">
        <v>8414</v>
      </c>
      <c r="L324" t="s">
        <v>8413</v>
      </c>
      <c r="M324" t="s">
        <v>506</v>
      </c>
      <c r="N324">
        <v>1</v>
      </c>
      <c r="O324" t="s">
        <v>8412</v>
      </c>
      <c r="P324">
        <v>6701425031</v>
      </c>
      <c r="Q324">
        <v>112704950</v>
      </c>
      <c r="R324" s="7">
        <v>37561</v>
      </c>
      <c r="S324" s="8">
        <f t="shared" si="40"/>
        <v>2002</v>
      </c>
      <c r="T324" s="8">
        <v>2002</v>
      </c>
      <c r="U324" s="8">
        <f t="shared" si="41"/>
        <v>20</v>
      </c>
      <c r="V324" s="7">
        <v>37561</v>
      </c>
      <c r="W324" t="s">
        <v>8411</v>
      </c>
      <c r="X324" s="2">
        <v>0.41099999999999998</v>
      </c>
      <c r="Y324" s="6">
        <f t="shared" si="46"/>
        <v>1.0971410266677344E-2</v>
      </c>
      <c r="AA324" t="s">
        <v>8410</v>
      </c>
      <c r="AB324">
        <v>21100490427</v>
      </c>
      <c r="AC324">
        <v>19434928</v>
      </c>
      <c r="AD324" t="s">
        <v>2</v>
      </c>
      <c r="AE324">
        <v>40</v>
      </c>
      <c r="AF324">
        <v>8</v>
      </c>
      <c r="AH324" t="s">
        <v>8409</v>
      </c>
      <c r="AI324" t="s">
        <v>8408</v>
      </c>
      <c r="AK324" t="s">
        <v>8407</v>
      </c>
      <c r="AL324">
        <v>9</v>
      </c>
      <c r="AM324" s="5">
        <f t="shared" si="42"/>
        <v>0.45</v>
      </c>
      <c r="AN324" s="4">
        <f t="shared" si="47"/>
        <v>6.8156001514577808E-4</v>
      </c>
      <c r="AO324" s="3"/>
      <c r="AP324">
        <v>0</v>
      </c>
      <c r="AR324" t="s">
        <v>1</v>
      </c>
      <c r="AT324" s="2">
        <v>0.70099999999999996</v>
      </c>
      <c r="AU324" s="1">
        <f t="shared" si="43"/>
        <v>0.7884455191217874</v>
      </c>
      <c r="AV324" s="1">
        <f t="shared" si="44"/>
        <v>0.58264851409115614</v>
      </c>
      <c r="AW324" s="1">
        <f t="shared" si="45"/>
        <v>0.37685150906052478</v>
      </c>
    </row>
    <row r="325" spans="1:49" x14ac:dyDescent="0.2">
      <c r="A325">
        <v>323</v>
      </c>
      <c r="B325" t="s">
        <v>8406</v>
      </c>
      <c r="C325" t="s">
        <v>8405</v>
      </c>
      <c r="F325" t="s">
        <v>8404</v>
      </c>
      <c r="G325" t="s">
        <v>5</v>
      </c>
      <c r="H325" t="s">
        <v>4</v>
      </c>
      <c r="I325" t="s">
        <v>8403</v>
      </c>
      <c r="J325">
        <v>60069972</v>
      </c>
      <c r="K325" t="s">
        <v>399</v>
      </c>
      <c r="L325" t="s">
        <v>52</v>
      </c>
      <c r="M325" t="s">
        <v>26</v>
      </c>
      <c r="N325">
        <v>1</v>
      </c>
      <c r="O325" t="s">
        <v>8402</v>
      </c>
      <c r="P325">
        <v>35724029200</v>
      </c>
      <c r="Q325">
        <v>60069972</v>
      </c>
      <c r="R325" s="7">
        <v>37561</v>
      </c>
      <c r="S325" s="8">
        <f t="shared" si="40"/>
        <v>2002</v>
      </c>
      <c r="T325" s="8">
        <v>2002</v>
      </c>
      <c r="U325" s="8">
        <f t="shared" si="41"/>
        <v>20</v>
      </c>
      <c r="V325" s="7">
        <v>37561</v>
      </c>
      <c r="W325" t="s">
        <v>720</v>
      </c>
      <c r="X325" s="2">
        <v>0.318</v>
      </c>
      <c r="Y325" s="6">
        <f t="shared" si="46"/>
        <v>8.4888283815167786E-3</v>
      </c>
      <c r="AA325">
        <v>338443</v>
      </c>
      <c r="AB325">
        <v>27160</v>
      </c>
      <c r="AC325">
        <v>15739120</v>
      </c>
      <c r="AD325" t="s">
        <v>2</v>
      </c>
      <c r="AE325">
        <v>45</v>
      </c>
      <c r="AF325">
        <v>11</v>
      </c>
      <c r="AH325" t="s">
        <v>8401</v>
      </c>
      <c r="AI325" t="s">
        <v>8400</v>
      </c>
      <c r="AK325" t="s">
        <v>8399</v>
      </c>
      <c r="AL325">
        <v>1</v>
      </c>
      <c r="AM325" s="5">
        <f t="shared" si="42"/>
        <v>0.05</v>
      </c>
      <c r="AN325" s="4">
        <f t="shared" si="47"/>
        <v>7.5728890571753133E-5</v>
      </c>
      <c r="AO325" s="3"/>
      <c r="AP325">
        <v>0</v>
      </c>
      <c r="AQ325" t="s">
        <v>682</v>
      </c>
      <c r="AR325" t="s">
        <v>8398</v>
      </c>
      <c r="AS325" t="s">
        <v>526</v>
      </c>
      <c r="AT325" s="2">
        <v>0.77</v>
      </c>
      <c r="AU325" s="1">
        <f t="shared" si="43"/>
        <v>0.59648985342332705</v>
      </c>
      <c r="AV325" s="1">
        <f t="shared" si="44"/>
        <v>0.42822786360442655</v>
      </c>
      <c r="AW325" s="1">
        <f t="shared" si="45"/>
        <v>0.25996587378552605</v>
      </c>
    </row>
    <row r="326" spans="1:49" x14ac:dyDescent="0.2">
      <c r="A326">
        <v>324</v>
      </c>
      <c r="B326" t="s">
        <v>8397</v>
      </c>
      <c r="C326" t="s">
        <v>8396</v>
      </c>
      <c r="F326" t="s">
        <v>8395</v>
      </c>
      <c r="G326" t="s">
        <v>5</v>
      </c>
      <c r="H326" t="s">
        <v>4</v>
      </c>
      <c r="I326" t="s">
        <v>8394</v>
      </c>
      <c r="J326">
        <v>121049289</v>
      </c>
      <c r="K326" t="s">
        <v>8393</v>
      </c>
      <c r="L326" t="s">
        <v>8392</v>
      </c>
      <c r="M326" t="s">
        <v>112</v>
      </c>
      <c r="N326">
        <v>3</v>
      </c>
      <c r="O326" t="s">
        <v>8391</v>
      </c>
      <c r="P326" t="s">
        <v>8390</v>
      </c>
      <c r="Q326" t="s">
        <v>8389</v>
      </c>
      <c r="R326" s="7">
        <v>37561</v>
      </c>
      <c r="S326" s="8">
        <f t="shared" si="40"/>
        <v>2002</v>
      </c>
      <c r="T326" s="8">
        <v>2002</v>
      </c>
      <c r="U326" s="8">
        <f t="shared" si="41"/>
        <v>20</v>
      </c>
      <c r="V326" s="7">
        <v>37561</v>
      </c>
      <c r="W326" t="s">
        <v>754</v>
      </c>
      <c r="X326" s="2">
        <v>1.4950000000000001</v>
      </c>
      <c r="Y326" s="6">
        <f t="shared" si="46"/>
        <v>3.9908171164677937E-2</v>
      </c>
      <c r="AA326">
        <v>10805370</v>
      </c>
      <c r="AB326">
        <v>144827</v>
      </c>
      <c r="AC326">
        <v>15211886</v>
      </c>
      <c r="AD326" t="s">
        <v>2</v>
      </c>
      <c r="AE326">
        <v>6</v>
      </c>
      <c r="AF326" s="9">
        <v>44228</v>
      </c>
      <c r="AH326" t="s">
        <v>8388</v>
      </c>
      <c r="AI326" t="s">
        <v>8387</v>
      </c>
      <c r="AJ326" t="s">
        <v>8386</v>
      </c>
      <c r="AK326" t="s">
        <v>8385</v>
      </c>
      <c r="AL326">
        <v>38</v>
      </c>
      <c r="AM326" s="5">
        <f t="shared" si="42"/>
        <v>1.9</v>
      </c>
      <c r="AN326" s="4">
        <f t="shared" si="47"/>
        <v>2.8776978417266188E-3</v>
      </c>
      <c r="AO326" s="3"/>
      <c r="AP326">
        <v>0</v>
      </c>
      <c r="AR326" t="s">
        <v>1</v>
      </c>
      <c r="AT326" s="2">
        <v>4.0659999999999998</v>
      </c>
      <c r="AU326" s="1">
        <f t="shared" si="43"/>
        <v>2.8799029167792543</v>
      </c>
      <c r="AV326" s="1">
        <f t="shared" si="44"/>
        <v>2.1392934503202277</v>
      </c>
      <c r="AW326" s="1">
        <f t="shared" si="45"/>
        <v>1.3986839838612015</v>
      </c>
    </row>
    <row r="327" spans="1:49" x14ac:dyDescent="0.2">
      <c r="A327">
        <v>325</v>
      </c>
      <c r="B327" t="s">
        <v>8384</v>
      </c>
      <c r="C327" t="s">
        <v>8383</v>
      </c>
      <c r="F327" t="s">
        <v>8382</v>
      </c>
      <c r="G327" t="s">
        <v>5</v>
      </c>
      <c r="H327" t="s">
        <v>4</v>
      </c>
      <c r="I327" t="s">
        <v>8381</v>
      </c>
      <c r="J327">
        <v>60008673</v>
      </c>
      <c r="K327" t="s">
        <v>872</v>
      </c>
      <c r="L327" t="s">
        <v>871</v>
      </c>
      <c r="M327" t="s">
        <v>26</v>
      </c>
      <c r="N327">
        <v>1</v>
      </c>
      <c r="O327" t="s">
        <v>8380</v>
      </c>
      <c r="P327">
        <v>6602783965</v>
      </c>
      <c r="Q327">
        <v>60008673</v>
      </c>
      <c r="R327" s="7">
        <v>37561</v>
      </c>
      <c r="S327" s="8">
        <f t="shared" si="40"/>
        <v>2002</v>
      </c>
      <c r="T327" s="8">
        <v>2002</v>
      </c>
      <c r="U327" s="8">
        <f t="shared" si="41"/>
        <v>20</v>
      </c>
      <c r="V327" s="7">
        <v>37561</v>
      </c>
      <c r="W327" t="s">
        <v>720</v>
      </c>
      <c r="X327" s="2">
        <v>0.318</v>
      </c>
      <c r="Y327" s="6">
        <f t="shared" si="46"/>
        <v>8.4888283815167786E-3</v>
      </c>
      <c r="AA327">
        <v>338443</v>
      </c>
      <c r="AB327">
        <v>27160</v>
      </c>
      <c r="AC327">
        <v>15739120</v>
      </c>
      <c r="AD327" t="s">
        <v>2</v>
      </c>
      <c r="AE327">
        <v>45</v>
      </c>
      <c r="AF327">
        <v>11</v>
      </c>
      <c r="AH327" t="s">
        <v>7912</v>
      </c>
      <c r="AI327" t="s">
        <v>8379</v>
      </c>
      <c r="AK327" t="s">
        <v>8378</v>
      </c>
      <c r="AL327">
        <v>2</v>
      </c>
      <c r="AM327" s="5">
        <f t="shared" si="42"/>
        <v>0.1</v>
      </c>
      <c r="AN327" s="4">
        <f t="shared" si="47"/>
        <v>1.5145778114350627E-4</v>
      </c>
      <c r="AO327" s="3"/>
      <c r="AP327">
        <v>0</v>
      </c>
      <c r="AQ327" t="s">
        <v>682</v>
      </c>
      <c r="AR327" t="s">
        <v>8377</v>
      </c>
      <c r="AS327" t="s">
        <v>526</v>
      </c>
      <c r="AT327" s="2">
        <v>0.77</v>
      </c>
      <c r="AU327" s="1">
        <f t="shared" si="43"/>
        <v>0.59876172014047968</v>
      </c>
      <c r="AV327" s="1">
        <f t="shared" si="44"/>
        <v>0.43201430813301422</v>
      </c>
      <c r="AW327" s="1">
        <f t="shared" si="45"/>
        <v>0.26526689612554877</v>
      </c>
    </row>
    <row r="328" spans="1:49" x14ac:dyDescent="0.2">
      <c r="A328">
        <v>326</v>
      </c>
      <c r="B328" t="s">
        <v>8376</v>
      </c>
      <c r="C328" t="s">
        <v>8375</v>
      </c>
      <c r="F328" t="s">
        <v>8374</v>
      </c>
      <c r="G328" t="s">
        <v>5</v>
      </c>
      <c r="H328" t="s">
        <v>4</v>
      </c>
      <c r="I328" t="s">
        <v>8373</v>
      </c>
      <c r="J328" t="s">
        <v>8372</v>
      </c>
      <c r="K328" t="s">
        <v>8371</v>
      </c>
      <c r="L328" t="s">
        <v>8370</v>
      </c>
      <c r="M328" t="s">
        <v>8369</v>
      </c>
      <c r="N328">
        <v>7</v>
      </c>
      <c r="O328" t="s">
        <v>8368</v>
      </c>
      <c r="P328" t="s">
        <v>8367</v>
      </c>
      <c r="Q328" t="s">
        <v>8366</v>
      </c>
      <c r="R328" s="7">
        <v>37561</v>
      </c>
      <c r="S328" s="8">
        <f t="shared" si="40"/>
        <v>2002</v>
      </c>
      <c r="T328" s="8">
        <v>2002</v>
      </c>
      <c r="U328" s="8">
        <f t="shared" si="41"/>
        <v>20</v>
      </c>
      <c r="V328" s="7">
        <v>37561</v>
      </c>
      <c r="W328" t="s">
        <v>713</v>
      </c>
      <c r="X328" s="2">
        <v>0.42</v>
      </c>
      <c r="Y328" s="6">
        <f t="shared" si="46"/>
        <v>1.1211660126531593E-2</v>
      </c>
      <c r="AA328">
        <v>15308669</v>
      </c>
      <c r="AB328">
        <v>17543</v>
      </c>
      <c r="AD328" t="s">
        <v>2</v>
      </c>
      <c r="AE328">
        <v>2</v>
      </c>
      <c r="AF328">
        <v>7</v>
      </c>
      <c r="AH328" t="s">
        <v>8365</v>
      </c>
      <c r="AI328" t="s">
        <v>8364</v>
      </c>
      <c r="AJ328" t="s">
        <v>8363</v>
      </c>
      <c r="AK328" t="s">
        <v>8362</v>
      </c>
      <c r="AL328">
        <v>1</v>
      </c>
      <c r="AM328" s="5">
        <f t="shared" si="42"/>
        <v>0.05</v>
      </c>
      <c r="AN328" s="4">
        <f t="shared" si="47"/>
        <v>7.5728890571753133E-5</v>
      </c>
      <c r="AO328" s="3"/>
      <c r="AP328">
        <v>0</v>
      </c>
      <c r="AR328" t="s">
        <v>1</v>
      </c>
      <c r="AT328" s="2" t="s">
        <v>0</v>
      </c>
      <c r="AU328" s="1">
        <f t="shared" si="43"/>
        <v>0.787088075574364</v>
      </c>
      <c r="AV328" s="1">
        <f t="shared" si="44"/>
        <v>0.56436945085516721</v>
      </c>
      <c r="AW328" s="1">
        <f t="shared" si="45"/>
        <v>0.34165082613597048</v>
      </c>
    </row>
    <row r="329" spans="1:49" x14ac:dyDescent="0.2">
      <c r="A329">
        <v>327</v>
      </c>
      <c r="B329" t="s">
        <v>8361</v>
      </c>
      <c r="C329" t="s">
        <v>8360</v>
      </c>
      <c r="F329" t="s">
        <v>8359</v>
      </c>
      <c r="G329" t="s">
        <v>5</v>
      </c>
      <c r="H329" t="s">
        <v>4</v>
      </c>
      <c r="I329" t="s">
        <v>8358</v>
      </c>
      <c r="J329">
        <v>60000990</v>
      </c>
      <c r="K329" t="s">
        <v>430</v>
      </c>
      <c r="L329" t="s">
        <v>173</v>
      </c>
      <c r="M329" t="s">
        <v>172</v>
      </c>
      <c r="N329">
        <v>2</v>
      </c>
      <c r="O329" t="s">
        <v>8357</v>
      </c>
      <c r="P329" t="s">
        <v>8356</v>
      </c>
      <c r="Q329" t="s">
        <v>1107</v>
      </c>
      <c r="R329" s="7">
        <v>37561</v>
      </c>
      <c r="S329" s="8">
        <f t="shared" si="40"/>
        <v>2002</v>
      </c>
      <c r="T329" s="8">
        <v>2002</v>
      </c>
      <c r="U329" s="8">
        <f t="shared" si="41"/>
        <v>20</v>
      </c>
      <c r="V329" s="7">
        <v>37561</v>
      </c>
      <c r="W329" t="s">
        <v>848</v>
      </c>
      <c r="X329" s="2">
        <v>0.69899999999999995</v>
      </c>
      <c r="Y329" s="6">
        <f t="shared" si="46"/>
        <v>1.8659405782013295E-2</v>
      </c>
      <c r="AA329">
        <v>218979</v>
      </c>
      <c r="AB329">
        <v>28132</v>
      </c>
      <c r="AD329" t="s">
        <v>2</v>
      </c>
      <c r="AE329">
        <v>92</v>
      </c>
      <c r="AF329">
        <v>9</v>
      </c>
      <c r="AH329" t="s">
        <v>8355</v>
      </c>
      <c r="AI329" t="s">
        <v>8354</v>
      </c>
      <c r="AK329" t="s">
        <v>8353</v>
      </c>
      <c r="AL329">
        <v>72</v>
      </c>
      <c r="AM329" s="5">
        <f t="shared" si="42"/>
        <v>3.6</v>
      </c>
      <c r="AN329" s="4">
        <f t="shared" si="47"/>
        <v>5.4524801211662246E-3</v>
      </c>
      <c r="AO329" s="3"/>
      <c r="AP329">
        <v>0</v>
      </c>
      <c r="AR329" t="s">
        <v>1</v>
      </c>
      <c r="AT329" s="2">
        <v>2.5459999999999998</v>
      </c>
      <c r="AU329" s="1">
        <f t="shared" si="43"/>
        <v>1.4697328083759171</v>
      </c>
      <c r="AV329" s="1">
        <f t="shared" si="44"/>
        <v>1.205594295158976</v>
      </c>
      <c r="AW329" s="1">
        <f t="shared" si="45"/>
        <v>0.9414557819420345</v>
      </c>
    </row>
    <row r="330" spans="1:49" x14ac:dyDescent="0.2">
      <c r="A330">
        <v>328</v>
      </c>
      <c r="B330" t="s">
        <v>8352</v>
      </c>
      <c r="C330" t="s">
        <v>8351</v>
      </c>
      <c r="F330" t="s">
        <v>8350</v>
      </c>
      <c r="G330" t="s">
        <v>5</v>
      </c>
      <c r="H330" t="s">
        <v>4</v>
      </c>
      <c r="I330" t="s">
        <v>8349</v>
      </c>
      <c r="J330" t="s">
        <v>8348</v>
      </c>
      <c r="K330" t="s">
        <v>8347</v>
      </c>
      <c r="L330" t="s">
        <v>8346</v>
      </c>
      <c r="M330" t="s">
        <v>8345</v>
      </c>
      <c r="N330">
        <v>3</v>
      </c>
      <c r="O330" t="s">
        <v>8344</v>
      </c>
      <c r="P330" t="s">
        <v>8343</v>
      </c>
      <c r="Q330" t="s">
        <v>8342</v>
      </c>
      <c r="R330" s="7">
        <v>37561</v>
      </c>
      <c r="S330" s="8">
        <f t="shared" si="40"/>
        <v>2002</v>
      </c>
      <c r="T330" s="8">
        <v>2002</v>
      </c>
      <c r="U330" s="8">
        <f t="shared" si="41"/>
        <v>20</v>
      </c>
      <c r="V330" s="7">
        <v>37561</v>
      </c>
      <c r="W330" t="s">
        <v>713</v>
      </c>
      <c r="X330" s="2">
        <v>0.42</v>
      </c>
      <c r="Y330" s="6">
        <f t="shared" si="46"/>
        <v>1.1211660126531593E-2</v>
      </c>
      <c r="AA330">
        <v>15308669</v>
      </c>
      <c r="AB330">
        <v>17543</v>
      </c>
      <c r="AD330" t="s">
        <v>2</v>
      </c>
      <c r="AE330">
        <v>2</v>
      </c>
      <c r="AF330">
        <v>7</v>
      </c>
      <c r="AH330" t="s">
        <v>8341</v>
      </c>
      <c r="AI330" t="s">
        <v>8340</v>
      </c>
      <c r="AJ330" t="s">
        <v>8339</v>
      </c>
      <c r="AK330" t="s">
        <v>8338</v>
      </c>
      <c r="AL330">
        <v>4</v>
      </c>
      <c r="AM330" s="5">
        <f t="shared" si="42"/>
        <v>0.2</v>
      </c>
      <c r="AN330" s="4">
        <f t="shared" si="47"/>
        <v>3.0291556228701253E-4</v>
      </c>
      <c r="AO330" s="3"/>
      <c r="AP330">
        <v>0</v>
      </c>
      <c r="AR330" t="s">
        <v>1</v>
      </c>
      <c r="AT330" s="2" t="s">
        <v>0</v>
      </c>
      <c r="AU330" s="1">
        <f t="shared" si="43"/>
        <v>0.79390367572582177</v>
      </c>
      <c r="AV330" s="1">
        <f t="shared" si="44"/>
        <v>0.57572878444093023</v>
      </c>
      <c r="AW330" s="1">
        <f t="shared" si="45"/>
        <v>0.35755389315603864</v>
      </c>
    </row>
    <row r="331" spans="1:49" x14ac:dyDescent="0.2">
      <c r="A331">
        <v>329</v>
      </c>
      <c r="B331" t="s">
        <v>8337</v>
      </c>
      <c r="C331" t="s">
        <v>8336</v>
      </c>
      <c r="F331" t="s">
        <v>8335</v>
      </c>
      <c r="G331" t="s">
        <v>5</v>
      </c>
      <c r="H331" t="s">
        <v>4</v>
      </c>
      <c r="I331" t="s">
        <v>8334</v>
      </c>
      <c r="J331">
        <v>60007457</v>
      </c>
      <c r="K331" t="s">
        <v>528</v>
      </c>
      <c r="L331" t="s">
        <v>27</v>
      </c>
      <c r="M331" t="s">
        <v>26</v>
      </c>
      <c r="N331">
        <v>3</v>
      </c>
      <c r="O331" t="s">
        <v>8333</v>
      </c>
      <c r="P331" t="s">
        <v>8332</v>
      </c>
      <c r="Q331" t="s">
        <v>886</v>
      </c>
      <c r="R331" s="7">
        <v>37561</v>
      </c>
      <c r="S331" s="8">
        <f t="shared" si="40"/>
        <v>2002</v>
      </c>
      <c r="T331" s="8">
        <v>2002</v>
      </c>
      <c r="U331" s="8">
        <f t="shared" si="41"/>
        <v>20</v>
      </c>
      <c r="V331" s="7">
        <v>37561</v>
      </c>
      <c r="W331" t="s">
        <v>8331</v>
      </c>
      <c r="X331" s="2">
        <v>0.214</v>
      </c>
      <c r="Y331" s="6">
        <f t="shared" si="46"/>
        <v>5.7126077787565737E-3</v>
      </c>
      <c r="AA331">
        <v>10637397</v>
      </c>
      <c r="AB331">
        <v>27163</v>
      </c>
      <c r="AD331" t="s">
        <v>2</v>
      </c>
      <c r="AE331">
        <v>31</v>
      </c>
      <c r="AF331">
        <v>6</v>
      </c>
      <c r="AH331" t="s">
        <v>8330</v>
      </c>
      <c r="AI331" t="s">
        <v>8329</v>
      </c>
      <c r="AK331" t="s">
        <v>8328</v>
      </c>
      <c r="AL331">
        <v>1</v>
      </c>
      <c r="AM331" s="5">
        <f t="shared" si="42"/>
        <v>0.05</v>
      </c>
      <c r="AN331" s="4">
        <f t="shared" si="47"/>
        <v>7.5728890571753133E-5</v>
      </c>
      <c r="AO331" s="3"/>
      <c r="AP331">
        <v>0</v>
      </c>
      <c r="AQ331" t="s">
        <v>682</v>
      </c>
      <c r="AR331" t="s">
        <v>8327</v>
      </c>
      <c r="AS331" t="s">
        <v>526</v>
      </c>
      <c r="AT331" s="2" t="s">
        <v>0</v>
      </c>
      <c r="AU331" s="1">
        <f t="shared" si="43"/>
        <v>0.40215441123011275</v>
      </c>
      <c r="AV331" s="1">
        <f t="shared" si="44"/>
        <v>0.28941683346641633</v>
      </c>
      <c r="AW331" s="1">
        <f t="shared" si="45"/>
        <v>0.17667925570271992</v>
      </c>
    </row>
    <row r="332" spans="1:49" x14ac:dyDescent="0.2">
      <c r="A332">
        <v>330</v>
      </c>
      <c r="B332" t="s">
        <v>8326</v>
      </c>
      <c r="C332" t="s">
        <v>8325</v>
      </c>
      <c r="F332" t="s">
        <v>8324</v>
      </c>
      <c r="G332" t="s">
        <v>5</v>
      </c>
      <c r="H332" t="s">
        <v>4</v>
      </c>
      <c r="I332" t="s">
        <v>862</v>
      </c>
      <c r="J332" t="s">
        <v>8323</v>
      </c>
      <c r="K332" t="s">
        <v>8322</v>
      </c>
      <c r="L332" t="s">
        <v>8321</v>
      </c>
      <c r="M332" t="s">
        <v>8320</v>
      </c>
      <c r="N332">
        <v>2</v>
      </c>
      <c r="O332" t="s">
        <v>8319</v>
      </c>
      <c r="P332" t="s">
        <v>8318</v>
      </c>
      <c r="Q332" t="s">
        <v>8317</v>
      </c>
      <c r="R332" s="7">
        <v>37561</v>
      </c>
      <c r="S332" s="8">
        <f t="shared" si="40"/>
        <v>2002</v>
      </c>
      <c r="T332" s="8">
        <v>2002</v>
      </c>
      <c r="U332" s="8">
        <f t="shared" si="41"/>
        <v>20</v>
      </c>
      <c r="V332" s="7">
        <v>37561</v>
      </c>
      <c r="W332" t="s">
        <v>713</v>
      </c>
      <c r="X332" s="2">
        <v>0.42</v>
      </c>
      <c r="Y332" s="6">
        <f t="shared" si="46"/>
        <v>1.1211660126531593E-2</v>
      </c>
      <c r="AA332">
        <v>15308669</v>
      </c>
      <c r="AB332">
        <v>17543</v>
      </c>
      <c r="AD332" t="s">
        <v>2</v>
      </c>
      <c r="AE332">
        <v>2</v>
      </c>
      <c r="AF332">
        <v>7</v>
      </c>
      <c r="AH332" t="s">
        <v>8316</v>
      </c>
      <c r="AI332" t="s">
        <v>8315</v>
      </c>
      <c r="AK332" t="s">
        <v>8314</v>
      </c>
      <c r="AL332">
        <v>1</v>
      </c>
      <c r="AM332" s="5">
        <f t="shared" si="42"/>
        <v>0.05</v>
      </c>
      <c r="AN332" s="4">
        <f t="shared" si="47"/>
        <v>7.5728890571753133E-5</v>
      </c>
      <c r="AO332" s="3"/>
      <c r="AP332">
        <v>0</v>
      </c>
      <c r="AR332" t="s">
        <v>1</v>
      </c>
      <c r="AT332" s="2" t="s">
        <v>0</v>
      </c>
      <c r="AU332" s="1">
        <f t="shared" si="43"/>
        <v>0.787088075574364</v>
      </c>
      <c r="AV332" s="1">
        <f t="shared" si="44"/>
        <v>0.56436945085516721</v>
      </c>
      <c r="AW332" s="1">
        <f t="shared" si="45"/>
        <v>0.34165082613597048</v>
      </c>
    </row>
    <row r="333" spans="1:49" x14ac:dyDescent="0.2">
      <c r="A333">
        <v>331</v>
      </c>
      <c r="B333" t="s">
        <v>8313</v>
      </c>
      <c r="C333" t="s">
        <v>8312</v>
      </c>
      <c r="F333" t="s">
        <v>8311</v>
      </c>
      <c r="G333" t="s">
        <v>5</v>
      </c>
      <c r="H333" t="s">
        <v>4</v>
      </c>
      <c r="I333" t="s">
        <v>143</v>
      </c>
      <c r="J333" t="s">
        <v>8310</v>
      </c>
      <c r="K333" t="s">
        <v>8309</v>
      </c>
      <c r="L333" t="s">
        <v>8308</v>
      </c>
      <c r="M333" t="s">
        <v>8307</v>
      </c>
      <c r="N333">
        <v>3</v>
      </c>
      <c r="O333" t="s">
        <v>8306</v>
      </c>
      <c r="P333" t="s">
        <v>8305</v>
      </c>
      <c r="Q333" t="s">
        <v>8304</v>
      </c>
      <c r="R333" s="7">
        <v>37561</v>
      </c>
      <c r="S333" s="8">
        <f t="shared" si="40"/>
        <v>2002</v>
      </c>
      <c r="T333" s="8">
        <v>2002</v>
      </c>
      <c r="U333" s="8">
        <f t="shared" si="41"/>
        <v>20</v>
      </c>
      <c r="V333" s="7">
        <v>37561</v>
      </c>
      <c r="W333" t="s">
        <v>713</v>
      </c>
      <c r="X333" s="2">
        <v>0.42</v>
      </c>
      <c r="Y333" s="6">
        <f t="shared" si="46"/>
        <v>1.1211660126531593E-2</v>
      </c>
      <c r="AA333">
        <v>15308669</v>
      </c>
      <c r="AB333">
        <v>17543</v>
      </c>
      <c r="AD333" t="s">
        <v>2</v>
      </c>
      <c r="AE333">
        <v>2</v>
      </c>
      <c r="AF333">
        <v>7</v>
      </c>
      <c r="AH333" t="s">
        <v>8303</v>
      </c>
      <c r="AI333" t="s">
        <v>8302</v>
      </c>
      <c r="AJ333" t="s">
        <v>8301</v>
      </c>
      <c r="AK333" t="s">
        <v>8300</v>
      </c>
      <c r="AL333">
        <v>4</v>
      </c>
      <c r="AM333" s="5">
        <f t="shared" si="42"/>
        <v>0.2</v>
      </c>
      <c r="AN333" s="4">
        <f t="shared" si="47"/>
        <v>3.0291556228701253E-4</v>
      </c>
      <c r="AO333" s="3"/>
      <c r="AP333">
        <v>0</v>
      </c>
      <c r="AR333" t="s">
        <v>1</v>
      </c>
      <c r="AT333" s="2" t="s">
        <v>0</v>
      </c>
      <c r="AU333" s="1">
        <f t="shared" si="43"/>
        <v>0.79390367572582177</v>
      </c>
      <c r="AV333" s="1">
        <f t="shared" si="44"/>
        <v>0.57572878444093023</v>
      </c>
      <c r="AW333" s="1">
        <f t="shared" si="45"/>
        <v>0.35755389315603864</v>
      </c>
    </row>
    <row r="334" spans="1:49" x14ac:dyDescent="0.2">
      <c r="A334">
        <v>332</v>
      </c>
      <c r="B334" t="s">
        <v>8299</v>
      </c>
      <c r="C334" t="s">
        <v>8298</v>
      </c>
      <c r="F334" t="s">
        <v>8297</v>
      </c>
      <c r="G334" t="s">
        <v>5</v>
      </c>
      <c r="H334" t="s">
        <v>4</v>
      </c>
      <c r="I334" t="s">
        <v>1800</v>
      </c>
      <c r="J334" t="s">
        <v>1799</v>
      </c>
      <c r="K334" t="s">
        <v>1798</v>
      </c>
      <c r="L334" t="s">
        <v>1797</v>
      </c>
      <c r="M334" t="s">
        <v>437</v>
      </c>
      <c r="N334">
        <v>4</v>
      </c>
      <c r="O334" t="s">
        <v>8296</v>
      </c>
      <c r="P334" t="s">
        <v>8295</v>
      </c>
      <c r="Q334" t="s">
        <v>8294</v>
      </c>
      <c r="R334" s="7">
        <v>37561</v>
      </c>
      <c r="S334" s="8">
        <f t="shared" si="40"/>
        <v>2002</v>
      </c>
      <c r="T334" s="8">
        <v>2002</v>
      </c>
      <c r="U334" s="8">
        <f t="shared" si="41"/>
        <v>20</v>
      </c>
      <c r="V334" s="7">
        <v>37561</v>
      </c>
      <c r="W334" t="s">
        <v>706</v>
      </c>
      <c r="X334" s="2">
        <v>0.61499999999999999</v>
      </c>
      <c r="Y334" s="6">
        <f t="shared" si="46"/>
        <v>1.6417073756706976E-2</v>
      </c>
      <c r="AA334">
        <v>1959271</v>
      </c>
      <c r="AB334">
        <v>12141</v>
      </c>
      <c r="AD334" t="s">
        <v>2</v>
      </c>
      <c r="AE334">
        <v>23</v>
      </c>
      <c r="AF334">
        <v>11</v>
      </c>
      <c r="AH334" t="s">
        <v>8293</v>
      </c>
      <c r="AI334" t="s">
        <v>8292</v>
      </c>
      <c r="AJ334" t="s">
        <v>8291</v>
      </c>
      <c r="AK334" t="s">
        <v>8290</v>
      </c>
      <c r="AL334">
        <v>9</v>
      </c>
      <c r="AM334" s="5">
        <f t="shared" si="42"/>
        <v>0.45</v>
      </c>
      <c r="AN334" s="4">
        <f t="shared" si="47"/>
        <v>6.8156001514577808E-4</v>
      </c>
      <c r="AO334" s="3"/>
      <c r="AP334">
        <v>0</v>
      </c>
      <c r="AR334" t="s">
        <v>1</v>
      </c>
      <c r="AT334" s="2" t="s">
        <v>0</v>
      </c>
      <c r="AU334" s="1">
        <f t="shared" si="43"/>
        <v>1.1696419634238615</v>
      </c>
      <c r="AV334" s="1">
        <f t="shared" si="44"/>
        <v>0.85493168859263768</v>
      </c>
      <c r="AW334" s="1">
        <f t="shared" si="45"/>
        <v>0.54022141376141364</v>
      </c>
    </row>
    <row r="335" spans="1:49" x14ac:dyDescent="0.2">
      <c r="A335">
        <v>333</v>
      </c>
      <c r="B335" t="s">
        <v>8289</v>
      </c>
      <c r="C335" t="s">
        <v>8288</v>
      </c>
      <c r="F335" t="s">
        <v>8287</v>
      </c>
      <c r="G335" t="s">
        <v>5</v>
      </c>
      <c r="H335" t="s">
        <v>4</v>
      </c>
      <c r="I335" t="s">
        <v>771</v>
      </c>
      <c r="J335" t="s">
        <v>8286</v>
      </c>
      <c r="K335" t="s">
        <v>8285</v>
      </c>
      <c r="L335" t="s">
        <v>8284</v>
      </c>
      <c r="M335" t="s">
        <v>666</v>
      </c>
      <c r="N335">
        <v>2</v>
      </c>
      <c r="O335" t="s">
        <v>770</v>
      </c>
      <c r="P335" t="s">
        <v>769</v>
      </c>
      <c r="Q335" t="s">
        <v>8283</v>
      </c>
      <c r="R335" s="7">
        <v>37561</v>
      </c>
      <c r="S335" s="8">
        <f t="shared" si="40"/>
        <v>2002</v>
      </c>
      <c r="T335" s="8">
        <v>2002</v>
      </c>
      <c r="U335" s="8">
        <f t="shared" si="41"/>
        <v>20</v>
      </c>
      <c r="V335" s="7">
        <v>37561</v>
      </c>
      <c r="W335" t="s">
        <v>713</v>
      </c>
      <c r="X335" s="2">
        <v>0.42</v>
      </c>
      <c r="Y335" s="6">
        <f t="shared" si="46"/>
        <v>1.1211660126531593E-2</v>
      </c>
      <c r="AA335">
        <v>15308669</v>
      </c>
      <c r="AB335">
        <v>17543</v>
      </c>
      <c r="AD335" t="s">
        <v>2</v>
      </c>
      <c r="AE335">
        <v>2</v>
      </c>
      <c r="AF335">
        <v>7</v>
      </c>
      <c r="AH335" t="s">
        <v>8282</v>
      </c>
      <c r="AI335" t="s">
        <v>8281</v>
      </c>
      <c r="AJ335" t="s">
        <v>8280</v>
      </c>
      <c r="AK335" t="s">
        <v>8279</v>
      </c>
      <c r="AL335">
        <v>36</v>
      </c>
      <c r="AM335" s="5">
        <f t="shared" si="42"/>
        <v>1.8</v>
      </c>
      <c r="AN335" s="4">
        <f t="shared" si="47"/>
        <v>2.7262400605831123E-3</v>
      </c>
      <c r="AO335" s="3"/>
      <c r="AP335">
        <v>0</v>
      </c>
      <c r="AR335" t="s">
        <v>1</v>
      </c>
      <c r="AT335" s="2" t="s">
        <v>0</v>
      </c>
      <c r="AU335" s="1">
        <f t="shared" si="43"/>
        <v>0.86660341067470481</v>
      </c>
      <c r="AV335" s="1">
        <f t="shared" si="44"/>
        <v>0.69689500935573523</v>
      </c>
      <c r="AW335" s="1">
        <f t="shared" si="45"/>
        <v>0.52718660803676565</v>
      </c>
    </row>
    <row r="336" spans="1:49" x14ac:dyDescent="0.2">
      <c r="A336">
        <v>334</v>
      </c>
      <c r="B336" t="s">
        <v>8278</v>
      </c>
      <c r="C336" t="s">
        <v>8277</v>
      </c>
      <c r="F336" t="s">
        <v>8276</v>
      </c>
      <c r="G336" t="s">
        <v>5</v>
      </c>
      <c r="H336" t="s">
        <v>4</v>
      </c>
      <c r="I336" t="s">
        <v>8275</v>
      </c>
      <c r="J336" t="s">
        <v>8274</v>
      </c>
      <c r="K336" t="s">
        <v>8273</v>
      </c>
      <c r="L336" t="s">
        <v>8272</v>
      </c>
      <c r="M336" t="s">
        <v>323</v>
      </c>
      <c r="N336">
        <v>2</v>
      </c>
      <c r="O336" t="s">
        <v>8271</v>
      </c>
      <c r="P336" t="s">
        <v>8270</v>
      </c>
      <c r="Q336" t="s">
        <v>8269</v>
      </c>
      <c r="R336" s="7">
        <v>37561</v>
      </c>
      <c r="S336" s="8">
        <f t="shared" si="40"/>
        <v>2002</v>
      </c>
      <c r="T336" s="8">
        <v>2002</v>
      </c>
      <c r="U336" s="8">
        <f t="shared" si="41"/>
        <v>20</v>
      </c>
      <c r="V336" s="7">
        <v>37561</v>
      </c>
      <c r="W336" t="s">
        <v>462</v>
      </c>
      <c r="X336" s="2">
        <v>0.251</v>
      </c>
      <c r="Y336" s="6">
        <f t="shared" si="46"/>
        <v>6.7003016470462617E-3</v>
      </c>
      <c r="AA336">
        <v>207217</v>
      </c>
      <c r="AB336">
        <v>26145</v>
      </c>
      <c r="AD336" t="s">
        <v>2</v>
      </c>
      <c r="AE336">
        <v>89</v>
      </c>
      <c r="AF336">
        <v>11</v>
      </c>
      <c r="AH336" t="s">
        <v>8268</v>
      </c>
      <c r="AI336" t="s">
        <v>8267</v>
      </c>
      <c r="AK336" t="s">
        <v>8266</v>
      </c>
      <c r="AL336">
        <v>1</v>
      </c>
      <c r="AM336" s="5">
        <f t="shared" si="42"/>
        <v>0.05</v>
      </c>
      <c r="AN336" s="4">
        <f t="shared" si="47"/>
        <v>7.5728890571753133E-5</v>
      </c>
      <c r="AO336" s="3"/>
      <c r="AP336">
        <v>0</v>
      </c>
      <c r="AR336" t="s">
        <v>1</v>
      </c>
      <c r="AT336" s="2">
        <v>1.3360000000000001</v>
      </c>
      <c r="AU336" s="1">
        <f t="shared" si="43"/>
        <v>0.47129298201039088</v>
      </c>
      <c r="AV336" s="1">
        <f t="shared" si="44"/>
        <v>0.33880152688090076</v>
      </c>
      <c r="AW336" s="1">
        <f t="shared" si="45"/>
        <v>0.20631007175141053</v>
      </c>
    </row>
    <row r="337" spans="1:49" x14ac:dyDescent="0.2">
      <c r="A337">
        <v>335</v>
      </c>
      <c r="B337" t="s">
        <v>8265</v>
      </c>
      <c r="C337" t="s">
        <v>8264</v>
      </c>
      <c r="F337" t="s">
        <v>8263</v>
      </c>
      <c r="G337" t="s">
        <v>5</v>
      </c>
      <c r="H337" t="s">
        <v>4</v>
      </c>
      <c r="I337" t="s">
        <v>191</v>
      </c>
      <c r="J337">
        <v>60028459</v>
      </c>
      <c r="K337" t="s">
        <v>190</v>
      </c>
      <c r="L337" t="s">
        <v>104</v>
      </c>
      <c r="M337" t="s">
        <v>36</v>
      </c>
      <c r="N337">
        <v>1</v>
      </c>
      <c r="O337" t="s">
        <v>8262</v>
      </c>
      <c r="P337">
        <v>7203078908</v>
      </c>
      <c r="Q337">
        <v>60028459</v>
      </c>
      <c r="R337" s="7">
        <v>37561</v>
      </c>
      <c r="S337" s="8">
        <f t="shared" si="40"/>
        <v>2002</v>
      </c>
      <c r="T337" s="8">
        <v>2002</v>
      </c>
      <c r="U337" s="8">
        <f t="shared" si="41"/>
        <v>20</v>
      </c>
      <c r="V337" s="7">
        <v>37561</v>
      </c>
      <c r="W337" t="s">
        <v>828</v>
      </c>
      <c r="X337" s="2">
        <v>0.65500000000000003</v>
      </c>
      <c r="Y337" s="6">
        <f t="shared" si="46"/>
        <v>1.7484850911614749E-2</v>
      </c>
      <c r="AA337">
        <v>189375</v>
      </c>
      <c r="AB337">
        <v>26051</v>
      </c>
      <c r="AD337" t="s">
        <v>2</v>
      </c>
      <c r="AE337">
        <v>44</v>
      </c>
      <c r="AF337">
        <v>4</v>
      </c>
      <c r="AH337" t="s">
        <v>8261</v>
      </c>
      <c r="AI337" t="s">
        <v>8260</v>
      </c>
      <c r="AJ337" t="s">
        <v>8259</v>
      </c>
      <c r="AK337" t="s">
        <v>8258</v>
      </c>
      <c r="AL337">
        <v>29</v>
      </c>
      <c r="AM337" s="5">
        <f t="shared" si="42"/>
        <v>1.45</v>
      </c>
      <c r="AN337" s="4">
        <f t="shared" si="47"/>
        <v>2.1961378265808406E-3</v>
      </c>
      <c r="AO337" s="3"/>
      <c r="AP337">
        <v>0</v>
      </c>
      <c r="AR337" t="s">
        <v>1</v>
      </c>
      <c r="AT337" s="2" t="s">
        <v>0</v>
      </c>
      <c r="AU337" s="1">
        <f t="shared" si="43"/>
        <v>1.2898236986104574</v>
      </c>
      <c r="AV337" s="1">
        <f t="shared" si="44"/>
        <v>0.98404943690977942</v>
      </c>
      <c r="AW337" s="1">
        <f t="shared" si="45"/>
        <v>0.6782751752091013</v>
      </c>
    </row>
    <row r="338" spans="1:49" x14ac:dyDescent="0.2">
      <c r="A338">
        <v>336</v>
      </c>
      <c r="B338" t="s">
        <v>8257</v>
      </c>
      <c r="C338" t="s">
        <v>8256</v>
      </c>
      <c r="F338" t="s">
        <v>8255</v>
      </c>
      <c r="G338" t="s">
        <v>5</v>
      </c>
      <c r="H338" t="s">
        <v>4</v>
      </c>
      <c r="I338" t="s">
        <v>8254</v>
      </c>
      <c r="J338" t="s">
        <v>8253</v>
      </c>
      <c r="K338" t="s">
        <v>8252</v>
      </c>
      <c r="L338" t="s">
        <v>8251</v>
      </c>
      <c r="M338" t="s">
        <v>8250</v>
      </c>
      <c r="N338">
        <v>7</v>
      </c>
      <c r="O338" t="s">
        <v>8249</v>
      </c>
      <c r="P338" t="s">
        <v>8248</v>
      </c>
      <c r="Q338" t="s">
        <v>8247</v>
      </c>
      <c r="R338" s="7">
        <v>37561</v>
      </c>
      <c r="S338" s="8">
        <f t="shared" si="40"/>
        <v>2002</v>
      </c>
      <c r="T338" s="8">
        <v>2002</v>
      </c>
      <c r="U338" s="8">
        <f t="shared" si="41"/>
        <v>20</v>
      </c>
      <c r="V338" s="7">
        <v>37561</v>
      </c>
      <c r="W338" t="s">
        <v>828</v>
      </c>
      <c r="X338" s="2">
        <v>0.65500000000000003</v>
      </c>
      <c r="Y338" s="6">
        <f t="shared" si="46"/>
        <v>1.7484850911614749E-2</v>
      </c>
      <c r="AA338">
        <v>189375</v>
      </c>
      <c r="AB338">
        <v>26051</v>
      </c>
      <c r="AD338" t="s">
        <v>2</v>
      </c>
      <c r="AE338">
        <v>44</v>
      </c>
      <c r="AF338">
        <v>4</v>
      </c>
      <c r="AH338" t="s">
        <v>8246</v>
      </c>
      <c r="AI338" t="s">
        <v>8245</v>
      </c>
      <c r="AJ338" t="s">
        <v>8244</v>
      </c>
      <c r="AK338" t="s">
        <v>8243</v>
      </c>
      <c r="AL338">
        <v>20</v>
      </c>
      <c r="AM338" s="5">
        <f t="shared" si="42"/>
        <v>1</v>
      </c>
      <c r="AN338" s="4">
        <f t="shared" si="47"/>
        <v>1.5145778114350624E-3</v>
      </c>
      <c r="AO338" s="3"/>
      <c r="AP338">
        <v>0</v>
      </c>
      <c r="AR338" t="s">
        <v>1</v>
      </c>
      <c r="AT338" s="2" t="s">
        <v>0</v>
      </c>
      <c r="AU338" s="1">
        <f t="shared" si="43"/>
        <v>1.2693768981560842</v>
      </c>
      <c r="AV338" s="1">
        <f t="shared" si="44"/>
        <v>0.94997143615249047</v>
      </c>
      <c r="AW338" s="1">
        <f t="shared" si="45"/>
        <v>0.63056597414889681</v>
      </c>
    </row>
    <row r="339" spans="1:49" x14ac:dyDescent="0.2">
      <c r="A339">
        <v>337</v>
      </c>
      <c r="B339" t="s">
        <v>8242</v>
      </c>
      <c r="F339" t="s">
        <v>8241</v>
      </c>
      <c r="G339" t="s">
        <v>5</v>
      </c>
      <c r="H339" t="s">
        <v>4</v>
      </c>
      <c r="I339" t="s">
        <v>8240</v>
      </c>
      <c r="J339">
        <v>100327435</v>
      </c>
      <c r="K339" t="s">
        <v>8239</v>
      </c>
      <c r="L339" t="s">
        <v>8238</v>
      </c>
      <c r="M339" t="s">
        <v>14</v>
      </c>
      <c r="N339">
        <v>1</v>
      </c>
      <c r="O339" t="s">
        <v>8237</v>
      </c>
      <c r="P339">
        <v>6701833841</v>
      </c>
      <c r="Q339">
        <v>100327435</v>
      </c>
      <c r="R339" s="7">
        <v>37561</v>
      </c>
      <c r="S339" s="8">
        <f t="shared" si="40"/>
        <v>2002</v>
      </c>
      <c r="T339" s="8">
        <v>2002</v>
      </c>
      <c r="U339" s="8">
        <f t="shared" si="41"/>
        <v>20</v>
      </c>
      <c r="V339" s="7">
        <v>37561</v>
      </c>
      <c r="W339" t="s">
        <v>286</v>
      </c>
      <c r="X339" s="2">
        <v>0.33800000000000002</v>
      </c>
      <c r="Y339" s="6">
        <f t="shared" si="46"/>
        <v>9.0227169589706634E-3</v>
      </c>
      <c r="AA339">
        <v>34347</v>
      </c>
      <c r="AB339">
        <v>17722</v>
      </c>
      <c r="AC339">
        <v>19589395</v>
      </c>
      <c r="AD339" t="s">
        <v>2</v>
      </c>
      <c r="AE339">
        <v>57</v>
      </c>
      <c r="AF339" s="9">
        <v>44541</v>
      </c>
      <c r="AH339" t="s">
        <v>8236</v>
      </c>
      <c r="AI339" t="s">
        <v>8235</v>
      </c>
      <c r="AJ339" t="s">
        <v>8234</v>
      </c>
      <c r="AK339" t="s">
        <v>8233</v>
      </c>
      <c r="AL339">
        <v>41</v>
      </c>
      <c r="AM339" s="5">
        <f t="shared" si="42"/>
        <v>2.0499999999999998</v>
      </c>
      <c r="AN339" s="4">
        <f t="shared" si="47"/>
        <v>3.104884513441878E-3</v>
      </c>
      <c r="AO339" s="3"/>
      <c r="AP339">
        <v>0</v>
      </c>
      <c r="AR339" t="s">
        <v>1</v>
      </c>
      <c r="AT339" s="2" t="s">
        <v>0</v>
      </c>
      <c r="AU339" s="1">
        <f t="shared" si="43"/>
        <v>0.72473672253120269</v>
      </c>
      <c r="AV339" s="1">
        <f t="shared" si="44"/>
        <v>0.60638007362062707</v>
      </c>
      <c r="AW339" s="1">
        <f t="shared" si="45"/>
        <v>0.48802342471005133</v>
      </c>
    </row>
    <row r="340" spans="1:49" x14ac:dyDescent="0.2">
      <c r="A340">
        <v>338</v>
      </c>
      <c r="B340" t="s">
        <v>8232</v>
      </c>
      <c r="C340" t="s">
        <v>8231</v>
      </c>
      <c r="F340" t="s">
        <v>8230</v>
      </c>
      <c r="G340" t="s">
        <v>5</v>
      </c>
      <c r="H340" t="s">
        <v>4</v>
      </c>
      <c r="I340" t="s">
        <v>93</v>
      </c>
      <c r="J340">
        <v>60011476</v>
      </c>
      <c r="K340" t="s">
        <v>193</v>
      </c>
      <c r="L340" t="s">
        <v>192</v>
      </c>
      <c r="M340" t="s">
        <v>182</v>
      </c>
      <c r="N340">
        <v>4</v>
      </c>
      <c r="O340" t="s">
        <v>8229</v>
      </c>
      <c r="P340" t="s">
        <v>8228</v>
      </c>
      <c r="Q340" t="s">
        <v>8227</v>
      </c>
      <c r="R340" s="7">
        <v>37561</v>
      </c>
      <c r="S340" s="8">
        <f t="shared" si="40"/>
        <v>2002</v>
      </c>
      <c r="T340" s="8">
        <v>2002</v>
      </c>
      <c r="U340" s="8">
        <f t="shared" si="41"/>
        <v>20</v>
      </c>
      <c r="V340" s="7">
        <v>37561</v>
      </c>
      <c r="W340" t="s">
        <v>8226</v>
      </c>
      <c r="X340" s="2">
        <v>1.131</v>
      </c>
      <c r="Y340" s="6">
        <f t="shared" si="46"/>
        <v>3.0191399055017221E-2</v>
      </c>
      <c r="AA340" t="s">
        <v>8225</v>
      </c>
      <c r="AB340">
        <v>26023</v>
      </c>
      <c r="AD340" t="s">
        <v>2</v>
      </c>
      <c r="AE340">
        <v>8</v>
      </c>
      <c r="AF340">
        <v>6</v>
      </c>
      <c r="AH340" t="s">
        <v>8224</v>
      </c>
      <c r="AI340" t="s">
        <v>8223</v>
      </c>
      <c r="AJ340" t="s">
        <v>8222</v>
      </c>
      <c r="AK340" t="s">
        <v>8221</v>
      </c>
      <c r="AL340">
        <v>20</v>
      </c>
      <c r="AM340" s="5">
        <f t="shared" si="42"/>
        <v>1</v>
      </c>
      <c r="AN340" s="4">
        <f t="shared" si="47"/>
        <v>1.5145778114350624E-3</v>
      </c>
      <c r="AO340" s="3"/>
      <c r="AP340">
        <v>0</v>
      </c>
      <c r="AQ340" t="s">
        <v>935</v>
      </c>
      <c r="AR340" t="s">
        <v>8220</v>
      </c>
      <c r="AS340" t="s">
        <v>934</v>
      </c>
      <c r="AT340" s="2" t="s">
        <v>0</v>
      </c>
      <c r="AU340" s="1">
        <f t="shared" si="43"/>
        <v>2.1588352681942569</v>
      </c>
      <c r="AV340" s="1">
        <f t="shared" si="44"/>
        <v>1.5852988433226141</v>
      </c>
      <c r="AW340" s="1">
        <f t="shared" si="45"/>
        <v>1.011762418450971</v>
      </c>
    </row>
    <row r="341" spans="1:49" x14ac:dyDescent="0.2">
      <c r="A341">
        <v>339</v>
      </c>
      <c r="B341" t="s">
        <v>8219</v>
      </c>
      <c r="C341" t="s">
        <v>8218</v>
      </c>
      <c r="F341" t="s">
        <v>8217</v>
      </c>
      <c r="G341" t="s">
        <v>5</v>
      </c>
      <c r="H341" t="s">
        <v>4</v>
      </c>
      <c r="I341" t="s">
        <v>8216</v>
      </c>
      <c r="J341" t="s">
        <v>8215</v>
      </c>
      <c r="K341" t="s">
        <v>8214</v>
      </c>
      <c r="L341" t="s">
        <v>8213</v>
      </c>
      <c r="M341" t="s">
        <v>48</v>
      </c>
      <c r="N341">
        <v>2</v>
      </c>
      <c r="O341" t="s">
        <v>8212</v>
      </c>
      <c r="P341" t="s">
        <v>8211</v>
      </c>
      <c r="Q341" t="s">
        <v>8210</v>
      </c>
      <c r="R341" s="7">
        <v>37561</v>
      </c>
      <c r="S341" s="8">
        <f t="shared" si="40"/>
        <v>2002</v>
      </c>
      <c r="T341" s="8">
        <v>2002</v>
      </c>
      <c r="U341" s="8">
        <f t="shared" si="41"/>
        <v>20</v>
      </c>
      <c r="V341" s="7">
        <v>37561</v>
      </c>
      <c r="W341" t="s">
        <v>828</v>
      </c>
      <c r="X341" s="2">
        <v>0.65500000000000003</v>
      </c>
      <c r="Y341" s="6">
        <f t="shared" si="46"/>
        <v>1.7484850911614749E-2</v>
      </c>
      <c r="AA341">
        <v>189375</v>
      </c>
      <c r="AB341">
        <v>26051</v>
      </c>
      <c r="AD341" t="s">
        <v>2</v>
      </c>
      <c r="AE341">
        <v>44</v>
      </c>
      <c r="AF341">
        <v>4</v>
      </c>
      <c r="AH341" t="s">
        <v>2975</v>
      </c>
      <c r="AI341" t="s">
        <v>8209</v>
      </c>
      <c r="AJ341" t="s">
        <v>8208</v>
      </c>
      <c r="AK341" t="s">
        <v>8207</v>
      </c>
      <c r="AL341">
        <v>42</v>
      </c>
      <c r="AM341" s="5">
        <f t="shared" si="42"/>
        <v>2.1</v>
      </c>
      <c r="AN341" s="4">
        <f t="shared" si="47"/>
        <v>3.1806134040136312E-3</v>
      </c>
      <c r="AO341" s="3"/>
      <c r="AP341">
        <v>0</v>
      </c>
      <c r="AR341">
        <v>50077024</v>
      </c>
      <c r="AT341" s="2" t="s">
        <v>0</v>
      </c>
      <c r="AU341" s="1">
        <f t="shared" si="43"/>
        <v>1.3193579659334411</v>
      </c>
      <c r="AV341" s="1">
        <f t="shared" si="44"/>
        <v>1.0332732157814188</v>
      </c>
      <c r="AW341" s="1">
        <f t="shared" si="45"/>
        <v>0.74718846562939667</v>
      </c>
    </row>
    <row r="342" spans="1:49" x14ac:dyDescent="0.2">
      <c r="A342">
        <v>340</v>
      </c>
      <c r="B342" t="s">
        <v>8206</v>
      </c>
      <c r="C342" t="s">
        <v>8205</v>
      </c>
      <c r="F342" t="s">
        <v>8204</v>
      </c>
      <c r="G342" t="s">
        <v>5</v>
      </c>
      <c r="H342" t="s">
        <v>4</v>
      </c>
      <c r="I342" t="s">
        <v>8203</v>
      </c>
      <c r="J342">
        <v>60101003</v>
      </c>
      <c r="K342" t="s">
        <v>8202</v>
      </c>
      <c r="L342" t="s">
        <v>538</v>
      </c>
      <c r="M342" t="s">
        <v>537</v>
      </c>
      <c r="N342">
        <v>2</v>
      </c>
      <c r="O342" t="s">
        <v>8201</v>
      </c>
      <c r="P342" t="s">
        <v>8200</v>
      </c>
      <c r="Q342" t="s">
        <v>8199</v>
      </c>
      <c r="R342" s="7">
        <v>37561</v>
      </c>
      <c r="S342" s="8">
        <f t="shared" si="40"/>
        <v>2002</v>
      </c>
      <c r="T342" s="8">
        <v>2002</v>
      </c>
      <c r="U342" s="8">
        <f t="shared" si="41"/>
        <v>20</v>
      </c>
      <c r="V342" s="7">
        <v>37561</v>
      </c>
      <c r="W342" t="s">
        <v>401</v>
      </c>
      <c r="X342" s="2">
        <v>1.365</v>
      </c>
      <c r="Y342" s="6">
        <f t="shared" si="46"/>
        <v>3.6437895411227675E-2</v>
      </c>
      <c r="AA342">
        <v>189545</v>
      </c>
      <c r="AB342">
        <v>17393</v>
      </c>
      <c r="AD342" t="s">
        <v>2</v>
      </c>
      <c r="AE342">
        <v>51</v>
      </c>
      <c r="AF342">
        <v>6</v>
      </c>
      <c r="AH342" t="s">
        <v>8198</v>
      </c>
      <c r="AI342" t="s">
        <v>8197</v>
      </c>
      <c r="AJ342" t="s">
        <v>8196</v>
      </c>
      <c r="AK342" t="s">
        <v>8195</v>
      </c>
      <c r="AL342">
        <v>24</v>
      </c>
      <c r="AM342" s="5">
        <f t="shared" si="42"/>
        <v>1.2</v>
      </c>
      <c r="AN342" s="4">
        <f t="shared" si="47"/>
        <v>1.8174933737220749E-3</v>
      </c>
      <c r="AO342" s="3"/>
      <c r="AP342">
        <v>0</v>
      </c>
      <c r="AR342" t="s">
        <v>1</v>
      </c>
      <c r="AT342" s="2" t="s">
        <v>0</v>
      </c>
      <c r="AU342" s="1">
        <f t="shared" si="43"/>
        <v>2.6051774799975993</v>
      </c>
      <c r="AV342" s="1">
        <f t="shared" si="44"/>
        <v>1.9127694392474877</v>
      </c>
      <c r="AW342" s="1">
        <f t="shared" si="45"/>
        <v>1.2203613984973753</v>
      </c>
    </row>
    <row r="343" spans="1:49" x14ac:dyDescent="0.2">
      <c r="A343">
        <v>341</v>
      </c>
      <c r="B343" t="s">
        <v>8194</v>
      </c>
      <c r="C343" t="s">
        <v>8193</v>
      </c>
      <c r="F343" t="s">
        <v>8192</v>
      </c>
      <c r="G343" t="s">
        <v>5</v>
      </c>
      <c r="H343" t="s">
        <v>4</v>
      </c>
      <c r="I343" t="s">
        <v>982</v>
      </c>
      <c r="J343">
        <v>60017293</v>
      </c>
      <c r="K343" t="s">
        <v>981</v>
      </c>
      <c r="L343" t="s">
        <v>980</v>
      </c>
      <c r="M343" t="s">
        <v>19</v>
      </c>
      <c r="N343">
        <v>3</v>
      </c>
      <c r="O343" t="s">
        <v>8191</v>
      </c>
      <c r="P343" t="s">
        <v>8190</v>
      </c>
      <c r="Q343" t="s">
        <v>8189</v>
      </c>
      <c r="R343" s="7">
        <v>37561</v>
      </c>
      <c r="S343" s="8">
        <f t="shared" si="40"/>
        <v>2002</v>
      </c>
      <c r="T343" s="8">
        <v>2002</v>
      </c>
      <c r="U343" s="8">
        <f t="shared" si="41"/>
        <v>20</v>
      </c>
      <c r="V343" s="7">
        <v>37561</v>
      </c>
      <c r="W343" t="s">
        <v>418</v>
      </c>
      <c r="X343" s="2">
        <v>1.6519999999999999</v>
      </c>
      <c r="Y343" s="6">
        <f t="shared" si="46"/>
        <v>4.409919649769093E-2</v>
      </c>
      <c r="AA343" t="s">
        <v>417</v>
      </c>
      <c r="AB343">
        <v>17337</v>
      </c>
      <c r="AD343" t="s">
        <v>2</v>
      </c>
      <c r="AE343">
        <v>50</v>
      </c>
      <c r="AF343">
        <v>11</v>
      </c>
      <c r="AH343" t="s">
        <v>8188</v>
      </c>
      <c r="AI343" t="s">
        <v>8187</v>
      </c>
      <c r="AJ343" t="s">
        <v>8186</v>
      </c>
      <c r="AK343" t="s">
        <v>8185</v>
      </c>
      <c r="AL343">
        <v>58</v>
      </c>
      <c r="AM343" s="5">
        <f t="shared" si="42"/>
        <v>2.9</v>
      </c>
      <c r="AN343" s="4">
        <f t="shared" si="47"/>
        <v>4.3922756531616812E-3</v>
      </c>
      <c r="AO343" s="3"/>
      <c r="AP343">
        <v>0</v>
      </c>
      <c r="AR343" t="s">
        <v>1</v>
      </c>
      <c r="AT343" s="2" t="s">
        <v>0</v>
      </c>
      <c r="AU343" s="1">
        <f t="shared" si="43"/>
        <v>3.218712024433215</v>
      </c>
      <c r="AV343" s="1">
        <f t="shared" si="44"/>
        <v>2.4245736075426305</v>
      </c>
      <c r="AW343" s="1">
        <f t="shared" si="45"/>
        <v>1.6304351906520453</v>
      </c>
    </row>
    <row r="344" spans="1:49" x14ac:dyDescent="0.2">
      <c r="A344">
        <v>342</v>
      </c>
      <c r="B344" t="s">
        <v>8184</v>
      </c>
      <c r="C344" t="s">
        <v>8183</v>
      </c>
      <c r="F344" t="s">
        <v>8182</v>
      </c>
      <c r="G344" t="s">
        <v>5</v>
      </c>
      <c r="H344" t="s">
        <v>4</v>
      </c>
      <c r="I344" t="s">
        <v>8181</v>
      </c>
      <c r="J344">
        <v>60016849</v>
      </c>
      <c r="K344" t="s">
        <v>391</v>
      </c>
      <c r="L344" t="s">
        <v>390</v>
      </c>
      <c r="M344" t="s">
        <v>121</v>
      </c>
      <c r="N344">
        <v>2</v>
      </c>
      <c r="O344" t="s">
        <v>8180</v>
      </c>
      <c r="P344" t="s">
        <v>8179</v>
      </c>
      <c r="Q344" t="s">
        <v>389</v>
      </c>
      <c r="R344" s="7">
        <v>37561</v>
      </c>
      <c r="S344" s="8">
        <f t="shared" si="40"/>
        <v>2002</v>
      </c>
      <c r="T344" s="8">
        <v>2002</v>
      </c>
      <c r="U344" s="8">
        <f t="shared" si="41"/>
        <v>20</v>
      </c>
      <c r="V344" s="7">
        <v>37561</v>
      </c>
      <c r="W344" t="s">
        <v>418</v>
      </c>
      <c r="X344" s="2">
        <v>1.6519999999999999</v>
      </c>
      <c r="Y344" s="6">
        <f t="shared" si="46"/>
        <v>4.409919649769093E-2</v>
      </c>
      <c r="AA344" t="s">
        <v>417</v>
      </c>
      <c r="AB344">
        <v>17337</v>
      </c>
      <c r="AD344" t="s">
        <v>2</v>
      </c>
      <c r="AE344">
        <v>50</v>
      </c>
      <c r="AF344">
        <v>11</v>
      </c>
      <c r="AH344" t="s">
        <v>8178</v>
      </c>
      <c r="AI344" t="s">
        <v>8177</v>
      </c>
      <c r="AJ344" t="s">
        <v>8176</v>
      </c>
      <c r="AK344" t="s">
        <v>8175</v>
      </c>
      <c r="AL344">
        <v>97</v>
      </c>
      <c r="AM344" s="5">
        <f t="shared" si="42"/>
        <v>4.8499999999999996</v>
      </c>
      <c r="AN344" s="4">
        <f t="shared" si="47"/>
        <v>7.3457023854600527E-3</v>
      </c>
      <c r="AO344" s="3"/>
      <c r="AP344">
        <v>0</v>
      </c>
      <c r="AR344" t="s">
        <v>1</v>
      </c>
      <c r="AT344" s="2" t="s">
        <v>0</v>
      </c>
      <c r="AU344" s="1">
        <f t="shared" si="43"/>
        <v>3.307314826402167</v>
      </c>
      <c r="AV344" s="1">
        <f t="shared" si="44"/>
        <v>2.5722449441575495</v>
      </c>
      <c r="AW344" s="1">
        <f t="shared" si="45"/>
        <v>1.8371750619129317</v>
      </c>
    </row>
    <row r="345" spans="1:49" x14ac:dyDescent="0.2">
      <c r="A345">
        <v>343</v>
      </c>
      <c r="B345" t="s">
        <v>8174</v>
      </c>
      <c r="C345" t="s">
        <v>8173</v>
      </c>
      <c r="F345" t="s">
        <v>8172</v>
      </c>
      <c r="G345" t="s">
        <v>5</v>
      </c>
      <c r="H345" t="s">
        <v>4</v>
      </c>
      <c r="I345" t="s">
        <v>8171</v>
      </c>
      <c r="J345" t="s">
        <v>8170</v>
      </c>
      <c r="K345" t="s">
        <v>8169</v>
      </c>
      <c r="L345" t="s">
        <v>8168</v>
      </c>
      <c r="M345" t="s">
        <v>74</v>
      </c>
      <c r="N345">
        <v>3</v>
      </c>
      <c r="O345" t="s">
        <v>8167</v>
      </c>
      <c r="P345" t="s">
        <v>8166</v>
      </c>
      <c r="Q345" t="s">
        <v>8165</v>
      </c>
      <c r="R345" s="7">
        <v>37561</v>
      </c>
      <c r="S345" s="8">
        <f t="shared" si="40"/>
        <v>2002</v>
      </c>
      <c r="T345" s="8">
        <v>2002</v>
      </c>
      <c r="U345" s="8">
        <f t="shared" si="41"/>
        <v>20</v>
      </c>
      <c r="V345" s="7">
        <v>37561</v>
      </c>
      <c r="W345" t="s">
        <v>401</v>
      </c>
      <c r="X345" s="2">
        <v>1.365</v>
      </c>
      <c r="Y345" s="6">
        <f t="shared" si="46"/>
        <v>3.6437895411227675E-2</v>
      </c>
      <c r="AA345">
        <v>189545</v>
      </c>
      <c r="AB345">
        <v>17393</v>
      </c>
      <c r="AD345" t="s">
        <v>2</v>
      </c>
      <c r="AE345">
        <v>51</v>
      </c>
      <c r="AF345">
        <v>6</v>
      </c>
      <c r="AH345" t="s">
        <v>8164</v>
      </c>
      <c r="AI345" t="s">
        <v>8163</v>
      </c>
      <c r="AJ345" t="s">
        <v>8162</v>
      </c>
      <c r="AK345" t="s">
        <v>8161</v>
      </c>
      <c r="AL345">
        <v>28</v>
      </c>
      <c r="AM345" s="5">
        <f t="shared" si="42"/>
        <v>1.4</v>
      </c>
      <c r="AN345" s="4">
        <f t="shared" si="47"/>
        <v>2.1204089360090874E-3</v>
      </c>
      <c r="AO345" s="3"/>
      <c r="AP345">
        <v>0</v>
      </c>
      <c r="AR345" t="s">
        <v>1</v>
      </c>
      <c r="AT345" s="2" t="s">
        <v>0</v>
      </c>
      <c r="AU345" s="1">
        <f t="shared" si="43"/>
        <v>2.6142649468662094</v>
      </c>
      <c r="AV345" s="1">
        <f t="shared" si="44"/>
        <v>1.9279152173618381</v>
      </c>
      <c r="AW345" s="1">
        <f t="shared" si="45"/>
        <v>1.2415654878574662</v>
      </c>
    </row>
    <row r="346" spans="1:49" x14ac:dyDescent="0.2">
      <c r="A346">
        <v>344</v>
      </c>
      <c r="B346" t="s">
        <v>8160</v>
      </c>
      <c r="C346" t="s">
        <v>8159</v>
      </c>
      <c r="F346" t="s">
        <v>8158</v>
      </c>
      <c r="G346" t="s">
        <v>5</v>
      </c>
      <c r="H346" t="s">
        <v>4</v>
      </c>
      <c r="I346" t="s">
        <v>8157</v>
      </c>
      <c r="J346">
        <v>60009037</v>
      </c>
      <c r="K346" t="s">
        <v>662</v>
      </c>
      <c r="L346" t="s">
        <v>650</v>
      </c>
      <c r="M346" t="s">
        <v>7</v>
      </c>
      <c r="N346">
        <v>1</v>
      </c>
      <c r="O346" t="s">
        <v>8156</v>
      </c>
      <c r="P346">
        <v>6701560184</v>
      </c>
      <c r="Q346">
        <v>60009037</v>
      </c>
      <c r="R346" s="7">
        <v>37561</v>
      </c>
      <c r="S346" s="8">
        <f t="shared" si="40"/>
        <v>2002</v>
      </c>
      <c r="T346" s="8">
        <v>2002</v>
      </c>
      <c r="U346" s="8">
        <f t="shared" si="41"/>
        <v>20</v>
      </c>
      <c r="V346" s="7">
        <v>37561</v>
      </c>
      <c r="W346" t="s">
        <v>418</v>
      </c>
      <c r="X346" s="2">
        <v>1.6519999999999999</v>
      </c>
      <c r="Y346" s="6">
        <f t="shared" si="46"/>
        <v>4.409919649769093E-2</v>
      </c>
      <c r="AA346" t="s">
        <v>417</v>
      </c>
      <c r="AB346">
        <v>17337</v>
      </c>
      <c r="AD346" t="s">
        <v>2</v>
      </c>
      <c r="AE346">
        <v>50</v>
      </c>
      <c r="AF346">
        <v>11</v>
      </c>
      <c r="AH346" t="s">
        <v>8155</v>
      </c>
      <c r="AI346" t="s">
        <v>8154</v>
      </c>
      <c r="AJ346" t="s">
        <v>8153</v>
      </c>
      <c r="AK346" t="s">
        <v>8152</v>
      </c>
      <c r="AL346">
        <v>21</v>
      </c>
      <c r="AM346" s="5">
        <f t="shared" si="42"/>
        <v>1.05</v>
      </c>
      <c r="AN346" s="4">
        <f t="shared" si="47"/>
        <v>1.5903067020068156E-3</v>
      </c>
      <c r="AO346" s="3"/>
      <c r="AP346">
        <v>0</v>
      </c>
      <c r="AQ346" t="s">
        <v>368</v>
      </c>
      <c r="AR346" t="s">
        <v>1</v>
      </c>
      <c r="AS346" t="s">
        <v>367</v>
      </c>
      <c r="AT346" s="2" t="s">
        <v>0</v>
      </c>
      <c r="AU346" s="1">
        <f t="shared" si="43"/>
        <v>3.1346529558985696</v>
      </c>
      <c r="AV346" s="1">
        <f t="shared" si="44"/>
        <v>2.2844751599848871</v>
      </c>
      <c r="AW346" s="1">
        <f t="shared" si="45"/>
        <v>1.4342973640712049</v>
      </c>
    </row>
    <row r="347" spans="1:49" x14ac:dyDescent="0.2">
      <c r="A347">
        <v>345</v>
      </c>
      <c r="B347" t="s">
        <v>8151</v>
      </c>
      <c r="C347" t="s">
        <v>8150</v>
      </c>
      <c r="F347" t="s">
        <v>8149</v>
      </c>
      <c r="G347" t="s">
        <v>5</v>
      </c>
      <c r="H347" t="s">
        <v>4</v>
      </c>
      <c r="I347" t="s">
        <v>5861</v>
      </c>
      <c r="J347">
        <v>60033019</v>
      </c>
      <c r="K347" t="s">
        <v>396</v>
      </c>
      <c r="L347" t="s">
        <v>395</v>
      </c>
      <c r="M347" t="s">
        <v>182</v>
      </c>
      <c r="N347">
        <v>3</v>
      </c>
      <c r="O347" t="s">
        <v>8148</v>
      </c>
      <c r="P347" t="s">
        <v>8147</v>
      </c>
      <c r="Q347" t="s">
        <v>394</v>
      </c>
      <c r="R347" s="7">
        <v>37561</v>
      </c>
      <c r="S347" s="8">
        <f t="shared" si="40"/>
        <v>2002</v>
      </c>
      <c r="T347" s="8">
        <v>2002</v>
      </c>
      <c r="U347" s="8">
        <f t="shared" si="41"/>
        <v>20</v>
      </c>
      <c r="V347" s="7">
        <v>37561</v>
      </c>
      <c r="W347" t="s">
        <v>418</v>
      </c>
      <c r="X347" s="2">
        <v>1.6519999999999999</v>
      </c>
      <c r="Y347" s="6">
        <f t="shared" si="46"/>
        <v>4.409919649769093E-2</v>
      </c>
      <c r="AA347" t="s">
        <v>417</v>
      </c>
      <c r="AB347">
        <v>17337</v>
      </c>
      <c r="AD347" t="s">
        <v>2</v>
      </c>
      <c r="AE347">
        <v>50</v>
      </c>
      <c r="AF347">
        <v>11</v>
      </c>
      <c r="AH347" t="s">
        <v>8146</v>
      </c>
      <c r="AI347" t="s">
        <v>8145</v>
      </c>
      <c r="AJ347" t="s">
        <v>8144</v>
      </c>
      <c r="AK347" t="s">
        <v>8143</v>
      </c>
      <c r="AL347">
        <v>20</v>
      </c>
      <c r="AM347" s="5">
        <f t="shared" si="42"/>
        <v>1</v>
      </c>
      <c r="AN347" s="4">
        <f t="shared" si="47"/>
        <v>1.5145778114350624E-3</v>
      </c>
      <c r="AO347" s="3"/>
      <c r="AP347">
        <v>0</v>
      </c>
      <c r="AQ347" t="s">
        <v>8142</v>
      </c>
      <c r="AR347" t="s">
        <v>1</v>
      </c>
      <c r="AS347" t="s">
        <v>8141</v>
      </c>
      <c r="AT347" s="2" t="s">
        <v>0</v>
      </c>
      <c r="AU347" s="1">
        <f t="shared" si="43"/>
        <v>3.132381089181417</v>
      </c>
      <c r="AV347" s="1">
        <f t="shared" si="44"/>
        <v>2.2806887154562996</v>
      </c>
      <c r="AW347" s="1">
        <f t="shared" si="45"/>
        <v>1.4289963417311822</v>
      </c>
    </row>
    <row r="348" spans="1:49" x14ac:dyDescent="0.2">
      <c r="A348">
        <v>346</v>
      </c>
      <c r="B348" t="s">
        <v>8140</v>
      </c>
      <c r="C348" t="s">
        <v>8139</v>
      </c>
      <c r="F348" t="s">
        <v>8138</v>
      </c>
      <c r="G348" t="s">
        <v>5</v>
      </c>
      <c r="H348" t="s">
        <v>4</v>
      </c>
      <c r="I348" t="s">
        <v>8137</v>
      </c>
      <c r="J348">
        <v>60000990</v>
      </c>
      <c r="K348" t="s">
        <v>430</v>
      </c>
      <c r="L348" t="s">
        <v>173</v>
      </c>
      <c r="M348" t="s">
        <v>172</v>
      </c>
      <c r="N348">
        <v>1</v>
      </c>
      <c r="O348" t="s">
        <v>8136</v>
      </c>
      <c r="P348">
        <v>6603755149</v>
      </c>
      <c r="Q348">
        <v>60000990</v>
      </c>
      <c r="R348" s="7">
        <v>37561</v>
      </c>
      <c r="S348" s="8">
        <f t="shared" si="40"/>
        <v>2002</v>
      </c>
      <c r="T348" s="8">
        <v>2002</v>
      </c>
      <c r="U348" s="8">
        <f t="shared" si="41"/>
        <v>20</v>
      </c>
      <c r="V348" s="7">
        <v>37561</v>
      </c>
      <c r="W348" t="s">
        <v>401</v>
      </c>
      <c r="X348" s="2">
        <v>1.365</v>
      </c>
      <c r="Y348" s="6">
        <f t="shared" si="46"/>
        <v>3.6437895411227675E-2</v>
      </c>
      <c r="AA348">
        <v>189545</v>
      </c>
      <c r="AB348">
        <v>17393</v>
      </c>
      <c r="AD348" t="s">
        <v>2</v>
      </c>
      <c r="AE348">
        <v>51</v>
      </c>
      <c r="AF348">
        <v>6</v>
      </c>
      <c r="AH348" t="s">
        <v>8135</v>
      </c>
      <c r="AI348" t="s">
        <v>8134</v>
      </c>
      <c r="AJ348" t="s">
        <v>8133</v>
      </c>
      <c r="AK348" t="s">
        <v>8132</v>
      </c>
      <c r="AL348">
        <v>86</v>
      </c>
      <c r="AM348" s="5">
        <f t="shared" si="42"/>
        <v>4.3</v>
      </c>
      <c r="AN348" s="4">
        <f t="shared" si="47"/>
        <v>6.5126845891707681E-3</v>
      </c>
      <c r="AO348" s="3"/>
      <c r="AP348">
        <v>0</v>
      </c>
      <c r="AQ348" t="s">
        <v>716</v>
      </c>
      <c r="AR348" t="s">
        <v>1</v>
      </c>
      <c r="AS348" t="s">
        <v>715</v>
      </c>
      <c r="AT348" s="2" t="s">
        <v>0</v>
      </c>
      <c r="AU348" s="1">
        <f t="shared" si="43"/>
        <v>2.7460332164610599</v>
      </c>
      <c r="AV348" s="1">
        <f t="shared" si="44"/>
        <v>2.1475290000199219</v>
      </c>
      <c r="AW348" s="1">
        <f t="shared" si="45"/>
        <v>1.549024783578784</v>
      </c>
    </row>
    <row r="349" spans="1:49" x14ac:dyDescent="0.2">
      <c r="A349">
        <v>347</v>
      </c>
      <c r="B349" t="s">
        <v>8131</v>
      </c>
      <c r="C349" t="s">
        <v>8130</v>
      </c>
      <c r="F349" t="s">
        <v>8129</v>
      </c>
      <c r="G349" t="s">
        <v>5</v>
      </c>
      <c r="H349" t="s">
        <v>4</v>
      </c>
      <c r="I349" t="s">
        <v>8128</v>
      </c>
      <c r="J349" t="s">
        <v>8127</v>
      </c>
      <c r="K349" t="s">
        <v>8126</v>
      </c>
      <c r="L349" t="s">
        <v>8125</v>
      </c>
      <c r="M349" t="s">
        <v>926</v>
      </c>
      <c r="N349">
        <v>2</v>
      </c>
      <c r="O349" t="s">
        <v>8124</v>
      </c>
      <c r="P349" t="s">
        <v>8123</v>
      </c>
      <c r="Q349" t="s">
        <v>8122</v>
      </c>
      <c r="R349" s="7">
        <v>37561</v>
      </c>
      <c r="S349" s="8">
        <f t="shared" si="40"/>
        <v>2002</v>
      </c>
      <c r="T349" s="8">
        <v>2002</v>
      </c>
      <c r="U349" s="8">
        <f t="shared" si="41"/>
        <v>20</v>
      </c>
      <c r="V349" s="7">
        <v>37561</v>
      </c>
      <c r="W349" t="s">
        <v>418</v>
      </c>
      <c r="X349" s="2">
        <v>1.6519999999999999</v>
      </c>
      <c r="Y349" s="6">
        <f t="shared" si="46"/>
        <v>4.409919649769093E-2</v>
      </c>
      <c r="AA349" t="s">
        <v>417</v>
      </c>
      <c r="AB349">
        <v>17337</v>
      </c>
      <c r="AD349" t="s">
        <v>2</v>
      </c>
      <c r="AE349">
        <v>50</v>
      </c>
      <c r="AF349">
        <v>11</v>
      </c>
      <c r="AH349" t="s">
        <v>8121</v>
      </c>
      <c r="AI349" t="s">
        <v>8120</v>
      </c>
      <c r="AJ349" t="s">
        <v>8119</v>
      </c>
      <c r="AK349" t="s">
        <v>8118</v>
      </c>
      <c r="AL349">
        <v>15</v>
      </c>
      <c r="AM349" s="5">
        <f t="shared" si="42"/>
        <v>0.75</v>
      </c>
      <c r="AN349" s="4">
        <f t="shared" si="47"/>
        <v>1.1359333585762969E-3</v>
      </c>
      <c r="AO349" s="3"/>
      <c r="AP349">
        <v>0</v>
      </c>
      <c r="AR349" t="s">
        <v>1</v>
      </c>
      <c r="AT349" s="2" t="s">
        <v>0</v>
      </c>
      <c r="AU349" s="1">
        <f t="shared" si="43"/>
        <v>3.1210217555956539</v>
      </c>
      <c r="AV349" s="1">
        <f t="shared" si="44"/>
        <v>2.2617564928133613</v>
      </c>
      <c r="AW349" s="1">
        <f t="shared" si="45"/>
        <v>1.4024912300310686</v>
      </c>
    </row>
    <row r="350" spans="1:49" x14ac:dyDescent="0.2">
      <c r="A350">
        <v>348</v>
      </c>
      <c r="B350" t="s">
        <v>8117</v>
      </c>
      <c r="C350" t="s">
        <v>8116</v>
      </c>
      <c r="F350" t="s">
        <v>8115</v>
      </c>
      <c r="G350" t="s">
        <v>5</v>
      </c>
      <c r="H350" t="s">
        <v>4</v>
      </c>
      <c r="I350" t="s">
        <v>8114</v>
      </c>
      <c r="J350" t="s">
        <v>8113</v>
      </c>
      <c r="K350" t="s">
        <v>8112</v>
      </c>
      <c r="L350" t="s">
        <v>8111</v>
      </c>
      <c r="M350" t="s">
        <v>8110</v>
      </c>
      <c r="N350">
        <v>4</v>
      </c>
      <c r="O350" t="s">
        <v>8109</v>
      </c>
      <c r="P350" t="s">
        <v>8108</v>
      </c>
      <c r="Q350" t="s">
        <v>8107</v>
      </c>
      <c r="R350" s="7">
        <v>37561</v>
      </c>
      <c r="S350" s="8">
        <f t="shared" si="40"/>
        <v>2002</v>
      </c>
      <c r="T350" s="8">
        <v>2002</v>
      </c>
      <c r="U350" s="8">
        <f t="shared" si="41"/>
        <v>20</v>
      </c>
      <c r="V350" s="7">
        <v>37561</v>
      </c>
      <c r="W350" t="s">
        <v>418</v>
      </c>
      <c r="X350" s="2">
        <v>1.6519999999999999</v>
      </c>
      <c r="Y350" s="6">
        <f t="shared" si="46"/>
        <v>4.409919649769093E-2</v>
      </c>
      <c r="AA350" t="s">
        <v>417</v>
      </c>
      <c r="AB350">
        <v>17337</v>
      </c>
      <c r="AD350" t="s">
        <v>2</v>
      </c>
      <c r="AE350">
        <v>50</v>
      </c>
      <c r="AF350">
        <v>11</v>
      </c>
      <c r="AH350" t="s">
        <v>8106</v>
      </c>
      <c r="AI350" t="s">
        <v>8105</v>
      </c>
      <c r="AJ350" t="s">
        <v>8104</v>
      </c>
      <c r="AK350" t="s">
        <v>8103</v>
      </c>
      <c r="AL350">
        <v>19</v>
      </c>
      <c r="AM350" s="5">
        <f t="shared" si="42"/>
        <v>0.95</v>
      </c>
      <c r="AN350" s="4">
        <f t="shared" si="47"/>
        <v>1.4388489208633094E-3</v>
      </c>
      <c r="AO350" s="3"/>
      <c r="AP350">
        <v>0</v>
      </c>
      <c r="AR350" t="s">
        <v>8102</v>
      </c>
      <c r="AT350" s="2" t="s">
        <v>0</v>
      </c>
      <c r="AU350" s="1">
        <f t="shared" si="43"/>
        <v>3.1301092224642639</v>
      </c>
      <c r="AV350" s="1">
        <f t="shared" si="44"/>
        <v>2.276902270927712</v>
      </c>
      <c r="AW350" s="1">
        <f t="shared" si="45"/>
        <v>1.4236953193911595</v>
      </c>
    </row>
    <row r="351" spans="1:49" x14ac:dyDescent="0.2">
      <c r="A351">
        <v>349</v>
      </c>
      <c r="B351" t="s">
        <v>8101</v>
      </c>
      <c r="C351" t="s">
        <v>8100</v>
      </c>
      <c r="F351" t="s">
        <v>8099</v>
      </c>
      <c r="G351" t="s">
        <v>5</v>
      </c>
      <c r="H351" t="s">
        <v>4</v>
      </c>
      <c r="I351" t="s">
        <v>8098</v>
      </c>
      <c r="J351" t="s">
        <v>8097</v>
      </c>
      <c r="K351" t="s">
        <v>8096</v>
      </c>
      <c r="L351" t="s">
        <v>8095</v>
      </c>
      <c r="M351" t="s">
        <v>8094</v>
      </c>
      <c r="N351">
        <v>2</v>
      </c>
      <c r="O351" t="s">
        <v>8093</v>
      </c>
      <c r="P351" t="s">
        <v>8092</v>
      </c>
      <c r="Q351" t="s">
        <v>8091</v>
      </c>
      <c r="R351" s="7">
        <v>37561</v>
      </c>
      <c r="S351" s="8">
        <f t="shared" si="40"/>
        <v>2002</v>
      </c>
      <c r="T351" s="8">
        <v>2002</v>
      </c>
      <c r="U351" s="8">
        <f t="shared" si="41"/>
        <v>20</v>
      </c>
      <c r="V351" s="7">
        <v>37561</v>
      </c>
      <c r="W351" t="s">
        <v>401</v>
      </c>
      <c r="X351" s="2">
        <v>1.365</v>
      </c>
      <c r="Y351" s="6">
        <f t="shared" si="46"/>
        <v>3.6437895411227675E-2</v>
      </c>
      <c r="AA351">
        <v>189545</v>
      </c>
      <c r="AB351">
        <v>17393</v>
      </c>
      <c r="AD351" t="s">
        <v>2</v>
      </c>
      <c r="AE351">
        <v>51</v>
      </c>
      <c r="AF351">
        <v>6</v>
      </c>
      <c r="AH351" t="s">
        <v>8090</v>
      </c>
      <c r="AI351" t="s">
        <v>8089</v>
      </c>
      <c r="AJ351" t="s">
        <v>8088</v>
      </c>
      <c r="AK351" t="s">
        <v>8087</v>
      </c>
      <c r="AL351">
        <v>14</v>
      </c>
      <c r="AM351" s="5">
        <f t="shared" si="42"/>
        <v>0.7</v>
      </c>
      <c r="AN351" s="4">
        <f t="shared" si="47"/>
        <v>1.0602044680045437E-3</v>
      </c>
      <c r="AO351" s="3"/>
      <c r="AP351">
        <v>0</v>
      </c>
      <c r="AR351" t="s">
        <v>1</v>
      </c>
      <c r="AT351" s="2" t="s">
        <v>0</v>
      </c>
      <c r="AU351" s="1">
        <f t="shared" si="43"/>
        <v>2.5824588128260735</v>
      </c>
      <c r="AV351" s="1">
        <f t="shared" si="44"/>
        <v>1.8749049939616111</v>
      </c>
      <c r="AW351" s="1">
        <f t="shared" si="45"/>
        <v>1.1673511750971481</v>
      </c>
    </row>
    <row r="352" spans="1:49" x14ac:dyDescent="0.2">
      <c r="A352">
        <v>350</v>
      </c>
      <c r="B352" t="s">
        <v>8086</v>
      </c>
      <c r="C352" t="s">
        <v>8085</v>
      </c>
      <c r="E352">
        <v>12499662</v>
      </c>
      <c r="F352" t="s">
        <v>8084</v>
      </c>
      <c r="G352" t="s">
        <v>5</v>
      </c>
      <c r="H352" t="s">
        <v>4</v>
      </c>
      <c r="I352" t="s">
        <v>8083</v>
      </c>
      <c r="J352">
        <v>60011047</v>
      </c>
      <c r="K352" t="s">
        <v>8082</v>
      </c>
      <c r="L352" t="s">
        <v>8081</v>
      </c>
      <c r="M352" t="s">
        <v>36</v>
      </c>
      <c r="N352">
        <v>3</v>
      </c>
      <c r="O352" t="s">
        <v>8080</v>
      </c>
      <c r="P352" t="s">
        <v>8079</v>
      </c>
      <c r="Q352" t="s">
        <v>8078</v>
      </c>
      <c r="R352" s="7">
        <v>37561</v>
      </c>
      <c r="S352" s="8">
        <f t="shared" si="40"/>
        <v>2002</v>
      </c>
      <c r="T352" s="8">
        <v>2002</v>
      </c>
      <c r="U352" s="8">
        <f t="shared" si="41"/>
        <v>20</v>
      </c>
      <c r="V352" s="7">
        <v>37561</v>
      </c>
      <c r="W352" t="s">
        <v>3220</v>
      </c>
      <c r="X352" s="2">
        <v>0.39100000000000001</v>
      </c>
      <c r="Y352" s="6">
        <f t="shared" si="46"/>
        <v>1.043752168922346E-2</v>
      </c>
      <c r="AA352">
        <v>2890003</v>
      </c>
      <c r="AB352">
        <v>24547</v>
      </c>
      <c r="AD352" t="s">
        <v>2</v>
      </c>
      <c r="AE352">
        <v>19</v>
      </c>
      <c r="AF352">
        <v>11</v>
      </c>
      <c r="AH352" t="s">
        <v>8077</v>
      </c>
      <c r="AI352" t="s">
        <v>8076</v>
      </c>
      <c r="AJ352" t="s">
        <v>8075</v>
      </c>
      <c r="AK352" t="s">
        <v>8074</v>
      </c>
      <c r="AL352">
        <v>10</v>
      </c>
      <c r="AM352" s="5">
        <f t="shared" si="42"/>
        <v>0.5</v>
      </c>
      <c r="AN352" s="4">
        <f t="shared" si="47"/>
        <v>7.572889057175312E-4</v>
      </c>
      <c r="AO352" s="3"/>
      <c r="AP352">
        <v>0</v>
      </c>
      <c r="AR352" t="s">
        <v>1</v>
      </c>
      <c r="AT352" s="2">
        <v>0.93100000000000005</v>
      </c>
      <c r="AU352" s="1">
        <f t="shared" si="43"/>
        <v>0.753345185417168</v>
      </c>
      <c r="AV352" s="1">
        <f t="shared" si="44"/>
        <v>0.55974052974704946</v>
      </c>
      <c r="AW352" s="1">
        <f t="shared" si="45"/>
        <v>0.36613587407693093</v>
      </c>
    </row>
    <row r="353" spans="1:49" x14ac:dyDescent="0.2">
      <c r="A353">
        <v>351</v>
      </c>
      <c r="B353" t="s">
        <v>8073</v>
      </c>
      <c r="C353" t="s">
        <v>8072</v>
      </c>
      <c r="F353" t="s">
        <v>8071</v>
      </c>
      <c r="G353" t="s">
        <v>5</v>
      </c>
      <c r="H353" t="s">
        <v>4</v>
      </c>
      <c r="I353" t="s">
        <v>8070</v>
      </c>
      <c r="J353" t="s">
        <v>8069</v>
      </c>
      <c r="K353" t="s">
        <v>8068</v>
      </c>
      <c r="L353" t="s">
        <v>8067</v>
      </c>
      <c r="M353" t="s">
        <v>88</v>
      </c>
      <c r="N353">
        <v>4</v>
      </c>
      <c r="O353" t="s">
        <v>8066</v>
      </c>
      <c r="P353" t="s">
        <v>8065</v>
      </c>
      <c r="Q353" t="s">
        <v>8064</v>
      </c>
      <c r="R353" s="7">
        <v>37561</v>
      </c>
      <c r="S353" s="8">
        <f t="shared" si="40"/>
        <v>2002</v>
      </c>
      <c r="T353" s="8">
        <v>2002</v>
      </c>
      <c r="U353" s="8">
        <f t="shared" si="41"/>
        <v>20</v>
      </c>
      <c r="V353" s="7">
        <v>37561</v>
      </c>
      <c r="W353" t="s">
        <v>401</v>
      </c>
      <c r="X353" s="2">
        <v>1.365</v>
      </c>
      <c r="Y353" s="6">
        <f t="shared" si="46"/>
        <v>3.6437895411227675E-2</v>
      </c>
      <c r="AA353">
        <v>189545</v>
      </c>
      <c r="AB353">
        <v>17393</v>
      </c>
      <c r="AD353" t="s">
        <v>2</v>
      </c>
      <c r="AE353">
        <v>51</v>
      </c>
      <c r="AF353">
        <v>6</v>
      </c>
      <c r="AH353" t="s">
        <v>8063</v>
      </c>
      <c r="AI353" t="s">
        <v>8062</v>
      </c>
      <c r="AJ353" t="s">
        <v>8061</v>
      </c>
      <c r="AK353" t="s">
        <v>8060</v>
      </c>
      <c r="AL353">
        <v>16</v>
      </c>
      <c r="AM353" s="5">
        <f t="shared" si="42"/>
        <v>0.8</v>
      </c>
      <c r="AN353" s="4">
        <f t="shared" si="47"/>
        <v>1.2116622491480501E-3</v>
      </c>
      <c r="AO353" s="3"/>
      <c r="AP353">
        <v>0</v>
      </c>
      <c r="AR353" t="s">
        <v>1</v>
      </c>
      <c r="AT353" s="2" t="s">
        <v>0</v>
      </c>
      <c r="AU353" s="1">
        <f t="shared" si="43"/>
        <v>2.5870025462603783</v>
      </c>
      <c r="AV353" s="1">
        <f t="shared" si="44"/>
        <v>1.8824778830187863</v>
      </c>
      <c r="AW353" s="1">
        <f t="shared" si="45"/>
        <v>1.1779532197771936</v>
      </c>
    </row>
    <row r="354" spans="1:49" x14ac:dyDescent="0.2">
      <c r="A354">
        <v>352</v>
      </c>
      <c r="B354" t="s">
        <v>8059</v>
      </c>
      <c r="C354" t="s">
        <v>8058</v>
      </c>
      <c r="F354" t="s">
        <v>8057</v>
      </c>
      <c r="G354" t="s">
        <v>5</v>
      </c>
      <c r="H354" t="s">
        <v>4</v>
      </c>
      <c r="I354" t="s">
        <v>8056</v>
      </c>
      <c r="J354" t="s">
        <v>8055</v>
      </c>
      <c r="K354" t="s">
        <v>8054</v>
      </c>
      <c r="L354" t="s">
        <v>8053</v>
      </c>
      <c r="M354" t="s">
        <v>3</v>
      </c>
      <c r="N354">
        <v>3</v>
      </c>
      <c r="O354" t="s">
        <v>8052</v>
      </c>
      <c r="P354" t="s">
        <v>8051</v>
      </c>
      <c r="Q354" t="s">
        <v>8050</v>
      </c>
      <c r="R354" s="7">
        <v>37561</v>
      </c>
      <c r="S354" s="8">
        <f t="shared" si="40"/>
        <v>2002</v>
      </c>
      <c r="T354" s="8">
        <v>2002</v>
      </c>
      <c r="U354" s="8">
        <f t="shared" si="41"/>
        <v>20</v>
      </c>
      <c r="V354" s="7">
        <v>37561</v>
      </c>
      <c r="W354" t="s">
        <v>418</v>
      </c>
      <c r="X354" s="2">
        <v>1.6519999999999999</v>
      </c>
      <c r="Y354" s="6">
        <f t="shared" si="46"/>
        <v>4.409919649769093E-2</v>
      </c>
      <c r="AA354" t="s">
        <v>417</v>
      </c>
      <c r="AB354">
        <v>17337</v>
      </c>
      <c r="AD354" t="s">
        <v>2</v>
      </c>
      <c r="AE354">
        <v>50</v>
      </c>
      <c r="AF354">
        <v>11</v>
      </c>
      <c r="AH354" t="s">
        <v>8049</v>
      </c>
      <c r="AI354" t="s">
        <v>8048</v>
      </c>
      <c r="AJ354" t="s">
        <v>8047</v>
      </c>
      <c r="AK354" t="s">
        <v>8046</v>
      </c>
      <c r="AL354">
        <v>9</v>
      </c>
      <c r="AM354" s="5">
        <f t="shared" si="42"/>
        <v>0.45</v>
      </c>
      <c r="AN354" s="4">
        <f t="shared" si="47"/>
        <v>6.8156001514577808E-4</v>
      </c>
      <c r="AO354" s="3"/>
      <c r="AP354">
        <v>0</v>
      </c>
      <c r="AQ354" t="s">
        <v>368</v>
      </c>
      <c r="AR354" t="s">
        <v>8045</v>
      </c>
      <c r="AS354" t="s">
        <v>367</v>
      </c>
      <c r="AT354" s="2" t="s">
        <v>0</v>
      </c>
      <c r="AU354" s="1">
        <f t="shared" si="43"/>
        <v>3.1073905552927386</v>
      </c>
      <c r="AV354" s="1">
        <f t="shared" si="44"/>
        <v>2.2390378256418355</v>
      </c>
      <c r="AW354" s="1">
        <f t="shared" si="45"/>
        <v>1.3706850959909322</v>
      </c>
    </row>
    <row r="355" spans="1:49" x14ac:dyDescent="0.2">
      <c r="A355">
        <v>353</v>
      </c>
      <c r="B355" t="s">
        <v>8044</v>
      </c>
      <c r="C355" t="s">
        <v>8043</v>
      </c>
      <c r="F355" t="s">
        <v>8042</v>
      </c>
      <c r="G355" t="s">
        <v>5</v>
      </c>
      <c r="H355" t="s">
        <v>4</v>
      </c>
      <c r="I355" t="s">
        <v>8041</v>
      </c>
      <c r="J355" t="s">
        <v>8040</v>
      </c>
      <c r="K355" t="s">
        <v>8039</v>
      </c>
      <c r="L355" t="s">
        <v>8038</v>
      </c>
      <c r="M355" t="s">
        <v>991</v>
      </c>
      <c r="N355">
        <v>4</v>
      </c>
      <c r="O355" t="s">
        <v>8037</v>
      </c>
      <c r="P355" t="s">
        <v>8036</v>
      </c>
      <c r="Q355" t="s">
        <v>8035</v>
      </c>
      <c r="R355" s="7">
        <v>37561</v>
      </c>
      <c r="S355" s="8">
        <f t="shared" si="40"/>
        <v>2002</v>
      </c>
      <c r="T355" s="8">
        <v>2002</v>
      </c>
      <c r="U355" s="8">
        <f t="shared" si="41"/>
        <v>20</v>
      </c>
      <c r="V355" s="7">
        <v>37561</v>
      </c>
      <c r="W355" t="s">
        <v>401</v>
      </c>
      <c r="X355" s="2">
        <v>1.365</v>
      </c>
      <c r="Y355" s="6">
        <f t="shared" si="46"/>
        <v>3.6437895411227675E-2</v>
      </c>
      <c r="AA355">
        <v>189545</v>
      </c>
      <c r="AB355">
        <v>17393</v>
      </c>
      <c r="AD355" t="s">
        <v>2</v>
      </c>
      <c r="AE355">
        <v>51</v>
      </c>
      <c r="AF355">
        <v>6</v>
      </c>
      <c r="AH355" t="s">
        <v>8034</v>
      </c>
      <c r="AI355" t="s">
        <v>8033</v>
      </c>
      <c r="AJ355" t="s">
        <v>8032</v>
      </c>
      <c r="AK355" t="s">
        <v>8031</v>
      </c>
      <c r="AL355">
        <v>50</v>
      </c>
      <c r="AM355" s="5">
        <f t="shared" si="42"/>
        <v>2.5</v>
      </c>
      <c r="AN355" s="4">
        <f t="shared" si="47"/>
        <v>3.7864445285876562E-3</v>
      </c>
      <c r="AO355" s="3"/>
      <c r="AP355">
        <v>0</v>
      </c>
      <c r="AQ355" t="s">
        <v>8030</v>
      </c>
      <c r="AR355" t="s">
        <v>8029</v>
      </c>
      <c r="AS355" t="s">
        <v>8028</v>
      </c>
      <c r="AT355" s="2" t="s">
        <v>0</v>
      </c>
      <c r="AU355" s="1">
        <f t="shared" si="43"/>
        <v>2.6642460146435667</v>
      </c>
      <c r="AV355" s="1">
        <f t="shared" si="44"/>
        <v>2.0112169969907665</v>
      </c>
      <c r="AW355" s="1">
        <f t="shared" si="45"/>
        <v>1.3581879793379661</v>
      </c>
    </row>
    <row r="356" spans="1:49" x14ac:dyDescent="0.2">
      <c r="A356">
        <v>354</v>
      </c>
      <c r="B356" t="s">
        <v>8027</v>
      </c>
      <c r="C356" t="s">
        <v>8026</v>
      </c>
      <c r="F356" t="s">
        <v>8025</v>
      </c>
      <c r="G356" t="s">
        <v>5</v>
      </c>
      <c r="H356" t="s">
        <v>4</v>
      </c>
      <c r="I356" t="s">
        <v>143</v>
      </c>
      <c r="J356" t="s">
        <v>8024</v>
      </c>
      <c r="K356" t="s">
        <v>8023</v>
      </c>
      <c r="L356" t="s">
        <v>8022</v>
      </c>
      <c r="M356" t="s">
        <v>8021</v>
      </c>
      <c r="N356">
        <v>4</v>
      </c>
      <c r="O356" t="s">
        <v>8020</v>
      </c>
      <c r="P356" t="s">
        <v>8019</v>
      </c>
      <c r="Q356" t="s">
        <v>8018</v>
      </c>
      <c r="R356" s="7">
        <v>37561</v>
      </c>
      <c r="S356" s="8">
        <f t="shared" si="40"/>
        <v>2002</v>
      </c>
      <c r="T356" s="8">
        <v>2002</v>
      </c>
      <c r="U356" s="8">
        <f t="shared" si="41"/>
        <v>20</v>
      </c>
      <c r="V356" s="7">
        <v>37561</v>
      </c>
      <c r="W356" t="s">
        <v>418</v>
      </c>
      <c r="X356" s="2">
        <v>1.6519999999999999</v>
      </c>
      <c r="Y356" s="6">
        <f t="shared" si="46"/>
        <v>4.409919649769093E-2</v>
      </c>
      <c r="AA356" t="s">
        <v>417</v>
      </c>
      <c r="AB356">
        <v>17337</v>
      </c>
      <c r="AD356" t="s">
        <v>2</v>
      </c>
      <c r="AE356">
        <v>50</v>
      </c>
      <c r="AF356">
        <v>11</v>
      </c>
      <c r="AH356" t="s">
        <v>8017</v>
      </c>
      <c r="AI356" t="s">
        <v>8016</v>
      </c>
      <c r="AK356" t="s">
        <v>8015</v>
      </c>
      <c r="AL356">
        <v>19</v>
      </c>
      <c r="AM356" s="5">
        <f t="shared" si="42"/>
        <v>0.95</v>
      </c>
      <c r="AN356" s="4">
        <f t="shared" si="47"/>
        <v>1.4388489208633094E-3</v>
      </c>
      <c r="AO356" s="3"/>
      <c r="AP356">
        <v>0</v>
      </c>
      <c r="AQ356" t="s">
        <v>8014</v>
      </c>
      <c r="AR356" t="s">
        <v>8013</v>
      </c>
      <c r="AS356" t="s">
        <v>360</v>
      </c>
      <c r="AT356" s="2" t="s">
        <v>0</v>
      </c>
      <c r="AU356" s="1">
        <f t="shared" si="43"/>
        <v>3.1301092224642639</v>
      </c>
      <c r="AV356" s="1">
        <f t="shared" si="44"/>
        <v>2.276902270927712</v>
      </c>
      <c r="AW356" s="1">
        <f t="shared" si="45"/>
        <v>1.4236953193911595</v>
      </c>
    </row>
    <row r="357" spans="1:49" x14ac:dyDescent="0.2">
      <c r="A357">
        <v>355</v>
      </c>
      <c r="B357" t="s">
        <v>8012</v>
      </c>
      <c r="C357" t="s">
        <v>8011</v>
      </c>
      <c r="F357" t="s">
        <v>8010</v>
      </c>
      <c r="G357" t="s">
        <v>5</v>
      </c>
      <c r="H357" t="s">
        <v>4</v>
      </c>
      <c r="I357" t="s">
        <v>8009</v>
      </c>
      <c r="J357" t="s">
        <v>8005</v>
      </c>
      <c r="K357" t="s">
        <v>8008</v>
      </c>
      <c r="L357" t="s">
        <v>163</v>
      </c>
      <c r="M357" t="s">
        <v>162</v>
      </c>
      <c r="N357">
        <v>2</v>
      </c>
      <c r="O357" t="s">
        <v>8007</v>
      </c>
      <c r="P357" t="s">
        <v>8006</v>
      </c>
      <c r="Q357" t="s">
        <v>8005</v>
      </c>
      <c r="R357" s="7">
        <v>37561</v>
      </c>
      <c r="S357" s="8">
        <f t="shared" si="40"/>
        <v>2002</v>
      </c>
      <c r="T357" s="8">
        <v>2002</v>
      </c>
      <c r="U357" s="8">
        <f t="shared" si="41"/>
        <v>20</v>
      </c>
      <c r="V357" s="7">
        <v>37561</v>
      </c>
      <c r="W357" t="s">
        <v>418</v>
      </c>
      <c r="X357" s="2">
        <v>1.6519999999999999</v>
      </c>
      <c r="Y357" s="6">
        <f t="shared" si="46"/>
        <v>4.409919649769093E-2</v>
      </c>
      <c r="AA357" t="s">
        <v>417</v>
      </c>
      <c r="AB357">
        <v>17337</v>
      </c>
      <c r="AD357" t="s">
        <v>2</v>
      </c>
      <c r="AE357">
        <v>50</v>
      </c>
      <c r="AF357">
        <v>11</v>
      </c>
      <c r="AH357" t="s">
        <v>8004</v>
      </c>
      <c r="AI357" t="s">
        <v>8003</v>
      </c>
      <c r="AJ357" t="s">
        <v>8002</v>
      </c>
      <c r="AK357" t="s">
        <v>8001</v>
      </c>
      <c r="AL357">
        <v>15</v>
      </c>
      <c r="AM357" s="5">
        <f t="shared" si="42"/>
        <v>0.75</v>
      </c>
      <c r="AN357" s="4">
        <f t="shared" si="47"/>
        <v>1.1359333585762969E-3</v>
      </c>
      <c r="AO357" s="3"/>
      <c r="AP357">
        <v>0</v>
      </c>
      <c r="AR357" t="s">
        <v>1</v>
      </c>
      <c r="AT357" s="2" t="s">
        <v>0</v>
      </c>
      <c r="AU357" s="1">
        <f t="shared" si="43"/>
        <v>3.1210217555956539</v>
      </c>
      <c r="AV357" s="1">
        <f t="shared" si="44"/>
        <v>2.2617564928133613</v>
      </c>
      <c r="AW357" s="1">
        <f t="shared" si="45"/>
        <v>1.4024912300310686</v>
      </c>
    </row>
    <row r="358" spans="1:49" x14ac:dyDescent="0.2">
      <c r="A358">
        <v>356</v>
      </c>
      <c r="B358" t="s">
        <v>8000</v>
      </c>
      <c r="C358" t="s">
        <v>7999</v>
      </c>
      <c r="F358" t="s">
        <v>7998</v>
      </c>
      <c r="G358" t="s">
        <v>5</v>
      </c>
      <c r="H358" t="s">
        <v>4</v>
      </c>
      <c r="I358" t="s">
        <v>7997</v>
      </c>
      <c r="J358">
        <v>60022907</v>
      </c>
      <c r="K358" t="s">
        <v>7996</v>
      </c>
      <c r="L358" t="s">
        <v>7995</v>
      </c>
      <c r="M358" t="s">
        <v>135</v>
      </c>
      <c r="N358">
        <v>1</v>
      </c>
      <c r="O358" t="s">
        <v>7994</v>
      </c>
      <c r="P358">
        <v>7501718435</v>
      </c>
      <c r="Q358">
        <v>60022907</v>
      </c>
      <c r="R358" s="7">
        <v>37561</v>
      </c>
      <c r="S358" s="8">
        <f t="shared" si="40"/>
        <v>2002</v>
      </c>
      <c r="T358" s="8">
        <v>2002</v>
      </c>
      <c r="U358" s="8">
        <f t="shared" si="41"/>
        <v>20</v>
      </c>
      <c r="V358" s="7">
        <v>37561</v>
      </c>
      <c r="W358" t="s">
        <v>401</v>
      </c>
      <c r="X358" s="2">
        <v>1.365</v>
      </c>
      <c r="Y358" s="6">
        <f t="shared" si="46"/>
        <v>3.6437895411227675E-2</v>
      </c>
      <c r="AA358">
        <v>189545</v>
      </c>
      <c r="AB358">
        <v>17393</v>
      </c>
      <c r="AD358" t="s">
        <v>2</v>
      </c>
      <c r="AE358">
        <v>51</v>
      </c>
      <c r="AF358">
        <v>6</v>
      </c>
      <c r="AH358" t="s">
        <v>7993</v>
      </c>
      <c r="AI358" t="s">
        <v>7992</v>
      </c>
      <c r="AJ358" t="s">
        <v>7991</v>
      </c>
      <c r="AK358" t="s">
        <v>7990</v>
      </c>
      <c r="AL358">
        <v>10</v>
      </c>
      <c r="AM358" s="5">
        <f t="shared" si="42"/>
        <v>0.5</v>
      </c>
      <c r="AN358" s="4">
        <f t="shared" si="47"/>
        <v>7.572889057175312E-4</v>
      </c>
      <c r="AO358" s="3"/>
      <c r="AP358">
        <v>0</v>
      </c>
      <c r="AQ358" t="s">
        <v>302</v>
      </c>
      <c r="AR358" t="s">
        <v>7989</v>
      </c>
      <c r="AS358" t="s">
        <v>301</v>
      </c>
      <c r="AT358" s="2" t="s">
        <v>0</v>
      </c>
      <c r="AU358" s="1">
        <f t="shared" si="43"/>
        <v>2.573371345957463</v>
      </c>
      <c r="AV358" s="1">
        <f t="shared" si="44"/>
        <v>1.8597592158472602</v>
      </c>
      <c r="AW358" s="1">
        <f t="shared" si="45"/>
        <v>1.1461470857370573</v>
      </c>
    </row>
    <row r="359" spans="1:49" x14ac:dyDescent="0.2">
      <c r="A359">
        <v>357</v>
      </c>
      <c r="B359" t="s">
        <v>7988</v>
      </c>
      <c r="C359" t="s">
        <v>7987</v>
      </c>
      <c r="F359" t="s">
        <v>7986</v>
      </c>
      <c r="G359" t="s">
        <v>5</v>
      </c>
      <c r="H359" t="s">
        <v>4</v>
      </c>
      <c r="I359" t="s">
        <v>7985</v>
      </c>
      <c r="J359" t="s">
        <v>7984</v>
      </c>
      <c r="K359" t="s">
        <v>7983</v>
      </c>
      <c r="L359" t="s">
        <v>7982</v>
      </c>
      <c r="M359" t="s">
        <v>7981</v>
      </c>
      <c r="N359">
        <v>3</v>
      </c>
      <c r="O359" t="s">
        <v>7980</v>
      </c>
      <c r="P359" t="s">
        <v>7979</v>
      </c>
      <c r="Q359" t="s">
        <v>7978</v>
      </c>
      <c r="R359" s="7">
        <v>37561</v>
      </c>
      <c r="S359" s="8">
        <f t="shared" si="40"/>
        <v>2002</v>
      </c>
      <c r="T359" s="8">
        <v>2002</v>
      </c>
      <c r="U359" s="8">
        <f t="shared" si="41"/>
        <v>20</v>
      </c>
      <c r="V359" s="7">
        <v>37561</v>
      </c>
      <c r="W359" t="s">
        <v>401</v>
      </c>
      <c r="X359" s="2">
        <v>1.365</v>
      </c>
      <c r="Y359" s="6">
        <f t="shared" si="46"/>
        <v>3.6437895411227675E-2</v>
      </c>
      <c r="AA359">
        <v>189545</v>
      </c>
      <c r="AB359">
        <v>17393</v>
      </c>
      <c r="AD359" t="s">
        <v>2</v>
      </c>
      <c r="AE359">
        <v>51</v>
      </c>
      <c r="AF359">
        <v>6</v>
      </c>
      <c r="AH359" t="s">
        <v>7977</v>
      </c>
      <c r="AI359" t="s">
        <v>7976</v>
      </c>
      <c r="AJ359" t="s">
        <v>7975</v>
      </c>
      <c r="AK359" t="s">
        <v>7974</v>
      </c>
      <c r="AL359">
        <v>54</v>
      </c>
      <c r="AM359" s="5">
        <f t="shared" si="42"/>
        <v>2.7</v>
      </c>
      <c r="AN359" s="4">
        <f t="shared" si="47"/>
        <v>4.0893600908746691E-3</v>
      </c>
      <c r="AO359" s="3"/>
      <c r="AP359">
        <v>0</v>
      </c>
      <c r="AR359" t="s">
        <v>1</v>
      </c>
      <c r="AT359" s="2" t="s">
        <v>0</v>
      </c>
      <c r="AU359" s="1">
        <f t="shared" si="43"/>
        <v>2.6733334815121768</v>
      </c>
      <c r="AV359" s="1">
        <f t="shared" si="44"/>
        <v>2.0263627751051172</v>
      </c>
      <c r="AW359" s="1">
        <f t="shared" si="45"/>
        <v>1.3793920686980572</v>
      </c>
    </row>
    <row r="360" spans="1:49" x14ac:dyDescent="0.2">
      <c r="A360">
        <v>358</v>
      </c>
      <c r="B360" t="s">
        <v>7973</v>
      </c>
      <c r="C360" t="s">
        <v>7972</v>
      </c>
      <c r="F360" t="s">
        <v>7971</v>
      </c>
      <c r="G360" t="s">
        <v>5</v>
      </c>
      <c r="H360" t="s">
        <v>4</v>
      </c>
      <c r="I360" t="s">
        <v>7970</v>
      </c>
      <c r="J360">
        <v>60016561</v>
      </c>
      <c r="K360" t="s">
        <v>207</v>
      </c>
      <c r="L360" t="s">
        <v>206</v>
      </c>
      <c r="M360" t="s">
        <v>45</v>
      </c>
      <c r="N360">
        <v>1</v>
      </c>
      <c r="O360" t="s">
        <v>7969</v>
      </c>
      <c r="P360">
        <v>7005246933</v>
      </c>
      <c r="Q360">
        <v>60016561</v>
      </c>
      <c r="R360" s="7">
        <v>37561</v>
      </c>
      <c r="S360" s="8">
        <f t="shared" si="40"/>
        <v>2002</v>
      </c>
      <c r="T360" s="8">
        <v>2002</v>
      </c>
      <c r="U360" s="8">
        <f t="shared" si="41"/>
        <v>20</v>
      </c>
      <c r="V360" s="7">
        <v>37561</v>
      </c>
      <c r="W360" t="s">
        <v>665</v>
      </c>
      <c r="X360" s="2">
        <v>0.76700000000000002</v>
      </c>
      <c r="Y360" s="6">
        <f t="shared" si="46"/>
        <v>2.0474626945356504E-2</v>
      </c>
      <c r="AA360">
        <v>983063</v>
      </c>
      <c r="AB360">
        <v>26048</v>
      </c>
      <c r="AD360" t="s">
        <v>2</v>
      </c>
      <c r="AE360">
        <v>48</v>
      </c>
      <c r="AF360">
        <v>4</v>
      </c>
      <c r="AH360" t="s">
        <v>1077</v>
      </c>
      <c r="AI360" t="s">
        <v>7968</v>
      </c>
      <c r="AJ360" t="s">
        <v>7967</v>
      </c>
      <c r="AK360" t="s">
        <v>7966</v>
      </c>
      <c r="AL360">
        <v>5</v>
      </c>
      <c r="AM360" s="5">
        <f t="shared" si="42"/>
        <v>0.25</v>
      </c>
      <c r="AN360" s="4">
        <f t="shared" si="47"/>
        <v>3.786444528587656E-4</v>
      </c>
      <c r="AO360" s="3"/>
      <c r="AP360">
        <v>0</v>
      </c>
      <c r="AR360" t="s">
        <v>1</v>
      </c>
      <c r="AT360" s="2" t="s">
        <v>0</v>
      </c>
      <c r="AU360" s="1">
        <f t="shared" si="43"/>
        <v>1.4445832197607182</v>
      </c>
      <c r="AV360" s="1">
        <f t="shared" si="44"/>
        <v>1.0426635699107634</v>
      </c>
      <c r="AW360" s="1">
        <f t="shared" si="45"/>
        <v>0.64074392006080871</v>
      </c>
    </row>
    <row r="361" spans="1:49" x14ac:dyDescent="0.2">
      <c r="A361">
        <v>359</v>
      </c>
      <c r="B361" t="s">
        <v>7965</v>
      </c>
      <c r="C361" t="s">
        <v>7964</v>
      </c>
      <c r="F361" t="s">
        <v>7963</v>
      </c>
      <c r="G361" t="s">
        <v>5</v>
      </c>
      <c r="H361" t="s">
        <v>4</v>
      </c>
      <c r="I361" t="s">
        <v>7962</v>
      </c>
      <c r="J361">
        <v>60029570</v>
      </c>
      <c r="K361" t="s">
        <v>723</v>
      </c>
      <c r="L361" t="s">
        <v>722</v>
      </c>
      <c r="M361" t="s">
        <v>6</v>
      </c>
      <c r="N361">
        <v>3</v>
      </c>
      <c r="O361" t="s">
        <v>7961</v>
      </c>
      <c r="P361" t="s">
        <v>7960</v>
      </c>
      <c r="Q361" t="s">
        <v>721</v>
      </c>
      <c r="R361" s="7">
        <v>37561</v>
      </c>
      <c r="S361" s="8">
        <f t="shared" si="40"/>
        <v>2002</v>
      </c>
      <c r="T361" s="8">
        <v>2002</v>
      </c>
      <c r="U361" s="8">
        <f t="shared" si="41"/>
        <v>20</v>
      </c>
      <c r="V361" s="7">
        <v>37561</v>
      </c>
      <c r="W361" t="s">
        <v>665</v>
      </c>
      <c r="X361" s="2">
        <v>0.76700000000000002</v>
      </c>
      <c r="Y361" s="6">
        <f t="shared" si="46"/>
        <v>2.0474626945356504E-2</v>
      </c>
      <c r="AA361">
        <v>983063</v>
      </c>
      <c r="AB361">
        <v>26048</v>
      </c>
      <c r="AD361" t="s">
        <v>2</v>
      </c>
      <c r="AE361">
        <v>48</v>
      </c>
      <c r="AF361">
        <v>4</v>
      </c>
      <c r="AH361" t="s">
        <v>7959</v>
      </c>
      <c r="AI361" t="s">
        <v>7958</v>
      </c>
      <c r="AK361" t="s">
        <v>7957</v>
      </c>
      <c r="AL361">
        <v>8</v>
      </c>
      <c r="AM361" s="5">
        <f t="shared" si="42"/>
        <v>0.4</v>
      </c>
      <c r="AN361" s="4">
        <f t="shared" si="47"/>
        <v>6.0583112457402507E-4</v>
      </c>
      <c r="AO361" s="3"/>
      <c r="AP361">
        <v>0</v>
      </c>
      <c r="AR361" t="s">
        <v>1</v>
      </c>
      <c r="AT361" s="2" t="s">
        <v>0</v>
      </c>
      <c r="AU361" s="1">
        <f t="shared" si="43"/>
        <v>1.4513988199121759</v>
      </c>
      <c r="AV361" s="1">
        <f t="shared" si="44"/>
        <v>1.0540229034965265</v>
      </c>
      <c r="AW361" s="1">
        <f t="shared" si="45"/>
        <v>0.65664698708087677</v>
      </c>
    </row>
    <row r="362" spans="1:49" x14ac:dyDescent="0.2">
      <c r="A362">
        <v>360</v>
      </c>
      <c r="B362" t="s">
        <v>7956</v>
      </c>
      <c r="F362" t="s">
        <v>7955</v>
      </c>
      <c r="G362" t="s">
        <v>5</v>
      </c>
      <c r="H362" t="s">
        <v>4</v>
      </c>
      <c r="I362" t="s">
        <v>7954</v>
      </c>
      <c r="J362">
        <v>60109826</v>
      </c>
      <c r="K362" t="s">
        <v>646</v>
      </c>
      <c r="L362" t="s">
        <v>645</v>
      </c>
      <c r="M362" t="s">
        <v>112</v>
      </c>
      <c r="N362">
        <v>2</v>
      </c>
      <c r="O362" t="s">
        <v>7953</v>
      </c>
      <c r="P362" t="s">
        <v>7952</v>
      </c>
      <c r="Q362" t="s">
        <v>644</v>
      </c>
      <c r="R362" s="7">
        <v>37561</v>
      </c>
      <c r="S362" s="8">
        <f t="shared" si="40"/>
        <v>2002</v>
      </c>
      <c r="T362" s="8">
        <v>2002</v>
      </c>
      <c r="U362" s="8">
        <f t="shared" si="41"/>
        <v>20</v>
      </c>
      <c r="V362" s="7">
        <v>37561</v>
      </c>
      <c r="W362" t="s">
        <v>519</v>
      </c>
      <c r="X362" s="2">
        <v>0.2</v>
      </c>
      <c r="Y362" s="6">
        <f t="shared" si="46"/>
        <v>5.3388857745388539E-3</v>
      </c>
      <c r="AA362">
        <v>161136</v>
      </c>
      <c r="AB362">
        <v>16718</v>
      </c>
      <c r="AD362" t="s">
        <v>2</v>
      </c>
      <c r="AE362">
        <v>56</v>
      </c>
      <c r="AF362" s="9">
        <v>44541</v>
      </c>
      <c r="AH362" t="s">
        <v>7951</v>
      </c>
      <c r="AI362" t="s">
        <v>7950</v>
      </c>
      <c r="AK362" t="s">
        <v>7949</v>
      </c>
      <c r="AL362">
        <v>2</v>
      </c>
      <c r="AM362" s="5">
        <f t="shared" si="42"/>
        <v>0.1</v>
      </c>
      <c r="AN362" s="4">
        <f t="shared" si="47"/>
        <v>1.5145778114350627E-4</v>
      </c>
      <c r="AO362" s="3"/>
      <c r="AP362">
        <v>0</v>
      </c>
      <c r="AR362" t="s">
        <v>1</v>
      </c>
      <c r="AT362" s="2">
        <v>0.72599999999999998</v>
      </c>
      <c r="AU362" s="1">
        <f t="shared" si="43"/>
        <v>0.37826573765202492</v>
      </c>
      <c r="AV362" s="1">
        <f t="shared" si="44"/>
        <v>0.27451717778411799</v>
      </c>
      <c r="AW362" s="1">
        <f t="shared" si="45"/>
        <v>0.17076861791621104</v>
      </c>
    </row>
    <row r="363" spans="1:49" x14ac:dyDescent="0.2">
      <c r="A363">
        <v>361</v>
      </c>
      <c r="B363" t="s">
        <v>7948</v>
      </c>
      <c r="F363" t="s">
        <v>7947</v>
      </c>
      <c r="G363" t="s">
        <v>5</v>
      </c>
      <c r="H363" t="s">
        <v>4</v>
      </c>
      <c r="I363" t="s">
        <v>7946</v>
      </c>
      <c r="J363">
        <v>60006164</v>
      </c>
      <c r="K363" t="s">
        <v>622</v>
      </c>
      <c r="L363" t="s">
        <v>621</v>
      </c>
      <c r="M363" t="s">
        <v>7</v>
      </c>
      <c r="N363">
        <v>1</v>
      </c>
      <c r="O363" t="s">
        <v>7945</v>
      </c>
      <c r="P363">
        <v>7404492537</v>
      </c>
      <c r="Q363">
        <v>60006164</v>
      </c>
      <c r="R363" s="7">
        <v>37561</v>
      </c>
      <c r="S363" s="8">
        <f t="shared" si="40"/>
        <v>2002</v>
      </c>
      <c r="T363" s="8">
        <v>2002</v>
      </c>
      <c r="U363" s="8">
        <f t="shared" si="41"/>
        <v>20</v>
      </c>
      <c r="V363" s="7">
        <v>37561</v>
      </c>
      <c r="W363" t="s">
        <v>1572</v>
      </c>
      <c r="X363" s="2">
        <v>0.216</v>
      </c>
      <c r="Y363" s="6">
        <f t="shared" si="46"/>
        <v>5.765996636501962E-3</v>
      </c>
      <c r="AA363">
        <v>10544887</v>
      </c>
      <c r="AB363">
        <v>13200</v>
      </c>
      <c r="AD363" t="s">
        <v>2</v>
      </c>
      <c r="AE363">
        <v>17</v>
      </c>
      <c r="AF363">
        <v>3</v>
      </c>
      <c r="AH363" t="s">
        <v>7944</v>
      </c>
      <c r="AI363" t="s">
        <v>7943</v>
      </c>
      <c r="AK363" t="s">
        <v>7942</v>
      </c>
      <c r="AL363">
        <v>9</v>
      </c>
      <c r="AM363" s="5">
        <f t="shared" si="42"/>
        <v>0.45</v>
      </c>
      <c r="AN363" s="4">
        <f t="shared" si="47"/>
        <v>6.8156001514577808E-4</v>
      </c>
      <c r="AO363" s="3"/>
      <c r="AP363">
        <v>0</v>
      </c>
      <c r="AR363" t="s">
        <v>1</v>
      </c>
      <c r="AT363" s="2" t="s">
        <v>0</v>
      </c>
      <c r="AU363" s="1">
        <f t="shared" si="43"/>
        <v>0.42406656500951062</v>
      </c>
      <c r="AV363" s="1">
        <f t="shared" si="44"/>
        <v>0.322377832582387</v>
      </c>
      <c r="AW363" s="1">
        <f t="shared" si="45"/>
        <v>0.22068910015526333</v>
      </c>
    </row>
    <row r="364" spans="1:49" x14ac:dyDescent="0.2">
      <c r="A364">
        <v>362</v>
      </c>
      <c r="B364" t="s">
        <v>7941</v>
      </c>
      <c r="F364" t="s">
        <v>7940</v>
      </c>
      <c r="G364" t="s">
        <v>5</v>
      </c>
      <c r="H364" t="s">
        <v>4</v>
      </c>
      <c r="I364" t="s">
        <v>7939</v>
      </c>
      <c r="J364" t="s">
        <v>7938</v>
      </c>
      <c r="K364" t="s">
        <v>7937</v>
      </c>
      <c r="L364" t="s">
        <v>7936</v>
      </c>
      <c r="M364" t="s">
        <v>7935</v>
      </c>
      <c r="N364">
        <v>4</v>
      </c>
      <c r="O364" t="s">
        <v>7934</v>
      </c>
      <c r="P364" t="s">
        <v>7933</v>
      </c>
      <c r="Q364" t="s">
        <v>7932</v>
      </c>
      <c r="R364" s="7">
        <v>37561</v>
      </c>
      <c r="S364" s="8">
        <f t="shared" si="40"/>
        <v>2002</v>
      </c>
      <c r="T364" s="8">
        <v>2002</v>
      </c>
      <c r="U364" s="8">
        <f t="shared" si="41"/>
        <v>20</v>
      </c>
      <c r="V364" s="7">
        <v>37561</v>
      </c>
      <c r="W364" t="s">
        <v>1572</v>
      </c>
      <c r="X364" s="2">
        <v>0.216</v>
      </c>
      <c r="Y364" s="6">
        <f t="shared" si="46"/>
        <v>5.765996636501962E-3</v>
      </c>
      <c r="AA364">
        <v>10544887</v>
      </c>
      <c r="AB364">
        <v>13200</v>
      </c>
      <c r="AD364" t="s">
        <v>2</v>
      </c>
      <c r="AE364">
        <v>17</v>
      </c>
      <c r="AF364">
        <v>3</v>
      </c>
      <c r="AH364" t="s">
        <v>7931</v>
      </c>
      <c r="AI364" t="s">
        <v>7930</v>
      </c>
      <c r="AK364" t="s">
        <v>7929</v>
      </c>
      <c r="AL364">
        <v>19</v>
      </c>
      <c r="AM364" s="5">
        <f t="shared" si="42"/>
        <v>0.95</v>
      </c>
      <c r="AN364" s="4">
        <f t="shared" si="47"/>
        <v>1.4388489208633094E-3</v>
      </c>
      <c r="AO364" s="3"/>
      <c r="AP364">
        <v>0</v>
      </c>
      <c r="AR364" t="s">
        <v>1</v>
      </c>
      <c r="AT364" s="2" t="s">
        <v>0</v>
      </c>
      <c r="AU364" s="1">
        <f t="shared" si="43"/>
        <v>0.44678523218103655</v>
      </c>
      <c r="AV364" s="1">
        <f t="shared" si="44"/>
        <v>0.36024227786826357</v>
      </c>
      <c r="AW364" s="1">
        <f t="shared" si="45"/>
        <v>0.27369932355549048</v>
      </c>
    </row>
    <row r="365" spans="1:49" x14ac:dyDescent="0.2">
      <c r="A365">
        <v>363</v>
      </c>
      <c r="B365" t="s">
        <v>7928</v>
      </c>
      <c r="F365" t="s">
        <v>7927</v>
      </c>
      <c r="G365" t="s">
        <v>5</v>
      </c>
      <c r="H365" t="s">
        <v>4</v>
      </c>
      <c r="I365" t="s">
        <v>7926</v>
      </c>
      <c r="J365">
        <v>60027716</v>
      </c>
      <c r="K365" t="s">
        <v>607</v>
      </c>
      <c r="L365" t="s">
        <v>472</v>
      </c>
      <c r="M365" t="s">
        <v>7</v>
      </c>
      <c r="N365">
        <v>10</v>
      </c>
      <c r="O365" t="s">
        <v>7925</v>
      </c>
      <c r="P365" t="s">
        <v>7924</v>
      </c>
      <c r="Q365" t="s">
        <v>7923</v>
      </c>
      <c r="R365" s="7">
        <v>37561</v>
      </c>
      <c r="S365" s="8">
        <f t="shared" si="40"/>
        <v>2002</v>
      </c>
      <c r="T365" s="8">
        <v>2002</v>
      </c>
      <c r="U365" s="8">
        <f t="shared" si="41"/>
        <v>20</v>
      </c>
      <c r="V365" s="7">
        <v>37561</v>
      </c>
      <c r="W365" t="s">
        <v>7922</v>
      </c>
      <c r="X365" s="2" t="s">
        <v>0</v>
      </c>
      <c r="Y365" s="6" t="e">
        <f t="shared" si="46"/>
        <v>#VALUE!</v>
      </c>
      <c r="AA365">
        <v>14338</v>
      </c>
      <c r="AB365">
        <v>14083</v>
      </c>
      <c r="AD365" t="s">
        <v>2</v>
      </c>
      <c r="AE365">
        <v>38</v>
      </c>
      <c r="AF365">
        <v>6</v>
      </c>
      <c r="AH365" t="s">
        <v>7921</v>
      </c>
      <c r="AI365" t="s">
        <v>7920</v>
      </c>
      <c r="AK365" t="s">
        <v>7919</v>
      </c>
      <c r="AL365">
        <v>1</v>
      </c>
      <c r="AM365" s="5">
        <f t="shared" si="42"/>
        <v>0.05</v>
      </c>
      <c r="AN365" s="4">
        <f t="shared" si="47"/>
        <v>7.5728890571753133E-5</v>
      </c>
      <c r="AO365" s="3"/>
      <c r="AP365">
        <v>0</v>
      </c>
      <c r="AR365" t="s">
        <v>1</v>
      </c>
      <c r="AT365" s="2" t="s">
        <v>0</v>
      </c>
      <c r="AU365" s="1" t="e">
        <f t="shared" si="43"/>
        <v>#VALUE!</v>
      </c>
      <c r="AV365" s="1" t="e">
        <f t="shared" si="44"/>
        <v>#VALUE!</v>
      </c>
      <c r="AW365" s="1" t="e">
        <f t="shared" si="45"/>
        <v>#VALUE!</v>
      </c>
    </row>
    <row r="366" spans="1:49" x14ac:dyDescent="0.2">
      <c r="A366">
        <v>364</v>
      </c>
      <c r="B366" t="s">
        <v>7918</v>
      </c>
      <c r="C366" t="s">
        <v>7917</v>
      </c>
      <c r="F366" t="s">
        <v>7916</v>
      </c>
      <c r="G366" t="s">
        <v>5</v>
      </c>
      <c r="H366" t="s">
        <v>4</v>
      </c>
      <c r="I366" t="s">
        <v>7915</v>
      </c>
      <c r="J366">
        <v>60020943</v>
      </c>
      <c r="K366" t="s">
        <v>7914</v>
      </c>
      <c r="L366" t="s">
        <v>27</v>
      </c>
      <c r="M366" t="s">
        <v>26</v>
      </c>
      <c r="N366">
        <v>1</v>
      </c>
      <c r="O366" t="s">
        <v>7913</v>
      </c>
      <c r="P366">
        <v>55248448400</v>
      </c>
      <c r="Q366">
        <v>60020943</v>
      </c>
      <c r="R366" s="7">
        <v>37561</v>
      </c>
      <c r="S366" s="8">
        <f t="shared" si="40"/>
        <v>2002</v>
      </c>
      <c r="T366" s="8">
        <v>2002</v>
      </c>
      <c r="U366" s="8">
        <f t="shared" si="41"/>
        <v>20</v>
      </c>
      <c r="V366" s="7">
        <v>37561</v>
      </c>
      <c r="W366" t="s">
        <v>1316</v>
      </c>
      <c r="X366" s="2">
        <v>0.33300000000000002</v>
      </c>
      <c r="Y366" s="6">
        <f t="shared" si="46"/>
        <v>8.8892448146071917E-3</v>
      </c>
      <c r="AA366" t="s">
        <v>1315</v>
      </c>
      <c r="AB366">
        <v>29252</v>
      </c>
      <c r="AD366" t="s">
        <v>2</v>
      </c>
      <c r="AE366">
        <v>28</v>
      </c>
      <c r="AF366">
        <v>11</v>
      </c>
      <c r="AH366" t="s">
        <v>7912</v>
      </c>
      <c r="AI366" t="s">
        <v>7911</v>
      </c>
      <c r="AK366" t="s">
        <v>7910</v>
      </c>
      <c r="AL366">
        <v>6</v>
      </c>
      <c r="AM366" s="5">
        <f t="shared" si="42"/>
        <v>0.3</v>
      </c>
      <c r="AN366" s="4">
        <f t="shared" si="47"/>
        <v>4.5437334343051872E-4</v>
      </c>
      <c r="AO366" s="3"/>
      <c r="AP366">
        <v>0</v>
      </c>
      <c r="AR366" t="s">
        <v>7909</v>
      </c>
      <c r="AS366" t="s">
        <v>7908</v>
      </c>
      <c r="AT366" s="2">
        <v>0.97699999999999998</v>
      </c>
      <c r="AU366" s="1">
        <f t="shared" si="43"/>
        <v>0.63587833732541899</v>
      </c>
      <c r="AV366" s="1">
        <f t="shared" si="44"/>
        <v>0.46718090790188554</v>
      </c>
      <c r="AW366" s="1">
        <f t="shared" si="45"/>
        <v>0.29848347847835205</v>
      </c>
    </row>
    <row r="367" spans="1:49" x14ac:dyDescent="0.2">
      <c r="A367">
        <v>365</v>
      </c>
      <c r="B367" t="s">
        <v>7907</v>
      </c>
      <c r="F367" t="s">
        <v>7906</v>
      </c>
      <c r="G367" t="s">
        <v>5</v>
      </c>
      <c r="H367" t="s">
        <v>4</v>
      </c>
      <c r="I367" t="s">
        <v>416</v>
      </c>
      <c r="J367" t="s">
        <v>7905</v>
      </c>
      <c r="K367" t="s">
        <v>7904</v>
      </c>
      <c r="L367" t="s">
        <v>7903</v>
      </c>
      <c r="M367" t="s">
        <v>7902</v>
      </c>
      <c r="N367">
        <v>9</v>
      </c>
      <c r="O367" t="s">
        <v>7901</v>
      </c>
      <c r="P367" t="s">
        <v>7900</v>
      </c>
      <c r="Q367" t="s">
        <v>7899</v>
      </c>
      <c r="R367" s="7">
        <v>37561</v>
      </c>
      <c r="S367" s="8">
        <f t="shared" si="40"/>
        <v>2002</v>
      </c>
      <c r="T367" s="8">
        <v>2002</v>
      </c>
      <c r="U367" s="8">
        <f t="shared" si="41"/>
        <v>20</v>
      </c>
      <c r="V367" s="7">
        <v>37561</v>
      </c>
      <c r="W367" t="s">
        <v>7898</v>
      </c>
      <c r="X367" s="2">
        <v>0.2</v>
      </c>
      <c r="Y367" s="6">
        <f t="shared" si="46"/>
        <v>5.3388857745388539E-3</v>
      </c>
      <c r="AA367">
        <v>10165169</v>
      </c>
      <c r="AB367">
        <v>93511</v>
      </c>
      <c r="AD367" t="s">
        <v>2</v>
      </c>
      <c r="AE367">
        <v>30</v>
      </c>
      <c r="AF367">
        <v>11</v>
      </c>
      <c r="AH367" t="s">
        <v>7897</v>
      </c>
      <c r="AI367" t="s">
        <v>7896</v>
      </c>
      <c r="AJ367" t="s">
        <v>7895</v>
      </c>
      <c r="AK367" t="s">
        <v>7894</v>
      </c>
      <c r="AL367">
        <v>0</v>
      </c>
      <c r="AM367" s="5">
        <f t="shared" si="42"/>
        <v>0</v>
      </c>
      <c r="AN367" s="4">
        <f t="shared" si="47"/>
        <v>0</v>
      </c>
      <c r="AO367" s="3"/>
      <c r="AP367">
        <v>0</v>
      </c>
      <c r="AR367" t="s">
        <v>1</v>
      </c>
      <c r="AT367" s="2" t="s">
        <v>0</v>
      </c>
      <c r="AU367" s="1">
        <f t="shared" si="43"/>
        <v>0.37372200421771973</v>
      </c>
      <c r="AV367" s="1">
        <f t="shared" si="44"/>
        <v>0.2669442887269427</v>
      </c>
      <c r="AW367" s="1">
        <f t="shared" si="45"/>
        <v>0.16016657323616562</v>
      </c>
    </row>
    <row r="368" spans="1:49" x14ac:dyDescent="0.2">
      <c r="A368">
        <v>366</v>
      </c>
      <c r="B368" t="s">
        <v>7893</v>
      </c>
      <c r="C368" t="s">
        <v>7892</v>
      </c>
      <c r="E368">
        <v>12510164</v>
      </c>
      <c r="F368" t="s">
        <v>7891</v>
      </c>
      <c r="G368" t="s">
        <v>5</v>
      </c>
      <c r="H368" t="s">
        <v>4</v>
      </c>
      <c r="I368" t="s">
        <v>7890</v>
      </c>
      <c r="J368" t="s">
        <v>7884</v>
      </c>
      <c r="K368" t="s">
        <v>7889</v>
      </c>
      <c r="L368" t="s">
        <v>7888</v>
      </c>
      <c r="M368" t="s">
        <v>7887</v>
      </c>
      <c r="N368">
        <v>2</v>
      </c>
      <c r="O368" t="s">
        <v>7886</v>
      </c>
      <c r="P368" t="s">
        <v>7885</v>
      </c>
      <c r="Q368" t="s">
        <v>7884</v>
      </c>
      <c r="R368" s="7">
        <v>37561</v>
      </c>
      <c r="S368" s="8">
        <f t="shared" si="40"/>
        <v>2002</v>
      </c>
      <c r="T368" s="8">
        <v>2002</v>
      </c>
      <c r="U368" s="8">
        <f t="shared" si="41"/>
        <v>20</v>
      </c>
      <c r="V368" s="7">
        <v>37561</v>
      </c>
      <c r="W368" t="s">
        <v>894</v>
      </c>
      <c r="X368" s="2">
        <v>0.47099999999999997</v>
      </c>
      <c r="Y368" s="6">
        <f t="shared" si="46"/>
        <v>1.2573075999039E-2</v>
      </c>
      <c r="AA368">
        <v>1655752</v>
      </c>
      <c r="AB368">
        <v>14307</v>
      </c>
      <c r="AD368" t="s">
        <v>2</v>
      </c>
      <c r="AE368">
        <v>53</v>
      </c>
      <c r="AF368">
        <v>3</v>
      </c>
      <c r="AH368" t="s">
        <v>7883</v>
      </c>
      <c r="AI368" t="s">
        <v>7882</v>
      </c>
      <c r="AK368" t="s">
        <v>7881</v>
      </c>
      <c r="AL368">
        <v>1</v>
      </c>
      <c r="AM368" s="5">
        <f t="shared" si="42"/>
        <v>0.05</v>
      </c>
      <c r="AN368" s="4">
        <f t="shared" si="47"/>
        <v>7.5728890571753133E-5</v>
      </c>
      <c r="AO368" s="3"/>
      <c r="AP368">
        <v>0</v>
      </c>
      <c r="AQ368" t="s">
        <v>1693</v>
      </c>
      <c r="AR368" t="s">
        <v>1</v>
      </c>
      <c r="AS368" t="s">
        <v>1691</v>
      </c>
      <c r="AT368" s="2">
        <v>1.431</v>
      </c>
      <c r="AU368" s="1">
        <f t="shared" si="43"/>
        <v>0.88238718664988258</v>
      </c>
      <c r="AV368" s="1">
        <f t="shared" si="44"/>
        <v>0.63244024448053759</v>
      </c>
      <c r="AW368" s="1">
        <f t="shared" si="45"/>
        <v>0.38249330231119272</v>
      </c>
    </row>
    <row r="369" spans="1:49" x14ac:dyDescent="0.2">
      <c r="A369">
        <v>367</v>
      </c>
      <c r="B369" t="s">
        <v>7880</v>
      </c>
      <c r="C369" t="s">
        <v>7879</v>
      </c>
      <c r="F369" t="s">
        <v>7878</v>
      </c>
      <c r="G369" t="s">
        <v>5</v>
      </c>
      <c r="H369" t="s">
        <v>4</v>
      </c>
      <c r="I369" t="s">
        <v>7877</v>
      </c>
      <c r="J369">
        <v>60072485</v>
      </c>
      <c r="K369" t="s">
        <v>7876</v>
      </c>
      <c r="L369" t="s">
        <v>1737</v>
      </c>
      <c r="M369" t="s">
        <v>26</v>
      </c>
      <c r="N369">
        <v>2</v>
      </c>
      <c r="O369" t="s">
        <v>7875</v>
      </c>
      <c r="P369" t="s">
        <v>7874</v>
      </c>
      <c r="Q369" t="s">
        <v>7873</v>
      </c>
      <c r="R369" s="7">
        <v>37561</v>
      </c>
      <c r="S369" s="8">
        <f t="shared" si="40"/>
        <v>2002</v>
      </c>
      <c r="T369" s="8">
        <v>2002</v>
      </c>
      <c r="U369" s="8">
        <f t="shared" si="41"/>
        <v>20</v>
      </c>
      <c r="V369" s="7">
        <v>37561</v>
      </c>
      <c r="W369" t="s">
        <v>911</v>
      </c>
      <c r="X369" s="2">
        <v>0.33800000000000002</v>
      </c>
      <c r="Y369" s="6">
        <f t="shared" si="46"/>
        <v>9.0227169589706634E-3</v>
      </c>
      <c r="AA369">
        <v>10637850</v>
      </c>
      <c r="AB369">
        <v>12311</v>
      </c>
      <c r="AD369" t="s">
        <v>2</v>
      </c>
      <c r="AE369">
        <v>28</v>
      </c>
      <c r="AF369">
        <v>11</v>
      </c>
      <c r="AH369" t="s">
        <v>7872</v>
      </c>
      <c r="AI369" t="s">
        <v>7871</v>
      </c>
      <c r="AK369" t="s">
        <v>7870</v>
      </c>
      <c r="AL369">
        <v>1</v>
      </c>
      <c r="AM369" s="5">
        <f t="shared" si="42"/>
        <v>0.05</v>
      </c>
      <c r="AN369" s="4">
        <f t="shared" si="47"/>
        <v>7.5728890571753133E-5</v>
      </c>
      <c r="AO369" s="3"/>
      <c r="AP369">
        <v>0</v>
      </c>
      <c r="AR369" t="s">
        <v>1</v>
      </c>
      <c r="AT369" s="2">
        <v>0.71399999999999997</v>
      </c>
      <c r="AU369" s="1">
        <f t="shared" si="43"/>
        <v>0.63386205384509897</v>
      </c>
      <c r="AV369" s="1">
        <f t="shared" si="44"/>
        <v>0.45492229247712079</v>
      </c>
      <c r="AW369" s="1">
        <f t="shared" si="45"/>
        <v>0.27598253110914261</v>
      </c>
    </row>
    <row r="370" spans="1:49" x14ac:dyDescent="0.2">
      <c r="A370">
        <v>368</v>
      </c>
      <c r="B370" t="s">
        <v>7869</v>
      </c>
      <c r="C370" t="s">
        <v>7868</v>
      </c>
      <c r="F370" t="s">
        <v>7867</v>
      </c>
      <c r="G370" t="s">
        <v>5</v>
      </c>
      <c r="H370" t="s">
        <v>4</v>
      </c>
      <c r="I370" t="s">
        <v>6122</v>
      </c>
      <c r="J370" t="s">
        <v>557</v>
      </c>
      <c r="K370" t="s">
        <v>561</v>
      </c>
      <c r="L370" t="s">
        <v>560</v>
      </c>
      <c r="M370" t="s">
        <v>3</v>
      </c>
      <c r="N370">
        <v>3</v>
      </c>
      <c r="O370" t="s">
        <v>7866</v>
      </c>
      <c r="P370" t="s">
        <v>7865</v>
      </c>
      <c r="Q370" t="s">
        <v>7864</v>
      </c>
      <c r="R370" s="7">
        <v>37561</v>
      </c>
      <c r="S370" s="8">
        <f t="shared" si="40"/>
        <v>2002</v>
      </c>
      <c r="T370" s="8">
        <v>2002</v>
      </c>
      <c r="U370" s="8">
        <f t="shared" si="41"/>
        <v>20</v>
      </c>
      <c r="V370" s="7">
        <v>37561</v>
      </c>
      <c r="W370" t="s">
        <v>549</v>
      </c>
      <c r="X370" s="2">
        <v>0.92900000000000005</v>
      </c>
      <c r="Y370" s="6">
        <f t="shared" si="46"/>
        <v>2.4799124422732979E-2</v>
      </c>
      <c r="AA370">
        <v>10897798</v>
      </c>
      <c r="AB370">
        <v>18896</v>
      </c>
      <c r="AD370" t="s">
        <v>2</v>
      </c>
      <c r="AE370">
        <v>6</v>
      </c>
      <c r="AF370">
        <v>11</v>
      </c>
      <c r="AH370" t="s">
        <v>7863</v>
      </c>
      <c r="AI370" t="s">
        <v>7862</v>
      </c>
      <c r="AK370" t="s">
        <v>7861</v>
      </c>
      <c r="AL370">
        <v>343</v>
      </c>
      <c r="AM370" s="5">
        <f t="shared" si="42"/>
        <v>17.149999999999999</v>
      </c>
      <c r="AN370" s="4">
        <f t="shared" si="47"/>
        <v>2.597500946611132E-2</v>
      </c>
      <c r="AO370" s="3"/>
      <c r="AP370">
        <v>0</v>
      </c>
      <c r="AR370" t="s">
        <v>1</v>
      </c>
      <c r="AT370" s="2">
        <v>3.4359999999999999</v>
      </c>
      <c r="AU370" s="1">
        <f t="shared" si="43"/>
        <v>2.5151889935746476</v>
      </c>
      <c r="AV370" s="1">
        <f t="shared" si="44"/>
        <v>2.5387066944422152</v>
      </c>
      <c r="AW370" s="1">
        <f t="shared" si="45"/>
        <v>2.5622243953097814</v>
      </c>
    </row>
    <row r="371" spans="1:49" x14ac:dyDescent="0.2">
      <c r="A371">
        <v>369</v>
      </c>
      <c r="B371" t="s">
        <v>7860</v>
      </c>
      <c r="C371" t="s">
        <v>7859</v>
      </c>
      <c r="F371" t="s">
        <v>7858</v>
      </c>
      <c r="G371" t="s">
        <v>5</v>
      </c>
      <c r="H371" t="s">
        <v>4</v>
      </c>
      <c r="I371" t="s">
        <v>7857</v>
      </c>
      <c r="J371" t="s">
        <v>7856</v>
      </c>
      <c r="K371" t="s">
        <v>7855</v>
      </c>
      <c r="L371" t="s">
        <v>7854</v>
      </c>
      <c r="M371" t="s">
        <v>601</v>
      </c>
      <c r="N371">
        <v>2</v>
      </c>
      <c r="O371" t="s">
        <v>7853</v>
      </c>
      <c r="P371" t="s">
        <v>7852</v>
      </c>
      <c r="Q371" t="s">
        <v>7851</v>
      </c>
      <c r="R371" s="7">
        <v>37561</v>
      </c>
      <c r="S371" s="8">
        <f t="shared" si="40"/>
        <v>2002</v>
      </c>
      <c r="T371" s="8">
        <v>2002</v>
      </c>
      <c r="U371" s="8">
        <f t="shared" si="41"/>
        <v>20</v>
      </c>
      <c r="V371" s="7">
        <v>37561</v>
      </c>
      <c r="W371" t="s">
        <v>347</v>
      </c>
      <c r="X371" s="2">
        <v>1.468</v>
      </c>
      <c r="Y371" s="6">
        <f t="shared" si="46"/>
        <v>3.9187421585115186E-2</v>
      </c>
      <c r="AA371">
        <v>906778</v>
      </c>
      <c r="AB371">
        <v>18931</v>
      </c>
      <c r="AD371" t="s">
        <v>2</v>
      </c>
      <c r="AE371">
        <v>50</v>
      </c>
      <c r="AF371">
        <v>11</v>
      </c>
      <c r="AH371" t="s">
        <v>7850</v>
      </c>
      <c r="AI371" t="s">
        <v>7849</v>
      </c>
      <c r="AJ371" t="s">
        <v>7848</v>
      </c>
      <c r="AK371" t="s">
        <v>7847</v>
      </c>
      <c r="AL371">
        <v>2</v>
      </c>
      <c r="AM371" s="5">
        <f t="shared" si="42"/>
        <v>0.1</v>
      </c>
      <c r="AN371" s="4">
        <f t="shared" si="47"/>
        <v>1.5145778114350627E-4</v>
      </c>
      <c r="AO371" s="3"/>
      <c r="AP371">
        <v>0</v>
      </c>
      <c r="AQ371" t="s">
        <v>290</v>
      </c>
      <c r="AR371" t="s">
        <v>7846</v>
      </c>
      <c r="AS371" t="s">
        <v>289</v>
      </c>
      <c r="AT371" s="2">
        <v>5.0830000000000002</v>
      </c>
      <c r="AU371" s="1">
        <f t="shared" si="43"/>
        <v>2.7476632443923679</v>
      </c>
      <c r="AV371" s="1">
        <f t="shared" si="44"/>
        <v>1.9669439683129346</v>
      </c>
      <c r="AW371" s="1">
        <f t="shared" si="45"/>
        <v>1.1862246922335011</v>
      </c>
    </row>
    <row r="372" spans="1:49" x14ac:dyDescent="0.2">
      <c r="A372">
        <v>370</v>
      </c>
      <c r="B372" t="s">
        <v>7845</v>
      </c>
      <c r="C372" t="s">
        <v>7844</v>
      </c>
      <c r="F372" t="s">
        <v>7843</v>
      </c>
      <c r="G372" t="s">
        <v>5</v>
      </c>
      <c r="H372" t="s">
        <v>4</v>
      </c>
      <c r="I372" t="s">
        <v>7842</v>
      </c>
      <c r="J372" t="s">
        <v>7841</v>
      </c>
      <c r="K372" t="s">
        <v>7840</v>
      </c>
      <c r="L372" t="s">
        <v>7839</v>
      </c>
      <c r="M372" t="s">
        <v>992</v>
      </c>
      <c r="N372">
        <v>4</v>
      </c>
      <c r="O372" t="s">
        <v>7838</v>
      </c>
      <c r="P372" t="s">
        <v>7837</v>
      </c>
      <c r="Q372" t="s">
        <v>7836</v>
      </c>
      <c r="R372" s="7">
        <v>37561</v>
      </c>
      <c r="S372" s="8">
        <f t="shared" si="40"/>
        <v>2002</v>
      </c>
      <c r="T372" s="8">
        <v>2002</v>
      </c>
      <c r="U372" s="8">
        <f t="shared" si="41"/>
        <v>20</v>
      </c>
      <c r="V372" s="7">
        <v>37561</v>
      </c>
      <c r="W372" t="s">
        <v>347</v>
      </c>
      <c r="X372" s="2">
        <v>1.468</v>
      </c>
      <c r="Y372" s="6">
        <f t="shared" si="46"/>
        <v>3.9187421585115186E-2</v>
      </c>
      <c r="AA372">
        <v>906778</v>
      </c>
      <c r="AB372">
        <v>18931</v>
      </c>
      <c r="AD372" t="s">
        <v>2</v>
      </c>
      <c r="AE372">
        <v>50</v>
      </c>
      <c r="AF372">
        <v>11</v>
      </c>
      <c r="AH372" t="s">
        <v>7835</v>
      </c>
      <c r="AI372" t="s">
        <v>7834</v>
      </c>
      <c r="AJ372" t="s">
        <v>7833</v>
      </c>
      <c r="AK372" t="s">
        <v>7832</v>
      </c>
      <c r="AL372">
        <v>51</v>
      </c>
      <c r="AM372" s="5">
        <f t="shared" si="42"/>
        <v>2.5499999999999998</v>
      </c>
      <c r="AN372" s="4">
        <f t="shared" si="47"/>
        <v>3.862173419159409E-3</v>
      </c>
      <c r="AO372" s="3"/>
      <c r="AP372">
        <v>0</v>
      </c>
      <c r="AR372" t="s">
        <v>1</v>
      </c>
      <c r="AT372" s="2">
        <v>5.0830000000000002</v>
      </c>
      <c r="AU372" s="1">
        <f t="shared" si="43"/>
        <v>2.8589847135328452</v>
      </c>
      <c r="AV372" s="1">
        <f t="shared" si="44"/>
        <v>2.1524797502137298</v>
      </c>
      <c r="AW372" s="1">
        <f t="shared" si="45"/>
        <v>1.4459747868946142</v>
      </c>
    </row>
    <row r="373" spans="1:49" x14ac:dyDescent="0.2">
      <c r="A373">
        <v>371</v>
      </c>
      <c r="B373" t="s">
        <v>7831</v>
      </c>
      <c r="C373" t="s">
        <v>7830</v>
      </c>
      <c r="F373" t="s">
        <v>7829</v>
      </c>
      <c r="G373" t="s">
        <v>5</v>
      </c>
      <c r="H373" t="s">
        <v>4</v>
      </c>
      <c r="I373" t="s">
        <v>148</v>
      </c>
      <c r="J373" t="s">
        <v>6055</v>
      </c>
      <c r="K373" t="s">
        <v>6054</v>
      </c>
      <c r="L373" t="s">
        <v>178</v>
      </c>
      <c r="M373" t="s">
        <v>177</v>
      </c>
      <c r="N373">
        <v>4</v>
      </c>
      <c r="O373" t="s">
        <v>7828</v>
      </c>
      <c r="P373" t="s">
        <v>7827</v>
      </c>
      <c r="Q373" t="s">
        <v>7826</v>
      </c>
      <c r="R373" s="7">
        <v>37561</v>
      </c>
      <c r="S373" s="8">
        <f t="shared" si="40"/>
        <v>2002</v>
      </c>
      <c r="T373" s="8">
        <v>2002</v>
      </c>
      <c r="U373" s="8">
        <f t="shared" si="41"/>
        <v>20</v>
      </c>
      <c r="V373" s="7">
        <v>37561</v>
      </c>
      <c r="W373" t="s">
        <v>7825</v>
      </c>
      <c r="X373" s="2">
        <v>0.35699999999999998</v>
      </c>
      <c r="Y373" s="6">
        <f t="shared" si="46"/>
        <v>9.5299111075518531E-3</v>
      </c>
      <c r="AA373">
        <v>913286</v>
      </c>
      <c r="AB373">
        <v>12316</v>
      </c>
      <c r="AD373" t="s">
        <v>2</v>
      </c>
      <c r="AE373">
        <v>41</v>
      </c>
      <c r="AF373">
        <v>11</v>
      </c>
      <c r="AH373" t="s">
        <v>7824</v>
      </c>
      <c r="AI373" t="s">
        <v>7823</v>
      </c>
      <c r="AJ373" t="s">
        <v>7822</v>
      </c>
      <c r="AK373" t="s">
        <v>7821</v>
      </c>
      <c r="AL373">
        <v>4</v>
      </c>
      <c r="AM373" s="5">
        <f t="shared" si="42"/>
        <v>0.2</v>
      </c>
      <c r="AN373" s="4">
        <f t="shared" si="47"/>
        <v>3.0291556228701253E-4</v>
      </c>
      <c r="AO373" s="3"/>
      <c r="AP373">
        <v>0</v>
      </c>
      <c r="AR373" t="s">
        <v>1</v>
      </c>
      <c r="AT373" s="2">
        <v>1.0840000000000001</v>
      </c>
      <c r="AU373" s="1">
        <f t="shared" si="43"/>
        <v>0.67618124439724003</v>
      </c>
      <c r="AV373" s="1">
        <f t="shared" si="44"/>
        <v>0.49164133349194328</v>
      </c>
      <c r="AW373" s="1">
        <f t="shared" si="45"/>
        <v>0.30710142258664641</v>
      </c>
    </row>
    <row r="374" spans="1:49" x14ac:dyDescent="0.2">
      <c r="A374">
        <v>372</v>
      </c>
      <c r="B374" t="s">
        <v>7820</v>
      </c>
      <c r="C374" t="s">
        <v>7819</v>
      </c>
      <c r="F374" t="s">
        <v>7818</v>
      </c>
      <c r="G374" t="s">
        <v>5</v>
      </c>
      <c r="H374" t="s">
        <v>4</v>
      </c>
      <c r="I374" t="s">
        <v>7817</v>
      </c>
      <c r="J374">
        <v>60005510</v>
      </c>
      <c r="K374" t="s">
        <v>668</v>
      </c>
      <c r="L374" t="s">
        <v>87</v>
      </c>
      <c r="M374" t="s">
        <v>86</v>
      </c>
      <c r="N374">
        <v>2</v>
      </c>
      <c r="O374" t="s">
        <v>7816</v>
      </c>
      <c r="P374" t="s">
        <v>7815</v>
      </c>
      <c r="Q374" t="s">
        <v>667</v>
      </c>
      <c r="R374" s="7">
        <v>37561</v>
      </c>
      <c r="S374" s="8">
        <f t="shared" si="40"/>
        <v>2002</v>
      </c>
      <c r="T374" s="8">
        <v>2002</v>
      </c>
      <c r="U374" s="8">
        <f t="shared" si="41"/>
        <v>20</v>
      </c>
      <c r="V374" s="7">
        <v>37561</v>
      </c>
      <c r="W374" t="s">
        <v>549</v>
      </c>
      <c r="X374" s="2">
        <v>0.92900000000000005</v>
      </c>
      <c r="Y374" s="6">
        <f t="shared" si="46"/>
        <v>2.4799124422732979E-2</v>
      </c>
      <c r="AA374">
        <v>10897798</v>
      </c>
      <c r="AB374">
        <v>18896</v>
      </c>
      <c r="AD374" t="s">
        <v>2</v>
      </c>
      <c r="AE374">
        <v>6</v>
      </c>
      <c r="AF374">
        <v>11</v>
      </c>
      <c r="AH374" t="s">
        <v>7814</v>
      </c>
      <c r="AI374" t="s">
        <v>7813</v>
      </c>
      <c r="AJ374" t="s">
        <v>7812</v>
      </c>
      <c r="AK374" t="s">
        <v>7811</v>
      </c>
      <c r="AL374">
        <v>12</v>
      </c>
      <c r="AM374" s="5">
        <f t="shared" si="42"/>
        <v>0.6</v>
      </c>
      <c r="AN374" s="4">
        <f t="shared" si="47"/>
        <v>9.0874668686103744E-4</v>
      </c>
      <c r="AO374" s="3"/>
      <c r="AP374">
        <v>0</v>
      </c>
      <c r="AR374" t="s">
        <v>1</v>
      </c>
      <c r="AT374" s="2">
        <v>3.4359999999999999</v>
      </c>
      <c r="AU374" s="1">
        <f t="shared" si="43"/>
        <v>1.7632011101971397</v>
      </c>
      <c r="AV374" s="1">
        <f t="shared" si="44"/>
        <v>1.2853935554797009</v>
      </c>
      <c r="AW374" s="1">
        <f t="shared" si="45"/>
        <v>0.80758600076226206</v>
      </c>
    </row>
    <row r="375" spans="1:49" x14ac:dyDescent="0.2">
      <c r="A375">
        <v>373</v>
      </c>
      <c r="B375" t="s">
        <v>7810</v>
      </c>
      <c r="C375" t="s">
        <v>7809</v>
      </c>
      <c r="F375" t="s">
        <v>7808</v>
      </c>
      <c r="G375" t="s">
        <v>5</v>
      </c>
      <c r="H375" t="s">
        <v>4</v>
      </c>
      <c r="I375" t="s">
        <v>454</v>
      </c>
      <c r="J375" t="s">
        <v>1102</v>
      </c>
      <c r="K375" t="s">
        <v>1101</v>
      </c>
      <c r="L375" t="s">
        <v>1100</v>
      </c>
      <c r="M375" t="s">
        <v>134</v>
      </c>
      <c r="N375">
        <v>4</v>
      </c>
      <c r="O375" t="s">
        <v>7807</v>
      </c>
      <c r="P375" t="s">
        <v>7806</v>
      </c>
      <c r="Q375" t="s">
        <v>7805</v>
      </c>
      <c r="R375" s="7">
        <v>37561</v>
      </c>
      <c r="S375" s="8">
        <f t="shared" si="40"/>
        <v>2002</v>
      </c>
      <c r="T375" s="8">
        <v>2002</v>
      </c>
      <c r="U375" s="8">
        <f t="shared" si="41"/>
        <v>20</v>
      </c>
      <c r="V375" s="7">
        <v>37561</v>
      </c>
      <c r="W375" t="s">
        <v>549</v>
      </c>
      <c r="X375" s="2">
        <v>0.92900000000000005</v>
      </c>
      <c r="Y375" s="6">
        <f t="shared" si="46"/>
        <v>2.4799124422732979E-2</v>
      </c>
      <c r="AA375">
        <v>10897798</v>
      </c>
      <c r="AB375">
        <v>18896</v>
      </c>
      <c r="AD375" t="s">
        <v>2</v>
      </c>
      <c r="AE375">
        <v>6</v>
      </c>
      <c r="AF375">
        <v>11</v>
      </c>
      <c r="AH375" t="s">
        <v>7804</v>
      </c>
      <c r="AI375" t="s">
        <v>7803</v>
      </c>
      <c r="AJ375" t="s">
        <v>7802</v>
      </c>
      <c r="AK375" t="s">
        <v>7801</v>
      </c>
      <c r="AL375">
        <v>88</v>
      </c>
      <c r="AM375" s="5">
        <f t="shared" si="42"/>
        <v>4.4000000000000004</v>
      </c>
      <c r="AN375" s="4">
        <f t="shared" si="47"/>
        <v>6.6641423703142754E-3</v>
      </c>
      <c r="AO375" s="3"/>
      <c r="AP375">
        <v>0</v>
      </c>
      <c r="AR375" t="s">
        <v>1</v>
      </c>
      <c r="AT375" s="2">
        <v>3.4359999999999999</v>
      </c>
      <c r="AU375" s="1">
        <f t="shared" si="43"/>
        <v>1.9358629807007366</v>
      </c>
      <c r="AV375" s="1">
        <f t="shared" si="44"/>
        <v>1.5731633396523628</v>
      </c>
      <c r="AW375" s="1">
        <f t="shared" si="45"/>
        <v>1.2104636986039885</v>
      </c>
    </row>
    <row r="376" spans="1:49" x14ac:dyDescent="0.2">
      <c r="A376">
        <v>374</v>
      </c>
      <c r="B376" t="s">
        <v>7800</v>
      </c>
      <c r="C376" t="s">
        <v>7799</v>
      </c>
      <c r="D376" t="s">
        <v>7798</v>
      </c>
      <c r="F376" t="s">
        <v>7797</v>
      </c>
      <c r="G376" t="s">
        <v>5</v>
      </c>
      <c r="H376" t="s">
        <v>4</v>
      </c>
      <c r="I376" t="s">
        <v>7796</v>
      </c>
      <c r="J376">
        <v>60000881</v>
      </c>
      <c r="K376" t="s">
        <v>7795</v>
      </c>
      <c r="L376" t="s">
        <v>7794</v>
      </c>
      <c r="M376" t="s">
        <v>144</v>
      </c>
      <c r="N376">
        <v>3</v>
      </c>
      <c r="O376" t="s">
        <v>7793</v>
      </c>
      <c r="P376" t="s">
        <v>7792</v>
      </c>
      <c r="Q376" t="s">
        <v>7791</v>
      </c>
      <c r="R376" s="7">
        <v>37561</v>
      </c>
      <c r="S376" s="8">
        <f t="shared" si="40"/>
        <v>2002</v>
      </c>
      <c r="T376" s="8">
        <v>2002</v>
      </c>
      <c r="U376" s="8">
        <f t="shared" si="41"/>
        <v>20</v>
      </c>
      <c r="V376" s="7">
        <v>37561</v>
      </c>
      <c r="W376" t="s">
        <v>845</v>
      </c>
      <c r="X376" s="2">
        <v>0.9</v>
      </c>
      <c r="Y376" s="6">
        <f t="shared" si="46"/>
        <v>2.4024985985424845E-2</v>
      </c>
      <c r="AA376">
        <v>9630252</v>
      </c>
      <c r="AB376">
        <v>29614</v>
      </c>
      <c r="AD376" t="s">
        <v>2</v>
      </c>
      <c r="AE376">
        <v>11</v>
      </c>
      <c r="AF376">
        <v>4</v>
      </c>
      <c r="AH376" t="s">
        <v>7790</v>
      </c>
      <c r="AI376" t="s">
        <v>7789</v>
      </c>
      <c r="AK376" t="s">
        <v>7788</v>
      </c>
      <c r="AL376">
        <v>5</v>
      </c>
      <c r="AM376" s="5">
        <f t="shared" si="42"/>
        <v>0.25</v>
      </c>
      <c r="AN376" s="4">
        <f t="shared" si="47"/>
        <v>3.786444528587656E-4</v>
      </c>
      <c r="AO376" s="3"/>
      <c r="AP376">
        <v>0</v>
      </c>
      <c r="AR376" t="s">
        <v>1</v>
      </c>
      <c r="AT376" s="2" t="s">
        <v>0</v>
      </c>
      <c r="AU376" s="1">
        <f t="shared" si="43"/>
        <v>1.693108352565502</v>
      </c>
      <c r="AV376" s="1">
        <f t="shared" si="44"/>
        <v>1.2201815219141805</v>
      </c>
      <c r="AW376" s="1">
        <f t="shared" si="45"/>
        <v>0.74725469126285893</v>
      </c>
    </row>
    <row r="377" spans="1:49" x14ac:dyDescent="0.2">
      <c r="A377">
        <v>375</v>
      </c>
      <c r="B377" t="s">
        <v>7787</v>
      </c>
      <c r="C377" t="s">
        <v>7786</v>
      </c>
      <c r="F377" t="s">
        <v>7785</v>
      </c>
      <c r="G377" t="s">
        <v>5</v>
      </c>
      <c r="H377" t="s">
        <v>4</v>
      </c>
      <c r="I377" t="s">
        <v>7784</v>
      </c>
      <c r="J377" t="s">
        <v>7783</v>
      </c>
      <c r="K377" t="s">
        <v>7782</v>
      </c>
      <c r="L377" t="s">
        <v>7781</v>
      </c>
      <c r="M377" t="s">
        <v>7780</v>
      </c>
      <c r="N377">
        <v>2</v>
      </c>
      <c r="O377" t="s">
        <v>7779</v>
      </c>
      <c r="P377" t="s">
        <v>7778</v>
      </c>
      <c r="Q377" t="s">
        <v>7777</v>
      </c>
      <c r="R377" s="7">
        <v>37561</v>
      </c>
      <c r="S377" s="8">
        <f t="shared" si="40"/>
        <v>2002</v>
      </c>
      <c r="T377" s="8">
        <v>2002</v>
      </c>
      <c r="U377" s="8">
        <f t="shared" si="41"/>
        <v>20</v>
      </c>
      <c r="V377" s="7">
        <v>37561</v>
      </c>
      <c r="W377" t="s">
        <v>7776</v>
      </c>
      <c r="X377" s="2">
        <v>0.64200000000000002</v>
      </c>
      <c r="Y377" s="6">
        <f t="shared" si="46"/>
        <v>1.713782333626972E-2</v>
      </c>
      <c r="AA377">
        <v>3782697</v>
      </c>
      <c r="AB377">
        <v>16638</v>
      </c>
      <c r="AD377" t="s">
        <v>2</v>
      </c>
      <c r="AE377">
        <v>234</v>
      </c>
      <c r="AF377" s="9">
        <v>44287</v>
      </c>
      <c r="AH377" t="s">
        <v>7775</v>
      </c>
      <c r="AI377" t="s">
        <v>7774</v>
      </c>
      <c r="AJ377" t="s">
        <v>7773</v>
      </c>
      <c r="AK377" t="s">
        <v>7772</v>
      </c>
      <c r="AL377">
        <v>115</v>
      </c>
      <c r="AM377" s="5">
        <f t="shared" si="42"/>
        <v>5.75</v>
      </c>
      <c r="AN377" s="4">
        <f t="shared" si="47"/>
        <v>8.70882241575161E-3</v>
      </c>
      <c r="AO377" s="3"/>
      <c r="AP377">
        <v>0</v>
      </c>
      <c r="AR377" t="s">
        <v>1</v>
      </c>
      <c r="AT377" s="2">
        <v>1.631</v>
      </c>
      <c r="AU377" s="1">
        <f t="shared" si="43"/>
        <v>1.4609123060114286</v>
      </c>
      <c r="AV377" s="1">
        <f t="shared" si="44"/>
        <v>1.2923322876010663</v>
      </c>
      <c r="AW377" s="1">
        <f t="shared" si="45"/>
        <v>1.1237522691907043</v>
      </c>
    </row>
    <row r="378" spans="1:49" x14ac:dyDescent="0.2">
      <c r="A378">
        <v>376</v>
      </c>
      <c r="B378" t="s">
        <v>7771</v>
      </c>
      <c r="C378" t="s">
        <v>7770</v>
      </c>
      <c r="F378" t="s">
        <v>7769</v>
      </c>
      <c r="G378" t="s">
        <v>5</v>
      </c>
      <c r="H378" t="s">
        <v>4</v>
      </c>
      <c r="I378" t="s">
        <v>7768</v>
      </c>
      <c r="J378" t="s">
        <v>7767</v>
      </c>
      <c r="K378" t="s">
        <v>7766</v>
      </c>
      <c r="L378" t="s">
        <v>7765</v>
      </c>
      <c r="M378" t="s">
        <v>7764</v>
      </c>
      <c r="N378">
        <v>3</v>
      </c>
      <c r="O378" t="s">
        <v>7763</v>
      </c>
      <c r="P378" t="s">
        <v>7762</v>
      </c>
      <c r="Q378" t="s">
        <v>7761</v>
      </c>
      <c r="R378" s="7">
        <v>37561</v>
      </c>
      <c r="S378" s="8">
        <f t="shared" si="40"/>
        <v>2002</v>
      </c>
      <c r="T378" s="8">
        <v>2002</v>
      </c>
      <c r="U378" s="8">
        <f t="shared" si="41"/>
        <v>20</v>
      </c>
      <c r="V378" s="7">
        <v>37561</v>
      </c>
      <c r="W378" t="s">
        <v>25</v>
      </c>
      <c r="X378" s="2">
        <v>0.29699999999999999</v>
      </c>
      <c r="Y378" s="6">
        <f t="shared" si="46"/>
        <v>7.9282453751901971E-3</v>
      </c>
      <c r="AA378">
        <v>10637842</v>
      </c>
      <c r="AB378">
        <v>12310</v>
      </c>
      <c r="AD378" t="s">
        <v>2</v>
      </c>
      <c r="AE378">
        <v>47</v>
      </c>
      <c r="AF378">
        <v>11</v>
      </c>
      <c r="AH378" t="s">
        <v>7760</v>
      </c>
      <c r="AI378" t="s">
        <v>7759</v>
      </c>
      <c r="AK378" t="s">
        <v>7758</v>
      </c>
      <c r="AL378">
        <v>2</v>
      </c>
      <c r="AM378" s="5">
        <f t="shared" si="42"/>
        <v>0.1</v>
      </c>
      <c r="AN378" s="4">
        <f t="shared" si="47"/>
        <v>1.5145778114350627E-4</v>
      </c>
      <c r="AO378" s="3"/>
      <c r="AP378">
        <v>0</v>
      </c>
      <c r="AQ378" t="s">
        <v>682</v>
      </c>
      <c r="AR378" t="s">
        <v>7757</v>
      </c>
      <c r="AS378" t="s">
        <v>526</v>
      </c>
      <c r="AT378" s="2">
        <v>0.65400000000000003</v>
      </c>
      <c r="AU378" s="1">
        <f t="shared" si="43"/>
        <v>0.55952090969761892</v>
      </c>
      <c r="AV378" s="1">
        <f t="shared" si="44"/>
        <v>0.4039851578166852</v>
      </c>
      <c r="AW378" s="1">
        <f t="shared" si="45"/>
        <v>0.24844940593575135</v>
      </c>
    </row>
    <row r="379" spans="1:49" x14ac:dyDescent="0.2">
      <c r="A379">
        <v>377</v>
      </c>
      <c r="B379" t="s">
        <v>7756</v>
      </c>
      <c r="C379" t="s">
        <v>7755</v>
      </c>
      <c r="E379">
        <v>12523568</v>
      </c>
      <c r="F379" t="s">
        <v>7754</v>
      </c>
      <c r="G379" t="s">
        <v>5</v>
      </c>
      <c r="H379" t="s">
        <v>4</v>
      </c>
      <c r="I379" t="s">
        <v>7753</v>
      </c>
      <c r="J379" t="s">
        <v>7752</v>
      </c>
      <c r="K379" t="s">
        <v>7751</v>
      </c>
      <c r="L379" t="s">
        <v>7750</v>
      </c>
      <c r="M379" t="s">
        <v>92</v>
      </c>
      <c r="N379">
        <v>8</v>
      </c>
      <c r="O379" t="s">
        <v>7749</v>
      </c>
      <c r="P379" t="s">
        <v>7748</v>
      </c>
      <c r="Q379" t="s">
        <v>7747</v>
      </c>
      <c r="R379" s="7">
        <v>37561</v>
      </c>
      <c r="S379" s="8">
        <f t="shared" si="40"/>
        <v>2002</v>
      </c>
      <c r="T379" s="8">
        <v>2002</v>
      </c>
      <c r="U379" s="8">
        <f t="shared" si="41"/>
        <v>20</v>
      </c>
      <c r="V379" s="7">
        <v>37561</v>
      </c>
      <c r="W379" t="s">
        <v>627</v>
      </c>
      <c r="X379" s="2">
        <v>0.85499999999999998</v>
      </c>
      <c r="Y379" s="6">
        <f t="shared" si="46"/>
        <v>2.28237366861536E-2</v>
      </c>
      <c r="AA379">
        <v>980331</v>
      </c>
      <c r="AB379">
        <v>23342</v>
      </c>
      <c r="AD379" t="s">
        <v>2</v>
      </c>
      <c r="AE379">
        <v>28</v>
      </c>
      <c r="AF379">
        <v>11</v>
      </c>
      <c r="AH379" t="s">
        <v>7746</v>
      </c>
      <c r="AI379" t="s">
        <v>7745</v>
      </c>
      <c r="AJ379" t="s">
        <v>7744</v>
      </c>
      <c r="AK379" t="s">
        <v>7743</v>
      </c>
      <c r="AL379">
        <v>63</v>
      </c>
      <c r="AM379" s="5">
        <f t="shared" si="42"/>
        <v>3.15</v>
      </c>
      <c r="AN379" s="4">
        <f t="shared" si="47"/>
        <v>4.7709201060204464E-3</v>
      </c>
      <c r="AO379" s="3"/>
      <c r="AP379">
        <v>0</v>
      </c>
      <c r="AQ379" t="s">
        <v>571</v>
      </c>
      <c r="AR379" t="s">
        <v>1</v>
      </c>
      <c r="AS379" t="s">
        <v>570</v>
      </c>
      <c r="AT379" s="2">
        <v>2.6259999999999999</v>
      </c>
      <c r="AU379" s="1">
        <f t="shared" si="43"/>
        <v>1.740789171211365</v>
      </c>
      <c r="AV379" s="1">
        <f t="shared" si="44"/>
        <v>1.3797328396087023</v>
      </c>
      <c r="AW379" s="1">
        <f t="shared" si="45"/>
        <v>1.0186765080060394</v>
      </c>
    </row>
    <row r="380" spans="1:49" x14ac:dyDescent="0.2">
      <c r="A380">
        <v>378</v>
      </c>
      <c r="B380" t="s">
        <v>7742</v>
      </c>
      <c r="C380" t="s">
        <v>7741</v>
      </c>
      <c r="D380" t="s">
        <v>7740</v>
      </c>
      <c r="F380" t="s">
        <v>7739</v>
      </c>
      <c r="G380" t="s">
        <v>5</v>
      </c>
      <c r="H380" t="s">
        <v>4</v>
      </c>
      <c r="I380" t="s">
        <v>7738</v>
      </c>
      <c r="J380" t="s">
        <v>7737</v>
      </c>
      <c r="K380" t="s">
        <v>7736</v>
      </c>
      <c r="L380" t="s">
        <v>7735</v>
      </c>
      <c r="M380" t="s">
        <v>248</v>
      </c>
      <c r="N380">
        <v>4</v>
      </c>
      <c r="O380" t="s">
        <v>7734</v>
      </c>
      <c r="P380" t="s">
        <v>7733</v>
      </c>
      <c r="Q380" t="s">
        <v>7732</v>
      </c>
      <c r="R380" s="7">
        <v>37561</v>
      </c>
      <c r="S380" s="8">
        <f t="shared" si="40"/>
        <v>2002</v>
      </c>
      <c r="T380" s="8">
        <v>2002</v>
      </c>
      <c r="U380" s="8">
        <f t="shared" si="41"/>
        <v>20</v>
      </c>
      <c r="V380" s="7">
        <v>37561</v>
      </c>
      <c r="W380" t="s">
        <v>425</v>
      </c>
      <c r="X380" s="2">
        <v>1.032</v>
      </c>
      <c r="Y380" s="6">
        <f t="shared" si="46"/>
        <v>2.7548650596620487E-2</v>
      </c>
      <c r="AA380">
        <v>1761617</v>
      </c>
      <c r="AB380">
        <v>19257</v>
      </c>
      <c r="AD380" t="s">
        <v>2</v>
      </c>
      <c r="AE380">
        <v>159</v>
      </c>
      <c r="AF380">
        <v>11</v>
      </c>
      <c r="AH380" t="s">
        <v>7731</v>
      </c>
      <c r="AI380" t="s">
        <v>7730</v>
      </c>
      <c r="AJ380" t="s">
        <v>7729</v>
      </c>
      <c r="AK380" t="s">
        <v>7728</v>
      </c>
      <c r="AL380">
        <v>70</v>
      </c>
      <c r="AM380" s="5">
        <f t="shared" si="42"/>
        <v>3.5</v>
      </c>
      <c r="AN380" s="4">
        <f t="shared" si="47"/>
        <v>5.301022340022719E-3</v>
      </c>
      <c r="AO380" s="3"/>
      <c r="AP380">
        <v>0</v>
      </c>
      <c r="AQ380" t="s">
        <v>7727</v>
      </c>
      <c r="AR380" t="s">
        <v>7726</v>
      </c>
      <c r="AS380" t="s">
        <v>473</v>
      </c>
      <c r="AT380" s="2">
        <v>3.5489999999999999</v>
      </c>
      <c r="AU380" s="1">
        <f t="shared" si="43"/>
        <v>2.0874362119641154</v>
      </c>
      <c r="AV380" s="1">
        <f t="shared" si="44"/>
        <v>1.6424836468321602</v>
      </c>
      <c r="AW380" s="1">
        <f t="shared" si="45"/>
        <v>1.1975310817002049</v>
      </c>
    </row>
    <row r="381" spans="1:49" x14ac:dyDescent="0.2">
      <c r="A381">
        <v>379</v>
      </c>
      <c r="B381" t="s">
        <v>7725</v>
      </c>
      <c r="C381" t="s">
        <v>7724</v>
      </c>
      <c r="F381" t="s">
        <v>7723</v>
      </c>
      <c r="G381" t="s">
        <v>5</v>
      </c>
      <c r="H381" t="s">
        <v>4</v>
      </c>
      <c r="I381" t="s">
        <v>7722</v>
      </c>
      <c r="J381" t="s">
        <v>7721</v>
      </c>
      <c r="K381" t="s">
        <v>7720</v>
      </c>
      <c r="L381" t="s">
        <v>7719</v>
      </c>
      <c r="M381" t="s">
        <v>601</v>
      </c>
      <c r="N381">
        <v>2</v>
      </c>
      <c r="O381" t="s">
        <v>7718</v>
      </c>
      <c r="P381" t="s">
        <v>7717</v>
      </c>
      <c r="Q381" t="s">
        <v>7716</v>
      </c>
      <c r="R381" s="7">
        <v>37561</v>
      </c>
      <c r="S381" s="8">
        <f t="shared" si="40"/>
        <v>2002</v>
      </c>
      <c r="T381" s="8">
        <v>2002</v>
      </c>
      <c r="U381" s="8">
        <f t="shared" si="41"/>
        <v>20</v>
      </c>
      <c r="V381" s="7">
        <v>37561</v>
      </c>
      <c r="W381" t="s">
        <v>352</v>
      </c>
      <c r="X381" s="2">
        <v>1.3720000000000001</v>
      </c>
      <c r="Y381" s="6">
        <f t="shared" si="46"/>
        <v>3.662475641333654E-2</v>
      </c>
      <c r="AA381">
        <v>189480</v>
      </c>
      <c r="AB381">
        <v>17366</v>
      </c>
      <c r="AD381" t="s">
        <v>2</v>
      </c>
      <c r="AE381">
        <v>50</v>
      </c>
      <c r="AF381" t="s">
        <v>7661</v>
      </c>
      <c r="AH381" t="s">
        <v>7715</v>
      </c>
      <c r="AI381" t="s">
        <v>7714</v>
      </c>
      <c r="AJ381" t="s">
        <v>7713</v>
      </c>
      <c r="AK381" t="s">
        <v>7712</v>
      </c>
      <c r="AL381">
        <v>12</v>
      </c>
      <c r="AM381" s="5">
        <f t="shared" si="42"/>
        <v>0.6</v>
      </c>
      <c r="AN381" s="4">
        <f t="shared" si="47"/>
        <v>9.0874668686103744E-4</v>
      </c>
      <c r="AO381" s="3"/>
      <c r="AP381">
        <v>0</v>
      </c>
      <c r="AR381" t="s">
        <v>1</v>
      </c>
      <c r="AT381" s="2" t="s">
        <v>0</v>
      </c>
      <c r="AU381" s="1">
        <f t="shared" si="43"/>
        <v>2.5909953495393889</v>
      </c>
      <c r="AV381" s="1">
        <f t="shared" si="44"/>
        <v>1.8766751550098788</v>
      </c>
      <c r="AW381" s="1">
        <f t="shared" si="45"/>
        <v>1.1623549604803689</v>
      </c>
    </row>
    <row r="382" spans="1:49" x14ac:dyDescent="0.2">
      <c r="A382">
        <v>380</v>
      </c>
      <c r="B382" t="s">
        <v>7711</v>
      </c>
      <c r="C382" t="s">
        <v>7710</v>
      </c>
      <c r="F382" t="s">
        <v>7709</v>
      </c>
      <c r="G382" t="s">
        <v>5</v>
      </c>
      <c r="H382" t="s">
        <v>4</v>
      </c>
      <c r="I382" t="s">
        <v>7708</v>
      </c>
      <c r="J382" t="s">
        <v>7707</v>
      </c>
      <c r="K382" t="s">
        <v>7706</v>
      </c>
      <c r="L382" t="s">
        <v>7705</v>
      </c>
      <c r="M382" t="s">
        <v>414</v>
      </c>
      <c r="N382">
        <v>3</v>
      </c>
      <c r="O382" t="s">
        <v>7704</v>
      </c>
      <c r="P382" t="s">
        <v>7703</v>
      </c>
      <c r="Q382" t="s">
        <v>7702</v>
      </c>
      <c r="R382" s="7">
        <v>37561</v>
      </c>
      <c r="S382" s="8">
        <f t="shared" si="40"/>
        <v>2002</v>
      </c>
      <c r="T382" s="8">
        <v>2002</v>
      </c>
      <c r="U382" s="8">
        <f t="shared" si="41"/>
        <v>20</v>
      </c>
      <c r="V382" s="7">
        <v>37561</v>
      </c>
      <c r="W382" t="s">
        <v>352</v>
      </c>
      <c r="X382" s="2">
        <v>1.3720000000000001</v>
      </c>
      <c r="Y382" s="6">
        <f t="shared" si="46"/>
        <v>3.662475641333654E-2</v>
      </c>
      <c r="AA382">
        <v>189480</v>
      </c>
      <c r="AB382">
        <v>17366</v>
      </c>
      <c r="AD382" t="s">
        <v>2</v>
      </c>
      <c r="AE382">
        <v>50</v>
      </c>
      <c r="AF382" t="s">
        <v>7661</v>
      </c>
      <c r="AH382" t="s">
        <v>7701</v>
      </c>
      <c r="AI382" t="s">
        <v>7700</v>
      </c>
      <c r="AJ382" t="s">
        <v>7699</v>
      </c>
      <c r="AK382" t="s">
        <v>7698</v>
      </c>
      <c r="AL382">
        <v>14</v>
      </c>
      <c r="AM382" s="5">
        <f t="shared" si="42"/>
        <v>0.7</v>
      </c>
      <c r="AN382" s="4">
        <f t="shared" si="47"/>
        <v>1.0602044680045437E-3</v>
      </c>
      <c r="AO382" s="3"/>
      <c r="AP382">
        <v>0</v>
      </c>
      <c r="AR382" t="s">
        <v>1</v>
      </c>
      <c r="AT382" s="2" t="s">
        <v>0</v>
      </c>
      <c r="AU382" s="1">
        <f t="shared" si="43"/>
        <v>2.5955390829736942</v>
      </c>
      <c r="AV382" s="1">
        <f t="shared" si="44"/>
        <v>1.8842480440670544</v>
      </c>
      <c r="AW382" s="1">
        <f t="shared" si="45"/>
        <v>1.1729570051604143</v>
      </c>
    </row>
    <row r="383" spans="1:49" x14ac:dyDescent="0.2">
      <c r="A383">
        <v>381</v>
      </c>
      <c r="B383" t="s">
        <v>7697</v>
      </c>
      <c r="F383" t="s">
        <v>7696</v>
      </c>
      <c r="G383" t="s">
        <v>5</v>
      </c>
      <c r="H383" t="s">
        <v>4</v>
      </c>
      <c r="I383" t="s">
        <v>7695</v>
      </c>
      <c r="N383">
        <v>1</v>
      </c>
      <c r="O383" t="s">
        <v>7694</v>
      </c>
      <c r="P383">
        <v>36803300600</v>
      </c>
      <c r="R383" s="7">
        <v>37561</v>
      </c>
      <c r="S383" s="8">
        <f t="shared" si="40"/>
        <v>2002</v>
      </c>
      <c r="T383" s="8">
        <v>2002</v>
      </c>
      <c r="U383" s="8">
        <f t="shared" si="41"/>
        <v>20</v>
      </c>
      <c r="V383" s="7">
        <v>37561</v>
      </c>
      <c r="W383" t="s">
        <v>7693</v>
      </c>
      <c r="X383" s="2" t="s">
        <v>0</v>
      </c>
      <c r="Y383" s="6" t="e">
        <f t="shared" si="46"/>
        <v>#VALUE!</v>
      </c>
      <c r="AA383">
        <v>134902</v>
      </c>
      <c r="AB383">
        <v>32898</v>
      </c>
      <c r="AD383" t="s">
        <v>2</v>
      </c>
      <c r="AE383">
        <v>74</v>
      </c>
      <c r="AF383">
        <v>909</v>
      </c>
      <c r="AH383" t="s">
        <v>7692</v>
      </c>
      <c r="AI383" t="s">
        <v>7691</v>
      </c>
      <c r="AK383" t="s">
        <v>7690</v>
      </c>
      <c r="AL383">
        <v>1</v>
      </c>
      <c r="AM383" s="5">
        <f t="shared" si="42"/>
        <v>0.05</v>
      </c>
      <c r="AN383" s="4">
        <f t="shared" si="47"/>
        <v>7.5728890571753133E-5</v>
      </c>
      <c r="AO383" s="3"/>
      <c r="AP383">
        <v>0</v>
      </c>
      <c r="AR383" t="s">
        <v>1</v>
      </c>
      <c r="AT383" s="2" t="s">
        <v>0</v>
      </c>
      <c r="AU383" s="1" t="e">
        <f t="shared" si="43"/>
        <v>#VALUE!</v>
      </c>
      <c r="AV383" s="1" t="e">
        <f t="shared" si="44"/>
        <v>#VALUE!</v>
      </c>
      <c r="AW383" s="1" t="e">
        <f t="shared" si="45"/>
        <v>#VALUE!</v>
      </c>
    </row>
    <row r="384" spans="1:49" x14ac:dyDescent="0.2">
      <c r="A384">
        <v>382</v>
      </c>
      <c r="B384" t="s">
        <v>7689</v>
      </c>
      <c r="C384" t="s">
        <v>7688</v>
      </c>
      <c r="F384" t="s">
        <v>7687</v>
      </c>
      <c r="G384" t="s">
        <v>5</v>
      </c>
      <c r="H384" t="s">
        <v>4</v>
      </c>
      <c r="I384" t="s">
        <v>7686</v>
      </c>
      <c r="J384">
        <v>60004176</v>
      </c>
      <c r="K384" t="s">
        <v>132</v>
      </c>
      <c r="L384" t="s">
        <v>131</v>
      </c>
      <c r="M384" t="s">
        <v>36</v>
      </c>
      <c r="N384">
        <v>2</v>
      </c>
      <c r="O384" t="s">
        <v>7685</v>
      </c>
      <c r="P384" t="s">
        <v>7684</v>
      </c>
      <c r="Q384" t="s">
        <v>624</v>
      </c>
      <c r="R384" s="7">
        <v>37561</v>
      </c>
      <c r="S384" s="8">
        <f t="shared" si="40"/>
        <v>2002</v>
      </c>
      <c r="T384" s="8">
        <v>2002</v>
      </c>
      <c r="U384" s="8">
        <f t="shared" si="41"/>
        <v>20</v>
      </c>
      <c r="V384" s="7">
        <v>37561</v>
      </c>
      <c r="W384" t="s">
        <v>928</v>
      </c>
      <c r="X384" s="2">
        <v>0.13900000000000001</v>
      </c>
      <c r="Y384" s="6">
        <f t="shared" si="46"/>
        <v>3.7105256133045036E-3</v>
      </c>
      <c r="AA384" t="s">
        <v>927</v>
      </c>
      <c r="AB384">
        <v>24891</v>
      </c>
      <c r="AD384" t="s">
        <v>2</v>
      </c>
      <c r="AE384">
        <v>85</v>
      </c>
      <c r="AF384">
        <v>11</v>
      </c>
      <c r="AH384" s="10">
        <v>42217</v>
      </c>
      <c r="AI384" t="s">
        <v>7683</v>
      </c>
      <c r="AJ384" t="s">
        <v>7682</v>
      </c>
      <c r="AK384" t="s">
        <v>7681</v>
      </c>
      <c r="AL384">
        <v>2</v>
      </c>
      <c r="AM384" s="5">
        <f t="shared" si="42"/>
        <v>0.1</v>
      </c>
      <c r="AN384" s="4">
        <f t="shared" si="47"/>
        <v>1.5145778114350627E-4</v>
      </c>
      <c r="AO384" s="3"/>
      <c r="AP384">
        <v>0</v>
      </c>
      <c r="AR384" t="s">
        <v>1</v>
      </c>
      <c r="AT384" s="2" t="s">
        <v>0</v>
      </c>
      <c r="AU384" s="1">
        <f t="shared" si="43"/>
        <v>0.26428052636562038</v>
      </c>
      <c r="AV384" s="1">
        <f t="shared" si="44"/>
        <v>0.19309916972240052</v>
      </c>
      <c r="AW384" s="1">
        <f t="shared" si="45"/>
        <v>0.12191781307918054</v>
      </c>
    </row>
    <row r="385" spans="1:49" x14ac:dyDescent="0.2">
      <c r="A385">
        <v>383</v>
      </c>
      <c r="B385" t="s">
        <v>7680</v>
      </c>
      <c r="C385" t="s">
        <v>7679</v>
      </c>
      <c r="F385" t="s">
        <v>7678</v>
      </c>
      <c r="G385" t="s">
        <v>5</v>
      </c>
      <c r="H385" t="s">
        <v>4</v>
      </c>
      <c r="I385" t="s">
        <v>7677</v>
      </c>
      <c r="J385" t="s">
        <v>7676</v>
      </c>
      <c r="K385" t="s">
        <v>7675</v>
      </c>
      <c r="L385" t="s">
        <v>428</v>
      </c>
      <c r="M385" t="s">
        <v>427</v>
      </c>
      <c r="N385">
        <v>5</v>
      </c>
      <c r="O385" t="s">
        <v>7674</v>
      </c>
      <c r="P385" t="s">
        <v>7673</v>
      </c>
      <c r="Q385" t="s">
        <v>7672</v>
      </c>
      <c r="R385" s="7">
        <v>37561</v>
      </c>
      <c r="S385" s="8">
        <f t="shared" si="40"/>
        <v>2002</v>
      </c>
      <c r="T385" s="8">
        <v>2002</v>
      </c>
      <c r="U385" s="8">
        <f t="shared" si="41"/>
        <v>20</v>
      </c>
      <c r="V385" s="7">
        <v>37561</v>
      </c>
      <c r="W385" t="s">
        <v>352</v>
      </c>
      <c r="X385" s="2">
        <v>1.3720000000000001</v>
      </c>
      <c r="Y385" s="6">
        <f t="shared" si="46"/>
        <v>3.662475641333654E-2</v>
      </c>
      <c r="AA385">
        <v>189480</v>
      </c>
      <c r="AB385">
        <v>17366</v>
      </c>
      <c r="AD385" t="s">
        <v>2</v>
      </c>
      <c r="AE385">
        <v>50</v>
      </c>
      <c r="AF385" t="s">
        <v>7661</v>
      </c>
      <c r="AH385" t="s">
        <v>7671</v>
      </c>
      <c r="AI385" t="s">
        <v>7670</v>
      </c>
      <c r="AJ385" t="s">
        <v>7669</v>
      </c>
      <c r="AK385" t="s">
        <v>7668</v>
      </c>
      <c r="AL385">
        <v>14</v>
      </c>
      <c r="AM385" s="5">
        <f t="shared" si="42"/>
        <v>0.7</v>
      </c>
      <c r="AN385" s="4">
        <f t="shared" si="47"/>
        <v>1.0602044680045437E-3</v>
      </c>
      <c r="AO385" s="3"/>
      <c r="AP385">
        <v>0</v>
      </c>
      <c r="AR385" t="s">
        <v>1</v>
      </c>
      <c r="AT385" s="2" t="s">
        <v>0</v>
      </c>
      <c r="AU385" s="1">
        <f t="shared" si="43"/>
        <v>2.5955390829736942</v>
      </c>
      <c r="AV385" s="1">
        <f t="shared" si="44"/>
        <v>1.8842480440670544</v>
      </c>
      <c r="AW385" s="1">
        <f t="shared" si="45"/>
        <v>1.1729570051604143</v>
      </c>
    </row>
    <row r="386" spans="1:49" x14ac:dyDescent="0.2">
      <c r="A386">
        <v>384</v>
      </c>
      <c r="B386" t="s">
        <v>7667</v>
      </c>
      <c r="C386" t="s">
        <v>7666</v>
      </c>
      <c r="F386" t="s">
        <v>7665</v>
      </c>
      <c r="G386" t="s">
        <v>5</v>
      </c>
      <c r="H386" t="s">
        <v>4</v>
      </c>
      <c r="I386" t="s">
        <v>685</v>
      </c>
      <c r="J386" t="s">
        <v>1079</v>
      </c>
      <c r="K386" t="s">
        <v>1078</v>
      </c>
      <c r="L386" t="s">
        <v>428</v>
      </c>
      <c r="M386" t="s">
        <v>427</v>
      </c>
      <c r="N386">
        <v>5</v>
      </c>
      <c r="O386" t="s">
        <v>7664</v>
      </c>
      <c r="P386" t="s">
        <v>7663</v>
      </c>
      <c r="Q386" t="s">
        <v>7662</v>
      </c>
      <c r="R386" s="7">
        <v>37561</v>
      </c>
      <c r="S386" s="8">
        <f t="shared" ref="S386:S449" si="48">YEAR(R386)</f>
        <v>2002</v>
      </c>
      <c r="T386" s="8">
        <v>2002</v>
      </c>
      <c r="U386" s="8">
        <f t="shared" ref="U386:U449" si="49">2022-T386</f>
        <v>20</v>
      </c>
      <c r="V386" s="7">
        <v>37561</v>
      </c>
      <c r="W386" t="s">
        <v>352</v>
      </c>
      <c r="X386" s="2">
        <v>1.3720000000000001</v>
      </c>
      <c r="Y386" s="6">
        <f t="shared" si="46"/>
        <v>3.662475641333654E-2</v>
      </c>
      <c r="AA386">
        <v>189480</v>
      </c>
      <c r="AB386">
        <v>17366</v>
      </c>
      <c r="AD386" t="s">
        <v>2</v>
      </c>
      <c r="AE386">
        <v>50</v>
      </c>
      <c r="AF386" t="s">
        <v>7661</v>
      </c>
      <c r="AH386" t="s">
        <v>7660</v>
      </c>
      <c r="AI386" t="s">
        <v>7659</v>
      </c>
      <c r="AJ386" t="s">
        <v>7658</v>
      </c>
      <c r="AK386" t="s">
        <v>7657</v>
      </c>
      <c r="AL386">
        <v>2</v>
      </c>
      <c r="AM386" s="5">
        <f t="shared" ref="AM386:AM449" si="50">AL386/U386</f>
        <v>0.1</v>
      </c>
      <c r="AN386" s="4">
        <f t="shared" si="47"/>
        <v>1.5145778114350627E-4</v>
      </c>
      <c r="AO386" s="3"/>
      <c r="AP386">
        <v>0</v>
      </c>
      <c r="AR386" t="s">
        <v>1</v>
      </c>
      <c r="AT386" s="2" t="s">
        <v>0</v>
      </c>
      <c r="AU386" s="1">
        <f t="shared" ref="AU386:AU449" si="51">(Y386*0.7+AN386*0.3)*100</f>
        <v>2.5682766823678627</v>
      </c>
      <c r="AV386" s="1">
        <f t="shared" ref="AV386:AV449" si="52">(Y386*0.5+AN386*0.5)*100</f>
        <v>1.8388107097240023</v>
      </c>
      <c r="AW386" s="1">
        <f t="shared" ref="AW386:AW449" si="53">(Y386*0.3+AN386*0.7)*100</f>
        <v>1.1093447370801417</v>
      </c>
    </row>
    <row r="387" spans="1:49" x14ac:dyDescent="0.2">
      <c r="A387">
        <v>385</v>
      </c>
      <c r="B387" t="s">
        <v>7656</v>
      </c>
      <c r="C387" t="s">
        <v>7655</v>
      </c>
      <c r="D387" t="s">
        <v>7654</v>
      </c>
      <c r="F387" t="s">
        <v>7653</v>
      </c>
      <c r="G387" t="s">
        <v>5</v>
      </c>
      <c r="H387" t="s">
        <v>4</v>
      </c>
      <c r="I387" t="s">
        <v>889</v>
      </c>
      <c r="J387" t="s">
        <v>7652</v>
      </c>
      <c r="K387" t="s">
        <v>7651</v>
      </c>
      <c r="L387" t="s">
        <v>7650</v>
      </c>
      <c r="M387" t="s">
        <v>7649</v>
      </c>
      <c r="N387">
        <v>4</v>
      </c>
      <c r="O387" t="s">
        <v>7648</v>
      </c>
      <c r="P387" t="s">
        <v>7647</v>
      </c>
      <c r="Q387" t="s">
        <v>7646</v>
      </c>
      <c r="R387" s="7">
        <v>37561</v>
      </c>
      <c r="S387" s="8">
        <f t="shared" si="48"/>
        <v>2002</v>
      </c>
      <c r="T387" s="8">
        <v>2002</v>
      </c>
      <c r="U387" s="8">
        <f t="shared" si="49"/>
        <v>20</v>
      </c>
      <c r="V387" s="7">
        <v>37561</v>
      </c>
      <c r="W387" t="s">
        <v>996</v>
      </c>
      <c r="X387" s="2">
        <v>1.0329999999999999</v>
      </c>
      <c r="Y387" s="6">
        <f t="shared" ref="Y387:Y450" si="54">(X387-$Z$3)/($Z$2-$Z$3)</f>
        <v>2.7575345025493178E-2</v>
      </c>
      <c r="AA387">
        <v>9532048</v>
      </c>
      <c r="AB387">
        <v>12278</v>
      </c>
      <c r="AD387" t="s">
        <v>2</v>
      </c>
      <c r="AE387">
        <v>15</v>
      </c>
      <c r="AF387">
        <v>11</v>
      </c>
      <c r="AH387" t="s">
        <v>7645</v>
      </c>
      <c r="AI387" t="s">
        <v>7644</v>
      </c>
      <c r="AK387" t="s">
        <v>7643</v>
      </c>
      <c r="AL387">
        <v>9</v>
      </c>
      <c r="AM387" s="5">
        <f t="shared" si="50"/>
        <v>0.45</v>
      </c>
      <c r="AN387" s="4">
        <f t="shared" ref="AN387:AN450" si="55">(AM387-$AO$3)/($AO$2-$AO$3)</f>
        <v>6.8156001514577808E-4</v>
      </c>
      <c r="AO387" s="3"/>
      <c r="AP387">
        <v>0</v>
      </c>
      <c r="AR387" t="s">
        <v>1</v>
      </c>
      <c r="AT387" s="2" t="s">
        <v>0</v>
      </c>
      <c r="AU387" s="1">
        <f t="shared" si="51"/>
        <v>1.9507209522388955</v>
      </c>
      <c r="AV387" s="1">
        <f t="shared" si="52"/>
        <v>1.4128452520319479</v>
      </c>
      <c r="AW387" s="1">
        <f t="shared" si="53"/>
        <v>0.8749695518249998</v>
      </c>
    </row>
    <row r="388" spans="1:49" x14ac:dyDescent="0.2">
      <c r="A388">
        <v>386</v>
      </c>
      <c r="B388" t="s">
        <v>7642</v>
      </c>
      <c r="C388" t="s">
        <v>7641</v>
      </c>
      <c r="D388" t="s">
        <v>7640</v>
      </c>
      <c r="F388" t="s">
        <v>7639</v>
      </c>
      <c r="G388" t="s">
        <v>5</v>
      </c>
      <c r="H388" t="s">
        <v>4</v>
      </c>
      <c r="I388" t="s">
        <v>7638</v>
      </c>
      <c r="J388">
        <v>60020828</v>
      </c>
      <c r="K388" t="s">
        <v>7637</v>
      </c>
      <c r="L388" t="s">
        <v>501</v>
      </c>
      <c r="M388" t="s">
        <v>308</v>
      </c>
      <c r="N388">
        <v>1</v>
      </c>
      <c r="O388" t="s">
        <v>7636</v>
      </c>
      <c r="P388">
        <v>7102402426</v>
      </c>
      <c r="Q388">
        <v>60020828</v>
      </c>
      <c r="R388" s="7">
        <v>37561</v>
      </c>
      <c r="S388" s="8">
        <f t="shared" si="48"/>
        <v>2002</v>
      </c>
      <c r="T388" s="8">
        <v>2002</v>
      </c>
      <c r="U388" s="8">
        <f t="shared" si="49"/>
        <v>20</v>
      </c>
      <c r="V388" s="7">
        <v>37561</v>
      </c>
      <c r="W388" t="s">
        <v>287</v>
      </c>
      <c r="X388" s="2">
        <v>1.774</v>
      </c>
      <c r="Y388" s="6">
        <f t="shared" si="54"/>
        <v>4.7355916820159633E-2</v>
      </c>
      <c r="AA388">
        <v>295515</v>
      </c>
      <c r="AB388">
        <v>29066</v>
      </c>
      <c r="AD388" t="s">
        <v>2</v>
      </c>
      <c r="AE388">
        <v>42</v>
      </c>
      <c r="AF388">
        <v>11</v>
      </c>
      <c r="AH388" t="s">
        <v>7635</v>
      </c>
      <c r="AI388" t="s">
        <v>7634</v>
      </c>
      <c r="AK388" t="s">
        <v>7633</v>
      </c>
      <c r="AL388">
        <v>1</v>
      </c>
      <c r="AM388" s="5">
        <f t="shared" si="50"/>
        <v>0.05</v>
      </c>
      <c r="AN388" s="4">
        <f t="shared" si="55"/>
        <v>7.5728890571753133E-5</v>
      </c>
      <c r="AO388" s="3"/>
      <c r="AP388">
        <v>0</v>
      </c>
      <c r="AR388" t="s">
        <v>1</v>
      </c>
      <c r="AT388" s="2">
        <v>3.1789999999999998</v>
      </c>
      <c r="AU388" s="1">
        <f t="shared" si="51"/>
        <v>3.3171860441283263</v>
      </c>
      <c r="AV388" s="1">
        <f t="shared" si="52"/>
        <v>2.3715822855365691</v>
      </c>
      <c r="AW388" s="1">
        <f t="shared" si="53"/>
        <v>1.4259785269448118</v>
      </c>
    </row>
    <row r="389" spans="1:49" x14ac:dyDescent="0.2">
      <c r="A389">
        <v>387</v>
      </c>
      <c r="B389" t="s">
        <v>7632</v>
      </c>
      <c r="C389" t="s">
        <v>7631</v>
      </c>
      <c r="D389" t="s">
        <v>7630</v>
      </c>
      <c r="F389" t="s">
        <v>7629</v>
      </c>
      <c r="G389" t="s">
        <v>5</v>
      </c>
      <c r="H389" t="s">
        <v>4</v>
      </c>
      <c r="I389" t="s">
        <v>2059</v>
      </c>
      <c r="J389">
        <v>60010023</v>
      </c>
      <c r="K389" t="s">
        <v>2058</v>
      </c>
      <c r="L389" t="s">
        <v>2057</v>
      </c>
      <c r="M389" t="s">
        <v>45</v>
      </c>
      <c r="N389">
        <v>3</v>
      </c>
      <c r="O389" t="s">
        <v>7628</v>
      </c>
      <c r="P389" t="s">
        <v>7627</v>
      </c>
      <c r="Q389" t="s">
        <v>2054</v>
      </c>
      <c r="R389" s="7">
        <v>37561</v>
      </c>
      <c r="S389" s="8">
        <f t="shared" si="48"/>
        <v>2002</v>
      </c>
      <c r="T389" s="8">
        <v>2002</v>
      </c>
      <c r="U389" s="8">
        <f t="shared" si="49"/>
        <v>20</v>
      </c>
      <c r="V389" s="7">
        <v>37561</v>
      </c>
      <c r="W389" t="s">
        <v>628</v>
      </c>
      <c r="X389" s="2">
        <v>0.89900000000000002</v>
      </c>
      <c r="Y389" s="6">
        <f t="shared" si="54"/>
        <v>2.399829155655215E-2</v>
      </c>
      <c r="AA389">
        <v>221910</v>
      </c>
      <c r="AB389">
        <v>20487</v>
      </c>
      <c r="AD389" t="s">
        <v>2</v>
      </c>
      <c r="AE389">
        <v>48</v>
      </c>
      <c r="AF389">
        <v>11</v>
      </c>
      <c r="AH389" t="s">
        <v>7626</v>
      </c>
      <c r="AI389" t="s">
        <v>7625</v>
      </c>
      <c r="AJ389" t="s">
        <v>7624</v>
      </c>
      <c r="AK389" t="s">
        <v>7623</v>
      </c>
      <c r="AL389">
        <v>13</v>
      </c>
      <c r="AM389" s="5">
        <f t="shared" si="50"/>
        <v>0.65</v>
      </c>
      <c r="AN389" s="4">
        <f t="shared" si="55"/>
        <v>9.8447557743279067E-4</v>
      </c>
      <c r="AO389" s="3"/>
      <c r="AP389">
        <v>0</v>
      </c>
      <c r="AQ389" t="s">
        <v>24</v>
      </c>
      <c r="AR389" t="s">
        <v>7622</v>
      </c>
      <c r="AS389" t="s">
        <v>23</v>
      </c>
      <c r="AT389" s="2">
        <v>2.3540000000000001</v>
      </c>
      <c r="AU389" s="1">
        <f t="shared" si="51"/>
        <v>1.7094146762816338</v>
      </c>
      <c r="AV389" s="1">
        <f t="shared" si="52"/>
        <v>1.2491383566992471</v>
      </c>
      <c r="AW389" s="1">
        <f t="shared" si="53"/>
        <v>0.78886203711685987</v>
      </c>
    </row>
    <row r="390" spans="1:49" x14ac:dyDescent="0.2">
      <c r="A390">
        <v>388</v>
      </c>
      <c r="B390" t="s">
        <v>7621</v>
      </c>
      <c r="C390" t="s">
        <v>7620</v>
      </c>
      <c r="F390" t="s">
        <v>7619</v>
      </c>
      <c r="G390" t="s">
        <v>5</v>
      </c>
      <c r="H390" t="s">
        <v>4</v>
      </c>
      <c r="I390" t="s">
        <v>93</v>
      </c>
      <c r="J390" t="s">
        <v>7618</v>
      </c>
      <c r="K390" t="s">
        <v>7617</v>
      </c>
      <c r="L390" t="s">
        <v>7616</v>
      </c>
      <c r="M390" t="s">
        <v>102</v>
      </c>
      <c r="N390">
        <v>4</v>
      </c>
      <c r="O390" t="s">
        <v>7615</v>
      </c>
      <c r="P390" t="s">
        <v>7614</v>
      </c>
      <c r="Q390" t="s">
        <v>7613</v>
      </c>
      <c r="R390" s="7">
        <v>37561</v>
      </c>
      <c r="S390" s="8">
        <f t="shared" si="48"/>
        <v>2002</v>
      </c>
      <c r="T390" s="8">
        <v>2002</v>
      </c>
      <c r="U390" s="8">
        <f t="shared" si="49"/>
        <v>20</v>
      </c>
      <c r="V390" s="7">
        <v>37561</v>
      </c>
      <c r="W390" t="s">
        <v>1072</v>
      </c>
      <c r="X390" s="2">
        <v>0.81</v>
      </c>
      <c r="Y390" s="6">
        <f t="shared" si="54"/>
        <v>2.1622487386882359E-2</v>
      </c>
      <c r="AA390">
        <v>10411135</v>
      </c>
      <c r="AB390">
        <v>12116</v>
      </c>
      <c r="AD390" t="s">
        <v>2</v>
      </c>
      <c r="AE390">
        <v>14</v>
      </c>
      <c r="AF390">
        <v>11</v>
      </c>
      <c r="AH390" t="s">
        <v>7612</v>
      </c>
      <c r="AI390" t="s">
        <v>7611</v>
      </c>
      <c r="AJ390" t="s">
        <v>7610</v>
      </c>
      <c r="AK390" t="s">
        <v>7609</v>
      </c>
      <c r="AL390">
        <v>14</v>
      </c>
      <c r="AM390" s="5">
        <f t="shared" si="50"/>
        <v>0.7</v>
      </c>
      <c r="AN390" s="4">
        <f t="shared" si="55"/>
        <v>1.0602044680045437E-3</v>
      </c>
      <c r="AO390" s="3"/>
      <c r="AP390">
        <v>0</v>
      </c>
      <c r="AQ390" t="s">
        <v>6501</v>
      </c>
      <c r="AR390" t="s">
        <v>7608</v>
      </c>
      <c r="AS390" t="s">
        <v>6499</v>
      </c>
      <c r="AT390" s="2">
        <v>2.468</v>
      </c>
      <c r="AU390" s="1">
        <f t="shared" si="51"/>
        <v>1.5453802511219012</v>
      </c>
      <c r="AV390" s="1">
        <f t="shared" si="52"/>
        <v>1.1341345927443451</v>
      </c>
      <c r="AW390" s="1">
        <f t="shared" si="53"/>
        <v>0.7228889343667888</v>
      </c>
    </row>
    <row r="391" spans="1:49" x14ac:dyDescent="0.2">
      <c r="A391">
        <v>389</v>
      </c>
      <c r="B391" t="s">
        <v>7607</v>
      </c>
      <c r="C391" t="s">
        <v>7606</v>
      </c>
      <c r="E391">
        <v>12450365</v>
      </c>
      <c r="F391" t="s">
        <v>7605</v>
      </c>
      <c r="G391" t="s">
        <v>5</v>
      </c>
      <c r="H391" t="s">
        <v>4</v>
      </c>
      <c r="I391" t="s">
        <v>7604</v>
      </c>
      <c r="J391" t="s">
        <v>7603</v>
      </c>
      <c r="K391" t="s">
        <v>7602</v>
      </c>
      <c r="L391" t="s">
        <v>7601</v>
      </c>
      <c r="M391" t="s">
        <v>7600</v>
      </c>
      <c r="N391">
        <v>8</v>
      </c>
      <c r="O391" t="s">
        <v>7599</v>
      </c>
      <c r="P391" t="s">
        <v>7598</v>
      </c>
      <c r="Q391" t="s">
        <v>7597</v>
      </c>
      <c r="R391" s="7">
        <v>37561</v>
      </c>
      <c r="S391" s="8">
        <f t="shared" si="48"/>
        <v>2002</v>
      </c>
      <c r="T391" s="8">
        <v>2002</v>
      </c>
      <c r="U391" s="8">
        <f t="shared" si="49"/>
        <v>20</v>
      </c>
      <c r="V391" s="7">
        <v>37561</v>
      </c>
      <c r="W391" t="s">
        <v>2391</v>
      </c>
      <c r="X391" s="2">
        <v>1.1479999999999999</v>
      </c>
      <c r="Y391" s="6">
        <f t="shared" si="54"/>
        <v>3.0645204345853019E-2</v>
      </c>
      <c r="AA391">
        <v>189294</v>
      </c>
      <c r="AB391">
        <v>16318</v>
      </c>
      <c r="AD391" t="s">
        <v>2</v>
      </c>
      <c r="AE391">
        <v>49</v>
      </c>
      <c r="AF391">
        <v>11</v>
      </c>
      <c r="AH391" t="s">
        <v>7596</v>
      </c>
      <c r="AI391" t="s">
        <v>7595</v>
      </c>
      <c r="AJ391" t="s">
        <v>7594</v>
      </c>
      <c r="AK391" t="s">
        <v>7593</v>
      </c>
      <c r="AL391">
        <v>32</v>
      </c>
      <c r="AM391" s="5">
        <f t="shared" si="50"/>
        <v>1.6</v>
      </c>
      <c r="AN391" s="4">
        <f t="shared" si="55"/>
        <v>2.4233244982961003E-3</v>
      </c>
      <c r="AO391" s="3"/>
      <c r="AP391">
        <v>0</v>
      </c>
      <c r="AQ391" t="s">
        <v>318</v>
      </c>
      <c r="AR391" t="s">
        <v>1</v>
      </c>
      <c r="AS391" t="s">
        <v>317</v>
      </c>
      <c r="AT391" s="2" t="s">
        <v>0</v>
      </c>
      <c r="AU391" s="1">
        <f t="shared" si="51"/>
        <v>2.2178640391585942</v>
      </c>
      <c r="AV391" s="1">
        <f t="shared" si="52"/>
        <v>1.6534264422074558</v>
      </c>
      <c r="AW391" s="1">
        <f t="shared" si="53"/>
        <v>1.0889888452563175</v>
      </c>
    </row>
    <row r="392" spans="1:49" x14ac:dyDescent="0.2">
      <c r="A392">
        <v>390</v>
      </c>
      <c r="B392" t="s">
        <v>7592</v>
      </c>
      <c r="C392" t="s">
        <v>7591</v>
      </c>
      <c r="F392" t="s">
        <v>7590</v>
      </c>
      <c r="G392" t="s">
        <v>5</v>
      </c>
      <c r="H392" t="s">
        <v>4</v>
      </c>
      <c r="I392" t="s">
        <v>906</v>
      </c>
      <c r="J392">
        <v>60080744</v>
      </c>
      <c r="K392" t="s">
        <v>905</v>
      </c>
      <c r="L392" t="s">
        <v>904</v>
      </c>
      <c r="M392" t="s">
        <v>152</v>
      </c>
      <c r="N392">
        <v>1</v>
      </c>
      <c r="O392" t="s">
        <v>903</v>
      </c>
      <c r="P392">
        <v>7201869206</v>
      </c>
      <c r="Q392">
        <v>60080744</v>
      </c>
      <c r="R392" s="7">
        <v>37561</v>
      </c>
      <c r="S392" s="8">
        <f t="shared" si="48"/>
        <v>2002</v>
      </c>
      <c r="T392" s="8">
        <v>2002</v>
      </c>
      <c r="U392" s="8">
        <f t="shared" si="49"/>
        <v>20</v>
      </c>
      <c r="V392" s="7">
        <v>37561</v>
      </c>
      <c r="W392" t="s">
        <v>304</v>
      </c>
      <c r="X392" s="2">
        <v>0.33500000000000002</v>
      </c>
      <c r="Y392" s="6">
        <f t="shared" si="54"/>
        <v>8.94263367235258E-3</v>
      </c>
      <c r="AA392">
        <v>10964290</v>
      </c>
      <c r="AB392">
        <v>18201</v>
      </c>
      <c r="AD392" t="s">
        <v>2</v>
      </c>
      <c r="AE392">
        <v>12</v>
      </c>
      <c r="AF392">
        <v>6</v>
      </c>
      <c r="AH392" t="s">
        <v>7589</v>
      </c>
      <c r="AI392" t="s">
        <v>7588</v>
      </c>
      <c r="AJ392" t="s">
        <v>7587</v>
      </c>
      <c r="AK392" t="s">
        <v>7586</v>
      </c>
      <c r="AL392">
        <v>2</v>
      </c>
      <c r="AM392" s="5">
        <f t="shared" si="50"/>
        <v>0.1</v>
      </c>
      <c r="AN392" s="4">
        <f t="shared" si="55"/>
        <v>1.5145778114350627E-4</v>
      </c>
      <c r="AO392" s="3"/>
      <c r="AP392">
        <v>0</v>
      </c>
      <c r="AR392" t="s">
        <v>1</v>
      </c>
      <c r="AT392" s="2">
        <v>1.694</v>
      </c>
      <c r="AU392" s="1">
        <f t="shared" si="51"/>
        <v>0.63052809049898584</v>
      </c>
      <c r="AV392" s="1">
        <f t="shared" si="52"/>
        <v>0.45470457267480435</v>
      </c>
      <c r="AW392" s="1">
        <f t="shared" si="53"/>
        <v>0.27888105485062281</v>
      </c>
    </row>
    <row r="393" spans="1:49" x14ac:dyDescent="0.2">
      <c r="A393">
        <v>391</v>
      </c>
      <c r="B393" t="s">
        <v>7585</v>
      </c>
      <c r="C393" t="s">
        <v>7584</v>
      </c>
      <c r="F393" t="s">
        <v>7583</v>
      </c>
      <c r="G393" t="s">
        <v>5</v>
      </c>
      <c r="H393" t="s">
        <v>4</v>
      </c>
      <c r="I393" t="s">
        <v>142</v>
      </c>
      <c r="J393" t="s">
        <v>7578</v>
      </c>
      <c r="K393" t="s">
        <v>7582</v>
      </c>
      <c r="L393" t="s">
        <v>7581</v>
      </c>
      <c r="M393" t="s">
        <v>248</v>
      </c>
      <c r="N393">
        <v>2</v>
      </c>
      <c r="O393" t="s">
        <v>7580</v>
      </c>
      <c r="P393" t="s">
        <v>7579</v>
      </c>
      <c r="Q393" t="s">
        <v>7578</v>
      </c>
      <c r="R393" s="7">
        <v>37561</v>
      </c>
      <c r="S393" s="8">
        <f t="shared" si="48"/>
        <v>2002</v>
      </c>
      <c r="T393" s="8">
        <v>2002</v>
      </c>
      <c r="U393" s="8">
        <f t="shared" si="49"/>
        <v>20</v>
      </c>
      <c r="V393" s="7">
        <v>37561</v>
      </c>
      <c r="W393" t="s">
        <v>304</v>
      </c>
      <c r="X393" s="2">
        <v>0.33500000000000002</v>
      </c>
      <c r="Y393" s="6">
        <f t="shared" si="54"/>
        <v>8.94263367235258E-3</v>
      </c>
      <c r="AA393">
        <v>10964290</v>
      </c>
      <c r="AB393">
        <v>18201</v>
      </c>
      <c r="AD393" t="s">
        <v>2</v>
      </c>
      <c r="AE393">
        <v>12</v>
      </c>
      <c r="AF393">
        <v>6</v>
      </c>
      <c r="AH393" t="s">
        <v>7577</v>
      </c>
      <c r="AI393" t="s">
        <v>7576</v>
      </c>
      <c r="AJ393" t="s">
        <v>7575</v>
      </c>
      <c r="AK393" t="s">
        <v>7574</v>
      </c>
      <c r="AL393">
        <v>18</v>
      </c>
      <c r="AM393" s="5">
        <f t="shared" si="50"/>
        <v>0.9</v>
      </c>
      <c r="AN393" s="4">
        <f t="shared" si="55"/>
        <v>1.3631200302915562E-3</v>
      </c>
      <c r="AO393" s="3"/>
      <c r="AP393">
        <v>0</v>
      </c>
      <c r="AR393" t="s">
        <v>1</v>
      </c>
      <c r="AT393" s="2">
        <v>1.694</v>
      </c>
      <c r="AU393" s="1">
        <f t="shared" si="51"/>
        <v>0.66687795797342719</v>
      </c>
      <c r="AV393" s="1">
        <f t="shared" si="52"/>
        <v>0.5152876851322068</v>
      </c>
      <c r="AW393" s="1">
        <f t="shared" si="53"/>
        <v>0.36369741229098629</v>
      </c>
    </row>
    <row r="394" spans="1:49" x14ac:dyDescent="0.2">
      <c r="A394">
        <v>392</v>
      </c>
      <c r="B394" t="s">
        <v>7573</v>
      </c>
      <c r="C394" t="s">
        <v>7572</v>
      </c>
      <c r="F394" t="s">
        <v>7571</v>
      </c>
      <c r="G394" t="s">
        <v>5</v>
      </c>
      <c r="H394" t="s">
        <v>4</v>
      </c>
      <c r="I394" t="s">
        <v>7570</v>
      </c>
      <c r="J394" t="s">
        <v>7569</v>
      </c>
      <c r="K394" t="s">
        <v>7568</v>
      </c>
      <c r="L394" t="s">
        <v>7567</v>
      </c>
      <c r="M394" t="s">
        <v>7566</v>
      </c>
      <c r="N394">
        <v>3</v>
      </c>
      <c r="O394" t="s">
        <v>7565</v>
      </c>
      <c r="P394" t="s">
        <v>7564</v>
      </c>
      <c r="Q394" t="s">
        <v>7563</v>
      </c>
      <c r="R394" s="7">
        <v>37561</v>
      </c>
      <c r="S394" s="8">
        <f t="shared" si="48"/>
        <v>2002</v>
      </c>
      <c r="T394" s="8">
        <v>2002</v>
      </c>
      <c r="U394" s="8">
        <f t="shared" si="49"/>
        <v>20</v>
      </c>
      <c r="V394" s="7">
        <v>37561</v>
      </c>
      <c r="W394" t="s">
        <v>322</v>
      </c>
      <c r="X394" s="2">
        <v>1.6379999999999999</v>
      </c>
      <c r="Y394" s="6">
        <f t="shared" si="54"/>
        <v>4.3725474493473214E-2</v>
      </c>
      <c r="AA394" t="s">
        <v>321</v>
      </c>
      <c r="AB394">
        <v>17391</v>
      </c>
      <c r="AD394" t="s">
        <v>2</v>
      </c>
      <c r="AE394">
        <v>50</v>
      </c>
      <c r="AF394">
        <v>11</v>
      </c>
      <c r="AH394" t="s">
        <v>7562</v>
      </c>
      <c r="AI394" t="s">
        <v>7561</v>
      </c>
      <c r="AJ394" t="s">
        <v>7560</v>
      </c>
      <c r="AK394" t="s">
        <v>7559</v>
      </c>
      <c r="AL394">
        <v>112</v>
      </c>
      <c r="AM394" s="5">
        <f t="shared" si="50"/>
        <v>5.6</v>
      </c>
      <c r="AN394" s="4">
        <f t="shared" si="55"/>
        <v>8.4816357440363494E-3</v>
      </c>
      <c r="AO394" s="3"/>
      <c r="AP394">
        <v>0</v>
      </c>
      <c r="AQ394" t="s">
        <v>571</v>
      </c>
      <c r="AR394" t="s">
        <v>7558</v>
      </c>
      <c r="AS394" t="s">
        <v>570</v>
      </c>
      <c r="AT394" s="2">
        <v>4.931</v>
      </c>
      <c r="AU394" s="1">
        <f t="shared" si="51"/>
        <v>3.3152322868642154</v>
      </c>
      <c r="AV394" s="1">
        <f t="shared" si="52"/>
        <v>2.6103555118754782</v>
      </c>
      <c r="AW394" s="1">
        <f t="shared" si="53"/>
        <v>1.905478736886741</v>
      </c>
    </row>
    <row r="395" spans="1:49" x14ac:dyDescent="0.2">
      <c r="A395">
        <v>393</v>
      </c>
      <c r="B395" t="s">
        <v>7557</v>
      </c>
      <c r="C395" t="s">
        <v>7556</v>
      </c>
      <c r="D395" t="s">
        <v>7555</v>
      </c>
      <c r="E395">
        <v>12530222</v>
      </c>
      <c r="F395" t="s">
        <v>7554</v>
      </c>
      <c r="G395" t="s">
        <v>5</v>
      </c>
      <c r="H395" t="s">
        <v>4</v>
      </c>
      <c r="I395" t="s">
        <v>7553</v>
      </c>
      <c r="J395" t="s">
        <v>7552</v>
      </c>
      <c r="K395" t="s">
        <v>7551</v>
      </c>
      <c r="L395" t="s">
        <v>7550</v>
      </c>
      <c r="M395" t="s">
        <v>932</v>
      </c>
      <c r="N395">
        <v>4</v>
      </c>
      <c r="O395" t="s">
        <v>7549</v>
      </c>
      <c r="P395" t="s">
        <v>7548</v>
      </c>
      <c r="Q395" t="s">
        <v>7547</v>
      </c>
      <c r="R395" s="7">
        <v>37561</v>
      </c>
      <c r="S395" s="8">
        <f t="shared" si="48"/>
        <v>2002</v>
      </c>
      <c r="T395" s="8">
        <v>2002</v>
      </c>
      <c r="U395" s="8">
        <f t="shared" si="49"/>
        <v>20</v>
      </c>
      <c r="V395" s="7">
        <v>37561</v>
      </c>
      <c r="W395" t="s">
        <v>7546</v>
      </c>
      <c r="X395" s="2">
        <v>1.718</v>
      </c>
      <c r="Y395" s="6">
        <f t="shared" si="54"/>
        <v>4.5861028803288753E-2</v>
      </c>
      <c r="AA395">
        <v>9651748</v>
      </c>
      <c r="AB395">
        <v>20384</v>
      </c>
      <c r="AD395" t="s">
        <v>2</v>
      </c>
      <c r="AE395">
        <v>32</v>
      </c>
      <c r="AF395">
        <v>11</v>
      </c>
      <c r="AH395" t="s">
        <v>7545</v>
      </c>
      <c r="AI395" t="s">
        <v>7544</v>
      </c>
      <c r="AJ395" t="s">
        <v>7543</v>
      </c>
      <c r="AK395" t="s">
        <v>7542</v>
      </c>
      <c r="AL395">
        <v>19</v>
      </c>
      <c r="AM395" s="5">
        <f t="shared" si="50"/>
        <v>0.95</v>
      </c>
      <c r="AN395" s="4">
        <f t="shared" si="55"/>
        <v>1.4388489208633094E-3</v>
      </c>
      <c r="AO395" s="3"/>
      <c r="AP395">
        <v>0</v>
      </c>
      <c r="AQ395" t="s">
        <v>7541</v>
      </c>
      <c r="AR395" t="s">
        <v>7540</v>
      </c>
      <c r="AS395" t="s">
        <v>7539</v>
      </c>
      <c r="AT395" s="2" t="s">
        <v>0</v>
      </c>
      <c r="AU395" s="1">
        <f t="shared" si="51"/>
        <v>3.2534374838561115</v>
      </c>
      <c r="AV395" s="1">
        <f t="shared" si="52"/>
        <v>2.364993886207603</v>
      </c>
      <c r="AW395" s="1">
        <f t="shared" si="53"/>
        <v>1.4765502885590942</v>
      </c>
    </row>
    <row r="396" spans="1:49" x14ac:dyDescent="0.2">
      <c r="A396">
        <v>394</v>
      </c>
      <c r="B396" t="s">
        <v>7538</v>
      </c>
      <c r="C396" t="s">
        <v>7537</v>
      </c>
      <c r="D396" t="s">
        <v>7536</v>
      </c>
      <c r="F396" t="s">
        <v>7535</v>
      </c>
      <c r="G396" t="s">
        <v>5</v>
      </c>
      <c r="H396" t="s">
        <v>4</v>
      </c>
      <c r="I396" t="s">
        <v>7534</v>
      </c>
      <c r="J396" t="s">
        <v>7533</v>
      </c>
      <c r="K396" t="s">
        <v>7532</v>
      </c>
      <c r="L396" t="s">
        <v>7531</v>
      </c>
      <c r="M396" t="s">
        <v>22</v>
      </c>
      <c r="N396">
        <v>4</v>
      </c>
      <c r="O396" t="s">
        <v>7530</v>
      </c>
      <c r="P396" t="s">
        <v>7529</v>
      </c>
      <c r="Q396" t="s">
        <v>7528</v>
      </c>
      <c r="R396" s="7">
        <v>37561</v>
      </c>
      <c r="S396" s="8">
        <f t="shared" si="48"/>
        <v>2002</v>
      </c>
      <c r="T396" s="8">
        <v>2002</v>
      </c>
      <c r="U396" s="8">
        <f t="shared" si="49"/>
        <v>20</v>
      </c>
      <c r="V396" s="7">
        <v>37561</v>
      </c>
      <c r="W396" t="s">
        <v>303</v>
      </c>
      <c r="X396" s="2">
        <v>1.1339999999999999</v>
      </c>
      <c r="Y396" s="6">
        <f t="shared" si="54"/>
        <v>3.0271482341635299E-2</v>
      </c>
      <c r="AA396">
        <v>945765</v>
      </c>
      <c r="AB396">
        <v>12372</v>
      </c>
      <c r="AD396" t="s">
        <v>2</v>
      </c>
      <c r="AE396">
        <v>51</v>
      </c>
      <c r="AF396">
        <v>11</v>
      </c>
      <c r="AH396" t="s">
        <v>7527</v>
      </c>
      <c r="AI396" t="s">
        <v>7526</v>
      </c>
      <c r="AK396" t="s">
        <v>7525</v>
      </c>
      <c r="AL396">
        <v>12</v>
      </c>
      <c r="AM396" s="5">
        <f t="shared" si="50"/>
        <v>0.6</v>
      </c>
      <c r="AN396" s="4">
        <f t="shared" si="55"/>
        <v>9.0874668686103744E-4</v>
      </c>
      <c r="AO396" s="3"/>
      <c r="AP396">
        <v>0</v>
      </c>
      <c r="AR396" t="s">
        <v>1</v>
      </c>
      <c r="AT396" s="2">
        <v>2.4129999999999998</v>
      </c>
      <c r="AU396" s="1">
        <f t="shared" si="51"/>
        <v>2.1462661645203021</v>
      </c>
      <c r="AV396" s="1">
        <f t="shared" si="52"/>
        <v>1.5590114514248168</v>
      </c>
      <c r="AW396" s="1">
        <f t="shared" si="53"/>
        <v>0.97175673832933152</v>
      </c>
    </row>
    <row r="397" spans="1:49" x14ac:dyDescent="0.2">
      <c r="A397">
        <v>395</v>
      </c>
      <c r="B397" t="s">
        <v>7524</v>
      </c>
      <c r="C397" t="s">
        <v>7523</v>
      </c>
      <c r="E397">
        <v>12353300</v>
      </c>
      <c r="F397" t="s">
        <v>7522</v>
      </c>
      <c r="G397" t="s">
        <v>5</v>
      </c>
      <c r="H397" t="s">
        <v>4</v>
      </c>
      <c r="I397" t="s">
        <v>7521</v>
      </c>
      <c r="J397">
        <v>60010065</v>
      </c>
      <c r="K397" t="s">
        <v>758</v>
      </c>
      <c r="L397" t="s">
        <v>757</v>
      </c>
      <c r="M397" t="s">
        <v>7</v>
      </c>
      <c r="N397">
        <v>1</v>
      </c>
      <c r="O397" t="s">
        <v>7520</v>
      </c>
      <c r="P397">
        <v>7403128130</v>
      </c>
      <c r="Q397">
        <v>60010065</v>
      </c>
      <c r="R397" s="7">
        <v>37561</v>
      </c>
      <c r="S397" s="8">
        <f t="shared" si="48"/>
        <v>2002</v>
      </c>
      <c r="T397" s="8">
        <v>2002</v>
      </c>
      <c r="U397" s="8">
        <f t="shared" si="49"/>
        <v>20</v>
      </c>
      <c r="V397" s="7">
        <v>37561</v>
      </c>
      <c r="W397" t="s">
        <v>2092</v>
      </c>
      <c r="X397" s="2">
        <v>0.65200000000000002</v>
      </c>
      <c r="Y397" s="6">
        <f t="shared" si="54"/>
        <v>1.7404767624996664E-2</v>
      </c>
      <c r="AA397">
        <v>3622525</v>
      </c>
      <c r="AB397">
        <v>29629</v>
      </c>
      <c r="AD397" t="s">
        <v>2</v>
      </c>
      <c r="AE397">
        <v>254</v>
      </c>
      <c r="AF397">
        <v>2</v>
      </c>
      <c r="AH397" t="s">
        <v>7519</v>
      </c>
      <c r="AI397" t="s">
        <v>7518</v>
      </c>
      <c r="AJ397" t="s">
        <v>7517</v>
      </c>
      <c r="AK397" t="s">
        <v>7516</v>
      </c>
      <c r="AL397">
        <v>25</v>
      </c>
      <c r="AM397" s="5">
        <f t="shared" si="50"/>
        <v>1.25</v>
      </c>
      <c r="AN397" s="4">
        <f t="shared" si="55"/>
        <v>1.8932222642938281E-3</v>
      </c>
      <c r="AO397" s="3"/>
      <c r="AP397">
        <v>0</v>
      </c>
      <c r="AR397" t="s">
        <v>1</v>
      </c>
      <c r="AT397" s="2">
        <v>1.804</v>
      </c>
      <c r="AU397" s="1">
        <f t="shared" si="51"/>
        <v>1.2751304016785812</v>
      </c>
      <c r="AV397" s="1">
        <f t="shared" si="52"/>
        <v>0.9648994944645245</v>
      </c>
      <c r="AW397" s="1">
        <f t="shared" si="53"/>
        <v>0.65466858725046784</v>
      </c>
    </row>
    <row r="398" spans="1:49" x14ac:dyDescent="0.2">
      <c r="A398">
        <v>396</v>
      </c>
      <c r="B398" t="s">
        <v>7515</v>
      </c>
      <c r="C398" t="s">
        <v>7514</v>
      </c>
      <c r="D398" t="s">
        <v>7513</v>
      </c>
      <c r="F398" t="s">
        <v>7512</v>
      </c>
      <c r="G398" t="s">
        <v>5</v>
      </c>
      <c r="H398" t="s">
        <v>4</v>
      </c>
      <c r="I398" t="s">
        <v>7511</v>
      </c>
      <c r="J398">
        <v>60028815</v>
      </c>
      <c r="K398" t="s">
        <v>7510</v>
      </c>
      <c r="L398" t="s">
        <v>7509</v>
      </c>
      <c r="M398" t="s">
        <v>36</v>
      </c>
      <c r="N398">
        <v>2</v>
      </c>
      <c r="O398" t="s">
        <v>7508</v>
      </c>
      <c r="P398" t="s">
        <v>7507</v>
      </c>
      <c r="Q398" t="s">
        <v>7506</v>
      </c>
      <c r="R398" s="7">
        <v>37558</v>
      </c>
      <c r="S398" s="8">
        <f t="shared" si="48"/>
        <v>2002</v>
      </c>
      <c r="T398" s="8">
        <v>2002</v>
      </c>
      <c r="U398" s="8">
        <f t="shared" si="49"/>
        <v>20</v>
      </c>
      <c r="V398" s="7">
        <v>2002</v>
      </c>
      <c r="W398" t="s">
        <v>802</v>
      </c>
      <c r="X398" s="2">
        <v>0.90400000000000003</v>
      </c>
      <c r="Y398" s="6">
        <f t="shared" si="54"/>
        <v>2.4131763700915621E-2</v>
      </c>
      <c r="AA398">
        <v>2578972</v>
      </c>
      <c r="AB398">
        <v>24537</v>
      </c>
      <c r="AD398" t="s">
        <v>2</v>
      </c>
      <c r="AE398" t="s">
        <v>7505</v>
      </c>
      <c r="AH398" t="s">
        <v>7504</v>
      </c>
      <c r="AI398" t="s">
        <v>7503</v>
      </c>
      <c r="AJ398" t="s">
        <v>7502</v>
      </c>
      <c r="AK398" t="s">
        <v>7501</v>
      </c>
      <c r="AL398">
        <v>32</v>
      </c>
      <c r="AM398" s="5">
        <f t="shared" si="50"/>
        <v>1.6</v>
      </c>
      <c r="AN398" s="4">
        <f t="shared" si="55"/>
        <v>2.4233244982961003E-3</v>
      </c>
      <c r="AO398" s="3"/>
      <c r="AP398">
        <v>0</v>
      </c>
      <c r="AR398" t="s">
        <v>1</v>
      </c>
      <c r="AT398" s="2" t="s">
        <v>0</v>
      </c>
      <c r="AU398" s="1">
        <f t="shared" si="51"/>
        <v>1.7619231940129765</v>
      </c>
      <c r="AV398" s="1">
        <f t="shared" si="52"/>
        <v>1.327754409960586</v>
      </c>
      <c r="AW398" s="1">
        <f t="shared" si="53"/>
        <v>0.89358562590819557</v>
      </c>
    </row>
    <row r="399" spans="1:49" x14ac:dyDescent="0.2">
      <c r="A399">
        <v>397</v>
      </c>
      <c r="B399" t="s">
        <v>7500</v>
      </c>
      <c r="C399" t="s">
        <v>7499</v>
      </c>
      <c r="F399" t="s">
        <v>7498</v>
      </c>
      <c r="G399" t="s">
        <v>5</v>
      </c>
      <c r="H399" t="s">
        <v>4</v>
      </c>
      <c r="I399" t="s">
        <v>906</v>
      </c>
      <c r="J399">
        <v>60080744</v>
      </c>
      <c r="K399" t="s">
        <v>905</v>
      </c>
      <c r="L399" t="s">
        <v>904</v>
      </c>
      <c r="M399" t="s">
        <v>152</v>
      </c>
      <c r="N399">
        <v>1</v>
      </c>
      <c r="O399" t="s">
        <v>903</v>
      </c>
      <c r="P399">
        <v>7201869206</v>
      </c>
      <c r="Q399">
        <v>60080744</v>
      </c>
      <c r="R399" s="7">
        <v>37553</v>
      </c>
      <c r="S399" s="8">
        <f t="shared" si="48"/>
        <v>2002</v>
      </c>
      <c r="T399" s="8">
        <v>2002</v>
      </c>
      <c r="U399" s="8">
        <f t="shared" si="49"/>
        <v>20</v>
      </c>
      <c r="V399" s="7">
        <v>37553</v>
      </c>
      <c r="W399" t="s">
        <v>786</v>
      </c>
      <c r="X399" s="2">
        <v>0.375</v>
      </c>
      <c r="Y399" s="6">
        <f t="shared" si="54"/>
        <v>1.0010410827260351E-2</v>
      </c>
      <c r="AA399">
        <v>135194</v>
      </c>
      <c r="AB399">
        <v>24918</v>
      </c>
      <c r="AD399" t="s">
        <v>2</v>
      </c>
      <c r="AE399">
        <v>38</v>
      </c>
      <c r="AF399">
        <v>22</v>
      </c>
      <c r="AH399" t="s">
        <v>7497</v>
      </c>
      <c r="AI399" t="s">
        <v>7496</v>
      </c>
      <c r="AK399" t="s">
        <v>7495</v>
      </c>
      <c r="AL399">
        <v>9</v>
      </c>
      <c r="AM399" s="5">
        <f t="shared" si="50"/>
        <v>0.45</v>
      </c>
      <c r="AN399" s="4">
        <f t="shared" si="55"/>
        <v>6.8156001514577808E-4</v>
      </c>
      <c r="AO399" s="3"/>
      <c r="AP399">
        <v>0</v>
      </c>
      <c r="AR399" t="s">
        <v>1</v>
      </c>
      <c r="AT399" s="2">
        <v>1.3140000000000001</v>
      </c>
      <c r="AU399" s="1">
        <f t="shared" si="51"/>
        <v>0.72117555836259795</v>
      </c>
      <c r="AV399" s="1">
        <f t="shared" si="52"/>
        <v>0.53459854212030644</v>
      </c>
      <c r="AW399" s="1">
        <f t="shared" si="53"/>
        <v>0.34802152587801499</v>
      </c>
    </row>
    <row r="400" spans="1:49" x14ac:dyDescent="0.2">
      <c r="A400">
        <v>398</v>
      </c>
      <c r="B400" t="s">
        <v>7494</v>
      </c>
      <c r="C400" t="s">
        <v>7493</v>
      </c>
      <c r="F400" t="s">
        <v>7492</v>
      </c>
      <c r="G400" t="s">
        <v>5</v>
      </c>
      <c r="H400" t="s">
        <v>4</v>
      </c>
      <c r="I400" t="s">
        <v>1117</v>
      </c>
      <c r="J400" t="s">
        <v>901</v>
      </c>
      <c r="K400" t="s">
        <v>900</v>
      </c>
      <c r="L400" t="s">
        <v>899</v>
      </c>
      <c r="M400" t="s">
        <v>59</v>
      </c>
      <c r="N400">
        <v>3</v>
      </c>
      <c r="O400" t="s">
        <v>7491</v>
      </c>
      <c r="P400" t="s">
        <v>7490</v>
      </c>
      <c r="Q400" t="s">
        <v>7489</v>
      </c>
      <c r="R400" s="7">
        <v>37553</v>
      </c>
      <c r="S400" s="8">
        <f t="shared" si="48"/>
        <v>2002</v>
      </c>
      <c r="T400" s="8">
        <v>2002</v>
      </c>
      <c r="U400" s="8">
        <f t="shared" si="49"/>
        <v>20</v>
      </c>
      <c r="V400" s="7">
        <v>37553</v>
      </c>
      <c r="W400" t="s">
        <v>786</v>
      </c>
      <c r="X400" s="2">
        <v>0.375</v>
      </c>
      <c r="Y400" s="6">
        <f t="shared" si="54"/>
        <v>1.0010410827260351E-2</v>
      </c>
      <c r="AA400">
        <v>135194</v>
      </c>
      <c r="AB400">
        <v>24918</v>
      </c>
      <c r="AD400" t="s">
        <v>2</v>
      </c>
      <c r="AE400">
        <v>38</v>
      </c>
      <c r="AF400">
        <v>22</v>
      </c>
      <c r="AH400" t="s">
        <v>7488</v>
      </c>
      <c r="AI400" t="s">
        <v>7487</v>
      </c>
      <c r="AK400" t="s">
        <v>7486</v>
      </c>
      <c r="AL400">
        <v>86</v>
      </c>
      <c r="AM400" s="5">
        <f t="shared" si="50"/>
        <v>4.3</v>
      </c>
      <c r="AN400" s="4">
        <f t="shared" si="55"/>
        <v>6.5126845891707681E-3</v>
      </c>
      <c r="AO400" s="3"/>
      <c r="AP400">
        <v>0</v>
      </c>
      <c r="AR400" t="s">
        <v>1</v>
      </c>
      <c r="AT400" s="2">
        <v>1.3140000000000001</v>
      </c>
      <c r="AU400" s="1">
        <f t="shared" si="51"/>
        <v>0.89610929558334751</v>
      </c>
      <c r="AV400" s="1">
        <f t="shared" si="52"/>
        <v>0.82615477082155597</v>
      </c>
      <c r="AW400" s="1">
        <f t="shared" si="53"/>
        <v>0.75620024605976432</v>
      </c>
    </row>
    <row r="401" spans="1:49" x14ac:dyDescent="0.2">
      <c r="A401">
        <v>399</v>
      </c>
      <c r="B401" t="s">
        <v>7485</v>
      </c>
      <c r="C401" t="s">
        <v>7484</v>
      </c>
      <c r="F401" t="s">
        <v>7483</v>
      </c>
      <c r="G401" t="s">
        <v>5</v>
      </c>
      <c r="H401" t="s">
        <v>4</v>
      </c>
      <c r="I401" t="s">
        <v>128</v>
      </c>
      <c r="J401">
        <v>60031544</v>
      </c>
      <c r="K401" t="s">
        <v>127</v>
      </c>
      <c r="L401" t="s">
        <v>126</v>
      </c>
      <c r="M401" t="s">
        <v>125</v>
      </c>
      <c r="N401">
        <v>5</v>
      </c>
      <c r="O401" t="s">
        <v>7482</v>
      </c>
      <c r="P401" t="s">
        <v>7481</v>
      </c>
      <c r="Q401" t="s">
        <v>124</v>
      </c>
      <c r="R401" s="7">
        <v>37553</v>
      </c>
      <c r="S401" s="8">
        <f t="shared" si="48"/>
        <v>2002</v>
      </c>
      <c r="T401" s="8">
        <v>2002</v>
      </c>
      <c r="U401" s="8">
        <f t="shared" si="49"/>
        <v>20</v>
      </c>
      <c r="V401" s="7">
        <v>37553</v>
      </c>
      <c r="W401" t="s">
        <v>786</v>
      </c>
      <c r="X401" s="2">
        <v>0.375</v>
      </c>
      <c r="Y401" s="6">
        <f t="shared" si="54"/>
        <v>1.0010410827260351E-2</v>
      </c>
      <c r="AA401">
        <v>135194</v>
      </c>
      <c r="AB401">
        <v>24918</v>
      </c>
      <c r="AD401" t="s">
        <v>2</v>
      </c>
      <c r="AE401">
        <v>38</v>
      </c>
      <c r="AF401">
        <v>22</v>
      </c>
      <c r="AH401" t="s">
        <v>7480</v>
      </c>
      <c r="AI401" t="s">
        <v>7479</v>
      </c>
      <c r="AK401" t="s">
        <v>7478</v>
      </c>
      <c r="AL401">
        <v>0</v>
      </c>
      <c r="AM401" s="5">
        <f t="shared" si="50"/>
        <v>0</v>
      </c>
      <c r="AN401" s="4">
        <f t="shared" si="55"/>
        <v>0</v>
      </c>
      <c r="AO401" s="3"/>
      <c r="AP401">
        <v>0</v>
      </c>
      <c r="AR401" t="s">
        <v>1</v>
      </c>
      <c r="AT401" s="2">
        <v>1.3140000000000001</v>
      </c>
      <c r="AU401" s="1">
        <f t="shared" si="51"/>
        <v>0.70072875790822453</v>
      </c>
      <c r="AV401" s="1">
        <f t="shared" si="52"/>
        <v>0.5005205413630176</v>
      </c>
      <c r="AW401" s="1">
        <f t="shared" si="53"/>
        <v>0.30031232481781051</v>
      </c>
    </row>
    <row r="402" spans="1:49" x14ac:dyDescent="0.2">
      <c r="A402">
        <v>400</v>
      </c>
      <c r="B402" t="s">
        <v>7477</v>
      </c>
      <c r="C402" t="s">
        <v>7476</v>
      </c>
      <c r="F402" t="s">
        <v>7475</v>
      </c>
      <c r="G402" t="s">
        <v>5</v>
      </c>
      <c r="H402" t="s">
        <v>4</v>
      </c>
      <c r="I402" t="s">
        <v>7474</v>
      </c>
      <c r="J402">
        <v>60007592</v>
      </c>
      <c r="K402" t="s">
        <v>452</v>
      </c>
      <c r="L402" t="s">
        <v>183</v>
      </c>
      <c r="M402" t="s">
        <v>182</v>
      </c>
      <c r="N402">
        <v>4</v>
      </c>
      <c r="O402" t="s">
        <v>7473</v>
      </c>
      <c r="P402" t="s">
        <v>7472</v>
      </c>
      <c r="Q402" t="s">
        <v>5712</v>
      </c>
      <c r="R402" s="7">
        <v>37553</v>
      </c>
      <c r="S402" s="8">
        <f t="shared" si="48"/>
        <v>2002</v>
      </c>
      <c r="T402" s="8">
        <v>2002</v>
      </c>
      <c r="U402" s="8">
        <f t="shared" si="49"/>
        <v>20</v>
      </c>
      <c r="V402" s="7">
        <v>37553</v>
      </c>
      <c r="W402" t="s">
        <v>786</v>
      </c>
      <c r="X402" s="2">
        <v>0.375</v>
      </c>
      <c r="Y402" s="6">
        <f t="shared" si="54"/>
        <v>1.0010410827260351E-2</v>
      </c>
      <c r="AA402">
        <v>135194</v>
      </c>
      <c r="AB402">
        <v>24918</v>
      </c>
      <c r="AD402" t="s">
        <v>2</v>
      </c>
      <c r="AE402">
        <v>38</v>
      </c>
      <c r="AF402">
        <v>22</v>
      </c>
      <c r="AH402" t="s">
        <v>7471</v>
      </c>
      <c r="AI402" t="s">
        <v>7470</v>
      </c>
      <c r="AK402" t="s">
        <v>7469</v>
      </c>
      <c r="AL402">
        <v>3</v>
      </c>
      <c r="AM402" s="5">
        <f t="shared" si="50"/>
        <v>0.15</v>
      </c>
      <c r="AN402" s="4">
        <f t="shared" si="55"/>
        <v>2.2718667171525936E-4</v>
      </c>
      <c r="AO402" s="3"/>
      <c r="AP402">
        <v>0</v>
      </c>
      <c r="AR402" t="s">
        <v>1</v>
      </c>
      <c r="AT402" s="2">
        <v>1.3140000000000001</v>
      </c>
      <c r="AU402" s="1">
        <f t="shared" si="51"/>
        <v>0.70754435805968241</v>
      </c>
      <c r="AV402" s="1">
        <f t="shared" si="52"/>
        <v>0.51187987494878051</v>
      </c>
      <c r="AW402" s="1">
        <f t="shared" si="53"/>
        <v>0.31621539183787867</v>
      </c>
    </row>
    <row r="403" spans="1:49" x14ac:dyDescent="0.2">
      <c r="A403">
        <v>401</v>
      </c>
      <c r="B403" t="s">
        <v>7468</v>
      </c>
      <c r="C403" t="s">
        <v>7467</v>
      </c>
      <c r="F403" t="s">
        <v>7466</v>
      </c>
      <c r="G403" t="s">
        <v>5</v>
      </c>
      <c r="H403" t="s">
        <v>4</v>
      </c>
      <c r="I403" t="s">
        <v>548</v>
      </c>
      <c r="J403">
        <v>60005510</v>
      </c>
      <c r="K403" t="s">
        <v>668</v>
      </c>
      <c r="L403" t="s">
        <v>87</v>
      </c>
      <c r="M403" t="s">
        <v>86</v>
      </c>
      <c r="N403">
        <v>1</v>
      </c>
      <c r="O403" t="s">
        <v>910</v>
      </c>
      <c r="P403">
        <v>33167854700</v>
      </c>
      <c r="Q403">
        <v>60005510</v>
      </c>
      <c r="R403" s="7">
        <v>37553</v>
      </c>
      <c r="S403" s="8">
        <f t="shared" si="48"/>
        <v>2002</v>
      </c>
      <c r="T403" s="8">
        <v>2002</v>
      </c>
      <c r="U403" s="8">
        <f t="shared" si="49"/>
        <v>20</v>
      </c>
      <c r="V403" s="7">
        <v>37553</v>
      </c>
      <c r="W403" t="s">
        <v>786</v>
      </c>
      <c r="X403" s="2">
        <v>0.375</v>
      </c>
      <c r="Y403" s="6">
        <f t="shared" si="54"/>
        <v>1.0010410827260351E-2</v>
      </c>
      <c r="AA403">
        <v>135194</v>
      </c>
      <c r="AB403">
        <v>24918</v>
      </c>
      <c r="AD403" t="s">
        <v>2</v>
      </c>
      <c r="AE403">
        <v>38</v>
      </c>
      <c r="AF403">
        <v>22</v>
      </c>
      <c r="AH403" t="s">
        <v>7465</v>
      </c>
      <c r="AI403" t="s">
        <v>7464</v>
      </c>
      <c r="AK403" t="s">
        <v>7463</v>
      </c>
      <c r="AL403">
        <v>33</v>
      </c>
      <c r="AM403" s="5">
        <f t="shared" si="50"/>
        <v>1.65</v>
      </c>
      <c r="AN403" s="4">
        <f t="shared" si="55"/>
        <v>2.4990533888678531E-3</v>
      </c>
      <c r="AO403" s="3"/>
      <c r="AP403">
        <v>0</v>
      </c>
      <c r="AR403" t="s">
        <v>1</v>
      </c>
      <c r="AT403" s="2">
        <v>1.3140000000000001</v>
      </c>
      <c r="AU403" s="1">
        <f t="shared" si="51"/>
        <v>0.77570035957426009</v>
      </c>
      <c r="AV403" s="1">
        <f t="shared" si="52"/>
        <v>0.62547321080641016</v>
      </c>
      <c r="AW403" s="1">
        <f t="shared" si="53"/>
        <v>0.47524606203856024</v>
      </c>
    </row>
    <row r="404" spans="1:49" x14ac:dyDescent="0.2">
      <c r="A404">
        <v>402</v>
      </c>
      <c r="B404" t="s">
        <v>7462</v>
      </c>
      <c r="C404" t="s">
        <v>7461</v>
      </c>
      <c r="D404" t="s">
        <v>7460</v>
      </c>
      <c r="E404">
        <v>12408848</v>
      </c>
      <c r="F404" t="s">
        <v>7459</v>
      </c>
      <c r="G404" t="s">
        <v>5</v>
      </c>
      <c r="H404" t="s">
        <v>4</v>
      </c>
      <c r="I404" t="s">
        <v>7458</v>
      </c>
      <c r="J404">
        <v>60009343</v>
      </c>
      <c r="K404" t="s">
        <v>7457</v>
      </c>
      <c r="L404" t="s">
        <v>342</v>
      </c>
      <c r="M404" t="s">
        <v>7</v>
      </c>
      <c r="N404">
        <v>6</v>
      </c>
      <c r="O404" t="s">
        <v>7456</v>
      </c>
      <c r="P404" t="s">
        <v>7455</v>
      </c>
      <c r="Q404" t="s">
        <v>7454</v>
      </c>
      <c r="R404" s="7">
        <v>37553</v>
      </c>
      <c r="S404" s="8">
        <f t="shared" si="48"/>
        <v>2002</v>
      </c>
      <c r="T404" s="8">
        <v>2002</v>
      </c>
      <c r="U404" s="8">
        <f t="shared" si="49"/>
        <v>20</v>
      </c>
      <c r="V404" s="7">
        <v>37553</v>
      </c>
      <c r="W404" t="s">
        <v>7453</v>
      </c>
      <c r="X404" s="2">
        <v>9.6120000000000001</v>
      </c>
      <c r="Y404" s="6">
        <f t="shared" si="54"/>
        <v>0.25658685032433731</v>
      </c>
      <c r="AA404">
        <v>8966273</v>
      </c>
      <c r="AB404">
        <v>17978</v>
      </c>
      <c r="AD404" t="s">
        <v>2</v>
      </c>
      <c r="AE404">
        <v>36</v>
      </c>
      <c r="AF404">
        <v>3</v>
      </c>
      <c r="AH404" t="s">
        <v>7452</v>
      </c>
      <c r="AI404" t="s">
        <v>7451</v>
      </c>
      <c r="AK404" t="s">
        <v>7450</v>
      </c>
      <c r="AL404">
        <v>361</v>
      </c>
      <c r="AM404" s="5">
        <f t="shared" si="50"/>
        <v>18.05</v>
      </c>
      <c r="AN404" s="4">
        <f t="shared" si="55"/>
        <v>2.733812949640288E-2</v>
      </c>
      <c r="AO404" s="3"/>
      <c r="AP404">
        <v>1</v>
      </c>
      <c r="AR404" t="s">
        <v>1</v>
      </c>
      <c r="AS404" t="s">
        <v>7449</v>
      </c>
      <c r="AT404" s="2">
        <v>17.172999999999998</v>
      </c>
      <c r="AU404" s="1">
        <f t="shared" si="51"/>
        <v>18.781223407595697</v>
      </c>
      <c r="AV404" s="1">
        <f t="shared" si="52"/>
        <v>14.196248991037008</v>
      </c>
      <c r="AW404" s="1">
        <f t="shared" si="53"/>
        <v>9.6112745744783208</v>
      </c>
    </row>
    <row r="405" spans="1:49" x14ac:dyDescent="0.2">
      <c r="A405">
        <v>403</v>
      </c>
      <c r="B405" t="s">
        <v>7448</v>
      </c>
      <c r="C405" t="s">
        <v>7447</v>
      </c>
      <c r="D405" t="s">
        <v>7446</v>
      </c>
      <c r="E405">
        <v>12387884</v>
      </c>
      <c r="F405" t="s">
        <v>7445</v>
      </c>
      <c r="G405" t="s">
        <v>5</v>
      </c>
      <c r="H405" t="s">
        <v>4</v>
      </c>
      <c r="I405" t="s">
        <v>7444</v>
      </c>
      <c r="J405" t="s">
        <v>7443</v>
      </c>
      <c r="K405" t="s">
        <v>7442</v>
      </c>
      <c r="L405" t="s">
        <v>7441</v>
      </c>
      <c r="M405" t="s">
        <v>7440</v>
      </c>
      <c r="N405">
        <v>5</v>
      </c>
      <c r="O405" t="s">
        <v>7439</v>
      </c>
      <c r="P405" t="s">
        <v>7438</v>
      </c>
      <c r="Q405" t="s">
        <v>7437</v>
      </c>
      <c r="R405" s="7">
        <v>37552</v>
      </c>
      <c r="S405" s="8">
        <f t="shared" si="48"/>
        <v>2002</v>
      </c>
      <c r="T405" s="8">
        <v>2002</v>
      </c>
      <c r="U405" s="8">
        <f t="shared" si="49"/>
        <v>20</v>
      </c>
      <c r="V405" s="7">
        <v>37552</v>
      </c>
      <c r="W405" t="s">
        <v>885</v>
      </c>
      <c r="X405" s="2">
        <v>1.593</v>
      </c>
      <c r="Y405" s="6">
        <f t="shared" si="54"/>
        <v>4.2524225194201973E-2</v>
      </c>
      <c r="AA405">
        <v>145793</v>
      </c>
      <c r="AB405">
        <v>17481</v>
      </c>
      <c r="AD405" t="s">
        <v>2</v>
      </c>
      <c r="AE405">
        <v>530</v>
      </c>
      <c r="AF405" s="9">
        <v>44256</v>
      </c>
      <c r="AH405" t="s">
        <v>7436</v>
      </c>
      <c r="AI405" t="s">
        <v>7435</v>
      </c>
      <c r="AJ405" t="s">
        <v>7434</v>
      </c>
      <c r="AK405" t="s">
        <v>7433</v>
      </c>
      <c r="AL405">
        <v>24</v>
      </c>
      <c r="AM405" s="5">
        <f t="shared" si="50"/>
        <v>1.2</v>
      </c>
      <c r="AN405" s="4">
        <f t="shared" si="55"/>
        <v>1.8174933737220749E-3</v>
      </c>
      <c r="AO405" s="3"/>
      <c r="AP405">
        <v>0</v>
      </c>
      <c r="AQ405" t="s">
        <v>954</v>
      </c>
      <c r="AR405">
        <v>10740320</v>
      </c>
      <c r="AS405" t="s">
        <v>568</v>
      </c>
      <c r="AT405" s="2">
        <v>4.1239999999999997</v>
      </c>
      <c r="AU405" s="1">
        <f t="shared" si="51"/>
        <v>3.0312205648058002</v>
      </c>
      <c r="AV405" s="1">
        <f t="shared" si="52"/>
        <v>2.2170859283962026</v>
      </c>
      <c r="AW405" s="1">
        <f t="shared" si="53"/>
        <v>1.4029512919866043</v>
      </c>
    </row>
    <row r="406" spans="1:49" x14ac:dyDescent="0.2">
      <c r="A406">
        <v>404</v>
      </c>
      <c r="B406" t="s">
        <v>7432</v>
      </c>
      <c r="C406" t="s">
        <v>7431</v>
      </c>
      <c r="D406" t="s">
        <v>7430</v>
      </c>
      <c r="E406">
        <v>12387877</v>
      </c>
      <c r="F406" t="s">
        <v>7429</v>
      </c>
      <c r="G406" t="s">
        <v>5</v>
      </c>
      <c r="H406" t="s">
        <v>4</v>
      </c>
      <c r="I406" t="s">
        <v>7428</v>
      </c>
      <c r="J406" t="s">
        <v>7427</v>
      </c>
      <c r="K406" t="s">
        <v>7426</v>
      </c>
      <c r="L406" t="s">
        <v>7425</v>
      </c>
      <c r="M406" t="s">
        <v>39</v>
      </c>
      <c r="N406">
        <v>3</v>
      </c>
      <c r="O406" t="s">
        <v>7424</v>
      </c>
      <c r="P406" t="s">
        <v>7423</v>
      </c>
      <c r="Q406" t="s">
        <v>7422</v>
      </c>
      <c r="R406" s="7">
        <v>37552</v>
      </c>
      <c r="S406" s="8">
        <f t="shared" si="48"/>
        <v>2002</v>
      </c>
      <c r="T406" s="8">
        <v>2002</v>
      </c>
      <c r="U406" s="8">
        <f t="shared" si="49"/>
        <v>20</v>
      </c>
      <c r="V406" s="7">
        <v>37552</v>
      </c>
      <c r="W406" t="s">
        <v>885</v>
      </c>
      <c r="X406" s="2">
        <v>1.593</v>
      </c>
      <c r="Y406" s="6">
        <f t="shared" si="54"/>
        <v>4.2524225194201973E-2</v>
      </c>
      <c r="AA406">
        <v>145793</v>
      </c>
      <c r="AB406">
        <v>17481</v>
      </c>
      <c r="AD406" t="s">
        <v>2</v>
      </c>
      <c r="AE406">
        <v>530</v>
      </c>
      <c r="AF406" s="9">
        <v>44256</v>
      </c>
      <c r="AH406" t="s">
        <v>7421</v>
      </c>
      <c r="AI406" t="s">
        <v>7420</v>
      </c>
      <c r="AJ406" t="s">
        <v>7419</v>
      </c>
      <c r="AK406" t="s">
        <v>7418</v>
      </c>
      <c r="AL406">
        <v>12</v>
      </c>
      <c r="AM406" s="5">
        <f t="shared" si="50"/>
        <v>0.6</v>
      </c>
      <c r="AN406" s="4">
        <f t="shared" si="55"/>
        <v>9.0874668686103744E-4</v>
      </c>
      <c r="AO406" s="3"/>
      <c r="AP406">
        <v>0</v>
      </c>
      <c r="AQ406" t="s">
        <v>57</v>
      </c>
      <c r="AR406" t="s">
        <v>7417</v>
      </c>
      <c r="AS406" t="s">
        <v>56</v>
      </c>
      <c r="AT406" s="2">
        <v>4.1239999999999997</v>
      </c>
      <c r="AU406" s="1">
        <f t="shared" si="51"/>
        <v>3.0039581641999691</v>
      </c>
      <c r="AV406" s="1">
        <f t="shared" si="52"/>
        <v>2.1716485940531505</v>
      </c>
      <c r="AW406" s="1">
        <f t="shared" si="53"/>
        <v>1.3393390239063319</v>
      </c>
    </row>
    <row r="407" spans="1:49" x14ac:dyDescent="0.2">
      <c r="A407">
        <v>405</v>
      </c>
      <c r="B407" t="s">
        <v>7416</v>
      </c>
      <c r="C407" t="s">
        <v>7415</v>
      </c>
      <c r="F407" t="s">
        <v>7414</v>
      </c>
      <c r="G407" t="s">
        <v>5</v>
      </c>
      <c r="H407" t="s">
        <v>4</v>
      </c>
      <c r="I407" t="s">
        <v>7413</v>
      </c>
      <c r="J407" t="s">
        <v>7408</v>
      </c>
      <c r="K407" t="s">
        <v>7412</v>
      </c>
      <c r="L407" t="s">
        <v>7411</v>
      </c>
      <c r="M407" t="s">
        <v>88</v>
      </c>
      <c r="N407">
        <v>2</v>
      </c>
      <c r="O407" t="s">
        <v>7410</v>
      </c>
      <c r="P407" t="s">
        <v>7409</v>
      </c>
      <c r="Q407" t="s">
        <v>7408</v>
      </c>
      <c r="R407" s="7">
        <v>37551</v>
      </c>
      <c r="S407" s="8">
        <f t="shared" si="48"/>
        <v>2002</v>
      </c>
      <c r="T407" s="8">
        <v>2002</v>
      </c>
      <c r="U407" s="8">
        <f t="shared" si="49"/>
        <v>20</v>
      </c>
      <c r="V407" s="7">
        <v>2002</v>
      </c>
      <c r="W407" t="s">
        <v>517</v>
      </c>
      <c r="X407" s="2">
        <v>0.59099999999999997</v>
      </c>
      <c r="Y407" s="6">
        <f t="shared" si="54"/>
        <v>1.5776407463762313E-2</v>
      </c>
      <c r="AA407">
        <v>256455</v>
      </c>
      <c r="AB407">
        <v>14471</v>
      </c>
      <c r="AD407" t="s">
        <v>2</v>
      </c>
      <c r="AE407">
        <v>37</v>
      </c>
      <c r="AF407">
        <v>3</v>
      </c>
      <c r="AH407" t="s">
        <v>7407</v>
      </c>
      <c r="AI407" t="s">
        <v>7406</v>
      </c>
      <c r="AJ407" t="s">
        <v>7405</v>
      </c>
      <c r="AK407" t="s">
        <v>7404</v>
      </c>
      <c r="AL407">
        <v>6</v>
      </c>
      <c r="AM407" s="5">
        <f t="shared" si="50"/>
        <v>0.3</v>
      </c>
      <c r="AN407" s="4">
        <f t="shared" si="55"/>
        <v>4.5437334343051872E-4</v>
      </c>
      <c r="AO407" s="3"/>
      <c r="AP407">
        <v>0</v>
      </c>
      <c r="AR407" t="s">
        <v>1</v>
      </c>
      <c r="AT407" s="2">
        <v>2.258</v>
      </c>
      <c r="AU407" s="1">
        <f t="shared" si="51"/>
        <v>1.1179797227662773</v>
      </c>
      <c r="AV407" s="1">
        <f t="shared" si="52"/>
        <v>0.81153904035964153</v>
      </c>
      <c r="AW407" s="1">
        <f t="shared" si="53"/>
        <v>0.50509835795300573</v>
      </c>
    </row>
    <row r="408" spans="1:49" x14ac:dyDescent="0.2">
      <c r="A408">
        <v>406</v>
      </c>
      <c r="B408" t="s">
        <v>7403</v>
      </c>
      <c r="C408" t="s">
        <v>7402</v>
      </c>
      <c r="F408" t="s">
        <v>7401</v>
      </c>
      <c r="G408" t="s">
        <v>5</v>
      </c>
      <c r="H408" t="s">
        <v>4</v>
      </c>
      <c r="I408" t="s">
        <v>7400</v>
      </c>
      <c r="J408" t="s">
        <v>7399</v>
      </c>
      <c r="K408" t="s">
        <v>7398</v>
      </c>
      <c r="L408" t="s">
        <v>7397</v>
      </c>
      <c r="M408" t="s">
        <v>7396</v>
      </c>
      <c r="N408">
        <v>1</v>
      </c>
      <c r="O408" t="s">
        <v>7395</v>
      </c>
      <c r="P408">
        <v>7202776834</v>
      </c>
      <c r="Q408" t="s">
        <v>7394</v>
      </c>
      <c r="R408" s="7">
        <v>37550</v>
      </c>
      <c r="S408" s="8">
        <f t="shared" si="48"/>
        <v>2002</v>
      </c>
      <c r="T408" s="8">
        <v>2002</v>
      </c>
      <c r="U408" s="8">
        <f t="shared" si="49"/>
        <v>20</v>
      </c>
      <c r="V408" s="7">
        <v>37550</v>
      </c>
      <c r="W408" t="s">
        <v>955</v>
      </c>
      <c r="X408" s="2">
        <v>2.0579999999999998</v>
      </c>
      <c r="Y408" s="6">
        <f t="shared" si="54"/>
        <v>5.4937134620004803E-2</v>
      </c>
      <c r="AA408">
        <v>358711</v>
      </c>
      <c r="AB408">
        <v>28218</v>
      </c>
      <c r="AD408" t="s">
        <v>2</v>
      </c>
      <c r="AE408">
        <v>336</v>
      </c>
      <c r="AF408">
        <v>2</v>
      </c>
      <c r="AH408" t="s">
        <v>7393</v>
      </c>
      <c r="AI408" t="s">
        <v>7392</v>
      </c>
      <c r="AJ408" t="s">
        <v>7391</v>
      </c>
      <c r="AK408" t="s">
        <v>7390</v>
      </c>
      <c r="AL408">
        <v>40</v>
      </c>
      <c r="AM408" s="5">
        <f t="shared" si="50"/>
        <v>2</v>
      </c>
      <c r="AN408" s="4">
        <f t="shared" si="55"/>
        <v>3.0291556228701248E-3</v>
      </c>
      <c r="AO408" s="3"/>
      <c r="AP408">
        <v>1</v>
      </c>
      <c r="AR408" t="s">
        <v>1</v>
      </c>
      <c r="AT408" s="2" t="s">
        <v>0</v>
      </c>
      <c r="AU408" s="1">
        <f t="shared" si="51"/>
        <v>3.9364740920864394</v>
      </c>
      <c r="AV408" s="1">
        <f t="shared" si="52"/>
        <v>2.8983145121437461</v>
      </c>
      <c r="AW408" s="1">
        <f t="shared" si="53"/>
        <v>1.8601549322010529</v>
      </c>
    </row>
    <row r="409" spans="1:49" x14ac:dyDescent="0.2">
      <c r="A409">
        <v>407</v>
      </c>
      <c r="B409" t="s">
        <v>7389</v>
      </c>
      <c r="C409" t="s">
        <v>7388</v>
      </c>
      <c r="D409" t="s">
        <v>7387</v>
      </c>
      <c r="F409" t="s">
        <v>7386</v>
      </c>
      <c r="G409" t="s">
        <v>5</v>
      </c>
      <c r="H409" t="s">
        <v>4</v>
      </c>
      <c r="I409" t="s">
        <v>7385</v>
      </c>
      <c r="J409">
        <v>60007493</v>
      </c>
      <c r="K409" t="s">
        <v>7384</v>
      </c>
      <c r="L409" t="s">
        <v>7383</v>
      </c>
      <c r="M409" t="s">
        <v>112</v>
      </c>
      <c r="N409">
        <v>6</v>
      </c>
      <c r="O409" t="s">
        <v>7382</v>
      </c>
      <c r="P409" t="s">
        <v>7381</v>
      </c>
      <c r="Q409" t="s">
        <v>7380</v>
      </c>
      <c r="R409" s="7">
        <v>37550</v>
      </c>
      <c r="S409" s="8">
        <f t="shared" si="48"/>
        <v>2002</v>
      </c>
      <c r="T409" s="8">
        <v>2002</v>
      </c>
      <c r="U409" s="8">
        <f t="shared" si="49"/>
        <v>20</v>
      </c>
      <c r="V409" s="7">
        <v>37550</v>
      </c>
      <c r="W409" t="s">
        <v>7379</v>
      </c>
      <c r="X409" s="2">
        <v>0.747</v>
      </c>
      <c r="Y409" s="6">
        <f t="shared" si="54"/>
        <v>1.9940738367902621E-2</v>
      </c>
      <c r="AA409">
        <v>1689002</v>
      </c>
      <c r="AB409">
        <v>29067</v>
      </c>
      <c r="AD409" t="s">
        <v>2</v>
      </c>
      <c r="AE409">
        <v>492</v>
      </c>
      <c r="AF409">
        <v>3</v>
      </c>
      <c r="AH409" t="s">
        <v>7378</v>
      </c>
      <c r="AI409" t="s">
        <v>7377</v>
      </c>
      <c r="AJ409" t="s">
        <v>7376</v>
      </c>
      <c r="AK409" t="s">
        <v>7375</v>
      </c>
      <c r="AL409">
        <v>8</v>
      </c>
      <c r="AM409" s="5">
        <f t="shared" si="50"/>
        <v>0.4</v>
      </c>
      <c r="AN409" s="4">
        <f t="shared" si="55"/>
        <v>6.0583112457402507E-4</v>
      </c>
      <c r="AO409" s="3"/>
      <c r="AP409">
        <v>0</v>
      </c>
      <c r="AQ409" t="s">
        <v>318</v>
      </c>
      <c r="AR409" t="s">
        <v>1</v>
      </c>
      <c r="AS409" t="s">
        <v>317</v>
      </c>
      <c r="AT409" s="2" t="s">
        <v>0</v>
      </c>
      <c r="AU409" s="1">
        <f t="shared" si="51"/>
        <v>1.4140266194904041</v>
      </c>
      <c r="AV409" s="1">
        <f t="shared" si="52"/>
        <v>1.0273284746238323</v>
      </c>
      <c r="AW409" s="1">
        <f t="shared" si="53"/>
        <v>0.64063032975726031</v>
      </c>
    </row>
    <row r="410" spans="1:49" x14ac:dyDescent="0.2">
      <c r="A410">
        <v>408</v>
      </c>
      <c r="B410" t="s">
        <v>7374</v>
      </c>
      <c r="C410" t="s">
        <v>7373</v>
      </c>
      <c r="F410" t="s">
        <v>7372</v>
      </c>
      <c r="G410" t="s">
        <v>5</v>
      </c>
      <c r="H410" t="s">
        <v>4</v>
      </c>
      <c r="I410" t="s">
        <v>7371</v>
      </c>
      <c r="J410">
        <v>60002731</v>
      </c>
      <c r="K410" t="s">
        <v>525</v>
      </c>
      <c r="L410" t="s">
        <v>484</v>
      </c>
      <c r="M410" t="s">
        <v>41</v>
      </c>
      <c r="N410">
        <v>4</v>
      </c>
      <c r="O410" t="s">
        <v>7370</v>
      </c>
      <c r="P410" t="s">
        <v>7369</v>
      </c>
      <c r="Q410" t="s">
        <v>7368</v>
      </c>
      <c r="R410" s="7">
        <v>37549</v>
      </c>
      <c r="S410" s="8">
        <f t="shared" si="48"/>
        <v>2002</v>
      </c>
      <c r="T410" s="8">
        <v>2002</v>
      </c>
      <c r="U410" s="8">
        <f t="shared" si="49"/>
        <v>20</v>
      </c>
      <c r="V410" s="7">
        <v>37549</v>
      </c>
      <c r="W410" t="s">
        <v>578</v>
      </c>
      <c r="X410" s="2">
        <v>0.66800000000000004</v>
      </c>
      <c r="Y410" s="6">
        <f t="shared" si="54"/>
        <v>1.7831878486959774E-2</v>
      </c>
      <c r="AA410" t="s">
        <v>577</v>
      </c>
      <c r="AB410">
        <v>29593</v>
      </c>
      <c r="AC410">
        <v>21553165</v>
      </c>
      <c r="AD410" t="s">
        <v>2</v>
      </c>
      <c r="AE410">
        <v>41</v>
      </c>
      <c r="AF410">
        <v>30</v>
      </c>
      <c r="AH410" t="s">
        <v>7367</v>
      </c>
      <c r="AI410" t="s">
        <v>7366</v>
      </c>
      <c r="AK410" t="s">
        <v>7365</v>
      </c>
      <c r="AL410">
        <v>45</v>
      </c>
      <c r="AM410" s="5">
        <f t="shared" si="50"/>
        <v>2.25</v>
      </c>
      <c r="AN410" s="4">
        <f t="shared" si="55"/>
        <v>3.4078000757288905E-3</v>
      </c>
      <c r="AO410" s="3"/>
      <c r="AP410">
        <v>0</v>
      </c>
      <c r="AR410" t="s">
        <v>1</v>
      </c>
      <c r="AT410" s="2">
        <v>1.98</v>
      </c>
      <c r="AU410" s="1">
        <f t="shared" si="51"/>
        <v>1.3504654963590508</v>
      </c>
      <c r="AV410" s="1">
        <f t="shared" si="52"/>
        <v>1.0619839281344332</v>
      </c>
      <c r="AW410" s="1">
        <f t="shared" si="53"/>
        <v>0.77350235990981553</v>
      </c>
    </row>
    <row r="411" spans="1:49" x14ac:dyDescent="0.2">
      <c r="A411">
        <v>409</v>
      </c>
      <c r="B411" t="s">
        <v>7364</v>
      </c>
      <c r="C411" t="s">
        <v>7363</v>
      </c>
      <c r="F411" t="s">
        <v>7362</v>
      </c>
      <c r="G411" t="s">
        <v>5</v>
      </c>
      <c r="H411" t="s">
        <v>4</v>
      </c>
      <c r="I411" t="s">
        <v>7361</v>
      </c>
      <c r="J411">
        <v>60029738</v>
      </c>
      <c r="K411" t="s">
        <v>1027</v>
      </c>
      <c r="L411" t="s">
        <v>1026</v>
      </c>
      <c r="M411" t="s">
        <v>41</v>
      </c>
      <c r="N411">
        <v>2</v>
      </c>
      <c r="O411" t="s">
        <v>7360</v>
      </c>
      <c r="P411" t="s">
        <v>7359</v>
      </c>
      <c r="Q411" t="s">
        <v>1960</v>
      </c>
      <c r="R411" s="7">
        <v>37549</v>
      </c>
      <c r="S411" s="8">
        <f t="shared" si="48"/>
        <v>2002</v>
      </c>
      <c r="T411" s="8">
        <v>2002</v>
      </c>
      <c r="U411" s="8">
        <f t="shared" si="49"/>
        <v>20</v>
      </c>
      <c r="V411" s="7">
        <v>37549</v>
      </c>
      <c r="W411" t="s">
        <v>789</v>
      </c>
      <c r="X411" s="2">
        <v>0.30399999999999999</v>
      </c>
      <c r="Y411" s="6">
        <f t="shared" si="54"/>
        <v>8.115106377299057E-3</v>
      </c>
      <c r="AA411">
        <v>8952477</v>
      </c>
      <c r="AB411">
        <v>12250</v>
      </c>
      <c r="AD411" t="s">
        <v>2</v>
      </c>
      <c r="AE411">
        <v>35</v>
      </c>
      <c r="AF411">
        <v>2</v>
      </c>
      <c r="AH411" t="s">
        <v>7358</v>
      </c>
      <c r="AI411" t="s">
        <v>7357</v>
      </c>
      <c r="AJ411" t="s">
        <v>7356</v>
      </c>
      <c r="AK411" t="s">
        <v>7355</v>
      </c>
      <c r="AL411">
        <v>1</v>
      </c>
      <c r="AM411" s="5">
        <f t="shared" si="50"/>
        <v>0.05</v>
      </c>
      <c r="AN411" s="4">
        <f t="shared" si="55"/>
        <v>7.5728890571753133E-5</v>
      </c>
      <c r="AO411" s="3"/>
      <c r="AP411">
        <v>0</v>
      </c>
      <c r="AR411" t="s">
        <v>1</v>
      </c>
      <c r="AT411" s="2" t="s">
        <v>0</v>
      </c>
      <c r="AU411" s="1">
        <f t="shared" si="51"/>
        <v>0.57032931312808655</v>
      </c>
      <c r="AV411" s="1">
        <f t="shared" si="52"/>
        <v>0.40954176339354048</v>
      </c>
      <c r="AW411" s="1">
        <f t="shared" si="53"/>
        <v>0.24875421365899444</v>
      </c>
    </row>
    <row r="412" spans="1:49" x14ac:dyDescent="0.2">
      <c r="A412">
        <v>410</v>
      </c>
      <c r="B412" t="s">
        <v>7354</v>
      </c>
      <c r="C412" t="s">
        <v>7353</v>
      </c>
      <c r="F412" t="s">
        <v>7352</v>
      </c>
      <c r="G412" t="s">
        <v>5</v>
      </c>
      <c r="H412" t="s">
        <v>4</v>
      </c>
      <c r="I412" t="s">
        <v>254</v>
      </c>
      <c r="J412" t="s">
        <v>1187</v>
      </c>
      <c r="K412" t="s">
        <v>1190</v>
      </c>
      <c r="L412" t="s">
        <v>1189</v>
      </c>
      <c r="M412" t="s">
        <v>1188</v>
      </c>
      <c r="N412">
        <v>3</v>
      </c>
      <c r="O412" t="s">
        <v>7351</v>
      </c>
      <c r="P412" t="s">
        <v>7350</v>
      </c>
      <c r="Q412" t="s">
        <v>7349</v>
      </c>
      <c r="R412" s="7">
        <v>37549</v>
      </c>
      <c r="S412" s="8">
        <f t="shared" si="48"/>
        <v>2002</v>
      </c>
      <c r="T412" s="8">
        <v>2002</v>
      </c>
      <c r="U412" s="8">
        <f t="shared" si="49"/>
        <v>20</v>
      </c>
      <c r="V412" s="7">
        <v>37549</v>
      </c>
      <c r="W412" t="s">
        <v>789</v>
      </c>
      <c r="X412" s="2">
        <v>0.30399999999999999</v>
      </c>
      <c r="Y412" s="6">
        <f t="shared" si="54"/>
        <v>8.115106377299057E-3</v>
      </c>
      <c r="AA412">
        <v>8952477</v>
      </c>
      <c r="AB412">
        <v>12250</v>
      </c>
      <c r="AD412" t="s">
        <v>2</v>
      </c>
      <c r="AE412">
        <v>35</v>
      </c>
      <c r="AF412">
        <v>2</v>
      </c>
      <c r="AH412" t="s">
        <v>803</v>
      </c>
      <c r="AI412" t="s">
        <v>7348</v>
      </c>
      <c r="AJ412" t="s">
        <v>7347</v>
      </c>
      <c r="AK412" t="s">
        <v>7346</v>
      </c>
      <c r="AL412">
        <v>7</v>
      </c>
      <c r="AM412" s="5">
        <f t="shared" si="50"/>
        <v>0.35</v>
      </c>
      <c r="AN412" s="4">
        <f t="shared" si="55"/>
        <v>5.3010223400227184E-4</v>
      </c>
      <c r="AO412" s="3"/>
      <c r="AP412">
        <v>0</v>
      </c>
      <c r="AR412" t="s">
        <v>1</v>
      </c>
      <c r="AT412" s="2" t="s">
        <v>0</v>
      </c>
      <c r="AU412" s="1">
        <f t="shared" si="51"/>
        <v>0.58396051343100208</v>
      </c>
      <c r="AV412" s="1">
        <f t="shared" si="52"/>
        <v>0.43226043056506641</v>
      </c>
      <c r="AW412" s="1">
        <f t="shared" si="53"/>
        <v>0.28056034769913074</v>
      </c>
    </row>
    <row r="413" spans="1:49" x14ac:dyDescent="0.2">
      <c r="A413">
        <v>411</v>
      </c>
      <c r="B413" t="s">
        <v>7345</v>
      </c>
      <c r="C413" t="s">
        <v>7344</v>
      </c>
      <c r="F413" t="s">
        <v>7343</v>
      </c>
      <c r="G413" t="s">
        <v>5</v>
      </c>
      <c r="H413" t="s">
        <v>4</v>
      </c>
      <c r="I413" t="s">
        <v>1117</v>
      </c>
      <c r="J413">
        <v>60011357</v>
      </c>
      <c r="K413" t="s">
        <v>217</v>
      </c>
      <c r="L413" t="s">
        <v>216</v>
      </c>
      <c r="M413" t="s">
        <v>135</v>
      </c>
      <c r="N413">
        <v>2</v>
      </c>
      <c r="O413" t="s">
        <v>1116</v>
      </c>
      <c r="P413" t="s">
        <v>1115</v>
      </c>
      <c r="Q413" t="s">
        <v>235</v>
      </c>
      <c r="R413" s="7">
        <v>37549</v>
      </c>
      <c r="S413" s="8">
        <f t="shared" si="48"/>
        <v>2002</v>
      </c>
      <c r="T413" s="8">
        <v>2002</v>
      </c>
      <c r="U413" s="8">
        <f t="shared" si="49"/>
        <v>20</v>
      </c>
      <c r="V413" s="7">
        <v>37549</v>
      </c>
      <c r="W413" t="s">
        <v>789</v>
      </c>
      <c r="X413" s="2">
        <v>0.30399999999999999</v>
      </c>
      <c r="Y413" s="6">
        <f t="shared" si="54"/>
        <v>8.115106377299057E-3</v>
      </c>
      <c r="AA413">
        <v>8952477</v>
      </c>
      <c r="AB413">
        <v>12250</v>
      </c>
      <c r="AD413" t="s">
        <v>2</v>
      </c>
      <c r="AE413">
        <v>35</v>
      </c>
      <c r="AF413">
        <v>2</v>
      </c>
      <c r="AH413" t="s">
        <v>7342</v>
      </c>
      <c r="AI413" t="s">
        <v>7341</v>
      </c>
      <c r="AJ413" t="s">
        <v>7340</v>
      </c>
      <c r="AK413" t="s">
        <v>7339</v>
      </c>
      <c r="AL413">
        <v>8</v>
      </c>
      <c r="AM413" s="5">
        <f t="shared" si="50"/>
        <v>0.4</v>
      </c>
      <c r="AN413" s="4">
        <f t="shared" si="55"/>
        <v>6.0583112457402507E-4</v>
      </c>
      <c r="AO413" s="3"/>
      <c r="AP413">
        <v>0</v>
      </c>
      <c r="AR413" t="s">
        <v>1</v>
      </c>
      <c r="AT413" s="2" t="s">
        <v>0</v>
      </c>
      <c r="AU413" s="1">
        <f t="shared" si="51"/>
        <v>0.58623238014815471</v>
      </c>
      <c r="AV413" s="1">
        <f t="shared" si="52"/>
        <v>0.43604687509365414</v>
      </c>
      <c r="AW413" s="1">
        <f t="shared" si="53"/>
        <v>0.28586137003915346</v>
      </c>
    </row>
    <row r="414" spans="1:49" x14ac:dyDescent="0.2">
      <c r="A414">
        <v>412</v>
      </c>
      <c r="B414" t="s">
        <v>7338</v>
      </c>
      <c r="F414" t="s">
        <v>783</v>
      </c>
      <c r="G414" t="s">
        <v>5</v>
      </c>
      <c r="H414" t="s">
        <v>4</v>
      </c>
      <c r="I414" t="s">
        <v>782</v>
      </c>
      <c r="J414" t="s">
        <v>776</v>
      </c>
      <c r="K414" t="s">
        <v>781</v>
      </c>
      <c r="L414" t="s">
        <v>780</v>
      </c>
      <c r="M414" t="s">
        <v>779</v>
      </c>
      <c r="N414">
        <v>2</v>
      </c>
      <c r="O414" t="s">
        <v>778</v>
      </c>
      <c r="P414" t="s">
        <v>777</v>
      </c>
      <c r="Q414" t="s">
        <v>776</v>
      </c>
      <c r="R414" s="7">
        <v>37544</v>
      </c>
      <c r="S414" s="8">
        <f t="shared" si="48"/>
        <v>2002</v>
      </c>
      <c r="T414" s="8">
        <v>2002</v>
      </c>
      <c r="U414" s="8">
        <f t="shared" si="49"/>
        <v>20</v>
      </c>
      <c r="V414" s="7">
        <v>37544</v>
      </c>
      <c r="W414" t="s">
        <v>760</v>
      </c>
      <c r="X414" s="2">
        <v>1.5029999999999999</v>
      </c>
      <c r="Y414" s="6">
        <f t="shared" si="54"/>
        <v>4.0121726595659483E-2</v>
      </c>
      <c r="AA414">
        <v>1631829</v>
      </c>
      <c r="AB414">
        <v>11000153773</v>
      </c>
      <c r="AD414" t="s">
        <v>2</v>
      </c>
      <c r="AE414">
        <v>66</v>
      </c>
      <c r="AF414">
        <v>15</v>
      </c>
      <c r="AG414">
        <v>155309</v>
      </c>
      <c r="AH414" t="s">
        <v>7337</v>
      </c>
      <c r="AI414" t="s">
        <v>7336</v>
      </c>
      <c r="AK414" t="s">
        <v>7335</v>
      </c>
      <c r="AL414">
        <v>18</v>
      </c>
      <c r="AM414" s="5">
        <f t="shared" si="50"/>
        <v>0.9</v>
      </c>
      <c r="AN414" s="4">
        <f t="shared" si="55"/>
        <v>1.3631200302915562E-3</v>
      </c>
      <c r="AO414" s="3"/>
      <c r="AP414">
        <v>0</v>
      </c>
      <c r="AR414" t="s">
        <v>1</v>
      </c>
      <c r="AT414" s="2" t="s">
        <v>0</v>
      </c>
      <c r="AU414" s="1">
        <f t="shared" si="51"/>
        <v>2.8494144626049103</v>
      </c>
      <c r="AV414" s="1">
        <f t="shared" si="52"/>
        <v>2.074242331297552</v>
      </c>
      <c r="AW414" s="1">
        <f t="shared" si="53"/>
        <v>1.2990701999901935</v>
      </c>
    </row>
    <row r="415" spans="1:49" x14ac:dyDescent="0.2">
      <c r="A415">
        <v>413</v>
      </c>
      <c r="B415" t="s">
        <v>7334</v>
      </c>
      <c r="C415" t="s">
        <v>7333</v>
      </c>
      <c r="D415" t="s">
        <v>7332</v>
      </c>
      <c r="F415" t="s">
        <v>7331</v>
      </c>
      <c r="G415" t="s">
        <v>5</v>
      </c>
      <c r="H415" t="s">
        <v>4</v>
      </c>
      <c r="I415" t="s">
        <v>7330</v>
      </c>
      <c r="J415">
        <v>60011604</v>
      </c>
      <c r="K415" t="s">
        <v>7329</v>
      </c>
      <c r="L415" t="s">
        <v>137</v>
      </c>
      <c r="M415" t="s">
        <v>112</v>
      </c>
      <c r="N415">
        <v>3</v>
      </c>
      <c r="O415" t="s">
        <v>7328</v>
      </c>
      <c r="P415" t="s">
        <v>7327</v>
      </c>
      <c r="Q415" t="s">
        <v>7326</v>
      </c>
      <c r="R415" s="7">
        <v>37544</v>
      </c>
      <c r="S415" s="8">
        <f t="shared" si="48"/>
        <v>2002</v>
      </c>
      <c r="T415" s="8">
        <v>2002</v>
      </c>
      <c r="U415" s="8">
        <f t="shared" si="49"/>
        <v>20</v>
      </c>
      <c r="V415" s="7">
        <v>37544</v>
      </c>
      <c r="W415" t="s">
        <v>7325</v>
      </c>
      <c r="X415" s="2">
        <v>1.6839999999999999</v>
      </c>
      <c r="Y415" s="6">
        <f t="shared" si="54"/>
        <v>4.495341822161715E-2</v>
      </c>
      <c r="AA415">
        <v>221694</v>
      </c>
      <c r="AB415">
        <v>50089</v>
      </c>
      <c r="AD415" t="s">
        <v>2</v>
      </c>
      <c r="AE415">
        <v>267</v>
      </c>
      <c r="AF415" s="9">
        <v>44289</v>
      </c>
      <c r="AH415" t="s">
        <v>357</v>
      </c>
      <c r="AI415" t="s">
        <v>7324</v>
      </c>
      <c r="AJ415" t="s">
        <v>7323</v>
      </c>
      <c r="AK415" t="s">
        <v>7322</v>
      </c>
      <c r="AL415">
        <v>46</v>
      </c>
      <c r="AM415" s="5">
        <f t="shared" si="50"/>
        <v>2.2999999999999998</v>
      </c>
      <c r="AN415" s="4">
        <f t="shared" si="55"/>
        <v>3.4835289663006433E-3</v>
      </c>
      <c r="AO415" s="3"/>
      <c r="AP415">
        <v>0</v>
      </c>
      <c r="AR415" t="s">
        <v>1</v>
      </c>
      <c r="AT415" s="2">
        <v>5.7220000000000004</v>
      </c>
      <c r="AU415" s="1">
        <f t="shared" si="51"/>
        <v>3.2512451445022199</v>
      </c>
      <c r="AV415" s="1">
        <f t="shared" si="52"/>
        <v>2.4218473593958896</v>
      </c>
      <c r="AW415" s="1">
        <f t="shared" si="53"/>
        <v>1.5924495742895597</v>
      </c>
    </row>
    <row r="416" spans="1:49" x14ac:dyDescent="0.2">
      <c r="A416">
        <v>414</v>
      </c>
      <c r="B416" t="s">
        <v>7321</v>
      </c>
      <c r="F416" t="s">
        <v>7320</v>
      </c>
      <c r="G416" t="s">
        <v>5</v>
      </c>
      <c r="H416" t="s">
        <v>4</v>
      </c>
      <c r="I416" t="s">
        <v>7319</v>
      </c>
      <c r="J416">
        <v>101114257</v>
      </c>
      <c r="K416" t="s">
        <v>7318</v>
      </c>
      <c r="L416" t="s">
        <v>7317</v>
      </c>
      <c r="M416" t="s">
        <v>182</v>
      </c>
      <c r="N416">
        <v>3</v>
      </c>
      <c r="O416" t="s">
        <v>7316</v>
      </c>
      <c r="P416" t="s">
        <v>7315</v>
      </c>
      <c r="Q416" t="s">
        <v>7314</v>
      </c>
      <c r="R416" s="7">
        <v>37543</v>
      </c>
      <c r="S416" s="8">
        <f t="shared" si="48"/>
        <v>2002</v>
      </c>
      <c r="T416" s="8">
        <v>2002</v>
      </c>
      <c r="U416" s="8">
        <f t="shared" si="49"/>
        <v>20</v>
      </c>
      <c r="V416" s="7">
        <v>37543</v>
      </c>
      <c r="W416" t="s">
        <v>468</v>
      </c>
      <c r="X416" s="2">
        <v>0.26900000000000002</v>
      </c>
      <c r="Y416" s="6">
        <f t="shared" si="54"/>
        <v>7.1808013667547591E-3</v>
      </c>
      <c r="AA416" t="s">
        <v>467</v>
      </c>
      <c r="AB416">
        <v>13669</v>
      </c>
      <c r="AD416" t="s">
        <v>2</v>
      </c>
      <c r="AE416">
        <v>115</v>
      </c>
      <c r="AF416">
        <v>3</v>
      </c>
      <c r="AH416" t="s">
        <v>7313</v>
      </c>
      <c r="AI416" t="s">
        <v>7312</v>
      </c>
      <c r="AK416" t="s">
        <v>7311</v>
      </c>
      <c r="AL416">
        <v>2</v>
      </c>
      <c r="AM416" s="5">
        <f t="shared" si="50"/>
        <v>0.1</v>
      </c>
      <c r="AN416" s="4">
        <f t="shared" si="55"/>
        <v>1.5145778114350627E-4</v>
      </c>
      <c r="AO416" s="3"/>
      <c r="AP416">
        <v>0</v>
      </c>
      <c r="AR416" t="s">
        <v>1</v>
      </c>
      <c r="AT416" s="2" t="s">
        <v>0</v>
      </c>
      <c r="AU416" s="1">
        <f t="shared" si="51"/>
        <v>0.50719982910713834</v>
      </c>
      <c r="AV416" s="1">
        <f t="shared" si="52"/>
        <v>0.36661295739491329</v>
      </c>
      <c r="AW416" s="1">
        <f t="shared" si="53"/>
        <v>0.2260260856826882</v>
      </c>
    </row>
    <row r="417" spans="1:49" x14ac:dyDescent="0.2">
      <c r="A417">
        <v>415</v>
      </c>
      <c r="B417" t="s">
        <v>7310</v>
      </c>
      <c r="C417" t="s">
        <v>7309</v>
      </c>
      <c r="F417" t="s">
        <v>7308</v>
      </c>
      <c r="G417" t="s">
        <v>5</v>
      </c>
      <c r="H417" t="s">
        <v>4</v>
      </c>
      <c r="I417" t="s">
        <v>7307</v>
      </c>
      <c r="J417">
        <v>60007249</v>
      </c>
      <c r="K417" t="s">
        <v>695</v>
      </c>
      <c r="L417" t="s">
        <v>694</v>
      </c>
      <c r="M417" t="s">
        <v>693</v>
      </c>
      <c r="N417">
        <v>3</v>
      </c>
      <c r="O417" t="s">
        <v>7306</v>
      </c>
      <c r="P417" t="s">
        <v>7305</v>
      </c>
      <c r="Q417" t="s">
        <v>7304</v>
      </c>
      <c r="R417" s="7">
        <v>37541</v>
      </c>
      <c r="S417" s="8">
        <f t="shared" si="48"/>
        <v>2002</v>
      </c>
      <c r="T417" s="8">
        <v>2002</v>
      </c>
      <c r="U417" s="8">
        <f t="shared" si="49"/>
        <v>20</v>
      </c>
      <c r="V417" s="7">
        <v>2002</v>
      </c>
      <c r="W417" t="s">
        <v>7303</v>
      </c>
      <c r="X417" s="2">
        <v>0.30099999999999999</v>
      </c>
      <c r="Y417" s="6">
        <f t="shared" si="54"/>
        <v>8.0350230906809754E-3</v>
      </c>
      <c r="AA417">
        <v>10826076</v>
      </c>
      <c r="AB417">
        <v>24640</v>
      </c>
      <c r="AD417" t="s">
        <v>2</v>
      </c>
      <c r="AE417">
        <v>25</v>
      </c>
      <c r="AF417">
        <v>16</v>
      </c>
      <c r="AH417" t="s">
        <v>7302</v>
      </c>
      <c r="AI417" t="s">
        <v>7301</v>
      </c>
      <c r="AK417" t="s">
        <v>7300</v>
      </c>
      <c r="AL417">
        <v>23</v>
      </c>
      <c r="AM417" s="5">
        <f t="shared" si="50"/>
        <v>1.1499999999999999</v>
      </c>
      <c r="AN417" s="4">
        <f t="shared" si="55"/>
        <v>1.7417644831503216E-3</v>
      </c>
      <c r="AO417" s="3"/>
      <c r="AP417">
        <v>0</v>
      </c>
      <c r="AR417" t="s">
        <v>1</v>
      </c>
      <c r="AT417" s="2" t="s">
        <v>0</v>
      </c>
      <c r="AU417" s="1">
        <f t="shared" si="51"/>
        <v>0.6147045508421779</v>
      </c>
      <c r="AV417" s="1">
        <f t="shared" si="52"/>
        <v>0.48883937869156485</v>
      </c>
      <c r="AW417" s="1">
        <f t="shared" si="53"/>
        <v>0.36297420654095175</v>
      </c>
    </row>
    <row r="418" spans="1:49" x14ac:dyDescent="0.2">
      <c r="A418">
        <v>416</v>
      </c>
      <c r="B418" t="s">
        <v>7299</v>
      </c>
      <c r="C418" t="s">
        <v>7298</v>
      </c>
      <c r="E418">
        <v>12443195</v>
      </c>
      <c r="F418" t="s">
        <v>7297</v>
      </c>
      <c r="G418" t="s">
        <v>5</v>
      </c>
      <c r="H418" t="s">
        <v>4</v>
      </c>
      <c r="I418" t="s">
        <v>7296</v>
      </c>
      <c r="J418" t="s">
        <v>4320</v>
      </c>
      <c r="K418" t="s">
        <v>4319</v>
      </c>
      <c r="L418" t="s">
        <v>4318</v>
      </c>
      <c r="M418" t="s">
        <v>195</v>
      </c>
      <c r="N418">
        <v>3</v>
      </c>
      <c r="O418" t="s">
        <v>7295</v>
      </c>
      <c r="P418" t="s">
        <v>7294</v>
      </c>
      <c r="Q418" t="s">
        <v>7293</v>
      </c>
      <c r="R418" s="7">
        <v>37539</v>
      </c>
      <c r="S418" s="8">
        <f t="shared" si="48"/>
        <v>2002</v>
      </c>
      <c r="T418" s="8">
        <v>2002</v>
      </c>
      <c r="U418" s="8">
        <f t="shared" si="49"/>
        <v>20</v>
      </c>
      <c r="V418" s="7">
        <v>37539</v>
      </c>
      <c r="W418" t="s">
        <v>5474</v>
      </c>
      <c r="X418" s="2">
        <v>0.89600000000000002</v>
      </c>
      <c r="Y418" s="6">
        <f t="shared" si="54"/>
        <v>2.3918208269934065E-2</v>
      </c>
      <c r="AA418" t="s">
        <v>5473</v>
      </c>
      <c r="AB418">
        <v>21100855841</v>
      </c>
      <c r="AD418" t="s">
        <v>2</v>
      </c>
      <c r="AE418">
        <v>66</v>
      </c>
      <c r="AF418">
        <v>4</v>
      </c>
      <c r="AH418">
        <v>10</v>
      </c>
      <c r="AI418" t="s">
        <v>7292</v>
      </c>
      <c r="AK418" t="s">
        <v>7291</v>
      </c>
      <c r="AL418">
        <v>16</v>
      </c>
      <c r="AM418" s="5">
        <f t="shared" si="50"/>
        <v>0.8</v>
      </c>
      <c r="AN418" s="4">
        <f t="shared" si="55"/>
        <v>1.2116622491480501E-3</v>
      </c>
      <c r="AO418" s="3"/>
      <c r="AP418">
        <v>0</v>
      </c>
      <c r="AR418" t="s">
        <v>1</v>
      </c>
      <c r="AT418" s="2" t="s">
        <v>0</v>
      </c>
      <c r="AU418" s="1">
        <f t="shared" si="51"/>
        <v>1.7106244463698257</v>
      </c>
      <c r="AV418" s="1">
        <f t="shared" si="52"/>
        <v>1.2564935259541059</v>
      </c>
      <c r="AW418" s="1">
        <f t="shared" si="53"/>
        <v>0.80236260553838545</v>
      </c>
    </row>
    <row r="419" spans="1:49" x14ac:dyDescent="0.2">
      <c r="A419">
        <v>417</v>
      </c>
      <c r="B419" t="s">
        <v>7290</v>
      </c>
      <c r="F419" t="s">
        <v>7289</v>
      </c>
      <c r="G419" t="s">
        <v>5</v>
      </c>
      <c r="H419" t="s">
        <v>4</v>
      </c>
      <c r="I419" t="s">
        <v>7288</v>
      </c>
      <c r="J419">
        <v>60019513</v>
      </c>
      <c r="K419" t="s">
        <v>7287</v>
      </c>
      <c r="L419" t="s">
        <v>7286</v>
      </c>
      <c r="M419" t="s">
        <v>14</v>
      </c>
      <c r="N419">
        <v>3</v>
      </c>
      <c r="O419" t="s">
        <v>7285</v>
      </c>
      <c r="P419" t="s">
        <v>7284</v>
      </c>
      <c r="Q419" t="s">
        <v>7283</v>
      </c>
      <c r="R419" s="7">
        <v>37539</v>
      </c>
      <c r="S419" s="8">
        <f t="shared" si="48"/>
        <v>2002</v>
      </c>
      <c r="T419" s="8">
        <v>2002</v>
      </c>
      <c r="U419" s="8">
        <f t="shared" si="49"/>
        <v>20</v>
      </c>
      <c r="V419" s="7">
        <v>37539</v>
      </c>
      <c r="W419" t="s">
        <v>3852</v>
      </c>
      <c r="X419" s="2">
        <v>1.9830000000000001</v>
      </c>
      <c r="Y419" s="6">
        <f t="shared" si="54"/>
        <v>5.2935052454552739E-2</v>
      </c>
      <c r="AA419">
        <v>21699313</v>
      </c>
      <c r="AB419">
        <v>21100855886</v>
      </c>
      <c r="AC419">
        <v>21699356</v>
      </c>
      <c r="AD419" t="s">
        <v>2</v>
      </c>
      <c r="AE419">
        <v>107</v>
      </c>
      <c r="AF419">
        <v>10</v>
      </c>
      <c r="AI419" t="s">
        <v>7282</v>
      </c>
      <c r="AJ419" t="s">
        <v>7281</v>
      </c>
      <c r="AK419" t="s">
        <v>7280</v>
      </c>
      <c r="AL419">
        <v>38</v>
      </c>
      <c r="AM419" s="5">
        <f t="shared" si="50"/>
        <v>1.9</v>
      </c>
      <c r="AN419" s="4">
        <f t="shared" si="55"/>
        <v>2.8776978417266188E-3</v>
      </c>
      <c r="AO419" s="3"/>
      <c r="AP419">
        <v>0</v>
      </c>
      <c r="AR419" t="s">
        <v>1</v>
      </c>
      <c r="AT419" s="2" t="s">
        <v>0</v>
      </c>
      <c r="AU419" s="1">
        <f t="shared" si="51"/>
        <v>3.7917846070704897</v>
      </c>
      <c r="AV419" s="1">
        <f t="shared" si="52"/>
        <v>2.7906375148139677</v>
      </c>
      <c r="AW419" s="1">
        <f t="shared" si="53"/>
        <v>1.7894904225574455</v>
      </c>
    </row>
    <row r="420" spans="1:49" x14ac:dyDescent="0.2">
      <c r="A420">
        <v>418</v>
      </c>
      <c r="B420" t="s">
        <v>7279</v>
      </c>
      <c r="C420" t="s">
        <v>7278</v>
      </c>
      <c r="F420" t="s">
        <v>7277</v>
      </c>
      <c r="G420" t="s">
        <v>5</v>
      </c>
      <c r="H420" t="s">
        <v>4</v>
      </c>
      <c r="I420" t="s">
        <v>7276</v>
      </c>
      <c r="J420">
        <v>60159855</v>
      </c>
      <c r="K420" t="s">
        <v>7275</v>
      </c>
      <c r="L420" t="s">
        <v>521</v>
      </c>
      <c r="M420" t="s">
        <v>520</v>
      </c>
      <c r="N420">
        <v>3</v>
      </c>
      <c r="O420" t="s">
        <v>7274</v>
      </c>
      <c r="P420" t="s">
        <v>7273</v>
      </c>
      <c r="Q420" t="s">
        <v>7272</v>
      </c>
      <c r="R420" s="7">
        <v>37539</v>
      </c>
      <c r="S420" s="8">
        <f t="shared" si="48"/>
        <v>2002</v>
      </c>
      <c r="T420" s="8">
        <v>2002</v>
      </c>
      <c r="U420" s="8">
        <f t="shared" si="49"/>
        <v>20</v>
      </c>
      <c r="V420" s="7">
        <v>37539</v>
      </c>
      <c r="W420" t="s">
        <v>786</v>
      </c>
      <c r="X420" s="2">
        <v>0.375</v>
      </c>
      <c r="Y420" s="6">
        <f t="shared" si="54"/>
        <v>1.0010410827260351E-2</v>
      </c>
      <c r="AA420">
        <v>135194</v>
      </c>
      <c r="AB420">
        <v>24918</v>
      </c>
      <c r="AD420" t="s">
        <v>2</v>
      </c>
      <c r="AE420">
        <v>38</v>
      </c>
      <c r="AF420">
        <v>21</v>
      </c>
      <c r="AH420" t="s">
        <v>7271</v>
      </c>
      <c r="AI420" t="s">
        <v>7270</v>
      </c>
      <c r="AK420" t="s">
        <v>7269</v>
      </c>
      <c r="AL420">
        <v>5</v>
      </c>
      <c r="AM420" s="5">
        <f t="shared" si="50"/>
        <v>0.25</v>
      </c>
      <c r="AN420" s="4">
        <f t="shared" si="55"/>
        <v>3.786444528587656E-4</v>
      </c>
      <c r="AO420" s="3"/>
      <c r="AP420">
        <v>0</v>
      </c>
      <c r="AR420" t="s">
        <v>1</v>
      </c>
      <c r="AT420" s="2">
        <v>1.3140000000000001</v>
      </c>
      <c r="AU420" s="1">
        <f t="shared" si="51"/>
        <v>0.71208809149398755</v>
      </c>
      <c r="AV420" s="1">
        <f t="shared" si="52"/>
        <v>0.51945276400595586</v>
      </c>
      <c r="AW420" s="1">
        <f t="shared" si="53"/>
        <v>0.32681743651792411</v>
      </c>
    </row>
    <row r="421" spans="1:49" x14ac:dyDescent="0.2">
      <c r="A421">
        <v>419</v>
      </c>
      <c r="B421" t="s">
        <v>7268</v>
      </c>
      <c r="C421" t="s">
        <v>7267</v>
      </c>
      <c r="F421" t="s">
        <v>7266</v>
      </c>
      <c r="G421" t="s">
        <v>5</v>
      </c>
      <c r="H421" t="s">
        <v>4</v>
      </c>
      <c r="I421" t="s">
        <v>7265</v>
      </c>
      <c r="J421" t="s">
        <v>7264</v>
      </c>
      <c r="K421" t="s">
        <v>7263</v>
      </c>
      <c r="L421" t="s">
        <v>7262</v>
      </c>
      <c r="M421" t="s">
        <v>4391</v>
      </c>
      <c r="N421">
        <v>3</v>
      </c>
      <c r="O421" t="s">
        <v>7261</v>
      </c>
      <c r="P421" t="s">
        <v>7260</v>
      </c>
      <c r="Q421" t="s">
        <v>7259</v>
      </c>
      <c r="R421" s="7">
        <v>37539</v>
      </c>
      <c r="S421" s="8">
        <f t="shared" si="48"/>
        <v>2002</v>
      </c>
      <c r="T421" s="8">
        <v>2002</v>
      </c>
      <c r="U421" s="8">
        <f t="shared" si="49"/>
        <v>20</v>
      </c>
      <c r="V421" s="7">
        <v>37539</v>
      </c>
      <c r="W421" t="s">
        <v>786</v>
      </c>
      <c r="X421" s="2">
        <v>0.375</v>
      </c>
      <c r="Y421" s="6">
        <f t="shared" si="54"/>
        <v>1.0010410827260351E-2</v>
      </c>
      <c r="AA421">
        <v>135194</v>
      </c>
      <c r="AB421">
        <v>24918</v>
      </c>
      <c r="AD421" t="s">
        <v>2</v>
      </c>
      <c r="AE421">
        <v>38</v>
      </c>
      <c r="AF421">
        <v>21</v>
      </c>
      <c r="AH421" t="s">
        <v>7258</v>
      </c>
      <c r="AI421" t="s">
        <v>7257</v>
      </c>
      <c r="AK421" t="s">
        <v>7256</v>
      </c>
      <c r="AL421">
        <v>26</v>
      </c>
      <c r="AM421" s="5">
        <f t="shared" si="50"/>
        <v>1.3</v>
      </c>
      <c r="AN421" s="4">
        <f t="shared" si="55"/>
        <v>1.9689511548655813E-3</v>
      </c>
      <c r="AO421" s="3"/>
      <c r="AP421">
        <v>0</v>
      </c>
      <c r="AR421" t="s">
        <v>1</v>
      </c>
      <c r="AT421" s="2">
        <v>1.3140000000000001</v>
      </c>
      <c r="AU421" s="1">
        <f t="shared" si="51"/>
        <v>0.75979729255419204</v>
      </c>
      <c r="AV421" s="1">
        <f t="shared" si="52"/>
        <v>0.59896809910629667</v>
      </c>
      <c r="AW421" s="1">
        <f t="shared" si="53"/>
        <v>0.43813890565840119</v>
      </c>
    </row>
    <row r="422" spans="1:49" x14ac:dyDescent="0.2">
      <c r="A422">
        <v>420</v>
      </c>
      <c r="B422" t="s">
        <v>7255</v>
      </c>
      <c r="C422" t="s">
        <v>7254</v>
      </c>
      <c r="F422" t="s">
        <v>7253</v>
      </c>
      <c r="G422" t="s">
        <v>5</v>
      </c>
      <c r="H422" t="s">
        <v>4</v>
      </c>
      <c r="I422" t="s">
        <v>7252</v>
      </c>
      <c r="J422">
        <v>60073971</v>
      </c>
      <c r="K422" t="s">
        <v>7251</v>
      </c>
      <c r="L422" t="s">
        <v>7250</v>
      </c>
      <c r="M422" t="s">
        <v>7</v>
      </c>
      <c r="N422">
        <v>1</v>
      </c>
      <c r="O422" t="s">
        <v>7249</v>
      </c>
      <c r="P422">
        <v>55951888900</v>
      </c>
      <c r="Q422">
        <v>60073971</v>
      </c>
      <c r="R422" s="7">
        <v>37539</v>
      </c>
      <c r="S422" s="8">
        <f t="shared" si="48"/>
        <v>2002</v>
      </c>
      <c r="T422" s="8">
        <v>2002</v>
      </c>
      <c r="U422" s="8">
        <f t="shared" si="49"/>
        <v>20</v>
      </c>
      <c r="V422" s="7">
        <v>37539</v>
      </c>
      <c r="W422" t="s">
        <v>786</v>
      </c>
      <c r="X422" s="2">
        <v>0.375</v>
      </c>
      <c r="Y422" s="6">
        <f t="shared" si="54"/>
        <v>1.0010410827260351E-2</v>
      </c>
      <c r="AA422">
        <v>135194</v>
      </c>
      <c r="AB422">
        <v>24918</v>
      </c>
      <c r="AD422" t="s">
        <v>2</v>
      </c>
      <c r="AE422">
        <v>38</v>
      </c>
      <c r="AF422">
        <v>21</v>
      </c>
      <c r="AH422" t="s">
        <v>7248</v>
      </c>
      <c r="AI422" t="s">
        <v>7247</v>
      </c>
      <c r="AK422" t="s">
        <v>7246</v>
      </c>
      <c r="AL422">
        <v>3</v>
      </c>
      <c r="AM422" s="5">
        <f t="shared" si="50"/>
        <v>0.15</v>
      </c>
      <c r="AN422" s="4">
        <f t="shared" si="55"/>
        <v>2.2718667171525936E-4</v>
      </c>
      <c r="AO422" s="3"/>
      <c r="AP422">
        <v>0</v>
      </c>
      <c r="AR422" t="s">
        <v>1</v>
      </c>
      <c r="AT422" s="2">
        <v>1.3140000000000001</v>
      </c>
      <c r="AU422" s="1">
        <f t="shared" si="51"/>
        <v>0.70754435805968241</v>
      </c>
      <c r="AV422" s="1">
        <f t="shared" si="52"/>
        <v>0.51187987494878051</v>
      </c>
      <c r="AW422" s="1">
        <f t="shared" si="53"/>
        <v>0.31621539183787867</v>
      </c>
    </row>
    <row r="423" spans="1:49" x14ac:dyDescent="0.2">
      <c r="A423">
        <v>421</v>
      </c>
      <c r="B423" t="s">
        <v>7245</v>
      </c>
      <c r="C423" t="s">
        <v>7244</v>
      </c>
      <c r="F423" t="s">
        <v>7243</v>
      </c>
      <c r="G423" t="s">
        <v>5</v>
      </c>
      <c r="H423" t="s">
        <v>4</v>
      </c>
      <c r="I423" t="s">
        <v>7242</v>
      </c>
      <c r="J423" t="s">
        <v>7241</v>
      </c>
      <c r="K423" t="s">
        <v>7240</v>
      </c>
      <c r="L423" t="s">
        <v>564</v>
      </c>
      <c r="M423" t="s">
        <v>563</v>
      </c>
      <c r="N423">
        <v>4</v>
      </c>
      <c r="O423" t="s">
        <v>7239</v>
      </c>
      <c r="P423" t="s">
        <v>7238</v>
      </c>
      <c r="Q423" t="s">
        <v>7237</v>
      </c>
      <c r="R423" s="7">
        <v>37539</v>
      </c>
      <c r="S423" s="8">
        <f t="shared" si="48"/>
        <v>2002</v>
      </c>
      <c r="T423" s="8">
        <v>2002</v>
      </c>
      <c r="U423" s="8">
        <f t="shared" si="49"/>
        <v>20</v>
      </c>
      <c r="V423" s="7">
        <v>37539</v>
      </c>
      <c r="W423" t="s">
        <v>786</v>
      </c>
      <c r="X423" s="2">
        <v>0.375</v>
      </c>
      <c r="Y423" s="6">
        <f t="shared" si="54"/>
        <v>1.0010410827260351E-2</v>
      </c>
      <c r="AA423">
        <v>135194</v>
      </c>
      <c r="AB423">
        <v>24918</v>
      </c>
      <c r="AD423" t="s">
        <v>2</v>
      </c>
      <c r="AE423">
        <v>38</v>
      </c>
      <c r="AF423">
        <v>21</v>
      </c>
      <c r="AH423" t="s">
        <v>7236</v>
      </c>
      <c r="AI423" t="s">
        <v>7235</v>
      </c>
      <c r="AK423" t="s">
        <v>7234</v>
      </c>
      <c r="AL423">
        <v>34</v>
      </c>
      <c r="AM423" s="5">
        <f t="shared" si="50"/>
        <v>1.7</v>
      </c>
      <c r="AN423" s="4">
        <f t="shared" si="55"/>
        <v>2.5747822794396063E-3</v>
      </c>
      <c r="AO423" s="3"/>
      <c r="AP423">
        <v>0</v>
      </c>
      <c r="AR423" t="s">
        <v>1</v>
      </c>
      <c r="AT423" s="2">
        <v>1.3140000000000001</v>
      </c>
      <c r="AU423" s="1">
        <f t="shared" si="51"/>
        <v>0.77797222629141272</v>
      </c>
      <c r="AV423" s="1">
        <f t="shared" si="52"/>
        <v>0.62925965533499784</v>
      </c>
      <c r="AW423" s="1">
        <f t="shared" si="53"/>
        <v>0.48054708437858296</v>
      </c>
    </row>
    <row r="424" spans="1:49" x14ac:dyDescent="0.2">
      <c r="A424">
        <v>422</v>
      </c>
      <c r="B424" t="s">
        <v>7233</v>
      </c>
      <c r="C424" t="s">
        <v>7232</v>
      </c>
      <c r="D424" t="s">
        <v>7231</v>
      </c>
      <c r="E424">
        <v>12408482</v>
      </c>
      <c r="F424" t="s">
        <v>7230</v>
      </c>
      <c r="G424" t="s">
        <v>5</v>
      </c>
      <c r="H424" t="s">
        <v>4</v>
      </c>
      <c r="I424" t="s">
        <v>7229</v>
      </c>
      <c r="J424" t="s">
        <v>7228</v>
      </c>
      <c r="K424" t="s">
        <v>7227</v>
      </c>
      <c r="L424" t="s">
        <v>7226</v>
      </c>
      <c r="M424" t="s">
        <v>39</v>
      </c>
      <c r="N424">
        <v>4</v>
      </c>
      <c r="O424" t="s">
        <v>7225</v>
      </c>
      <c r="P424" t="s">
        <v>7224</v>
      </c>
      <c r="Q424" t="s">
        <v>7223</v>
      </c>
      <c r="R424" s="7">
        <v>37536</v>
      </c>
      <c r="S424" s="8">
        <f t="shared" si="48"/>
        <v>2002</v>
      </c>
      <c r="T424" s="8">
        <v>2002</v>
      </c>
      <c r="U424" s="8">
        <f t="shared" si="49"/>
        <v>20</v>
      </c>
      <c r="V424" s="7">
        <v>37536</v>
      </c>
      <c r="W424" t="s">
        <v>1118</v>
      </c>
      <c r="X424" s="2">
        <v>1.3120000000000001</v>
      </c>
      <c r="Y424" s="6">
        <f t="shared" si="54"/>
        <v>3.502309068097488E-2</v>
      </c>
      <c r="AA424">
        <v>319155</v>
      </c>
      <c r="AB424">
        <v>29203</v>
      </c>
      <c r="AD424" t="s">
        <v>2</v>
      </c>
      <c r="AE424">
        <v>47</v>
      </c>
      <c r="AF424">
        <v>19</v>
      </c>
      <c r="AH424" t="s">
        <v>7222</v>
      </c>
      <c r="AI424" t="s">
        <v>7221</v>
      </c>
      <c r="AK424" t="s">
        <v>7220</v>
      </c>
      <c r="AL424">
        <v>9</v>
      </c>
      <c r="AM424" s="5">
        <f t="shared" si="50"/>
        <v>0.45</v>
      </c>
      <c r="AN424" s="4">
        <f t="shared" si="55"/>
        <v>6.8156001514577808E-4</v>
      </c>
      <c r="AO424" s="3"/>
      <c r="AP424">
        <v>0</v>
      </c>
      <c r="AR424" t="s">
        <v>1</v>
      </c>
      <c r="AT424" s="2">
        <v>3.609</v>
      </c>
      <c r="AU424" s="1">
        <f t="shared" si="51"/>
        <v>2.472063148122615</v>
      </c>
      <c r="AV424" s="1">
        <f t="shared" si="52"/>
        <v>1.7852325348060329</v>
      </c>
      <c r="AW424" s="1">
        <f t="shared" si="53"/>
        <v>1.0984019214894509</v>
      </c>
    </row>
    <row r="425" spans="1:49" x14ac:dyDescent="0.2">
      <c r="A425">
        <v>423</v>
      </c>
      <c r="B425" t="s">
        <v>7219</v>
      </c>
      <c r="C425" t="s">
        <v>7218</v>
      </c>
      <c r="D425" t="s">
        <v>7217</v>
      </c>
      <c r="F425" t="s">
        <v>7216</v>
      </c>
      <c r="G425" t="s">
        <v>5</v>
      </c>
      <c r="H425" t="s">
        <v>4</v>
      </c>
      <c r="I425" t="s">
        <v>7215</v>
      </c>
      <c r="J425" t="s">
        <v>7214</v>
      </c>
      <c r="K425" t="s">
        <v>7213</v>
      </c>
      <c r="L425" t="s">
        <v>7212</v>
      </c>
      <c r="M425" t="s">
        <v>7211</v>
      </c>
      <c r="N425">
        <v>3</v>
      </c>
      <c r="O425" t="s">
        <v>7210</v>
      </c>
      <c r="P425" t="s">
        <v>7209</v>
      </c>
      <c r="Q425" t="s">
        <v>7208</v>
      </c>
      <c r="R425" s="7">
        <v>37536</v>
      </c>
      <c r="S425" s="8">
        <f t="shared" si="48"/>
        <v>2002</v>
      </c>
      <c r="T425" s="8">
        <v>2002</v>
      </c>
      <c r="U425" s="8">
        <f t="shared" si="49"/>
        <v>20</v>
      </c>
      <c r="V425" s="7">
        <v>37536</v>
      </c>
      <c r="W425" t="s">
        <v>1196</v>
      </c>
      <c r="X425" s="2">
        <v>1.528</v>
      </c>
      <c r="Y425" s="6">
        <f t="shared" si="54"/>
        <v>4.0789087317476845E-2</v>
      </c>
      <c r="AA425">
        <v>2649381</v>
      </c>
      <c r="AB425">
        <v>27433</v>
      </c>
      <c r="AD425" t="s">
        <v>2</v>
      </c>
      <c r="AE425">
        <v>19</v>
      </c>
      <c r="AF425">
        <v>19</v>
      </c>
      <c r="AH425" t="s">
        <v>7207</v>
      </c>
      <c r="AI425" t="s">
        <v>7206</v>
      </c>
      <c r="AK425" t="s">
        <v>7205</v>
      </c>
      <c r="AL425">
        <v>0</v>
      </c>
      <c r="AM425" s="5">
        <f t="shared" si="50"/>
        <v>0</v>
      </c>
      <c r="AN425" s="4">
        <f t="shared" si="55"/>
        <v>0</v>
      </c>
      <c r="AO425" s="3"/>
      <c r="AP425">
        <v>0</v>
      </c>
      <c r="AR425" t="s">
        <v>1</v>
      </c>
      <c r="AT425" s="2">
        <v>3.528</v>
      </c>
      <c r="AU425" s="1">
        <f t="shared" si="51"/>
        <v>2.8552361122233791</v>
      </c>
      <c r="AV425" s="1">
        <f t="shared" si="52"/>
        <v>2.0394543658738424</v>
      </c>
      <c r="AW425" s="1">
        <f t="shared" si="53"/>
        <v>1.2236726195243053</v>
      </c>
    </row>
    <row r="426" spans="1:49" x14ac:dyDescent="0.2">
      <c r="A426">
        <v>424</v>
      </c>
      <c r="B426" t="s">
        <v>7204</v>
      </c>
      <c r="C426" t="s">
        <v>7203</v>
      </c>
      <c r="F426" t="s">
        <v>7202</v>
      </c>
      <c r="G426" t="s">
        <v>5</v>
      </c>
      <c r="H426" t="s">
        <v>4</v>
      </c>
      <c r="I426" t="s">
        <v>7201</v>
      </c>
      <c r="J426">
        <v>60105585</v>
      </c>
      <c r="K426" t="s">
        <v>156</v>
      </c>
      <c r="L426" t="s">
        <v>155</v>
      </c>
      <c r="M426" t="s">
        <v>14</v>
      </c>
      <c r="N426">
        <v>2</v>
      </c>
      <c r="O426" t="s">
        <v>7200</v>
      </c>
      <c r="P426" t="s">
        <v>7199</v>
      </c>
      <c r="Q426" t="s">
        <v>7198</v>
      </c>
      <c r="R426" s="7">
        <v>37534</v>
      </c>
      <c r="S426" s="8">
        <f t="shared" si="48"/>
        <v>2002</v>
      </c>
      <c r="T426" s="8">
        <v>2002</v>
      </c>
      <c r="U426" s="8">
        <f t="shared" si="49"/>
        <v>20</v>
      </c>
      <c r="V426" s="7">
        <v>37534</v>
      </c>
      <c r="W426" t="s">
        <v>789</v>
      </c>
      <c r="X426" s="2">
        <v>0.30399999999999999</v>
      </c>
      <c r="Y426" s="6">
        <f t="shared" si="54"/>
        <v>8.115106377299057E-3</v>
      </c>
      <c r="AA426">
        <v>8952477</v>
      </c>
      <c r="AB426">
        <v>12250</v>
      </c>
      <c r="AD426" t="s">
        <v>2</v>
      </c>
      <c r="AE426">
        <v>35</v>
      </c>
      <c r="AF426">
        <v>1</v>
      </c>
      <c r="AH426" t="s">
        <v>7197</v>
      </c>
      <c r="AI426" t="s">
        <v>7196</v>
      </c>
      <c r="AK426" t="s">
        <v>7195</v>
      </c>
      <c r="AL426">
        <v>6</v>
      </c>
      <c r="AM426" s="5">
        <f t="shared" si="50"/>
        <v>0.3</v>
      </c>
      <c r="AN426" s="4">
        <f t="shared" si="55"/>
        <v>4.5437334343051872E-4</v>
      </c>
      <c r="AO426" s="3"/>
      <c r="AP426">
        <v>0</v>
      </c>
      <c r="AR426" t="s">
        <v>1</v>
      </c>
      <c r="AT426" s="2" t="s">
        <v>0</v>
      </c>
      <c r="AU426" s="1">
        <f t="shared" si="51"/>
        <v>0.58168864671384946</v>
      </c>
      <c r="AV426" s="1">
        <f t="shared" si="52"/>
        <v>0.42847398603647879</v>
      </c>
      <c r="AW426" s="1">
        <f t="shared" si="53"/>
        <v>0.27525932535910802</v>
      </c>
    </row>
    <row r="427" spans="1:49" x14ac:dyDescent="0.2">
      <c r="A427">
        <v>425</v>
      </c>
      <c r="B427" t="s">
        <v>7194</v>
      </c>
      <c r="C427" t="s">
        <v>7193</v>
      </c>
      <c r="F427" t="s">
        <v>7192</v>
      </c>
      <c r="G427" t="s">
        <v>5</v>
      </c>
      <c r="H427" t="s">
        <v>4</v>
      </c>
      <c r="I427" t="s">
        <v>5304</v>
      </c>
      <c r="J427">
        <v>60029738</v>
      </c>
      <c r="K427" t="s">
        <v>1027</v>
      </c>
      <c r="L427" t="s">
        <v>1026</v>
      </c>
      <c r="M427" t="s">
        <v>41</v>
      </c>
      <c r="N427">
        <v>2</v>
      </c>
      <c r="O427" t="s">
        <v>5303</v>
      </c>
      <c r="P427" t="s">
        <v>5302</v>
      </c>
      <c r="Q427" t="s">
        <v>1960</v>
      </c>
      <c r="R427" s="7">
        <v>37534</v>
      </c>
      <c r="S427" s="8">
        <f t="shared" si="48"/>
        <v>2002</v>
      </c>
      <c r="T427" s="8">
        <v>2002</v>
      </c>
      <c r="U427" s="8">
        <f t="shared" si="49"/>
        <v>20</v>
      </c>
      <c r="V427" s="7">
        <v>37534</v>
      </c>
      <c r="W427" t="s">
        <v>789</v>
      </c>
      <c r="X427" s="2">
        <v>0.30399999999999999</v>
      </c>
      <c r="Y427" s="6">
        <f t="shared" si="54"/>
        <v>8.115106377299057E-3</v>
      </c>
      <c r="AA427">
        <v>8952477</v>
      </c>
      <c r="AB427">
        <v>12250</v>
      </c>
      <c r="AD427" t="s">
        <v>2</v>
      </c>
      <c r="AE427">
        <v>35</v>
      </c>
      <c r="AF427">
        <v>1</v>
      </c>
      <c r="AH427" t="s">
        <v>1018</v>
      </c>
      <c r="AI427" t="s">
        <v>7191</v>
      </c>
      <c r="AJ427" t="s">
        <v>7190</v>
      </c>
      <c r="AK427" t="s">
        <v>7189</v>
      </c>
      <c r="AL427">
        <v>1</v>
      </c>
      <c r="AM427" s="5">
        <f t="shared" si="50"/>
        <v>0.05</v>
      </c>
      <c r="AN427" s="4">
        <f t="shared" si="55"/>
        <v>7.5728890571753133E-5</v>
      </c>
      <c r="AO427" s="3"/>
      <c r="AP427">
        <v>0</v>
      </c>
      <c r="AR427" t="s">
        <v>1</v>
      </c>
      <c r="AT427" s="2" t="s">
        <v>0</v>
      </c>
      <c r="AU427" s="1">
        <f t="shared" si="51"/>
        <v>0.57032931312808655</v>
      </c>
      <c r="AV427" s="1">
        <f t="shared" si="52"/>
        <v>0.40954176339354048</v>
      </c>
      <c r="AW427" s="1">
        <f t="shared" si="53"/>
        <v>0.24875421365899444</v>
      </c>
    </row>
    <row r="428" spans="1:49" x14ac:dyDescent="0.2">
      <c r="A428">
        <v>426</v>
      </c>
      <c r="B428" t="s">
        <v>7188</v>
      </c>
      <c r="C428" t="s">
        <v>7187</v>
      </c>
      <c r="F428" t="s">
        <v>7186</v>
      </c>
      <c r="G428" t="s">
        <v>5</v>
      </c>
      <c r="H428" t="s">
        <v>4</v>
      </c>
      <c r="I428" t="s">
        <v>264</v>
      </c>
      <c r="J428" t="s">
        <v>263</v>
      </c>
      <c r="K428" t="s">
        <v>262</v>
      </c>
      <c r="L428" t="s">
        <v>261</v>
      </c>
      <c r="M428" t="s">
        <v>94</v>
      </c>
      <c r="N428">
        <v>5</v>
      </c>
      <c r="O428" t="s">
        <v>260</v>
      </c>
      <c r="P428" t="s">
        <v>259</v>
      </c>
      <c r="Q428" t="s">
        <v>258</v>
      </c>
      <c r="R428" s="7">
        <v>37534</v>
      </c>
      <c r="S428" s="8">
        <f t="shared" si="48"/>
        <v>2002</v>
      </c>
      <c r="T428" s="8">
        <v>2002</v>
      </c>
      <c r="U428" s="8">
        <f t="shared" si="49"/>
        <v>20</v>
      </c>
      <c r="V428" s="7">
        <v>37534</v>
      </c>
      <c r="W428" t="s">
        <v>789</v>
      </c>
      <c r="X428" s="2">
        <v>0.30399999999999999</v>
      </c>
      <c r="Y428" s="6">
        <f t="shared" si="54"/>
        <v>8.115106377299057E-3</v>
      </c>
      <c r="AA428">
        <v>8952477</v>
      </c>
      <c r="AB428">
        <v>12250</v>
      </c>
      <c r="AD428" t="s">
        <v>2</v>
      </c>
      <c r="AE428">
        <v>35</v>
      </c>
      <c r="AF428">
        <v>1</v>
      </c>
      <c r="AH428" t="s">
        <v>7185</v>
      </c>
      <c r="AI428" t="s">
        <v>7184</v>
      </c>
      <c r="AJ428" t="s">
        <v>7183</v>
      </c>
      <c r="AK428" t="s">
        <v>7182</v>
      </c>
      <c r="AL428">
        <v>2</v>
      </c>
      <c r="AM428" s="5">
        <f t="shared" si="50"/>
        <v>0.1</v>
      </c>
      <c r="AN428" s="4">
        <f t="shared" si="55"/>
        <v>1.5145778114350627E-4</v>
      </c>
      <c r="AO428" s="3"/>
      <c r="AP428">
        <v>0</v>
      </c>
      <c r="AR428" t="s">
        <v>1</v>
      </c>
      <c r="AT428" s="2" t="s">
        <v>0</v>
      </c>
      <c r="AU428" s="1">
        <f t="shared" si="51"/>
        <v>0.57260117984523917</v>
      </c>
      <c r="AV428" s="1">
        <f t="shared" si="52"/>
        <v>0.41332820792212815</v>
      </c>
      <c r="AW428" s="1">
        <f t="shared" si="53"/>
        <v>0.25405523599901714</v>
      </c>
    </row>
    <row r="429" spans="1:49" x14ac:dyDescent="0.2">
      <c r="A429">
        <v>427</v>
      </c>
      <c r="B429" t="s">
        <v>7181</v>
      </c>
      <c r="C429" t="s">
        <v>7180</v>
      </c>
      <c r="E429">
        <v>12114527</v>
      </c>
      <c r="F429" t="s">
        <v>7179</v>
      </c>
      <c r="G429" t="s">
        <v>5</v>
      </c>
      <c r="H429" t="s">
        <v>4</v>
      </c>
      <c r="I429" t="s">
        <v>5805</v>
      </c>
      <c r="J429">
        <v>60032256</v>
      </c>
      <c r="K429" t="s">
        <v>7178</v>
      </c>
      <c r="L429" t="s">
        <v>1175</v>
      </c>
      <c r="M429" t="s">
        <v>19</v>
      </c>
      <c r="N429">
        <v>3</v>
      </c>
      <c r="O429" t="s">
        <v>7177</v>
      </c>
      <c r="P429" t="s">
        <v>7176</v>
      </c>
      <c r="Q429" t="s">
        <v>7175</v>
      </c>
      <c r="R429" s="7">
        <v>37533</v>
      </c>
      <c r="S429" s="8">
        <f t="shared" si="48"/>
        <v>2002</v>
      </c>
      <c r="T429" s="8">
        <v>2002</v>
      </c>
      <c r="U429" s="8">
        <f t="shared" si="49"/>
        <v>20</v>
      </c>
      <c r="V429" s="7">
        <v>37533</v>
      </c>
      <c r="W429" t="s">
        <v>807</v>
      </c>
      <c r="X429" s="2">
        <v>2.3610000000000002</v>
      </c>
      <c r="Y429" s="6">
        <f t="shared" si="54"/>
        <v>6.3025546568431179E-2</v>
      </c>
      <c r="AA429">
        <v>219258</v>
      </c>
      <c r="AB429">
        <v>17592</v>
      </c>
      <c r="AD429" t="s">
        <v>2</v>
      </c>
      <c r="AE429">
        <v>277</v>
      </c>
      <c r="AF429">
        <v>40</v>
      </c>
      <c r="AH429" t="s">
        <v>7174</v>
      </c>
      <c r="AI429" t="s">
        <v>7173</v>
      </c>
      <c r="AK429" t="s">
        <v>7172</v>
      </c>
      <c r="AL429">
        <v>80</v>
      </c>
      <c r="AM429" s="5">
        <f t="shared" si="50"/>
        <v>4</v>
      </c>
      <c r="AN429" s="4">
        <f t="shared" si="55"/>
        <v>6.0583112457402496E-3</v>
      </c>
      <c r="AO429" s="3"/>
      <c r="AP429">
        <v>1</v>
      </c>
      <c r="AR429" t="s">
        <v>1</v>
      </c>
      <c r="AT429" s="2">
        <v>5.157</v>
      </c>
      <c r="AU429" s="1">
        <f t="shared" si="51"/>
        <v>4.5935375971623902</v>
      </c>
      <c r="AV429" s="1">
        <f t="shared" si="52"/>
        <v>3.4541928907085713</v>
      </c>
      <c r="AW429" s="1">
        <f t="shared" si="53"/>
        <v>2.3148481842547528</v>
      </c>
    </row>
    <row r="430" spans="1:49" x14ac:dyDescent="0.2">
      <c r="A430">
        <v>428</v>
      </c>
      <c r="B430" t="s">
        <v>7171</v>
      </c>
      <c r="C430" t="s">
        <v>7170</v>
      </c>
      <c r="D430" t="s">
        <v>7169</v>
      </c>
      <c r="E430">
        <v>12351216</v>
      </c>
      <c r="F430" t="s">
        <v>7168</v>
      </c>
      <c r="G430" t="s">
        <v>5</v>
      </c>
      <c r="H430" t="s">
        <v>4</v>
      </c>
      <c r="I430" t="s">
        <v>1176</v>
      </c>
      <c r="J430" t="s">
        <v>7167</v>
      </c>
      <c r="K430" t="s">
        <v>7166</v>
      </c>
      <c r="L430" t="s">
        <v>7165</v>
      </c>
      <c r="M430" t="s">
        <v>7164</v>
      </c>
      <c r="N430">
        <v>5</v>
      </c>
      <c r="O430" t="s">
        <v>7163</v>
      </c>
      <c r="P430" t="s">
        <v>7162</v>
      </c>
      <c r="Q430" t="s">
        <v>7161</v>
      </c>
      <c r="R430" s="7">
        <v>37532</v>
      </c>
      <c r="S430" s="8">
        <f t="shared" si="48"/>
        <v>2002</v>
      </c>
      <c r="T430" s="8">
        <v>2002</v>
      </c>
      <c r="U430" s="8">
        <f t="shared" si="49"/>
        <v>20</v>
      </c>
      <c r="V430" s="7">
        <v>37532</v>
      </c>
      <c r="W430" t="s">
        <v>893</v>
      </c>
      <c r="X430" s="2">
        <v>1.59</v>
      </c>
      <c r="Y430" s="6">
        <f t="shared" si="54"/>
        <v>4.2444141907583888E-2</v>
      </c>
      <c r="AA430">
        <v>52728</v>
      </c>
      <c r="AB430">
        <v>16791</v>
      </c>
      <c r="AD430" t="s">
        <v>2</v>
      </c>
      <c r="AE430">
        <v>1556</v>
      </c>
      <c r="AF430">
        <v>1</v>
      </c>
      <c r="AH430" t="s">
        <v>7160</v>
      </c>
      <c r="AI430" t="s">
        <v>7159</v>
      </c>
      <c r="AJ430" t="s">
        <v>7158</v>
      </c>
      <c r="AK430" t="s">
        <v>7157</v>
      </c>
      <c r="AL430">
        <v>140</v>
      </c>
      <c r="AM430" s="5">
        <f t="shared" si="50"/>
        <v>7</v>
      </c>
      <c r="AN430" s="4">
        <f t="shared" si="55"/>
        <v>1.0602044680045438E-2</v>
      </c>
      <c r="AO430" s="3"/>
      <c r="AP430">
        <v>1</v>
      </c>
      <c r="AR430" t="s">
        <v>1</v>
      </c>
      <c r="AT430" s="2" t="s">
        <v>0</v>
      </c>
      <c r="AU430" s="1">
        <f t="shared" si="51"/>
        <v>3.2891512739322351</v>
      </c>
      <c r="AV430" s="1">
        <f t="shared" si="52"/>
        <v>2.6523093293814664</v>
      </c>
      <c r="AW430" s="1">
        <f t="shared" si="53"/>
        <v>2.0154673848306972</v>
      </c>
    </row>
    <row r="431" spans="1:49" x14ac:dyDescent="0.2">
      <c r="A431">
        <v>429</v>
      </c>
      <c r="B431" t="s">
        <v>7156</v>
      </c>
      <c r="C431" t="s">
        <v>7155</v>
      </c>
      <c r="F431" t="s">
        <v>7154</v>
      </c>
      <c r="G431" t="s">
        <v>5</v>
      </c>
      <c r="H431" t="s">
        <v>4</v>
      </c>
      <c r="I431" t="s">
        <v>6191</v>
      </c>
      <c r="J431" t="s">
        <v>7153</v>
      </c>
      <c r="K431" t="s">
        <v>7152</v>
      </c>
      <c r="L431" t="s">
        <v>7151</v>
      </c>
      <c r="M431" t="s">
        <v>1063</v>
      </c>
      <c r="N431">
        <v>4</v>
      </c>
      <c r="O431" t="s">
        <v>7150</v>
      </c>
      <c r="P431" t="s">
        <v>7149</v>
      </c>
      <c r="Q431" t="s">
        <v>7148</v>
      </c>
      <c r="R431" s="7">
        <v>37530</v>
      </c>
      <c r="S431" s="8">
        <f t="shared" si="48"/>
        <v>2002</v>
      </c>
      <c r="T431" s="8">
        <v>2002</v>
      </c>
      <c r="U431" s="8">
        <f t="shared" si="49"/>
        <v>20</v>
      </c>
      <c r="V431" s="7">
        <v>37530</v>
      </c>
      <c r="W431" t="s">
        <v>339</v>
      </c>
      <c r="X431" s="2">
        <v>0.30199999999999999</v>
      </c>
      <c r="Y431" s="6">
        <f t="shared" si="54"/>
        <v>8.0617175195536687E-3</v>
      </c>
      <c r="AA431">
        <v>9296212</v>
      </c>
      <c r="AB431">
        <v>20725</v>
      </c>
      <c r="AD431" t="s">
        <v>2</v>
      </c>
      <c r="AE431">
        <v>23</v>
      </c>
      <c r="AF431">
        <v>1</v>
      </c>
      <c r="AH431" t="s">
        <v>7147</v>
      </c>
      <c r="AI431" t="s">
        <v>7146</v>
      </c>
      <c r="AJ431" t="s">
        <v>7145</v>
      </c>
      <c r="AK431" t="s">
        <v>7144</v>
      </c>
      <c r="AL431">
        <v>5</v>
      </c>
      <c r="AM431" s="5">
        <f t="shared" si="50"/>
        <v>0.25</v>
      </c>
      <c r="AN431" s="4">
        <f t="shared" si="55"/>
        <v>3.786444528587656E-4</v>
      </c>
      <c r="AO431" s="3"/>
      <c r="AP431">
        <v>0</v>
      </c>
      <c r="AQ431" t="s">
        <v>290</v>
      </c>
      <c r="AR431" t="s">
        <v>7143</v>
      </c>
      <c r="AS431" t="s">
        <v>289</v>
      </c>
      <c r="AT431" s="2">
        <v>1.671</v>
      </c>
      <c r="AU431" s="1">
        <f t="shared" si="51"/>
        <v>0.57567955995451969</v>
      </c>
      <c r="AV431" s="1">
        <f t="shared" si="52"/>
        <v>0.42201809862062167</v>
      </c>
      <c r="AW431" s="1">
        <f t="shared" si="53"/>
        <v>0.26835663728672365</v>
      </c>
    </row>
    <row r="432" spans="1:49" x14ac:dyDescent="0.2">
      <c r="A432">
        <v>430</v>
      </c>
      <c r="B432" t="s">
        <v>7142</v>
      </c>
      <c r="C432" t="s">
        <v>7141</v>
      </c>
      <c r="F432" t="s">
        <v>7140</v>
      </c>
      <c r="G432" t="s">
        <v>5</v>
      </c>
      <c r="H432" t="s">
        <v>4</v>
      </c>
      <c r="I432" t="s">
        <v>7139</v>
      </c>
      <c r="J432">
        <v>60016618</v>
      </c>
      <c r="K432" t="s">
        <v>7138</v>
      </c>
      <c r="L432" t="s">
        <v>7137</v>
      </c>
      <c r="M432" t="s">
        <v>800</v>
      </c>
      <c r="N432">
        <v>2</v>
      </c>
      <c r="O432" t="s">
        <v>7136</v>
      </c>
      <c r="P432" t="s">
        <v>7135</v>
      </c>
      <c r="Q432" t="s">
        <v>7134</v>
      </c>
      <c r="R432" s="7">
        <v>37530</v>
      </c>
      <c r="S432" s="8">
        <f t="shared" si="48"/>
        <v>2002</v>
      </c>
      <c r="T432" s="8">
        <v>2002</v>
      </c>
      <c r="U432" s="8">
        <f t="shared" si="49"/>
        <v>20</v>
      </c>
      <c r="V432" s="7">
        <v>2002</v>
      </c>
      <c r="W432" t="s">
        <v>1029</v>
      </c>
      <c r="X432" s="2">
        <v>0.24399999999999999</v>
      </c>
      <c r="Y432" s="6">
        <f t="shared" si="54"/>
        <v>6.5134406449374018E-3</v>
      </c>
      <c r="AA432">
        <v>84204</v>
      </c>
      <c r="AB432">
        <v>27420</v>
      </c>
      <c r="AD432" t="s">
        <v>2</v>
      </c>
      <c r="AE432">
        <v>80</v>
      </c>
      <c r="AF432">
        <v>9</v>
      </c>
      <c r="AH432" t="s">
        <v>7133</v>
      </c>
      <c r="AI432" t="s">
        <v>7132</v>
      </c>
      <c r="AK432" t="s">
        <v>7131</v>
      </c>
      <c r="AL432">
        <v>3</v>
      </c>
      <c r="AM432" s="5">
        <f t="shared" si="50"/>
        <v>0.15</v>
      </c>
      <c r="AN432" s="4">
        <f t="shared" si="55"/>
        <v>2.2718667171525936E-4</v>
      </c>
      <c r="AO432" s="3"/>
      <c r="AP432">
        <v>0</v>
      </c>
      <c r="AR432" t="s">
        <v>1</v>
      </c>
      <c r="AT432" s="2">
        <v>1.24</v>
      </c>
      <c r="AU432" s="1">
        <f t="shared" si="51"/>
        <v>0.46275644529707588</v>
      </c>
      <c r="AV432" s="1">
        <f t="shared" si="52"/>
        <v>0.33703136583263305</v>
      </c>
      <c r="AW432" s="1">
        <f t="shared" si="53"/>
        <v>0.21130628636819018</v>
      </c>
    </row>
    <row r="433" spans="1:49" x14ac:dyDescent="0.2">
      <c r="A433">
        <v>431</v>
      </c>
      <c r="B433" t="s">
        <v>7130</v>
      </c>
      <c r="F433" t="s">
        <v>7129</v>
      </c>
      <c r="G433" t="s">
        <v>5</v>
      </c>
      <c r="H433" t="s">
        <v>4</v>
      </c>
      <c r="I433" t="s">
        <v>1186</v>
      </c>
      <c r="J433">
        <v>60088188</v>
      </c>
      <c r="K433" t="s">
        <v>7128</v>
      </c>
      <c r="L433" t="s">
        <v>605</v>
      </c>
      <c r="M433" t="s">
        <v>21</v>
      </c>
      <c r="N433">
        <v>5</v>
      </c>
      <c r="O433" t="s">
        <v>7127</v>
      </c>
      <c r="P433" t="s">
        <v>7126</v>
      </c>
      <c r="Q433" t="s">
        <v>7125</v>
      </c>
      <c r="R433" s="7">
        <v>37530</v>
      </c>
      <c r="S433" s="8">
        <f t="shared" si="48"/>
        <v>2002</v>
      </c>
      <c r="T433" s="8">
        <v>2002</v>
      </c>
      <c r="U433" s="8">
        <f t="shared" si="49"/>
        <v>20</v>
      </c>
      <c r="V433" s="7">
        <v>37530</v>
      </c>
      <c r="W433" t="s">
        <v>7124</v>
      </c>
      <c r="X433" s="2" t="s">
        <v>0</v>
      </c>
      <c r="Y433" s="6" t="e">
        <f t="shared" si="54"/>
        <v>#VALUE!</v>
      </c>
      <c r="AA433">
        <v>16715926</v>
      </c>
      <c r="AB433">
        <v>66182</v>
      </c>
      <c r="AD433" t="s">
        <v>2</v>
      </c>
      <c r="AE433">
        <v>6</v>
      </c>
      <c r="AF433">
        <v>20</v>
      </c>
      <c r="AH433" t="s">
        <v>7123</v>
      </c>
      <c r="AI433" t="s">
        <v>7122</v>
      </c>
      <c r="AJ433" t="s">
        <v>7121</v>
      </c>
      <c r="AK433" t="s">
        <v>7120</v>
      </c>
      <c r="AL433">
        <v>0</v>
      </c>
      <c r="AM433" s="5">
        <f t="shared" si="50"/>
        <v>0</v>
      </c>
      <c r="AN433" s="4">
        <f t="shared" si="55"/>
        <v>0</v>
      </c>
      <c r="AO433" s="3"/>
      <c r="AP433">
        <v>0</v>
      </c>
      <c r="AR433" t="s">
        <v>1</v>
      </c>
      <c r="AT433" s="2" t="s">
        <v>0</v>
      </c>
      <c r="AU433" s="1" t="e">
        <f t="shared" si="51"/>
        <v>#VALUE!</v>
      </c>
      <c r="AV433" s="1" t="e">
        <f t="shared" si="52"/>
        <v>#VALUE!</v>
      </c>
      <c r="AW433" s="1" t="e">
        <f t="shared" si="53"/>
        <v>#VALUE!</v>
      </c>
    </row>
    <row r="434" spans="1:49" x14ac:dyDescent="0.2">
      <c r="A434">
        <v>432</v>
      </c>
      <c r="B434" t="s">
        <v>7119</v>
      </c>
      <c r="F434" t="s">
        <v>7118</v>
      </c>
      <c r="G434" t="s">
        <v>5</v>
      </c>
      <c r="H434" t="s">
        <v>4</v>
      </c>
      <c r="I434" t="s">
        <v>7117</v>
      </c>
      <c r="J434" t="s">
        <v>7116</v>
      </c>
      <c r="K434" t="s">
        <v>7115</v>
      </c>
      <c r="L434" t="s">
        <v>7114</v>
      </c>
      <c r="M434" t="s">
        <v>7113</v>
      </c>
      <c r="N434">
        <v>3</v>
      </c>
      <c r="O434" t="s">
        <v>7112</v>
      </c>
      <c r="P434" t="s">
        <v>7111</v>
      </c>
      <c r="Q434" t="s">
        <v>7110</v>
      </c>
      <c r="R434" s="7">
        <v>37530</v>
      </c>
      <c r="S434" s="8">
        <f t="shared" si="48"/>
        <v>2002</v>
      </c>
      <c r="T434" s="8">
        <v>2002</v>
      </c>
      <c r="U434" s="8">
        <f t="shared" si="49"/>
        <v>20</v>
      </c>
      <c r="V434" s="7">
        <v>37530</v>
      </c>
      <c r="W434" t="s">
        <v>1164</v>
      </c>
      <c r="X434" s="2">
        <v>0.112</v>
      </c>
      <c r="Y434" s="6">
        <f t="shared" si="54"/>
        <v>2.9897760337417581E-3</v>
      </c>
      <c r="AA434">
        <v>3678393</v>
      </c>
      <c r="AB434">
        <v>4800153103</v>
      </c>
      <c r="AD434" t="s">
        <v>2</v>
      </c>
      <c r="AE434">
        <v>31</v>
      </c>
      <c r="AF434">
        <v>5</v>
      </c>
      <c r="AH434" t="s">
        <v>7109</v>
      </c>
      <c r="AI434" t="s">
        <v>7108</v>
      </c>
      <c r="AK434" t="s">
        <v>7107</v>
      </c>
      <c r="AL434">
        <v>2</v>
      </c>
      <c r="AM434" s="5">
        <f t="shared" si="50"/>
        <v>0.1</v>
      </c>
      <c r="AN434" s="4">
        <f t="shared" si="55"/>
        <v>1.5145778114350627E-4</v>
      </c>
      <c r="AO434" s="3"/>
      <c r="AP434">
        <v>0</v>
      </c>
      <c r="AR434" t="s">
        <v>1</v>
      </c>
      <c r="AT434" s="2" t="s">
        <v>0</v>
      </c>
      <c r="AU434" s="1">
        <f t="shared" si="51"/>
        <v>0.21382805579622821</v>
      </c>
      <c r="AV434" s="1">
        <f t="shared" si="52"/>
        <v>0.15706169074426324</v>
      </c>
      <c r="AW434" s="1">
        <f t="shared" si="53"/>
        <v>0.10029532569229818</v>
      </c>
    </row>
    <row r="435" spans="1:49" x14ac:dyDescent="0.2">
      <c r="A435">
        <v>433</v>
      </c>
      <c r="B435" t="s">
        <v>7106</v>
      </c>
      <c r="C435" t="s">
        <v>7105</v>
      </c>
      <c r="F435" t="s">
        <v>7104</v>
      </c>
      <c r="G435" t="s">
        <v>5</v>
      </c>
      <c r="H435" t="s">
        <v>4</v>
      </c>
      <c r="I435" t="s">
        <v>7103</v>
      </c>
      <c r="J435">
        <v>60020167</v>
      </c>
      <c r="K435" t="s">
        <v>7102</v>
      </c>
      <c r="L435" t="s">
        <v>7101</v>
      </c>
      <c r="M435" t="s">
        <v>19</v>
      </c>
      <c r="N435">
        <v>2</v>
      </c>
      <c r="O435" t="s">
        <v>7100</v>
      </c>
      <c r="P435" t="s">
        <v>7099</v>
      </c>
      <c r="Q435" t="s">
        <v>7098</v>
      </c>
      <c r="R435" s="7">
        <v>37530</v>
      </c>
      <c r="S435" s="8">
        <f t="shared" si="48"/>
        <v>2002</v>
      </c>
      <c r="T435" s="8">
        <v>2002</v>
      </c>
      <c r="U435" s="8">
        <f t="shared" si="49"/>
        <v>20</v>
      </c>
      <c r="V435" s="7">
        <v>37530</v>
      </c>
      <c r="W435" t="s">
        <v>706</v>
      </c>
      <c r="X435" s="2">
        <v>0.61499999999999999</v>
      </c>
      <c r="Y435" s="6">
        <f t="shared" si="54"/>
        <v>1.6417073756706976E-2</v>
      </c>
      <c r="AA435">
        <v>1959271</v>
      </c>
      <c r="AB435">
        <v>12141</v>
      </c>
      <c r="AD435" t="s">
        <v>2</v>
      </c>
      <c r="AE435">
        <v>23</v>
      </c>
      <c r="AF435">
        <v>10</v>
      </c>
      <c r="AH435" t="s">
        <v>7097</v>
      </c>
      <c r="AI435" t="s">
        <v>7096</v>
      </c>
      <c r="AJ435" t="s">
        <v>7095</v>
      </c>
      <c r="AK435" t="s">
        <v>7094</v>
      </c>
      <c r="AL435">
        <v>20</v>
      </c>
      <c r="AM435" s="5">
        <f t="shared" si="50"/>
        <v>1</v>
      </c>
      <c r="AN435" s="4">
        <f t="shared" si="55"/>
        <v>1.5145778114350624E-3</v>
      </c>
      <c r="AO435" s="3"/>
      <c r="AP435">
        <v>0</v>
      </c>
      <c r="AR435" t="s">
        <v>1</v>
      </c>
      <c r="AT435" s="2" t="s">
        <v>0</v>
      </c>
      <c r="AU435" s="1">
        <f t="shared" si="51"/>
        <v>1.1946324973125402</v>
      </c>
      <c r="AV435" s="1">
        <f t="shared" si="52"/>
        <v>0.89658257840710187</v>
      </c>
      <c r="AW435" s="1">
        <f t="shared" si="53"/>
        <v>0.59853265950166357</v>
      </c>
    </row>
    <row r="436" spans="1:49" x14ac:dyDescent="0.2">
      <c r="A436">
        <v>434</v>
      </c>
      <c r="B436" t="s">
        <v>7093</v>
      </c>
      <c r="C436" t="s">
        <v>7092</v>
      </c>
      <c r="F436" t="s">
        <v>7091</v>
      </c>
      <c r="G436" t="s">
        <v>5</v>
      </c>
      <c r="H436" t="s">
        <v>4</v>
      </c>
      <c r="I436" t="s">
        <v>811</v>
      </c>
      <c r="J436" t="s">
        <v>7090</v>
      </c>
      <c r="K436" t="s">
        <v>7089</v>
      </c>
      <c r="L436" t="s">
        <v>7088</v>
      </c>
      <c r="M436" t="s">
        <v>3</v>
      </c>
      <c r="N436">
        <v>4</v>
      </c>
      <c r="O436" t="s">
        <v>7087</v>
      </c>
      <c r="P436" t="s">
        <v>7086</v>
      </c>
      <c r="Q436" t="s">
        <v>7085</v>
      </c>
      <c r="R436" s="7">
        <v>37530</v>
      </c>
      <c r="S436" s="8">
        <f t="shared" si="48"/>
        <v>2002</v>
      </c>
      <c r="T436" s="8">
        <v>2002</v>
      </c>
      <c r="U436" s="8">
        <f t="shared" si="49"/>
        <v>20</v>
      </c>
      <c r="V436" s="7">
        <v>37530</v>
      </c>
      <c r="W436" t="s">
        <v>726</v>
      </c>
      <c r="X436" s="2">
        <v>0.28799999999999998</v>
      </c>
      <c r="Y436" s="6">
        <f t="shared" si="54"/>
        <v>7.6879955153359488E-3</v>
      </c>
      <c r="AA436">
        <v>10689605</v>
      </c>
      <c r="AB436">
        <v>19515</v>
      </c>
      <c r="AD436" t="s">
        <v>2</v>
      </c>
      <c r="AE436">
        <v>9</v>
      </c>
      <c r="AF436">
        <v>4</v>
      </c>
      <c r="AH436" t="s">
        <v>7084</v>
      </c>
      <c r="AI436" t="s">
        <v>7083</v>
      </c>
      <c r="AJ436" t="s">
        <v>7082</v>
      </c>
      <c r="AK436" t="s">
        <v>7081</v>
      </c>
      <c r="AL436">
        <v>2</v>
      </c>
      <c r="AM436" s="5">
        <f t="shared" si="50"/>
        <v>0.1</v>
      </c>
      <c r="AN436" s="4">
        <f t="shared" si="55"/>
        <v>1.5145778114350627E-4</v>
      </c>
      <c r="AO436" s="3"/>
      <c r="AP436">
        <v>0</v>
      </c>
      <c r="AR436" t="s">
        <v>7080</v>
      </c>
      <c r="AS436" t="s">
        <v>289</v>
      </c>
      <c r="AT436" s="2" t="s">
        <v>0</v>
      </c>
      <c r="AU436" s="1">
        <f t="shared" si="51"/>
        <v>0.54270341950782153</v>
      </c>
      <c r="AV436" s="1">
        <f t="shared" si="52"/>
        <v>0.39197266482397275</v>
      </c>
      <c r="AW436" s="1">
        <f t="shared" si="53"/>
        <v>0.24124191014012389</v>
      </c>
    </row>
    <row r="437" spans="1:49" x14ac:dyDescent="0.2">
      <c r="A437">
        <v>435</v>
      </c>
      <c r="B437" t="s">
        <v>7079</v>
      </c>
      <c r="C437" t="s">
        <v>7078</v>
      </c>
      <c r="D437" t="s">
        <v>7077</v>
      </c>
      <c r="F437" t="s">
        <v>7076</v>
      </c>
      <c r="G437" t="s">
        <v>5</v>
      </c>
      <c r="H437" t="s">
        <v>4</v>
      </c>
      <c r="I437" t="s">
        <v>7075</v>
      </c>
      <c r="J437" t="s">
        <v>7074</v>
      </c>
      <c r="K437" t="s">
        <v>7073</v>
      </c>
      <c r="L437" t="s">
        <v>7072</v>
      </c>
      <c r="M437" t="s">
        <v>80</v>
      </c>
      <c r="N437">
        <v>7</v>
      </c>
      <c r="O437" t="s">
        <v>7071</v>
      </c>
      <c r="P437" t="s">
        <v>7070</v>
      </c>
      <c r="Q437" t="s">
        <v>7069</v>
      </c>
      <c r="R437" s="7">
        <v>37530</v>
      </c>
      <c r="S437" s="8">
        <f t="shared" si="48"/>
        <v>2002</v>
      </c>
      <c r="T437" s="8">
        <v>2002</v>
      </c>
      <c r="U437" s="8">
        <f t="shared" si="49"/>
        <v>20</v>
      </c>
      <c r="V437" s="7">
        <v>37530</v>
      </c>
      <c r="W437" t="s">
        <v>888</v>
      </c>
      <c r="X437" s="2">
        <v>0.372</v>
      </c>
      <c r="Y437" s="6">
        <f t="shared" si="54"/>
        <v>9.930327540642268E-3</v>
      </c>
      <c r="AA437">
        <v>9214534</v>
      </c>
      <c r="AB437">
        <v>29119</v>
      </c>
      <c r="AD437" t="s">
        <v>2</v>
      </c>
      <c r="AE437" t="s">
        <v>7068</v>
      </c>
      <c r="AF437" t="s">
        <v>7067</v>
      </c>
      <c r="AH437" t="s">
        <v>7066</v>
      </c>
      <c r="AI437" t="s">
        <v>7065</v>
      </c>
      <c r="AJ437" t="s">
        <v>7064</v>
      </c>
      <c r="AK437" t="s">
        <v>7063</v>
      </c>
      <c r="AL437">
        <v>4</v>
      </c>
      <c r="AM437" s="5">
        <f t="shared" si="50"/>
        <v>0.2</v>
      </c>
      <c r="AN437" s="4">
        <f t="shared" si="55"/>
        <v>3.0291556228701253E-4</v>
      </c>
      <c r="AO437" s="3"/>
      <c r="AP437">
        <v>0</v>
      </c>
      <c r="AQ437" t="s">
        <v>2599</v>
      </c>
      <c r="AR437" t="s">
        <v>7062</v>
      </c>
      <c r="AS437" t="s">
        <v>2598</v>
      </c>
      <c r="AT437" s="2" t="s">
        <v>0</v>
      </c>
      <c r="AU437" s="1">
        <f t="shared" si="51"/>
        <v>0.70421039471356905</v>
      </c>
      <c r="AV437" s="1">
        <f t="shared" si="52"/>
        <v>0.51166215514646407</v>
      </c>
      <c r="AW437" s="1">
        <f t="shared" si="53"/>
        <v>0.31911391557935886</v>
      </c>
    </row>
    <row r="438" spans="1:49" x14ac:dyDescent="0.2">
      <c r="A438">
        <v>436</v>
      </c>
      <c r="B438" t="s">
        <v>7061</v>
      </c>
      <c r="C438" t="s">
        <v>7060</v>
      </c>
      <c r="F438" t="s">
        <v>7059</v>
      </c>
      <c r="G438" t="s">
        <v>5</v>
      </c>
      <c r="H438" t="s">
        <v>4</v>
      </c>
      <c r="I438" t="s">
        <v>7058</v>
      </c>
      <c r="J438">
        <v>60108318</v>
      </c>
      <c r="K438" t="s">
        <v>707</v>
      </c>
      <c r="L438" t="s">
        <v>342</v>
      </c>
      <c r="M438" t="s">
        <v>7</v>
      </c>
      <c r="N438">
        <v>1</v>
      </c>
      <c r="O438" t="s">
        <v>7057</v>
      </c>
      <c r="P438">
        <v>7401785405</v>
      </c>
      <c r="Q438">
        <v>60108318</v>
      </c>
      <c r="R438" s="7">
        <v>37530</v>
      </c>
      <c r="S438" s="8">
        <f t="shared" si="48"/>
        <v>2002</v>
      </c>
      <c r="T438" s="8">
        <v>2002</v>
      </c>
      <c r="U438" s="8">
        <f t="shared" si="49"/>
        <v>20</v>
      </c>
      <c r="V438" s="7">
        <v>37530</v>
      </c>
      <c r="W438" t="s">
        <v>7047</v>
      </c>
      <c r="X438" s="2">
        <v>0.77200000000000002</v>
      </c>
      <c r="Y438" s="6">
        <f t="shared" si="54"/>
        <v>2.0608099089719976E-2</v>
      </c>
      <c r="AA438">
        <v>223778</v>
      </c>
      <c r="AB438">
        <v>28572</v>
      </c>
      <c r="AD438" t="s">
        <v>2</v>
      </c>
      <c r="AE438">
        <v>68</v>
      </c>
      <c r="AF438">
        <v>4</v>
      </c>
      <c r="AH438" t="s">
        <v>922</v>
      </c>
      <c r="AI438" t="s">
        <v>7056</v>
      </c>
      <c r="AK438" t="s">
        <v>7055</v>
      </c>
      <c r="AL438">
        <v>2</v>
      </c>
      <c r="AM438" s="5">
        <f t="shared" si="50"/>
        <v>0.1</v>
      </c>
      <c r="AN438" s="4">
        <f t="shared" si="55"/>
        <v>1.5145778114350627E-4</v>
      </c>
      <c r="AO438" s="3"/>
      <c r="AP438">
        <v>0</v>
      </c>
      <c r="AR438" t="s">
        <v>1</v>
      </c>
      <c r="AT438" s="2">
        <v>2.0139999999999998</v>
      </c>
      <c r="AU438" s="1">
        <f t="shared" si="51"/>
        <v>1.4471106697147034</v>
      </c>
      <c r="AV438" s="1">
        <f t="shared" si="52"/>
        <v>1.0379778435431741</v>
      </c>
      <c r="AW438" s="1">
        <f t="shared" si="53"/>
        <v>0.62884501737164467</v>
      </c>
    </row>
    <row r="439" spans="1:49" x14ac:dyDescent="0.2">
      <c r="A439">
        <v>437</v>
      </c>
      <c r="B439" t="s">
        <v>7054</v>
      </c>
      <c r="C439" t="s">
        <v>7053</v>
      </c>
      <c r="F439" t="s">
        <v>7052</v>
      </c>
      <c r="G439" t="s">
        <v>5</v>
      </c>
      <c r="H439" t="s">
        <v>4</v>
      </c>
      <c r="I439" t="s">
        <v>7051</v>
      </c>
      <c r="J439">
        <v>60027251</v>
      </c>
      <c r="K439" t="s">
        <v>744</v>
      </c>
      <c r="L439" t="s">
        <v>740</v>
      </c>
      <c r="M439" t="s">
        <v>739</v>
      </c>
      <c r="N439">
        <v>2</v>
      </c>
      <c r="O439" t="s">
        <v>7050</v>
      </c>
      <c r="P439" t="s">
        <v>7049</v>
      </c>
      <c r="Q439" t="s">
        <v>7048</v>
      </c>
      <c r="R439" s="7">
        <v>37530</v>
      </c>
      <c r="S439" s="8">
        <f t="shared" si="48"/>
        <v>2002</v>
      </c>
      <c r="T439" s="8">
        <v>2002</v>
      </c>
      <c r="U439" s="8">
        <f t="shared" si="49"/>
        <v>20</v>
      </c>
      <c r="V439" s="7">
        <v>37530</v>
      </c>
      <c r="W439" t="s">
        <v>7047</v>
      </c>
      <c r="X439" s="2">
        <v>0.77200000000000002</v>
      </c>
      <c r="Y439" s="6">
        <f t="shared" si="54"/>
        <v>2.0608099089719976E-2</v>
      </c>
      <c r="AA439">
        <v>223778</v>
      </c>
      <c r="AB439">
        <v>28572</v>
      </c>
      <c r="AD439" t="s">
        <v>2</v>
      </c>
      <c r="AE439">
        <v>68</v>
      </c>
      <c r="AF439">
        <v>4</v>
      </c>
      <c r="AH439" t="s">
        <v>1131</v>
      </c>
      <c r="AI439" t="s">
        <v>7046</v>
      </c>
      <c r="AK439" t="s">
        <v>7045</v>
      </c>
      <c r="AL439">
        <v>0</v>
      </c>
      <c r="AM439" s="5">
        <f t="shared" si="50"/>
        <v>0</v>
      </c>
      <c r="AN439" s="4">
        <f t="shared" si="55"/>
        <v>0</v>
      </c>
      <c r="AO439" s="3"/>
      <c r="AP439">
        <v>0</v>
      </c>
      <c r="AR439" t="s">
        <v>1</v>
      </c>
      <c r="AT439" s="2">
        <v>2.0139999999999998</v>
      </c>
      <c r="AU439" s="1">
        <f t="shared" si="51"/>
        <v>1.4425669362803981</v>
      </c>
      <c r="AV439" s="1">
        <f t="shared" si="52"/>
        <v>1.0304049544859988</v>
      </c>
      <c r="AW439" s="1">
        <f t="shared" si="53"/>
        <v>0.61824297269159922</v>
      </c>
    </row>
    <row r="440" spans="1:49" x14ac:dyDescent="0.2">
      <c r="A440">
        <v>438</v>
      </c>
      <c r="B440" t="s">
        <v>7044</v>
      </c>
      <c r="C440" t="s">
        <v>7043</v>
      </c>
      <c r="F440" t="s">
        <v>7042</v>
      </c>
      <c r="G440" t="s">
        <v>5</v>
      </c>
      <c r="H440" t="s">
        <v>4</v>
      </c>
      <c r="I440" t="s">
        <v>7024</v>
      </c>
      <c r="J440">
        <v>60020680</v>
      </c>
      <c r="K440" t="s">
        <v>529</v>
      </c>
      <c r="L440" t="s">
        <v>149</v>
      </c>
      <c r="M440" t="s">
        <v>7</v>
      </c>
      <c r="N440">
        <v>4</v>
      </c>
      <c r="O440" t="s">
        <v>7023</v>
      </c>
      <c r="P440" t="s">
        <v>7022</v>
      </c>
      <c r="Q440" t="s">
        <v>7021</v>
      </c>
      <c r="R440" s="7">
        <v>37530</v>
      </c>
      <c r="S440" s="8">
        <f t="shared" si="48"/>
        <v>2002</v>
      </c>
      <c r="T440" s="8">
        <v>2002</v>
      </c>
      <c r="U440" s="8">
        <f t="shared" si="49"/>
        <v>20</v>
      </c>
      <c r="V440" s="7">
        <v>37530</v>
      </c>
      <c r="W440" t="s">
        <v>7041</v>
      </c>
      <c r="X440" s="2">
        <v>3.5459999999999998</v>
      </c>
      <c r="Y440" s="6">
        <f t="shared" si="54"/>
        <v>9.4658444782573875E-2</v>
      </c>
      <c r="AA440">
        <v>670049</v>
      </c>
      <c r="AB440">
        <v>26769</v>
      </c>
      <c r="AD440" t="s">
        <v>2</v>
      </c>
      <c r="AE440">
        <v>142</v>
      </c>
      <c r="AF440">
        <v>2</v>
      </c>
      <c r="AH440" t="s">
        <v>7040</v>
      </c>
      <c r="AI440" t="s">
        <v>7039</v>
      </c>
      <c r="AJ440" t="s">
        <v>7038</v>
      </c>
      <c r="AK440" t="s">
        <v>7037</v>
      </c>
      <c r="AL440">
        <v>62</v>
      </c>
      <c r="AM440" s="5">
        <f t="shared" si="50"/>
        <v>3.1</v>
      </c>
      <c r="AN440" s="4">
        <f t="shared" si="55"/>
        <v>4.6951912154486941E-3</v>
      </c>
      <c r="AO440" s="3"/>
      <c r="AP440">
        <v>0</v>
      </c>
      <c r="AR440" t="s">
        <v>1</v>
      </c>
      <c r="AT440" s="2" t="s">
        <v>0</v>
      </c>
      <c r="AU440" s="1">
        <f t="shared" si="51"/>
        <v>6.7669468712436318</v>
      </c>
      <c r="AV440" s="1">
        <f t="shared" si="52"/>
        <v>4.9676817999011282</v>
      </c>
      <c r="AW440" s="1">
        <f t="shared" si="53"/>
        <v>3.1684167285586247</v>
      </c>
    </row>
    <row r="441" spans="1:49" x14ac:dyDescent="0.2">
      <c r="A441">
        <v>439</v>
      </c>
      <c r="B441" t="s">
        <v>7036</v>
      </c>
      <c r="C441" t="s">
        <v>7035</v>
      </c>
      <c r="F441" t="s">
        <v>7034</v>
      </c>
      <c r="G441" t="s">
        <v>5</v>
      </c>
      <c r="H441" t="s">
        <v>4</v>
      </c>
      <c r="I441" t="s">
        <v>7024</v>
      </c>
      <c r="J441">
        <v>60020680</v>
      </c>
      <c r="K441" t="s">
        <v>529</v>
      </c>
      <c r="L441" t="s">
        <v>149</v>
      </c>
      <c r="M441" t="s">
        <v>7</v>
      </c>
      <c r="N441">
        <v>2</v>
      </c>
      <c r="O441" t="s">
        <v>7033</v>
      </c>
      <c r="P441" t="s">
        <v>7032</v>
      </c>
      <c r="Q441" t="s">
        <v>7031</v>
      </c>
      <c r="R441" s="7">
        <v>37530</v>
      </c>
      <c r="S441" s="8">
        <f t="shared" si="48"/>
        <v>2002</v>
      </c>
      <c r="T441" s="8">
        <v>2002</v>
      </c>
      <c r="U441" s="8">
        <f t="shared" si="49"/>
        <v>20</v>
      </c>
      <c r="V441" s="7">
        <v>37530</v>
      </c>
      <c r="W441" t="s">
        <v>703</v>
      </c>
      <c r="X441" s="2">
        <v>2.3759999999999999</v>
      </c>
      <c r="Y441" s="6">
        <f t="shared" si="54"/>
        <v>6.3425963001521576E-2</v>
      </c>
      <c r="AA441" t="s">
        <v>702</v>
      </c>
      <c r="AB441">
        <v>26765</v>
      </c>
      <c r="AC441">
        <v>15384357</v>
      </c>
      <c r="AD441" t="s">
        <v>2</v>
      </c>
      <c r="AE441">
        <v>577</v>
      </c>
      <c r="AF441" t="s">
        <v>919</v>
      </c>
      <c r="AH441" t="s">
        <v>7030</v>
      </c>
      <c r="AI441" t="s">
        <v>7029</v>
      </c>
      <c r="AJ441" t="s">
        <v>7018</v>
      </c>
      <c r="AK441" t="s">
        <v>7028</v>
      </c>
      <c r="AL441">
        <v>103</v>
      </c>
      <c r="AM441" s="5">
        <f t="shared" si="50"/>
        <v>5.15</v>
      </c>
      <c r="AN441" s="4">
        <f t="shared" si="55"/>
        <v>7.8000757288905721E-3</v>
      </c>
      <c r="AO441" s="3"/>
      <c r="AP441">
        <v>0</v>
      </c>
      <c r="AR441" t="s">
        <v>1</v>
      </c>
      <c r="AT441" s="2">
        <v>5.8739999999999997</v>
      </c>
      <c r="AU441" s="1">
        <f t="shared" si="51"/>
        <v>4.6738196819732272</v>
      </c>
      <c r="AV441" s="1">
        <f t="shared" si="52"/>
        <v>3.5613019365206076</v>
      </c>
      <c r="AW441" s="1">
        <f t="shared" si="53"/>
        <v>2.4487841910679875</v>
      </c>
    </row>
    <row r="442" spans="1:49" x14ac:dyDescent="0.2">
      <c r="A442">
        <v>440</v>
      </c>
      <c r="B442" t="s">
        <v>7027</v>
      </c>
      <c r="C442" t="s">
        <v>7026</v>
      </c>
      <c r="F442" t="s">
        <v>7025</v>
      </c>
      <c r="G442" t="s">
        <v>5</v>
      </c>
      <c r="H442" t="s">
        <v>4</v>
      </c>
      <c r="I442" t="s">
        <v>7024</v>
      </c>
      <c r="J442">
        <v>60020680</v>
      </c>
      <c r="K442" t="s">
        <v>529</v>
      </c>
      <c r="L442" t="s">
        <v>149</v>
      </c>
      <c r="M442" t="s">
        <v>7</v>
      </c>
      <c r="N442">
        <v>4</v>
      </c>
      <c r="O442" t="s">
        <v>7023</v>
      </c>
      <c r="P442" t="s">
        <v>7022</v>
      </c>
      <c r="Q442" t="s">
        <v>7021</v>
      </c>
      <c r="R442" s="7">
        <v>37530</v>
      </c>
      <c r="S442" s="8">
        <f t="shared" si="48"/>
        <v>2002</v>
      </c>
      <c r="T442" s="8">
        <v>2002</v>
      </c>
      <c r="U442" s="8">
        <f t="shared" si="49"/>
        <v>20</v>
      </c>
      <c r="V442" s="7">
        <v>37530</v>
      </c>
      <c r="W442" t="s">
        <v>703</v>
      </c>
      <c r="X442" s="2">
        <v>2.3759999999999999</v>
      </c>
      <c r="Y442" s="6">
        <f t="shared" si="54"/>
        <v>6.3425963001521576E-2</v>
      </c>
      <c r="AA442" t="s">
        <v>702</v>
      </c>
      <c r="AB442">
        <v>26765</v>
      </c>
      <c r="AC442">
        <v>15384357</v>
      </c>
      <c r="AD442" t="s">
        <v>2</v>
      </c>
      <c r="AE442">
        <v>577</v>
      </c>
      <c r="AF442" t="s">
        <v>919</v>
      </c>
      <c r="AH442" t="s">
        <v>7020</v>
      </c>
      <c r="AI442" t="s">
        <v>7019</v>
      </c>
      <c r="AJ442" t="s">
        <v>7018</v>
      </c>
      <c r="AK442" t="s">
        <v>7017</v>
      </c>
      <c r="AL442">
        <v>127</v>
      </c>
      <c r="AM442" s="5">
        <f t="shared" si="50"/>
        <v>6.35</v>
      </c>
      <c r="AN442" s="4">
        <f t="shared" si="55"/>
        <v>9.617569102612647E-3</v>
      </c>
      <c r="AO442" s="3"/>
      <c r="AP442">
        <v>0</v>
      </c>
      <c r="AR442" t="s">
        <v>1</v>
      </c>
      <c r="AT442" s="2">
        <v>5.8739999999999997</v>
      </c>
      <c r="AU442" s="1">
        <f t="shared" si="51"/>
        <v>4.7283444831848893</v>
      </c>
      <c r="AV442" s="1">
        <f t="shared" si="52"/>
        <v>3.6521766052067113</v>
      </c>
      <c r="AW442" s="1">
        <f t="shared" si="53"/>
        <v>2.5760087272285328</v>
      </c>
    </row>
    <row r="443" spans="1:49" x14ac:dyDescent="0.2">
      <c r="A443">
        <v>441</v>
      </c>
      <c r="B443" t="s">
        <v>7016</v>
      </c>
      <c r="C443" t="s">
        <v>7015</v>
      </c>
      <c r="D443" t="s">
        <v>7014</v>
      </c>
      <c r="F443" t="s">
        <v>7013</v>
      </c>
      <c r="G443" t="s">
        <v>5</v>
      </c>
      <c r="H443" t="s">
        <v>4</v>
      </c>
      <c r="I443" t="s">
        <v>7012</v>
      </c>
      <c r="J443">
        <v>60007798</v>
      </c>
      <c r="K443" t="s">
        <v>443</v>
      </c>
      <c r="L443" t="s">
        <v>442</v>
      </c>
      <c r="M443" t="s">
        <v>112</v>
      </c>
      <c r="N443">
        <v>3</v>
      </c>
      <c r="O443" t="s">
        <v>7011</v>
      </c>
      <c r="P443" t="s">
        <v>7010</v>
      </c>
      <c r="Q443" t="s">
        <v>7009</v>
      </c>
      <c r="R443" s="7">
        <v>37530</v>
      </c>
      <c r="S443" s="8">
        <f t="shared" si="48"/>
        <v>2002</v>
      </c>
      <c r="T443" s="8">
        <v>2002</v>
      </c>
      <c r="U443" s="8">
        <f t="shared" si="49"/>
        <v>20</v>
      </c>
      <c r="V443" s="7">
        <v>37530</v>
      </c>
      <c r="W443" t="s">
        <v>7008</v>
      </c>
      <c r="X443" s="2">
        <v>1.2769999999999999</v>
      </c>
      <c r="Y443" s="6">
        <f t="shared" si="54"/>
        <v>3.4088785670430582E-2</v>
      </c>
      <c r="AA443">
        <v>12709638</v>
      </c>
      <c r="AB443">
        <v>12507</v>
      </c>
      <c r="AD443" t="s">
        <v>2</v>
      </c>
      <c r="AE443">
        <v>6</v>
      </c>
      <c r="AF443">
        <v>6</v>
      </c>
      <c r="AH443" t="s">
        <v>7007</v>
      </c>
      <c r="AI443" t="s">
        <v>7006</v>
      </c>
      <c r="AJ443" t="s">
        <v>7005</v>
      </c>
      <c r="AK443" t="s">
        <v>7004</v>
      </c>
      <c r="AL443">
        <v>3</v>
      </c>
      <c r="AM443" s="5">
        <f t="shared" si="50"/>
        <v>0.15</v>
      </c>
      <c r="AN443" s="4">
        <f t="shared" si="55"/>
        <v>2.2718667171525936E-4</v>
      </c>
      <c r="AO443" s="3"/>
      <c r="AP443">
        <v>0</v>
      </c>
      <c r="AR443" t="s">
        <v>1</v>
      </c>
      <c r="AT443" s="2">
        <v>5.1070000000000002</v>
      </c>
      <c r="AU443" s="1">
        <f t="shared" si="51"/>
        <v>2.3930305970815984</v>
      </c>
      <c r="AV443" s="1">
        <f t="shared" si="52"/>
        <v>1.7157986171072919</v>
      </c>
      <c r="AW443" s="1">
        <f t="shared" si="53"/>
        <v>1.0385666371329858</v>
      </c>
    </row>
    <row r="444" spans="1:49" x14ac:dyDescent="0.2">
      <c r="A444">
        <v>442</v>
      </c>
      <c r="B444" t="s">
        <v>7003</v>
      </c>
      <c r="C444" t="s">
        <v>7002</v>
      </c>
      <c r="D444" t="s">
        <v>7001</v>
      </c>
      <c r="F444" t="s">
        <v>7000</v>
      </c>
      <c r="G444" t="s">
        <v>5</v>
      </c>
      <c r="H444" t="s">
        <v>4</v>
      </c>
      <c r="I444" t="s">
        <v>6999</v>
      </c>
      <c r="J444">
        <v>60106138</v>
      </c>
      <c r="K444" t="s">
        <v>6998</v>
      </c>
      <c r="L444" t="s">
        <v>6997</v>
      </c>
      <c r="M444" t="s">
        <v>14</v>
      </c>
      <c r="N444">
        <v>3</v>
      </c>
      <c r="O444" t="s">
        <v>6996</v>
      </c>
      <c r="P444" t="s">
        <v>6995</v>
      </c>
      <c r="Q444" t="s">
        <v>6994</v>
      </c>
      <c r="R444" s="7">
        <v>37530</v>
      </c>
      <c r="S444" s="8">
        <f t="shared" si="48"/>
        <v>2002</v>
      </c>
      <c r="T444" s="8">
        <v>2002</v>
      </c>
      <c r="U444" s="8">
        <f t="shared" si="49"/>
        <v>20</v>
      </c>
      <c r="V444" s="7">
        <v>37530</v>
      </c>
      <c r="W444" t="s">
        <v>751</v>
      </c>
      <c r="X444" s="2">
        <v>1.17</v>
      </c>
      <c r="Y444" s="6">
        <f t="shared" si="54"/>
        <v>3.1232481781052295E-2</v>
      </c>
      <c r="AA444">
        <v>9819428</v>
      </c>
      <c r="AB444">
        <v>16617</v>
      </c>
      <c r="AD444" t="s">
        <v>2</v>
      </c>
      <c r="AE444">
        <v>40</v>
      </c>
      <c r="AF444">
        <v>10</v>
      </c>
      <c r="AH444" t="s">
        <v>6993</v>
      </c>
      <c r="AI444" t="s">
        <v>6992</v>
      </c>
      <c r="AJ444" t="s">
        <v>6991</v>
      </c>
      <c r="AK444" t="s">
        <v>6990</v>
      </c>
      <c r="AL444">
        <v>26</v>
      </c>
      <c r="AM444" s="5">
        <f t="shared" si="50"/>
        <v>1.3</v>
      </c>
      <c r="AN444" s="4">
        <f t="shared" si="55"/>
        <v>1.9689511548655813E-3</v>
      </c>
      <c r="AO444" s="3"/>
      <c r="AP444">
        <v>0</v>
      </c>
      <c r="AR444" t="s">
        <v>1</v>
      </c>
      <c r="AT444" s="2">
        <v>4.2699999999999996</v>
      </c>
      <c r="AU444" s="1">
        <f t="shared" si="51"/>
        <v>2.2453422593196279</v>
      </c>
      <c r="AV444" s="1">
        <f t="shared" si="52"/>
        <v>1.6600716467958936</v>
      </c>
      <c r="AW444" s="1">
        <f t="shared" si="53"/>
        <v>1.0748010342721595</v>
      </c>
    </row>
    <row r="445" spans="1:49" x14ac:dyDescent="0.2">
      <c r="A445">
        <v>443</v>
      </c>
      <c r="B445" t="s">
        <v>6989</v>
      </c>
      <c r="C445" t="s">
        <v>6988</v>
      </c>
      <c r="D445" t="s">
        <v>6987</v>
      </c>
      <c r="F445" t="s">
        <v>6986</v>
      </c>
      <c r="G445" t="s">
        <v>5</v>
      </c>
      <c r="H445" t="s">
        <v>4</v>
      </c>
      <c r="I445" t="s">
        <v>6985</v>
      </c>
      <c r="J445">
        <v>60011313</v>
      </c>
      <c r="K445" t="s">
        <v>6984</v>
      </c>
      <c r="L445" t="s">
        <v>847</v>
      </c>
      <c r="M445" t="s">
        <v>739</v>
      </c>
      <c r="N445">
        <v>2</v>
      </c>
      <c r="O445" t="s">
        <v>6983</v>
      </c>
      <c r="P445" t="s">
        <v>6982</v>
      </c>
      <c r="Q445" t="s">
        <v>6981</v>
      </c>
      <c r="R445" s="7">
        <v>37530</v>
      </c>
      <c r="S445" s="8">
        <f t="shared" si="48"/>
        <v>2002</v>
      </c>
      <c r="T445" s="8">
        <v>2002</v>
      </c>
      <c r="U445" s="8">
        <f t="shared" si="49"/>
        <v>20</v>
      </c>
      <c r="V445" s="7">
        <v>37530</v>
      </c>
      <c r="W445" t="s">
        <v>701</v>
      </c>
      <c r="X445" s="2">
        <v>1.337</v>
      </c>
      <c r="Y445" s="6">
        <f t="shared" si="54"/>
        <v>3.5690451402792235E-2</v>
      </c>
      <c r="AA445" t="s">
        <v>700</v>
      </c>
      <c r="AB445">
        <v>13333</v>
      </c>
      <c r="AD445" t="s">
        <v>2</v>
      </c>
      <c r="AE445">
        <v>73</v>
      </c>
      <c r="AF445">
        <v>4</v>
      </c>
      <c r="AH445" t="s">
        <v>6980</v>
      </c>
      <c r="AI445" t="s">
        <v>6979</v>
      </c>
      <c r="AK445" t="s">
        <v>6978</v>
      </c>
      <c r="AL445">
        <v>2</v>
      </c>
      <c r="AM445" s="5">
        <f t="shared" si="50"/>
        <v>0.1</v>
      </c>
      <c r="AN445" s="4">
        <f t="shared" si="55"/>
        <v>1.5145778114350627E-4</v>
      </c>
      <c r="AO445" s="3"/>
      <c r="AP445">
        <v>0</v>
      </c>
      <c r="AR445" t="s">
        <v>1</v>
      </c>
      <c r="AT445" s="2">
        <v>5.742</v>
      </c>
      <c r="AU445" s="1">
        <f t="shared" si="51"/>
        <v>2.5028753316297614</v>
      </c>
      <c r="AV445" s="1">
        <f t="shared" si="52"/>
        <v>1.792095459196787</v>
      </c>
      <c r="AW445" s="1">
        <f t="shared" si="53"/>
        <v>1.0813155867638125</v>
      </c>
    </row>
    <row r="446" spans="1:49" x14ac:dyDescent="0.2">
      <c r="A446">
        <v>444</v>
      </c>
      <c r="B446" t="s">
        <v>6977</v>
      </c>
      <c r="C446" t="s">
        <v>6976</v>
      </c>
      <c r="F446" t="s">
        <v>6975</v>
      </c>
      <c r="G446" t="s">
        <v>5</v>
      </c>
      <c r="H446" t="s">
        <v>4</v>
      </c>
      <c r="I446" t="s">
        <v>6974</v>
      </c>
      <c r="J446">
        <v>60003480</v>
      </c>
      <c r="K446" t="s">
        <v>6973</v>
      </c>
      <c r="L446" t="s">
        <v>6972</v>
      </c>
      <c r="M446" t="s">
        <v>308</v>
      </c>
      <c r="N446">
        <v>2</v>
      </c>
      <c r="O446" t="s">
        <v>6971</v>
      </c>
      <c r="P446" t="s">
        <v>6970</v>
      </c>
      <c r="Q446" t="s">
        <v>6969</v>
      </c>
      <c r="R446" s="7">
        <v>37530</v>
      </c>
      <c r="S446" s="8">
        <f t="shared" si="48"/>
        <v>2002</v>
      </c>
      <c r="T446" s="8">
        <v>2002</v>
      </c>
      <c r="U446" s="8">
        <f t="shared" si="49"/>
        <v>20</v>
      </c>
      <c r="V446" s="7">
        <v>37530</v>
      </c>
      <c r="W446" t="s">
        <v>688</v>
      </c>
      <c r="X446" s="2">
        <v>0.46</v>
      </c>
      <c r="Y446" s="6">
        <f t="shared" si="54"/>
        <v>1.2279437281439364E-2</v>
      </c>
      <c r="AA446">
        <v>933813</v>
      </c>
      <c r="AB446">
        <v>28031</v>
      </c>
      <c r="AD446" t="s">
        <v>2</v>
      </c>
      <c r="AE446">
        <v>30</v>
      </c>
      <c r="AF446" t="s">
        <v>1129</v>
      </c>
      <c r="AH446" t="s">
        <v>6968</v>
      </c>
      <c r="AI446" t="s">
        <v>6967</v>
      </c>
      <c r="AJ446" t="s">
        <v>6966</v>
      </c>
      <c r="AK446" t="s">
        <v>6965</v>
      </c>
      <c r="AL446">
        <v>34</v>
      </c>
      <c r="AM446" s="5">
        <f t="shared" si="50"/>
        <v>1.7</v>
      </c>
      <c r="AN446" s="4">
        <f t="shared" si="55"/>
        <v>2.5747822794396063E-3</v>
      </c>
      <c r="AO446" s="3"/>
      <c r="AP446">
        <v>0</v>
      </c>
      <c r="AR446" t="s">
        <v>1</v>
      </c>
      <c r="AT446" s="2">
        <v>1.222</v>
      </c>
      <c r="AU446" s="1">
        <f t="shared" si="51"/>
        <v>0.93680407808394361</v>
      </c>
      <c r="AV446" s="1">
        <f t="shared" si="52"/>
        <v>0.74271097804394848</v>
      </c>
      <c r="AW446" s="1">
        <f t="shared" si="53"/>
        <v>0.54861787800395334</v>
      </c>
    </row>
    <row r="447" spans="1:49" x14ac:dyDescent="0.2">
      <c r="A447">
        <v>445</v>
      </c>
      <c r="B447" t="s">
        <v>6964</v>
      </c>
      <c r="C447" t="s">
        <v>6963</v>
      </c>
      <c r="F447" t="s">
        <v>6962</v>
      </c>
      <c r="G447" t="s">
        <v>5</v>
      </c>
      <c r="H447" t="s">
        <v>4</v>
      </c>
      <c r="I447" t="s">
        <v>6961</v>
      </c>
      <c r="J447" t="s">
        <v>6960</v>
      </c>
      <c r="K447" t="s">
        <v>6959</v>
      </c>
      <c r="L447" t="s">
        <v>6958</v>
      </c>
      <c r="M447" t="s">
        <v>80</v>
      </c>
      <c r="N447">
        <v>4</v>
      </c>
      <c r="O447" t="s">
        <v>6957</v>
      </c>
      <c r="P447" t="s">
        <v>6956</v>
      </c>
      <c r="Q447" t="s">
        <v>6955</v>
      </c>
      <c r="R447" s="7">
        <v>37530</v>
      </c>
      <c r="S447" s="8">
        <f t="shared" si="48"/>
        <v>2002</v>
      </c>
      <c r="T447" s="8">
        <v>2002</v>
      </c>
      <c r="U447" s="8">
        <f t="shared" si="49"/>
        <v>20</v>
      </c>
      <c r="V447" s="7">
        <v>37530</v>
      </c>
      <c r="W447" t="s">
        <v>688</v>
      </c>
      <c r="X447" s="2">
        <v>0.46</v>
      </c>
      <c r="Y447" s="6">
        <f t="shared" si="54"/>
        <v>1.2279437281439364E-2</v>
      </c>
      <c r="AA447">
        <v>933813</v>
      </c>
      <c r="AB447">
        <v>28031</v>
      </c>
      <c r="AD447" t="s">
        <v>2</v>
      </c>
      <c r="AE447">
        <v>30</v>
      </c>
      <c r="AF447" t="s">
        <v>1129</v>
      </c>
      <c r="AH447" t="s">
        <v>6954</v>
      </c>
      <c r="AI447" t="s">
        <v>6953</v>
      </c>
      <c r="AJ447" t="s">
        <v>6952</v>
      </c>
      <c r="AK447" t="s">
        <v>6951</v>
      </c>
      <c r="AL447">
        <v>11</v>
      </c>
      <c r="AM447" s="5">
        <f t="shared" si="50"/>
        <v>0.55000000000000004</v>
      </c>
      <c r="AN447" s="4">
        <f t="shared" si="55"/>
        <v>8.3301779628928443E-4</v>
      </c>
      <c r="AO447" s="3"/>
      <c r="AP447">
        <v>0</v>
      </c>
      <c r="AR447" t="s">
        <v>1</v>
      </c>
      <c r="AT447" s="2">
        <v>1.222</v>
      </c>
      <c r="AU447" s="1">
        <f t="shared" si="51"/>
        <v>0.88455114358943387</v>
      </c>
      <c r="AV447" s="1">
        <f t="shared" si="52"/>
        <v>0.65562275388643243</v>
      </c>
      <c r="AW447" s="1">
        <f t="shared" si="53"/>
        <v>0.42669436418343082</v>
      </c>
    </row>
    <row r="448" spans="1:49" x14ac:dyDescent="0.2">
      <c r="A448">
        <v>446</v>
      </c>
      <c r="B448" t="s">
        <v>6950</v>
      </c>
      <c r="C448" t="s">
        <v>6949</v>
      </c>
      <c r="F448" t="s">
        <v>6948</v>
      </c>
      <c r="G448" t="s">
        <v>5</v>
      </c>
      <c r="H448" t="s">
        <v>4</v>
      </c>
      <c r="I448" t="s">
        <v>1151</v>
      </c>
      <c r="J448">
        <v>60029738</v>
      </c>
      <c r="K448" t="s">
        <v>1027</v>
      </c>
      <c r="L448" t="s">
        <v>1026</v>
      </c>
      <c r="M448" t="s">
        <v>41</v>
      </c>
      <c r="N448">
        <v>2</v>
      </c>
      <c r="O448" t="s">
        <v>6947</v>
      </c>
      <c r="P448" t="s">
        <v>6946</v>
      </c>
      <c r="Q448" t="s">
        <v>1960</v>
      </c>
      <c r="R448" s="7">
        <v>37530</v>
      </c>
      <c r="S448" s="8">
        <f t="shared" si="48"/>
        <v>2002</v>
      </c>
      <c r="T448" s="8">
        <v>2002</v>
      </c>
      <c r="U448" s="8">
        <f t="shared" si="49"/>
        <v>20</v>
      </c>
      <c r="V448" s="7">
        <v>37530</v>
      </c>
      <c r="W448" s="11" t="s">
        <v>976</v>
      </c>
      <c r="X448" s="2">
        <v>2.383</v>
      </c>
      <c r="Y448" s="6">
        <f t="shared" si="54"/>
        <v>6.3612824003630442E-2</v>
      </c>
      <c r="AA448">
        <v>13502417</v>
      </c>
      <c r="AB448">
        <v>17416</v>
      </c>
      <c r="AD448" t="s">
        <v>2</v>
      </c>
      <c r="AE448">
        <v>149</v>
      </c>
      <c r="AF448" s="9">
        <v>44352</v>
      </c>
      <c r="AH448" t="s">
        <v>6945</v>
      </c>
      <c r="AI448" t="s">
        <v>6944</v>
      </c>
      <c r="AK448" t="s">
        <v>6943</v>
      </c>
      <c r="AL448">
        <v>8</v>
      </c>
      <c r="AM448" s="5">
        <f t="shared" si="50"/>
        <v>0.4</v>
      </c>
      <c r="AN448" s="4">
        <f t="shared" si="55"/>
        <v>6.0583112457402507E-4</v>
      </c>
      <c r="AO448" s="3"/>
      <c r="AP448">
        <v>0</v>
      </c>
      <c r="AR448" t="s">
        <v>1</v>
      </c>
      <c r="AT448" s="2" t="s">
        <v>0</v>
      </c>
      <c r="AU448" s="1">
        <f t="shared" si="51"/>
        <v>4.4710726139913515</v>
      </c>
      <c r="AV448" s="1">
        <f t="shared" si="52"/>
        <v>3.210932756410223</v>
      </c>
      <c r="AW448" s="1">
        <f t="shared" si="53"/>
        <v>1.950792898829095</v>
      </c>
    </row>
    <row r="449" spans="1:49" x14ac:dyDescent="0.2">
      <c r="A449">
        <v>447</v>
      </c>
      <c r="B449" t="s">
        <v>6942</v>
      </c>
      <c r="C449" t="s">
        <v>6941</v>
      </c>
      <c r="F449" t="s">
        <v>6940</v>
      </c>
      <c r="G449" t="s">
        <v>5</v>
      </c>
      <c r="H449" t="s">
        <v>4</v>
      </c>
      <c r="I449" t="s">
        <v>1963</v>
      </c>
      <c r="J449">
        <v>60029738</v>
      </c>
      <c r="K449" t="s">
        <v>1027</v>
      </c>
      <c r="L449" t="s">
        <v>1026</v>
      </c>
      <c r="M449" t="s">
        <v>41</v>
      </c>
      <c r="N449">
        <v>2</v>
      </c>
      <c r="O449" t="s">
        <v>1962</v>
      </c>
      <c r="P449" t="s">
        <v>1961</v>
      </c>
      <c r="Q449" t="s">
        <v>1960</v>
      </c>
      <c r="R449" s="7">
        <v>37530</v>
      </c>
      <c r="S449" s="8">
        <f t="shared" si="48"/>
        <v>2002</v>
      </c>
      <c r="T449" s="8">
        <v>2002</v>
      </c>
      <c r="U449" s="8">
        <f t="shared" si="49"/>
        <v>20</v>
      </c>
      <c r="V449" s="7">
        <v>37530</v>
      </c>
      <c r="W449" s="11" t="s">
        <v>976</v>
      </c>
      <c r="X449" s="2">
        <v>2.383</v>
      </c>
      <c r="Y449" s="6">
        <f t="shared" si="54"/>
        <v>6.3612824003630442E-2</v>
      </c>
      <c r="AA449">
        <v>13502417</v>
      </c>
      <c r="AB449">
        <v>17416</v>
      </c>
      <c r="AD449" t="s">
        <v>2</v>
      </c>
      <c r="AE449">
        <v>149</v>
      </c>
      <c r="AF449" s="9">
        <v>44352</v>
      </c>
      <c r="AH449" t="s">
        <v>6939</v>
      </c>
      <c r="AI449" t="s">
        <v>6938</v>
      </c>
      <c r="AK449" t="s">
        <v>6937</v>
      </c>
      <c r="AL449">
        <v>1</v>
      </c>
      <c r="AM449" s="5">
        <f t="shared" si="50"/>
        <v>0.05</v>
      </c>
      <c r="AN449" s="4">
        <f t="shared" si="55"/>
        <v>7.5728890571753133E-5</v>
      </c>
      <c r="AO449" s="3"/>
      <c r="AP449">
        <v>0</v>
      </c>
      <c r="AR449" t="s">
        <v>1</v>
      </c>
      <c r="AT449" s="2" t="s">
        <v>0</v>
      </c>
      <c r="AU449" s="1">
        <f t="shared" si="51"/>
        <v>4.4551695469712831</v>
      </c>
      <c r="AV449" s="1">
        <f t="shared" si="52"/>
        <v>3.1844276447101096</v>
      </c>
      <c r="AW449" s="1">
        <f t="shared" si="53"/>
        <v>1.913685742448936</v>
      </c>
    </row>
    <row r="450" spans="1:49" x14ac:dyDescent="0.2">
      <c r="A450">
        <v>448</v>
      </c>
      <c r="B450" t="s">
        <v>6936</v>
      </c>
      <c r="C450" t="s">
        <v>6935</v>
      </c>
      <c r="F450" t="s">
        <v>6934</v>
      </c>
      <c r="G450" t="s">
        <v>5</v>
      </c>
      <c r="H450" t="s">
        <v>4</v>
      </c>
      <c r="I450" t="s">
        <v>6933</v>
      </c>
      <c r="J450">
        <v>100568663</v>
      </c>
      <c r="K450" t="s">
        <v>6932</v>
      </c>
      <c r="L450" t="s">
        <v>6931</v>
      </c>
      <c r="M450" t="s">
        <v>6930</v>
      </c>
      <c r="N450">
        <v>3</v>
      </c>
      <c r="O450" t="s">
        <v>6929</v>
      </c>
      <c r="P450" t="s">
        <v>6928</v>
      </c>
      <c r="Q450" t="s">
        <v>6927</v>
      </c>
      <c r="R450" s="7">
        <v>37530</v>
      </c>
      <c r="S450" s="8">
        <f t="shared" ref="S450:S513" si="56">YEAR(R450)</f>
        <v>2002</v>
      </c>
      <c r="T450" s="8">
        <v>2002</v>
      </c>
      <c r="U450" s="8">
        <f t="shared" ref="U450:U513" si="57">2022-T450</f>
        <v>20</v>
      </c>
      <c r="V450" s="7">
        <v>37530</v>
      </c>
      <c r="W450" s="11" t="s">
        <v>976</v>
      </c>
      <c r="X450" s="2">
        <v>2.383</v>
      </c>
      <c r="Y450" s="6">
        <f t="shared" si="54"/>
        <v>6.3612824003630442E-2</v>
      </c>
      <c r="AA450">
        <v>13502417</v>
      </c>
      <c r="AB450">
        <v>17416</v>
      </c>
      <c r="AD450" t="s">
        <v>2</v>
      </c>
      <c r="AE450">
        <v>149</v>
      </c>
      <c r="AF450" s="9">
        <v>44352</v>
      </c>
      <c r="AH450" t="s">
        <v>6926</v>
      </c>
      <c r="AI450" t="s">
        <v>6925</v>
      </c>
      <c r="AK450" t="s">
        <v>6924</v>
      </c>
      <c r="AL450">
        <v>6</v>
      </c>
      <c r="AM450" s="5">
        <f t="shared" ref="AM450:AM513" si="58">AL450/U450</f>
        <v>0.3</v>
      </c>
      <c r="AN450" s="4">
        <f t="shared" si="55"/>
        <v>4.5437334343051872E-4</v>
      </c>
      <c r="AO450" s="3"/>
      <c r="AP450">
        <v>0</v>
      </c>
      <c r="AR450" t="s">
        <v>1</v>
      </c>
      <c r="AT450" s="2" t="s">
        <v>0</v>
      </c>
      <c r="AU450" s="1">
        <f t="shared" ref="AU450:AU513" si="59">(Y450*0.7+AN450*0.3)*100</f>
        <v>4.4665288805570462</v>
      </c>
      <c r="AV450" s="1">
        <f t="shared" ref="AV450:AV513" si="60">(Y450*0.5+AN450*0.5)*100</f>
        <v>3.2033598673530479</v>
      </c>
      <c r="AW450" s="1">
        <f t="shared" ref="AW450:AW513" si="61">(Y450*0.3+AN450*0.7)*100</f>
        <v>1.9401908541490498</v>
      </c>
    </row>
    <row r="451" spans="1:49" x14ac:dyDescent="0.2">
      <c r="A451">
        <v>449</v>
      </c>
      <c r="B451" t="s">
        <v>6923</v>
      </c>
      <c r="C451" t="s">
        <v>6922</v>
      </c>
      <c r="F451" t="s">
        <v>6921</v>
      </c>
      <c r="G451" t="s">
        <v>5</v>
      </c>
      <c r="H451" t="s">
        <v>4</v>
      </c>
      <c r="I451" t="s">
        <v>330</v>
      </c>
      <c r="J451">
        <v>60025063</v>
      </c>
      <c r="K451" t="s">
        <v>282</v>
      </c>
      <c r="L451" t="s">
        <v>281</v>
      </c>
      <c r="M451" t="s">
        <v>280</v>
      </c>
      <c r="N451">
        <v>2</v>
      </c>
      <c r="O451" t="s">
        <v>788</v>
      </c>
      <c r="P451" t="s">
        <v>329</v>
      </c>
      <c r="Q451" t="s">
        <v>328</v>
      </c>
      <c r="R451" s="7">
        <v>37530</v>
      </c>
      <c r="S451" s="8">
        <f t="shared" si="56"/>
        <v>2002</v>
      </c>
      <c r="T451" s="8">
        <v>2002</v>
      </c>
      <c r="U451" s="8">
        <f t="shared" si="57"/>
        <v>20</v>
      </c>
      <c r="V451" s="7">
        <v>37530</v>
      </c>
      <c r="W451" s="11" t="s">
        <v>976</v>
      </c>
      <c r="X451" s="2">
        <v>2.383</v>
      </c>
      <c r="Y451" s="6">
        <f t="shared" ref="Y451:Y514" si="62">(X451-$Z$3)/($Z$2-$Z$3)</f>
        <v>6.3612824003630442E-2</v>
      </c>
      <c r="AA451">
        <v>13502417</v>
      </c>
      <c r="AB451">
        <v>17416</v>
      </c>
      <c r="AD451" t="s">
        <v>2</v>
      </c>
      <c r="AE451">
        <v>149</v>
      </c>
      <c r="AF451" s="9">
        <v>44352</v>
      </c>
      <c r="AH451" t="s">
        <v>6920</v>
      </c>
      <c r="AI451" t="s">
        <v>6919</v>
      </c>
      <c r="AK451" t="s">
        <v>6918</v>
      </c>
      <c r="AL451">
        <v>6</v>
      </c>
      <c r="AM451" s="5">
        <f t="shared" si="58"/>
        <v>0.3</v>
      </c>
      <c r="AN451" s="4">
        <f t="shared" ref="AN451:AN514" si="63">(AM451-$AO$3)/($AO$2-$AO$3)</f>
        <v>4.5437334343051872E-4</v>
      </c>
      <c r="AO451" s="3"/>
      <c r="AP451">
        <v>0</v>
      </c>
      <c r="AR451" t="s">
        <v>1</v>
      </c>
      <c r="AT451" s="2" t="s">
        <v>0</v>
      </c>
      <c r="AU451" s="1">
        <f t="shared" si="59"/>
        <v>4.4665288805570462</v>
      </c>
      <c r="AV451" s="1">
        <f t="shared" si="60"/>
        <v>3.2033598673530479</v>
      </c>
      <c r="AW451" s="1">
        <f t="shared" si="61"/>
        <v>1.9401908541490498</v>
      </c>
    </row>
    <row r="452" spans="1:49" x14ac:dyDescent="0.2">
      <c r="A452">
        <v>450</v>
      </c>
      <c r="B452" t="s">
        <v>6917</v>
      </c>
      <c r="C452" t="s">
        <v>6916</v>
      </c>
      <c r="F452" t="s">
        <v>6915</v>
      </c>
      <c r="G452" t="s">
        <v>5</v>
      </c>
      <c r="H452" t="s">
        <v>4</v>
      </c>
      <c r="I452" t="s">
        <v>6914</v>
      </c>
      <c r="J452" t="s">
        <v>6913</v>
      </c>
      <c r="K452" t="s">
        <v>6912</v>
      </c>
      <c r="L452" t="s">
        <v>6911</v>
      </c>
      <c r="M452" t="s">
        <v>48</v>
      </c>
      <c r="N452">
        <v>3</v>
      </c>
      <c r="O452" t="s">
        <v>6910</v>
      </c>
      <c r="P452" t="s">
        <v>6909</v>
      </c>
      <c r="Q452" t="s">
        <v>6908</v>
      </c>
      <c r="R452" s="7">
        <v>37530</v>
      </c>
      <c r="S452" s="8">
        <f t="shared" si="56"/>
        <v>2002</v>
      </c>
      <c r="T452" s="8">
        <v>2002</v>
      </c>
      <c r="U452" s="8">
        <f t="shared" si="57"/>
        <v>20</v>
      </c>
      <c r="V452" s="7">
        <v>37530</v>
      </c>
      <c r="W452" s="11" t="s">
        <v>976</v>
      </c>
      <c r="X452" s="2">
        <v>2.383</v>
      </c>
      <c r="Y452" s="6">
        <f t="shared" si="62"/>
        <v>6.3612824003630442E-2</v>
      </c>
      <c r="AA452">
        <v>13502417</v>
      </c>
      <c r="AB452">
        <v>17416</v>
      </c>
      <c r="AD452" t="s">
        <v>2</v>
      </c>
      <c r="AE452">
        <v>149</v>
      </c>
      <c r="AF452" s="9">
        <v>44352</v>
      </c>
      <c r="AH452" t="s">
        <v>686</v>
      </c>
      <c r="AI452" t="s">
        <v>6907</v>
      </c>
      <c r="AK452" t="s">
        <v>6906</v>
      </c>
      <c r="AL452">
        <v>0</v>
      </c>
      <c r="AM452" s="5">
        <f t="shared" si="58"/>
        <v>0</v>
      </c>
      <c r="AN452" s="4">
        <f t="shared" si="63"/>
        <v>0</v>
      </c>
      <c r="AO452" s="3"/>
      <c r="AP452">
        <v>0</v>
      </c>
      <c r="AR452" t="s">
        <v>1</v>
      </c>
      <c r="AT452" s="2" t="s">
        <v>0</v>
      </c>
      <c r="AU452" s="1">
        <f t="shared" si="59"/>
        <v>4.4528976802541305</v>
      </c>
      <c r="AV452" s="1">
        <f t="shared" si="60"/>
        <v>3.1806412001815221</v>
      </c>
      <c r="AW452" s="1">
        <f t="shared" si="61"/>
        <v>1.9083847201089132</v>
      </c>
    </row>
    <row r="453" spans="1:49" x14ac:dyDescent="0.2">
      <c r="A453">
        <v>451</v>
      </c>
      <c r="B453" t="s">
        <v>6905</v>
      </c>
      <c r="E453">
        <v>12569319</v>
      </c>
      <c r="F453" t="s">
        <v>6904</v>
      </c>
      <c r="G453" t="s">
        <v>5</v>
      </c>
      <c r="H453" t="s">
        <v>4</v>
      </c>
      <c r="I453" t="s">
        <v>6903</v>
      </c>
      <c r="J453">
        <v>60016182</v>
      </c>
      <c r="K453" t="s">
        <v>6902</v>
      </c>
      <c r="L453" t="s">
        <v>363</v>
      </c>
      <c r="M453" t="s">
        <v>19</v>
      </c>
      <c r="N453">
        <v>5</v>
      </c>
      <c r="O453" t="s">
        <v>6901</v>
      </c>
      <c r="P453" t="s">
        <v>6900</v>
      </c>
      <c r="Q453" t="s">
        <v>6899</v>
      </c>
      <c r="R453" s="7">
        <v>37530</v>
      </c>
      <c r="S453" s="8">
        <f t="shared" si="56"/>
        <v>2002</v>
      </c>
      <c r="T453" s="8">
        <v>2002</v>
      </c>
      <c r="U453" s="8">
        <f t="shared" si="57"/>
        <v>20</v>
      </c>
      <c r="V453" s="7">
        <v>37530</v>
      </c>
      <c r="W453" t="s">
        <v>6898</v>
      </c>
      <c r="X453" s="2">
        <v>0.58099999999999996</v>
      </c>
      <c r="Y453" s="6">
        <f t="shared" si="62"/>
        <v>1.5509463175035369E-2</v>
      </c>
      <c r="AA453">
        <v>338362</v>
      </c>
      <c r="AB453">
        <v>17858</v>
      </c>
      <c r="AD453" t="s">
        <v>2</v>
      </c>
      <c r="AE453">
        <v>104</v>
      </c>
      <c r="AF453">
        <v>4</v>
      </c>
      <c r="AH453" t="s">
        <v>6897</v>
      </c>
      <c r="AL453">
        <v>6</v>
      </c>
      <c r="AM453" s="5">
        <f t="shared" si="58"/>
        <v>0.3</v>
      </c>
      <c r="AN453" s="4">
        <f t="shared" si="63"/>
        <v>4.5437334343051872E-4</v>
      </c>
      <c r="AO453" s="3"/>
      <c r="AP453">
        <v>0</v>
      </c>
      <c r="AR453" t="s">
        <v>1</v>
      </c>
      <c r="AT453" s="2">
        <v>3.4689999999999999</v>
      </c>
      <c r="AU453" s="1">
        <f t="shared" si="59"/>
        <v>1.0992936225553913</v>
      </c>
      <c r="AV453" s="1">
        <f t="shared" si="60"/>
        <v>0.7981918259232943</v>
      </c>
      <c r="AW453" s="1">
        <f t="shared" si="61"/>
        <v>0.49709002929119739</v>
      </c>
    </row>
    <row r="454" spans="1:49" x14ac:dyDescent="0.2">
      <c r="A454">
        <v>452</v>
      </c>
      <c r="B454" t="s">
        <v>6896</v>
      </c>
      <c r="C454" t="s">
        <v>6895</v>
      </c>
      <c r="F454" t="s">
        <v>6894</v>
      </c>
      <c r="G454" t="s">
        <v>5</v>
      </c>
      <c r="H454" t="s">
        <v>4</v>
      </c>
      <c r="I454" t="s">
        <v>466</v>
      </c>
      <c r="J454">
        <v>60031155</v>
      </c>
      <c r="K454" t="s">
        <v>465</v>
      </c>
      <c r="L454" t="s">
        <v>464</v>
      </c>
      <c r="M454" t="s">
        <v>463</v>
      </c>
      <c r="N454">
        <v>2</v>
      </c>
      <c r="O454" t="s">
        <v>6893</v>
      </c>
      <c r="P454" t="s">
        <v>6892</v>
      </c>
      <c r="Q454" t="s">
        <v>6891</v>
      </c>
      <c r="R454" s="7">
        <v>37530</v>
      </c>
      <c r="S454" s="8">
        <f t="shared" si="56"/>
        <v>2002</v>
      </c>
      <c r="T454" s="8">
        <v>2002</v>
      </c>
      <c r="U454" s="8">
        <f t="shared" si="57"/>
        <v>20</v>
      </c>
      <c r="V454" s="7">
        <v>37530</v>
      </c>
      <c r="W454" t="s">
        <v>869</v>
      </c>
      <c r="X454" s="2">
        <v>0.82</v>
      </c>
      <c r="Y454" s="6">
        <f t="shared" si="62"/>
        <v>2.1889431675609299E-2</v>
      </c>
      <c r="AA454">
        <v>189456</v>
      </c>
      <c r="AB454">
        <v>15361</v>
      </c>
      <c r="AD454" t="s">
        <v>2</v>
      </c>
      <c r="AE454">
        <v>51</v>
      </c>
      <c r="AF454">
        <v>5</v>
      </c>
      <c r="AH454" t="s">
        <v>714</v>
      </c>
      <c r="AI454" t="s">
        <v>6890</v>
      </c>
      <c r="AJ454" t="s">
        <v>6889</v>
      </c>
      <c r="AK454" t="s">
        <v>6888</v>
      </c>
      <c r="AL454">
        <v>24</v>
      </c>
      <c r="AM454" s="5">
        <f t="shared" si="58"/>
        <v>1.2</v>
      </c>
      <c r="AN454" s="4">
        <f t="shared" si="63"/>
        <v>1.8174933737220749E-3</v>
      </c>
      <c r="AO454" s="3"/>
      <c r="AP454">
        <v>0</v>
      </c>
      <c r="AR454" t="s">
        <v>1</v>
      </c>
      <c r="AT454" s="2" t="s">
        <v>0</v>
      </c>
      <c r="AU454" s="1">
        <f t="shared" si="59"/>
        <v>1.5867850185043129</v>
      </c>
      <c r="AV454" s="1">
        <f t="shared" si="60"/>
        <v>1.1853462524665686</v>
      </c>
      <c r="AW454" s="1">
        <f t="shared" si="61"/>
        <v>0.78390748642882413</v>
      </c>
    </row>
    <row r="455" spans="1:49" x14ac:dyDescent="0.2">
      <c r="A455">
        <v>453</v>
      </c>
      <c r="B455" t="s">
        <v>6887</v>
      </c>
      <c r="C455" t="s">
        <v>6886</v>
      </c>
      <c r="F455" t="s">
        <v>6885</v>
      </c>
      <c r="G455" t="s">
        <v>5</v>
      </c>
      <c r="H455" t="s">
        <v>4</v>
      </c>
      <c r="I455" t="s">
        <v>6884</v>
      </c>
      <c r="J455" t="s">
        <v>6883</v>
      </c>
      <c r="K455" t="s">
        <v>6882</v>
      </c>
      <c r="L455" t="s">
        <v>6881</v>
      </c>
      <c r="M455" t="s">
        <v>58</v>
      </c>
      <c r="N455">
        <v>4</v>
      </c>
      <c r="O455" t="s">
        <v>6880</v>
      </c>
      <c r="P455" t="s">
        <v>6879</v>
      </c>
      <c r="Q455" t="s">
        <v>6878</v>
      </c>
      <c r="R455" s="7">
        <v>37530</v>
      </c>
      <c r="S455" s="8">
        <f t="shared" si="56"/>
        <v>2002</v>
      </c>
      <c r="T455" s="8">
        <v>2002</v>
      </c>
      <c r="U455" s="8">
        <f t="shared" si="57"/>
        <v>20</v>
      </c>
      <c r="V455" s="7">
        <v>37530</v>
      </c>
      <c r="W455" t="s">
        <v>6877</v>
      </c>
      <c r="X455" s="2">
        <v>0.86699999999999999</v>
      </c>
      <c r="Y455" s="6">
        <f t="shared" si="62"/>
        <v>2.3144069832625933E-2</v>
      </c>
      <c r="AA455">
        <v>10456740</v>
      </c>
      <c r="AB455">
        <v>25737</v>
      </c>
      <c r="AD455" t="s">
        <v>2</v>
      </c>
      <c r="AE455">
        <v>13</v>
      </c>
      <c r="AF455">
        <v>4</v>
      </c>
      <c r="AH455" t="s">
        <v>6876</v>
      </c>
      <c r="AI455" t="s">
        <v>6875</v>
      </c>
      <c r="AJ455" t="s">
        <v>6874</v>
      </c>
      <c r="AK455" t="s">
        <v>6873</v>
      </c>
      <c r="AL455">
        <v>54</v>
      </c>
      <c r="AM455" s="5">
        <f t="shared" si="58"/>
        <v>2.7</v>
      </c>
      <c r="AN455" s="4">
        <f t="shared" si="63"/>
        <v>4.0893600908746691E-3</v>
      </c>
      <c r="AO455" s="3"/>
      <c r="AP455">
        <v>0</v>
      </c>
      <c r="AR455" t="s">
        <v>1</v>
      </c>
      <c r="AT455" s="2">
        <v>4.3680000000000003</v>
      </c>
      <c r="AU455" s="1">
        <f t="shared" si="59"/>
        <v>1.7427656910100553</v>
      </c>
      <c r="AV455" s="1">
        <f t="shared" si="60"/>
        <v>1.36167149617503</v>
      </c>
      <c r="AW455" s="1">
        <f t="shared" si="61"/>
        <v>0.98057730134000487</v>
      </c>
    </row>
    <row r="456" spans="1:49" x14ac:dyDescent="0.2">
      <c r="A456">
        <v>454</v>
      </c>
      <c r="B456" t="s">
        <v>6872</v>
      </c>
      <c r="C456" t="s">
        <v>6871</v>
      </c>
      <c r="F456" t="s">
        <v>6870</v>
      </c>
      <c r="G456" t="s">
        <v>5</v>
      </c>
      <c r="H456" t="s">
        <v>4</v>
      </c>
      <c r="I456" t="s">
        <v>6869</v>
      </c>
      <c r="J456">
        <v>60021859</v>
      </c>
      <c r="K456" t="s">
        <v>307</v>
      </c>
      <c r="L456" t="s">
        <v>306</v>
      </c>
      <c r="M456" t="s">
        <v>19</v>
      </c>
      <c r="N456">
        <v>3</v>
      </c>
      <c r="O456" t="s">
        <v>6868</v>
      </c>
      <c r="P456" t="s">
        <v>6867</v>
      </c>
      <c r="Q456" t="s">
        <v>305</v>
      </c>
      <c r="R456" s="7">
        <v>37530</v>
      </c>
      <c r="S456" s="8">
        <f t="shared" si="56"/>
        <v>2002</v>
      </c>
      <c r="T456" s="8">
        <v>2002</v>
      </c>
      <c r="U456" s="8">
        <f t="shared" si="57"/>
        <v>20</v>
      </c>
      <c r="V456" s="7">
        <v>37530</v>
      </c>
      <c r="W456" t="s">
        <v>773</v>
      </c>
      <c r="X456" s="2">
        <v>0.88100000000000001</v>
      </c>
      <c r="Y456" s="6">
        <f t="shared" si="62"/>
        <v>2.3517791836843653E-2</v>
      </c>
      <c r="AA456">
        <v>10459243</v>
      </c>
      <c r="AB456">
        <v>17248</v>
      </c>
      <c r="AD456" t="s">
        <v>2</v>
      </c>
      <c r="AE456">
        <v>44</v>
      </c>
      <c r="AF456">
        <v>5</v>
      </c>
      <c r="AH456" t="s">
        <v>6866</v>
      </c>
      <c r="AI456" t="s">
        <v>6865</v>
      </c>
      <c r="AJ456" t="s">
        <v>6864</v>
      </c>
      <c r="AK456" t="s">
        <v>6863</v>
      </c>
      <c r="AL456">
        <v>43</v>
      </c>
      <c r="AM456" s="5">
        <f t="shared" si="58"/>
        <v>2.15</v>
      </c>
      <c r="AN456" s="4">
        <f t="shared" si="63"/>
        <v>3.256342294585384E-3</v>
      </c>
      <c r="AO456" s="3"/>
      <c r="AP456">
        <v>0</v>
      </c>
      <c r="AR456" t="s">
        <v>1</v>
      </c>
      <c r="AT456" s="2" t="s">
        <v>0</v>
      </c>
      <c r="AU456" s="1">
        <f t="shared" si="59"/>
        <v>1.7439356974166171</v>
      </c>
      <c r="AV456" s="1">
        <f t="shared" si="60"/>
        <v>1.3387067065714517</v>
      </c>
      <c r="AW456" s="1">
        <f t="shared" si="61"/>
        <v>0.93347771572628646</v>
      </c>
    </row>
    <row r="457" spans="1:49" x14ac:dyDescent="0.2">
      <c r="A457">
        <v>455</v>
      </c>
      <c r="B457" t="s">
        <v>6862</v>
      </c>
      <c r="C457" t="s">
        <v>6861</v>
      </c>
      <c r="F457" t="s">
        <v>6860</v>
      </c>
      <c r="G457" t="s">
        <v>5</v>
      </c>
      <c r="H457" t="s">
        <v>4</v>
      </c>
      <c r="I457" t="s">
        <v>6859</v>
      </c>
      <c r="J457">
        <v>60032882</v>
      </c>
      <c r="K457" t="s">
        <v>4380</v>
      </c>
      <c r="L457" t="s">
        <v>206</v>
      </c>
      <c r="M457" t="s">
        <v>45</v>
      </c>
      <c r="N457">
        <v>1</v>
      </c>
      <c r="O457" t="s">
        <v>6858</v>
      </c>
      <c r="P457">
        <v>7004206434</v>
      </c>
      <c r="Q457">
        <v>60032882</v>
      </c>
      <c r="R457" s="7">
        <v>37530</v>
      </c>
      <c r="S457" s="8">
        <f t="shared" si="56"/>
        <v>2002</v>
      </c>
      <c r="T457" s="8">
        <v>2002</v>
      </c>
      <c r="U457" s="8">
        <f t="shared" si="57"/>
        <v>20</v>
      </c>
      <c r="V457" s="7">
        <v>37530</v>
      </c>
      <c r="W457" t="s">
        <v>773</v>
      </c>
      <c r="X457" s="2">
        <v>0.88100000000000001</v>
      </c>
      <c r="Y457" s="6">
        <f t="shared" si="62"/>
        <v>2.3517791836843653E-2</v>
      </c>
      <c r="AA457">
        <v>10459243</v>
      </c>
      <c r="AB457">
        <v>17248</v>
      </c>
      <c r="AD457" t="s">
        <v>2</v>
      </c>
      <c r="AE457">
        <v>44</v>
      </c>
      <c r="AF457">
        <v>5</v>
      </c>
      <c r="AH457" t="s">
        <v>157</v>
      </c>
      <c r="AI457" t="s">
        <v>6857</v>
      </c>
      <c r="AJ457" t="s">
        <v>6856</v>
      </c>
      <c r="AK457" t="s">
        <v>6855</v>
      </c>
      <c r="AL457">
        <v>18</v>
      </c>
      <c r="AM457" s="5">
        <f t="shared" si="58"/>
        <v>0.9</v>
      </c>
      <c r="AN457" s="4">
        <f t="shared" si="63"/>
        <v>1.3631200302915562E-3</v>
      </c>
      <c r="AO457" s="3"/>
      <c r="AP457">
        <v>0</v>
      </c>
      <c r="AR457" t="s">
        <v>1</v>
      </c>
      <c r="AT457" s="2" t="s">
        <v>0</v>
      </c>
      <c r="AU457" s="1">
        <f t="shared" si="59"/>
        <v>1.6871390294878021</v>
      </c>
      <c r="AV457" s="1">
        <f t="shared" si="60"/>
        <v>1.2440455933567605</v>
      </c>
      <c r="AW457" s="1">
        <f t="shared" si="61"/>
        <v>0.80095215722571844</v>
      </c>
    </row>
    <row r="458" spans="1:49" x14ac:dyDescent="0.2">
      <c r="A458">
        <v>456</v>
      </c>
      <c r="B458" t="s">
        <v>6854</v>
      </c>
      <c r="C458" t="s">
        <v>6853</v>
      </c>
      <c r="F458" t="s">
        <v>6852</v>
      </c>
      <c r="G458" t="s">
        <v>5</v>
      </c>
      <c r="H458" t="s">
        <v>4</v>
      </c>
      <c r="I458" t="s">
        <v>6851</v>
      </c>
      <c r="J458" t="s">
        <v>6850</v>
      </c>
      <c r="K458" t="s">
        <v>6849</v>
      </c>
      <c r="L458" t="s">
        <v>6848</v>
      </c>
      <c r="M458" t="s">
        <v>76</v>
      </c>
      <c r="N458">
        <v>4</v>
      </c>
      <c r="O458" t="s">
        <v>6847</v>
      </c>
      <c r="P458" t="s">
        <v>6846</v>
      </c>
      <c r="Q458" t="s">
        <v>6845</v>
      </c>
      <c r="R458" s="7">
        <v>37530</v>
      </c>
      <c r="S458" s="8">
        <f t="shared" si="56"/>
        <v>2002</v>
      </c>
      <c r="T458" s="8">
        <v>2002</v>
      </c>
      <c r="U458" s="8">
        <f t="shared" si="57"/>
        <v>20</v>
      </c>
      <c r="V458" s="7">
        <v>37530</v>
      </c>
      <c r="W458" t="s">
        <v>773</v>
      </c>
      <c r="X458" s="2">
        <v>0.88100000000000001</v>
      </c>
      <c r="Y458" s="6">
        <f t="shared" si="62"/>
        <v>2.3517791836843653E-2</v>
      </c>
      <c r="AA458">
        <v>10459243</v>
      </c>
      <c r="AB458">
        <v>17248</v>
      </c>
      <c r="AD458" t="s">
        <v>2</v>
      </c>
      <c r="AE458">
        <v>44</v>
      </c>
      <c r="AF458">
        <v>5</v>
      </c>
      <c r="AH458" t="s">
        <v>1036</v>
      </c>
      <c r="AI458" t="s">
        <v>6844</v>
      </c>
      <c r="AJ458" t="s">
        <v>6843</v>
      </c>
      <c r="AK458" t="s">
        <v>6842</v>
      </c>
      <c r="AL458">
        <v>2</v>
      </c>
      <c r="AM458" s="5">
        <f t="shared" si="58"/>
        <v>0.1</v>
      </c>
      <c r="AN458" s="4">
        <f t="shared" si="63"/>
        <v>1.5145778114350627E-4</v>
      </c>
      <c r="AO458" s="3"/>
      <c r="AP458">
        <v>0</v>
      </c>
      <c r="AQ458" t="s">
        <v>6841</v>
      </c>
      <c r="AR458" t="s">
        <v>1</v>
      </c>
      <c r="AS458" t="s">
        <v>6840</v>
      </c>
      <c r="AT458" s="2" t="s">
        <v>0</v>
      </c>
      <c r="AU458" s="1">
        <f t="shared" si="59"/>
        <v>1.6507891620133608</v>
      </c>
      <c r="AV458" s="1">
        <f t="shared" si="60"/>
        <v>1.1834624808993579</v>
      </c>
      <c r="AW458" s="1">
        <f t="shared" si="61"/>
        <v>0.71613579978535502</v>
      </c>
    </row>
    <row r="459" spans="1:49" x14ac:dyDescent="0.2">
      <c r="A459">
        <v>457</v>
      </c>
      <c r="B459" t="s">
        <v>6839</v>
      </c>
      <c r="C459" t="s">
        <v>6838</v>
      </c>
      <c r="F459" t="s">
        <v>6837</v>
      </c>
      <c r="G459" t="s">
        <v>5</v>
      </c>
      <c r="H459" t="s">
        <v>4</v>
      </c>
      <c r="I459" t="s">
        <v>1096</v>
      </c>
      <c r="J459">
        <v>60026134</v>
      </c>
      <c r="K459" t="s">
        <v>794</v>
      </c>
      <c r="L459" t="s">
        <v>793</v>
      </c>
      <c r="M459" t="s">
        <v>182</v>
      </c>
      <c r="N459">
        <v>4</v>
      </c>
      <c r="O459" t="s">
        <v>6836</v>
      </c>
      <c r="P459" t="s">
        <v>6835</v>
      </c>
      <c r="Q459" t="s">
        <v>6834</v>
      </c>
      <c r="R459" s="7">
        <v>37530</v>
      </c>
      <c r="S459" s="8">
        <f t="shared" si="56"/>
        <v>2002</v>
      </c>
      <c r="T459" s="8">
        <v>2002</v>
      </c>
      <c r="U459" s="8">
        <f t="shared" si="57"/>
        <v>20</v>
      </c>
      <c r="V459" s="7">
        <v>37530</v>
      </c>
      <c r="W459" t="s">
        <v>773</v>
      </c>
      <c r="X459" s="2">
        <v>0.88100000000000001</v>
      </c>
      <c r="Y459" s="6">
        <f t="shared" si="62"/>
        <v>2.3517791836843653E-2</v>
      </c>
      <c r="AA459">
        <v>10459243</v>
      </c>
      <c r="AB459">
        <v>17248</v>
      </c>
      <c r="AD459" t="s">
        <v>2</v>
      </c>
      <c r="AE459">
        <v>44</v>
      </c>
      <c r="AF459">
        <v>5</v>
      </c>
      <c r="AH459" t="s">
        <v>6833</v>
      </c>
      <c r="AI459" t="s">
        <v>6832</v>
      </c>
      <c r="AJ459" t="s">
        <v>6831</v>
      </c>
      <c r="AK459" t="s">
        <v>6830</v>
      </c>
      <c r="AL459">
        <v>10</v>
      </c>
      <c r="AM459" s="5">
        <f t="shared" si="58"/>
        <v>0.5</v>
      </c>
      <c r="AN459" s="4">
        <f t="shared" si="63"/>
        <v>7.572889057175312E-4</v>
      </c>
      <c r="AO459" s="3"/>
      <c r="AP459">
        <v>0</v>
      </c>
      <c r="AQ459" t="s">
        <v>314</v>
      </c>
      <c r="AR459" t="s">
        <v>6829</v>
      </c>
      <c r="AS459" t="s">
        <v>313</v>
      </c>
      <c r="AT459" s="2" t="s">
        <v>0</v>
      </c>
      <c r="AU459" s="1">
        <f t="shared" si="59"/>
        <v>1.6689640957505816</v>
      </c>
      <c r="AV459" s="1">
        <f t="shared" si="60"/>
        <v>1.2137540371280591</v>
      </c>
      <c r="AW459" s="1">
        <f t="shared" si="61"/>
        <v>0.75854397850553679</v>
      </c>
    </row>
    <row r="460" spans="1:49" x14ac:dyDescent="0.2">
      <c r="A460">
        <v>458</v>
      </c>
      <c r="B460" t="s">
        <v>6828</v>
      </c>
      <c r="C460" t="s">
        <v>6827</v>
      </c>
      <c r="F460" t="s">
        <v>6826</v>
      </c>
      <c r="G460" t="s">
        <v>5</v>
      </c>
      <c r="H460" t="s">
        <v>4</v>
      </c>
      <c r="I460" t="s">
        <v>6825</v>
      </c>
      <c r="J460">
        <v>60029284</v>
      </c>
      <c r="K460" t="s">
        <v>1109</v>
      </c>
      <c r="L460" t="s">
        <v>499</v>
      </c>
      <c r="M460" t="s">
        <v>125</v>
      </c>
      <c r="N460">
        <v>2</v>
      </c>
      <c r="O460" t="s">
        <v>6824</v>
      </c>
      <c r="P460" t="s">
        <v>865</v>
      </c>
      <c r="Q460" t="s">
        <v>1108</v>
      </c>
      <c r="R460" s="7">
        <v>37530</v>
      </c>
      <c r="S460" s="8">
        <f t="shared" si="56"/>
        <v>2002</v>
      </c>
      <c r="T460" s="8">
        <v>2002</v>
      </c>
      <c r="U460" s="8">
        <f t="shared" si="57"/>
        <v>20</v>
      </c>
      <c r="V460" s="7">
        <v>37530</v>
      </c>
      <c r="W460" t="s">
        <v>773</v>
      </c>
      <c r="X460" s="2">
        <v>0.88100000000000001</v>
      </c>
      <c r="Y460" s="6">
        <f t="shared" si="62"/>
        <v>2.3517791836843653E-2</v>
      </c>
      <c r="AA460">
        <v>10459243</v>
      </c>
      <c r="AB460">
        <v>17248</v>
      </c>
      <c r="AD460" t="s">
        <v>2</v>
      </c>
      <c r="AE460">
        <v>44</v>
      </c>
      <c r="AF460">
        <v>5</v>
      </c>
      <c r="AH460" t="s">
        <v>749</v>
      </c>
      <c r="AI460" t="s">
        <v>6823</v>
      </c>
      <c r="AJ460" t="s">
        <v>6822</v>
      </c>
      <c r="AK460" t="s">
        <v>6821</v>
      </c>
      <c r="AL460">
        <v>4</v>
      </c>
      <c r="AM460" s="5">
        <f t="shared" si="58"/>
        <v>0.2</v>
      </c>
      <c r="AN460" s="4">
        <f t="shared" si="63"/>
        <v>3.0291556228701253E-4</v>
      </c>
      <c r="AO460" s="3"/>
      <c r="AP460">
        <v>0</v>
      </c>
      <c r="AR460" t="s">
        <v>1</v>
      </c>
      <c r="AT460" s="2" t="s">
        <v>0</v>
      </c>
      <c r="AU460" s="1">
        <f t="shared" si="59"/>
        <v>1.655332895447666</v>
      </c>
      <c r="AV460" s="1">
        <f t="shared" si="60"/>
        <v>1.1910353699565333</v>
      </c>
      <c r="AW460" s="1">
        <f t="shared" si="61"/>
        <v>0.72673784446540046</v>
      </c>
    </row>
    <row r="461" spans="1:49" x14ac:dyDescent="0.2">
      <c r="A461">
        <v>459</v>
      </c>
      <c r="B461" t="s">
        <v>6820</v>
      </c>
      <c r="C461" t="s">
        <v>6819</v>
      </c>
      <c r="F461" t="s">
        <v>6818</v>
      </c>
      <c r="G461" t="s">
        <v>5</v>
      </c>
      <c r="H461" t="s">
        <v>4</v>
      </c>
      <c r="I461" t="s">
        <v>6817</v>
      </c>
      <c r="J461">
        <v>100549966</v>
      </c>
      <c r="K461" t="s">
        <v>6816</v>
      </c>
      <c r="M461" t="s">
        <v>121</v>
      </c>
      <c r="N461">
        <v>1</v>
      </c>
      <c r="O461" t="s">
        <v>6815</v>
      </c>
      <c r="P461">
        <v>6603248149</v>
      </c>
      <c r="Q461">
        <v>100549966</v>
      </c>
      <c r="R461" s="7">
        <v>37530</v>
      </c>
      <c r="S461" s="8">
        <f t="shared" si="56"/>
        <v>2002</v>
      </c>
      <c r="T461" s="8">
        <v>2002</v>
      </c>
      <c r="U461" s="8">
        <f t="shared" si="57"/>
        <v>20</v>
      </c>
      <c r="V461" s="7">
        <v>37530</v>
      </c>
      <c r="W461" t="s">
        <v>773</v>
      </c>
      <c r="X461" s="2">
        <v>0.88100000000000001</v>
      </c>
      <c r="Y461" s="6">
        <f t="shared" si="62"/>
        <v>2.3517791836843653E-2</v>
      </c>
      <c r="AA461">
        <v>10459243</v>
      </c>
      <c r="AB461">
        <v>17248</v>
      </c>
      <c r="AD461" t="s">
        <v>2</v>
      </c>
      <c r="AE461">
        <v>44</v>
      </c>
      <c r="AF461">
        <v>5</v>
      </c>
      <c r="AH461" t="s">
        <v>6814</v>
      </c>
      <c r="AI461" t="s">
        <v>6813</v>
      </c>
      <c r="AJ461" t="s">
        <v>6812</v>
      </c>
      <c r="AK461" t="s">
        <v>6811</v>
      </c>
      <c r="AL461">
        <v>5</v>
      </c>
      <c r="AM461" s="5">
        <f t="shared" si="58"/>
        <v>0.25</v>
      </c>
      <c r="AN461" s="4">
        <f t="shared" si="63"/>
        <v>3.786444528587656E-4</v>
      </c>
      <c r="AO461" s="3"/>
      <c r="AP461">
        <v>0</v>
      </c>
      <c r="AR461" t="s">
        <v>1</v>
      </c>
      <c r="AT461" s="2" t="s">
        <v>0</v>
      </c>
      <c r="AU461" s="1">
        <f t="shared" si="59"/>
        <v>1.6576047621648184</v>
      </c>
      <c r="AV461" s="1">
        <f t="shared" si="60"/>
        <v>1.1948218144851208</v>
      </c>
      <c r="AW461" s="1">
        <f t="shared" si="61"/>
        <v>0.73203886680542318</v>
      </c>
    </row>
    <row r="462" spans="1:49" x14ac:dyDescent="0.2">
      <c r="A462">
        <v>460</v>
      </c>
      <c r="B462" t="s">
        <v>6810</v>
      </c>
      <c r="F462" t="s">
        <v>6809</v>
      </c>
      <c r="G462" t="s">
        <v>5</v>
      </c>
      <c r="H462" t="s">
        <v>4</v>
      </c>
      <c r="I462" t="s">
        <v>334</v>
      </c>
      <c r="J462">
        <v>60032442</v>
      </c>
      <c r="K462" t="s">
        <v>333</v>
      </c>
      <c r="L462" t="s">
        <v>332</v>
      </c>
      <c r="M462" t="s">
        <v>331</v>
      </c>
      <c r="N462">
        <v>2</v>
      </c>
      <c r="O462" t="s">
        <v>6808</v>
      </c>
      <c r="P462" t="s">
        <v>6807</v>
      </c>
      <c r="Q462" t="s">
        <v>6806</v>
      </c>
      <c r="R462" s="7">
        <v>37530</v>
      </c>
      <c r="S462" s="8">
        <f t="shared" si="56"/>
        <v>2002</v>
      </c>
      <c r="T462" s="8">
        <v>2002</v>
      </c>
      <c r="U462" s="8">
        <f t="shared" si="57"/>
        <v>20</v>
      </c>
      <c r="V462" s="7">
        <v>37530</v>
      </c>
      <c r="W462" t="s">
        <v>6805</v>
      </c>
      <c r="X462" s="2">
        <v>0.19700000000000001</v>
      </c>
      <c r="Y462" s="6">
        <f t="shared" si="62"/>
        <v>5.2588024879207714E-3</v>
      </c>
      <c r="AA462">
        <v>310603</v>
      </c>
      <c r="AB462">
        <v>21065</v>
      </c>
      <c r="AD462" t="s">
        <v>2</v>
      </c>
      <c r="AE462">
        <v>78</v>
      </c>
      <c r="AF462">
        <v>4</v>
      </c>
      <c r="AH462" t="s">
        <v>6804</v>
      </c>
      <c r="AI462" t="s">
        <v>6803</v>
      </c>
      <c r="AJ462" t="s">
        <v>6802</v>
      </c>
      <c r="AK462" t="s">
        <v>6801</v>
      </c>
      <c r="AL462">
        <v>4</v>
      </c>
      <c r="AM462" s="5">
        <f t="shared" si="58"/>
        <v>0.2</v>
      </c>
      <c r="AN462" s="4">
        <f t="shared" si="63"/>
        <v>3.0291556228701253E-4</v>
      </c>
      <c r="AO462" s="3"/>
      <c r="AP462">
        <v>0</v>
      </c>
      <c r="AR462" t="s">
        <v>1</v>
      </c>
      <c r="AT462" s="2">
        <v>0.64500000000000002</v>
      </c>
      <c r="AU462" s="1">
        <f t="shared" si="59"/>
        <v>0.37720364102306436</v>
      </c>
      <c r="AV462" s="1">
        <f t="shared" si="60"/>
        <v>0.27808590251038923</v>
      </c>
      <c r="AW462" s="1">
        <f t="shared" si="61"/>
        <v>0.17896816399771401</v>
      </c>
    </row>
    <row r="463" spans="1:49" x14ac:dyDescent="0.2">
      <c r="A463">
        <v>461</v>
      </c>
      <c r="B463" t="s">
        <v>6800</v>
      </c>
      <c r="C463" t="s">
        <v>6799</v>
      </c>
      <c r="F463" t="s">
        <v>6798</v>
      </c>
      <c r="G463" t="s">
        <v>5</v>
      </c>
      <c r="H463" t="s">
        <v>4</v>
      </c>
      <c r="I463" t="s">
        <v>977</v>
      </c>
      <c r="J463" t="s">
        <v>6797</v>
      </c>
      <c r="K463" t="s">
        <v>6796</v>
      </c>
      <c r="L463" t="s">
        <v>6795</v>
      </c>
      <c r="M463" t="s">
        <v>22</v>
      </c>
      <c r="N463">
        <v>3</v>
      </c>
      <c r="O463" t="s">
        <v>6794</v>
      </c>
      <c r="P463" t="s">
        <v>6793</v>
      </c>
      <c r="Q463" t="s">
        <v>6792</v>
      </c>
      <c r="R463" s="7">
        <v>37530</v>
      </c>
      <c r="S463" s="8">
        <f t="shared" si="56"/>
        <v>2002</v>
      </c>
      <c r="T463" s="8">
        <v>2002</v>
      </c>
      <c r="U463" s="8">
        <f t="shared" si="57"/>
        <v>20</v>
      </c>
      <c r="V463" s="7">
        <v>37530</v>
      </c>
      <c r="W463" t="s">
        <v>773</v>
      </c>
      <c r="X463" s="2">
        <v>0.88100000000000001</v>
      </c>
      <c r="Y463" s="6">
        <f t="shared" si="62"/>
        <v>2.3517791836843653E-2</v>
      </c>
      <c r="AA463">
        <v>10459243</v>
      </c>
      <c r="AB463">
        <v>17248</v>
      </c>
      <c r="AD463" t="s">
        <v>2</v>
      </c>
      <c r="AE463">
        <v>44</v>
      </c>
      <c r="AF463">
        <v>5</v>
      </c>
      <c r="AH463" t="s">
        <v>6791</v>
      </c>
      <c r="AI463" t="s">
        <v>6790</v>
      </c>
      <c r="AJ463" t="s">
        <v>6789</v>
      </c>
      <c r="AK463" t="s">
        <v>6788</v>
      </c>
      <c r="AL463">
        <v>88</v>
      </c>
      <c r="AM463" s="5">
        <f t="shared" si="58"/>
        <v>4.4000000000000004</v>
      </c>
      <c r="AN463" s="4">
        <f t="shared" si="63"/>
        <v>6.6641423703142754E-3</v>
      </c>
      <c r="AO463" s="3"/>
      <c r="AP463">
        <v>0</v>
      </c>
      <c r="AR463" t="s">
        <v>1</v>
      </c>
      <c r="AT463" s="2" t="s">
        <v>0</v>
      </c>
      <c r="AU463" s="1">
        <f t="shared" si="59"/>
        <v>1.8461696996884838</v>
      </c>
      <c r="AV463" s="1">
        <f t="shared" si="60"/>
        <v>1.5090967103578965</v>
      </c>
      <c r="AW463" s="1">
        <f t="shared" si="61"/>
        <v>1.1720237210273088</v>
      </c>
    </row>
    <row r="464" spans="1:49" x14ac:dyDescent="0.2">
      <c r="A464">
        <v>462</v>
      </c>
      <c r="B464" t="s">
        <v>6787</v>
      </c>
      <c r="C464" t="s">
        <v>6786</v>
      </c>
      <c r="F464" t="s">
        <v>6785</v>
      </c>
      <c r="G464" t="s">
        <v>5</v>
      </c>
      <c r="H464" t="s">
        <v>4</v>
      </c>
      <c r="I464" t="s">
        <v>6784</v>
      </c>
      <c r="J464">
        <v>60010491</v>
      </c>
      <c r="K464" t="s">
        <v>240</v>
      </c>
      <c r="L464" t="s">
        <v>239</v>
      </c>
      <c r="M464" t="s">
        <v>7</v>
      </c>
      <c r="N464">
        <v>4</v>
      </c>
      <c r="O464" t="s">
        <v>6783</v>
      </c>
      <c r="P464" t="s">
        <v>6782</v>
      </c>
      <c r="Q464" t="s">
        <v>6781</v>
      </c>
      <c r="R464" s="7">
        <v>37530</v>
      </c>
      <c r="S464" s="8">
        <f t="shared" si="56"/>
        <v>2002</v>
      </c>
      <c r="T464" s="8">
        <v>2002</v>
      </c>
      <c r="U464" s="8">
        <f t="shared" si="57"/>
        <v>20</v>
      </c>
      <c r="V464" s="7">
        <v>37530</v>
      </c>
      <c r="W464" t="s">
        <v>773</v>
      </c>
      <c r="X464" s="2">
        <v>0.88100000000000001</v>
      </c>
      <c r="Y464" s="6">
        <f t="shared" si="62"/>
        <v>2.3517791836843653E-2</v>
      </c>
      <c r="AA464">
        <v>10459243</v>
      </c>
      <c r="AB464">
        <v>17248</v>
      </c>
      <c r="AD464" t="s">
        <v>2</v>
      </c>
      <c r="AE464">
        <v>44</v>
      </c>
      <c r="AF464">
        <v>5</v>
      </c>
      <c r="AH464" t="s">
        <v>6780</v>
      </c>
      <c r="AI464" t="s">
        <v>6779</v>
      </c>
      <c r="AJ464" t="s">
        <v>6778</v>
      </c>
      <c r="AK464" t="s">
        <v>6777</v>
      </c>
      <c r="AL464">
        <v>33</v>
      </c>
      <c r="AM464" s="5">
        <f t="shared" si="58"/>
        <v>1.65</v>
      </c>
      <c r="AN464" s="4">
        <f t="shared" si="63"/>
        <v>2.4990533888678531E-3</v>
      </c>
      <c r="AO464" s="3"/>
      <c r="AP464">
        <v>0</v>
      </c>
      <c r="AR464" t="s">
        <v>1</v>
      </c>
      <c r="AT464" s="2" t="s">
        <v>0</v>
      </c>
      <c r="AU464" s="1">
        <f t="shared" si="59"/>
        <v>1.7212170302450911</v>
      </c>
      <c r="AV464" s="1">
        <f t="shared" si="60"/>
        <v>1.3008422612855752</v>
      </c>
      <c r="AW464" s="1">
        <f t="shared" si="61"/>
        <v>0.88046749232605936</v>
      </c>
    </row>
    <row r="465" spans="1:49" x14ac:dyDescent="0.2">
      <c r="A465">
        <v>463</v>
      </c>
      <c r="B465" t="s">
        <v>6776</v>
      </c>
      <c r="C465" t="s">
        <v>6775</v>
      </c>
      <c r="F465" t="s">
        <v>6774</v>
      </c>
      <c r="G465" t="s">
        <v>5</v>
      </c>
      <c r="H465" t="s">
        <v>4</v>
      </c>
      <c r="I465" t="s">
        <v>6773</v>
      </c>
      <c r="J465">
        <v>60015331</v>
      </c>
      <c r="K465" t="s">
        <v>810</v>
      </c>
      <c r="L465" t="s">
        <v>809</v>
      </c>
      <c r="M465" t="s">
        <v>463</v>
      </c>
      <c r="N465">
        <v>5</v>
      </c>
      <c r="O465" t="s">
        <v>6772</v>
      </c>
      <c r="P465" t="s">
        <v>6771</v>
      </c>
      <c r="Q465" t="s">
        <v>6770</v>
      </c>
      <c r="R465" s="7">
        <v>37530</v>
      </c>
      <c r="S465" s="8">
        <f t="shared" si="56"/>
        <v>2002</v>
      </c>
      <c r="T465" s="8">
        <v>2002</v>
      </c>
      <c r="U465" s="8">
        <f t="shared" si="57"/>
        <v>20</v>
      </c>
      <c r="V465" s="7">
        <v>37530</v>
      </c>
      <c r="W465" t="s">
        <v>773</v>
      </c>
      <c r="X465" s="2">
        <v>0.88100000000000001</v>
      </c>
      <c r="Y465" s="6">
        <f t="shared" si="62"/>
        <v>2.3517791836843653E-2</v>
      </c>
      <c r="AA465">
        <v>10459243</v>
      </c>
      <c r="AB465">
        <v>17248</v>
      </c>
      <c r="AD465" t="s">
        <v>2</v>
      </c>
      <c r="AE465">
        <v>44</v>
      </c>
      <c r="AF465">
        <v>5</v>
      </c>
      <c r="AH465" t="s">
        <v>6769</v>
      </c>
      <c r="AI465" t="s">
        <v>6768</v>
      </c>
      <c r="AJ465" t="s">
        <v>6767</v>
      </c>
      <c r="AK465" t="s">
        <v>6766</v>
      </c>
      <c r="AL465">
        <v>6</v>
      </c>
      <c r="AM465" s="5">
        <f t="shared" si="58"/>
        <v>0.3</v>
      </c>
      <c r="AN465" s="4">
        <f t="shared" si="63"/>
        <v>4.5437334343051872E-4</v>
      </c>
      <c r="AO465" s="3"/>
      <c r="AP465">
        <v>0</v>
      </c>
      <c r="AR465" t="s">
        <v>1</v>
      </c>
      <c r="AT465" s="2" t="s">
        <v>0</v>
      </c>
      <c r="AU465" s="1">
        <f t="shared" si="59"/>
        <v>1.6598766288819713</v>
      </c>
      <c r="AV465" s="1">
        <f t="shared" si="60"/>
        <v>1.1986082590137086</v>
      </c>
      <c r="AW465" s="1">
        <f t="shared" si="61"/>
        <v>0.7373398891454459</v>
      </c>
    </row>
    <row r="466" spans="1:49" x14ac:dyDescent="0.2">
      <c r="A466">
        <v>464</v>
      </c>
      <c r="B466" t="s">
        <v>6765</v>
      </c>
      <c r="C466" t="s">
        <v>6764</v>
      </c>
      <c r="F466" t="s">
        <v>6763</v>
      </c>
      <c r="G466" t="s">
        <v>5</v>
      </c>
      <c r="H466" t="s">
        <v>4</v>
      </c>
      <c r="I466" t="s">
        <v>2934</v>
      </c>
      <c r="J466">
        <v>60029738</v>
      </c>
      <c r="K466" t="s">
        <v>1027</v>
      </c>
      <c r="L466" t="s">
        <v>1026</v>
      </c>
      <c r="M466" t="s">
        <v>41</v>
      </c>
      <c r="N466">
        <v>2</v>
      </c>
      <c r="O466" t="s">
        <v>6691</v>
      </c>
      <c r="P466" t="s">
        <v>4112</v>
      </c>
      <c r="Q466" t="s">
        <v>1960</v>
      </c>
      <c r="R466" s="7">
        <v>37530</v>
      </c>
      <c r="S466" s="8">
        <f t="shared" si="56"/>
        <v>2002</v>
      </c>
      <c r="T466" s="8">
        <v>2002</v>
      </c>
      <c r="U466" s="8">
        <f t="shared" si="57"/>
        <v>20</v>
      </c>
      <c r="V466" s="7">
        <v>37530</v>
      </c>
      <c r="W466" t="s">
        <v>418</v>
      </c>
      <c r="X466" s="2">
        <v>1.6519999999999999</v>
      </c>
      <c r="Y466" s="6">
        <f t="shared" si="62"/>
        <v>4.409919649769093E-2</v>
      </c>
      <c r="AA466" t="s">
        <v>417</v>
      </c>
      <c r="AB466">
        <v>17337</v>
      </c>
      <c r="AD466" t="s">
        <v>2</v>
      </c>
      <c r="AE466">
        <v>50</v>
      </c>
      <c r="AF466">
        <v>10</v>
      </c>
      <c r="AH466" t="s">
        <v>6762</v>
      </c>
      <c r="AI466" t="s">
        <v>6761</v>
      </c>
      <c r="AJ466" t="s">
        <v>6760</v>
      </c>
      <c r="AK466" t="s">
        <v>6759</v>
      </c>
      <c r="AL466">
        <v>10</v>
      </c>
      <c r="AM466" s="5">
        <f t="shared" si="58"/>
        <v>0.5</v>
      </c>
      <c r="AN466" s="4">
        <f t="shared" si="63"/>
        <v>7.572889057175312E-4</v>
      </c>
      <c r="AO466" s="3"/>
      <c r="AP466">
        <v>0</v>
      </c>
      <c r="AR466" t="s">
        <v>1</v>
      </c>
      <c r="AT466" s="2" t="s">
        <v>0</v>
      </c>
      <c r="AU466" s="1">
        <f t="shared" si="59"/>
        <v>3.1096624220098912</v>
      </c>
      <c r="AV466" s="1">
        <f t="shared" si="60"/>
        <v>2.2428242701704231</v>
      </c>
      <c r="AW466" s="1">
        <f t="shared" si="61"/>
        <v>1.375986118330955</v>
      </c>
    </row>
    <row r="467" spans="1:49" x14ac:dyDescent="0.2">
      <c r="A467">
        <v>465</v>
      </c>
      <c r="B467" t="s">
        <v>6758</v>
      </c>
      <c r="C467" t="s">
        <v>6757</v>
      </c>
      <c r="F467" t="s">
        <v>6756</v>
      </c>
      <c r="G467" t="s">
        <v>5</v>
      </c>
      <c r="H467" t="s">
        <v>4</v>
      </c>
      <c r="I467" t="s">
        <v>696</v>
      </c>
      <c r="J467">
        <v>60025383</v>
      </c>
      <c r="K467" t="s">
        <v>6755</v>
      </c>
      <c r="L467" t="s">
        <v>6754</v>
      </c>
      <c r="M467" t="s">
        <v>26</v>
      </c>
      <c r="N467">
        <v>1</v>
      </c>
      <c r="O467" t="s">
        <v>6753</v>
      </c>
      <c r="P467">
        <v>7103412745</v>
      </c>
      <c r="Q467">
        <v>60025383</v>
      </c>
      <c r="R467" s="7">
        <v>37530</v>
      </c>
      <c r="S467" s="8">
        <f t="shared" si="56"/>
        <v>2002</v>
      </c>
      <c r="T467" s="8">
        <v>2002</v>
      </c>
      <c r="U467" s="8">
        <f t="shared" si="57"/>
        <v>20</v>
      </c>
      <c r="V467" s="7">
        <v>37530</v>
      </c>
      <c r="W467" t="s">
        <v>643</v>
      </c>
      <c r="X467" s="2">
        <v>2.141</v>
      </c>
      <c r="Y467" s="6">
        <f t="shared" si="62"/>
        <v>5.7152772216438434E-2</v>
      </c>
      <c r="AA467">
        <v>1962892</v>
      </c>
      <c r="AB467">
        <v>17360</v>
      </c>
      <c r="AD467" t="s">
        <v>2</v>
      </c>
      <c r="AE467">
        <v>40</v>
      </c>
      <c r="AF467">
        <v>10</v>
      </c>
      <c r="AH467" t="s">
        <v>6752</v>
      </c>
      <c r="AI467" t="s">
        <v>6751</v>
      </c>
      <c r="AJ467" t="s">
        <v>6750</v>
      </c>
      <c r="AK467" t="s">
        <v>6749</v>
      </c>
      <c r="AL467">
        <v>5</v>
      </c>
      <c r="AM467" s="5">
        <f t="shared" si="58"/>
        <v>0.25</v>
      </c>
      <c r="AN467" s="4">
        <f t="shared" si="63"/>
        <v>3.786444528587656E-4</v>
      </c>
      <c r="AO467" s="3"/>
      <c r="AP467">
        <v>0</v>
      </c>
      <c r="AQ467" t="s">
        <v>617</v>
      </c>
      <c r="AR467" t="s">
        <v>1</v>
      </c>
      <c r="AS467" t="s">
        <v>616</v>
      </c>
      <c r="AT467" s="2" t="s">
        <v>0</v>
      </c>
      <c r="AU467" s="1">
        <f t="shared" si="59"/>
        <v>4.0120533887364527</v>
      </c>
      <c r="AV467" s="1">
        <f t="shared" si="60"/>
        <v>2.8765708334648603</v>
      </c>
      <c r="AW467" s="1">
        <f t="shared" si="61"/>
        <v>1.7410882781932666</v>
      </c>
    </row>
    <row r="468" spans="1:49" x14ac:dyDescent="0.2">
      <c r="A468">
        <v>466</v>
      </c>
      <c r="B468" t="s">
        <v>6748</v>
      </c>
      <c r="C468" t="s">
        <v>6747</v>
      </c>
      <c r="F468" t="s">
        <v>6746</v>
      </c>
      <c r="G468" t="s">
        <v>5</v>
      </c>
      <c r="H468" t="s">
        <v>4</v>
      </c>
      <c r="I468" t="s">
        <v>6745</v>
      </c>
      <c r="J468">
        <v>60023813</v>
      </c>
      <c r="K468" t="s">
        <v>6744</v>
      </c>
      <c r="L468" t="s">
        <v>6743</v>
      </c>
      <c r="M468" t="s">
        <v>21</v>
      </c>
      <c r="N468">
        <v>4</v>
      </c>
      <c r="O468" t="s">
        <v>6742</v>
      </c>
      <c r="P468" t="s">
        <v>6741</v>
      </c>
      <c r="Q468" t="s">
        <v>6740</v>
      </c>
      <c r="R468" s="7">
        <v>37530</v>
      </c>
      <c r="S468" s="8">
        <f t="shared" si="56"/>
        <v>2002</v>
      </c>
      <c r="T468" s="8">
        <v>2002</v>
      </c>
      <c r="U468" s="8">
        <f t="shared" si="57"/>
        <v>20</v>
      </c>
      <c r="V468" s="7">
        <v>37530</v>
      </c>
      <c r="W468" t="s">
        <v>418</v>
      </c>
      <c r="X468" s="2">
        <v>1.6519999999999999</v>
      </c>
      <c r="Y468" s="6">
        <f t="shared" si="62"/>
        <v>4.409919649769093E-2</v>
      </c>
      <c r="AA468" t="s">
        <v>417</v>
      </c>
      <c r="AB468">
        <v>17337</v>
      </c>
      <c r="AD468" t="s">
        <v>2</v>
      </c>
      <c r="AE468">
        <v>50</v>
      </c>
      <c r="AF468">
        <v>10</v>
      </c>
      <c r="AH468" t="s">
        <v>6739</v>
      </c>
      <c r="AI468" t="s">
        <v>6738</v>
      </c>
      <c r="AJ468" t="s">
        <v>6737</v>
      </c>
      <c r="AK468" t="s">
        <v>6736</v>
      </c>
      <c r="AL468">
        <v>47</v>
      </c>
      <c r="AM468" s="5">
        <f t="shared" si="58"/>
        <v>2.35</v>
      </c>
      <c r="AN468" s="4">
        <f t="shared" si="63"/>
        <v>3.559257856872397E-3</v>
      </c>
      <c r="AO468" s="3"/>
      <c r="AP468">
        <v>0</v>
      </c>
      <c r="AQ468" t="s">
        <v>603</v>
      </c>
      <c r="AR468" t="s">
        <v>1</v>
      </c>
      <c r="AS468" t="s">
        <v>602</v>
      </c>
      <c r="AT468" s="2" t="s">
        <v>0</v>
      </c>
      <c r="AU468" s="1">
        <f t="shared" si="59"/>
        <v>3.193721490544537</v>
      </c>
      <c r="AV468" s="1">
        <f t="shared" si="60"/>
        <v>2.3829227177281664</v>
      </c>
      <c r="AW468" s="1">
        <f t="shared" si="61"/>
        <v>1.5721239449117956</v>
      </c>
    </row>
    <row r="469" spans="1:49" x14ac:dyDescent="0.2">
      <c r="A469">
        <v>467</v>
      </c>
      <c r="B469" t="s">
        <v>6735</v>
      </c>
      <c r="C469" t="s">
        <v>6734</v>
      </c>
      <c r="F469" t="s">
        <v>6733</v>
      </c>
      <c r="G469" t="s">
        <v>5</v>
      </c>
      <c r="H469" t="s">
        <v>4</v>
      </c>
      <c r="I469" t="s">
        <v>6732</v>
      </c>
      <c r="J469" t="s">
        <v>6731</v>
      </c>
      <c r="K469" t="s">
        <v>6730</v>
      </c>
      <c r="L469" t="s">
        <v>6729</v>
      </c>
      <c r="M469" t="s">
        <v>6728</v>
      </c>
      <c r="N469">
        <v>2</v>
      </c>
      <c r="O469" t="s">
        <v>6727</v>
      </c>
      <c r="P469" t="s">
        <v>6726</v>
      </c>
      <c r="Q469" t="s">
        <v>6725</v>
      </c>
      <c r="R469" s="7">
        <v>37530</v>
      </c>
      <c r="S469" s="8">
        <f t="shared" si="56"/>
        <v>2002</v>
      </c>
      <c r="T469" s="8">
        <v>2002</v>
      </c>
      <c r="U469" s="8">
        <f t="shared" si="57"/>
        <v>20</v>
      </c>
      <c r="V469" s="7">
        <v>37530</v>
      </c>
      <c r="W469" t="s">
        <v>6724</v>
      </c>
      <c r="X469" s="2">
        <v>0.752</v>
      </c>
      <c r="Y469" s="6">
        <f t="shared" si="62"/>
        <v>2.0074210512266089E-2</v>
      </c>
      <c r="AA469">
        <v>3649059</v>
      </c>
      <c r="AB469">
        <v>17277</v>
      </c>
      <c r="AD469" t="s">
        <v>2</v>
      </c>
      <c r="AE469">
        <v>27</v>
      </c>
      <c r="AF469">
        <v>4</v>
      </c>
      <c r="AH469" t="s">
        <v>6723</v>
      </c>
      <c r="AI469" t="s">
        <v>6722</v>
      </c>
      <c r="AJ469" t="s">
        <v>6721</v>
      </c>
      <c r="AK469" t="s">
        <v>6720</v>
      </c>
      <c r="AL469">
        <v>233</v>
      </c>
      <c r="AM469" s="5">
        <f t="shared" si="58"/>
        <v>11.65</v>
      </c>
      <c r="AN469" s="4">
        <f t="shared" si="63"/>
        <v>1.7644831503218477E-2</v>
      </c>
      <c r="AO469" s="3"/>
      <c r="AP469">
        <v>0</v>
      </c>
      <c r="AR469" t="s">
        <v>1</v>
      </c>
      <c r="AT469" s="2">
        <v>3.5539999999999998</v>
      </c>
      <c r="AU469" s="1">
        <f t="shared" si="59"/>
        <v>1.9345396809551805</v>
      </c>
      <c r="AV469" s="1">
        <f t="shared" si="60"/>
        <v>1.8859521007742284</v>
      </c>
      <c r="AW469" s="1">
        <f t="shared" si="61"/>
        <v>1.837364520593276</v>
      </c>
    </row>
    <row r="470" spans="1:49" x14ac:dyDescent="0.2">
      <c r="A470">
        <v>468</v>
      </c>
      <c r="B470" t="s">
        <v>6719</v>
      </c>
      <c r="C470" t="s">
        <v>6718</v>
      </c>
      <c r="F470" t="s">
        <v>6717</v>
      </c>
      <c r="G470" t="s">
        <v>5</v>
      </c>
      <c r="H470" t="s">
        <v>4</v>
      </c>
      <c r="I470" t="s">
        <v>6716</v>
      </c>
      <c r="J470">
        <v>60029738</v>
      </c>
      <c r="K470" t="s">
        <v>1027</v>
      </c>
      <c r="L470" t="s">
        <v>1026</v>
      </c>
      <c r="M470" t="s">
        <v>41</v>
      </c>
      <c r="N470">
        <v>3</v>
      </c>
      <c r="O470" t="s">
        <v>6715</v>
      </c>
      <c r="P470" t="s">
        <v>6714</v>
      </c>
      <c r="Q470" t="s">
        <v>1025</v>
      </c>
      <c r="R470" s="7">
        <v>37530</v>
      </c>
      <c r="S470" s="8">
        <f t="shared" si="56"/>
        <v>2002</v>
      </c>
      <c r="T470" s="8">
        <v>2002</v>
      </c>
      <c r="U470" s="8">
        <f t="shared" si="57"/>
        <v>20</v>
      </c>
      <c r="V470" s="7">
        <v>37530</v>
      </c>
      <c r="W470" t="s">
        <v>418</v>
      </c>
      <c r="X470" s="2">
        <v>1.6519999999999999</v>
      </c>
      <c r="Y470" s="6">
        <f t="shared" si="62"/>
        <v>4.409919649769093E-2</v>
      </c>
      <c r="AA470" t="s">
        <v>417</v>
      </c>
      <c r="AB470">
        <v>17337</v>
      </c>
      <c r="AD470" t="s">
        <v>2</v>
      </c>
      <c r="AE470">
        <v>50</v>
      </c>
      <c r="AF470">
        <v>10</v>
      </c>
      <c r="AH470" t="s">
        <v>6713</v>
      </c>
      <c r="AI470" t="s">
        <v>6712</v>
      </c>
      <c r="AJ470" t="s">
        <v>6711</v>
      </c>
      <c r="AK470" t="s">
        <v>6710</v>
      </c>
      <c r="AL470">
        <v>40</v>
      </c>
      <c r="AM470" s="5">
        <f t="shared" si="58"/>
        <v>2</v>
      </c>
      <c r="AN470" s="4">
        <f t="shared" si="63"/>
        <v>3.0291556228701248E-3</v>
      </c>
      <c r="AO470" s="3"/>
      <c r="AP470">
        <v>0</v>
      </c>
      <c r="AQ470" t="s">
        <v>413</v>
      </c>
      <c r="AR470" t="s">
        <v>6709</v>
      </c>
      <c r="AS470" t="s">
        <v>412</v>
      </c>
      <c r="AT470" s="2" t="s">
        <v>0</v>
      </c>
      <c r="AU470" s="1">
        <f t="shared" si="59"/>
        <v>3.1778184235244686</v>
      </c>
      <c r="AV470" s="1">
        <f t="shared" si="60"/>
        <v>2.3564176060280526</v>
      </c>
      <c r="AW470" s="1">
        <f t="shared" si="61"/>
        <v>1.5350167885316366</v>
      </c>
    </row>
    <row r="471" spans="1:49" x14ac:dyDescent="0.2">
      <c r="A471">
        <v>469</v>
      </c>
      <c r="B471" t="s">
        <v>6708</v>
      </c>
      <c r="C471" t="s">
        <v>6707</v>
      </c>
      <c r="F471" t="s">
        <v>6706</v>
      </c>
      <c r="G471" t="s">
        <v>5</v>
      </c>
      <c r="H471" t="s">
        <v>4</v>
      </c>
      <c r="I471" t="s">
        <v>6705</v>
      </c>
      <c r="J471" t="s">
        <v>6699</v>
      </c>
      <c r="K471" t="s">
        <v>6704</v>
      </c>
      <c r="L471" t="s">
        <v>6703</v>
      </c>
      <c r="M471" t="s">
        <v>6702</v>
      </c>
      <c r="N471">
        <v>3</v>
      </c>
      <c r="O471" t="s">
        <v>6701</v>
      </c>
      <c r="P471" t="s">
        <v>6700</v>
      </c>
      <c r="Q471" t="s">
        <v>6699</v>
      </c>
      <c r="R471" s="7">
        <v>37530</v>
      </c>
      <c r="S471" s="8">
        <f t="shared" si="56"/>
        <v>2002</v>
      </c>
      <c r="T471" s="8">
        <v>2002</v>
      </c>
      <c r="U471" s="8">
        <f t="shared" si="57"/>
        <v>20</v>
      </c>
      <c r="V471" s="7">
        <v>37530</v>
      </c>
      <c r="W471" t="s">
        <v>418</v>
      </c>
      <c r="X471" s="2">
        <v>1.6519999999999999</v>
      </c>
      <c r="Y471" s="6">
        <f t="shared" si="62"/>
        <v>4.409919649769093E-2</v>
      </c>
      <c r="AA471" t="s">
        <v>417</v>
      </c>
      <c r="AB471">
        <v>17337</v>
      </c>
      <c r="AD471" t="s">
        <v>2</v>
      </c>
      <c r="AE471">
        <v>50</v>
      </c>
      <c r="AF471">
        <v>10</v>
      </c>
      <c r="AH471" t="s">
        <v>6698</v>
      </c>
      <c r="AI471" t="s">
        <v>6697</v>
      </c>
      <c r="AJ471" t="s">
        <v>6696</v>
      </c>
      <c r="AK471" t="s">
        <v>6695</v>
      </c>
      <c r="AL471">
        <v>119</v>
      </c>
      <c r="AM471" s="5">
        <f t="shared" si="58"/>
        <v>5.95</v>
      </c>
      <c r="AN471" s="4">
        <f t="shared" si="63"/>
        <v>9.0117379780386211E-3</v>
      </c>
      <c r="AO471" s="3"/>
      <c r="AP471">
        <v>0</v>
      </c>
      <c r="AR471" t="s">
        <v>1</v>
      </c>
      <c r="AT471" s="2" t="s">
        <v>0</v>
      </c>
      <c r="AU471" s="1">
        <f t="shared" si="59"/>
        <v>3.3572958941795239</v>
      </c>
      <c r="AV471" s="1">
        <f t="shared" si="60"/>
        <v>2.6555467237864776</v>
      </c>
      <c r="AW471" s="1">
        <f t="shared" si="61"/>
        <v>1.9537975533934313</v>
      </c>
    </row>
    <row r="472" spans="1:49" x14ac:dyDescent="0.2">
      <c r="A472">
        <v>470</v>
      </c>
      <c r="B472" t="s">
        <v>6694</v>
      </c>
      <c r="C472" t="s">
        <v>6693</v>
      </c>
      <c r="F472" t="s">
        <v>6692</v>
      </c>
      <c r="G472" t="s">
        <v>5</v>
      </c>
      <c r="H472" t="s">
        <v>4</v>
      </c>
      <c r="I472" t="s">
        <v>2934</v>
      </c>
      <c r="J472">
        <v>60029738</v>
      </c>
      <c r="K472" t="s">
        <v>1027</v>
      </c>
      <c r="L472" t="s">
        <v>1026</v>
      </c>
      <c r="M472" t="s">
        <v>41</v>
      </c>
      <c r="N472">
        <v>2</v>
      </c>
      <c r="O472" t="s">
        <v>6691</v>
      </c>
      <c r="P472" t="s">
        <v>4112</v>
      </c>
      <c r="Q472" t="s">
        <v>1960</v>
      </c>
      <c r="R472" s="7">
        <v>37530</v>
      </c>
      <c r="S472" s="8">
        <f t="shared" si="56"/>
        <v>2002</v>
      </c>
      <c r="T472" s="8">
        <v>2002</v>
      </c>
      <c r="U472" s="8">
        <f t="shared" si="57"/>
        <v>20</v>
      </c>
      <c r="V472" s="7">
        <v>37530</v>
      </c>
      <c r="W472" t="s">
        <v>418</v>
      </c>
      <c r="X472" s="2">
        <v>1.6519999999999999</v>
      </c>
      <c r="Y472" s="6">
        <f t="shared" si="62"/>
        <v>4.409919649769093E-2</v>
      </c>
      <c r="AA472" t="s">
        <v>417</v>
      </c>
      <c r="AB472">
        <v>17337</v>
      </c>
      <c r="AD472" t="s">
        <v>2</v>
      </c>
      <c r="AE472">
        <v>50</v>
      </c>
      <c r="AF472">
        <v>10</v>
      </c>
      <c r="AH472" t="s">
        <v>6690</v>
      </c>
      <c r="AI472" t="s">
        <v>6689</v>
      </c>
      <c r="AJ472" t="s">
        <v>6688</v>
      </c>
      <c r="AK472" t="s">
        <v>6687</v>
      </c>
      <c r="AL472">
        <v>12</v>
      </c>
      <c r="AM472" s="5">
        <f t="shared" si="58"/>
        <v>0.6</v>
      </c>
      <c r="AN472" s="4">
        <f t="shared" si="63"/>
        <v>9.0874668686103744E-4</v>
      </c>
      <c r="AO472" s="3"/>
      <c r="AP472">
        <v>0</v>
      </c>
      <c r="AQ472" t="s">
        <v>413</v>
      </c>
      <c r="AR472" t="s">
        <v>1546</v>
      </c>
      <c r="AS472" t="s">
        <v>412</v>
      </c>
      <c r="AT472" s="2" t="s">
        <v>0</v>
      </c>
      <c r="AU472" s="1">
        <f t="shared" si="59"/>
        <v>3.1142061554441964</v>
      </c>
      <c r="AV472" s="1">
        <f t="shared" si="60"/>
        <v>2.2503971592275982</v>
      </c>
      <c r="AW472" s="1">
        <f t="shared" si="61"/>
        <v>1.3865881630110004</v>
      </c>
    </row>
    <row r="473" spans="1:49" x14ac:dyDescent="0.2">
      <c r="A473">
        <v>471</v>
      </c>
      <c r="B473" t="s">
        <v>6686</v>
      </c>
      <c r="C473" t="s">
        <v>6685</v>
      </c>
      <c r="F473" t="s">
        <v>6684</v>
      </c>
      <c r="G473" t="s">
        <v>5</v>
      </c>
      <c r="H473" t="s">
        <v>4</v>
      </c>
      <c r="I473" t="s">
        <v>775</v>
      </c>
      <c r="J473">
        <v>60013983</v>
      </c>
      <c r="K473" t="s">
        <v>393</v>
      </c>
      <c r="L473" t="s">
        <v>392</v>
      </c>
      <c r="M473" t="s">
        <v>114</v>
      </c>
      <c r="N473">
        <v>4</v>
      </c>
      <c r="O473" t="s">
        <v>6683</v>
      </c>
      <c r="P473" t="s">
        <v>6682</v>
      </c>
      <c r="Q473" t="s">
        <v>882</v>
      </c>
      <c r="R473" s="7">
        <v>37530</v>
      </c>
      <c r="S473" s="8">
        <f t="shared" si="56"/>
        <v>2002</v>
      </c>
      <c r="T473" s="8">
        <v>2002</v>
      </c>
      <c r="U473" s="8">
        <f t="shared" si="57"/>
        <v>20</v>
      </c>
      <c r="V473" s="7">
        <v>37530</v>
      </c>
      <c r="W473" t="s">
        <v>418</v>
      </c>
      <c r="X473" s="2">
        <v>1.6519999999999999</v>
      </c>
      <c r="Y473" s="6">
        <f t="shared" si="62"/>
        <v>4.409919649769093E-2</v>
      </c>
      <c r="AA473" t="s">
        <v>417</v>
      </c>
      <c r="AB473">
        <v>17337</v>
      </c>
      <c r="AD473" t="s">
        <v>2</v>
      </c>
      <c r="AE473">
        <v>50</v>
      </c>
      <c r="AF473">
        <v>10</v>
      </c>
      <c r="AH473" t="s">
        <v>6681</v>
      </c>
      <c r="AI473" t="s">
        <v>6680</v>
      </c>
      <c r="AJ473" t="s">
        <v>6679</v>
      </c>
      <c r="AK473" t="s">
        <v>6678</v>
      </c>
      <c r="AL473">
        <v>28</v>
      </c>
      <c r="AM473" s="5">
        <f t="shared" si="58"/>
        <v>1.4</v>
      </c>
      <c r="AN473" s="4">
        <f t="shared" si="63"/>
        <v>2.1204089360090874E-3</v>
      </c>
      <c r="AO473" s="3"/>
      <c r="AP473">
        <v>0</v>
      </c>
      <c r="AR473" t="s">
        <v>1</v>
      </c>
      <c r="AT473" s="2" t="s">
        <v>0</v>
      </c>
      <c r="AU473" s="1">
        <f t="shared" si="59"/>
        <v>3.150556022918638</v>
      </c>
      <c r="AV473" s="1">
        <f t="shared" si="60"/>
        <v>2.310980271685001</v>
      </c>
      <c r="AW473" s="1">
        <f t="shared" si="61"/>
        <v>1.4714045204513639</v>
      </c>
    </row>
    <row r="474" spans="1:49" x14ac:dyDescent="0.2">
      <c r="A474">
        <v>472</v>
      </c>
      <c r="B474" t="s">
        <v>6677</v>
      </c>
      <c r="C474" t="s">
        <v>6676</v>
      </c>
      <c r="F474" t="s">
        <v>6675</v>
      </c>
      <c r="G474" t="s">
        <v>5</v>
      </c>
      <c r="H474" t="s">
        <v>4</v>
      </c>
      <c r="I474" t="s">
        <v>220</v>
      </c>
      <c r="J474" t="s">
        <v>63</v>
      </c>
      <c r="K474" t="s">
        <v>62</v>
      </c>
      <c r="L474" t="s">
        <v>61</v>
      </c>
      <c r="M474" t="s">
        <v>60</v>
      </c>
      <c r="N474">
        <v>4</v>
      </c>
      <c r="O474" t="s">
        <v>6674</v>
      </c>
      <c r="P474" t="s">
        <v>219</v>
      </c>
      <c r="Q474" t="s">
        <v>6673</v>
      </c>
      <c r="R474" s="7">
        <v>37530</v>
      </c>
      <c r="S474" s="8">
        <f t="shared" si="56"/>
        <v>2002</v>
      </c>
      <c r="T474" s="8">
        <v>2002</v>
      </c>
      <c r="U474" s="8">
        <f t="shared" si="57"/>
        <v>20</v>
      </c>
      <c r="V474" s="7">
        <v>37530</v>
      </c>
      <c r="W474" t="s">
        <v>418</v>
      </c>
      <c r="X474" s="2">
        <v>1.6519999999999999</v>
      </c>
      <c r="Y474" s="6">
        <f t="shared" si="62"/>
        <v>4.409919649769093E-2</v>
      </c>
      <c r="AA474" t="s">
        <v>417</v>
      </c>
      <c r="AB474">
        <v>17337</v>
      </c>
      <c r="AD474" t="s">
        <v>2</v>
      </c>
      <c r="AE474">
        <v>50</v>
      </c>
      <c r="AF474">
        <v>10</v>
      </c>
      <c r="AH474" t="s">
        <v>6672</v>
      </c>
      <c r="AI474" t="s">
        <v>6671</v>
      </c>
      <c r="AJ474" t="s">
        <v>6670</v>
      </c>
      <c r="AK474" t="s">
        <v>6669</v>
      </c>
      <c r="AL474">
        <v>64</v>
      </c>
      <c r="AM474" s="5">
        <f t="shared" si="58"/>
        <v>3.2</v>
      </c>
      <c r="AN474" s="4">
        <f t="shared" si="63"/>
        <v>4.8466489965922005E-3</v>
      </c>
      <c r="AO474" s="3"/>
      <c r="AP474">
        <v>0</v>
      </c>
      <c r="AQ474" t="s">
        <v>6668</v>
      </c>
      <c r="AR474" t="s">
        <v>1</v>
      </c>
      <c r="AS474" t="s">
        <v>6667</v>
      </c>
      <c r="AT474" s="2" t="s">
        <v>0</v>
      </c>
      <c r="AU474" s="1">
        <f t="shared" si="59"/>
        <v>3.2323432247361312</v>
      </c>
      <c r="AV474" s="1">
        <f t="shared" si="60"/>
        <v>2.4472922747141563</v>
      </c>
      <c r="AW474" s="1">
        <f t="shared" si="61"/>
        <v>1.6622413246921819</v>
      </c>
    </row>
    <row r="475" spans="1:49" x14ac:dyDescent="0.2">
      <c r="A475">
        <v>473</v>
      </c>
      <c r="B475" t="s">
        <v>6666</v>
      </c>
      <c r="C475" t="s">
        <v>6665</v>
      </c>
      <c r="F475" t="s">
        <v>6664</v>
      </c>
      <c r="G475" t="s">
        <v>5</v>
      </c>
      <c r="H475" t="s">
        <v>4</v>
      </c>
      <c r="I475" t="s">
        <v>6663</v>
      </c>
      <c r="J475">
        <v>60011728</v>
      </c>
      <c r="K475" t="s">
        <v>516</v>
      </c>
      <c r="L475" t="s">
        <v>515</v>
      </c>
      <c r="M475" t="s">
        <v>172</v>
      </c>
      <c r="N475">
        <v>1</v>
      </c>
      <c r="O475" t="s">
        <v>6662</v>
      </c>
      <c r="P475">
        <v>7006094799</v>
      </c>
      <c r="Q475">
        <v>60011728</v>
      </c>
      <c r="R475" s="7">
        <v>37530</v>
      </c>
      <c r="S475" s="8">
        <f t="shared" si="56"/>
        <v>2002</v>
      </c>
      <c r="T475" s="8">
        <v>2002</v>
      </c>
      <c r="U475" s="8">
        <f t="shared" si="57"/>
        <v>20</v>
      </c>
      <c r="V475" s="7">
        <v>37530</v>
      </c>
      <c r="W475" t="s">
        <v>643</v>
      </c>
      <c r="X475" s="2">
        <v>2.141</v>
      </c>
      <c r="Y475" s="6">
        <f t="shared" si="62"/>
        <v>5.7152772216438434E-2</v>
      </c>
      <c r="AA475">
        <v>1962892</v>
      </c>
      <c r="AB475">
        <v>17360</v>
      </c>
      <c r="AD475" t="s">
        <v>2</v>
      </c>
      <c r="AE475">
        <v>40</v>
      </c>
      <c r="AF475">
        <v>10</v>
      </c>
      <c r="AH475" t="s">
        <v>6661</v>
      </c>
      <c r="AI475" t="s">
        <v>6660</v>
      </c>
      <c r="AJ475" t="s">
        <v>6659</v>
      </c>
      <c r="AK475" t="s">
        <v>6658</v>
      </c>
      <c r="AL475">
        <v>9</v>
      </c>
      <c r="AM475" s="5">
        <f t="shared" si="58"/>
        <v>0.45</v>
      </c>
      <c r="AN475" s="4">
        <f t="shared" si="63"/>
        <v>6.8156001514577808E-4</v>
      </c>
      <c r="AO475" s="3"/>
      <c r="AP475">
        <v>0</v>
      </c>
      <c r="AR475" t="s">
        <v>1</v>
      </c>
      <c r="AT475" s="2" t="s">
        <v>0</v>
      </c>
      <c r="AU475" s="1">
        <f t="shared" si="59"/>
        <v>4.0211408556050632</v>
      </c>
      <c r="AV475" s="1">
        <f t="shared" si="60"/>
        <v>2.8917166115792106</v>
      </c>
      <c r="AW475" s="1">
        <f t="shared" si="61"/>
        <v>1.7622923675533575</v>
      </c>
    </row>
    <row r="476" spans="1:49" x14ac:dyDescent="0.2">
      <c r="A476">
        <v>474</v>
      </c>
      <c r="B476" t="s">
        <v>6657</v>
      </c>
      <c r="C476" t="s">
        <v>6656</v>
      </c>
      <c r="F476" t="s">
        <v>6655</v>
      </c>
      <c r="G476" t="s">
        <v>5</v>
      </c>
      <c r="H476" t="s">
        <v>4</v>
      </c>
      <c r="I476" t="s">
        <v>684</v>
      </c>
      <c r="J476" t="s">
        <v>6654</v>
      </c>
      <c r="K476" t="s">
        <v>6653</v>
      </c>
      <c r="L476" t="s">
        <v>6652</v>
      </c>
      <c r="M476" t="s">
        <v>88</v>
      </c>
      <c r="N476">
        <v>3</v>
      </c>
      <c r="O476" t="s">
        <v>6651</v>
      </c>
      <c r="P476" t="s">
        <v>6650</v>
      </c>
      <c r="Q476" t="s">
        <v>6649</v>
      </c>
      <c r="R476" s="7">
        <v>37530</v>
      </c>
      <c r="S476" s="8">
        <f t="shared" si="56"/>
        <v>2002</v>
      </c>
      <c r="T476" s="8">
        <v>2002</v>
      </c>
      <c r="U476" s="8">
        <f t="shared" si="57"/>
        <v>20</v>
      </c>
      <c r="V476" s="7">
        <v>37530</v>
      </c>
      <c r="W476" t="s">
        <v>411</v>
      </c>
      <c r="X476" s="2">
        <v>1.137</v>
      </c>
      <c r="Y476" s="6">
        <f t="shared" si="62"/>
        <v>3.0351565628253384E-2</v>
      </c>
      <c r="AA476">
        <v>189251</v>
      </c>
      <c r="AB476">
        <v>17336</v>
      </c>
      <c r="AD476" t="s">
        <v>2</v>
      </c>
      <c r="AE476">
        <v>38</v>
      </c>
      <c r="AF476">
        <v>4</v>
      </c>
      <c r="AH476" t="s">
        <v>6648</v>
      </c>
      <c r="AI476" t="s">
        <v>6647</v>
      </c>
      <c r="AK476" t="s">
        <v>6646</v>
      </c>
      <c r="AL476">
        <v>46</v>
      </c>
      <c r="AM476" s="5">
        <f t="shared" si="58"/>
        <v>2.2999999999999998</v>
      </c>
      <c r="AN476" s="4">
        <f t="shared" si="63"/>
        <v>3.4835289663006433E-3</v>
      </c>
      <c r="AO476" s="3"/>
      <c r="AP476">
        <v>0</v>
      </c>
      <c r="AR476" t="s">
        <v>1</v>
      </c>
      <c r="AT476" s="2" t="s">
        <v>0</v>
      </c>
      <c r="AU476" s="1">
        <f t="shared" si="59"/>
        <v>2.2291154629667558</v>
      </c>
      <c r="AV476" s="1">
        <f t="shared" si="60"/>
        <v>1.6917547297277014</v>
      </c>
      <c r="AW476" s="1">
        <f t="shared" si="61"/>
        <v>1.1543939964886465</v>
      </c>
    </row>
    <row r="477" spans="1:49" x14ac:dyDescent="0.2">
      <c r="A477">
        <v>475</v>
      </c>
      <c r="B477" t="s">
        <v>6645</v>
      </c>
      <c r="C477" t="s">
        <v>6644</v>
      </c>
      <c r="F477" t="s">
        <v>6643</v>
      </c>
      <c r="G477" t="s">
        <v>5</v>
      </c>
      <c r="H477" t="s">
        <v>4</v>
      </c>
      <c r="I477" t="s">
        <v>218</v>
      </c>
      <c r="J477" t="s">
        <v>6642</v>
      </c>
      <c r="K477" t="s">
        <v>6641</v>
      </c>
      <c r="L477" t="s">
        <v>6640</v>
      </c>
      <c r="M477" t="s">
        <v>3</v>
      </c>
      <c r="N477">
        <v>2</v>
      </c>
      <c r="O477" t="s">
        <v>6639</v>
      </c>
      <c r="P477" t="s">
        <v>6638</v>
      </c>
      <c r="Q477" t="s">
        <v>6637</v>
      </c>
      <c r="R477" s="7">
        <v>37530</v>
      </c>
      <c r="S477" s="8">
        <f t="shared" si="56"/>
        <v>2002</v>
      </c>
      <c r="T477" s="8">
        <v>2002</v>
      </c>
      <c r="U477" s="8">
        <f t="shared" si="57"/>
        <v>20</v>
      </c>
      <c r="V477" s="7">
        <v>37530</v>
      </c>
      <c r="W477" t="s">
        <v>418</v>
      </c>
      <c r="X477" s="2">
        <v>1.6519999999999999</v>
      </c>
      <c r="Y477" s="6">
        <f t="shared" si="62"/>
        <v>4.409919649769093E-2</v>
      </c>
      <c r="AA477" t="s">
        <v>417</v>
      </c>
      <c r="AB477">
        <v>17337</v>
      </c>
      <c r="AD477" t="s">
        <v>2</v>
      </c>
      <c r="AE477">
        <v>50</v>
      </c>
      <c r="AF477">
        <v>10</v>
      </c>
      <c r="AH477" t="s">
        <v>6636</v>
      </c>
      <c r="AI477" t="s">
        <v>6635</v>
      </c>
      <c r="AJ477" t="s">
        <v>6634</v>
      </c>
      <c r="AK477" t="s">
        <v>6633</v>
      </c>
      <c r="AL477">
        <v>8</v>
      </c>
      <c r="AM477" s="5">
        <f t="shared" si="58"/>
        <v>0.4</v>
      </c>
      <c r="AN477" s="4">
        <f t="shared" si="63"/>
        <v>6.0583112457402507E-4</v>
      </c>
      <c r="AO477" s="3"/>
      <c r="AP477">
        <v>0</v>
      </c>
      <c r="AQ477" t="s">
        <v>813</v>
      </c>
      <c r="AR477" t="s">
        <v>6632</v>
      </c>
      <c r="AS477" t="s">
        <v>812</v>
      </c>
      <c r="AT477" s="2" t="s">
        <v>0</v>
      </c>
      <c r="AU477" s="1">
        <f t="shared" si="59"/>
        <v>3.1051186885755859</v>
      </c>
      <c r="AV477" s="1">
        <f t="shared" si="60"/>
        <v>2.2352513811132479</v>
      </c>
      <c r="AW477" s="1">
        <f t="shared" si="61"/>
        <v>1.3653840736509095</v>
      </c>
    </row>
    <row r="478" spans="1:49" x14ac:dyDescent="0.2">
      <c r="A478">
        <v>476</v>
      </c>
      <c r="B478" t="s">
        <v>6631</v>
      </c>
      <c r="C478" t="s">
        <v>6630</v>
      </c>
      <c r="F478" t="s">
        <v>6629</v>
      </c>
      <c r="G478" t="s">
        <v>5</v>
      </c>
      <c r="H478" t="s">
        <v>4</v>
      </c>
      <c r="I478" t="s">
        <v>6628</v>
      </c>
      <c r="J478" t="s">
        <v>6627</v>
      </c>
      <c r="K478" t="s">
        <v>6626</v>
      </c>
      <c r="L478" t="s">
        <v>6625</v>
      </c>
      <c r="M478" t="s">
        <v>6624</v>
      </c>
      <c r="N478">
        <v>3</v>
      </c>
      <c r="O478" t="s">
        <v>6623</v>
      </c>
      <c r="P478" t="s">
        <v>6622</v>
      </c>
      <c r="Q478" t="s">
        <v>6621</v>
      </c>
      <c r="R478" s="7">
        <v>37530</v>
      </c>
      <c r="S478" s="8">
        <f t="shared" si="56"/>
        <v>2002</v>
      </c>
      <c r="T478" s="8">
        <v>2002</v>
      </c>
      <c r="U478" s="8">
        <f t="shared" si="57"/>
        <v>20</v>
      </c>
      <c r="V478" s="7">
        <v>37530</v>
      </c>
      <c r="W478" t="s">
        <v>418</v>
      </c>
      <c r="X478" s="2">
        <v>1.6519999999999999</v>
      </c>
      <c r="Y478" s="6">
        <f t="shared" si="62"/>
        <v>4.409919649769093E-2</v>
      </c>
      <c r="AA478" t="s">
        <v>417</v>
      </c>
      <c r="AB478">
        <v>17337</v>
      </c>
      <c r="AD478" t="s">
        <v>2</v>
      </c>
      <c r="AE478">
        <v>50</v>
      </c>
      <c r="AF478">
        <v>10</v>
      </c>
      <c r="AH478" t="s">
        <v>6620</v>
      </c>
      <c r="AI478" t="s">
        <v>6619</v>
      </c>
      <c r="AJ478" t="s">
        <v>6618</v>
      </c>
      <c r="AK478" t="s">
        <v>6617</v>
      </c>
      <c r="AL478">
        <v>23</v>
      </c>
      <c r="AM478" s="5">
        <f t="shared" si="58"/>
        <v>1.1499999999999999</v>
      </c>
      <c r="AN478" s="4">
        <f t="shared" si="63"/>
        <v>1.7417644831503216E-3</v>
      </c>
      <c r="AO478" s="3"/>
      <c r="AP478">
        <v>0</v>
      </c>
      <c r="AR478" t="s">
        <v>6616</v>
      </c>
      <c r="AS478" t="s">
        <v>289</v>
      </c>
      <c r="AT478" s="2" t="s">
        <v>0</v>
      </c>
      <c r="AU478" s="1">
        <f t="shared" si="59"/>
        <v>3.1391966893328744</v>
      </c>
      <c r="AV478" s="1">
        <f t="shared" si="60"/>
        <v>2.2920480490420627</v>
      </c>
      <c r="AW478" s="1">
        <f t="shared" si="61"/>
        <v>1.4448994087512503</v>
      </c>
    </row>
    <row r="479" spans="1:49" x14ac:dyDescent="0.2">
      <c r="A479">
        <v>477</v>
      </c>
      <c r="B479" t="s">
        <v>6615</v>
      </c>
      <c r="C479" t="s">
        <v>6614</v>
      </c>
      <c r="F479" t="s">
        <v>6613</v>
      </c>
      <c r="G479" t="s">
        <v>5</v>
      </c>
      <c r="H479" t="s">
        <v>4</v>
      </c>
      <c r="I479" t="s">
        <v>6612</v>
      </c>
      <c r="J479">
        <v>60017161</v>
      </c>
      <c r="K479" t="s">
        <v>360</v>
      </c>
      <c r="L479" t="s">
        <v>87</v>
      </c>
      <c r="M479" t="s">
        <v>86</v>
      </c>
      <c r="N479">
        <v>3</v>
      </c>
      <c r="O479" t="s">
        <v>6611</v>
      </c>
      <c r="P479" t="s">
        <v>6610</v>
      </c>
      <c r="Q479" t="s">
        <v>359</v>
      </c>
      <c r="R479" s="7">
        <v>37530</v>
      </c>
      <c r="S479" s="8">
        <f t="shared" si="56"/>
        <v>2002</v>
      </c>
      <c r="T479" s="8">
        <v>2002</v>
      </c>
      <c r="U479" s="8">
        <f t="shared" si="57"/>
        <v>20</v>
      </c>
      <c r="V479" s="7">
        <v>37530</v>
      </c>
      <c r="W479" t="s">
        <v>418</v>
      </c>
      <c r="X479" s="2">
        <v>1.6519999999999999</v>
      </c>
      <c r="Y479" s="6">
        <f t="shared" si="62"/>
        <v>4.409919649769093E-2</v>
      </c>
      <c r="AA479" t="s">
        <v>417</v>
      </c>
      <c r="AB479">
        <v>17337</v>
      </c>
      <c r="AD479" t="s">
        <v>2</v>
      </c>
      <c r="AE479">
        <v>50</v>
      </c>
      <c r="AF479">
        <v>10</v>
      </c>
      <c r="AH479" t="s">
        <v>6609</v>
      </c>
      <c r="AI479" t="s">
        <v>6608</v>
      </c>
      <c r="AJ479" t="s">
        <v>6607</v>
      </c>
      <c r="AK479" t="s">
        <v>6606</v>
      </c>
      <c r="AL479">
        <v>86</v>
      </c>
      <c r="AM479" s="5">
        <f t="shared" si="58"/>
        <v>4.3</v>
      </c>
      <c r="AN479" s="4">
        <f t="shared" si="63"/>
        <v>6.5126845891707681E-3</v>
      </c>
      <c r="AO479" s="3"/>
      <c r="AP479">
        <v>0</v>
      </c>
      <c r="AR479" t="s">
        <v>1</v>
      </c>
      <c r="AT479" s="2" t="s">
        <v>0</v>
      </c>
      <c r="AU479" s="1">
        <f t="shared" si="59"/>
        <v>3.2823242925134881</v>
      </c>
      <c r="AV479" s="1">
        <f t="shared" si="60"/>
        <v>2.5305940543430849</v>
      </c>
      <c r="AW479" s="1">
        <f t="shared" si="61"/>
        <v>1.7788638161726815</v>
      </c>
    </row>
    <row r="480" spans="1:49" x14ac:dyDescent="0.2">
      <c r="A480">
        <v>478</v>
      </c>
      <c r="B480" t="s">
        <v>6605</v>
      </c>
      <c r="C480" t="s">
        <v>6604</v>
      </c>
      <c r="F480" t="s">
        <v>6603</v>
      </c>
      <c r="G480" t="s">
        <v>5</v>
      </c>
      <c r="H480" t="s">
        <v>4</v>
      </c>
      <c r="I480" t="s">
        <v>186</v>
      </c>
      <c r="J480">
        <v>60026610</v>
      </c>
      <c r="K480" t="s">
        <v>374</v>
      </c>
      <c r="L480" t="s">
        <v>373</v>
      </c>
      <c r="M480" t="s">
        <v>7</v>
      </c>
      <c r="N480">
        <v>2</v>
      </c>
      <c r="O480" t="s">
        <v>6602</v>
      </c>
      <c r="P480" t="s">
        <v>6601</v>
      </c>
      <c r="Q480" t="s">
        <v>6600</v>
      </c>
      <c r="R480" s="7">
        <v>37530</v>
      </c>
      <c r="S480" s="8">
        <f t="shared" si="56"/>
        <v>2002</v>
      </c>
      <c r="T480" s="8">
        <v>2002</v>
      </c>
      <c r="U480" s="8">
        <f t="shared" si="57"/>
        <v>20</v>
      </c>
      <c r="V480" s="7">
        <v>37530</v>
      </c>
      <c r="W480" t="s">
        <v>418</v>
      </c>
      <c r="X480" s="2">
        <v>1.6519999999999999</v>
      </c>
      <c r="Y480" s="6">
        <f t="shared" si="62"/>
        <v>4.409919649769093E-2</v>
      </c>
      <c r="AA480" t="s">
        <v>417</v>
      </c>
      <c r="AB480">
        <v>17337</v>
      </c>
      <c r="AD480" t="s">
        <v>2</v>
      </c>
      <c r="AE480">
        <v>50</v>
      </c>
      <c r="AF480">
        <v>10</v>
      </c>
      <c r="AH480" t="s">
        <v>6599</v>
      </c>
      <c r="AI480" t="s">
        <v>6598</v>
      </c>
      <c r="AJ480" t="s">
        <v>6597</v>
      </c>
      <c r="AK480" t="s">
        <v>6596</v>
      </c>
      <c r="AL480">
        <v>14</v>
      </c>
      <c r="AM480" s="5">
        <f t="shared" si="58"/>
        <v>0.7</v>
      </c>
      <c r="AN480" s="4">
        <f t="shared" si="63"/>
        <v>1.0602044680045437E-3</v>
      </c>
      <c r="AO480" s="3"/>
      <c r="AP480">
        <v>0</v>
      </c>
      <c r="AQ480" t="s">
        <v>290</v>
      </c>
      <c r="AR480" t="s">
        <v>6595</v>
      </c>
      <c r="AS480" t="s">
        <v>289</v>
      </c>
      <c r="AT480" s="2" t="s">
        <v>0</v>
      </c>
      <c r="AU480" s="1">
        <f t="shared" si="59"/>
        <v>3.1187498888785017</v>
      </c>
      <c r="AV480" s="1">
        <f t="shared" si="60"/>
        <v>2.2579700482847738</v>
      </c>
      <c r="AW480" s="1">
        <f t="shared" si="61"/>
        <v>1.3971902076910458</v>
      </c>
    </row>
    <row r="481" spans="1:49" x14ac:dyDescent="0.2">
      <c r="A481">
        <v>479</v>
      </c>
      <c r="B481" t="s">
        <v>6594</v>
      </c>
      <c r="C481" t="s">
        <v>6593</v>
      </c>
      <c r="F481" t="s">
        <v>6592</v>
      </c>
      <c r="G481" t="s">
        <v>5</v>
      </c>
      <c r="H481" t="s">
        <v>4</v>
      </c>
      <c r="I481" t="s">
        <v>6591</v>
      </c>
      <c r="J481" t="s">
        <v>6590</v>
      </c>
      <c r="K481" t="s">
        <v>6589</v>
      </c>
      <c r="L481" t="s">
        <v>6588</v>
      </c>
      <c r="M481" t="s">
        <v>3</v>
      </c>
      <c r="N481">
        <v>2</v>
      </c>
      <c r="O481" t="s">
        <v>6587</v>
      </c>
      <c r="P481" t="s">
        <v>6586</v>
      </c>
      <c r="Q481" t="s">
        <v>6585</v>
      </c>
      <c r="R481" s="7">
        <v>37530</v>
      </c>
      <c r="S481" s="8">
        <f t="shared" si="56"/>
        <v>2002</v>
      </c>
      <c r="T481" s="8">
        <v>2002</v>
      </c>
      <c r="U481" s="8">
        <f t="shared" si="57"/>
        <v>20</v>
      </c>
      <c r="V481" s="7">
        <v>37530</v>
      </c>
      <c r="W481" t="s">
        <v>643</v>
      </c>
      <c r="X481" s="2">
        <v>2.141</v>
      </c>
      <c r="Y481" s="6">
        <f t="shared" si="62"/>
        <v>5.7152772216438434E-2</v>
      </c>
      <c r="AA481">
        <v>1962892</v>
      </c>
      <c r="AB481">
        <v>17360</v>
      </c>
      <c r="AD481" t="s">
        <v>2</v>
      </c>
      <c r="AE481">
        <v>40</v>
      </c>
      <c r="AF481">
        <v>10</v>
      </c>
      <c r="AH481" t="s">
        <v>6584</v>
      </c>
      <c r="AI481" t="s">
        <v>6583</v>
      </c>
      <c r="AJ481" t="s">
        <v>6582</v>
      </c>
      <c r="AK481" t="s">
        <v>6581</v>
      </c>
      <c r="AL481">
        <v>7</v>
      </c>
      <c r="AM481" s="5">
        <f t="shared" si="58"/>
        <v>0.35</v>
      </c>
      <c r="AN481" s="4">
        <f t="shared" si="63"/>
        <v>5.3010223400227184E-4</v>
      </c>
      <c r="AO481" s="3"/>
      <c r="AP481">
        <v>0</v>
      </c>
      <c r="AR481" t="s">
        <v>1</v>
      </c>
      <c r="AT481" s="2" t="s">
        <v>0</v>
      </c>
      <c r="AU481" s="1">
        <f t="shared" si="59"/>
        <v>4.0165971221707588</v>
      </c>
      <c r="AV481" s="1">
        <f t="shared" si="60"/>
        <v>2.8841437225220354</v>
      </c>
      <c r="AW481" s="1">
        <f t="shared" si="61"/>
        <v>1.7516903228733121</v>
      </c>
    </row>
    <row r="482" spans="1:49" x14ac:dyDescent="0.2">
      <c r="A482">
        <v>480</v>
      </c>
      <c r="B482" t="s">
        <v>6580</v>
      </c>
      <c r="C482" t="s">
        <v>6579</v>
      </c>
      <c r="F482" t="s">
        <v>6578</v>
      </c>
      <c r="G482" t="s">
        <v>5</v>
      </c>
      <c r="H482" t="s">
        <v>4</v>
      </c>
      <c r="I482" t="s">
        <v>6577</v>
      </c>
      <c r="J482" t="s">
        <v>6576</v>
      </c>
      <c r="K482" t="s">
        <v>6575</v>
      </c>
      <c r="L482" t="s">
        <v>6574</v>
      </c>
      <c r="M482" t="s">
        <v>134</v>
      </c>
      <c r="N482">
        <v>3</v>
      </c>
      <c r="O482" t="s">
        <v>6573</v>
      </c>
      <c r="P482" t="s">
        <v>6572</v>
      </c>
      <c r="Q482" t="s">
        <v>6571</v>
      </c>
      <c r="R482" s="7">
        <v>37530</v>
      </c>
      <c r="S482" s="8">
        <f t="shared" si="56"/>
        <v>2002</v>
      </c>
      <c r="T482" s="8">
        <v>2002</v>
      </c>
      <c r="U482" s="8">
        <f t="shared" si="57"/>
        <v>20</v>
      </c>
      <c r="V482" s="7">
        <v>37530</v>
      </c>
      <c r="W482" t="s">
        <v>339</v>
      </c>
      <c r="X482" s="2">
        <v>0.30199999999999999</v>
      </c>
      <c r="Y482" s="6">
        <f t="shared" si="62"/>
        <v>8.0617175195536687E-3</v>
      </c>
      <c r="AA482">
        <v>9296212</v>
      </c>
      <c r="AB482">
        <v>20725</v>
      </c>
      <c r="AD482" t="s">
        <v>2</v>
      </c>
      <c r="AE482">
        <v>23</v>
      </c>
      <c r="AF482">
        <v>1</v>
      </c>
      <c r="AH482" t="s">
        <v>6570</v>
      </c>
      <c r="AI482" t="s">
        <v>6569</v>
      </c>
      <c r="AJ482" t="s">
        <v>6568</v>
      </c>
      <c r="AK482" t="s">
        <v>6567</v>
      </c>
      <c r="AL482">
        <v>9</v>
      </c>
      <c r="AM482" s="5">
        <f t="shared" si="58"/>
        <v>0.45</v>
      </c>
      <c r="AN482" s="4">
        <f t="shared" si="63"/>
        <v>6.8156001514577808E-4</v>
      </c>
      <c r="AO482" s="3"/>
      <c r="AP482">
        <v>0</v>
      </c>
      <c r="AR482" t="s">
        <v>1</v>
      </c>
      <c r="AT482" s="2">
        <v>1.671</v>
      </c>
      <c r="AU482" s="1">
        <f t="shared" si="59"/>
        <v>0.58476702682313009</v>
      </c>
      <c r="AV482" s="1">
        <f t="shared" si="60"/>
        <v>0.43716387673497237</v>
      </c>
      <c r="AW482" s="1">
        <f t="shared" si="61"/>
        <v>0.28956072664681448</v>
      </c>
    </row>
    <row r="483" spans="1:49" x14ac:dyDescent="0.2">
      <c r="A483">
        <v>481</v>
      </c>
      <c r="B483" t="s">
        <v>6566</v>
      </c>
      <c r="C483" t="s">
        <v>6565</v>
      </c>
      <c r="F483" t="s">
        <v>6564</v>
      </c>
      <c r="G483" t="s">
        <v>5</v>
      </c>
      <c r="H483" t="s">
        <v>4</v>
      </c>
      <c r="I483" t="s">
        <v>6563</v>
      </c>
      <c r="J483">
        <v>60020288</v>
      </c>
      <c r="K483" t="s">
        <v>6562</v>
      </c>
      <c r="L483" t="s">
        <v>6561</v>
      </c>
      <c r="M483" t="s">
        <v>121</v>
      </c>
      <c r="N483">
        <v>1</v>
      </c>
      <c r="O483" t="s">
        <v>6560</v>
      </c>
      <c r="P483">
        <v>6701605939</v>
      </c>
      <c r="Q483">
        <v>60020288</v>
      </c>
      <c r="R483" s="7">
        <v>37530</v>
      </c>
      <c r="S483" s="8">
        <f t="shared" si="56"/>
        <v>2002</v>
      </c>
      <c r="T483" s="8">
        <v>2002</v>
      </c>
      <c r="U483" s="8">
        <f t="shared" si="57"/>
        <v>20</v>
      </c>
      <c r="V483" s="7">
        <v>37530</v>
      </c>
      <c r="W483" t="s">
        <v>339</v>
      </c>
      <c r="X483" s="2">
        <v>0.30199999999999999</v>
      </c>
      <c r="Y483" s="6">
        <f t="shared" si="62"/>
        <v>8.0617175195536687E-3</v>
      </c>
      <c r="AA483">
        <v>9296212</v>
      </c>
      <c r="AB483">
        <v>20725</v>
      </c>
      <c r="AD483" t="s">
        <v>2</v>
      </c>
      <c r="AE483">
        <v>23</v>
      </c>
      <c r="AF483">
        <v>1</v>
      </c>
      <c r="AH483" t="s">
        <v>801</v>
      </c>
      <c r="AI483" t="s">
        <v>6559</v>
      </c>
      <c r="AJ483" t="s">
        <v>6558</v>
      </c>
      <c r="AK483" t="s">
        <v>6557</v>
      </c>
      <c r="AL483">
        <v>6</v>
      </c>
      <c r="AM483" s="5">
        <f t="shared" si="58"/>
        <v>0.3</v>
      </c>
      <c r="AN483" s="4">
        <f t="shared" si="63"/>
        <v>4.5437334343051872E-4</v>
      </c>
      <c r="AO483" s="3"/>
      <c r="AP483">
        <v>0</v>
      </c>
      <c r="AR483" t="s">
        <v>1</v>
      </c>
      <c r="AT483" s="2">
        <v>1.671</v>
      </c>
      <c r="AU483" s="1">
        <f t="shared" si="59"/>
        <v>0.57795142667167232</v>
      </c>
      <c r="AV483" s="1">
        <f t="shared" si="60"/>
        <v>0.4258045431492094</v>
      </c>
      <c r="AW483" s="1">
        <f t="shared" si="61"/>
        <v>0.27365765962674637</v>
      </c>
    </row>
    <row r="484" spans="1:49" x14ac:dyDescent="0.2">
      <c r="A484">
        <v>482</v>
      </c>
      <c r="B484" t="s">
        <v>6556</v>
      </c>
      <c r="C484" t="s">
        <v>6555</v>
      </c>
      <c r="E484">
        <v>12351749</v>
      </c>
      <c r="F484" t="s">
        <v>6554</v>
      </c>
      <c r="G484" t="s">
        <v>5</v>
      </c>
      <c r="H484" t="s">
        <v>4</v>
      </c>
      <c r="I484" t="s">
        <v>6553</v>
      </c>
      <c r="J484" t="s">
        <v>6548</v>
      </c>
      <c r="K484" t="s">
        <v>6552</v>
      </c>
      <c r="L484" t="s">
        <v>6551</v>
      </c>
      <c r="M484" t="s">
        <v>80</v>
      </c>
      <c r="N484">
        <v>2</v>
      </c>
      <c r="O484" t="s">
        <v>6550</v>
      </c>
      <c r="P484" t="s">
        <v>6549</v>
      </c>
      <c r="Q484" t="s">
        <v>6548</v>
      </c>
      <c r="R484" s="7">
        <v>37530</v>
      </c>
      <c r="S484" s="8">
        <f t="shared" si="56"/>
        <v>2002</v>
      </c>
      <c r="T484" s="8">
        <v>2002</v>
      </c>
      <c r="U484" s="8">
        <f t="shared" si="57"/>
        <v>20</v>
      </c>
      <c r="V484" s="7">
        <v>37530</v>
      </c>
      <c r="W484" t="s">
        <v>6534</v>
      </c>
      <c r="X484" s="2">
        <v>3.4830000000000001</v>
      </c>
      <c r="Y484" s="6">
        <f t="shared" si="62"/>
        <v>9.2976695763594144E-2</v>
      </c>
      <c r="AA484">
        <v>2706474</v>
      </c>
      <c r="AB484">
        <v>16764</v>
      </c>
      <c r="AD484" t="s">
        <v>2</v>
      </c>
      <c r="AE484">
        <v>22</v>
      </c>
      <c r="AF484">
        <v>19</v>
      </c>
      <c r="AH484" t="s">
        <v>6547</v>
      </c>
      <c r="AI484" t="s">
        <v>6546</v>
      </c>
      <c r="AJ484" t="s">
        <v>6545</v>
      </c>
      <c r="AK484" t="s">
        <v>6544</v>
      </c>
      <c r="AL484">
        <v>56</v>
      </c>
      <c r="AM484" s="5">
        <f t="shared" si="58"/>
        <v>2.8</v>
      </c>
      <c r="AN484" s="4">
        <f t="shared" si="63"/>
        <v>4.2408178720181747E-3</v>
      </c>
      <c r="AO484" s="3"/>
      <c r="AP484">
        <v>1</v>
      </c>
      <c r="AR484" t="s">
        <v>1</v>
      </c>
      <c r="AT484" s="2">
        <v>6.1669999999999998</v>
      </c>
      <c r="AU484" s="1">
        <f t="shared" si="59"/>
        <v>6.6355932396121347</v>
      </c>
      <c r="AV484" s="1">
        <f t="shared" si="60"/>
        <v>4.860875681780616</v>
      </c>
      <c r="AW484" s="1">
        <f t="shared" si="61"/>
        <v>3.0861581239490965</v>
      </c>
    </row>
    <row r="485" spans="1:49" x14ac:dyDescent="0.2">
      <c r="A485">
        <v>483</v>
      </c>
      <c r="B485" t="s">
        <v>6543</v>
      </c>
      <c r="C485" t="s">
        <v>6542</v>
      </c>
      <c r="E485">
        <v>12351725</v>
      </c>
      <c r="F485" t="s">
        <v>6541</v>
      </c>
      <c r="G485" t="s">
        <v>5</v>
      </c>
      <c r="H485" t="s">
        <v>4</v>
      </c>
      <c r="I485" t="s">
        <v>6540</v>
      </c>
      <c r="J485">
        <v>60017311</v>
      </c>
      <c r="K485" t="s">
        <v>6539</v>
      </c>
      <c r="L485" t="s">
        <v>6538</v>
      </c>
      <c r="M485" t="s">
        <v>4920</v>
      </c>
      <c r="N485">
        <v>4</v>
      </c>
      <c r="O485" t="s">
        <v>6537</v>
      </c>
      <c r="P485" t="s">
        <v>6536</v>
      </c>
      <c r="Q485" t="s">
        <v>6535</v>
      </c>
      <c r="R485" s="7">
        <v>37530</v>
      </c>
      <c r="S485" s="8">
        <f t="shared" si="56"/>
        <v>2002</v>
      </c>
      <c r="T485" s="8">
        <v>2002</v>
      </c>
      <c r="U485" s="8">
        <f t="shared" si="57"/>
        <v>20</v>
      </c>
      <c r="V485" s="7">
        <v>37530</v>
      </c>
      <c r="W485" t="s">
        <v>6534</v>
      </c>
      <c r="X485" s="2">
        <v>3.4830000000000001</v>
      </c>
      <c r="Y485" s="6">
        <f t="shared" si="62"/>
        <v>9.2976695763594144E-2</v>
      </c>
      <c r="AA485">
        <v>2706474</v>
      </c>
      <c r="AB485">
        <v>16764</v>
      </c>
      <c r="AD485" t="s">
        <v>2</v>
      </c>
      <c r="AE485">
        <v>22</v>
      </c>
      <c r="AF485">
        <v>19</v>
      </c>
      <c r="AH485" t="s">
        <v>6533</v>
      </c>
      <c r="AI485" t="s">
        <v>6532</v>
      </c>
      <c r="AJ485" t="s">
        <v>6531</v>
      </c>
      <c r="AK485" t="s">
        <v>6530</v>
      </c>
      <c r="AL485">
        <v>35</v>
      </c>
      <c r="AM485" s="5">
        <f t="shared" si="58"/>
        <v>1.75</v>
      </c>
      <c r="AN485" s="4">
        <f t="shared" si="63"/>
        <v>2.6505111700113595E-3</v>
      </c>
      <c r="AO485" s="3"/>
      <c r="AP485">
        <v>1</v>
      </c>
      <c r="AR485" t="s">
        <v>1</v>
      </c>
      <c r="AT485" s="2">
        <v>6.1669999999999998</v>
      </c>
      <c r="AU485" s="1">
        <f t="shared" si="59"/>
        <v>6.5878840385519304</v>
      </c>
      <c r="AV485" s="1">
        <f t="shared" si="60"/>
        <v>4.781360346680275</v>
      </c>
      <c r="AW485" s="1">
        <f t="shared" si="61"/>
        <v>2.9748366548086191</v>
      </c>
    </row>
    <row r="486" spans="1:49" x14ac:dyDescent="0.2">
      <c r="A486">
        <v>484</v>
      </c>
      <c r="B486" t="s">
        <v>6529</v>
      </c>
      <c r="C486" t="s">
        <v>6528</v>
      </c>
      <c r="F486" t="s">
        <v>6527</v>
      </c>
      <c r="G486" t="s">
        <v>5</v>
      </c>
      <c r="H486" t="s">
        <v>4</v>
      </c>
      <c r="I486" t="s">
        <v>6526</v>
      </c>
      <c r="J486" t="s">
        <v>6525</v>
      </c>
      <c r="K486" t="s">
        <v>6524</v>
      </c>
      <c r="L486" t="s">
        <v>6523</v>
      </c>
      <c r="M486" t="s">
        <v>3</v>
      </c>
      <c r="N486">
        <v>2</v>
      </c>
      <c r="O486" t="s">
        <v>6522</v>
      </c>
      <c r="P486" t="s">
        <v>6521</v>
      </c>
      <c r="Q486" t="s">
        <v>6520</v>
      </c>
      <c r="R486" s="7">
        <v>37530</v>
      </c>
      <c r="S486" s="8">
        <f t="shared" si="56"/>
        <v>2002</v>
      </c>
      <c r="T486" s="8">
        <v>2002</v>
      </c>
      <c r="U486" s="8">
        <f t="shared" si="57"/>
        <v>20</v>
      </c>
      <c r="V486" s="7">
        <v>37530</v>
      </c>
      <c r="W486" t="s">
        <v>549</v>
      </c>
      <c r="X486" s="2">
        <v>0.92900000000000005</v>
      </c>
      <c r="Y486" s="6">
        <f t="shared" si="62"/>
        <v>2.4799124422732979E-2</v>
      </c>
      <c r="AA486">
        <v>10897798</v>
      </c>
      <c r="AB486">
        <v>18896</v>
      </c>
      <c r="AD486" t="s">
        <v>2</v>
      </c>
      <c r="AE486">
        <v>6</v>
      </c>
      <c r="AF486">
        <v>10</v>
      </c>
      <c r="AH486" t="s">
        <v>6519</v>
      </c>
      <c r="AI486" t="s">
        <v>6518</v>
      </c>
      <c r="AJ486" t="s">
        <v>6517</v>
      </c>
      <c r="AK486" t="s">
        <v>6516</v>
      </c>
      <c r="AL486">
        <v>6</v>
      </c>
      <c r="AM486" s="5">
        <f t="shared" si="58"/>
        <v>0.3</v>
      </c>
      <c r="AN486" s="4">
        <f t="shared" si="63"/>
        <v>4.5437334343051872E-4</v>
      </c>
      <c r="AO486" s="3"/>
      <c r="AP486">
        <v>0</v>
      </c>
      <c r="AR486" t="s">
        <v>1</v>
      </c>
      <c r="AT486" s="2">
        <v>3.4359999999999999</v>
      </c>
      <c r="AU486" s="1">
        <f t="shared" si="59"/>
        <v>1.7495699098942239</v>
      </c>
      <c r="AV486" s="1">
        <f t="shared" si="60"/>
        <v>1.2626748883081749</v>
      </c>
      <c r="AW486" s="1">
        <f t="shared" si="61"/>
        <v>0.77577986672212562</v>
      </c>
    </row>
    <row r="487" spans="1:49" x14ac:dyDescent="0.2">
      <c r="A487">
        <v>485</v>
      </c>
      <c r="B487" t="s">
        <v>6515</v>
      </c>
      <c r="C487" t="s">
        <v>6514</v>
      </c>
      <c r="F487" t="s">
        <v>6513</v>
      </c>
      <c r="G487" t="s">
        <v>5</v>
      </c>
      <c r="H487" t="s">
        <v>4</v>
      </c>
      <c r="I487" t="s">
        <v>6512</v>
      </c>
      <c r="J487" t="s">
        <v>6511</v>
      </c>
      <c r="K487" t="s">
        <v>6510</v>
      </c>
      <c r="L487" t="s">
        <v>6509</v>
      </c>
      <c r="M487" t="s">
        <v>102</v>
      </c>
      <c r="N487">
        <v>2</v>
      </c>
      <c r="O487" t="s">
        <v>6508</v>
      </c>
      <c r="P487" t="s">
        <v>6507</v>
      </c>
      <c r="Q487" t="s">
        <v>6506</v>
      </c>
      <c r="R487" s="7">
        <v>37530</v>
      </c>
      <c r="S487" s="8">
        <f t="shared" si="56"/>
        <v>2002</v>
      </c>
      <c r="T487" s="8">
        <v>2002</v>
      </c>
      <c r="U487" s="8">
        <f t="shared" si="57"/>
        <v>20</v>
      </c>
      <c r="V487" s="7">
        <v>37530</v>
      </c>
      <c r="W487" t="s">
        <v>347</v>
      </c>
      <c r="X487" s="2">
        <v>1.468</v>
      </c>
      <c r="Y487" s="6">
        <f t="shared" si="62"/>
        <v>3.9187421585115186E-2</v>
      </c>
      <c r="AA487">
        <v>906778</v>
      </c>
      <c r="AB487">
        <v>18931</v>
      </c>
      <c r="AD487" t="s">
        <v>2</v>
      </c>
      <c r="AE487">
        <v>50</v>
      </c>
      <c r="AF487">
        <v>10</v>
      </c>
      <c r="AH487" t="s">
        <v>6505</v>
      </c>
      <c r="AI487" t="s">
        <v>6504</v>
      </c>
      <c r="AJ487" t="s">
        <v>6503</v>
      </c>
      <c r="AK487" t="s">
        <v>6502</v>
      </c>
      <c r="AL487">
        <v>0</v>
      </c>
      <c r="AM487" s="5">
        <f t="shared" si="58"/>
        <v>0</v>
      </c>
      <c r="AN487" s="4">
        <f t="shared" si="63"/>
        <v>0</v>
      </c>
      <c r="AO487" s="3"/>
      <c r="AP487">
        <v>0</v>
      </c>
      <c r="AQ487" t="s">
        <v>6501</v>
      </c>
      <c r="AR487" t="s">
        <v>6500</v>
      </c>
      <c r="AS487" t="s">
        <v>6499</v>
      </c>
      <c r="AT487" s="2">
        <v>5.0830000000000002</v>
      </c>
      <c r="AU487" s="1">
        <f t="shared" si="59"/>
        <v>2.7431195109580626</v>
      </c>
      <c r="AV487" s="1">
        <f t="shared" si="60"/>
        <v>1.9593710792557593</v>
      </c>
      <c r="AW487" s="1">
        <f t="shared" si="61"/>
        <v>1.1756226475534557</v>
      </c>
    </row>
    <row r="488" spans="1:49" x14ac:dyDescent="0.2">
      <c r="A488">
        <v>486</v>
      </c>
      <c r="B488" t="s">
        <v>6498</v>
      </c>
      <c r="C488" t="s">
        <v>6497</v>
      </c>
      <c r="F488" t="s">
        <v>6496</v>
      </c>
      <c r="G488" t="s">
        <v>5</v>
      </c>
      <c r="H488" t="s">
        <v>4</v>
      </c>
      <c r="I488" t="s">
        <v>811</v>
      </c>
      <c r="J488" t="s">
        <v>6495</v>
      </c>
      <c r="K488" t="s">
        <v>6494</v>
      </c>
      <c r="L488" t="s">
        <v>6493</v>
      </c>
      <c r="M488" t="s">
        <v>6492</v>
      </c>
      <c r="N488">
        <v>3</v>
      </c>
      <c r="O488" t="s">
        <v>6491</v>
      </c>
      <c r="P488" t="s">
        <v>6490</v>
      </c>
      <c r="Q488" t="s">
        <v>6489</v>
      </c>
      <c r="R488" s="7">
        <v>37530</v>
      </c>
      <c r="S488" s="8">
        <f t="shared" si="56"/>
        <v>2002</v>
      </c>
      <c r="T488" s="8">
        <v>2002</v>
      </c>
      <c r="U488" s="8">
        <f t="shared" si="57"/>
        <v>20</v>
      </c>
      <c r="V488" s="7">
        <v>37530</v>
      </c>
      <c r="W488" t="s">
        <v>347</v>
      </c>
      <c r="X488" s="2">
        <v>1.468</v>
      </c>
      <c r="Y488" s="6">
        <f t="shared" si="62"/>
        <v>3.9187421585115186E-2</v>
      </c>
      <c r="AA488">
        <v>906778</v>
      </c>
      <c r="AB488">
        <v>18931</v>
      </c>
      <c r="AD488" t="s">
        <v>2</v>
      </c>
      <c r="AE488">
        <v>50</v>
      </c>
      <c r="AF488">
        <v>10</v>
      </c>
      <c r="AH488" t="s">
        <v>6488</v>
      </c>
      <c r="AI488" t="s">
        <v>6487</v>
      </c>
      <c r="AJ488" t="s">
        <v>6486</v>
      </c>
      <c r="AK488" t="s">
        <v>6485</v>
      </c>
      <c r="AL488">
        <v>19</v>
      </c>
      <c r="AM488" s="5">
        <f t="shared" si="58"/>
        <v>0.95</v>
      </c>
      <c r="AN488" s="4">
        <f t="shared" si="63"/>
        <v>1.4388489208633094E-3</v>
      </c>
      <c r="AO488" s="3"/>
      <c r="AP488">
        <v>0</v>
      </c>
      <c r="AQ488" t="s">
        <v>6484</v>
      </c>
      <c r="AR488" t="s">
        <v>6483</v>
      </c>
      <c r="AS488" t="s">
        <v>6482</v>
      </c>
      <c r="AT488" s="2">
        <v>5.0830000000000002</v>
      </c>
      <c r="AU488" s="1">
        <f t="shared" si="59"/>
        <v>2.7862849785839621</v>
      </c>
      <c r="AV488" s="1">
        <f t="shared" si="60"/>
        <v>2.0313135252989247</v>
      </c>
      <c r="AW488" s="1">
        <f t="shared" si="61"/>
        <v>1.2763420720138874</v>
      </c>
    </row>
    <row r="489" spans="1:49" x14ac:dyDescent="0.2">
      <c r="A489">
        <v>487</v>
      </c>
      <c r="B489" t="s">
        <v>6481</v>
      </c>
      <c r="C489" t="s">
        <v>6480</v>
      </c>
      <c r="F489" t="s">
        <v>6479</v>
      </c>
      <c r="G489" t="s">
        <v>5</v>
      </c>
      <c r="H489" t="s">
        <v>4</v>
      </c>
      <c r="I489" t="s">
        <v>490</v>
      </c>
      <c r="J489" t="s">
        <v>6478</v>
      </c>
      <c r="K489" t="s">
        <v>6477</v>
      </c>
      <c r="L489" t="s">
        <v>6476</v>
      </c>
      <c r="M489" t="s">
        <v>74</v>
      </c>
      <c r="N489">
        <v>2</v>
      </c>
      <c r="O489" t="s">
        <v>6475</v>
      </c>
      <c r="P489" t="s">
        <v>6474</v>
      </c>
      <c r="Q489" t="s">
        <v>6473</v>
      </c>
      <c r="R489" s="7">
        <v>37530</v>
      </c>
      <c r="S489" s="8">
        <f t="shared" si="56"/>
        <v>2002</v>
      </c>
      <c r="T489" s="8">
        <v>2002</v>
      </c>
      <c r="U489" s="8">
        <f t="shared" si="57"/>
        <v>20</v>
      </c>
      <c r="V489" s="7">
        <v>37530</v>
      </c>
      <c r="W489" t="s">
        <v>347</v>
      </c>
      <c r="X489" s="2">
        <v>1.468</v>
      </c>
      <c r="Y489" s="6">
        <f t="shared" si="62"/>
        <v>3.9187421585115186E-2</v>
      </c>
      <c r="AA489">
        <v>906778</v>
      </c>
      <c r="AB489">
        <v>18931</v>
      </c>
      <c r="AD489" t="s">
        <v>2</v>
      </c>
      <c r="AE489">
        <v>50</v>
      </c>
      <c r="AF489">
        <v>10</v>
      </c>
      <c r="AH489" t="s">
        <v>6472</v>
      </c>
      <c r="AI489" t="s">
        <v>6471</v>
      </c>
      <c r="AJ489" t="s">
        <v>6470</v>
      </c>
      <c r="AK489" t="s">
        <v>6469</v>
      </c>
      <c r="AL489">
        <v>18</v>
      </c>
      <c r="AM489" s="5">
        <f t="shared" si="58"/>
        <v>0.9</v>
      </c>
      <c r="AN489" s="4">
        <f t="shared" si="63"/>
        <v>1.3631200302915562E-3</v>
      </c>
      <c r="AO489" s="3"/>
      <c r="AP489">
        <v>0</v>
      </c>
      <c r="AQ489" t="s">
        <v>368</v>
      </c>
      <c r="AR489" t="s">
        <v>1</v>
      </c>
      <c r="AS489" t="s">
        <v>367</v>
      </c>
      <c r="AT489" s="2">
        <v>5.0830000000000002</v>
      </c>
      <c r="AU489" s="1">
        <f t="shared" si="59"/>
        <v>2.7840131118668094</v>
      </c>
      <c r="AV489" s="1">
        <f t="shared" si="60"/>
        <v>2.0275270807703372</v>
      </c>
      <c r="AW489" s="1">
        <f t="shared" si="61"/>
        <v>1.2710410496738644</v>
      </c>
    </row>
    <row r="490" spans="1:49" x14ac:dyDescent="0.2">
      <c r="A490">
        <v>488</v>
      </c>
      <c r="B490" t="s">
        <v>6468</v>
      </c>
      <c r="C490" t="s">
        <v>6467</v>
      </c>
      <c r="F490" t="s">
        <v>6466</v>
      </c>
      <c r="G490" t="s">
        <v>5</v>
      </c>
      <c r="H490" t="s">
        <v>4</v>
      </c>
      <c r="I490" t="s">
        <v>6465</v>
      </c>
      <c r="J490" t="s">
        <v>6464</v>
      </c>
      <c r="K490" t="s">
        <v>6463</v>
      </c>
      <c r="L490" t="s">
        <v>6462</v>
      </c>
      <c r="M490" t="s">
        <v>3</v>
      </c>
      <c r="N490">
        <v>2</v>
      </c>
      <c r="O490" t="s">
        <v>6461</v>
      </c>
      <c r="P490" t="s">
        <v>6460</v>
      </c>
      <c r="Q490" t="s">
        <v>6459</v>
      </c>
      <c r="R490" s="7">
        <v>37530</v>
      </c>
      <c r="S490" s="8">
        <f t="shared" si="56"/>
        <v>2002</v>
      </c>
      <c r="T490" s="8">
        <v>2002</v>
      </c>
      <c r="U490" s="8">
        <f t="shared" si="57"/>
        <v>20</v>
      </c>
      <c r="V490" s="7">
        <v>37530</v>
      </c>
      <c r="W490" t="s">
        <v>347</v>
      </c>
      <c r="X490" s="2">
        <v>1.468</v>
      </c>
      <c r="Y490" s="6">
        <f t="shared" si="62"/>
        <v>3.9187421585115186E-2</v>
      </c>
      <c r="AA490">
        <v>906778</v>
      </c>
      <c r="AB490">
        <v>18931</v>
      </c>
      <c r="AD490" t="s">
        <v>2</v>
      </c>
      <c r="AE490">
        <v>50</v>
      </c>
      <c r="AF490">
        <v>10</v>
      </c>
      <c r="AH490" t="s">
        <v>6458</v>
      </c>
      <c r="AI490" t="s">
        <v>6457</v>
      </c>
      <c r="AJ490" t="s">
        <v>6456</v>
      </c>
      <c r="AK490" t="s">
        <v>6455</v>
      </c>
      <c r="AL490">
        <v>40</v>
      </c>
      <c r="AM490" s="5">
        <f t="shared" si="58"/>
        <v>2</v>
      </c>
      <c r="AN490" s="4">
        <f t="shared" si="63"/>
        <v>3.0291556228701248E-3</v>
      </c>
      <c r="AO490" s="3"/>
      <c r="AP490">
        <v>0</v>
      </c>
      <c r="AQ490" t="s">
        <v>290</v>
      </c>
      <c r="AR490" t="s">
        <v>6454</v>
      </c>
      <c r="AS490" t="s">
        <v>289</v>
      </c>
      <c r="AT490" s="2">
        <v>5.0830000000000002</v>
      </c>
      <c r="AU490" s="1">
        <f t="shared" si="59"/>
        <v>2.8339941796441668</v>
      </c>
      <c r="AV490" s="1">
        <f t="shared" si="60"/>
        <v>2.1108288603992653</v>
      </c>
      <c r="AW490" s="1">
        <f t="shared" si="61"/>
        <v>1.3876635411543643</v>
      </c>
    </row>
    <row r="491" spans="1:49" x14ac:dyDescent="0.2">
      <c r="A491">
        <v>489</v>
      </c>
      <c r="B491" t="s">
        <v>6453</v>
      </c>
      <c r="C491" t="s">
        <v>6452</v>
      </c>
      <c r="F491" t="s">
        <v>6451</v>
      </c>
      <c r="G491" t="s">
        <v>5</v>
      </c>
      <c r="H491" t="s">
        <v>4</v>
      </c>
      <c r="I491" t="s">
        <v>1144</v>
      </c>
      <c r="J491" t="s">
        <v>6450</v>
      </c>
      <c r="K491" t="s">
        <v>6449</v>
      </c>
      <c r="L491" t="s">
        <v>6448</v>
      </c>
      <c r="M491" t="s">
        <v>3</v>
      </c>
      <c r="N491">
        <v>1</v>
      </c>
      <c r="O491" t="s">
        <v>6447</v>
      </c>
      <c r="P491">
        <v>7202801624</v>
      </c>
      <c r="Q491" t="s">
        <v>6446</v>
      </c>
      <c r="R491" s="7">
        <v>37530</v>
      </c>
      <c r="S491" s="8">
        <f t="shared" si="56"/>
        <v>2002</v>
      </c>
      <c r="T491" s="8">
        <v>2002</v>
      </c>
      <c r="U491" s="8">
        <f t="shared" si="57"/>
        <v>20</v>
      </c>
      <c r="V491" s="7">
        <v>37530</v>
      </c>
      <c r="W491" t="s">
        <v>347</v>
      </c>
      <c r="X491" s="2">
        <v>1.468</v>
      </c>
      <c r="Y491" s="6">
        <f t="shared" si="62"/>
        <v>3.9187421585115186E-2</v>
      </c>
      <c r="AA491">
        <v>906778</v>
      </c>
      <c r="AB491">
        <v>18931</v>
      </c>
      <c r="AD491" t="s">
        <v>2</v>
      </c>
      <c r="AE491">
        <v>50</v>
      </c>
      <c r="AF491">
        <v>10</v>
      </c>
      <c r="AH491" t="s">
        <v>6445</v>
      </c>
      <c r="AI491" t="s">
        <v>6444</v>
      </c>
      <c r="AJ491" t="s">
        <v>6443</v>
      </c>
      <c r="AK491" t="s">
        <v>6442</v>
      </c>
      <c r="AL491">
        <v>48</v>
      </c>
      <c r="AM491" s="5">
        <f t="shared" si="58"/>
        <v>2.4</v>
      </c>
      <c r="AN491" s="4">
        <f t="shared" si="63"/>
        <v>3.6349867474441497E-3</v>
      </c>
      <c r="AO491" s="3"/>
      <c r="AP491">
        <v>0</v>
      </c>
      <c r="AQ491" t="s">
        <v>290</v>
      </c>
      <c r="AR491" t="s">
        <v>1143</v>
      </c>
      <c r="AS491" t="s">
        <v>289</v>
      </c>
      <c r="AT491" s="2">
        <v>5.0830000000000002</v>
      </c>
      <c r="AU491" s="1">
        <f t="shared" si="59"/>
        <v>2.8521691133813873</v>
      </c>
      <c r="AV491" s="1">
        <f t="shared" si="60"/>
        <v>2.1411204166279667</v>
      </c>
      <c r="AW491" s="1">
        <f t="shared" si="61"/>
        <v>1.4300717198745461</v>
      </c>
    </row>
    <row r="492" spans="1:49" x14ac:dyDescent="0.2">
      <c r="A492">
        <v>490</v>
      </c>
      <c r="B492" t="s">
        <v>6441</v>
      </c>
      <c r="C492" t="s">
        <v>6440</v>
      </c>
      <c r="F492" t="s">
        <v>6439</v>
      </c>
      <c r="G492" t="s">
        <v>5</v>
      </c>
      <c r="H492" t="s">
        <v>4</v>
      </c>
      <c r="I492" t="s">
        <v>6438</v>
      </c>
      <c r="J492" t="s">
        <v>6437</v>
      </c>
      <c r="K492" t="s">
        <v>6436</v>
      </c>
      <c r="L492" t="s">
        <v>6435</v>
      </c>
      <c r="M492" t="s">
        <v>6434</v>
      </c>
      <c r="N492">
        <v>2</v>
      </c>
      <c r="O492" t="s">
        <v>6433</v>
      </c>
      <c r="P492" t="s">
        <v>6432</v>
      </c>
      <c r="Q492" t="s">
        <v>6431</v>
      </c>
      <c r="R492" s="7">
        <v>37530</v>
      </c>
      <c r="S492" s="8">
        <f t="shared" si="56"/>
        <v>2002</v>
      </c>
      <c r="T492" s="8">
        <v>2002</v>
      </c>
      <c r="U492" s="8">
        <f t="shared" si="57"/>
        <v>20</v>
      </c>
      <c r="V492" s="7">
        <v>37530</v>
      </c>
      <c r="W492" t="s">
        <v>347</v>
      </c>
      <c r="X492" s="2">
        <v>1.468</v>
      </c>
      <c r="Y492" s="6">
        <f t="shared" si="62"/>
        <v>3.9187421585115186E-2</v>
      </c>
      <c r="AA492">
        <v>906778</v>
      </c>
      <c r="AB492">
        <v>18931</v>
      </c>
      <c r="AD492" t="s">
        <v>2</v>
      </c>
      <c r="AE492">
        <v>50</v>
      </c>
      <c r="AF492">
        <v>10</v>
      </c>
      <c r="AH492" t="s">
        <v>6430</v>
      </c>
      <c r="AI492" t="s">
        <v>6429</v>
      </c>
      <c r="AJ492" t="s">
        <v>6428</v>
      </c>
      <c r="AK492" t="s">
        <v>6427</v>
      </c>
      <c r="AL492">
        <v>11</v>
      </c>
      <c r="AM492" s="5">
        <f t="shared" si="58"/>
        <v>0.55000000000000004</v>
      </c>
      <c r="AN492" s="4">
        <f t="shared" si="63"/>
        <v>8.3301779628928443E-4</v>
      </c>
      <c r="AO492" s="3"/>
      <c r="AP492">
        <v>0</v>
      </c>
      <c r="AR492" t="s">
        <v>1</v>
      </c>
      <c r="AT492" s="2">
        <v>5.0830000000000002</v>
      </c>
      <c r="AU492" s="1">
        <f t="shared" si="59"/>
        <v>2.7681100448467411</v>
      </c>
      <c r="AV492" s="1">
        <f t="shared" si="60"/>
        <v>2.0010219690702233</v>
      </c>
      <c r="AW492" s="1">
        <f t="shared" si="61"/>
        <v>1.2339338932937056</v>
      </c>
    </row>
    <row r="493" spans="1:49" x14ac:dyDescent="0.2">
      <c r="A493">
        <v>491</v>
      </c>
      <c r="B493" t="s">
        <v>6426</v>
      </c>
      <c r="F493" t="s">
        <v>6425</v>
      </c>
      <c r="G493" t="s">
        <v>5</v>
      </c>
      <c r="H493" t="s">
        <v>4</v>
      </c>
      <c r="I493" t="s">
        <v>455</v>
      </c>
      <c r="J493">
        <v>60005244</v>
      </c>
      <c r="K493" t="s">
        <v>731</v>
      </c>
      <c r="L493" t="s">
        <v>129</v>
      </c>
      <c r="M493" t="s">
        <v>21</v>
      </c>
      <c r="N493">
        <v>4</v>
      </c>
      <c r="O493" t="s">
        <v>6424</v>
      </c>
      <c r="P493" t="s">
        <v>6423</v>
      </c>
      <c r="Q493" t="s">
        <v>6324</v>
      </c>
      <c r="R493" s="7">
        <v>37530</v>
      </c>
      <c r="S493" s="8">
        <f t="shared" si="56"/>
        <v>2002</v>
      </c>
      <c r="T493" s="8">
        <v>2002</v>
      </c>
      <c r="U493" s="8">
        <f t="shared" si="57"/>
        <v>20</v>
      </c>
      <c r="V493" s="7">
        <v>37530</v>
      </c>
      <c r="W493" t="s">
        <v>6323</v>
      </c>
      <c r="X493" s="2">
        <v>0.26700000000000002</v>
      </c>
      <c r="Y493" s="6">
        <f t="shared" si="62"/>
        <v>7.1274125090093707E-3</v>
      </c>
      <c r="AA493">
        <v>10224653</v>
      </c>
      <c r="AB493">
        <v>24184</v>
      </c>
      <c r="AD493" t="s">
        <v>2</v>
      </c>
      <c r="AE493">
        <v>11</v>
      </c>
      <c r="AF493">
        <v>4</v>
      </c>
      <c r="AH493" t="s">
        <v>6422</v>
      </c>
      <c r="AI493" t="s">
        <v>6421</v>
      </c>
      <c r="AJ493" t="s">
        <v>6420</v>
      </c>
      <c r="AK493" t="s">
        <v>6419</v>
      </c>
      <c r="AL493">
        <v>0</v>
      </c>
      <c r="AM493" s="5">
        <f t="shared" si="58"/>
        <v>0</v>
      </c>
      <c r="AN493" s="4">
        <f t="shared" si="63"/>
        <v>0</v>
      </c>
      <c r="AO493" s="3"/>
      <c r="AP493">
        <v>0</v>
      </c>
      <c r="AR493" t="s">
        <v>1</v>
      </c>
      <c r="AT493" s="2">
        <v>1.014</v>
      </c>
      <c r="AU493" s="1">
        <f t="shared" si="59"/>
        <v>0.49891887563065596</v>
      </c>
      <c r="AV493" s="1">
        <f t="shared" si="60"/>
        <v>0.35637062545046855</v>
      </c>
      <c r="AW493" s="1">
        <f t="shared" si="61"/>
        <v>0.21382237527028108</v>
      </c>
    </row>
    <row r="494" spans="1:49" x14ac:dyDescent="0.2">
      <c r="A494">
        <v>492</v>
      </c>
      <c r="B494" t="s">
        <v>6418</v>
      </c>
      <c r="F494" t="s">
        <v>6417</v>
      </c>
      <c r="G494" t="s">
        <v>5</v>
      </c>
      <c r="H494" t="s">
        <v>4</v>
      </c>
      <c r="I494" t="s">
        <v>1065</v>
      </c>
      <c r="J494">
        <v>60013789</v>
      </c>
      <c r="K494" t="s">
        <v>6416</v>
      </c>
      <c r="L494" t="s">
        <v>72</v>
      </c>
      <c r="M494" t="s">
        <v>21</v>
      </c>
      <c r="N494">
        <v>4</v>
      </c>
      <c r="O494" t="s">
        <v>6415</v>
      </c>
      <c r="P494" t="s">
        <v>6414</v>
      </c>
      <c r="Q494" t="s">
        <v>6413</v>
      </c>
      <c r="R494" s="7">
        <v>37530</v>
      </c>
      <c r="S494" s="8">
        <f t="shared" si="56"/>
        <v>2002</v>
      </c>
      <c r="T494" s="8">
        <v>2002</v>
      </c>
      <c r="U494" s="8">
        <f t="shared" si="57"/>
        <v>20</v>
      </c>
      <c r="V494" s="7">
        <v>37530</v>
      </c>
      <c r="W494" t="s">
        <v>6323</v>
      </c>
      <c r="X494" s="2">
        <v>0.26700000000000002</v>
      </c>
      <c r="Y494" s="6">
        <f t="shared" si="62"/>
        <v>7.1274125090093707E-3</v>
      </c>
      <c r="AA494">
        <v>10224653</v>
      </c>
      <c r="AB494">
        <v>24184</v>
      </c>
      <c r="AD494" t="s">
        <v>2</v>
      </c>
      <c r="AE494">
        <v>11</v>
      </c>
      <c r="AF494">
        <v>4</v>
      </c>
      <c r="AH494" t="s">
        <v>6412</v>
      </c>
      <c r="AI494" t="s">
        <v>6411</v>
      </c>
      <c r="AJ494" t="s">
        <v>6410</v>
      </c>
      <c r="AK494" t="s">
        <v>6409</v>
      </c>
      <c r="AL494">
        <v>0</v>
      </c>
      <c r="AM494" s="5">
        <f t="shared" si="58"/>
        <v>0</v>
      </c>
      <c r="AN494" s="4">
        <f t="shared" si="63"/>
        <v>0</v>
      </c>
      <c r="AO494" s="3"/>
      <c r="AP494">
        <v>0</v>
      </c>
      <c r="AR494" t="s">
        <v>1</v>
      </c>
      <c r="AT494" s="2">
        <v>1.014</v>
      </c>
      <c r="AU494" s="1">
        <f t="shared" si="59"/>
        <v>0.49891887563065596</v>
      </c>
      <c r="AV494" s="1">
        <f t="shared" si="60"/>
        <v>0.35637062545046855</v>
      </c>
      <c r="AW494" s="1">
        <f t="shared" si="61"/>
        <v>0.21382237527028108</v>
      </c>
    </row>
    <row r="495" spans="1:49" x14ac:dyDescent="0.2">
      <c r="A495">
        <v>493</v>
      </c>
      <c r="B495" t="s">
        <v>6408</v>
      </c>
      <c r="F495" t="s">
        <v>6407</v>
      </c>
      <c r="G495" t="s">
        <v>5</v>
      </c>
      <c r="H495" t="s">
        <v>4</v>
      </c>
      <c r="I495" t="s">
        <v>6406</v>
      </c>
      <c r="J495">
        <v>60025578</v>
      </c>
      <c r="K495" t="s">
        <v>606</v>
      </c>
      <c r="L495" t="s">
        <v>605</v>
      </c>
      <c r="M495" t="s">
        <v>21</v>
      </c>
      <c r="N495">
        <v>4</v>
      </c>
      <c r="O495" t="s">
        <v>6405</v>
      </c>
      <c r="P495" t="s">
        <v>6404</v>
      </c>
      <c r="Q495" t="s">
        <v>4454</v>
      </c>
      <c r="R495" s="7">
        <v>37530</v>
      </c>
      <c r="S495" s="8">
        <f t="shared" si="56"/>
        <v>2002</v>
      </c>
      <c r="T495" s="8">
        <v>2002</v>
      </c>
      <c r="U495" s="8">
        <f t="shared" si="57"/>
        <v>20</v>
      </c>
      <c r="V495" s="7">
        <v>37530</v>
      </c>
      <c r="W495" t="s">
        <v>6323</v>
      </c>
      <c r="X495" s="2">
        <v>0.26700000000000002</v>
      </c>
      <c r="Y495" s="6">
        <f t="shared" si="62"/>
        <v>7.1274125090093707E-3</v>
      </c>
      <c r="AA495">
        <v>10224653</v>
      </c>
      <c r="AB495">
        <v>24184</v>
      </c>
      <c r="AD495" t="s">
        <v>2</v>
      </c>
      <c r="AE495">
        <v>11</v>
      </c>
      <c r="AF495">
        <v>4</v>
      </c>
      <c r="AH495" t="s">
        <v>6403</v>
      </c>
      <c r="AI495" t="s">
        <v>6402</v>
      </c>
      <c r="AJ495" t="s">
        <v>6401</v>
      </c>
      <c r="AK495" t="s">
        <v>6400</v>
      </c>
      <c r="AL495">
        <v>6</v>
      </c>
      <c r="AM495" s="5">
        <f t="shared" si="58"/>
        <v>0.3</v>
      </c>
      <c r="AN495" s="4">
        <f t="shared" si="63"/>
        <v>4.5437334343051872E-4</v>
      </c>
      <c r="AO495" s="3"/>
      <c r="AP495">
        <v>0</v>
      </c>
      <c r="AR495" t="s">
        <v>1</v>
      </c>
      <c r="AT495" s="2">
        <v>1.014</v>
      </c>
      <c r="AU495" s="1">
        <f t="shared" si="59"/>
        <v>0.51255007593357149</v>
      </c>
      <c r="AV495" s="1">
        <f t="shared" si="60"/>
        <v>0.37908929262199448</v>
      </c>
      <c r="AW495" s="1">
        <f t="shared" si="61"/>
        <v>0.24562850931041741</v>
      </c>
    </row>
    <row r="496" spans="1:49" x14ac:dyDescent="0.2">
      <c r="A496">
        <v>494</v>
      </c>
      <c r="B496" t="s">
        <v>6399</v>
      </c>
      <c r="C496" t="s">
        <v>6398</v>
      </c>
      <c r="D496" t="s">
        <v>6397</v>
      </c>
      <c r="F496" t="s">
        <v>6396</v>
      </c>
      <c r="G496" t="s">
        <v>5</v>
      </c>
      <c r="H496" t="s">
        <v>4</v>
      </c>
      <c r="I496" t="s">
        <v>6395</v>
      </c>
      <c r="J496" t="s">
        <v>6394</v>
      </c>
      <c r="K496" t="s">
        <v>6393</v>
      </c>
      <c r="L496" t="s">
        <v>6392</v>
      </c>
      <c r="M496" t="s">
        <v>567</v>
      </c>
      <c r="N496">
        <v>4</v>
      </c>
      <c r="O496" t="s">
        <v>6391</v>
      </c>
      <c r="P496" t="s">
        <v>6390</v>
      </c>
      <c r="Q496" t="s">
        <v>6389</v>
      </c>
      <c r="R496" s="7">
        <v>37530</v>
      </c>
      <c r="S496" s="8">
        <f t="shared" si="56"/>
        <v>2002</v>
      </c>
      <c r="T496" s="8">
        <v>2002</v>
      </c>
      <c r="U496" s="8">
        <f t="shared" si="57"/>
        <v>20</v>
      </c>
      <c r="V496" s="7">
        <v>37530</v>
      </c>
      <c r="W496" t="s">
        <v>6388</v>
      </c>
      <c r="X496" s="2">
        <v>0.42899999999999999</v>
      </c>
      <c r="Y496" s="6">
        <f t="shared" si="62"/>
        <v>1.1451909986385841E-2</v>
      </c>
      <c r="AA496">
        <v>381098</v>
      </c>
      <c r="AB496">
        <v>29886</v>
      </c>
      <c r="AD496" t="s">
        <v>2</v>
      </c>
      <c r="AE496">
        <v>124</v>
      </c>
      <c r="AF496">
        <v>4</v>
      </c>
      <c r="AH496" t="s">
        <v>6387</v>
      </c>
      <c r="AI496" t="s">
        <v>6386</v>
      </c>
      <c r="AJ496" t="s">
        <v>6385</v>
      </c>
      <c r="AK496" t="s">
        <v>6384</v>
      </c>
      <c r="AL496">
        <v>55</v>
      </c>
      <c r="AM496" s="5">
        <f t="shared" si="58"/>
        <v>2.75</v>
      </c>
      <c r="AN496" s="4">
        <f t="shared" si="63"/>
        <v>4.1650889814464215E-3</v>
      </c>
      <c r="AO496" s="3"/>
      <c r="AP496">
        <v>0</v>
      </c>
      <c r="AR496" t="s">
        <v>1</v>
      </c>
      <c r="AT496" s="2">
        <v>1.804</v>
      </c>
      <c r="AU496" s="1">
        <f t="shared" si="59"/>
        <v>0.92658636849040144</v>
      </c>
      <c r="AV496" s="1">
        <f t="shared" si="60"/>
        <v>0.78084994839161315</v>
      </c>
      <c r="AW496" s="1">
        <f t="shared" si="61"/>
        <v>0.63511352829282475</v>
      </c>
    </row>
    <row r="497" spans="1:49" x14ac:dyDescent="0.2">
      <c r="A497">
        <v>495</v>
      </c>
      <c r="B497" t="s">
        <v>6383</v>
      </c>
      <c r="F497" t="s">
        <v>6382</v>
      </c>
      <c r="G497" t="s">
        <v>5</v>
      </c>
      <c r="H497" t="s">
        <v>4</v>
      </c>
      <c r="I497" t="s">
        <v>6381</v>
      </c>
      <c r="J497">
        <v>60016930</v>
      </c>
      <c r="K497" t="s">
        <v>6380</v>
      </c>
      <c r="L497" t="s">
        <v>72</v>
      </c>
      <c r="M497" t="s">
        <v>21</v>
      </c>
      <c r="N497">
        <v>3</v>
      </c>
      <c r="O497" t="s">
        <v>6379</v>
      </c>
      <c r="P497" t="s">
        <v>6378</v>
      </c>
      <c r="Q497" t="s">
        <v>6377</v>
      </c>
      <c r="R497" s="7">
        <v>37530</v>
      </c>
      <c r="S497" s="8">
        <f t="shared" si="56"/>
        <v>2002</v>
      </c>
      <c r="T497" s="8">
        <v>2002</v>
      </c>
      <c r="U497" s="8">
        <f t="shared" si="57"/>
        <v>20</v>
      </c>
      <c r="V497" s="7">
        <v>37530</v>
      </c>
      <c r="W497" t="s">
        <v>6323</v>
      </c>
      <c r="X497" s="2">
        <v>0.26700000000000002</v>
      </c>
      <c r="Y497" s="6">
        <f t="shared" si="62"/>
        <v>7.1274125090093707E-3</v>
      </c>
      <c r="AA497">
        <v>10224653</v>
      </c>
      <c r="AB497">
        <v>24184</v>
      </c>
      <c r="AD497" t="s">
        <v>2</v>
      </c>
      <c r="AE497">
        <v>11</v>
      </c>
      <c r="AF497">
        <v>4</v>
      </c>
      <c r="AH497" t="s">
        <v>6376</v>
      </c>
      <c r="AI497" t="s">
        <v>6375</v>
      </c>
      <c r="AJ497" t="s">
        <v>6374</v>
      </c>
      <c r="AK497" t="s">
        <v>6373</v>
      </c>
      <c r="AL497">
        <v>0</v>
      </c>
      <c r="AM497" s="5">
        <f t="shared" si="58"/>
        <v>0</v>
      </c>
      <c r="AN497" s="4">
        <f t="shared" si="63"/>
        <v>0</v>
      </c>
      <c r="AO497" s="3"/>
      <c r="AP497">
        <v>0</v>
      </c>
      <c r="AR497" t="s">
        <v>1</v>
      </c>
      <c r="AT497" s="2">
        <v>1.014</v>
      </c>
      <c r="AU497" s="1">
        <f t="shared" si="59"/>
        <v>0.49891887563065596</v>
      </c>
      <c r="AV497" s="1">
        <f t="shared" si="60"/>
        <v>0.35637062545046855</v>
      </c>
      <c r="AW497" s="1">
        <f t="shared" si="61"/>
        <v>0.21382237527028108</v>
      </c>
    </row>
    <row r="498" spans="1:49" x14ac:dyDescent="0.2">
      <c r="A498">
        <v>496</v>
      </c>
      <c r="B498" t="s">
        <v>6372</v>
      </c>
      <c r="C498" t="s">
        <v>6371</v>
      </c>
      <c r="F498" t="s">
        <v>6370</v>
      </c>
      <c r="G498" t="s">
        <v>5</v>
      </c>
      <c r="H498" t="s">
        <v>4</v>
      </c>
      <c r="I498" t="s">
        <v>6369</v>
      </c>
      <c r="J498" t="s">
        <v>6364</v>
      </c>
      <c r="K498" t="s">
        <v>6368</v>
      </c>
      <c r="L498" t="s">
        <v>6367</v>
      </c>
      <c r="M498" t="s">
        <v>88</v>
      </c>
      <c r="N498">
        <v>2</v>
      </c>
      <c r="O498" t="s">
        <v>6366</v>
      </c>
      <c r="P498" t="s">
        <v>6365</v>
      </c>
      <c r="Q498" t="s">
        <v>6364</v>
      </c>
      <c r="R498" s="7">
        <v>37530</v>
      </c>
      <c r="S498" s="8">
        <f t="shared" si="56"/>
        <v>2002</v>
      </c>
      <c r="T498" s="8">
        <v>2002</v>
      </c>
      <c r="U498" s="8">
        <f t="shared" si="57"/>
        <v>20</v>
      </c>
      <c r="V498" s="7">
        <v>37530</v>
      </c>
      <c r="W498" t="s">
        <v>931</v>
      </c>
      <c r="X498" s="2">
        <v>2.823</v>
      </c>
      <c r="Y498" s="6">
        <f t="shared" si="62"/>
        <v>7.5358372707615917E-2</v>
      </c>
      <c r="AA498">
        <v>1636804</v>
      </c>
      <c r="AB498">
        <v>17249</v>
      </c>
      <c r="AD498" t="s">
        <v>2</v>
      </c>
      <c r="AE498">
        <v>40</v>
      </c>
      <c r="AF498">
        <v>10</v>
      </c>
      <c r="AH498" t="s">
        <v>6363</v>
      </c>
      <c r="AI498" t="s">
        <v>6362</v>
      </c>
      <c r="AK498" t="s">
        <v>6361</v>
      </c>
      <c r="AL498">
        <v>6</v>
      </c>
      <c r="AM498" s="5">
        <f t="shared" si="58"/>
        <v>0.3</v>
      </c>
      <c r="AN498" s="4">
        <f t="shared" si="63"/>
        <v>4.5437334343051872E-4</v>
      </c>
      <c r="AO498" s="3"/>
      <c r="AP498">
        <v>0</v>
      </c>
      <c r="AR498" t="s">
        <v>1</v>
      </c>
      <c r="AT498" s="2">
        <v>9.6189999999999998</v>
      </c>
      <c r="AU498" s="1">
        <f t="shared" si="59"/>
        <v>5.2887172898360291</v>
      </c>
      <c r="AV498" s="1">
        <f t="shared" si="60"/>
        <v>3.7906373025523217</v>
      </c>
      <c r="AW498" s="1">
        <f t="shared" si="61"/>
        <v>2.2925573152686138</v>
      </c>
    </row>
    <row r="499" spans="1:49" x14ac:dyDescent="0.2">
      <c r="A499">
        <v>497</v>
      </c>
      <c r="B499" t="s">
        <v>6360</v>
      </c>
      <c r="C499" t="s">
        <v>6359</v>
      </c>
      <c r="F499" t="s">
        <v>6358</v>
      </c>
      <c r="G499" t="s">
        <v>5</v>
      </c>
      <c r="H499" t="s">
        <v>4</v>
      </c>
      <c r="I499" t="s">
        <v>6357</v>
      </c>
      <c r="J499">
        <v>60026306</v>
      </c>
      <c r="K499" t="s">
        <v>230</v>
      </c>
      <c r="L499" t="s">
        <v>229</v>
      </c>
      <c r="M499" t="s">
        <v>7</v>
      </c>
      <c r="N499">
        <v>4</v>
      </c>
      <c r="O499" t="s">
        <v>6356</v>
      </c>
      <c r="P499" t="s">
        <v>6355</v>
      </c>
      <c r="Q499" t="s">
        <v>6354</v>
      </c>
      <c r="R499" s="7">
        <v>37530</v>
      </c>
      <c r="S499" s="8">
        <f t="shared" si="56"/>
        <v>2002</v>
      </c>
      <c r="T499" s="8">
        <v>2002</v>
      </c>
      <c r="U499" s="8">
        <f t="shared" si="57"/>
        <v>20</v>
      </c>
      <c r="V499" s="7">
        <v>37530</v>
      </c>
      <c r="W499" t="s">
        <v>874</v>
      </c>
      <c r="X499" s="2">
        <v>0.22500000000000001</v>
      </c>
      <c r="Y499" s="6">
        <f t="shared" si="62"/>
        <v>6.0062464963562111E-3</v>
      </c>
      <c r="AA499">
        <v>2726343</v>
      </c>
      <c r="AB499">
        <v>16128</v>
      </c>
      <c r="AD499" t="s">
        <v>2</v>
      </c>
      <c r="AE499">
        <v>22</v>
      </c>
      <c r="AF499">
        <v>7</v>
      </c>
      <c r="AH499" t="s">
        <v>6353</v>
      </c>
      <c r="AI499" t="s">
        <v>6352</v>
      </c>
      <c r="AJ499" t="s">
        <v>6351</v>
      </c>
      <c r="AK499" t="s">
        <v>6350</v>
      </c>
      <c r="AL499">
        <v>1</v>
      </c>
      <c r="AM499" s="5">
        <f t="shared" si="58"/>
        <v>0.05</v>
      </c>
      <c r="AN499" s="4">
        <f t="shared" si="63"/>
        <v>7.5728890571753133E-5</v>
      </c>
      <c r="AO499" s="3"/>
      <c r="AP499">
        <v>0</v>
      </c>
      <c r="AR499" t="s">
        <v>1</v>
      </c>
      <c r="AT499" s="2">
        <v>1.099</v>
      </c>
      <c r="AU499" s="1">
        <f t="shared" si="59"/>
        <v>0.42270912146208739</v>
      </c>
      <c r="AV499" s="1">
        <f t="shared" si="60"/>
        <v>0.30409876934639823</v>
      </c>
      <c r="AW499" s="1">
        <f t="shared" si="61"/>
        <v>0.18548841723070905</v>
      </c>
    </row>
    <row r="500" spans="1:49" x14ac:dyDescent="0.2">
      <c r="A500">
        <v>498</v>
      </c>
      <c r="B500" t="s">
        <v>6349</v>
      </c>
      <c r="C500" t="s">
        <v>6348</v>
      </c>
      <c r="F500" t="s">
        <v>6347</v>
      </c>
      <c r="G500" t="s">
        <v>5</v>
      </c>
      <c r="H500" t="s">
        <v>4</v>
      </c>
      <c r="I500" t="s">
        <v>6346</v>
      </c>
      <c r="J500">
        <v>60020623</v>
      </c>
      <c r="K500" t="s">
        <v>6345</v>
      </c>
      <c r="L500" t="s">
        <v>6344</v>
      </c>
      <c r="M500" t="s">
        <v>41</v>
      </c>
      <c r="N500">
        <v>1</v>
      </c>
      <c r="O500" t="s">
        <v>6343</v>
      </c>
      <c r="P500">
        <v>6602440720</v>
      </c>
      <c r="Q500">
        <v>60020623</v>
      </c>
      <c r="R500" s="7">
        <v>37530</v>
      </c>
      <c r="S500" s="8">
        <f t="shared" si="56"/>
        <v>2002</v>
      </c>
      <c r="T500" s="8">
        <v>2002</v>
      </c>
      <c r="U500" s="8">
        <f t="shared" si="57"/>
        <v>20</v>
      </c>
      <c r="V500" s="7">
        <v>37530</v>
      </c>
      <c r="W500" t="s">
        <v>874</v>
      </c>
      <c r="X500" s="2">
        <v>0.22500000000000001</v>
      </c>
      <c r="Y500" s="6">
        <f t="shared" si="62"/>
        <v>6.0062464963562111E-3</v>
      </c>
      <c r="AA500">
        <v>2726343</v>
      </c>
      <c r="AB500">
        <v>16128</v>
      </c>
      <c r="AD500" t="s">
        <v>2</v>
      </c>
      <c r="AE500">
        <v>22</v>
      </c>
      <c r="AF500">
        <v>7</v>
      </c>
      <c r="AH500" t="s">
        <v>6342</v>
      </c>
      <c r="AI500" t="s">
        <v>6341</v>
      </c>
      <c r="AJ500" t="s">
        <v>6340</v>
      </c>
      <c r="AK500" t="s">
        <v>6339</v>
      </c>
      <c r="AL500">
        <v>4</v>
      </c>
      <c r="AM500" s="5">
        <f t="shared" si="58"/>
        <v>0.2</v>
      </c>
      <c r="AN500" s="4">
        <f t="shared" si="63"/>
        <v>3.0291556228701253E-4</v>
      </c>
      <c r="AO500" s="3"/>
      <c r="AP500">
        <v>0</v>
      </c>
      <c r="AR500" t="s">
        <v>1</v>
      </c>
      <c r="AT500" s="2">
        <v>1.099</v>
      </c>
      <c r="AU500" s="1">
        <f t="shared" si="59"/>
        <v>0.4295247216135451</v>
      </c>
      <c r="AV500" s="1">
        <f t="shared" si="60"/>
        <v>0.3154581029321612</v>
      </c>
      <c r="AW500" s="1">
        <f t="shared" si="61"/>
        <v>0.20139148425077721</v>
      </c>
    </row>
    <row r="501" spans="1:49" x14ac:dyDescent="0.2">
      <c r="A501">
        <v>499</v>
      </c>
      <c r="B501" t="s">
        <v>6338</v>
      </c>
      <c r="F501" t="s">
        <v>6337</v>
      </c>
      <c r="G501" t="s">
        <v>5</v>
      </c>
      <c r="H501" t="s">
        <v>4</v>
      </c>
      <c r="I501" t="s">
        <v>6336</v>
      </c>
      <c r="J501">
        <v>60025578</v>
      </c>
      <c r="K501" t="s">
        <v>606</v>
      </c>
      <c r="L501" t="s">
        <v>605</v>
      </c>
      <c r="M501" t="s">
        <v>21</v>
      </c>
      <c r="N501">
        <v>3</v>
      </c>
      <c r="O501" t="s">
        <v>6335</v>
      </c>
      <c r="P501" t="s">
        <v>6334</v>
      </c>
      <c r="Q501" t="s">
        <v>6333</v>
      </c>
      <c r="R501" s="7">
        <v>37530</v>
      </c>
      <c r="S501" s="8">
        <f t="shared" si="56"/>
        <v>2002</v>
      </c>
      <c r="T501" s="8">
        <v>2002</v>
      </c>
      <c r="U501" s="8">
        <f t="shared" si="57"/>
        <v>20</v>
      </c>
      <c r="V501" s="7">
        <v>37530</v>
      </c>
      <c r="W501" t="s">
        <v>6323</v>
      </c>
      <c r="X501" s="2">
        <v>0.26700000000000002</v>
      </c>
      <c r="Y501" s="6">
        <f t="shared" si="62"/>
        <v>7.1274125090093707E-3</v>
      </c>
      <c r="AA501">
        <v>10224653</v>
      </c>
      <c r="AB501">
        <v>24184</v>
      </c>
      <c r="AD501" t="s">
        <v>2</v>
      </c>
      <c r="AE501">
        <v>11</v>
      </c>
      <c r="AF501">
        <v>4</v>
      </c>
      <c r="AH501" t="s">
        <v>6332</v>
      </c>
      <c r="AI501" t="s">
        <v>6331</v>
      </c>
      <c r="AJ501" t="s">
        <v>6330</v>
      </c>
      <c r="AK501" t="s">
        <v>6329</v>
      </c>
      <c r="AL501">
        <v>0</v>
      </c>
      <c r="AM501" s="5">
        <f t="shared" si="58"/>
        <v>0</v>
      </c>
      <c r="AN501" s="4">
        <f t="shared" si="63"/>
        <v>0</v>
      </c>
      <c r="AO501" s="3"/>
      <c r="AP501">
        <v>0</v>
      </c>
      <c r="AR501" t="s">
        <v>1</v>
      </c>
      <c r="AT501" s="2">
        <v>1.014</v>
      </c>
      <c r="AU501" s="1">
        <f t="shared" si="59"/>
        <v>0.49891887563065596</v>
      </c>
      <c r="AV501" s="1">
        <f t="shared" si="60"/>
        <v>0.35637062545046855</v>
      </c>
      <c r="AW501" s="1">
        <f t="shared" si="61"/>
        <v>0.21382237527028108</v>
      </c>
    </row>
    <row r="502" spans="1:49" x14ac:dyDescent="0.2">
      <c r="A502">
        <v>500</v>
      </c>
      <c r="B502" t="s">
        <v>6328</v>
      </c>
      <c r="F502" t="s">
        <v>6327</v>
      </c>
      <c r="G502" t="s">
        <v>5</v>
      </c>
      <c r="H502" t="s">
        <v>4</v>
      </c>
      <c r="I502" t="s">
        <v>545</v>
      </c>
      <c r="J502">
        <v>60005244</v>
      </c>
      <c r="K502" t="s">
        <v>731</v>
      </c>
      <c r="L502" t="s">
        <v>129</v>
      </c>
      <c r="M502" t="s">
        <v>21</v>
      </c>
      <c r="N502">
        <v>4</v>
      </c>
      <c r="O502" t="s">
        <v>6326</v>
      </c>
      <c r="P502" t="s">
        <v>6325</v>
      </c>
      <c r="Q502" t="s">
        <v>6324</v>
      </c>
      <c r="R502" s="7">
        <v>37530</v>
      </c>
      <c r="S502" s="8">
        <f t="shared" si="56"/>
        <v>2002</v>
      </c>
      <c r="T502" s="8">
        <v>2002</v>
      </c>
      <c r="U502" s="8">
        <f t="shared" si="57"/>
        <v>20</v>
      </c>
      <c r="V502" s="7">
        <v>37530</v>
      </c>
      <c r="W502" t="s">
        <v>6323</v>
      </c>
      <c r="X502" s="2">
        <v>0.26700000000000002</v>
      </c>
      <c r="Y502" s="6">
        <f t="shared" si="62"/>
        <v>7.1274125090093707E-3</v>
      </c>
      <c r="AA502">
        <v>10224653</v>
      </c>
      <c r="AB502">
        <v>24184</v>
      </c>
      <c r="AD502" t="s">
        <v>2</v>
      </c>
      <c r="AE502">
        <v>11</v>
      </c>
      <c r="AF502">
        <v>4</v>
      </c>
      <c r="AH502" t="s">
        <v>6322</v>
      </c>
      <c r="AI502" t="s">
        <v>6321</v>
      </c>
      <c r="AJ502" t="s">
        <v>6320</v>
      </c>
      <c r="AK502" t="s">
        <v>6319</v>
      </c>
      <c r="AL502">
        <v>0</v>
      </c>
      <c r="AM502" s="5">
        <f t="shared" si="58"/>
        <v>0</v>
      </c>
      <c r="AN502" s="4">
        <f t="shared" si="63"/>
        <v>0</v>
      </c>
      <c r="AO502" s="3"/>
      <c r="AP502">
        <v>0</v>
      </c>
      <c r="AR502" t="s">
        <v>1</v>
      </c>
      <c r="AT502" s="2">
        <v>1.014</v>
      </c>
      <c r="AU502" s="1">
        <f t="shared" si="59"/>
        <v>0.49891887563065596</v>
      </c>
      <c r="AV502" s="1">
        <f t="shared" si="60"/>
        <v>0.35637062545046855</v>
      </c>
      <c r="AW502" s="1">
        <f t="shared" si="61"/>
        <v>0.21382237527028108</v>
      </c>
    </row>
    <row r="503" spans="1:49" x14ac:dyDescent="0.2">
      <c r="A503">
        <v>501</v>
      </c>
      <c r="B503" t="s">
        <v>6318</v>
      </c>
      <c r="C503" t="s">
        <v>6317</v>
      </c>
      <c r="F503" t="s">
        <v>6316</v>
      </c>
      <c r="G503" t="s">
        <v>5</v>
      </c>
      <c r="H503" t="s">
        <v>4</v>
      </c>
      <c r="I503" t="s">
        <v>6315</v>
      </c>
      <c r="J503" t="s">
        <v>6314</v>
      </c>
      <c r="K503" t="s">
        <v>6313</v>
      </c>
      <c r="L503" t="s">
        <v>6312</v>
      </c>
      <c r="M503" t="s">
        <v>6311</v>
      </c>
      <c r="N503">
        <v>3</v>
      </c>
      <c r="O503" t="s">
        <v>6310</v>
      </c>
      <c r="P503" t="s">
        <v>6309</v>
      </c>
      <c r="Q503" t="s">
        <v>6308</v>
      </c>
      <c r="R503" s="7">
        <v>37530</v>
      </c>
      <c r="S503" s="8">
        <f t="shared" si="56"/>
        <v>2002</v>
      </c>
      <c r="T503" s="8">
        <v>2002</v>
      </c>
      <c r="U503" s="8">
        <f t="shared" si="57"/>
        <v>20</v>
      </c>
      <c r="V503" s="7">
        <v>37530</v>
      </c>
      <c r="W503" t="s">
        <v>221</v>
      </c>
      <c r="X503" s="2">
        <v>0.85</v>
      </c>
      <c r="Y503" s="6">
        <f t="shared" si="62"/>
        <v>2.2690264541790128E-2</v>
      </c>
      <c r="AA503">
        <v>223646</v>
      </c>
      <c r="AB503">
        <v>19225</v>
      </c>
      <c r="AD503" t="s">
        <v>2</v>
      </c>
      <c r="AE503">
        <v>38</v>
      </c>
      <c r="AF503">
        <v>5</v>
      </c>
      <c r="AH503" t="s">
        <v>6307</v>
      </c>
      <c r="AI503" t="s">
        <v>6306</v>
      </c>
      <c r="AJ503" t="s">
        <v>6305</v>
      </c>
      <c r="AK503" t="s">
        <v>6304</v>
      </c>
      <c r="AL503">
        <v>55</v>
      </c>
      <c r="AM503" s="5">
        <f t="shared" si="58"/>
        <v>2.75</v>
      </c>
      <c r="AN503" s="4">
        <f t="shared" si="63"/>
        <v>4.1650889814464215E-3</v>
      </c>
      <c r="AO503" s="3"/>
      <c r="AP503">
        <v>0</v>
      </c>
      <c r="AR503" t="s">
        <v>1</v>
      </c>
      <c r="AT503" s="2">
        <v>2.923</v>
      </c>
      <c r="AU503" s="1">
        <f t="shared" si="59"/>
        <v>1.7132711873687017</v>
      </c>
      <c r="AV503" s="1">
        <f t="shared" si="60"/>
        <v>1.3427676761618275</v>
      </c>
      <c r="AW503" s="1">
        <f t="shared" si="61"/>
        <v>0.97226416495495327</v>
      </c>
    </row>
    <row r="504" spans="1:49" x14ac:dyDescent="0.2">
      <c r="A504">
        <v>502</v>
      </c>
      <c r="B504" t="s">
        <v>6303</v>
      </c>
      <c r="C504" t="s">
        <v>6302</v>
      </c>
      <c r="D504" t="s">
        <v>6301</v>
      </c>
      <c r="F504" t="s">
        <v>6300</v>
      </c>
      <c r="G504" t="s">
        <v>5</v>
      </c>
      <c r="H504" t="s">
        <v>4</v>
      </c>
      <c r="I504" t="s">
        <v>6299</v>
      </c>
      <c r="J504">
        <v>60006222</v>
      </c>
      <c r="K504" t="s">
        <v>6298</v>
      </c>
      <c r="L504" t="s">
        <v>752</v>
      </c>
      <c r="M504" t="s">
        <v>41</v>
      </c>
      <c r="N504">
        <v>2</v>
      </c>
      <c r="O504" t="s">
        <v>6297</v>
      </c>
      <c r="P504" t="s">
        <v>6296</v>
      </c>
      <c r="Q504" t="s">
        <v>6295</v>
      </c>
      <c r="R504" s="7">
        <v>37530</v>
      </c>
      <c r="S504" s="8">
        <f t="shared" si="56"/>
        <v>2002</v>
      </c>
      <c r="T504" s="8">
        <v>2002</v>
      </c>
      <c r="U504" s="8">
        <f t="shared" si="57"/>
        <v>20</v>
      </c>
      <c r="V504" s="7">
        <v>37530</v>
      </c>
      <c r="W504" t="s">
        <v>6294</v>
      </c>
      <c r="X504" s="2">
        <v>0.92500000000000004</v>
      </c>
      <c r="Y504" s="6">
        <f t="shared" si="62"/>
        <v>2.4692346707242199E-2</v>
      </c>
      <c r="AA504">
        <v>1657836</v>
      </c>
      <c r="AB504">
        <v>12781</v>
      </c>
      <c r="AD504" t="s">
        <v>2</v>
      </c>
      <c r="AE504">
        <v>58</v>
      </c>
      <c r="AF504">
        <v>1</v>
      </c>
      <c r="AH504" t="s">
        <v>6293</v>
      </c>
      <c r="AI504" t="s">
        <v>6292</v>
      </c>
      <c r="AJ504" t="s">
        <v>6291</v>
      </c>
      <c r="AK504" t="s">
        <v>6290</v>
      </c>
      <c r="AL504">
        <v>28</v>
      </c>
      <c r="AM504" s="5">
        <f t="shared" si="58"/>
        <v>1.4</v>
      </c>
      <c r="AN504" s="4">
        <f t="shared" si="63"/>
        <v>2.1204089360090874E-3</v>
      </c>
      <c r="AO504" s="3"/>
      <c r="AP504">
        <v>0</v>
      </c>
      <c r="AQ504" t="s">
        <v>935</v>
      </c>
      <c r="AR504" t="s">
        <v>1</v>
      </c>
      <c r="AS504" t="s">
        <v>934</v>
      </c>
      <c r="AT504" s="2">
        <v>2.4220000000000002</v>
      </c>
      <c r="AU504" s="1">
        <f t="shared" si="59"/>
        <v>1.7920765375872265</v>
      </c>
      <c r="AV504" s="1">
        <f t="shared" si="60"/>
        <v>1.3406377821625644</v>
      </c>
      <c r="AW504" s="1">
        <f t="shared" si="61"/>
        <v>0.88919902673790208</v>
      </c>
    </row>
    <row r="505" spans="1:49" x14ac:dyDescent="0.2">
      <c r="A505">
        <v>503</v>
      </c>
      <c r="B505" t="s">
        <v>6289</v>
      </c>
      <c r="C505" t="s">
        <v>6288</v>
      </c>
      <c r="F505" t="s">
        <v>6287</v>
      </c>
      <c r="G505" t="s">
        <v>5</v>
      </c>
      <c r="H505" t="s">
        <v>4</v>
      </c>
      <c r="I505" t="s">
        <v>6286</v>
      </c>
      <c r="J505">
        <v>60018405</v>
      </c>
      <c r="K505" t="s">
        <v>6285</v>
      </c>
      <c r="L505" t="s">
        <v>6284</v>
      </c>
      <c r="M505" t="s">
        <v>135</v>
      </c>
      <c r="N505">
        <v>3</v>
      </c>
      <c r="O505" t="s">
        <v>6283</v>
      </c>
      <c r="P505" t="s">
        <v>6282</v>
      </c>
      <c r="Q505" t="s">
        <v>6281</v>
      </c>
      <c r="R505" s="7">
        <v>37530</v>
      </c>
      <c r="S505" s="8">
        <f t="shared" si="56"/>
        <v>2002</v>
      </c>
      <c r="T505" s="8">
        <v>2002</v>
      </c>
      <c r="U505" s="8">
        <f t="shared" si="57"/>
        <v>20</v>
      </c>
      <c r="V505" s="7">
        <v>37530</v>
      </c>
      <c r="W505" t="s">
        <v>547</v>
      </c>
      <c r="X505" s="2">
        <v>0.34399999999999997</v>
      </c>
      <c r="Y505" s="6">
        <f t="shared" si="62"/>
        <v>9.1828835322068283E-3</v>
      </c>
      <c r="AA505">
        <v>10745351</v>
      </c>
      <c r="AB505">
        <v>17964</v>
      </c>
      <c r="AD505" t="s">
        <v>2</v>
      </c>
      <c r="AE505">
        <v>15</v>
      </c>
      <c r="AF505">
        <v>8</v>
      </c>
      <c r="AH505" t="s">
        <v>6280</v>
      </c>
      <c r="AI505" t="s">
        <v>6279</v>
      </c>
      <c r="AJ505" t="s">
        <v>6278</v>
      </c>
      <c r="AK505" t="s">
        <v>6277</v>
      </c>
      <c r="AL505">
        <v>0</v>
      </c>
      <c r="AM505" s="5">
        <f t="shared" si="58"/>
        <v>0</v>
      </c>
      <c r="AN505" s="4">
        <f t="shared" si="63"/>
        <v>0</v>
      </c>
      <c r="AO505" s="3"/>
      <c r="AP505">
        <v>0</v>
      </c>
      <c r="AR505" t="s">
        <v>1</v>
      </c>
      <c r="AT505" s="2" t="s">
        <v>0</v>
      </c>
      <c r="AU505" s="1">
        <f t="shared" si="59"/>
        <v>0.64280184725447786</v>
      </c>
      <c r="AV505" s="1">
        <f t="shared" si="60"/>
        <v>0.4591441766103414</v>
      </c>
      <c r="AW505" s="1">
        <f t="shared" si="61"/>
        <v>0.27548650596620483</v>
      </c>
    </row>
    <row r="506" spans="1:49" x14ac:dyDescent="0.2">
      <c r="A506">
        <v>504</v>
      </c>
      <c r="B506" t="s">
        <v>6276</v>
      </c>
      <c r="C506" t="s">
        <v>6275</v>
      </c>
      <c r="D506">
        <v>1011092002803350</v>
      </c>
      <c r="F506" t="s">
        <v>6274</v>
      </c>
      <c r="G506" t="s">
        <v>5</v>
      </c>
      <c r="H506" t="s">
        <v>4</v>
      </c>
      <c r="I506" t="s">
        <v>6273</v>
      </c>
      <c r="J506" t="s">
        <v>6272</v>
      </c>
      <c r="K506" t="s">
        <v>6271</v>
      </c>
      <c r="L506" t="s">
        <v>6270</v>
      </c>
      <c r="M506" t="s">
        <v>421</v>
      </c>
      <c r="N506">
        <v>1</v>
      </c>
      <c r="O506" t="s">
        <v>6269</v>
      </c>
      <c r="P506">
        <v>6602637963</v>
      </c>
      <c r="Q506" t="s">
        <v>6268</v>
      </c>
      <c r="R506" s="7">
        <v>37530</v>
      </c>
      <c r="S506" s="8">
        <f t="shared" si="56"/>
        <v>2002</v>
      </c>
      <c r="T506" s="8">
        <v>2002</v>
      </c>
      <c r="U506" s="8">
        <f t="shared" si="57"/>
        <v>20</v>
      </c>
      <c r="V506" s="7">
        <v>37530</v>
      </c>
      <c r="W506" t="s">
        <v>322</v>
      </c>
      <c r="X506" s="2">
        <v>1.6379999999999999</v>
      </c>
      <c r="Y506" s="6">
        <f t="shared" si="62"/>
        <v>4.3725474493473214E-2</v>
      </c>
      <c r="AA506" t="s">
        <v>321</v>
      </c>
      <c r="AB506">
        <v>17391</v>
      </c>
      <c r="AD506" t="s">
        <v>2</v>
      </c>
      <c r="AE506">
        <v>50</v>
      </c>
      <c r="AF506">
        <v>10</v>
      </c>
      <c r="AH506" t="s">
        <v>6267</v>
      </c>
      <c r="AI506" t="s">
        <v>6266</v>
      </c>
      <c r="AJ506" t="s">
        <v>6265</v>
      </c>
      <c r="AK506" t="s">
        <v>6264</v>
      </c>
      <c r="AL506">
        <v>105</v>
      </c>
      <c r="AM506" s="5">
        <f t="shared" si="58"/>
        <v>5.25</v>
      </c>
      <c r="AN506" s="4">
        <f t="shared" si="63"/>
        <v>7.9515335100340777E-3</v>
      </c>
      <c r="AO506" s="3"/>
      <c r="AP506">
        <v>0</v>
      </c>
      <c r="AR506" t="s">
        <v>1</v>
      </c>
      <c r="AT506" s="2">
        <v>4.931</v>
      </c>
      <c r="AU506" s="1">
        <f t="shared" si="59"/>
        <v>3.2993292198441471</v>
      </c>
      <c r="AV506" s="1">
        <f t="shared" si="60"/>
        <v>2.5838504001753644</v>
      </c>
      <c r="AW506" s="1">
        <f t="shared" si="61"/>
        <v>1.8683715805065817</v>
      </c>
    </row>
    <row r="507" spans="1:49" x14ac:dyDescent="0.2">
      <c r="A507">
        <v>505</v>
      </c>
      <c r="B507" t="s">
        <v>6263</v>
      </c>
      <c r="C507" t="s">
        <v>6262</v>
      </c>
      <c r="D507">
        <v>1011092002803350</v>
      </c>
      <c r="F507" t="s">
        <v>6261</v>
      </c>
      <c r="G507" t="s">
        <v>5</v>
      </c>
      <c r="H507" t="s">
        <v>4</v>
      </c>
      <c r="I507" t="s">
        <v>1070</v>
      </c>
      <c r="J507" t="s">
        <v>861</v>
      </c>
      <c r="K507" t="s">
        <v>860</v>
      </c>
      <c r="L507" t="s">
        <v>859</v>
      </c>
      <c r="M507" t="s">
        <v>3</v>
      </c>
      <c r="N507">
        <v>2</v>
      </c>
      <c r="O507" t="s">
        <v>6260</v>
      </c>
      <c r="P507" t="s">
        <v>6259</v>
      </c>
      <c r="Q507" t="s">
        <v>1076</v>
      </c>
      <c r="R507" s="7">
        <v>37530</v>
      </c>
      <c r="S507" s="8">
        <f t="shared" si="56"/>
        <v>2002</v>
      </c>
      <c r="T507" s="8">
        <v>2002</v>
      </c>
      <c r="U507" s="8">
        <f t="shared" si="57"/>
        <v>20</v>
      </c>
      <c r="V507" s="7">
        <v>37530</v>
      </c>
      <c r="W507" t="s">
        <v>322</v>
      </c>
      <c r="X507" s="2">
        <v>1.6379999999999999</v>
      </c>
      <c r="Y507" s="6">
        <f t="shared" si="62"/>
        <v>4.3725474493473214E-2</v>
      </c>
      <c r="AA507" t="s">
        <v>321</v>
      </c>
      <c r="AB507">
        <v>17391</v>
      </c>
      <c r="AD507" t="s">
        <v>2</v>
      </c>
      <c r="AE507">
        <v>50</v>
      </c>
      <c r="AF507">
        <v>10</v>
      </c>
      <c r="AH507" t="s">
        <v>6258</v>
      </c>
      <c r="AI507" t="s">
        <v>6257</v>
      </c>
      <c r="AJ507" t="s">
        <v>6256</v>
      </c>
      <c r="AK507" t="s">
        <v>6255</v>
      </c>
      <c r="AL507">
        <v>352</v>
      </c>
      <c r="AM507" s="5">
        <f t="shared" si="58"/>
        <v>17.600000000000001</v>
      </c>
      <c r="AN507" s="4">
        <f t="shared" si="63"/>
        <v>2.6656569481257102E-2</v>
      </c>
      <c r="AO507" s="3"/>
      <c r="AP507">
        <v>0</v>
      </c>
      <c r="AQ507" t="s">
        <v>290</v>
      </c>
      <c r="AR507" t="s">
        <v>1069</v>
      </c>
      <c r="AS507" t="s">
        <v>289</v>
      </c>
      <c r="AT507" s="2">
        <v>4.931</v>
      </c>
      <c r="AU507" s="1">
        <f t="shared" si="59"/>
        <v>3.8604802989808382</v>
      </c>
      <c r="AV507" s="1">
        <f t="shared" si="60"/>
        <v>3.5191021987365159</v>
      </c>
      <c r="AW507" s="1">
        <f t="shared" si="61"/>
        <v>3.1777240984921935</v>
      </c>
    </row>
    <row r="508" spans="1:49" x14ac:dyDescent="0.2">
      <c r="A508">
        <v>506</v>
      </c>
      <c r="B508" t="s">
        <v>6254</v>
      </c>
      <c r="C508" t="s">
        <v>6253</v>
      </c>
      <c r="D508">
        <v>1011092002803320</v>
      </c>
      <c r="F508" t="s">
        <v>6252</v>
      </c>
      <c r="G508" t="s">
        <v>5</v>
      </c>
      <c r="H508" t="s">
        <v>4</v>
      </c>
      <c r="I508" t="s">
        <v>6251</v>
      </c>
      <c r="J508" t="s">
        <v>6250</v>
      </c>
      <c r="K508" t="s">
        <v>6249</v>
      </c>
      <c r="L508" t="s">
        <v>6248</v>
      </c>
      <c r="M508" t="s">
        <v>75</v>
      </c>
      <c r="N508">
        <v>2</v>
      </c>
      <c r="O508" t="s">
        <v>6247</v>
      </c>
      <c r="P508" t="s">
        <v>6246</v>
      </c>
      <c r="Q508" t="s">
        <v>6245</v>
      </c>
      <c r="R508" s="7">
        <v>37530</v>
      </c>
      <c r="S508" s="8">
        <f t="shared" si="56"/>
        <v>2002</v>
      </c>
      <c r="T508" s="8">
        <v>2002</v>
      </c>
      <c r="U508" s="8">
        <f t="shared" si="57"/>
        <v>20</v>
      </c>
      <c r="V508" s="7">
        <v>37530</v>
      </c>
      <c r="W508" t="s">
        <v>322</v>
      </c>
      <c r="X508" s="2">
        <v>1.6379999999999999</v>
      </c>
      <c r="Y508" s="6">
        <f t="shared" si="62"/>
        <v>4.3725474493473214E-2</v>
      </c>
      <c r="AA508" t="s">
        <v>321</v>
      </c>
      <c r="AB508">
        <v>17391</v>
      </c>
      <c r="AD508" t="s">
        <v>2</v>
      </c>
      <c r="AE508">
        <v>50</v>
      </c>
      <c r="AF508">
        <v>10</v>
      </c>
      <c r="AH508" t="s">
        <v>6244</v>
      </c>
      <c r="AI508" t="s">
        <v>6243</v>
      </c>
      <c r="AJ508" t="s">
        <v>6242</v>
      </c>
      <c r="AK508" t="s">
        <v>6241</v>
      </c>
      <c r="AL508">
        <v>350</v>
      </c>
      <c r="AM508" s="5">
        <f t="shared" si="58"/>
        <v>17.5</v>
      </c>
      <c r="AN508" s="4">
        <f t="shared" si="63"/>
        <v>2.6505111700113593E-2</v>
      </c>
      <c r="AO508" s="3"/>
      <c r="AP508">
        <v>0</v>
      </c>
      <c r="AR508" t="s">
        <v>1</v>
      </c>
      <c r="AT508" s="2">
        <v>4.931</v>
      </c>
      <c r="AU508" s="1">
        <f t="shared" si="59"/>
        <v>3.8559365655465325</v>
      </c>
      <c r="AV508" s="1">
        <f t="shared" si="60"/>
        <v>3.5115293096793407</v>
      </c>
      <c r="AW508" s="1">
        <f t="shared" si="61"/>
        <v>3.1671220538121476</v>
      </c>
    </row>
    <row r="509" spans="1:49" x14ac:dyDescent="0.2">
      <c r="A509">
        <v>507</v>
      </c>
      <c r="B509" t="s">
        <v>6240</v>
      </c>
      <c r="C509" t="s">
        <v>6239</v>
      </c>
      <c r="D509">
        <v>1011092002803320</v>
      </c>
      <c r="F509" t="s">
        <v>6238</v>
      </c>
      <c r="G509" t="s">
        <v>5</v>
      </c>
      <c r="H509" t="s">
        <v>4</v>
      </c>
      <c r="I509" t="s">
        <v>6237</v>
      </c>
      <c r="J509" t="s">
        <v>1141</v>
      </c>
      <c r="K509" t="s">
        <v>1140</v>
      </c>
      <c r="L509" t="s">
        <v>1139</v>
      </c>
      <c r="M509" t="s">
        <v>3</v>
      </c>
      <c r="N509">
        <v>1</v>
      </c>
      <c r="O509" t="s">
        <v>6236</v>
      </c>
      <c r="P509">
        <v>7006800187</v>
      </c>
      <c r="Q509" t="s">
        <v>6235</v>
      </c>
      <c r="R509" s="7">
        <v>37530</v>
      </c>
      <c r="S509" s="8">
        <f t="shared" si="56"/>
        <v>2002</v>
      </c>
      <c r="T509" s="8">
        <v>2002</v>
      </c>
      <c r="U509" s="8">
        <f t="shared" si="57"/>
        <v>20</v>
      </c>
      <c r="V509" s="7">
        <v>37530</v>
      </c>
      <c r="W509" t="s">
        <v>322</v>
      </c>
      <c r="X509" s="2">
        <v>1.6379999999999999</v>
      </c>
      <c r="Y509" s="6">
        <f t="shared" si="62"/>
        <v>4.3725474493473214E-2</v>
      </c>
      <c r="AA509" t="s">
        <v>321</v>
      </c>
      <c r="AB509">
        <v>17391</v>
      </c>
      <c r="AD509" t="s">
        <v>2</v>
      </c>
      <c r="AE509">
        <v>50</v>
      </c>
      <c r="AF509">
        <v>10</v>
      </c>
      <c r="AH509" t="s">
        <v>6234</v>
      </c>
      <c r="AI509" t="s">
        <v>6233</v>
      </c>
      <c r="AJ509" t="s">
        <v>6232</v>
      </c>
      <c r="AK509" t="s">
        <v>6231</v>
      </c>
      <c r="AL509">
        <v>57</v>
      </c>
      <c r="AM509" s="5">
        <f t="shared" si="58"/>
        <v>2.85</v>
      </c>
      <c r="AN509" s="4">
        <f t="shared" si="63"/>
        <v>4.3165467625899279E-3</v>
      </c>
      <c r="AO509" s="3"/>
      <c r="AP509">
        <v>0</v>
      </c>
      <c r="AR509" t="s">
        <v>1</v>
      </c>
      <c r="AT509" s="2">
        <v>4.931</v>
      </c>
      <c r="AU509" s="1">
        <f t="shared" si="59"/>
        <v>3.1902796174208228</v>
      </c>
      <c r="AV509" s="1">
        <f t="shared" si="60"/>
        <v>2.4021010628031569</v>
      </c>
      <c r="AW509" s="1">
        <f t="shared" si="61"/>
        <v>1.6139225081854911</v>
      </c>
    </row>
    <row r="510" spans="1:49" x14ac:dyDescent="0.2">
      <c r="A510">
        <v>508</v>
      </c>
      <c r="B510" t="s">
        <v>6230</v>
      </c>
      <c r="C510" t="s">
        <v>6229</v>
      </c>
      <c r="D510">
        <v>1011092002803320</v>
      </c>
      <c r="F510" t="s">
        <v>6228</v>
      </c>
      <c r="G510" t="s">
        <v>5</v>
      </c>
      <c r="H510" t="s">
        <v>4</v>
      </c>
      <c r="I510" t="s">
        <v>500</v>
      </c>
      <c r="J510" t="s">
        <v>827</v>
      </c>
      <c r="K510" t="s">
        <v>826</v>
      </c>
      <c r="L510" t="s">
        <v>825</v>
      </c>
      <c r="M510" t="s">
        <v>3</v>
      </c>
      <c r="N510">
        <v>1</v>
      </c>
      <c r="O510" t="s">
        <v>4789</v>
      </c>
      <c r="P510">
        <v>7005365875</v>
      </c>
      <c r="Q510" t="s">
        <v>4788</v>
      </c>
      <c r="R510" s="7">
        <v>37530</v>
      </c>
      <c r="S510" s="8">
        <f t="shared" si="56"/>
        <v>2002</v>
      </c>
      <c r="T510" s="8">
        <v>2002</v>
      </c>
      <c r="U510" s="8">
        <f t="shared" si="57"/>
        <v>20</v>
      </c>
      <c r="V510" s="7">
        <v>37530</v>
      </c>
      <c r="W510" t="s">
        <v>322</v>
      </c>
      <c r="X510" s="2">
        <v>1.6379999999999999</v>
      </c>
      <c r="Y510" s="6">
        <f t="shared" si="62"/>
        <v>4.3725474493473214E-2</v>
      </c>
      <c r="AA510" t="s">
        <v>321</v>
      </c>
      <c r="AB510">
        <v>17391</v>
      </c>
      <c r="AD510" t="s">
        <v>2</v>
      </c>
      <c r="AE510">
        <v>50</v>
      </c>
      <c r="AF510">
        <v>10</v>
      </c>
      <c r="AH510" t="s">
        <v>6227</v>
      </c>
      <c r="AI510" t="s">
        <v>6226</v>
      </c>
      <c r="AJ510" t="s">
        <v>6225</v>
      </c>
      <c r="AK510" t="s">
        <v>6224</v>
      </c>
      <c r="AL510">
        <v>52</v>
      </c>
      <c r="AM510" s="5">
        <f t="shared" si="58"/>
        <v>2.6</v>
      </c>
      <c r="AN510" s="4">
        <f t="shared" si="63"/>
        <v>3.9379023097311627E-3</v>
      </c>
      <c r="AO510" s="3"/>
      <c r="AP510">
        <v>0</v>
      </c>
      <c r="AR510" t="s">
        <v>1</v>
      </c>
      <c r="AT510" s="2">
        <v>4.931</v>
      </c>
      <c r="AU510" s="1">
        <f t="shared" si="59"/>
        <v>3.1789202838350601</v>
      </c>
      <c r="AV510" s="1">
        <f t="shared" si="60"/>
        <v>2.3831688401602191</v>
      </c>
      <c r="AW510" s="1">
        <f t="shared" si="61"/>
        <v>1.5874173964853779</v>
      </c>
    </row>
    <row r="511" spans="1:49" x14ac:dyDescent="0.2">
      <c r="A511">
        <v>509</v>
      </c>
      <c r="B511" t="s">
        <v>6223</v>
      </c>
      <c r="C511" t="s">
        <v>6222</v>
      </c>
      <c r="D511">
        <v>1011092002803320</v>
      </c>
      <c r="F511" t="s">
        <v>6221</v>
      </c>
      <c r="G511" t="s">
        <v>5</v>
      </c>
      <c r="H511" t="s">
        <v>4</v>
      </c>
      <c r="I511" t="s">
        <v>6220</v>
      </c>
      <c r="J511" t="s">
        <v>1055</v>
      </c>
      <c r="K511" t="s">
        <v>1054</v>
      </c>
      <c r="L511" t="s">
        <v>1053</v>
      </c>
      <c r="M511" t="s">
        <v>3</v>
      </c>
      <c r="N511">
        <v>1</v>
      </c>
      <c r="O511" t="s">
        <v>6219</v>
      </c>
      <c r="P511">
        <v>7006280121</v>
      </c>
      <c r="Q511" t="s">
        <v>6218</v>
      </c>
      <c r="R511" s="7">
        <v>37530</v>
      </c>
      <c r="S511" s="8">
        <f t="shared" si="56"/>
        <v>2002</v>
      </c>
      <c r="T511" s="8">
        <v>2002</v>
      </c>
      <c r="U511" s="8">
        <f t="shared" si="57"/>
        <v>20</v>
      </c>
      <c r="V511" s="7">
        <v>37530</v>
      </c>
      <c r="W511" t="s">
        <v>322</v>
      </c>
      <c r="X511" s="2">
        <v>1.6379999999999999</v>
      </c>
      <c r="Y511" s="6">
        <f t="shared" si="62"/>
        <v>4.3725474493473214E-2</v>
      </c>
      <c r="AA511" t="s">
        <v>321</v>
      </c>
      <c r="AB511">
        <v>17391</v>
      </c>
      <c r="AD511" t="s">
        <v>2</v>
      </c>
      <c r="AE511">
        <v>50</v>
      </c>
      <c r="AF511">
        <v>10</v>
      </c>
      <c r="AH511" t="s">
        <v>6217</v>
      </c>
      <c r="AI511" t="s">
        <v>6216</v>
      </c>
      <c r="AJ511" t="s">
        <v>6215</v>
      </c>
      <c r="AK511" t="s">
        <v>6214</v>
      </c>
      <c r="AL511">
        <v>693</v>
      </c>
      <c r="AM511" s="5">
        <f t="shared" si="58"/>
        <v>34.65</v>
      </c>
      <c r="AN511" s="4">
        <f t="shared" si="63"/>
        <v>5.2480121166224913E-2</v>
      </c>
      <c r="AO511" s="3"/>
      <c r="AP511">
        <v>0</v>
      </c>
      <c r="AQ511" t="s">
        <v>290</v>
      </c>
      <c r="AR511" t="s">
        <v>6213</v>
      </c>
      <c r="AS511" t="s">
        <v>289</v>
      </c>
      <c r="AT511" s="2">
        <v>4.931</v>
      </c>
      <c r="AU511" s="1">
        <f t="shared" si="59"/>
        <v>4.6351868495298723</v>
      </c>
      <c r="AV511" s="1">
        <f t="shared" si="60"/>
        <v>4.8102797829849067</v>
      </c>
      <c r="AW511" s="1">
        <f t="shared" si="61"/>
        <v>4.9853727164399402</v>
      </c>
    </row>
    <row r="512" spans="1:49" x14ac:dyDescent="0.2">
      <c r="A512">
        <v>510</v>
      </c>
      <c r="B512" t="s">
        <v>6212</v>
      </c>
      <c r="C512" t="s">
        <v>6211</v>
      </c>
      <c r="D512">
        <v>1011092002803340</v>
      </c>
      <c r="F512" t="s">
        <v>494</v>
      </c>
      <c r="G512" t="s">
        <v>5</v>
      </c>
      <c r="H512" t="s">
        <v>4</v>
      </c>
      <c r="I512" t="s">
        <v>446</v>
      </c>
      <c r="J512" t="s">
        <v>1654</v>
      </c>
      <c r="K512" t="s">
        <v>1653</v>
      </c>
      <c r="L512" t="s">
        <v>1652</v>
      </c>
      <c r="M512" t="s">
        <v>441</v>
      </c>
      <c r="N512">
        <v>3</v>
      </c>
      <c r="O512" t="s">
        <v>445</v>
      </c>
      <c r="P512" t="s">
        <v>444</v>
      </c>
      <c r="Q512" t="s">
        <v>6210</v>
      </c>
      <c r="R512" s="7">
        <v>37530</v>
      </c>
      <c r="S512" s="8">
        <f t="shared" si="56"/>
        <v>2002</v>
      </c>
      <c r="T512" s="8">
        <v>2002</v>
      </c>
      <c r="U512" s="8">
        <f t="shared" si="57"/>
        <v>20</v>
      </c>
      <c r="V512" s="7">
        <v>37530</v>
      </c>
      <c r="W512" t="s">
        <v>322</v>
      </c>
      <c r="X512" s="2">
        <v>1.6379999999999999</v>
      </c>
      <c r="Y512" s="6">
        <f t="shared" si="62"/>
        <v>4.3725474493473214E-2</v>
      </c>
      <c r="AA512" t="s">
        <v>321</v>
      </c>
      <c r="AB512">
        <v>17391</v>
      </c>
      <c r="AD512" t="s">
        <v>2</v>
      </c>
      <c r="AE512">
        <v>50</v>
      </c>
      <c r="AF512">
        <v>10</v>
      </c>
      <c r="AH512" t="s">
        <v>6209</v>
      </c>
      <c r="AI512" t="s">
        <v>6208</v>
      </c>
      <c r="AJ512" t="s">
        <v>6207</v>
      </c>
      <c r="AK512" t="s">
        <v>6206</v>
      </c>
      <c r="AL512">
        <v>56</v>
      </c>
      <c r="AM512" s="5">
        <f t="shared" si="58"/>
        <v>2.8</v>
      </c>
      <c r="AN512" s="4">
        <f t="shared" si="63"/>
        <v>4.2408178720181747E-3</v>
      </c>
      <c r="AO512" s="3"/>
      <c r="AP512">
        <v>0</v>
      </c>
      <c r="AR512" t="s">
        <v>1</v>
      </c>
      <c r="AT512" s="2">
        <v>4.931</v>
      </c>
      <c r="AU512" s="1">
        <f t="shared" si="59"/>
        <v>3.1880077507036706</v>
      </c>
      <c r="AV512" s="1">
        <f t="shared" si="60"/>
        <v>2.3983146182745694</v>
      </c>
      <c r="AW512" s="1">
        <f t="shared" si="61"/>
        <v>1.6086214858454688</v>
      </c>
    </row>
    <row r="513" spans="1:49" x14ac:dyDescent="0.2">
      <c r="A513">
        <v>511</v>
      </c>
      <c r="B513" t="s">
        <v>6205</v>
      </c>
      <c r="C513" t="s">
        <v>6204</v>
      </c>
      <c r="D513">
        <v>1011092002803330</v>
      </c>
      <c r="F513" t="s">
        <v>6203</v>
      </c>
      <c r="G513" t="s">
        <v>5</v>
      </c>
      <c r="H513" t="s">
        <v>4</v>
      </c>
      <c r="I513" t="s">
        <v>79</v>
      </c>
      <c r="J513" t="s">
        <v>6202</v>
      </c>
      <c r="K513" t="s">
        <v>6201</v>
      </c>
      <c r="L513" t="s">
        <v>6200</v>
      </c>
      <c r="M513" t="s">
        <v>74</v>
      </c>
      <c r="N513">
        <v>3</v>
      </c>
      <c r="O513" t="s">
        <v>78</v>
      </c>
      <c r="P513" t="s">
        <v>77</v>
      </c>
      <c r="Q513" t="s">
        <v>6199</v>
      </c>
      <c r="R513" s="7">
        <v>37530</v>
      </c>
      <c r="S513" s="8">
        <f t="shared" si="56"/>
        <v>2002</v>
      </c>
      <c r="T513" s="8">
        <v>2002</v>
      </c>
      <c r="U513" s="8">
        <f t="shared" si="57"/>
        <v>20</v>
      </c>
      <c r="V513" s="7">
        <v>37530</v>
      </c>
      <c r="W513" t="s">
        <v>322</v>
      </c>
      <c r="X513" s="2">
        <v>1.6379999999999999</v>
      </c>
      <c r="Y513" s="6">
        <f t="shared" si="62"/>
        <v>4.3725474493473214E-2</v>
      </c>
      <c r="AA513" t="s">
        <v>321</v>
      </c>
      <c r="AB513">
        <v>17391</v>
      </c>
      <c r="AD513" t="s">
        <v>2</v>
      </c>
      <c r="AE513">
        <v>50</v>
      </c>
      <c r="AF513">
        <v>10</v>
      </c>
      <c r="AH513" t="s">
        <v>6198</v>
      </c>
      <c r="AI513" t="s">
        <v>6197</v>
      </c>
      <c r="AJ513" t="s">
        <v>6196</v>
      </c>
      <c r="AK513" t="s">
        <v>6195</v>
      </c>
      <c r="AL513">
        <v>334</v>
      </c>
      <c r="AM513" s="5">
        <f t="shared" si="58"/>
        <v>16.7</v>
      </c>
      <c r="AN513" s="4">
        <f t="shared" si="63"/>
        <v>2.5293449450965542E-2</v>
      </c>
      <c r="AO513" s="3"/>
      <c r="AP513">
        <v>0</v>
      </c>
      <c r="AQ513" t="s">
        <v>290</v>
      </c>
      <c r="AR513">
        <v>9979442</v>
      </c>
      <c r="AS513" t="s">
        <v>289</v>
      </c>
      <c r="AT513" s="2">
        <v>4.931</v>
      </c>
      <c r="AU513" s="1">
        <f t="shared" si="59"/>
        <v>3.8195866980720909</v>
      </c>
      <c r="AV513" s="1">
        <f t="shared" si="60"/>
        <v>3.450946197221938</v>
      </c>
      <c r="AW513" s="1">
        <f t="shared" si="61"/>
        <v>3.0823056963717841</v>
      </c>
    </row>
    <row r="514" spans="1:49" x14ac:dyDescent="0.2">
      <c r="A514">
        <v>512</v>
      </c>
      <c r="B514" t="s">
        <v>6194</v>
      </c>
      <c r="C514" t="s">
        <v>6193</v>
      </c>
      <c r="D514">
        <v>1011092002803320</v>
      </c>
      <c r="F514" t="s">
        <v>6192</v>
      </c>
      <c r="G514" t="s">
        <v>5</v>
      </c>
      <c r="H514" t="s">
        <v>4</v>
      </c>
      <c r="I514" t="s">
        <v>6191</v>
      </c>
      <c r="J514" t="s">
        <v>6190</v>
      </c>
      <c r="K514" t="s">
        <v>6189</v>
      </c>
      <c r="L514" t="s">
        <v>6188</v>
      </c>
      <c r="M514" t="s">
        <v>994</v>
      </c>
      <c r="N514">
        <v>5</v>
      </c>
      <c r="O514" t="s">
        <v>6187</v>
      </c>
      <c r="P514" t="s">
        <v>6186</v>
      </c>
      <c r="Q514" t="s">
        <v>6185</v>
      </c>
      <c r="R514" s="7">
        <v>37530</v>
      </c>
      <c r="S514" s="8">
        <f t="shared" ref="S514:S577" si="64">YEAR(R514)</f>
        <v>2002</v>
      </c>
      <c r="T514" s="8">
        <v>2002</v>
      </c>
      <c r="U514" s="8">
        <f t="shared" ref="U514:U577" si="65">2022-T514</f>
        <v>20</v>
      </c>
      <c r="V514" s="7">
        <v>37530</v>
      </c>
      <c r="W514" t="s">
        <v>322</v>
      </c>
      <c r="X514" s="2">
        <v>1.6379999999999999</v>
      </c>
      <c r="Y514" s="6">
        <f t="shared" si="62"/>
        <v>4.3725474493473214E-2</v>
      </c>
      <c r="AA514" t="s">
        <v>321</v>
      </c>
      <c r="AB514">
        <v>17391</v>
      </c>
      <c r="AD514" t="s">
        <v>2</v>
      </c>
      <c r="AE514">
        <v>50</v>
      </c>
      <c r="AF514">
        <v>10</v>
      </c>
      <c r="AH514" t="s">
        <v>6184</v>
      </c>
      <c r="AI514" t="s">
        <v>6183</v>
      </c>
      <c r="AJ514" t="s">
        <v>6182</v>
      </c>
      <c r="AK514" t="s">
        <v>6181</v>
      </c>
      <c r="AL514">
        <v>229</v>
      </c>
      <c r="AM514" s="5">
        <f t="shared" ref="AM514:AM577" si="66">AL514/U514</f>
        <v>11.45</v>
      </c>
      <c r="AN514" s="4">
        <f t="shared" si="63"/>
        <v>1.7341915940931464E-2</v>
      </c>
      <c r="AO514" s="3"/>
      <c r="AP514">
        <v>0</v>
      </c>
      <c r="AQ514" t="s">
        <v>290</v>
      </c>
      <c r="AR514" t="s">
        <v>6180</v>
      </c>
      <c r="AS514" t="s">
        <v>289</v>
      </c>
      <c r="AT514" s="2">
        <v>4.931</v>
      </c>
      <c r="AU514" s="1">
        <f t="shared" ref="AU514:AU577" si="67">(Y514*0.7+AN514*0.3)*100</f>
        <v>3.5810406927710687</v>
      </c>
      <c r="AV514" s="1">
        <f t="shared" ref="AV514:AV577" si="68">(Y514*0.5+AN514*0.5)*100</f>
        <v>3.0533695217202341</v>
      </c>
      <c r="AW514" s="1">
        <f t="shared" ref="AW514:AW577" si="69">(Y514*0.3+AN514*0.7)*100</f>
        <v>2.5256983506693991</v>
      </c>
    </row>
    <row r="515" spans="1:49" x14ac:dyDescent="0.2">
      <c r="A515">
        <v>513</v>
      </c>
      <c r="B515" t="s">
        <v>6179</v>
      </c>
      <c r="C515" t="s">
        <v>6178</v>
      </c>
      <c r="D515">
        <v>1011092002803340</v>
      </c>
      <c r="F515" t="s">
        <v>6177</v>
      </c>
      <c r="G515" t="s">
        <v>5</v>
      </c>
      <c r="H515" t="s">
        <v>4</v>
      </c>
      <c r="I515" t="s">
        <v>292</v>
      </c>
      <c r="J515" t="s">
        <v>6176</v>
      </c>
      <c r="K515" t="s">
        <v>6175</v>
      </c>
      <c r="L515" t="s">
        <v>6174</v>
      </c>
      <c r="M515" t="s">
        <v>74</v>
      </c>
      <c r="N515">
        <v>2</v>
      </c>
      <c r="O515" t="s">
        <v>6173</v>
      </c>
      <c r="P515" t="s">
        <v>6172</v>
      </c>
      <c r="Q515" t="s">
        <v>6171</v>
      </c>
      <c r="R515" s="7">
        <v>37530</v>
      </c>
      <c r="S515" s="8">
        <f t="shared" si="64"/>
        <v>2002</v>
      </c>
      <c r="T515" s="8">
        <v>2002</v>
      </c>
      <c r="U515" s="8">
        <f t="shared" si="65"/>
        <v>20</v>
      </c>
      <c r="V515" s="7">
        <v>37530</v>
      </c>
      <c r="W515" t="s">
        <v>322</v>
      </c>
      <c r="X515" s="2">
        <v>1.6379999999999999</v>
      </c>
      <c r="Y515" s="6">
        <f t="shared" ref="Y515:Y578" si="70">(X515-$Z$3)/($Z$2-$Z$3)</f>
        <v>4.3725474493473214E-2</v>
      </c>
      <c r="AA515" t="s">
        <v>321</v>
      </c>
      <c r="AB515">
        <v>17391</v>
      </c>
      <c r="AD515" t="s">
        <v>2</v>
      </c>
      <c r="AE515">
        <v>50</v>
      </c>
      <c r="AF515">
        <v>10</v>
      </c>
      <c r="AH515" t="s">
        <v>6170</v>
      </c>
      <c r="AI515" t="s">
        <v>6169</v>
      </c>
      <c r="AJ515" t="s">
        <v>6168</v>
      </c>
      <c r="AK515" t="s">
        <v>6167</v>
      </c>
      <c r="AL515">
        <v>26</v>
      </c>
      <c r="AM515" s="5">
        <f t="shared" si="66"/>
        <v>1.3</v>
      </c>
      <c r="AN515" s="4">
        <f t="shared" ref="AN515:AN578" si="71">(AM515-$AO$3)/($AO$2-$AO$3)</f>
        <v>1.9689511548655813E-3</v>
      </c>
      <c r="AO515" s="3"/>
      <c r="AP515">
        <v>0</v>
      </c>
      <c r="AQ515" t="s">
        <v>290</v>
      </c>
      <c r="AR515" t="s">
        <v>6166</v>
      </c>
      <c r="AS515" t="s">
        <v>289</v>
      </c>
      <c r="AT515" s="2">
        <v>4.931</v>
      </c>
      <c r="AU515" s="1">
        <f t="shared" si="67"/>
        <v>3.1198517491890922</v>
      </c>
      <c r="AV515" s="1">
        <f t="shared" si="68"/>
        <v>2.2847212824169398</v>
      </c>
      <c r="AW515" s="1">
        <f t="shared" si="69"/>
        <v>1.449590815644787</v>
      </c>
    </row>
    <row r="516" spans="1:49" x14ac:dyDescent="0.2">
      <c r="A516">
        <v>514</v>
      </c>
      <c r="B516" t="s">
        <v>6165</v>
      </c>
      <c r="C516" t="s">
        <v>6164</v>
      </c>
      <c r="D516">
        <v>1011092002803340</v>
      </c>
      <c r="F516" t="s">
        <v>6163</v>
      </c>
      <c r="G516" t="s">
        <v>5</v>
      </c>
      <c r="H516" t="s">
        <v>4</v>
      </c>
      <c r="I516" t="s">
        <v>279</v>
      </c>
      <c r="J516" t="s">
        <v>6162</v>
      </c>
      <c r="K516" t="s">
        <v>6161</v>
      </c>
      <c r="L516" t="s">
        <v>6160</v>
      </c>
      <c r="M516" t="s">
        <v>74</v>
      </c>
      <c r="N516">
        <v>2</v>
      </c>
      <c r="O516" t="s">
        <v>6159</v>
      </c>
      <c r="P516" t="s">
        <v>6158</v>
      </c>
      <c r="Q516" t="s">
        <v>6157</v>
      </c>
      <c r="R516" s="7">
        <v>37530</v>
      </c>
      <c r="S516" s="8">
        <f t="shared" si="64"/>
        <v>2002</v>
      </c>
      <c r="T516" s="8">
        <v>2002</v>
      </c>
      <c r="U516" s="8">
        <f t="shared" si="65"/>
        <v>20</v>
      </c>
      <c r="V516" s="7">
        <v>37530</v>
      </c>
      <c r="W516" t="s">
        <v>322</v>
      </c>
      <c r="X516" s="2">
        <v>1.6379999999999999</v>
      </c>
      <c r="Y516" s="6">
        <f t="shared" si="70"/>
        <v>4.3725474493473214E-2</v>
      </c>
      <c r="AA516" t="s">
        <v>321</v>
      </c>
      <c r="AB516">
        <v>17391</v>
      </c>
      <c r="AD516" t="s">
        <v>2</v>
      </c>
      <c r="AE516">
        <v>50</v>
      </c>
      <c r="AF516">
        <v>10</v>
      </c>
      <c r="AH516" t="s">
        <v>6156</v>
      </c>
      <c r="AI516" t="s">
        <v>6155</v>
      </c>
      <c r="AJ516" t="s">
        <v>6154</v>
      </c>
      <c r="AK516" t="s">
        <v>6153</v>
      </c>
      <c r="AL516">
        <v>30</v>
      </c>
      <c r="AM516" s="5">
        <f t="shared" si="66"/>
        <v>1.5</v>
      </c>
      <c r="AN516" s="4">
        <f t="shared" si="71"/>
        <v>2.2718667171525938E-3</v>
      </c>
      <c r="AO516" s="3"/>
      <c r="AP516">
        <v>0</v>
      </c>
      <c r="AQ516" t="s">
        <v>290</v>
      </c>
      <c r="AR516" t="s">
        <v>997</v>
      </c>
      <c r="AS516" t="s">
        <v>289</v>
      </c>
      <c r="AT516" s="2">
        <v>4.931</v>
      </c>
      <c r="AU516" s="1">
        <f t="shared" si="67"/>
        <v>3.1289392160577023</v>
      </c>
      <c r="AV516" s="1">
        <f t="shared" si="68"/>
        <v>2.2998670605312901</v>
      </c>
      <c r="AW516" s="1">
        <f t="shared" si="69"/>
        <v>1.4707949050048779</v>
      </c>
    </row>
    <row r="517" spans="1:49" x14ac:dyDescent="0.2">
      <c r="A517">
        <v>515</v>
      </c>
      <c r="B517" t="s">
        <v>6152</v>
      </c>
      <c r="C517" t="s">
        <v>6151</v>
      </c>
      <c r="D517">
        <v>1011092002803320</v>
      </c>
      <c r="F517" t="s">
        <v>6150</v>
      </c>
      <c r="G517" t="s">
        <v>5</v>
      </c>
      <c r="H517" t="s">
        <v>4</v>
      </c>
      <c r="I517" t="s">
        <v>562</v>
      </c>
      <c r="J517" t="s">
        <v>6149</v>
      </c>
      <c r="K517" t="s">
        <v>6148</v>
      </c>
      <c r="L517" t="s">
        <v>6147</v>
      </c>
      <c r="M517" t="s">
        <v>74</v>
      </c>
      <c r="N517">
        <v>2</v>
      </c>
      <c r="O517" t="s">
        <v>559</v>
      </c>
      <c r="P517" t="s">
        <v>558</v>
      </c>
      <c r="Q517" t="s">
        <v>6146</v>
      </c>
      <c r="R517" s="7">
        <v>37530</v>
      </c>
      <c r="S517" s="8">
        <f t="shared" si="64"/>
        <v>2002</v>
      </c>
      <c r="T517" s="8">
        <v>2002</v>
      </c>
      <c r="U517" s="8">
        <f t="shared" si="65"/>
        <v>20</v>
      </c>
      <c r="V517" s="7">
        <v>37530</v>
      </c>
      <c r="W517" t="s">
        <v>322</v>
      </c>
      <c r="X517" s="2">
        <v>1.6379999999999999</v>
      </c>
      <c r="Y517" s="6">
        <f t="shared" si="70"/>
        <v>4.3725474493473214E-2</v>
      </c>
      <c r="AA517" t="s">
        <v>321</v>
      </c>
      <c r="AB517">
        <v>17391</v>
      </c>
      <c r="AD517" t="s">
        <v>2</v>
      </c>
      <c r="AE517">
        <v>50</v>
      </c>
      <c r="AF517">
        <v>10</v>
      </c>
      <c r="AH517" t="s">
        <v>6145</v>
      </c>
      <c r="AI517" t="s">
        <v>6144</v>
      </c>
      <c r="AJ517" t="s">
        <v>6143</v>
      </c>
      <c r="AK517" t="s">
        <v>6142</v>
      </c>
      <c r="AL517">
        <v>285</v>
      </c>
      <c r="AM517" s="5">
        <f t="shared" si="66"/>
        <v>14.25</v>
      </c>
      <c r="AN517" s="4">
        <f t="shared" si="71"/>
        <v>2.1582733812949641E-2</v>
      </c>
      <c r="AO517" s="3"/>
      <c r="AP517">
        <v>0</v>
      </c>
      <c r="AR517" t="s">
        <v>1</v>
      </c>
      <c r="AT517" s="2">
        <v>4.931</v>
      </c>
      <c r="AU517" s="1">
        <f t="shared" si="67"/>
        <v>3.708265228931614</v>
      </c>
      <c r="AV517" s="1">
        <f t="shared" si="68"/>
        <v>3.2654104153211425</v>
      </c>
      <c r="AW517" s="1">
        <f t="shared" si="69"/>
        <v>2.822555601710671</v>
      </c>
    </row>
    <row r="518" spans="1:49" x14ac:dyDescent="0.2">
      <c r="A518">
        <v>516</v>
      </c>
      <c r="B518" t="s">
        <v>6141</v>
      </c>
      <c r="C518" t="s">
        <v>6140</v>
      </c>
      <c r="D518">
        <v>1011092002803310</v>
      </c>
      <c r="F518" t="s">
        <v>6139</v>
      </c>
      <c r="G518" t="s">
        <v>5</v>
      </c>
      <c r="H518" t="s">
        <v>4</v>
      </c>
      <c r="I518" t="s">
        <v>6138</v>
      </c>
      <c r="J518" t="s">
        <v>6137</v>
      </c>
      <c r="K518" t="s">
        <v>6136</v>
      </c>
      <c r="L518" t="s">
        <v>6135</v>
      </c>
      <c r="M518" t="s">
        <v>6134</v>
      </c>
      <c r="N518">
        <v>2</v>
      </c>
      <c r="O518" t="s">
        <v>6133</v>
      </c>
      <c r="P518" t="s">
        <v>6132</v>
      </c>
      <c r="Q518" t="s">
        <v>6131</v>
      </c>
      <c r="R518" s="7">
        <v>37530</v>
      </c>
      <c r="S518" s="8">
        <f t="shared" si="64"/>
        <v>2002</v>
      </c>
      <c r="T518" s="8">
        <v>2002</v>
      </c>
      <c r="U518" s="8">
        <f t="shared" si="65"/>
        <v>20</v>
      </c>
      <c r="V518" s="7">
        <v>37530</v>
      </c>
      <c r="W518" t="s">
        <v>322</v>
      </c>
      <c r="X518" s="2">
        <v>1.6379999999999999</v>
      </c>
      <c r="Y518" s="6">
        <f t="shared" si="70"/>
        <v>4.3725474493473214E-2</v>
      </c>
      <c r="AA518" t="s">
        <v>321</v>
      </c>
      <c r="AB518">
        <v>17391</v>
      </c>
      <c r="AD518" t="s">
        <v>2</v>
      </c>
      <c r="AE518">
        <v>50</v>
      </c>
      <c r="AF518">
        <v>10</v>
      </c>
      <c r="AH518" t="s">
        <v>6130</v>
      </c>
      <c r="AI518" t="s">
        <v>6129</v>
      </c>
      <c r="AJ518" t="s">
        <v>6128</v>
      </c>
      <c r="AK518" t="s">
        <v>6127</v>
      </c>
      <c r="AL518">
        <v>128</v>
      </c>
      <c r="AM518" s="5">
        <f t="shared" si="66"/>
        <v>6.4</v>
      </c>
      <c r="AN518" s="4">
        <f t="shared" si="71"/>
        <v>9.6932979931844011E-3</v>
      </c>
      <c r="AO518" s="3"/>
      <c r="AP518">
        <v>0</v>
      </c>
      <c r="AQ518" t="s">
        <v>290</v>
      </c>
      <c r="AR518" t="s">
        <v>6126</v>
      </c>
      <c r="AS518" t="s">
        <v>289</v>
      </c>
      <c r="AT518" s="2">
        <v>4.931</v>
      </c>
      <c r="AU518" s="1">
        <f t="shared" si="67"/>
        <v>3.3515821543386566</v>
      </c>
      <c r="AV518" s="1">
        <f t="shared" si="68"/>
        <v>2.6709386243328805</v>
      </c>
      <c r="AW518" s="1">
        <f t="shared" si="69"/>
        <v>1.9902950943271043</v>
      </c>
    </row>
    <row r="519" spans="1:49" x14ac:dyDescent="0.2">
      <c r="A519">
        <v>517</v>
      </c>
      <c r="B519" t="s">
        <v>6125</v>
      </c>
      <c r="C519" t="s">
        <v>6124</v>
      </c>
      <c r="D519">
        <v>1011092002803330</v>
      </c>
      <c r="F519" t="s">
        <v>6123</v>
      </c>
      <c r="G519" t="s">
        <v>5</v>
      </c>
      <c r="H519" t="s">
        <v>4</v>
      </c>
      <c r="I519" t="s">
        <v>6122</v>
      </c>
      <c r="J519" t="s">
        <v>6121</v>
      </c>
      <c r="K519" t="s">
        <v>6120</v>
      </c>
      <c r="L519" t="s">
        <v>6119</v>
      </c>
      <c r="M519" t="s">
        <v>3</v>
      </c>
      <c r="N519">
        <v>2</v>
      </c>
      <c r="O519" t="s">
        <v>6118</v>
      </c>
      <c r="P519" t="s">
        <v>6117</v>
      </c>
      <c r="Q519" t="s">
        <v>6116</v>
      </c>
      <c r="R519" s="7">
        <v>37530</v>
      </c>
      <c r="S519" s="8">
        <f t="shared" si="64"/>
        <v>2002</v>
      </c>
      <c r="T519" s="8">
        <v>2002</v>
      </c>
      <c r="U519" s="8">
        <f t="shared" si="65"/>
        <v>20</v>
      </c>
      <c r="V519" s="7">
        <v>37530</v>
      </c>
      <c r="W519" t="s">
        <v>322</v>
      </c>
      <c r="X519" s="2">
        <v>1.6379999999999999</v>
      </c>
      <c r="Y519" s="6">
        <f t="shared" si="70"/>
        <v>4.3725474493473214E-2</v>
      </c>
      <c r="AA519" t="s">
        <v>321</v>
      </c>
      <c r="AB519">
        <v>17391</v>
      </c>
      <c r="AD519" t="s">
        <v>2</v>
      </c>
      <c r="AE519">
        <v>50</v>
      </c>
      <c r="AF519">
        <v>10</v>
      </c>
      <c r="AH519" t="s">
        <v>6115</v>
      </c>
      <c r="AI519" t="s">
        <v>6114</v>
      </c>
      <c r="AJ519" t="s">
        <v>6113</v>
      </c>
      <c r="AK519" t="s">
        <v>6112</v>
      </c>
      <c r="AL519">
        <v>474</v>
      </c>
      <c r="AM519" s="5">
        <f t="shared" si="66"/>
        <v>23.7</v>
      </c>
      <c r="AN519" s="4">
        <f t="shared" si="71"/>
        <v>3.589549413101098E-2</v>
      </c>
      <c r="AO519" s="3"/>
      <c r="AP519">
        <v>0</v>
      </c>
      <c r="AR519" t="s">
        <v>1</v>
      </c>
      <c r="AT519" s="2">
        <v>4.931</v>
      </c>
      <c r="AU519" s="1">
        <f t="shared" si="67"/>
        <v>4.1376480384734542</v>
      </c>
      <c r="AV519" s="1">
        <f t="shared" si="68"/>
        <v>3.98104843122421</v>
      </c>
      <c r="AW519" s="1">
        <f t="shared" si="69"/>
        <v>3.824448823974965</v>
      </c>
    </row>
    <row r="520" spans="1:49" x14ac:dyDescent="0.2">
      <c r="A520">
        <v>518</v>
      </c>
      <c r="B520" t="s">
        <v>6111</v>
      </c>
      <c r="C520" t="s">
        <v>6110</v>
      </c>
      <c r="D520">
        <v>1011092002803340</v>
      </c>
      <c r="F520" t="s">
        <v>6109</v>
      </c>
      <c r="G520" t="s">
        <v>5</v>
      </c>
      <c r="H520" t="s">
        <v>4</v>
      </c>
      <c r="I520" t="s">
        <v>6108</v>
      </c>
      <c r="J520" t="s">
        <v>861</v>
      </c>
      <c r="K520" t="s">
        <v>860</v>
      </c>
      <c r="L520" t="s">
        <v>859</v>
      </c>
      <c r="M520" t="s">
        <v>3</v>
      </c>
      <c r="N520">
        <v>2</v>
      </c>
      <c r="O520" t="s">
        <v>6107</v>
      </c>
      <c r="P520" t="s">
        <v>6106</v>
      </c>
      <c r="Q520" t="s">
        <v>6105</v>
      </c>
      <c r="R520" s="7">
        <v>37530</v>
      </c>
      <c r="S520" s="8">
        <f t="shared" si="64"/>
        <v>2002</v>
      </c>
      <c r="T520" s="8">
        <v>2002</v>
      </c>
      <c r="U520" s="8">
        <f t="shared" si="65"/>
        <v>20</v>
      </c>
      <c r="V520" s="7">
        <v>37530</v>
      </c>
      <c r="W520" t="s">
        <v>322</v>
      </c>
      <c r="X520" s="2">
        <v>1.6379999999999999</v>
      </c>
      <c r="Y520" s="6">
        <f t="shared" si="70"/>
        <v>4.3725474493473214E-2</v>
      </c>
      <c r="AA520" t="s">
        <v>321</v>
      </c>
      <c r="AB520">
        <v>17391</v>
      </c>
      <c r="AD520" t="s">
        <v>2</v>
      </c>
      <c r="AE520">
        <v>50</v>
      </c>
      <c r="AF520">
        <v>10</v>
      </c>
      <c r="AH520" t="s">
        <v>6104</v>
      </c>
      <c r="AI520" t="s">
        <v>6103</v>
      </c>
      <c r="AJ520" t="s">
        <v>6102</v>
      </c>
      <c r="AK520" t="s">
        <v>6101</v>
      </c>
      <c r="AL520">
        <v>105</v>
      </c>
      <c r="AM520" s="5">
        <f t="shared" si="66"/>
        <v>5.25</v>
      </c>
      <c r="AN520" s="4">
        <f t="shared" si="71"/>
        <v>7.9515335100340777E-3</v>
      </c>
      <c r="AO520" s="3"/>
      <c r="AP520">
        <v>0</v>
      </c>
      <c r="AQ520" t="s">
        <v>290</v>
      </c>
      <c r="AR520" t="s">
        <v>6100</v>
      </c>
      <c r="AS520" t="s">
        <v>289</v>
      </c>
      <c r="AT520" s="2">
        <v>4.931</v>
      </c>
      <c r="AU520" s="1">
        <f t="shared" si="67"/>
        <v>3.2993292198441471</v>
      </c>
      <c r="AV520" s="1">
        <f t="shared" si="68"/>
        <v>2.5838504001753644</v>
      </c>
      <c r="AW520" s="1">
        <f t="shared" si="69"/>
        <v>1.8683715805065817</v>
      </c>
    </row>
    <row r="521" spans="1:49" x14ac:dyDescent="0.2">
      <c r="A521">
        <v>519</v>
      </c>
      <c r="B521" t="s">
        <v>6099</v>
      </c>
      <c r="C521" t="s">
        <v>6098</v>
      </c>
      <c r="D521">
        <v>1011092002803340</v>
      </c>
      <c r="F521" t="s">
        <v>6097</v>
      </c>
      <c r="G521" t="s">
        <v>5</v>
      </c>
      <c r="H521" t="s">
        <v>4</v>
      </c>
      <c r="I521" t="s">
        <v>6096</v>
      </c>
      <c r="J521" t="s">
        <v>6095</v>
      </c>
      <c r="K521" t="s">
        <v>6094</v>
      </c>
      <c r="L521" t="s">
        <v>6093</v>
      </c>
      <c r="M521" t="s">
        <v>6092</v>
      </c>
      <c r="N521">
        <v>3</v>
      </c>
      <c r="O521" t="s">
        <v>6091</v>
      </c>
      <c r="P521" t="s">
        <v>6090</v>
      </c>
      <c r="Q521" t="s">
        <v>6089</v>
      </c>
      <c r="R521" s="7">
        <v>37530</v>
      </c>
      <c r="S521" s="8">
        <f t="shared" si="64"/>
        <v>2002</v>
      </c>
      <c r="T521" s="8">
        <v>2002</v>
      </c>
      <c r="U521" s="8">
        <f t="shared" si="65"/>
        <v>20</v>
      </c>
      <c r="V521" s="7">
        <v>37530</v>
      </c>
      <c r="W521" t="s">
        <v>322</v>
      </c>
      <c r="X521" s="2">
        <v>1.6379999999999999</v>
      </c>
      <c r="Y521" s="6">
        <f t="shared" si="70"/>
        <v>4.3725474493473214E-2</v>
      </c>
      <c r="AA521" t="s">
        <v>321</v>
      </c>
      <c r="AB521">
        <v>17391</v>
      </c>
      <c r="AD521" t="s">
        <v>2</v>
      </c>
      <c r="AE521">
        <v>50</v>
      </c>
      <c r="AF521">
        <v>10</v>
      </c>
      <c r="AH521" t="s">
        <v>6088</v>
      </c>
      <c r="AI521" t="s">
        <v>6087</v>
      </c>
      <c r="AJ521" t="s">
        <v>6086</v>
      </c>
      <c r="AK521" t="s">
        <v>6085</v>
      </c>
      <c r="AL521">
        <v>23</v>
      </c>
      <c r="AM521" s="5">
        <f t="shared" si="66"/>
        <v>1.1499999999999999</v>
      </c>
      <c r="AN521" s="4">
        <f t="shared" si="71"/>
        <v>1.7417644831503216E-3</v>
      </c>
      <c r="AO521" s="3"/>
      <c r="AP521">
        <v>0</v>
      </c>
      <c r="AR521" t="s">
        <v>1</v>
      </c>
      <c r="AT521" s="2">
        <v>4.931</v>
      </c>
      <c r="AU521" s="1">
        <f t="shared" si="67"/>
        <v>3.1130361490376348</v>
      </c>
      <c r="AV521" s="1">
        <f t="shared" si="68"/>
        <v>2.2733619488311771</v>
      </c>
      <c r="AW521" s="1">
        <f t="shared" si="69"/>
        <v>1.433687748624719</v>
      </c>
    </row>
    <row r="522" spans="1:49" x14ac:dyDescent="0.2">
      <c r="A522">
        <v>520</v>
      </c>
      <c r="B522" t="s">
        <v>6084</v>
      </c>
      <c r="C522" t="s">
        <v>6083</v>
      </c>
      <c r="F522" t="s">
        <v>6082</v>
      </c>
      <c r="G522" t="s">
        <v>5</v>
      </c>
      <c r="H522" t="s">
        <v>4</v>
      </c>
      <c r="I522" t="s">
        <v>6081</v>
      </c>
      <c r="J522">
        <v>60027892</v>
      </c>
      <c r="K522" t="s">
        <v>5012</v>
      </c>
      <c r="L522" t="s">
        <v>161</v>
      </c>
      <c r="M522" t="s">
        <v>14</v>
      </c>
      <c r="N522">
        <v>3</v>
      </c>
      <c r="O522" t="s">
        <v>6080</v>
      </c>
      <c r="P522" t="s">
        <v>6079</v>
      </c>
      <c r="Q522" t="s">
        <v>6078</v>
      </c>
      <c r="R522" s="7">
        <v>37530</v>
      </c>
      <c r="S522" s="8">
        <f t="shared" si="64"/>
        <v>2002</v>
      </c>
      <c r="T522" s="8">
        <v>2002</v>
      </c>
      <c r="U522" s="8">
        <f t="shared" si="65"/>
        <v>20</v>
      </c>
      <c r="V522" s="7">
        <v>37530</v>
      </c>
      <c r="W522" t="s">
        <v>578</v>
      </c>
      <c r="X522" s="2">
        <v>0.66800000000000004</v>
      </c>
      <c r="Y522" s="6">
        <f t="shared" si="70"/>
        <v>1.7831878486959774E-2</v>
      </c>
      <c r="AA522" t="s">
        <v>577</v>
      </c>
      <c r="AB522">
        <v>29593</v>
      </c>
      <c r="AC522">
        <v>21553165</v>
      </c>
      <c r="AD522" t="s">
        <v>2</v>
      </c>
      <c r="AE522">
        <v>41</v>
      </c>
      <c r="AF522">
        <v>28</v>
      </c>
      <c r="AH522" t="s">
        <v>6077</v>
      </c>
      <c r="AI522" t="s">
        <v>6076</v>
      </c>
      <c r="AK522" t="s">
        <v>6075</v>
      </c>
      <c r="AL522">
        <v>3</v>
      </c>
      <c r="AM522" s="5">
        <f t="shared" si="66"/>
        <v>0.15</v>
      </c>
      <c r="AN522" s="4">
        <f t="shared" si="71"/>
        <v>2.2718667171525936E-4</v>
      </c>
      <c r="AO522" s="3"/>
      <c r="AP522">
        <v>0</v>
      </c>
      <c r="AR522" t="s">
        <v>1</v>
      </c>
      <c r="AT522" s="2">
        <v>1.98</v>
      </c>
      <c r="AU522" s="1">
        <f t="shared" si="67"/>
        <v>1.2550470942386418</v>
      </c>
      <c r="AV522" s="1">
        <f t="shared" si="68"/>
        <v>0.9029532579337517</v>
      </c>
      <c r="AW522" s="1">
        <f t="shared" si="69"/>
        <v>0.55085942162886137</v>
      </c>
    </row>
    <row r="523" spans="1:49" x14ac:dyDescent="0.2">
      <c r="A523">
        <v>521</v>
      </c>
      <c r="B523" t="s">
        <v>6074</v>
      </c>
      <c r="C523" t="s">
        <v>6073</v>
      </c>
      <c r="E523">
        <v>12369631</v>
      </c>
      <c r="F523" t="s">
        <v>6072</v>
      </c>
      <c r="G523" t="s">
        <v>5</v>
      </c>
      <c r="H523" t="s">
        <v>4</v>
      </c>
      <c r="I523" t="s">
        <v>6071</v>
      </c>
      <c r="J523" t="s">
        <v>6070</v>
      </c>
      <c r="K523" t="s">
        <v>6069</v>
      </c>
      <c r="L523" t="s">
        <v>6068</v>
      </c>
      <c r="M523" t="s">
        <v>6067</v>
      </c>
      <c r="N523">
        <v>6</v>
      </c>
      <c r="O523" t="s">
        <v>6066</v>
      </c>
      <c r="P523" t="s">
        <v>6065</v>
      </c>
      <c r="Q523" t="s">
        <v>6064</v>
      </c>
      <c r="R523" s="7">
        <v>37530</v>
      </c>
      <c r="S523" s="8">
        <f t="shared" si="64"/>
        <v>2002</v>
      </c>
      <c r="T523" s="8">
        <v>2002</v>
      </c>
      <c r="U523" s="8">
        <f t="shared" si="65"/>
        <v>20</v>
      </c>
      <c r="V523" s="7">
        <v>37530</v>
      </c>
      <c r="W523" t="s">
        <v>1091</v>
      </c>
      <c r="X523" s="2">
        <v>1.448</v>
      </c>
      <c r="Y523" s="6">
        <f t="shared" si="70"/>
        <v>3.8653533007661299E-2</v>
      </c>
      <c r="AA523">
        <v>1674412</v>
      </c>
      <c r="AB523">
        <v>13042</v>
      </c>
      <c r="AD523" t="s">
        <v>2</v>
      </c>
      <c r="AE523">
        <v>50</v>
      </c>
      <c r="AF523">
        <v>3</v>
      </c>
      <c r="AH523" t="s">
        <v>6063</v>
      </c>
      <c r="AI523" t="s">
        <v>6062</v>
      </c>
      <c r="AJ523" t="s">
        <v>6061</v>
      </c>
      <c r="AK523" t="s">
        <v>6060</v>
      </c>
      <c r="AL523">
        <v>1</v>
      </c>
      <c r="AM523" s="5">
        <f t="shared" si="66"/>
        <v>0.05</v>
      </c>
      <c r="AN523" s="4">
        <f t="shared" si="71"/>
        <v>7.5728890571753133E-5</v>
      </c>
      <c r="AO523" s="3"/>
      <c r="AP523">
        <v>0</v>
      </c>
      <c r="AR523" t="s">
        <v>1</v>
      </c>
      <c r="AT523" s="2">
        <v>4.0759999999999996</v>
      </c>
      <c r="AU523" s="1">
        <f t="shared" si="67"/>
        <v>2.7080191772534432</v>
      </c>
      <c r="AV523" s="1">
        <f t="shared" si="68"/>
        <v>1.9364630949116526</v>
      </c>
      <c r="AW523" s="1">
        <f t="shared" si="69"/>
        <v>1.1649070125698617</v>
      </c>
    </row>
    <row r="524" spans="1:49" x14ac:dyDescent="0.2">
      <c r="A524">
        <v>522</v>
      </c>
      <c r="B524" t="s">
        <v>6059</v>
      </c>
      <c r="C524" t="s">
        <v>6058</v>
      </c>
      <c r="D524" t="s">
        <v>6057</v>
      </c>
      <c r="F524" t="s">
        <v>6056</v>
      </c>
      <c r="G524" t="s">
        <v>5</v>
      </c>
      <c r="H524" t="s">
        <v>4</v>
      </c>
      <c r="I524" t="s">
        <v>148</v>
      </c>
      <c r="J524" t="s">
        <v>6055</v>
      </c>
      <c r="K524" t="s">
        <v>6054</v>
      </c>
      <c r="L524" t="s">
        <v>178</v>
      </c>
      <c r="M524" t="s">
        <v>177</v>
      </c>
      <c r="N524">
        <v>6</v>
      </c>
      <c r="O524" t="s">
        <v>6053</v>
      </c>
      <c r="P524" t="s">
        <v>6052</v>
      </c>
      <c r="Q524" t="s">
        <v>6051</v>
      </c>
      <c r="R524" s="7">
        <v>37530</v>
      </c>
      <c r="S524" s="8">
        <f t="shared" si="64"/>
        <v>2002</v>
      </c>
      <c r="T524" s="8">
        <v>2002</v>
      </c>
      <c r="U524" s="8">
        <f t="shared" si="65"/>
        <v>20</v>
      </c>
      <c r="V524" s="7">
        <v>37530</v>
      </c>
      <c r="W524" t="s">
        <v>1183</v>
      </c>
      <c r="X524" s="2">
        <v>0.625</v>
      </c>
      <c r="Y524" s="6">
        <f t="shared" si="70"/>
        <v>1.6684018045433919E-2</v>
      </c>
      <c r="AA524">
        <v>304018</v>
      </c>
      <c r="AB524">
        <v>12352</v>
      </c>
      <c r="AD524" t="s">
        <v>2</v>
      </c>
      <c r="AE524">
        <v>211</v>
      </c>
      <c r="AF524" s="9">
        <v>44348</v>
      </c>
      <c r="AH524" t="s">
        <v>6050</v>
      </c>
      <c r="AI524" t="s">
        <v>6049</v>
      </c>
      <c r="AJ524" t="s">
        <v>6048</v>
      </c>
      <c r="AK524" t="s">
        <v>6047</v>
      </c>
      <c r="AL524">
        <v>5</v>
      </c>
      <c r="AM524" s="5">
        <f t="shared" si="66"/>
        <v>0.25</v>
      </c>
      <c r="AN524" s="4">
        <f t="shared" si="71"/>
        <v>3.786444528587656E-4</v>
      </c>
      <c r="AO524" s="3"/>
      <c r="AP524">
        <v>0</v>
      </c>
      <c r="AR524" t="s">
        <v>1</v>
      </c>
      <c r="AT524" s="2">
        <v>2.31</v>
      </c>
      <c r="AU524" s="1">
        <f t="shared" si="67"/>
        <v>1.1792405967661375</v>
      </c>
      <c r="AV524" s="1">
        <f t="shared" si="68"/>
        <v>0.85313312491463422</v>
      </c>
      <c r="AW524" s="1">
        <f t="shared" si="69"/>
        <v>0.52702565306313121</v>
      </c>
    </row>
    <row r="525" spans="1:49" x14ac:dyDescent="0.2">
      <c r="A525">
        <v>523</v>
      </c>
      <c r="B525" t="s">
        <v>6046</v>
      </c>
      <c r="C525" t="s">
        <v>6045</v>
      </c>
      <c r="D525" t="s">
        <v>6044</v>
      </c>
      <c r="E525">
        <v>12324436</v>
      </c>
      <c r="F525" t="s">
        <v>6043</v>
      </c>
      <c r="G525" t="s">
        <v>5</v>
      </c>
      <c r="H525" t="s">
        <v>4</v>
      </c>
      <c r="I525" t="s">
        <v>6042</v>
      </c>
      <c r="J525" t="s">
        <v>6041</v>
      </c>
      <c r="K525" t="s">
        <v>6040</v>
      </c>
      <c r="L525" t="s">
        <v>6039</v>
      </c>
      <c r="M525" t="s">
        <v>6038</v>
      </c>
      <c r="N525">
        <v>7</v>
      </c>
      <c r="O525" t="s">
        <v>6037</v>
      </c>
      <c r="P525" t="s">
        <v>6036</v>
      </c>
      <c r="Q525" t="s">
        <v>6035</v>
      </c>
      <c r="R525" s="7">
        <v>37530</v>
      </c>
      <c r="S525" s="8">
        <f t="shared" si="64"/>
        <v>2002</v>
      </c>
      <c r="T525" s="8">
        <v>2002</v>
      </c>
      <c r="U525" s="8">
        <f t="shared" si="65"/>
        <v>20</v>
      </c>
      <c r="V525" s="7">
        <v>37530</v>
      </c>
      <c r="W525" t="s">
        <v>285</v>
      </c>
      <c r="X525" s="2">
        <v>1.7130000000000001</v>
      </c>
      <c r="Y525" s="6">
        <f t="shared" si="70"/>
        <v>4.5727556658925285E-2</v>
      </c>
      <c r="AA525">
        <v>63495</v>
      </c>
      <c r="AB525">
        <v>14859</v>
      </c>
      <c r="AD525" t="s">
        <v>2</v>
      </c>
      <c r="AE525">
        <v>83</v>
      </c>
      <c r="AF525">
        <v>4</v>
      </c>
      <c r="AH525" t="s">
        <v>6034</v>
      </c>
      <c r="AI525" t="s">
        <v>6033</v>
      </c>
      <c r="AK525" t="s">
        <v>6032</v>
      </c>
      <c r="AL525">
        <v>64</v>
      </c>
      <c r="AM525" s="5">
        <f t="shared" si="66"/>
        <v>3.2</v>
      </c>
      <c r="AN525" s="4">
        <f t="shared" si="71"/>
        <v>4.8466489965922005E-3</v>
      </c>
      <c r="AO525" s="3"/>
      <c r="AP525">
        <v>1</v>
      </c>
      <c r="AQ525" t="s">
        <v>6031</v>
      </c>
      <c r="AR525" t="s">
        <v>1</v>
      </c>
      <c r="AS525" t="s">
        <v>6030</v>
      </c>
      <c r="AT525" s="2">
        <v>4.0330000000000004</v>
      </c>
      <c r="AU525" s="1">
        <f t="shared" si="67"/>
        <v>3.346328436022536</v>
      </c>
      <c r="AV525" s="1">
        <f t="shared" si="68"/>
        <v>2.5287102827758741</v>
      </c>
      <c r="AW525" s="1">
        <f t="shared" si="69"/>
        <v>1.7110921295292125</v>
      </c>
    </row>
    <row r="526" spans="1:49" x14ac:dyDescent="0.2">
      <c r="A526">
        <v>524</v>
      </c>
      <c r="B526" t="s">
        <v>6029</v>
      </c>
      <c r="C526" t="s">
        <v>6028</v>
      </c>
      <c r="F526" t="s">
        <v>6027</v>
      </c>
      <c r="G526" t="s">
        <v>5</v>
      </c>
      <c r="H526" t="s">
        <v>4</v>
      </c>
      <c r="I526" t="s">
        <v>6026</v>
      </c>
      <c r="J526" t="s">
        <v>6025</v>
      </c>
      <c r="K526" t="s">
        <v>6024</v>
      </c>
      <c r="L526" t="s">
        <v>6023</v>
      </c>
      <c r="M526" t="s">
        <v>6022</v>
      </c>
      <c r="N526">
        <v>5</v>
      </c>
      <c r="O526" t="s">
        <v>6021</v>
      </c>
      <c r="P526" t="s">
        <v>6020</v>
      </c>
      <c r="Q526" t="s">
        <v>6019</v>
      </c>
      <c r="R526" s="7">
        <v>37530</v>
      </c>
      <c r="S526" s="8">
        <f t="shared" si="64"/>
        <v>2002</v>
      </c>
      <c r="T526" s="8">
        <v>2002</v>
      </c>
      <c r="U526" s="8">
        <f t="shared" si="65"/>
        <v>20</v>
      </c>
      <c r="V526" s="7">
        <v>37530</v>
      </c>
      <c r="W526" t="s">
        <v>6018</v>
      </c>
      <c r="X526" s="2">
        <v>1.351</v>
      </c>
      <c r="Y526" s="6">
        <f t="shared" si="70"/>
        <v>3.6064173407009958E-2</v>
      </c>
      <c r="AA526">
        <v>319317</v>
      </c>
      <c r="AB526">
        <v>16530</v>
      </c>
      <c r="AD526" t="s">
        <v>2</v>
      </c>
      <c r="AE526">
        <v>116</v>
      </c>
      <c r="AF526">
        <v>2</v>
      </c>
      <c r="AH526" t="s">
        <v>6017</v>
      </c>
      <c r="AI526" t="s">
        <v>6016</v>
      </c>
      <c r="AK526" t="s">
        <v>6015</v>
      </c>
      <c r="AL526">
        <v>66</v>
      </c>
      <c r="AM526" s="5">
        <f t="shared" si="66"/>
        <v>3.3</v>
      </c>
      <c r="AN526" s="4">
        <f t="shared" si="71"/>
        <v>4.9981067777357061E-3</v>
      </c>
      <c r="AO526" s="3"/>
      <c r="AP526">
        <v>0</v>
      </c>
      <c r="AR526" t="s">
        <v>1</v>
      </c>
      <c r="AT526" s="2">
        <v>4.5</v>
      </c>
      <c r="AU526" s="1">
        <f t="shared" si="67"/>
        <v>2.6744353418227682</v>
      </c>
      <c r="AV526" s="1">
        <f t="shared" si="68"/>
        <v>2.0531140092372833</v>
      </c>
      <c r="AW526" s="1">
        <f t="shared" si="69"/>
        <v>1.4317926766517981</v>
      </c>
    </row>
    <row r="527" spans="1:49" x14ac:dyDescent="0.2">
      <c r="A527">
        <v>525</v>
      </c>
      <c r="B527" t="s">
        <v>6014</v>
      </c>
      <c r="C527" t="s">
        <v>6013</v>
      </c>
      <c r="E527">
        <v>12400442</v>
      </c>
      <c r="F527" t="s">
        <v>6012</v>
      </c>
      <c r="G527" t="s">
        <v>5</v>
      </c>
      <c r="H527" t="s">
        <v>4</v>
      </c>
      <c r="I527" t="s">
        <v>6011</v>
      </c>
      <c r="J527" t="s">
        <v>6010</v>
      </c>
      <c r="K527" t="s">
        <v>6009</v>
      </c>
      <c r="L527" t="s">
        <v>6008</v>
      </c>
      <c r="M527" t="s">
        <v>846</v>
      </c>
      <c r="N527">
        <v>4</v>
      </c>
      <c r="O527" t="s">
        <v>6007</v>
      </c>
      <c r="P527" t="s">
        <v>6006</v>
      </c>
      <c r="Q527" t="s">
        <v>6005</v>
      </c>
      <c r="R527" s="7">
        <v>37530</v>
      </c>
      <c r="S527" s="8">
        <f t="shared" si="64"/>
        <v>2002</v>
      </c>
      <c r="T527" s="8">
        <v>2002</v>
      </c>
      <c r="U527" s="8">
        <f t="shared" si="65"/>
        <v>20</v>
      </c>
      <c r="V527" s="7">
        <v>37530</v>
      </c>
      <c r="W527" t="s">
        <v>3587</v>
      </c>
      <c r="X527" s="2">
        <v>1.296</v>
      </c>
      <c r="Y527" s="6">
        <f t="shared" si="70"/>
        <v>3.4595979819011774E-2</v>
      </c>
      <c r="AA527" t="s">
        <v>3586</v>
      </c>
      <c r="AB527">
        <v>39591</v>
      </c>
      <c r="AD527" t="s">
        <v>2</v>
      </c>
      <c r="AE527">
        <v>58</v>
      </c>
      <c r="AF527">
        <v>10</v>
      </c>
      <c r="AH527" t="s">
        <v>6004</v>
      </c>
      <c r="AI527" t="s">
        <v>6003</v>
      </c>
      <c r="AJ527" t="s">
        <v>6002</v>
      </c>
      <c r="AK527" t="s">
        <v>6001</v>
      </c>
      <c r="AL527">
        <v>13</v>
      </c>
      <c r="AM527" s="5">
        <f t="shared" si="66"/>
        <v>0.65</v>
      </c>
      <c r="AN527" s="4">
        <f t="shared" si="71"/>
        <v>9.8447557743279067E-4</v>
      </c>
      <c r="AO527" s="3"/>
      <c r="AP527">
        <v>0</v>
      </c>
      <c r="AR527" t="s">
        <v>1</v>
      </c>
      <c r="AT527" s="2">
        <v>4.8449999999999998</v>
      </c>
      <c r="AU527" s="1">
        <f t="shared" si="67"/>
        <v>2.4512528546538079</v>
      </c>
      <c r="AV527" s="1">
        <f t="shared" si="68"/>
        <v>1.7790227698222281</v>
      </c>
      <c r="AW527" s="1">
        <f t="shared" si="69"/>
        <v>1.1067926849906486</v>
      </c>
    </row>
    <row r="528" spans="1:49" x14ac:dyDescent="0.2">
      <c r="A528">
        <v>526</v>
      </c>
      <c r="B528" t="s">
        <v>6000</v>
      </c>
      <c r="C528" t="s">
        <v>5999</v>
      </c>
      <c r="E528">
        <v>12269824</v>
      </c>
      <c r="F528" t="s">
        <v>5998</v>
      </c>
      <c r="G528" t="s">
        <v>5</v>
      </c>
      <c r="H528" t="s">
        <v>4</v>
      </c>
      <c r="I528" t="s">
        <v>5997</v>
      </c>
      <c r="J528">
        <v>60008134</v>
      </c>
      <c r="K528" t="s">
        <v>1154</v>
      </c>
      <c r="L528" t="s">
        <v>15</v>
      </c>
      <c r="M528" t="s">
        <v>14</v>
      </c>
      <c r="N528">
        <v>3</v>
      </c>
      <c r="O528" t="s">
        <v>5996</v>
      </c>
      <c r="P528" t="s">
        <v>5995</v>
      </c>
      <c r="Q528" t="s">
        <v>5994</v>
      </c>
      <c r="R528" s="7">
        <v>37530</v>
      </c>
      <c r="S528" s="8">
        <f t="shared" si="64"/>
        <v>2002</v>
      </c>
      <c r="T528" s="8">
        <v>2002</v>
      </c>
      <c r="U528" s="8">
        <f t="shared" si="65"/>
        <v>20</v>
      </c>
      <c r="V528" s="7">
        <v>37530</v>
      </c>
      <c r="W528" t="s">
        <v>797</v>
      </c>
      <c r="X528" s="2">
        <v>1.43</v>
      </c>
      <c r="Y528" s="6">
        <f t="shared" si="70"/>
        <v>3.8173033287952803E-2</v>
      </c>
      <c r="AA528">
        <v>62960</v>
      </c>
      <c r="AB528">
        <v>16867</v>
      </c>
      <c r="AD528" t="s">
        <v>2</v>
      </c>
      <c r="AE528">
        <v>41</v>
      </c>
      <c r="AF528">
        <v>39</v>
      </c>
      <c r="AH528" t="s">
        <v>5993</v>
      </c>
      <c r="AI528" t="s">
        <v>5992</v>
      </c>
      <c r="AK528" t="s">
        <v>5991</v>
      </c>
      <c r="AL528">
        <v>9</v>
      </c>
      <c r="AM528" s="5">
        <f t="shared" si="66"/>
        <v>0.45</v>
      </c>
      <c r="AN528" s="4">
        <f t="shared" si="71"/>
        <v>6.8156001514577808E-4</v>
      </c>
      <c r="AO528" s="3"/>
      <c r="AP528">
        <v>0</v>
      </c>
      <c r="AR528" t="s">
        <v>1</v>
      </c>
      <c r="AT528" s="2">
        <v>3.1619999999999999</v>
      </c>
      <c r="AU528" s="1">
        <f t="shared" si="67"/>
        <v>2.6925591306110697</v>
      </c>
      <c r="AV528" s="1">
        <f t="shared" si="68"/>
        <v>1.9427296651549291</v>
      </c>
      <c r="AW528" s="1">
        <f t="shared" si="69"/>
        <v>1.1929001996987887</v>
      </c>
    </row>
    <row r="529" spans="1:49" x14ac:dyDescent="0.2">
      <c r="A529">
        <v>527</v>
      </c>
      <c r="B529" t="s">
        <v>5990</v>
      </c>
      <c r="C529" t="s">
        <v>5989</v>
      </c>
      <c r="D529" t="s">
        <v>5988</v>
      </c>
      <c r="F529" t="s">
        <v>5987</v>
      </c>
      <c r="G529" t="s">
        <v>5</v>
      </c>
      <c r="H529" t="s">
        <v>4</v>
      </c>
      <c r="I529" t="s">
        <v>5986</v>
      </c>
      <c r="J529" t="s">
        <v>5985</v>
      </c>
      <c r="K529" t="s">
        <v>5984</v>
      </c>
      <c r="L529" t="s">
        <v>5983</v>
      </c>
      <c r="M529" t="s">
        <v>22</v>
      </c>
      <c r="N529">
        <v>4</v>
      </c>
      <c r="O529" t="s">
        <v>5982</v>
      </c>
      <c r="P529" t="s">
        <v>5981</v>
      </c>
      <c r="Q529" t="s">
        <v>5980</v>
      </c>
      <c r="R529" s="7">
        <v>37530</v>
      </c>
      <c r="S529" s="8">
        <f t="shared" si="64"/>
        <v>2002</v>
      </c>
      <c r="T529" s="8">
        <v>2002</v>
      </c>
      <c r="U529" s="8">
        <f t="shared" si="65"/>
        <v>20</v>
      </c>
      <c r="V529" s="7">
        <v>37530</v>
      </c>
      <c r="W529" t="s">
        <v>5979</v>
      </c>
      <c r="X529" s="2">
        <v>1.839</v>
      </c>
      <c r="Y529" s="6">
        <f t="shared" si="70"/>
        <v>4.909105469688476E-2</v>
      </c>
      <c r="AA529">
        <v>9270248</v>
      </c>
      <c r="AB529">
        <v>13332</v>
      </c>
      <c r="AD529" t="s">
        <v>2</v>
      </c>
      <c r="AE529">
        <v>74</v>
      </c>
      <c r="AF529" s="9">
        <v>44287</v>
      </c>
      <c r="AH529" t="s">
        <v>5978</v>
      </c>
      <c r="AI529" t="s">
        <v>5977</v>
      </c>
      <c r="AJ529" t="s">
        <v>5976</v>
      </c>
      <c r="AK529" t="s">
        <v>5975</v>
      </c>
      <c r="AL529">
        <v>2</v>
      </c>
      <c r="AM529" s="5">
        <f t="shared" si="66"/>
        <v>0.1</v>
      </c>
      <c r="AN529" s="4">
        <f t="shared" si="71"/>
        <v>1.5145778114350627E-4</v>
      </c>
      <c r="AO529" s="3"/>
      <c r="AP529">
        <v>0</v>
      </c>
      <c r="AQ529" t="s">
        <v>839</v>
      </c>
      <c r="AR529" t="s">
        <v>1</v>
      </c>
      <c r="AS529" t="s">
        <v>5974</v>
      </c>
      <c r="AT529" s="2">
        <v>7.2670000000000003</v>
      </c>
      <c r="AU529" s="1">
        <f t="shared" si="67"/>
        <v>3.4409175622162378</v>
      </c>
      <c r="AV529" s="1">
        <f t="shared" si="68"/>
        <v>2.4621256239014131</v>
      </c>
      <c r="AW529" s="1">
        <f t="shared" si="69"/>
        <v>1.4833336855865882</v>
      </c>
    </row>
    <row r="530" spans="1:49" x14ac:dyDescent="0.2">
      <c r="A530">
        <v>528</v>
      </c>
      <c r="B530" t="s">
        <v>5973</v>
      </c>
      <c r="C530" t="s">
        <v>5972</v>
      </c>
      <c r="D530" t="s">
        <v>5971</v>
      </c>
      <c r="F530" t="s">
        <v>5970</v>
      </c>
      <c r="G530" t="s">
        <v>5</v>
      </c>
      <c r="H530" t="s">
        <v>4</v>
      </c>
      <c r="I530" t="s">
        <v>5969</v>
      </c>
      <c r="J530">
        <v>60026859</v>
      </c>
      <c r="K530" t="s">
        <v>5322</v>
      </c>
      <c r="L530" t="s">
        <v>597</v>
      </c>
      <c r="M530" t="s">
        <v>182</v>
      </c>
      <c r="N530">
        <v>4</v>
      </c>
      <c r="O530" t="s">
        <v>5968</v>
      </c>
      <c r="P530" t="s">
        <v>5967</v>
      </c>
      <c r="Q530" t="s">
        <v>5319</v>
      </c>
      <c r="R530" s="7">
        <v>37530</v>
      </c>
      <c r="S530" s="8">
        <f t="shared" si="64"/>
        <v>2002</v>
      </c>
      <c r="T530" s="8">
        <v>2002</v>
      </c>
      <c r="U530" s="8">
        <f t="shared" si="65"/>
        <v>20</v>
      </c>
      <c r="V530" s="7">
        <v>37530</v>
      </c>
      <c r="W530" t="s">
        <v>5966</v>
      </c>
      <c r="X530" s="2">
        <v>1.016</v>
      </c>
      <c r="Y530" s="6">
        <f t="shared" si="70"/>
        <v>2.712153973465738E-2</v>
      </c>
      <c r="AA530">
        <v>1672789</v>
      </c>
      <c r="AB530">
        <v>29120</v>
      </c>
      <c r="AD530" t="s">
        <v>2</v>
      </c>
      <c r="AE530">
        <v>171</v>
      </c>
      <c r="AF530" s="9">
        <v>44228</v>
      </c>
      <c r="AH530" t="s">
        <v>5965</v>
      </c>
      <c r="AI530" t="s">
        <v>5964</v>
      </c>
      <c r="AJ530" t="s">
        <v>5963</v>
      </c>
      <c r="AK530" t="s">
        <v>5962</v>
      </c>
      <c r="AL530">
        <v>12</v>
      </c>
      <c r="AM530" s="5">
        <f t="shared" si="66"/>
        <v>0.6</v>
      </c>
      <c r="AN530" s="4">
        <f t="shared" si="71"/>
        <v>9.0874668686103744E-4</v>
      </c>
      <c r="AO530" s="3"/>
      <c r="AP530">
        <v>0</v>
      </c>
      <c r="AR530" t="s">
        <v>5961</v>
      </c>
      <c r="AT530" s="2" t="s">
        <v>0</v>
      </c>
      <c r="AU530" s="1">
        <f t="shared" si="67"/>
        <v>1.9257701820318478</v>
      </c>
      <c r="AV530" s="1">
        <f t="shared" si="68"/>
        <v>1.4015143210759209</v>
      </c>
      <c r="AW530" s="1">
        <f t="shared" si="69"/>
        <v>0.87725846011999409</v>
      </c>
    </row>
    <row r="531" spans="1:49" x14ac:dyDescent="0.2">
      <c r="A531">
        <v>529</v>
      </c>
      <c r="B531" t="s">
        <v>5960</v>
      </c>
      <c r="C531" t="s">
        <v>5959</v>
      </c>
      <c r="F531" t="s">
        <v>5958</v>
      </c>
      <c r="G531" t="s">
        <v>5</v>
      </c>
      <c r="H531" t="s">
        <v>4</v>
      </c>
      <c r="I531" t="s">
        <v>5618</v>
      </c>
      <c r="J531">
        <v>60033284</v>
      </c>
      <c r="K531" t="s">
        <v>5617</v>
      </c>
      <c r="L531" t="s">
        <v>5616</v>
      </c>
      <c r="M531" t="s">
        <v>182</v>
      </c>
      <c r="N531">
        <v>3</v>
      </c>
      <c r="O531" t="s">
        <v>5957</v>
      </c>
      <c r="P531" t="s">
        <v>5956</v>
      </c>
      <c r="Q531" t="s">
        <v>5955</v>
      </c>
      <c r="R531" s="7">
        <v>37530</v>
      </c>
      <c r="S531" s="8">
        <f t="shared" si="64"/>
        <v>2002</v>
      </c>
      <c r="T531" s="8">
        <v>2002</v>
      </c>
      <c r="U531" s="8">
        <f t="shared" si="65"/>
        <v>20</v>
      </c>
      <c r="V531" s="7">
        <v>37530</v>
      </c>
      <c r="W531" t="s">
        <v>5954</v>
      </c>
      <c r="X531" s="2">
        <v>0.5</v>
      </c>
      <c r="Y531" s="6">
        <f t="shared" si="70"/>
        <v>1.3347214436347135E-2</v>
      </c>
      <c r="AA531">
        <v>253154</v>
      </c>
      <c r="AB531">
        <v>12162</v>
      </c>
      <c r="AD531" t="s">
        <v>2</v>
      </c>
      <c r="AE531">
        <v>82</v>
      </c>
      <c r="AF531">
        <v>5</v>
      </c>
      <c r="AH531" t="s">
        <v>5953</v>
      </c>
      <c r="AI531" t="s">
        <v>5952</v>
      </c>
      <c r="AK531" t="s">
        <v>5951</v>
      </c>
      <c r="AL531">
        <v>7</v>
      </c>
      <c r="AM531" s="5">
        <f t="shared" si="66"/>
        <v>0.35</v>
      </c>
      <c r="AN531" s="4">
        <f t="shared" si="71"/>
        <v>5.3010223400227184E-4</v>
      </c>
      <c r="AO531" s="3"/>
      <c r="AP531">
        <v>0</v>
      </c>
      <c r="AR531" t="s">
        <v>1</v>
      </c>
      <c r="AT531" s="2" t="s">
        <v>0</v>
      </c>
      <c r="AU531" s="1">
        <f t="shared" si="67"/>
        <v>0.95020807756436754</v>
      </c>
      <c r="AV531" s="1">
        <f t="shared" si="68"/>
        <v>0.69386583351747033</v>
      </c>
      <c r="AW531" s="1">
        <f t="shared" si="69"/>
        <v>0.43752358947057302</v>
      </c>
    </row>
    <row r="532" spans="1:49" x14ac:dyDescent="0.2">
      <c r="A532">
        <v>530</v>
      </c>
      <c r="B532" t="s">
        <v>5950</v>
      </c>
      <c r="F532" t="s">
        <v>5949</v>
      </c>
      <c r="G532" t="s">
        <v>5</v>
      </c>
      <c r="H532" t="s">
        <v>4</v>
      </c>
      <c r="I532" t="s">
        <v>5948</v>
      </c>
      <c r="J532">
        <v>60032350</v>
      </c>
      <c r="K532" t="s">
        <v>400</v>
      </c>
      <c r="L532" t="s">
        <v>99</v>
      </c>
      <c r="M532" t="s">
        <v>19</v>
      </c>
      <c r="N532">
        <v>1</v>
      </c>
      <c r="O532" t="s">
        <v>5947</v>
      </c>
      <c r="P532">
        <v>7006472589</v>
      </c>
      <c r="Q532">
        <v>60032350</v>
      </c>
      <c r="R532" s="7">
        <v>37530</v>
      </c>
      <c r="S532" s="8">
        <f t="shared" si="64"/>
        <v>2002</v>
      </c>
      <c r="T532" s="8">
        <v>2002</v>
      </c>
      <c r="U532" s="8">
        <f t="shared" si="65"/>
        <v>20</v>
      </c>
      <c r="V532" s="7">
        <v>37530</v>
      </c>
      <c r="W532" t="s">
        <v>327</v>
      </c>
      <c r="X532" s="2" t="s">
        <v>0</v>
      </c>
      <c r="Y532" s="6" t="e">
        <f t="shared" si="70"/>
        <v>#VALUE!</v>
      </c>
      <c r="AA532">
        <v>13598155</v>
      </c>
      <c r="AB532">
        <v>28438</v>
      </c>
      <c r="AD532" t="s">
        <v>2</v>
      </c>
      <c r="AE532">
        <v>7</v>
      </c>
      <c r="AF532">
        <v>3</v>
      </c>
      <c r="AH532" t="s">
        <v>5946</v>
      </c>
      <c r="AI532" t="s">
        <v>5945</v>
      </c>
      <c r="AJ532" t="s">
        <v>5944</v>
      </c>
      <c r="AK532" t="s">
        <v>5943</v>
      </c>
      <c r="AL532">
        <v>6</v>
      </c>
      <c r="AM532" s="5">
        <f t="shared" si="66"/>
        <v>0.3</v>
      </c>
      <c r="AN532" s="4">
        <f t="shared" si="71"/>
        <v>4.5437334343051872E-4</v>
      </c>
      <c r="AO532" s="3"/>
      <c r="AP532">
        <v>0</v>
      </c>
      <c r="AR532" t="s">
        <v>1</v>
      </c>
      <c r="AT532" s="2" t="s">
        <v>0</v>
      </c>
      <c r="AU532" s="1" t="e">
        <f t="shared" si="67"/>
        <v>#VALUE!</v>
      </c>
      <c r="AV532" s="1" t="e">
        <f t="shared" si="68"/>
        <v>#VALUE!</v>
      </c>
      <c r="AW532" s="1" t="e">
        <f t="shared" si="69"/>
        <v>#VALUE!</v>
      </c>
    </row>
    <row r="533" spans="1:49" x14ac:dyDescent="0.2">
      <c r="A533">
        <v>531</v>
      </c>
      <c r="B533" t="s">
        <v>5942</v>
      </c>
      <c r="C533" t="s">
        <v>5941</v>
      </c>
      <c r="D533">
        <v>1011092002803440</v>
      </c>
      <c r="F533" t="s">
        <v>5940</v>
      </c>
      <c r="G533" t="s">
        <v>5</v>
      </c>
      <c r="H533" t="s">
        <v>4</v>
      </c>
      <c r="I533" t="s">
        <v>5939</v>
      </c>
      <c r="J533" t="s">
        <v>5938</v>
      </c>
      <c r="K533" t="s">
        <v>5937</v>
      </c>
      <c r="L533" t="s">
        <v>5936</v>
      </c>
      <c r="M533" t="s">
        <v>421</v>
      </c>
      <c r="N533">
        <v>3</v>
      </c>
      <c r="O533" t="s">
        <v>5935</v>
      </c>
      <c r="P533" t="s">
        <v>5934</v>
      </c>
      <c r="Q533" t="s">
        <v>5933</v>
      </c>
      <c r="R533" s="7">
        <v>37530</v>
      </c>
      <c r="S533" s="8">
        <f t="shared" si="64"/>
        <v>2002</v>
      </c>
      <c r="T533" s="8">
        <v>2002</v>
      </c>
      <c r="U533" s="8">
        <f t="shared" si="65"/>
        <v>20</v>
      </c>
      <c r="V533" s="7">
        <v>37530</v>
      </c>
      <c r="W533" t="s">
        <v>352</v>
      </c>
      <c r="X533" s="2">
        <v>1.3720000000000001</v>
      </c>
      <c r="Y533" s="6">
        <f t="shared" si="70"/>
        <v>3.662475641333654E-2</v>
      </c>
      <c r="AA533">
        <v>189480</v>
      </c>
      <c r="AB533">
        <v>17366</v>
      </c>
      <c r="AD533" t="s">
        <v>2</v>
      </c>
      <c r="AE533">
        <v>50</v>
      </c>
      <c r="AF533">
        <v>10</v>
      </c>
      <c r="AH533" t="s">
        <v>5932</v>
      </c>
      <c r="AI533" t="s">
        <v>5931</v>
      </c>
      <c r="AJ533" t="s">
        <v>5930</v>
      </c>
      <c r="AK533" t="s">
        <v>5929</v>
      </c>
      <c r="AL533">
        <v>30</v>
      </c>
      <c r="AM533" s="5">
        <f t="shared" si="66"/>
        <v>1.5</v>
      </c>
      <c r="AN533" s="4">
        <f t="shared" si="71"/>
        <v>2.2718667171525938E-3</v>
      </c>
      <c r="AO533" s="3"/>
      <c r="AP533">
        <v>0</v>
      </c>
      <c r="AQ533" t="s">
        <v>368</v>
      </c>
      <c r="AR533" t="s">
        <v>1</v>
      </c>
      <c r="AS533" t="s">
        <v>367</v>
      </c>
      <c r="AT533" s="2" t="s">
        <v>0</v>
      </c>
      <c r="AU533" s="1">
        <f t="shared" si="67"/>
        <v>2.6318889504481353</v>
      </c>
      <c r="AV533" s="1">
        <f t="shared" si="68"/>
        <v>1.9448311565244565</v>
      </c>
      <c r="AW533" s="1">
        <f t="shared" si="69"/>
        <v>1.2577733626007777</v>
      </c>
    </row>
    <row r="534" spans="1:49" x14ac:dyDescent="0.2">
      <c r="A534">
        <v>532</v>
      </c>
      <c r="B534" t="s">
        <v>5928</v>
      </c>
      <c r="C534" t="s">
        <v>5927</v>
      </c>
      <c r="D534">
        <v>1011092002803050</v>
      </c>
      <c r="F534" t="s">
        <v>5926</v>
      </c>
      <c r="G534" t="s">
        <v>5</v>
      </c>
      <c r="H534" t="s">
        <v>4</v>
      </c>
      <c r="I534" t="s">
        <v>5925</v>
      </c>
      <c r="J534" t="s">
        <v>987</v>
      </c>
      <c r="K534" t="s">
        <v>986</v>
      </c>
      <c r="L534" t="s">
        <v>985</v>
      </c>
      <c r="M534" t="s">
        <v>984</v>
      </c>
      <c r="N534">
        <v>5</v>
      </c>
      <c r="O534" t="s">
        <v>5924</v>
      </c>
      <c r="P534" t="s">
        <v>5923</v>
      </c>
      <c r="Q534" t="s">
        <v>5922</v>
      </c>
      <c r="R534" s="7">
        <v>37530</v>
      </c>
      <c r="S534" s="8">
        <f t="shared" si="64"/>
        <v>2002</v>
      </c>
      <c r="T534" s="8">
        <v>2002</v>
      </c>
      <c r="U534" s="8">
        <f t="shared" si="65"/>
        <v>20</v>
      </c>
      <c r="V534" s="7">
        <v>37530</v>
      </c>
      <c r="W534" t="s">
        <v>998</v>
      </c>
      <c r="X534" s="2">
        <v>2.5710000000000002</v>
      </c>
      <c r="Y534" s="6">
        <f t="shared" si="70"/>
        <v>6.8631376631696966E-2</v>
      </c>
      <c r="AA534">
        <v>189200</v>
      </c>
      <c r="AB534">
        <v>17278</v>
      </c>
      <c r="AD534" t="s">
        <v>2</v>
      </c>
      <c r="AE534">
        <v>37</v>
      </c>
      <c r="AF534">
        <v>10</v>
      </c>
      <c r="AH534" t="s">
        <v>5921</v>
      </c>
      <c r="AI534" t="s">
        <v>5920</v>
      </c>
      <c r="AJ534" t="s">
        <v>5919</v>
      </c>
      <c r="AK534" t="s">
        <v>5918</v>
      </c>
      <c r="AL534">
        <v>6</v>
      </c>
      <c r="AM534" s="5">
        <f t="shared" si="66"/>
        <v>0.3</v>
      </c>
      <c r="AN534" s="4">
        <f t="shared" si="71"/>
        <v>4.5437334343051872E-4</v>
      </c>
      <c r="AO534" s="3"/>
      <c r="AP534">
        <v>0</v>
      </c>
      <c r="AR534" t="s">
        <v>1</v>
      </c>
      <c r="AS534" t="s">
        <v>689</v>
      </c>
      <c r="AT534" s="2">
        <v>5.0129999999999999</v>
      </c>
      <c r="AU534" s="1">
        <f t="shared" si="67"/>
        <v>4.8178275645217026</v>
      </c>
      <c r="AV534" s="1">
        <f t="shared" si="68"/>
        <v>3.4542874987563739</v>
      </c>
      <c r="AW534" s="1">
        <f t="shared" si="69"/>
        <v>2.0907474329910456</v>
      </c>
    </row>
    <row r="535" spans="1:49" x14ac:dyDescent="0.2">
      <c r="A535">
        <v>533</v>
      </c>
      <c r="B535" t="s">
        <v>5917</v>
      </c>
      <c r="C535" t="s">
        <v>5916</v>
      </c>
      <c r="D535">
        <v>1011092002803440</v>
      </c>
      <c r="F535" t="s">
        <v>5915</v>
      </c>
      <c r="G535" t="s">
        <v>5</v>
      </c>
      <c r="H535" t="s">
        <v>4</v>
      </c>
      <c r="I535" t="s">
        <v>5914</v>
      </c>
      <c r="J535">
        <v>60072505</v>
      </c>
      <c r="K535" t="s">
        <v>5913</v>
      </c>
      <c r="L535" t="s">
        <v>5912</v>
      </c>
      <c r="M535" t="s">
        <v>112</v>
      </c>
      <c r="N535">
        <v>2</v>
      </c>
      <c r="O535" t="s">
        <v>5911</v>
      </c>
      <c r="P535" t="s">
        <v>5910</v>
      </c>
      <c r="Q535" t="s">
        <v>5909</v>
      </c>
      <c r="R535" s="7">
        <v>37530</v>
      </c>
      <c r="S535" s="8">
        <f t="shared" si="64"/>
        <v>2002</v>
      </c>
      <c r="T535" s="8">
        <v>2002</v>
      </c>
      <c r="U535" s="8">
        <f t="shared" si="65"/>
        <v>20</v>
      </c>
      <c r="V535" s="7">
        <v>37530</v>
      </c>
      <c r="W535" t="s">
        <v>352</v>
      </c>
      <c r="X535" s="2">
        <v>1.3720000000000001</v>
      </c>
      <c r="Y535" s="6">
        <f t="shared" si="70"/>
        <v>3.662475641333654E-2</v>
      </c>
      <c r="AA535">
        <v>189480</v>
      </c>
      <c r="AB535">
        <v>17366</v>
      </c>
      <c r="AD535" t="s">
        <v>2</v>
      </c>
      <c r="AE535">
        <v>50</v>
      </c>
      <c r="AF535">
        <v>10</v>
      </c>
      <c r="AH535" t="s">
        <v>5908</v>
      </c>
      <c r="AI535" t="s">
        <v>5907</v>
      </c>
      <c r="AJ535" t="s">
        <v>5906</v>
      </c>
      <c r="AK535" t="s">
        <v>5905</v>
      </c>
      <c r="AL535">
        <v>41</v>
      </c>
      <c r="AM535" s="5">
        <f t="shared" si="66"/>
        <v>2.0499999999999998</v>
      </c>
      <c r="AN535" s="4">
        <f t="shared" si="71"/>
        <v>3.104884513441878E-3</v>
      </c>
      <c r="AO535" s="3"/>
      <c r="AP535">
        <v>0</v>
      </c>
      <c r="AR535" t="s">
        <v>1</v>
      </c>
      <c r="AT535" s="2" t="s">
        <v>0</v>
      </c>
      <c r="AU535" s="1">
        <f t="shared" si="67"/>
        <v>2.6568794843368138</v>
      </c>
      <c r="AV535" s="1">
        <f t="shared" si="68"/>
        <v>1.9864820463389208</v>
      </c>
      <c r="AW535" s="1">
        <f t="shared" si="69"/>
        <v>1.3160846083410278</v>
      </c>
    </row>
    <row r="536" spans="1:49" x14ac:dyDescent="0.2">
      <c r="A536">
        <v>534</v>
      </c>
      <c r="B536" t="s">
        <v>5904</v>
      </c>
      <c r="C536" t="s">
        <v>5903</v>
      </c>
      <c r="F536" t="s">
        <v>5902</v>
      </c>
      <c r="G536" t="s">
        <v>5</v>
      </c>
      <c r="H536" t="s">
        <v>4</v>
      </c>
      <c r="I536" t="s">
        <v>5901</v>
      </c>
      <c r="J536" t="s">
        <v>5900</v>
      </c>
      <c r="K536" t="s">
        <v>5899</v>
      </c>
      <c r="L536" t="s">
        <v>5898</v>
      </c>
      <c r="M536" t="s">
        <v>5897</v>
      </c>
      <c r="N536">
        <v>2</v>
      </c>
      <c r="O536" t="s">
        <v>5896</v>
      </c>
      <c r="P536" t="s">
        <v>5895</v>
      </c>
      <c r="Q536" t="s">
        <v>5894</v>
      </c>
      <c r="R536" s="7">
        <v>37530</v>
      </c>
      <c r="S536" s="8">
        <f t="shared" si="64"/>
        <v>2002</v>
      </c>
      <c r="T536" s="8">
        <v>2002</v>
      </c>
      <c r="U536" s="8">
        <f t="shared" si="65"/>
        <v>20</v>
      </c>
      <c r="V536" s="7">
        <v>37530</v>
      </c>
      <c r="W536" t="s">
        <v>1099</v>
      </c>
      <c r="X536" s="2">
        <v>1.552</v>
      </c>
      <c r="Y536" s="6">
        <f t="shared" si="70"/>
        <v>4.1429753610421505E-2</v>
      </c>
      <c r="AA536">
        <v>3076970</v>
      </c>
      <c r="AB536">
        <v>21594</v>
      </c>
      <c r="AD536" t="s">
        <v>2</v>
      </c>
      <c r="AE536">
        <v>27</v>
      </c>
      <c r="AF536">
        <v>4</v>
      </c>
      <c r="AH536" t="s">
        <v>5893</v>
      </c>
      <c r="AI536" t="s">
        <v>5892</v>
      </c>
      <c r="AK536" t="s">
        <v>5891</v>
      </c>
      <c r="AL536">
        <v>8</v>
      </c>
      <c r="AM536" s="5">
        <f t="shared" si="66"/>
        <v>0.4</v>
      </c>
      <c r="AN536" s="4">
        <f t="shared" si="71"/>
        <v>6.0583112457402507E-4</v>
      </c>
      <c r="AO536" s="3"/>
      <c r="AP536">
        <v>1</v>
      </c>
      <c r="AR536" t="s">
        <v>1</v>
      </c>
      <c r="AT536" s="2">
        <v>3.8439999999999999</v>
      </c>
      <c r="AU536" s="1">
        <f t="shared" si="67"/>
        <v>2.9182576864667258</v>
      </c>
      <c r="AV536" s="1">
        <f t="shared" si="68"/>
        <v>2.1017792367497767</v>
      </c>
      <c r="AW536" s="1">
        <f t="shared" si="69"/>
        <v>1.285300787032827</v>
      </c>
    </row>
    <row r="537" spans="1:49" x14ac:dyDescent="0.2">
      <c r="A537">
        <v>535</v>
      </c>
      <c r="B537" t="s">
        <v>5890</v>
      </c>
      <c r="C537" t="s">
        <v>5889</v>
      </c>
      <c r="D537">
        <v>1011092002803630</v>
      </c>
      <c r="F537" t="s">
        <v>5888</v>
      </c>
      <c r="G537" t="s">
        <v>5</v>
      </c>
      <c r="H537" t="s">
        <v>4</v>
      </c>
      <c r="I537" t="s">
        <v>574</v>
      </c>
      <c r="J537" t="s">
        <v>5887</v>
      </c>
      <c r="K537" t="s">
        <v>5886</v>
      </c>
      <c r="L537" t="s">
        <v>5885</v>
      </c>
      <c r="M537" t="s">
        <v>272</v>
      </c>
      <c r="N537">
        <v>4</v>
      </c>
      <c r="O537" t="s">
        <v>5884</v>
      </c>
      <c r="P537" t="s">
        <v>5883</v>
      </c>
      <c r="Q537" t="s">
        <v>5882</v>
      </c>
      <c r="R537" s="7">
        <v>37530</v>
      </c>
      <c r="S537" s="8">
        <f t="shared" si="64"/>
        <v>2002</v>
      </c>
      <c r="T537" s="8">
        <v>2002</v>
      </c>
      <c r="U537" s="8">
        <f t="shared" si="65"/>
        <v>20</v>
      </c>
      <c r="V537" s="7">
        <v>37530</v>
      </c>
      <c r="W537" t="s">
        <v>620</v>
      </c>
      <c r="X537" s="2">
        <v>0.82799999999999996</v>
      </c>
      <c r="Y537" s="6">
        <f t="shared" si="70"/>
        <v>2.2102987106590855E-2</v>
      </c>
      <c r="AA537">
        <v>189383</v>
      </c>
      <c r="AB537">
        <v>26052</v>
      </c>
      <c r="AD537" t="s">
        <v>2</v>
      </c>
      <c r="AE537">
        <v>49</v>
      </c>
      <c r="AF537">
        <v>10</v>
      </c>
      <c r="AH537" t="s">
        <v>5881</v>
      </c>
      <c r="AI537" t="s">
        <v>5880</v>
      </c>
      <c r="AJ537" t="s">
        <v>5879</v>
      </c>
      <c r="AK537" t="s">
        <v>5878</v>
      </c>
      <c r="AL537">
        <v>8</v>
      </c>
      <c r="AM537" s="5">
        <f t="shared" si="66"/>
        <v>0.4</v>
      </c>
      <c r="AN537" s="4">
        <f t="shared" si="71"/>
        <v>6.0583112457402507E-4</v>
      </c>
      <c r="AO537" s="3"/>
      <c r="AP537">
        <v>0</v>
      </c>
      <c r="AQ537" t="s">
        <v>573</v>
      </c>
      <c r="AR537" t="s">
        <v>1</v>
      </c>
      <c r="AS537" t="s">
        <v>572</v>
      </c>
      <c r="AT537" s="2">
        <v>2.9169999999999998</v>
      </c>
      <c r="AU537" s="1">
        <f t="shared" si="67"/>
        <v>1.5653840311985805</v>
      </c>
      <c r="AV537" s="1">
        <f t="shared" si="68"/>
        <v>1.135440911558244</v>
      </c>
      <c r="AW537" s="1">
        <f t="shared" si="69"/>
        <v>0.7054977919179074</v>
      </c>
    </row>
    <row r="538" spans="1:49" x14ac:dyDescent="0.2">
      <c r="A538">
        <v>536</v>
      </c>
      <c r="B538" t="s">
        <v>5877</v>
      </c>
      <c r="C538" t="s">
        <v>5876</v>
      </c>
      <c r="D538">
        <v>1011092002803640</v>
      </c>
      <c r="F538" t="s">
        <v>5875</v>
      </c>
      <c r="G538" t="s">
        <v>5</v>
      </c>
      <c r="H538" t="s">
        <v>4</v>
      </c>
      <c r="I538" t="s">
        <v>514</v>
      </c>
      <c r="J538" t="s">
        <v>5874</v>
      </c>
      <c r="K538" t="s">
        <v>5873</v>
      </c>
      <c r="L538" t="s">
        <v>5872</v>
      </c>
      <c r="M538" t="s">
        <v>74</v>
      </c>
      <c r="N538">
        <v>3</v>
      </c>
      <c r="O538" t="s">
        <v>5871</v>
      </c>
      <c r="P538" t="s">
        <v>5870</v>
      </c>
      <c r="Q538" t="s">
        <v>5869</v>
      </c>
      <c r="R538" s="7">
        <v>37530</v>
      </c>
      <c r="S538" s="8">
        <f t="shared" si="64"/>
        <v>2002</v>
      </c>
      <c r="T538" s="8">
        <v>2002</v>
      </c>
      <c r="U538" s="8">
        <f t="shared" si="65"/>
        <v>20</v>
      </c>
      <c r="V538" s="7">
        <v>37530</v>
      </c>
      <c r="W538" t="s">
        <v>620</v>
      </c>
      <c r="X538" s="2">
        <v>0.82799999999999996</v>
      </c>
      <c r="Y538" s="6">
        <f t="shared" si="70"/>
        <v>2.2102987106590855E-2</v>
      </c>
      <c r="AA538">
        <v>189383</v>
      </c>
      <c r="AB538">
        <v>26052</v>
      </c>
      <c r="AD538" t="s">
        <v>2</v>
      </c>
      <c r="AE538">
        <v>49</v>
      </c>
      <c r="AF538">
        <v>10</v>
      </c>
      <c r="AH538" t="s">
        <v>5868</v>
      </c>
      <c r="AI538" t="s">
        <v>5867</v>
      </c>
      <c r="AJ538" t="s">
        <v>5866</v>
      </c>
      <c r="AK538" t="s">
        <v>5865</v>
      </c>
      <c r="AL538">
        <v>4</v>
      </c>
      <c r="AM538" s="5">
        <f t="shared" si="66"/>
        <v>0.2</v>
      </c>
      <c r="AN538" s="4">
        <f t="shared" si="71"/>
        <v>3.0291556228701253E-4</v>
      </c>
      <c r="AO538" s="3"/>
      <c r="AP538">
        <v>0</v>
      </c>
      <c r="AR538" t="s">
        <v>1</v>
      </c>
      <c r="AT538" s="2">
        <v>2.9169999999999998</v>
      </c>
      <c r="AU538" s="1">
        <f t="shared" si="67"/>
        <v>1.5562965643299702</v>
      </c>
      <c r="AV538" s="1">
        <f t="shared" si="68"/>
        <v>1.1202951334438933</v>
      </c>
      <c r="AW538" s="1">
        <f t="shared" si="69"/>
        <v>0.68429370255781652</v>
      </c>
    </row>
    <row r="539" spans="1:49" x14ac:dyDescent="0.2">
      <c r="A539">
        <v>537</v>
      </c>
      <c r="B539" t="s">
        <v>5864</v>
      </c>
      <c r="C539" t="s">
        <v>5863</v>
      </c>
      <c r="D539">
        <v>1011092002803440</v>
      </c>
      <c r="F539" t="s">
        <v>5862</v>
      </c>
      <c r="G539" t="s">
        <v>5</v>
      </c>
      <c r="H539" t="s">
        <v>4</v>
      </c>
      <c r="I539" t="s">
        <v>5861</v>
      </c>
      <c r="J539" t="s">
        <v>5860</v>
      </c>
      <c r="K539" t="s">
        <v>5859</v>
      </c>
      <c r="L539" t="s">
        <v>5858</v>
      </c>
      <c r="M539" t="s">
        <v>5857</v>
      </c>
      <c r="N539">
        <v>6</v>
      </c>
      <c r="O539" t="s">
        <v>5856</v>
      </c>
      <c r="P539" t="s">
        <v>5855</v>
      </c>
      <c r="Q539" t="s">
        <v>5854</v>
      </c>
      <c r="R539" s="7">
        <v>37530</v>
      </c>
      <c r="S539" s="8">
        <f t="shared" si="64"/>
        <v>2002</v>
      </c>
      <c r="T539" s="8">
        <v>2002</v>
      </c>
      <c r="U539" s="8">
        <f t="shared" si="65"/>
        <v>20</v>
      </c>
      <c r="V539" s="7">
        <v>37530</v>
      </c>
      <c r="W539" t="s">
        <v>352</v>
      </c>
      <c r="X539" s="2">
        <v>1.3720000000000001</v>
      </c>
      <c r="Y539" s="6">
        <f t="shared" si="70"/>
        <v>3.662475641333654E-2</v>
      </c>
      <c r="AA539">
        <v>189480</v>
      </c>
      <c r="AB539">
        <v>17366</v>
      </c>
      <c r="AD539" t="s">
        <v>2</v>
      </c>
      <c r="AE539">
        <v>50</v>
      </c>
      <c r="AF539">
        <v>10</v>
      </c>
      <c r="AH539" t="s">
        <v>5853</v>
      </c>
      <c r="AI539" t="s">
        <v>5852</v>
      </c>
      <c r="AJ539" t="s">
        <v>5851</v>
      </c>
      <c r="AK539" t="s">
        <v>5850</v>
      </c>
      <c r="AL539">
        <v>41</v>
      </c>
      <c r="AM539" s="5">
        <f t="shared" si="66"/>
        <v>2.0499999999999998</v>
      </c>
      <c r="AN539" s="4">
        <f t="shared" si="71"/>
        <v>3.104884513441878E-3</v>
      </c>
      <c r="AO539" s="3"/>
      <c r="AP539">
        <v>0</v>
      </c>
      <c r="AQ539" t="s">
        <v>935</v>
      </c>
      <c r="AR539" t="s">
        <v>1</v>
      </c>
      <c r="AS539" t="s">
        <v>934</v>
      </c>
      <c r="AT539" s="2" t="s">
        <v>0</v>
      </c>
      <c r="AU539" s="1">
        <f t="shared" si="67"/>
        <v>2.6568794843368138</v>
      </c>
      <c r="AV539" s="1">
        <f t="shared" si="68"/>
        <v>1.9864820463389208</v>
      </c>
      <c r="AW539" s="1">
        <f t="shared" si="69"/>
        <v>1.3160846083410278</v>
      </c>
    </row>
    <row r="540" spans="1:49" x14ac:dyDescent="0.2">
      <c r="A540">
        <v>538</v>
      </c>
      <c r="B540" t="s">
        <v>5849</v>
      </c>
      <c r="C540" t="s">
        <v>5848</v>
      </c>
      <c r="F540" t="s">
        <v>5847</v>
      </c>
      <c r="G540" t="s">
        <v>5</v>
      </c>
      <c r="H540" t="s">
        <v>4</v>
      </c>
      <c r="I540" t="s">
        <v>5846</v>
      </c>
      <c r="J540" t="s">
        <v>5845</v>
      </c>
      <c r="K540" t="s">
        <v>5844</v>
      </c>
      <c r="L540" t="s">
        <v>5843</v>
      </c>
      <c r="M540" t="s">
        <v>5842</v>
      </c>
      <c r="N540">
        <v>4</v>
      </c>
      <c r="O540" t="s">
        <v>5841</v>
      </c>
      <c r="P540" t="s">
        <v>5840</v>
      </c>
      <c r="Q540" t="s">
        <v>5839</v>
      </c>
      <c r="R540" s="7">
        <v>37530</v>
      </c>
      <c r="S540" s="8">
        <f t="shared" si="64"/>
        <v>2002</v>
      </c>
      <c r="T540" s="8">
        <v>2002</v>
      </c>
      <c r="U540" s="8">
        <f t="shared" si="65"/>
        <v>20</v>
      </c>
      <c r="V540" s="7">
        <v>37530</v>
      </c>
      <c r="W540" t="s">
        <v>5838</v>
      </c>
      <c r="X540" s="2">
        <v>0.73</v>
      </c>
      <c r="Y540" s="6">
        <f t="shared" si="70"/>
        <v>1.9486933077066816E-2</v>
      </c>
      <c r="AA540">
        <v>8906327</v>
      </c>
      <c r="AB540">
        <v>17960</v>
      </c>
      <c r="AD540" t="s">
        <v>2</v>
      </c>
      <c r="AE540">
        <v>16</v>
      </c>
      <c r="AF540" t="s">
        <v>5837</v>
      </c>
      <c r="AH540" t="s">
        <v>5836</v>
      </c>
      <c r="AI540" t="s">
        <v>5835</v>
      </c>
      <c r="AJ540" t="s">
        <v>5834</v>
      </c>
      <c r="AK540" t="s">
        <v>5833</v>
      </c>
      <c r="AL540">
        <v>4</v>
      </c>
      <c r="AM540" s="5">
        <f t="shared" si="66"/>
        <v>0.2</v>
      </c>
      <c r="AN540" s="4">
        <f t="shared" si="71"/>
        <v>3.0291556228701253E-4</v>
      </c>
      <c r="AO540" s="3"/>
      <c r="AP540">
        <v>0</v>
      </c>
      <c r="AR540" t="s">
        <v>1</v>
      </c>
      <c r="AT540" s="2">
        <v>3.637</v>
      </c>
      <c r="AU540" s="1">
        <f t="shared" si="67"/>
        <v>1.3731727822632873</v>
      </c>
      <c r="AV540" s="1">
        <f t="shared" si="68"/>
        <v>0.98949243196769143</v>
      </c>
      <c r="AW540" s="1">
        <f t="shared" si="69"/>
        <v>0.60581208167209533</v>
      </c>
    </row>
    <row r="541" spans="1:49" x14ac:dyDescent="0.2">
      <c r="A541">
        <v>539</v>
      </c>
      <c r="B541" t="s">
        <v>5832</v>
      </c>
      <c r="F541" t="s">
        <v>5831</v>
      </c>
      <c r="G541" t="s">
        <v>5</v>
      </c>
      <c r="H541" t="s">
        <v>4</v>
      </c>
      <c r="I541" t="s">
        <v>5830</v>
      </c>
      <c r="J541">
        <v>60024353</v>
      </c>
      <c r="K541" t="s">
        <v>735</v>
      </c>
      <c r="L541" t="s">
        <v>734</v>
      </c>
      <c r="M541" t="s">
        <v>19</v>
      </c>
      <c r="N541">
        <v>5</v>
      </c>
      <c r="O541" t="s">
        <v>5829</v>
      </c>
      <c r="P541" t="s">
        <v>5828</v>
      </c>
      <c r="Q541" t="s">
        <v>5827</v>
      </c>
      <c r="R541" s="7">
        <v>37530</v>
      </c>
      <c r="S541" s="8">
        <f t="shared" si="64"/>
        <v>2002</v>
      </c>
      <c r="T541" s="8">
        <v>2002</v>
      </c>
      <c r="U541" s="8">
        <f t="shared" si="65"/>
        <v>20</v>
      </c>
      <c r="V541" s="7">
        <v>2002</v>
      </c>
      <c r="W541" t="s">
        <v>5826</v>
      </c>
      <c r="X541" s="2">
        <v>0.39400000000000002</v>
      </c>
      <c r="Y541" s="6">
        <f t="shared" si="70"/>
        <v>1.0517604975841543E-2</v>
      </c>
      <c r="AA541">
        <v>15935213</v>
      </c>
      <c r="AB541">
        <v>27426</v>
      </c>
      <c r="AD541" t="s">
        <v>2</v>
      </c>
      <c r="AE541">
        <v>45</v>
      </c>
      <c r="AF541">
        <v>2</v>
      </c>
      <c r="AH541" t="s">
        <v>5825</v>
      </c>
      <c r="AI541" t="s">
        <v>5824</v>
      </c>
      <c r="AJ541" t="s">
        <v>5823</v>
      </c>
      <c r="AK541" t="s">
        <v>5822</v>
      </c>
      <c r="AL541">
        <v>73</v>
      </c>
      <c r="AM541" s="5">
        <f t="shared" si="66"/>
        <v>3.65</v>
      </c>
      <c r="AN541" s="4">
        <f t="shared" si="71"/>
        <v>5.5282090117379779E-3</v>
      </c>
      <c r="AO541" s="3"/>
      <c r="AP541">
        <v>0</v>
      </c>
      <c r="AR541" t="s">
        <v>1</v>
      </c>
      <c r="AT541" s="2">
        <v>1.3620000000000001</v>
      </c>
      <c r="AU541" s="1">
        <f t="shared" si="67"/>
        <v>0.90207861866104733</v>
      </c>
      <c r="AV541" s="1">
        <f t="shared" si="68"/>
        <v>0.80229069937897601</v>
      </c>
      <c r="AW541" s="1">
        <f t="shared" si="69"/>
        <v>0.7025027800969047</v>
      </c>
    </row>
    <row r="542" spans="1:49" x14ac:dyDescent="0.2">
      <c r="A542">
        <v>540</v>
      </c>
      <c r="B542" t="s">
        <v>5821</v>
      </c>
      <c r="C542" t="s">
        <v>5820</v>
      </c>
      <c r="E542">
        <v>12138100</v>
      </c>
      <c r="F542" t="s">
        <v>5819</v>
      </c>
      <c r="G542" t="s">
        <v>5</v>
      </c>
      <c r="H542" t="s">
        <v>4</v>
      </c>
      <c r="I542" t="s">
        <v>5818</v>
      </c>
      <c r="J542">
        <v>60023242</v>
      </c>
      <c r="K542" t="s">
        <v>5817</v>
      </c>
      <c r="L542" t="s">
        <v>5816</v>
      </c>
      <c r="M542" t="s">
        <v>7</v>
      </c>
      <c r="N542">
        <v>3</v>
      </c>
      <c r="O542" t="s">
        <v>5815</v>
      </c>
      <c r="P542" t="s">
        <v>5814</v>
      </c>
      <c r="Q542" t="s">
        <v>5813</v>
      </c>
      <c r="R542" s="7">
        <v>37526</v>
      </c>
      <c r="S542" s="8">
        <f t="shared" si="64"/>
        <v>2002</v>
      </c>
      <c r="T542" s="8">
        <v>2002</v>
      </c>
      <c r="U542" s="8">
        <f t="shared" si="65"/>
        <v>20</v>
      </c>
      <c r="V542" s="7">
        <v>37526</v>
      </c>
      <c r="W542" t="s">
        <v>807</v>
      </c>
      <c r="X542" s="2">
        <v>2.3610000000000002</v>
      </c>
      <c r="Y542" s="6">
        <f t="shared" si="70"/>
        <v>6.3025546568431179E-2</v>
      </c>
      <c r="AA542">
        <v>219258</v>
      </c>
      <c r="AB542">
        <v>17592</v>
      </c>
      <c r="AD542" t="s">
        <v>2</v>
      </c>
      <c r="AE542">
        <v>277</v>
      </c>
      <c r="AF542">
        <v>39</v>
      </c>
      <c r="AH542" t="s">
        <v>5812</v>
      </c>
      <c r="AI542" t="s">
        <v>5811</v>
      </c>
      <c r="AK542" t="s">
        <v>5810</v>
      </c>
      <c r="AL542">
        <v>44</v>
      </c>
      <c r="AM542" s="5">
        <f t="shared" si="66"/>
        <v>2.2000000000000002</v>
      </c>
      <c r="AN542" s="4">
        <f t="shared" si="71"/>
        <v>3.3320711851571377E-3</v>
      </c>
      <c r="AO542" s="3"/>
      <c r="AP542">
        <v>1</v>
      </c>
      <c r="AQ542" t="s">
        <v>1169</v>
      </c>
      <c r="AR542" t="s">
        <v>5809</v>
      </c>
      <c r="AS542" t="s">
        <v>1168</v>
      </c>
      <c r="AT542" s="2">
        <v>5.157</v>
      </c>
      <c r="AU542" s="1">
        <f t="shared" si="67"/>
        <v>4.5117503953448965</v>
      </c>
      <c r="AV542" s="1">
        <f t="shared" si="68"/>
        <v>3.3178808876794155</v>
      </c>
      <c r="AW542" s="1">
        <f t="shared" si="69"/>
        <v>2.1240113800139349</v>
      </c>
    </row>
    <row r="543" spans="1:49" x14ac:dyDescent="0.2">
      <c r="A543">
        <v>541</v>
      </c>
      <c r="B543" t="s">
        <v>5808</v>
      </c>
      <c r="C543" t="s">
        <v>5807</v>
      </c>
      <c r="E543">
        <v>12095992</v>
      </c>
      <c r="F543" t="s">
        <v>5806</v>
      </c>
      <c r="G543" t="s">
        <v>5</v>
      </c>
      <c r="H543" t="s">
        <v>4</v>
      </c>
      <c r="I543" t="s">
        <v>5805</v>
      </c>
      <c r="J543" t="s">
        <v>5804</v>
      </c>
      <c r="K543" t="s">
        <v>5803</v>
      </c>
      <c r="L543" t="s">
        <v>5802</v>
      </c>
      <c r="M543" t="s">
        <v>5801</v>
      </c>
      <c r="N543">
        <v>5</v>
      </c>
      <c r="O543" t="s">
        <v>5800</v>
      </c>
      <c r="P543" t="s">
        <v>5799</v>
      </c>
      <c r="Q543" t="s">
        <v>5798</v>
      </c>
      <c r="R543" s="7">
        <v>37526</v>
      </c>
      <c r="S543" s="8">
        <f t="shared" si="64"/>
        <v>2002</v>
      </c>
      <c r="T543" s="8">
        <v>2002</v>
      </c>
      <c r="U543" s="8">
        <f t="shared" si="65"/>
        <v>20</v>
      </c>
      <c r="V543" s="7">
        <v>37526</v>
      </c>
      <c r="W543" t="s">
        <v>807</v>
      </c>
      <c r="X543" s="2">
        <v>2.3610000000000002</v>
      </c>
      <c r="Y543" s="6">
        <f t="shared" si="70"/>
        <v>6.3025546568431179E-2</v>
      </c>
      <c r="AA543">
        <v>219258</v>
      </c>
      <c r="AB543">
        <v>17592</v>
      </c>
      <c r="AD543" t="s">
        <v>2</v>
      </c>
      <c r="AE543">
        <v>277</v>
      </c>
      <c r="AF543">
        <v>39</v>
      </c>
      <c r="AH543" t="s">
        <v>5797</v>
      </c>
      <c r="AI543" t="s">
        <v>5796</v>
      </c>
      <c r="AK543" t="s">
        <v>5795</v>
      </c>
      <c r="AL543">
        <v>72</v>
      </c>
      <c r="AM543" s="5">
        <f t="shared" si="66"/>
        <v>3.6</v>
      </c>
      <c r="AN543" s="4">
        <f t="shared" si="71"/>
        <v>5.4524801211662246E-3</v>
      </c>
      <c r="AO543" s="3"/>
      <c r="AP543">
        <v>1</v>
      </c>
      <c r="AR543" t="s">
        <v>1</v>
      </c>
      <c r="AT543" s="2">
        <v>5.157</v>
      </c>
      <c r="AU543" s="1">
        <f t="shared" si="67"/>
        <v>4.5753626634251692</v>
      </c>
      <c r="AV543" s="1">
        <f t="shared" si="68"/>
        <v>3.4239013344798703</v>
      </c>
      <c r="AW543" s="1">
        <f t="shared" si="69"/>
        <v>2.272440005534571</v>
      </c>
    </row>
    <row r="544" spans="1:49" x14ac:dyDescent="0.2">
      <c r="A544">
        <v>542</v>
      </c>
      <c r="B544" t="s">
        <v>5794</v>
      </c>
      <c r="C544" t="s">
        <v>5793</v>
      </c>
      <c r="D544" t="s">
        <v>5792</v>
      </c>
      <c r="F544" t="s">
        <v>5791</v>
      </c>
      <c r="G544" t="s">
        <v>5</v>
      </c>
      <c r="H544" t="s">
        <v>4</v>
      </c>
      <c r="I544" t="s">
        <v>5790</v>
      </c>
      <c r="J544" t="s">
        <v>5789</v>
      </c>
      <c r="K544" t="s">
        <v>5788</v>
      </c>
      <c r="L544" t="s">
        <v>5787</v>
      </c>
      <c r="M544" t="s">
        <v>5786</v>
      </c>
      <c r="N544">
        <v>100</v>
      </c>
      <c r="O544" t="s">
        <v>5785</v>
      </c>
      <c r="P544" t="s">
        <v>5784</v>
      </c>
      <c r="Q544" t="s">
        <v>5783</v>
      </c>
      <c r="R544" s="7">
        <v>37525</v>
      </c>
      <c r="S544" s="8">
        <f t="shared" si="64"/>
        <v>2002</v>
      </c>
      <c r="T544" s="8">
        <v>2002</v>
      </c>
      <c r="U544" s="8">
        <f t="shared" si="65"/>
        <v>20</v>
      </c>
      <c r="V544" s="7">
        <v>37525</v>
      </c>
      <c r="W544" t="s">
        <v>808</v>
      </c>
      <c r="X544" s="2">
        <v>2.093</v>
      </c>
      <c r="Y544" s="6">
        <f t="shared" si="70"/>
        <v>5.5871439630549108E-2</v>
      </c>
      <c r="AA544">
        <v>3702693</v>
      </c>
      <c r="AB544">
        <v>29482</v>
      </c>
      <c r="AD544" t="s">
        <v>2</v>
      </c>
      <c r="AE544">
        <v>544</v>
      </c>
      <c r="AF544" s="9">
        <v>44289</v>
      </c>
      <c r="AH544" t="s">
        <v>5782</v>
      </c>
      <c r="AI544" t="s">
        <v>5781</v>
      </c>
      <c r="AK544" t="s">
        <v>5780</v>
      </c>
      <c r="AL544">
        <v>7</v>
      </c>
      <c r="AM544" s="5">
        <f t="shared" si="66"/>
        <v>0.35</v>
      </c>
      <c r="AN544" s="4">
        <f t="shared" si="71"/>
        <v>5.3010223400227184E-4</v>
      </c>
      <c r="AO544" s="3"/>
      <c r="AP544">
        <v>1</v>
      </c>
      <c r="AQ544" t="s">
        <v>290</v>
      </c>
      <c r="AR544" t="s">
        <v>5779</v>
      </c>
      <c r="AS544" t="s">
        <v>289</v>
      </c>
      <c r="AT544" s="2" t="s">
        <v>0</v>
      </c>
      <c r="AU544" s="1">
        <f t="shared" si="67"/>
        <v>3.9269038411585058</v>
      </c>
      <c r="AV544" s="1">
        <f t="shared" si="68"/>
        <v>2.8200770932275692</v>
      </c>
      <c r="AW544" s="1">
        <f t="shared" si="69"/>
        <v>1.7132503452966321</v>
      </c>
    </row>
    <row r="545" spans="1:49" x14ac:dyDescent="0.2">
      <c r="A545">
        <v>543</v>
      </c>
      <c r="B545" t="s">
        <v>5778</v>
      </c>
      <c r="C545" t="s">
        <v>5777</v>
      </c>
      <c r="F545" t="s">
        <v>5776</v>
      </c>
      <c r="G545" t="s">
        <v>5</v>
      </c>
      <c r="H545" t="s">
        <v>4</v>
      </c>
      <c r="I545" t="s">
        <v>1173</v>
      </c>
      <c r="J545" t="s">
        <v>5775</v>
      </c>
      <c r="K545" t="s">
        <v>5774</v>
      </c>
      <c r="L545" t="s">
        <v>5773</v>
      </c>
      <c r="M545" t="s">
        <v>846</v>
      </c>
      <c r="N545">
        <v>4</v>
      </c>
      <c r="O545" t="s">
        <v>5772</v>
      </c>
      <c r="P545" t="s">
        <v>5771</v>
      </c>
      <c r="Q545" t="s">
        <v>5770</v>
      </c>
      <c r="R545" s="7">
        <v>37525</v>
      </c>
      <c r="S545" s="8">
        <f t="shared" si="64"/>
        <v>2002</v>
      </c>
      <c r="T545" s="8">
        <v>2002</v>
      </c>
      <c r="U545" s="8">
        <f t="shared" si="65"/>
        <v>20</v>
      </c>
      <c r="V545" s="7">
        <v>37525</v>
      </c>
      <c r="W545" t="s">
        <v>1048</v>
      </c>
      <c r="X545" s="2">
        <v>0.86399999999999999</v>
      </c>
      <c r="Y545" s="6">
        <f t="shared" si="70"/>
        <v>2.3063986546007848E-2</v>
      </c>
      <c r="AA545">
        <v>10895647</v>
      </c>
      <c r="AB545">
        <v>26970</v>
      </c>
      <c r="AD545" t="s">
        <v>2</v>
      </c>
      <c r="AE545">
        <v>106</v>
      </c>
      <c r="AF545">
        <v>38</v>
      </c>
      <c r="AH545" t="s">
        <v>5769</v>
      </c>
      <c r="AI545" t="s">
        <v>5768</v>
      </c>
      <c r="AK545" t="s">
        <v>5767</v>
      </c>
      <c r="AL545">
        <v>28</v>
      </c>
      <c r="AM545" s="5">
        <f t="shared" si="66"/>
        <v>1.4</v>
      </c>
      <c r="AN545" s="4">
        <f t="shared" si="71"/>
        <v>2.1204089360090874E-3</v>
      </c>
      <c r="AO545" s="3"/>
      <c r="AP545">
        <v>0</v>
      </c>
      <c r="AR545" t="s">
        <v>1</v>
      </c>
      <c r="AT545" s="2">
        <v>2.9910000000000001</v>
      </c>
      <c r="AU545" s="1">
        <f t="shared" si="67"/>
        <v>1.6780913263008217</v>
      </c>
      <c r="AV545" s="1">
        <f t="shared" si="68"/>
        <v>1.2592197741008468</v>
      </c>
      <c r="AW545" s="1">
        <f t="shared" si="69"/>
        <v>0.84034822190087155</v>
      </c>
    </row>
    <row r="546" spans="1:49" x14ac:dyDescent="0.2">
      <c r="A546">
        <v>544</v>
      </c>
      <c r="B546" t="s">
        <v>5766</v>
      </c>
      <c r="C546" t="s">
        <v>5765</v>
      </c>
      <c r="D546" t="s">
        <v>5764</v>
      </c>
      <c r="F546" t="s">
        <v>5763</v>
      </c>
      <c r="G546" t="s">
        <v>5</v>
      </c>
      <c r="H546" t="s">
        <v>4</v>
      </c>
      <c r="I546" t="s">
        <v>5762</v>
      </c>
      <c r="J546">
        <v>60021988</v>
      </c>
      <c r="K546" t="s">
        <v>5761</v>
      </c>
      <c r="L546" t="s">
        <v>5760</v>
      </c>
      <c r="M546" t="s">
        <v>125</v>
      </c>
      <c r="N546">
        <v>2</v>
      </c>
      <c r="O546" t="s">
        <v>5759</v>
      </c>
      <c r="P546" t="s">
        <v>5758</v>
      </c>
      <c r="Q546" t="s">
        <v>5757</v>
      </c>
      <c r="R546" s="7">
        <v>37525</v>
      </c>
      <c r="S546" s="8">
        <f t="shared" si="64"/>
        <v>2002</v>
      </c>
      <c r="T546" s="8">
        <v>2002</v>
      </c>
      <c r="U546" s="8">
        <f t="shared" si="65"/>
        <v>20</v>
      </c>
      <c r="V546" s="7">
        <v>37525</v>
      </c>
      <c r="W546" t="s">
        <v>5756</v>
      </c>
      <c r="X546" s="2">
        <v>0.437</v>
      </c>
      <c r="Y546" s="6">
        <f t="shared" si="70"/>
        <v>1.1665465417367396E-2</v>
      </c>
      <c r="AA546">
        <v>201693</v>
      </c>
      <c r="AB546">
        <v>25270</v>
      </c>
      <c r="AD546" t="s">
        <v>2</v>
      </c>
      <c r="AE546">
        <v>337</v>
      </c>
      <c r="AH546" t="s">
        <v>5755</v>
      </c>
      <c r="AI546" t="s">
        <v>5754</v>
      </c>
      <c r="AJ546" t="s">
        <v>5753</v>
      </c>
      <c r="AK546" t="s">
        <v>5752</v>
      </c>
      <c r="AL546">
        <v>161</v>
      </c>
      <c r="AM546" s="5">
        <f t="shared" si="66"/>
        <v>8.0500000000000007</v>
      </c>
      <c r="AN546" s="4">
        <f t="shared" si="71"/>
        <v>1.2192351382052253E-2</v>
      </c>
      <c r="AO546" s="3"/>
      <c r="AP546">
        <v>0</v>
      </c>
      <c r="AQ546" t="s">
        <v>5751</v>
      </c>
      <c r="AR546" t="s">
        <v>1</v>
      </c>
      <c r="AS546" t="s">
        <v>5750</v>
      </c>
      <c r="AT546" s="2">
        <v>2.5449999999999999</v>
      </c>
      <c r="AU546" s="1">
        <f t="shared" si="67"/>
        <v>1.1823531206772853</v>
      </c>
      <c r="AV546" s="1">
        <f t="shared" si="68"/>
        <v>1.1928908399709826</v>
      </c>
      <c r="AW546" s="1">
        <f t="shared" si="69"/>
        <v>1.2034285592646796</v>
      </c>
    </row>
    <row r="547" spans="1:49" x14ac:dyDescent="0.2">
      <c r="A547">
        <v>545</v>
      </c>
      <c r="B547" t="s">
        <v>5749</v>
      </c>
      <c r="C547" t="s">
        <v>5748</v>
      </c>
      <c r="F547" t="s">
        <v>5747</v>
      </c>
      <c r="G547" t="s">
        <v>5</v>
      </c>
      <c r="H547" t="s">
        <v>4</v>
      </c>
      <c r="I547" t="s">
        <v>5746</v>
      </c>
      <c r="J547">
        <v>60016418</v>
      </c>
      <c r="K547" t="s">
        <v>576</v>
      </c>
      <c r="L547" t="s">
        <v>575</v>
      </c>
      <c r="M547" t="s">
        <v>41</v>
      </c>
      <c r="N547">
        <v>4</v>
      </c>
      <c r="O547" t="s">
        <v>5745</v>
      </c>
      <c r="P547" t="s">
        <v>5744</v>
      </c>
      <c r="Q547" t="s">
        <v>5743</v>
      </c>
      <c r="R547" s="7">
        <v>37525</v>
      </c>
      <c r="S547" s="8">
        <f t="shared" si="64"/>
        <v>2002</v>
      </c>
      <c r="T547" s="8">
        <v>2002</v>
      </c>
      <c r="U547" s="8">
        <f t="shared" si="65"/>
        <v>20</v>
      </c>
      <c r="V547" s="7">
        <v>37525</v>
      </c>
      <c r="W547" t="s">
        <v>786</v>
      </c>
      <c r="X547" s="2">
        <v>0.375</v>
      </c>
      <c r="Y547" s="6">
        <f t="shared" si="70"/>
        <v>1.0010410827260351E-2</v>
      </c>
      <c r="AA547">
        <v>135194</v>
      </c>
      <c r="AB547">
        <v>24918</v>
      </c>
      <c r="AD547" t="s">
        <v>2</v>
      </c>
      <c r="AE547">
        <v>38</v>
      </c>
      <c r="AF547">
        <v>20</v>
      </c>
      <c r="AH547" t="s">
        <v>5742</v>
      </c>
      <c r="AI547" t="s">
        <v>5741</v>
      </c>
      <c r="AK547" t="s">
        <v>5740</v>
      </c>
      <c r="AL547">
        <v>8</v>
      </c>
      <c r="AM547" s="5">
        <f t="shared" si="66"/>
        <v>0.4</v>
      </c>
      <c r="AN547" s="4">
        <f t="shared" si="71"/>
        <v>6.0583112457402507E-4</v>
      </c>
      <c r="AO547" s="3"/>
      <c r="AP547">
        <v>0</v>
      </c>
      <c r="AR547" t="s">
        <v>1</v>
      </c>
      <c r="AT547" s="2">
        <v>1.3140000000000001</v>
      </c>
      <c r="AU547" s="1">
        <f t="shared" si="67"/>
        <v>0.71890369164544532</v>
      </c>
      <c r="AV547" s="1">
        <f t="shared" si="68"/>
        <v>0.53081209759171888</v>
      </c>
      <c r="AW547" s="1">
        <f t="shared" si="69"/>
        <v>0.34272050353799227</v>
      </c>
    </row>
    <row r="548" spans="1:49" x14ac:dyDescent="0.2">
      <c r="A548">
        <v>546</v>
      </c>
      <c r="B548" t="s">
        <v>5739</v>
      </c>
      <c r="C548" t="s">
        <v>5738</v>
      </c>
      <c r="F548" t="s">
        <v>5737</v>
      </c>
      <c r="G548" t="s">
        <v>5</v>
      </c>
      <c r="H548" t="s">
        <v>4</v>
      </c>
      <c r="I548" t="s">
        <v>119</v>
      </c>
      <c r="J548" t="s">
        <v>5736</v>
      </c>
      <c r="K548" t="s">
        <v>5735</v>
      </c>
      <c r="L548" t="s">
        <v>5734</v>
      </c>
      <c r="M548" t="s">
        <v>705</v>
      </c>
      <c r="N548">
        <v>5</v>
      </c>
      <c r="O548" t="s">
        <v>5733</v>
      </c>
      <c r="P548" t="s">
        <v>5732</v>
      </c>
      <c r="Q548" t="s">
        <v>5731</v>
      </c>
      <c r="R548" s="7">
        <v>37525</v>
      </c>
      <c r="S548" s="8">
        <f t="shared" si="64"/>
        <v>2002</v>
      </c>
      <c r="T548" s="8">
        <v>2002</v>
      </c>
      <c r="U548" s="8">
        <f t="shared" si="65"/>
        <v>20</v>
      </c>
      <c r="V548" s="7">
        <v>37525</v>
      </c>
      <c r="W548" t="s">
        <v>786</v>
      </c>
      <c r="X548" s="2">
        <v>0.375</v>
      </c>
      <c r="Y548" s="6">
        <f t="shared" si="70"/>
        <v>1.0010410827260351E-2</v>
      </c>
      <c r="AA548">
        <v>135194</v>
      </c>
      <c r="AB548">
        <v>24918</v>
      </c>
      <c r="AD548" t="s">
        <v>2</v>
      </c>
      <c r="AE548">
        <v>38</v>
      </c>
      <c r="AF548">
        <v>20</v>
      </c>
      <c r="AH548" t="s">
        <v>5730</v>
      </c>
      <c r="AI548" t="s">
        <v>5729</v>
      </c>
      <c r="AK548" t="s">
        <v>5728</v>
      </c>
      <c r="AL548">
        <v>4</v>
      </c>
      <c r="AM548" s="5">
        <f t="shared" si="66"/>
        <v>0.2</v>
      </c>
      <c r="AN548" s="4">
        <f t="shared" si="71"/>
        <v>3.0291556228701253E-4</v>
      </c>
      <c r="AO548" s="3"/>
      <c r="AP548">
        <v>0</v>
      </c>
      <c r="AR548" t="s">
        <v>1</v>
      </c>
      <c r="AT548" s="2">
        <v>1.3140000000000001</v>
      </c>
      <c r="AU548" s="1">
        <f t="shared" si="67"/>
        <v>0.70981622477683493</v>
      </c>
      <c r="AV548" s="1">
        <f t="shared" si="68"/>
        <v>0.51566631947736818</v>
      </c>
      <c r="AW548" s="1">
        <f t="shared" si="69"/>
        <v>0.32151641417790139</v>
      </c>
    </row>
    <row r="549" spans="1:49" x14ac:dyDescent="0.2">
      <c r="A549">
        <v>547</v>
      </c>
      <c r="B549" t="s">
        <v>5727</v>
      </c>
      <c r="C549" t="s">
        <v>5726</v>
      </c>
      <c r="F549" t="s">
        <v>5725</v>
      </c>
      <c r="G549" t="s">
        <v>5</v>
      </c>
      <c r="H549" t="s">
        <v>4</v>
      </c>
      <c r="I549" t="s">
        <v>5724</v>
      </c>
      <c r="J549">
        <v>60021378</v>
      </c>
      <c r="K549" t="s">
        <v>496</v>
      </c>
      <c r="L549" t="s">
        <v>495</v>
      </c>
      <c r="M549" t="s">
        <v>7</v>
      </c>
      <c r="N549">
        <v>3</v>
      </c>
      <c r="O549" t="s">
        <v>5723</v>
      </c>
      <c r="P549" t="s">
        <v>5722</v>
      </c>
      <c r="Q549" t="s">
        <v>542</v>
      </c>
      <c r="R549" s="7">
        <v>37525</v>
      </c>
      <c r="S549" s="8">
        <f t="shared" si="64"/>
        <v>2002</v>
      </c>
      <c r="T549" s="8">
        <v>2002</v>
      </c>
      <c r="U549" s="8">
        <f t="shared" si="65"/>
        <v>20</v>
      </c>
      <c r="V549" s="7">
        <v>37525</v>
      </c>
      <c r="W549" t="s">
        <v>786</v>
      </c>
      <c r="X549" s="2">
        <v>0.375</v>
      </c>
      <c r="Y549" s="6">
        <f t="shared" si="70"/>
        <v>1.0010410827260351E-2</v>
      </c>
      <c r="AA549">
        <v>135194</v>
      </c>
      <c r="AB549">
        <v>24918</v>
      </c>
      <c r="AD549" t="s">
        <v>2</v>
      </c>
      <c r="AE549">
        <v>38</v>
      </c>
      <c r="AF549">
        <v>20</v>
      </c>
      <c r="AH549" t="s">
        <v>5721</v>
      </c>
      <c r="AI549" t="s">
        <v>5720</v>
      </c>
      <c r="AK549" t="s">
        <v>5719</v>
      </c>
      <c r="AL549">
        <v>8</v>
      </c>
      <c r="AM549" s="5">
        <f t="shared" si="66"/>
        <v>0.4</v>
      </c>
      <c r="AN549" s="4">
        <f t="shared" si="71"/>
        <v>6.0583112457402507E-4</v>
      </c>
      <c r="AO549" s="3"/>
      <c r="AP549">
        <v>0</v>
      </c>
      <c r="AR549" t="s">
        <v>1</v>
      </c>
      <c r="AT549" s="2">
        <v>1.3140000000000001</v>
      </c>
      <c r="AU549" s="1">
        <f t="shared" si="67"/>
        <v>0.71890369164544532</v>
      </c>
      <c r="AV549" s="1">
        <f t="shared" si="68"/>
        <v>0.53081209759171888</v>
      </c>
      <c r="AW549" s="1">
        <f t="shared" si="69"/>
        <v>0.34272050353799227</v>
      </c>
    </row>
    <row r="550" spans="1:49" x14ac:dyDescent="0.2">
      <c r="A550">
        <v>548</v>
      </c>
      <c r="B550" t="s">
        <v>5718</v>
      </c>
      <c r="C550" t="s">
        <v>5717</v>
      </c>
      <c r="F550" t="s">
        <v>5716</v>
      </c>
      <c r="G550" t="s">
        <v>5</v>
      </c>
      <c r="H550" t="s">
        <v>4</v>
      </c>
      <c r="I550" t="s">
        <v>5715</v>
      </c>
      <c r="J550">
        <v>60007592</v>
      </c>
      <c r="K550" t="s">
        <v>452</v>
      </c>
      <c r="L550" t="s">
        <v>183</v>
      </c>
      <c r="M550" t="s">
        <v>182</v>
      </c>
      <c r="N550">
        <v>4</v>
      </c>
      <c r="O550" t="s">
        <v>5714</v>
      </c>
      <c r="P550" t="s">
        <v>5713</v>
      </c>
      <c r="Q550" t="s">
        <v>5712</v>
      </c>
      <c r="R550" s="7">
        <v>37525</v>
      </c>
      <c r="S550" s="8">
        <f t="shared" si="64"/>
        <v>2002</v>
      </c>
      <c r="T550" s="8">
        <v>2002</v>
      </c>
      <c r="U550" s="8">
        <f t="shared" si="65"/>
        <v>20</v>
      </c>
      <c r="V550" s="7">
        <v>37525</v>
      </c>
      <c r="W550" t="s">
        <v>786</v>
      </c>
      <c r="X550" s="2">
        <v>0.375</v>
      </c>
      <c r="Y550" s="6">
        <f t="shared" si="70"/>
        <v>1.0010410827260351E-2</v>
      </c>
      <c r="AA550">
        <v>135194</v>
      </c>
      <c r="AB550">
        <v>24918</v>
      </c>
      <c r="AD550" t="s">
        <v>2</v>
      </c>
      <c r="AE550">
        <v>38</v>
      </c>
      <c r="AF550">
        <v>20</v>
      </c>
      <c r="AH550" t="s">
        <v>5711</v>
      </c>
      <c r="AI550" t="s">
        <v>5710</v>
      </c>
      <c r="AK550" t="s">
        <v>5709</v>
      </c>
      <c r="AL550">
        <v>5</v>
      </c>
      <c r="AM550" s="5">
        <f t="shared" si="66"/>
        <v>0.25</v>
      </c>
      <c r="AN550" s="4">
        <f t="shared" si="71"/>
        <v>3.786444528587656E-4</v>
      </c>
      <c r="AO550" s="3"/>
      <c r="AP550">
        <v>0</v>
      </c>
      <c r="AR550" t="s">
        <v>1</v>
      </c>
      <c r="AT550" s="2">
        <v>1.3140000000000001</v>
      </c>
      <c r="AU550" s="1">
        <f t="shared" si="67"/>
        <v>0.71208809149398755</v>
      </c>
      <c r="AV550" s="1">
        <f t="shared" si="68"/>
        <v>0.51945276400595586</v>
      </c>
      <c r="AW550" s="1">
        <f t="shared" si="69"/>
        <v>0.32681743651792411</v>
      </c>
    </row>
    <row r="551" spans="1:49" x14ac:dyDescent="0.2">
      <c r="A551">
        <v>549</v>
      </c>
      <c r="B551" t="s">
        <v>5708</v>
      </c>
      <c r="C551" t="s">
        <v>5707</v>
      </c>
      <c r="F551" t="s">
        <v>5706</v>
      </c>
      <c r="G551" t="s">
        <v>5</v>
      </c>
      <c r="H551" t="s">
        <v>4</v>
      </c>
      <c r="I551" t="s">
        <v>5705</v>
      </c>
      <c r="J551" t="s">
        <v>5700</v>
      </c>
      <c r="K551" t="s">
        <v>5704</v>
      </c>
      <c r="L551" t="s">
        <v>5703</v>
      </c>
      <c r="M551" t="s">
        <v>39</v>
      </c>
      <c r="N551">
        <v>2</v>
      </c>
      <c r="O551" t="s">
        <v>5702</v>
      </c>
      <c r="P551" t="s">
        <v>5701</v>
      </c>
      <c r="Q551" t="s">
        <v>5700</v>
      </c>
      <c r="R551" s="7">
        <v>37525</v>
      </c>
      <c r="S551" s="8">
        <f t="shared" si="64"/>
        <v>2002</v>
      </c>
      <c r="T551" s="8">
        <v>2002</v>
      </c>
      <c r="U551" s="8">
        <f t="shared" si="65"/>
        <v>20</v>
      </c>
      <c r="V551" s="7">
        <v>37525</v>
      </c>
      <c r="W551" t="s">
        <v>786</v>
      </c>
      <c r="X551" s="2">
        <v>0.375</v>
      </c>
      <c r="Y551" s="6">
        <f t="shared" si="70"/>
        <v>1.0010410827260351E-2</v>
      </c>
      <c r="AA551">
        <v>135194</v>
      </c>
      <c r="AB551">
        <v>24918</v>
      </c>
      <c r="AD551" t="s">
        <v>2</v>
      </c>
      <c r="AE551">
        <v>38</v>
      </c>
      <c r="AF551">
        <v>20</v>
      </c>
      <c r="AH551" t="s">
        <v>3030</v>
      </c>
      <c r="AI551" t="s">
        <v>5699</v>
      </c>
      <c r="AK551" t="s">
        <v>5698</v>
      </c>
      <c r="AL551">
        <v>11</v>
      </c>
      <c r="AM551" s="5">
        <f t="shared" si="66"/>
        <v>0.55000000000000004</v>
      </c>
      <c r="AN551" s="4">
        <f t="shared" si="71"/>
        <v>8.3301779628928443E-4</v>
      </c>
      <c r="AO551" s="3"/>
      <c r="AP551">
        <v>0</v>
      </c>
      <c r="AR551" t="s">
        <v>1</v>
      </c>
      <c r="AT551" s="2">
        <v>1.3140000000000001</v>
      </c>
      <c r="AU551" s="1">
        <f t="shared" si="67"/>
        <v>0.7257192917969032</v>
      </c>
      <c r="AV551" s="1">
        <f t="shared" si="68"/>
        <v>0.54217143117748179</v>
      </c>
      <c r="AW551" s="1">
        <f t="shared" si="69"/>
        <v>0.35862357055806038</v>
      </c>
    </row>
    <row r="552" spans="1:49" x14ac:dyDescent="0.2">
      <c r="A552">
        <v>550</v>
      </c>
      <c r="B552" t="s">
        <v>5697</v>
      </c>
      <c r="C552" t="s">
        <v>5696</v>
      </c>
      <c r="F552" t="s">
        <v>5695</v>
      </c>
      <c r="G552" t="s">
        <v>5</v>
      </c>
      <c r="H552" t="s">
        <v>4</v>
      </c>
      <c r="I552" t="s">
        <v>615</v>
      </c>
      <c r="J552">
        <v>60025997</v>
      </c>
      <c r="K552" t="s">
        <v>552</v>
      </c>
      <c r="L552" t="s">
        <v>104</v>
      </c>
      <c r="M552" t="s">
        <v>36</v>
      </c>
      <c r="N552">
        <v>2</v>
      </c>
      <c r="O552" t="s">
        <v>614</v>
      </c>
      <c r="P552" t="s">
        <v>613</v>
      </c>
      <c r="Q552" t="s">
        <v>551</v>
      </c>
      <c r="R552" s="7">
        <v>37525</v>
      </c>
      <c r="S552" s="8">
        <f t="shared" si="64"/>
        <v>2002</v>
      </c>
      <c r="T552" s="8">
        <v>2002</v>
      </c>
      <c r="U552" s="8">
        <f t="shared" si="65"/>
        <v>20</v>
      </c>
      <c r="V552" s="7">
        <v>37525</v>
      </c>
      <c r="W552" t="s">
        <v>786</v>
      </c>
      <c r="X552" s="2">
        <v>0.375</v>
      </c>
      <c r="Y552" s="6">
        <f t="shared" si="70"/>
        <v>1.0010410827260351E-2</v>
      </c>
      <c r="AA552">
        <v>135194</v>
      </c>
      <c r="AB552">
        <v>24918</v>
      </c>
      <c r="AD552" t="s">
        <v>2</v>
      </c>
      <c r="AE552">
        <v>38</v>
      </c>
      <c r="AF552">
        <v>20</v>
      </c>
      <c r="AH552" t="s">
        <v>5694</v>
      </c>
      <c r="AI552" t="s">
        <v>5693</v>
      </c>
      <c r="AK552" t="s">
        <v>5692</v>
      </c>
      <c r="AL552">
        <v>3</v>
      </c>
      <c r="AM552" s="5">
        <f t="shared" si="66"/>
        <v>0.15</v>
      </c>
      <c r="AN552" s="4">
        <f t="shared" si="71"/>
        <v>2.2718667171525936E-4</v>
      </c>
      <c r="AO552" s="3"/>
      <c r="AP552">
        <v>0</v>
      </c>
      <c r="AR552" t="s">
        <v>1</v>
      </c>
      <c r="AT552" s="2">
        <v>1.3140000000000001</v>
      </c>
      <c r="AU552" s="1">
        <f t="shared" si="67"/>
        <v>0.70754435805968241</v>
      </c>
      <c r="AV552" s="1">
        <f t="shared" si="68"/>
        <v>0.51187987494878051</v>
      </c>
      <c r="AW552" s="1">
        <f t="shared" si="69"/>
        <v>0.31621539183787867</v>
      </c>
    </row>
    <row r="553" spans="1:49" x14ac:dyDescent="0.2">
      <c r="A553">
        <v>551</v>
      </c>
      <c r="B553" t="s">
        <v>5691</v>
      </c>
      <c r="C553" t="s">
        <v>5690</v>
      </c>
      <c r="F553" t="s">
        <v>5689</v>
      </c>
      <c r="G553" t="s">
        <v>5</v>
      </c>
      <c r="H553" t="s">
        <v>4</v>
      </c>
      <c r="I553" t="s">
        <v>5688</v>
      </c>
      <c r="J553">
        <v>60008504</v>
      </c>
      <c r="K553" t="s">
        <v>5687</v>
      </c>
      <c r="L553" t="s">
        <v>136</v>
      </c>
      <c r="M553" t="s">
        <v>135</v>
      </c>
      <c r="N553">
        <v>2</v>
      </c>
      <c r="O553" t="s">
        <v>5686</v>
      </c>
      <c r="P553" t="s">
        <v>5685</v>
      </c>
      <c r="Q553" t="s">
        <v>5684</v>
      </c>
      <c r="R553" s="7">
        <v>37525</v>
      </c>
      <c r="S553" s="8">
        <f t="shared" si="64"/>
        <v>2002</v>
      </c>
      <c r="T553" s="8">
        <v>2002</v>
      </c>
      <c r="U553" s="8">
        <f t="shared" si="65"/>
        <v>20</v>
      </c>
      <c r="V553" s="7">
        <v>37525</v>
      </c>
      <c r="W553" t="s">
        <v>786</v>
      </c>
      <c r="X553" s="2">
        <v>0.375</v>
      </c>
      <c r="Y553" s="6">
        <f t="shared" si="70"/>
        <v>1.0010410827260351E-2</v>
      </c>
      <c r="AA553">
        <v>135194</v>
      </c>
      <c r="AB553">
        <v>24918</v>
      </c>
      <c r="AD553" t="s">
        <v>2</v>
      </c>
      <c r="AE553">
        <v>38</v>
      </c>
      <c r="AF553">
        <v>20</v>
      </c>
      <c r="AH553" t="s">
        <v>5683</v>
      </c>
      <c r="AI553" t="s">
        <v>5682</v>
      </c>
      <c r="AK553" t="s">
        <v>5681</v>
      </c>
      <c r="AL553">
        <v>10</v>
      </c>
      <c r="AM553" s="5">
        <f t="shared" si="66"/>
        <v>0.5</v>
      </c>
      <c r="AN553" s="4">
        <f t="shared" si="71"/>
        <v>7.572889057175312E-4</v>
      </c>
      <c r="AO553" s="3"/>
      <c r="AP553">
        <v>0</v>
      </c>
      <c r="AR553" t="s">
        <v>1</v>
      </c>
      <c r="AT553" s="2">
        <v>1.3140000000000001</v>
      </c>
      <c r="AU553" s="1">
        <f t="shared" si="67"/>
        <v>0.72344742507975057</v>
      </c>
      <c r="AV553" s="1">
        <f t="shared" si="68"/>
        <v>0.53838498664889411</v>
      </c>
      <c r="AW553" s="1">
        <f t="shared" si="69"/>
        <v>0.35332254821803771</v>
      </c>
    </row>
    <row r="554" spans="1:49" x14ac:dyDescent="0.2">
      <c r="A554">
        <v>552</v>
      </c>
      <c r="B554" t="s">
        <v>5680</v>
      </c>
      <c r="C554" t="s">
        <v>5679</v>
      </c>
      <c r="D554" t="s">
        <v>5678</v>
      </c>
      <c r="E554">
        <v>12297309</v>
      </c>
      <c r="F554" t="s">
        <v>5677</v>
      </c>
      <c r="G554" t="s">
        <v>5</v>
      </c>
      <c r="H554" t="s">
        <v>4</v>
      </c>
      <c r="I554" t="s">
        <v>5676</v>
      </c>
      <c r="J554" t="s">
        <v>5675</v>
      </c>
      <c r="K554" t="s">
        <v>5674</v>
      </c>
      <c r="L554" t="s">
        <v>5673</v>
      </c>
      <c r="M554" t="s">
        <v>5672</v>
      </c>
      <c r="N554">
        <v>2</v>
      </c>
      <c r="O554" t="s">
        <v>5671</v>
      </c>
      <c r="P554" t="s">
        <v>5670</v>
      </c>
      <c r="Q554" t="s">
        <v>5669</v>
      </c>
      <c r="R554" s="7">
        <v>37524</v>
      </c>
      <c r="S554" s="8">
        <f t="shared" si="64"/>
        <v>2002</v>
      </c>
      <c r="T554" s="8">
        <v>2002</v>
      </c>
      <c r="U554" s="8">
        <f t="shared" si="65"/>
        <v>20</v>
      </c>
      <c r="V554" s="7">
        <v>37524</v>
      </c>
      <c r="W554" t="s">
        <v>885</v>
      </c>
      <c r="X554" s="2">
        <v>1.593</v>
      </c>
      <c r="Y554" s="6">
        <f t="shared" si="70"/>
        <v>4.2524225194201973E-2</v>
      </c>
      <c r="AA554">
        <v>145793</v>
      </c>
      <c r="AB554">
        <v>17481</v>
      </c>
      <c r="AD554" t="s">
        <v>2</v>
      </c>
      <c r="AE554">
        <v>528</v>
      </c>
      <c r="AF554" s="9">
        <v>44256</v>
      </c>
      <c r="AH554" t="s">
        <v>5668</v>
      </c>
      <c r="AI554" t="s">
        <v>5667</v>
      </c>
      <c r="AJ554" t="s">
        <v>5666</v>
      </c>
      <c r="AK554" t="s">
        <v>5665</v>
      </c>
      <c r="AL554">
        <v>9</v>
      </c>
      <c r="AM554" s="5">
        <f t="shared" si="66"/>
        <v>0.45</v>
      </c>
      <c r="AN554" s="4">
        <f t="shared" si="71"/>
        <v>6.8156001514577808E-4</v>
      </c>
      <c r="AO554" s="3"/>
      <c r="AP554">
        <v>1</v>
      </c>
      <c r="AR554" t="s">
        <v>1</v>
      </c>
      <c r="AT554" s="2">
        <v>4.1239999999999997</v>
      </c>
      <c r="AU554" s="1">
        <f t="shared" si="67"/>
        <v>2.9971425640485112</v>
      </c>
      <c r="AV554" s="1">
        <f t="shared" si="68"/>
        <v>2.1602892604673873</v>
      </c>
      <c r="AW554" s="1">
        <f t="shared" si="69"/>
        <v>1.3234359568862637</v>
      </c>
    </row>
    <row r="555" spans="1:49" x14ac:dyDescent="0.2">
      <c r="A555">
        <v>553</v>
      </c>
      <c r="B555" t="s">
        <v>5664</v>
      </c>
      <c r="C555" t="s">
        <v>5663</v>
      </c>
      <c r="F555" t="s">
        <v>5662</v>
      </c>
      <c r="G555" t="s">
        <v>5</v>
      </c>
      <c r="H555" t="s">
        <v>4</v>
      </c>
      <c r="I555" t="s">
        <v>5661</v>
      </c>
      <c r="J555" t="s">
        <v>5660</v>
      </c>
      <c r="K555" t="s">
        <v>5659</v>
      </c>
      <c r="L555" t="s">
        <v>5658</v>
      </c>
      <c r="M555" t="s">
        <v>5657</v>
      </c>
      <c r="N555">
        <v>6</v>
      </c>
      <c r="O555" t="s">
        <v>5656</v>
      </c>
      <c r="P555" t="s">
        <v>5655</v>
      </c>
      <c r="Q555" t="s">
        <v>5654</v>
      </c>
      <c r="R555" s="7">
        <v>37524</v>
      </c>
      <c r="S555" s="8">
        <f t="shared" si="64"/>
        <v>2002</v>
      </c>
      <c r="T555" s="8">
        <v>2002</v>
      </c>
      <c r="U555" s="8">
        <f t="shared" si="65"/>
        <v>20</v>
      </c>
      <c r="V555" s="7">
        <v>2002</v>
      </c>
      <c r="W555" t="s">
        <v>475</v>
      </c>
      <c r="X555" s="2">
        <v>1.1579999999999999</v>
      </c>
      <c r="Y555" s="6">
        <f t="shared" si="70"/>
        <v>3.0912148634579962E-2</v>
      </c>
      <c r="AA555">
        <v>1668595</v>
      </c>
      <c r="AB555">
        <v>14223</v>
      </c>
      <c r="AD555" t="s">
        <v>2</v>
      </c>
      <c r="AE555">
        <v>72</v>
      </c>
      <c r="AF555">
        <v>3</v>
      </c>
      <c r="AH555" t="s">
        <v>5653</v>
      </c>
      <c r="AI555" t="s">
        <v>5652</v>
      </c>
      <c r="AJ555" t="s">
        <v>5651</v>
      </c>
      <c r="AK555" t="s">
        <v>5650</v>
      </c>
      <c r="AL555">
        <v>28</v>
      </c>
      <c r="AM555" s="5">
        <f t="shared" si="66"/>
        <v>1.4</v>
      </c>
      <c r="AN555" s="4">
        <f t="shared" si="71"/>
        <v>2.1204089360090874E-3</v>
      </c>
      <c r="AO555" s="3"/>
      <c r="AP555">
        <v>0</v>
      </c>
      <c r="AQ555" t="s">
        <v>4886</v>
      </c>
      <c r="AR555" t="s">
        <v>5649</v>
      </c>
      <c r="AS555" t="s">
        <v>4884</v>
      </c>
      <c r="AT555" s="2">
        <v>3.573</v>
      </c>
      <c r="AU555" s="1">
        <f t="shared" si="67"/>
        <v>2.2274626725008697</v>
      </c>
      <c r="AV555" s="1">
        <f t="shared" si="68"/>
        <v>1.6516278785294527</v>
      </c>
      <c r="AW555" s="1">
        <f t="shared" si="69"/>
        <v>1.075793084558035</v>
      </c>
    </row>
    <row r="556" spans="1:49" x14ac:dyDescent="0.2">
      <c r="A556">
        <v>554</v>
      </c>
      <c r="B556" t="s">
        <v>5648</v>
      </c>
      <c r="C556" t="s">
        <v>5647</v>
      </c>
      <c r="E556">
        <v>12350249</v>
      </c>
      <c r="F556" t="s">
        <v>5646</v>
      </c>
      <c r="G556" t="s">
        <v>5</v>
      </c>
      <c r="H556" t="s">
        <v>4</v>
      </c>
      <c r="I556" t="s">
        <v>5645</v>
      </c>
      <c r="J556">
        <v>60032530</v>
      </c>
      <c r="K556" t="s">
        <v>5644</v>
      </c>
      <c r="L556" t="s">
        <v>5643</v>
      </c>
      <c r="M556" t="s">
        <v>14</v>
      </c>
      <c r="N556">
        <v>6</v>
      </c>
      <c r="O556" t="s">
        <v>5642</v>
      </c>
      <c r="P556" t="s">
        <v>5641</v>
      </c>
      <c r="Q556" t="s">
        <v>5640</v>
      </c>
      <c r="R556" s="7">
        <v>37521</v>
      </c>
      <c r="S556" s="8">
        <f t="shared" si="64"/>
        <v>2002</v>
      </c>
      <c r="T556" s="8">
        <v>2002</v>
      </c>
      <c r="U556" s="8">
        <f t="shared" si="65"/>
        <v>20</v>
      </c>
      <c r="V556" s="7">
        <v>37521</v>
      </c>
      <c r="W556" t="s">
        <v>5626</v>
      </c>
      <c r="X556" s="2">
        <v>2.3420000000000001</v>
      </c>
      <c r="Y556" s="6">
        <f t="shared" si="70"/>
        <v>6.2518352419849987E-2</v>
      </c>
      <c r="AA556">
        <v>9628452</v>
      </c>
      <c r="AB556">
        <v>130030</v>
      </c>
      <c r="AC556">
        <v>14712970</v>
      </c>
      <c r="AD556" t="s">
        <v>2</v>
      </c>
      <c r="AE556">
        <v>269</v>
      </c>
      <c r="AF556">
        <v>1503</v>
      </c>
      <c r="AH556" t="s">
        <v>5639</v>
      </c>
      <c r="AI556" t="s">
        <v>5638</v>
      </c>
      <c r="AJ556" t="s">
        <v>5637</v>
      </c>
      <c r="AK556" t="s">
        <v>5636</v>
      </c>
      <c r="AL556">
        <v>14</v>
      </c>
      <c r="AM556" s="5">
        <f t="shared" si="66"/>
        <v>0.7</v>
      </c>
      <c r="AN556" s="4">
        <f t="shared" si="71"/>
        <v>1.0602044680045437E-3</v>
      </c>
      <c r="AO556" s="3"/>
      <c r="AP556">
        <v>0</v>
      </c>
      <c r="AR556" t="s">
        <v>1</v>
      </c>
      <c r="AT556" s="2" t="s">
        <v>0</v>
      </c>
      <c r="AU556" s="1">
        <f t="shared" si="67"/>
        <v>4.4080908034296353</v>
      </c>
      <c r="AV556" s="1">
        <f t="shared" si="68"/>
        <v>3.1789278443927267</v>
      </c>
      <c r="AW556" s="1">
        <f t="shared" si="69"/>
        <v>1.9497648853558178</v>
      </c>
    </row>
    <row r="557" spans="1:49" x14ac:dyDescent="0.2">
      <c r="A557">
        <v>555</v>
      </c>
      <c r="B557" t="s">
        <v>5635</v>
      </c>
      <c r="C557" t="s">
        <v>5634</v>
      </c>
      <c r="E557">
        <v>12350253</v>
      </c>
      <c r="F557" t="s">
        <v>5633</v>
      </c>
      <c r="G557" t="s">
        <v>5</v>
      </c>
      <c r="H557" t="s">
        <v>4</v>
      </c>
      <c r="I557" t="s">
        <v>5632</v>
      </c>
      <c r="J557">
        <v>60030807</v>
      </c>
      <c r="K557" t="s">
        <v>5631</v>
      </c>
      <c r="L557" t="s">
        <v>5630</v>
      </c>
      <c r="M557" t="s">
        <v>112</v>
      </c>
      <c r="N557">
        <v>4</v>
      </c>
      <c r="O557" t="s">
        <v>5629</v>
      </c>
      <c r="P557" t="s">
        <v>5628</v>
      </c>
      <c r="Q557" t="s">
        <v>5627</v>
      </c>
      <c r="R557" s="7">
        <v>37521</v>
      </c>
      <c r="S557" s="8">
        <f t="shared" si="64"/>
        <v>2002</v>
      </c>
      <c r="T557" s="8">
        <v>2002</v>
      </c>
      <c r="U557" s="8">
        <f t="shared" si="65"/>
        <v>20</v>
      </c>
      <c r="V557" s="7">
        <v>37521</v>
      </c>
      <c r="W557" t="s">
        <v>5626</v>
      </c>
      <c r="X557" s="2">
        <v>2.3420000000000001</v>
      </c>
      <c r="Y557" s="6">
        <f t="shared" si="70"/>
        <v>6.2518352419849987E-2</v>
      </c>
      <c r="AA557">
        <v>9628452</v>
      </c>
      <c r="AB557">
        <v>130030</v>
      </c>
      <c r="AC557">
        <v>14712970</v>
      </c>
      <c r="AD557" t="s">
        <v>2</v>
      </c>
      <c r="AE557">
        <v>269</v>
      </c>
      <c r="AF557">
        <v>1503</v>
      </c>
      <c r="AH557" t="s">
        <v>5625</v>
      </c>
      <c r="AI557" t="s">
        <v>5624</v>
      </c>
      <c r="AJ557" t="s">
        <v>5623</v>
      </c>
      <c r="AK557" t="s">
        <v>5622</v>
      </c>
      <c r="AL557">
        <v>76</v>
      </c>
      <c r="AM557" s="5">
        <f t="shared" si="66"/>
        <v>3.8</v>
      </c>
      <c r="AN557" s="4">
        <f t="shared" si="71"/>
        <v>5.7553956834532375E-3</v>
      </c>
      <c r="AO557" s="3"/>
      <c r="AP557">
        <v>0</v>
      </c>
      <c r="AR557" t="s">
        <v>1</v>
      </c>
      <c r="AT557" s="2" t="s">
        <v>0</v>
      </c>
      <c r="AU557" s="1">
        <f t="shared" si="67"/>
        <v>4.5489465398930964</v>
      </c>
      <c r="AV557" s="1">
        <f t="shared" si="68"/>
        <v>3.4136874051651613</v>
      </c>
      <c r="AW557" s="1">
        <f t="shared" si="69"/>
        <v>2.2784282704372263</v>
      </c>
    </row>
    <row r="558" spans="1:49" x14ac:dyDescent="0.2">
      <c r="A558">
        <v>556</v>
      </c>
      <c r="B558" t="s">
        <v>5621</v>
      </c>
      <c r="C558" t="s">
        <v>5620</v>
      </c>
      <c r="F558" t="s">
        <v>5619</v>
      </c>
      <c r="G558" t="s">
        <v>5</v>
      </c>
      <c r="H558" t="s">
        <v>4</v>
      </c>
      <c r="I558" t="s">
        <v>5618</v>
      </c>
      <c r="J558">
        <v>60033284</v>
      </c>
      <c r="K558" t="s">
        <v>5617</v>
      </c>
      <c r="L558" t="s">
        <v>5616</v>
      </c>
      <c r="M558" t="s">
        <v>182</v>
      </c>
      <c r="N558">
        <v>1</v>
      </c>
      <c r="O558" t="s">
        <v>5615</v>
      </c>
      <c r="P558">
        <v>7003906814</v>
      </c>
      <c r="Q558">
        <v>60033284</v>
      </c>
      <c r="R558" s="7">
        <v>37519</v>
      </c>
      <c r="S558" s="8">
        <f t="shared" si="64"/>
        <v>2002</v>
      </c>
      <c r="T558" s="8">
        <v>2002</v>
      </c>
      <c r="U558" s="8">
        <f t="shared" si="65"/>
        <v>20</v>
      </c>
      <c r="V558" s="7">
        <v>37519</v>
      </c>
      <c r="W558" t="s">
        <v>2147</v>
      </c>
      <c r="X558" s="2" t="s">
        <v>0</v>
      </c>
      <c r="Y558" s="6" t="e">
        <f t="shared" si="70"/>
        <v>#VALUE!</v>
      </c>
      <c r="AA558">
        <v>364827</v>
      </c>
      <c r="AB558">
        <v>13626</v>
      </c>
      <c r="AD558" t="s">
        <v>2</v>
      </c>
      <c r="AE558">
        <v>87</v>
      </c>
      <c r="AF558">
        <v>3</v>
      </c>
      <c r="AH558" t="s">
        <v>5614</v>
      </c>
      <c r="AI558" t="s">
        <v>5613</v>
      </c>
      <c r="AJ558" t="s">
        <v>5612</v>
      </c>
      <c r="AK558" t="s">
        <v>5611</v>
      </c>
      <c r="AL558">
        <v>11</v>
      </c>
      <c r="AM558" s="5">
        <f t="shared" si="66"/>
        <v>0.55000000000000004</v>
      </c>
      <c r="AN558" s="4">
        <f t="shared" si="71"/>
        <v>8.3301779628928443E-4</v>
      </c>
      <c r="AO558" s="3"/>
      <c r="AP558">
        <v>0</v>
      </c>
      <c r="AR558" t="s">
        <v>1</v>
      </c>
      <c r="AT558" s="2" t="s">
        <v>0</v>
      </c>
      <c r="AU558" s="1" t="e">
        <f t="shared" si="67"/>
        <v>#VALUE!</v>
      </c>
      <c r="AV558" s="1" t="e">
        <f t="shared" si="68"/>
        <v>#VALUE!</v>
      </c>
      <c r="AW558" s="1" t="e">
        <f t="shared" si="69"/>
        <v>#VALUE!</v>
      </c>
    </row>
    <row r="559" spans="1:49" x14ac:dyDescent="0.2">
      <c r="A559">
        <v>557</v>
      </c>
      <c r="B559" t="s">
        <v>5610</v>
      </c>
      <c r="C559" t="s">
        <v>5609</v>
      </c>
      <c r="F559" t="s">
        <v>5608</v>
      </c>
      <c r="G559" t="s">
        <v>5</v>
      </c>
      <c r="H559" t="s">
        <v>4</v>
      </c>
      <c r="I559" t="s">
        <v>5607</v>
      </c>
      <c r="J559">
        <v>60001439</v>
      </c>
      <c r="K559" t="s">
        <v>159</v>
      </c>
      <c r="L559" t="s">
        <v>158</v>
      </c>
      <c r="M559" t="s">
        <v>7</v>
      </c>
      <c r="N559">
        <v>2</v>
      </c>
      <c r="O559" t="s">
        <v>5606</v>
      </c>
      <c r="P559" t="s">
        <v>5605</v>
      </c>
      <c r="Q559" t="s">
        <v>656</v>
      </c>
      <c r="R559" s="7">
        <v>37519</v>
      </c>
      <c r="S559" s="8">
        <f t="shared" si="64"/>
        <v>2002</v>
      </c>
      <c r="T559" s="8">
        <v>2002</v>
      </c>
      <c r="U559" s="8">
        <f t="shared" si="65"/>
        <v>20</v>
      </c>
      <c r="V559" s="7">
        <v>37519</v>
      </c>
      <c r="W559" t="s">
        <v>789</v>
      </c>
      <c r="X559" s="2">
        <v>0.30399999999999999</v>
      </c>
      <c r="Y559" s="6">
        <f t="shared" si="70"/>
        <v>8.115106377299057E-3</v>
      </c>
      <c r="AA559">
        <v>8952477</v>
      </c>
      <c r="AB559">
        <v>12250</v>
      </c>
      <c r="AD559" t="s">
        <v>2</v>
      </c>
      <c r="AE559">
        <v>34</v>
      </c>
      <c r="AF559">
        <v>6</v>
      </c>
      <c r="AH559" t="s">
        <v>5604</v>
      </c>
      <c r="AI559" t="s">
        <v>5603</v>
      </c>
      <c r="AJ559" t="s">
        <v>5602</v>
      </c>
      <c r="AK559" t="s">
        <v>5601</v>
      </c>
      <c r="AL559">
        <v>41</v>
      </c>
      <c r="AM559" s="5">
        <f t="shared" si="66"/>
        <v>2.0499999999999998</v>
      </c>
      <c r="AN559" s="4">
        <f t="shared" si="71"/>
        <v>3.104884513441878E-3</v>
      </c>
      <c r="AO559" s="3"/>
      <c r="AP559">
        <v>0</v>
      </c>
      <c r="AR559" t="s">
        <v>1</v>
      </c>
      <c r="AT559" s="2" t="s">
        <v>0</v>
      </c>
      <c r="AU559" s="1">
        <f t="shared" si="67"/>
        <v>0.66120398181419027</v>
      </c>
      <c r="AV559" s="1">
        <f t="shared" si="68"/>
        <v>0.5609995445370467</v>
      </c>
      <c r="AW559" s="1">
        <f t="shared" si="69"/>
        <v>0.46079510725990319</v>
      </c>
    </row>
    <row r="560" spans="1:49" x14ac:dyDescent="0.2">
      <c r="A560">
        <v>558</v>
      </c>
      <c r="B560" t="s">
        <v>5600</v>
      </c>
      <c r="C560" t="s">
        <v>5599</v>
      </c>
      <c r="F560" t="s">
        <v>5598</v>
      </c>
      <c r="G560" t="s">
        <v>5</v>
      </c>
      <c r="H560" t="s">
        <v>4</v>
      </c>
      <c r="I560" t="s">
        <v>3629</v>
      </c>
      <c r="J560" t="s">
        <v>3628</v>
      </c>
      <c r="K560" t="s">
        <v>3627</v>
      </c>
      <c r="L560" t="s">
        <v>3626</v>
      </c>
      <c r="M560" t="s">
        <v>88</v>
      </c>
      <c r="N560">
        <v>3</v>
      </c>
      <c r="O560" t="s">
        <v>3625</v>
      </c>
      <c r="P560" t="s">
        <v>3624</v>
      </c>
      <c r="Q560" t="s">
        <v>3623</v>
      </c>
      <c r="R560" s="7">
        <v>37519</v>
      </c>
      <c r="S560" s="8">
        <f t="shared" si="64"/>
        <v>2002</v>
      </c>
      <c r="T560" s="8">
        <v>2002</v>
      </c>
      <c r="U560" s="8">
        <f t="shared" si="65"/>
        <v>20</v>
      </c>
      <c r="V560" s="7">
        <v>37519</v>
      </c>
      <c r="W560" t="s">
        <v>789</v>
      </c>
      <c r="X560" s="2">
        <v>0.30399999999999999</v>
      </c>
      <c r="Y560" s="6">
        <f t="shared" si="70"/>
        <v>8.115106377299057E-3</v>
      </c>
      <c r="AA560">
        <v>8952477</v>
      </c>
      <c r="AB560">
        <v>12250</v>
      </c>
      <c r="AD560" t="s">
        <v>2</v>
      </c>
      <c r="AE560">
        <v>34</v>
      </c>
      <c r="AF560">
        <v>6</v>
      </c>
      <c r="AH560" t="s">
        <v>5597</v>
      </c>
      <c r="AI560" t="s">
        <v>5596</v>
      </c>
      <c r="AJ560" t="s">
        <v>5595</v>
      </c>
      <c r="AK560" t="s">
        <v>5594</v>
      </c>
      <c r="AL560">
        <v>29</v>
      </c>
      <c r="AM560" s="5">
        <f t="shared" si="66"/>
        <v>1.45</v>
      </c>
      <c r="AN560" s="4">
        <f t="shared" si="71"/>
        <v>2.1961378265808406E-3</v>
      </c>
      <c r="AO560" s="3"/>
      <c r="AP560">
        <v>0</v>
      </c>
      <c r="AR560" t="s">
        <v>1</v>
      </c>
      <c r="AT560" s="2" t="s">
        <v>0</v>
      </c>
      <c r="AU560" s="1">
        <f t="shared" si="67"/>
        <v>0.6339415812083592</v>
      </c>
      <c r="AV560" s="1">
        <f t="shared" si="68"/>
        <v>0.51556221019399495</v>
      </c>
      <c r="AW560" s="1">
        <f t="shared" si="69"/>
        <v>0.39718283917963054</v>
      </c>
    </row>
    <row r="561" spans="1:49" x14ac:dyDescent="0.2">
      <c r="A561">
        <v>559</v>
      </c>
      <c r="B561" t="s">
        <v>5593</v>
      </c>
      <c r="C561" t="s">
        <v>5592</v>
      </c>
      <c r="F561" t="s">
        <v>5591</v>
      </c>
      <c r="G561" t="s">
        <v>5</v>
      </c>
      <c r="H561" t="s">
        <v>4</v>
      </c>
      <c r="I561" t="s">
        <v>128</v>
      </c>
      <c r="J561">
        <v>60031544</v>
      </c>
      <c r="K561" t="s">
        <v>127</v>
      </c>
      <c r="L561" t="s">
        <v>126</v>
      </c>
      <c r="M561" t="s">
        <v>125</v>
      </c>
      <c r="N561">
        <v>4</v>
      </c>
      <c r="O561" t="s">
        <v>654</v>
      </c>
      <c r="P561" t="s">
        <v>653</v>
      </c>
      <c r="Q561" t="s">
        <v>256</v>
      </c>
      <c r="R561" s="7">
        <v>37519</v>
      </c>
      <c r="S561" s="8">
        <f t="shared" si="64"/>
        <v>2002</v>
      </c>
      <c r="T561" s="8">
        <v>2002</v>
      </c>
      <c r="U561" s="8">
        <f t="shared" si="65"/>
        <v>20</v>
      </c>
      <c r="V561" s="7">
        <v>37519</v>
      </c>
      <c r="W561" t="s">
        <v>789</v>
      </c>
      <c r="X561" s="2">
        <v>0.30399999999999999</v>
      </c>
      <c r="Y561" s="6">
        <f t="shared" si="70"/>
        <v>8.115106377299057E-3</v>
      </c>
      <c r="AA561">
        <v>8952477</v>
      </c>
      <c r="AB561">
        <v>12250</v>
      </c>
      <c r="AD561" t="s">
        <v>2</v>
      </c>
      <c r="AE561">
        <v>34</v>
      </c>
      <c r="AF561">
        <v>6</v>
      </c>
      <c r="AH561" t="s">
        <v>5590</v>
      </c>
      <c r="AI561" t="s">
        <v>5589</v>
      </c>
      <c r="AJ561" t="s">
        <v>5588</v>
      </c>
      <c r="AK561" t="s">
        <v>5587</v>
      </c>
      <c r="AL561">
        <v>5</v>
      </c>
      <c r="AM561" s="5">
        <f t="shared" si="66"/>
        <v>0.25</v>
      </c>
      <c r="AN561" s="4">
        <f t="shared" si="71"/>
        <v>3.786444528587656E-4</v>
      </c>
      <c r="AO561" s="3"/>
      <c r="AP561">
        <v>0</v>
      </c>
      <c r="AR561" t="s">
        <v>1</v>
      </c>
      <c r="AT561" s="2" t="s">
        <v>0</v>
      </c>
      <c r="AU561" s="1">
        <f t="shared" si="67"/>
        <v>0.57941677999669683</v>
      </c>
      <c r="AV561" s="1">
        <f t="shared" si="68"/>
        <v>0.42468754150789112</v>
      </c>
      <c r="AW561" s="1">
        <f t="shared" si="69"/>
        <v>0.2699583030190853</v>
      </c>
    </row>
    <row r="562" spans="1:49" x14ac:dyDescent="0.2">
      <c r="A562">
        <v>560</v>
      </c>
      <c r="B562" t="s">
        <v>5586</v>
      </c>
      <c r="C562" t="s">
        <v>5585</v>
      </c>
      <c r="F562" t="s">
        <v>5584</v>
      </c>
      <c r="G562" t="s">
        <v>5</v>
      </c>
      <c r="H562" t="s">
        <v>4</v>
      </c>
      <c r="I562" t="s">
        <v>5583</v>
      </c>
      <c r="J562">
        <v>100496992</v>
      </c>
      <c r="K562" t="s">
        <v>5582</v>
      </c>
      <c r="L562" t="s">
        <v>5581</v>
      </c>
      <c r="M562" t="s">
        <v>182</v>
      </c>
      <c r="N562">
        <v>3</v>
      </c>
      <c r="O562" t="s">
        <v>5580</v>
      </c>
      <c r="P562" t="s">
        <v>5579</v>
      </c>
      <c r="Q562" t="s">
        <v>5578</v>
      </c>
      <c r="R562" s="7">
        <v>37519</v>
      </c>
      <c r="S562" s="8">
        <f t="shared" si="64"/>
        <v>2002</v>
      </c>
      <c r="T562" s="8">
        <v>2002</v>
      </c>
      <c r="U562" s="8">
        <f t="shared" si="65"/>
        <v>20</v>
      </c>
      <c r="V562" s="7">
        <v>37519</v>
      </c>
      <c r="W562" t="s">
        <v>789</v>
      </c>
      <c r="X562" s="2">
        <v>0.30399999999999999</v>
      </c>
      <c r="Y562" s="6">
        <f t="shared" si="70"/>
        <v>8.115106377299057E-3</v>
      </c>
      <c r="AA562">
        <v>8952477</v>
      </c>
      <c r="AB562">
        <v>12250</v>
      </c>
      <c r="AD562" t="s">
        <v>2</v>
      </c>
      <c r="AE562">
        <v>34</v>
      </c>
      <c r="AF562">
        <v>6</v>
      </c>
      <c r="AH562" t="s">
        <v>5577</v>
      </c>
      <c r="AI562" t="s">
        <v>5576</v>
      </c>
      <c r="AJ562" t="s">
        <v>5575</v>
      </c>
      <c r="AK562" t="s">
        <v>5574</v>
      </c>
      <c r="AL562">
        <v>5</v>
      </c>
      <c r="AM562" s="5">
        <f t="shared" si="66"/>
        <v>0.25</v>
      </c>
      <c r="AN562" s="4">
        <f t="shared" si="71"/>
        <v>3.786444528587656E-4</v>
      </c>
      <c r="AO562" s="3"/>
      <c r="AP562">
        <v>0</v>
      </c>
      <c r="AR562" t="s">
        <v>1</v>
      </c>
      <c r="AT562" s="2" t="s">
        <v>0</v>
      </c>
      <c r="AU562" s="1">
        <f t="shared" si="67"/>
        <v>0.57941677999669683</v>
      </c>
      <c r="AV562" s="1">
        <f t="shared" si="68"/>
        <v>0.42468754150789112</v>
      </c>
      <c r="AW562" s="1">
        <f t="shared" si="69"/>
        <v>0.2699583030190853</v>
      </c>
    </row>
    <row r="563" spans="1:49" x14ac:dyDescent="0.2">
      <c r="A563">
        <v>561</v>
      </c>
      <c r="B563" t="s">
        <v>5573</v>
      </c>
      <c r="C563" t="s">
        <v>5572</v>
      </c>
      <c r="F563" t="s">
        <v>5571</v>
      </c>
      <c r="G563" t="s">
        <v>5</v>
      </c>
      <c r="H563" t="s">
        <v>4</v>
      </c>
      <c r="I563" t="s">
        <v>185</v>
      </c>
      <c r="J563" t="s">
        <v>5570</v>
      </c>
      <c r="K563" t="s">
        <v>5569</v>
      </c>
      <c r="L563" t="s">
        <v>5568</v>
      </c>
      <c r="M563" t="s">
        <v>184</v>
      </c>
      <c r="N563">
        <v>5</v>
      </c>
      <c r="O563" t="s">
        <v>1294</v>
      </c>
      <c r="P563" t="s">
        <v>1293</v>
      </c>
      <c r="Q563" t="s">
        <v>5567</v>
      </c>
      <c r="R563" s="7">
        <v>37519</v>
      </c>
      <c r="S563" s="8">
        <f t="shared" si="64"/>
        <v>2002</v>
      </c>
      <c r="T563" s="8">
        <v>2002</v>
      </c>
      <c r="U563" s="8">
        <f t="shared" si="65"/>
        <v>20</v>
      </c>
      <c r="V563" s="7">
        <v>37519</v>
      </c>
      <c r="W563" t="s">
        <v>789</v>
      </c>
      <c r="X563" s="2">
        <v>0.30399999999999999</v>
      </c>
      <c r="Y563" s="6">
        <f t="shared" si="70"/>
        <v>8.115106377299057E-3</v>
      </c>
      <c r="AA563">
        <v>8952477</v>
      </c>
      <c r="AB563">
        <v>12250</v>
      </c>
      <c r="AD563" t="s">
        <v>2</v>
      </c>
      <c r="AE563">
        <v>34</v>
      </c>
      <c r="AF563">
        <v>6</v>
      </c>
      <c r="AH563" t="s">
        <v>5566</v>
      </c>
      <c r="AI563" t="s">
        <v>5565</v>
      </c>
      <c r="AJ563" t="s">
        <v>5564</v>
      </c>
      <c r="AK563" t="s">
        <v>5563</v>
      </c>
      <c r="AL563">
        <v>0</v>
      </c>
      <c r="AM563" s="5">
        <f t="shared" si="66"/>
        <v>0</v>
      </c>
      <c r="AN563" s="4">
        <f t="shared" si="71"/>
        <v>0</v>
      </c>
      <c r="AO563" s="3"/>
      <c r="AP563">
        <v>0</v>
      </c>
      <c r="AR563" t="s">
        <v>1</v>
      </c>
      <c r="AT563" s="2" t="s">
        <v>0</v>
      </c>
      <c r="AU563" s="1">
        <f t="shared" si="67"/>
        <v>0.56805744641093392</v>
      </c>
      <c r="AV563" s="1">
        <f t="shared" si="68"/>
        <v>0.40575531886495286</v>
      </c>
      <c r="AW563" s="1">
        <f t="shared" si="69"/>
        <v>0.24345319131897172</v>
      </c>
    </row>
    <row r="564" spans="1:49" x14ac:dyDescent="0.2">
      <c r="A564">
        <v>562</v>
      </c>
      <c r="B564" t="s">
        <v>5562</v>
      </c>
      <c r="C564" t="s">
        <v>5561</v>
      </c>
      <c r="F564" t="s">
        <v>5560</v>
      </c>
      <c r="G564" t="s">
        <v>5</v>
      </c>
      <c r="H564" t="s">
        <v>4</v>
      </c>
      <c r="I564" t="s">
        <v>595</v>
      </c>
      <c r="J564">
        <v>60070262</v>
      </c>
      <c r="K564" t="s">
        <v>594</v>
      </c>
      <c r="L564" t="s">
        <v>593</v>
      </c>
      <c r="M564" t="s">
        <v>125</v>
      </c>
      <c r="N564">
        <v>3</v>
      </c>
      <c r="O564" t="s">
        <v>592</v>
      </c>
      <c r="P564" t="s">
        <v>591</v>
      </c>
      <c r="Q564" t="s">
        <v>590</v>
      </c>
      <c r="R564" s="7">
        <v>37519</v>
      </c>
      <c r="S564" s="8">
        <f t="shared" si="64"/>
        <v>2002</v>
      </c>
      <c r="T564" s="8">
        <v>2002</v>
      </c>
      <c r="U564" s="8">
        <f t="shared" si="65"/>
        <v>20</v>
      </c>
      <c r="V564" s="7">
        <v>37519</v>
      </c>
      <c r="W564" t="s">
        <v>789</v>
      </c>
      <c r="X564" s="2">
        <v>0.30399999999999999</v>
      </c>
      <c r="Y564" s="6">
        <f t="shared" si="70"/>
        <v>8.115106377299057E-3</v>
      </c>
      <c r="AA564">
        <v>8952477</v>
      </c>
      <c r="AB564">
        <v>12250</v>
      </c>
      <c r="AD564" t="s">
        <v>2</v>
      </c>
      <c r="AE564">
        <v>34</v>
      </c>
      <c r="AF564">
        <v>6</v>
      </c>
      <c r="AH564" t="s">
        <v>5559</v>
      </c>
      <c r="AI564" t="s">
        <v>5558</v>
      </c>
      <c r="AJ564" t="s">
        <v>5557</v>
      </c>
      <c r="AK564" t="s">
        <v>5556</v>
      </c>
      <c r="AL564">
        <v>4</v>
      </c>
      <c r="AM564" s="5">
        <f t="shared" si="66"/>
        <v>0.2</v>
      </c>
      <c r="AN564" s="4">
        <f t="shared" si="71"/>
        <v>3.0291556228701253E-4</v>
      </c>
      <c r="AO564" s="3"/>
      <c r="AP564">
        <v>0</v>
      </c>
      <c r="AR564" t="s">
        <v>1</v>
      </c>
      <c r="AT564" s="2" t="s">
        <v>0</v>
      </c>
      <c r="AU564" s="1">
        <f t="shared" si="67"/>
        <v>0.57714491327954431</v>
      </c>
      <c r="AV564" s="1">
        <f t="shared" si="68"/>
        <v>0.4209010969793035</v>
      </c>
      <c r="AW564" s="1">
        <f t="shared" si="69"/>
        <v>0.26465728067906258</v>
      </c>
    </row>
    <row r="565" spans="1:49" x14ac:dyDescent="0.2">
      <c r="A565">
        <v>563</v>
      </c>
      <c r="B565" t="s">
        <v>5555</v>
      </c>
      <c r="C565" t="s">
        <v>5554</v>
      </c>
      <c r="F565" t="s">
        <v>5553</v>
      </c>
      <c r="G565" t="s">
        <v>5</v>
      </c>
      <c r="H565" t="s">
        <v>4</v>
      </c>
      <c r="I565" t="s">
        <v>227</v>
      </c>
      <c r="J565">
        <v>60011357</v>
      </c>
      <c r="K565" t="s">
        <v>217</v>
      </c>
      <c r="L565" t="s">
        <v>216</v>
      </c>
      <c r="M565" t="s">
        <v>135</v>
      </c>
      <c r="N565">
        <v>2</v>
      </c>
      <c r="O565" t="s">
        <v>5552</v>
      </c>
      <c r="P565" t="s">
        <v>5551</v>
      </c>
      <c r="Q565" t="s">
        <v>235</v>
      </c>
      <c r="R565" s="7">
        <v>37519</v>
      </c>
      <c r="S565" s="8">
        <f t="shared" si="64"/>
        <v>2002</v>
      </c>
      <c r="T565" s="8">
        <v>2002</v>
      </c>
      <c r="U565" s="8">
        <f t="shared" si="65"/>
        <v>20</v>
      </c>
      <c r="V565" s="7">
        <v>37519</v>
      </c>
      <c r="W565" t="s">
        <v>789</v>
      </c>
      <c r="X565" s="2">
        <v>0.30399999999999999</v>
      </c>
      <c r="Y565" s="6">
        <f t="shared" si="70"/>
        <v>8.115106377299057E-3</v>
      </c>
      <c r="AA565">
        <v>8952477</v>
      </c>
      <c r="AB565">
        <v>12250</v>
      </c>
      <c r="AD565" t="s">
        <v>2</v>
      </c>
      <c r="AE565">
        <v>34</v>
      </c>
      <c r="AF565">
        <v>6</v>
      </c>
      <c r="AH565" t="s">
        <v>5550</v>
      </c>
      <c r="AI565" t="s">
        <v>5549</v>
      </c>
      <c r="AJ565" t="s">
        <v>5548</v>
      </c>
      <c r="AK565" t="s">
        <v>5547</v>
      </c>
      <c r="AL565">
        <v>17</v>
      </c>
      <c r="AM565" s="5">
        <f t="shared" si="66"/>
        <v>0.85</v>
      </c>
      <c r="AN565" s="4">
        <f t="shared" si="71"/>
        <v>1.2873911397198031E-3</v>
      </c>
      <c r="AO565" s="3"/>
      <c r="AP565">
        <v>0</v>
      </c>
      <c r="AR565" t="s">
        <v>1</v>
      </c>
      <c r="AT565" s="2" t="s">
        <v>0</v>
      </c>
      <c r="AU565" s="1">
        <f t="shared" si="67"/>
        <v>0.60667918060252801</v>
      </c>
      <c r="AV565" s="1">
        <f t="shared" si="68"/>
        <v>0.47012487585094304</v>
      </c>
      <c r="AW565" s="1">
        <f t="shared" si="69"/>
        <v>0.33357057109935795</v>
      </c>
    </row>
    <row r="566" spans="1:49" x14ac:dyDescent="0.2">
      <c r="A566">
        <v>564</v>
      </c>
      <c r="B566" t="s">
        <v>5546</v>
      </c>
      <c r="C566" t="s">
        <v>5545</v>
      </c>
      <c r="F566" t="s">
        <v>5544</v>
      </c>
      <c r="G566" t="s">
        <v>5</v>
      </c>
      <c r="H566" t="s">
        <v>4</v>
      </c>
      <c r="I566" t="s">
        <v>1019</v>
      </c>
      <c r="J566">
        <v>60016912</v>
      </c>
      <c r="K566" t="s">
        <v>154</v>
      </c>
      <c r="L566" t="s">
        <v>153</v>
      </c>
      <c r="M566" t="s">
        <v>152</v>
      </c>
      <c r="N566">
        <v>4</v>
      </c>
      <c r="O566" t="s">
        <v>5543</v>
      </c>
      <c r="P566" t="s">
        <v>5542</v>
      </c>
      <c r="Q566" t="s">
        <v>1110</v>
      </c>
      <c r="R566" s="7">
        <v>37519</v>
      </c>
      <c r="S566" s="8">
        <f t="shared" si="64"/>
        <v>2002</v>
      </c>
      <c r="T566" s="8">
        <v>2002</v>
      </c>
      <c r="U566" s="8">
        <f t="shared" si="65"/>
        <v>20</v>
      </c>
      <c r="V566" s="7">
        <v>37519</v>
      </c>
      <c r="W566" t="s">
        <v>789</v>
      </c>
      <c r="X566" s="2">
        <v>0.30399999999999999</v>
      </c>
      <c r="Y566" s="6">
        <f t="shared" si="70"/>
        <v>8.115106377299057E-3</v>
      </c>
      <c r="AA566">
        <v>8952477</v>
      </c>
      <c r="AB566">
        <v>12250</v>
      </c>
      <c r="AD566" t="s">
        <v>2</v>
      </c>
      <c r="AE566">
        <v>34</v>
      </c>
      <c r="AF566">
        <v>6</v>
      </c>
      <c r="AH566" t="s">
        <v>5541</v>
      </c>
      <c r="AI566" t="s">
        <v>5540</v>
      </c>
      <c r="AJ566" t="s">
        <v>5539</v>
      </c>
      <c r="AK566" t="s">
        <v>5538</v>
      </c>
      <c r="AL566">
        <v>1</v>
      </c>
      <c r="AM566" s="5">
        <f t="shared" si="66"/>
        <v>0.05</v>
      </c>
      <c r="AN566" s="4">
        <f t="shared" si="71"/>
        <v>7.5728890571753133E-5</v>
      </c>
      <c r="AO566" s="3"/>
      <c r="AP566">
        <v>0</v>
      </c>
      <c r="AR566" t="s">
        <v>1</v>
      </c>
      <c r="AT566" s="2" t="s">
        <v>0</v>
      </c>
      <c r="AU566" s="1">
        <f t="shared" si="67"/>
        <v>0.57032931312808655</v>
      </c>
      <c r="AV566" s="1">
        <f t="shared" si="68"/>
        <v>0.40954176339354048</v>
      </c>
      <c r="AW566" s="1">
        <f t="shared" si="69"/>
        <v>0.24875421365899444</v>
      </c>
    </row>
    <row r="567" spans="1:49" x14ac:dyDescent="0.2">
      <c r="A567">
        <v>565</v>
      </c>
      <c r="B567" t="s">
        <v>5537</v>
      </c>
      <c r="C567" t="s">
        <v>5536</v>
      </c>
      <c r="F567" t="s">
        <v>5535</v>
      </c>
      <c r="G567" t="s">
        <v>5</v>
      </c>
      <c r="H567" t="s">
        <v>4</v>
      </c>
      <c r="I567" t="s">
        <v>119</v>
      </c>
      <c r="J567">
        <v>60024872</v>
      </c>
      <c r="K567" t="s">
        <v>806</v>
      </c>
      <c r="L567" t="s">
        <v>153</v>
      </c>
      <c r="M567" t="s">
        <v>152</v>
      </c>
      <c r="N567">
        <v>2</v>
      </c>
      <c r="O567" t="s">
        <v>5534</v>
      </c>
      <c r="P567" t="s">
        <v>5533</v>
      </c>
      <c r="Q567" t="s">
        <v>805</v>
      </c>
      <c r="R567" s="7">
        <v>37519</v>
      </c>
      <c r="S567" s="8">
        <f t="shared" si="64"/>
        <v>2002</v>
      </c>
      <c r="T567" s="8">
        <v>2002</v>
      </c>
      <c r="U567" s="8">
        <f t="shared" si="65"/>
        <v>20</v>
      </c>
      <c r="V567" s="7">
        <v>37519</v>
      </c>
      <c r="W567" t="s">
        <v>789</v>
      </c>
      <c r="X567" s="2">
        <v>0.30399999999999999</v>
      </c>
      <c r="Y567" s="6">
        <f t="shared" si="70"/>
        <v>8.115106377299057E-3</v>
      </c>
      <c r="AA567">
        <v>8952477</v>
      </c>
      <c r="AB567">
        <v>12250</v>
      </c>
      <c r="AD567" t="s">
        <v>2</v>
      </c>
      <c r="AE567">
        <v>34</v>
      </c>
      <c r="AF567">
        <v>6</v>
      </c>
      <c r="AH567" t="s">
        <v>5532</v>
      </c>
      <c r="AI567" t="s">
        <v>5531</v>
      </c>
      <c r="AJ567" t="s">
        <v>5530</v>
      </c>
      <c r="AK567" t="s">
        <v>5529</v>
      </c>
      <c r="AL567">
        <v>0</v>
      </c>
      <c r="AM567" s="5">
        <f t="shared" si="66"/>
        <v>0</v>
      </c>
      <c r="AN567" s="4">
        <f t="shared" si="71"/>
        <v>0</v>
      </c>
      <c r="AO567" s="3"/>
      <c r="AP567">
        <v>0</v>
      </c>
      <c r="AR567" t="s">
        <v>1</v>
      </c>
      <c r="AT567" s="2" t="s">
        <v>0</v>
      </c>
      <c r="AU567" s="1">
        <f t="shared" si="67"/>
        <v>0.56805744641093392</v>
      </c>
      <c r="AV567" s="1">
        <f t="shared" si="68"/>
        <v>0.40575531886495286</v>
      </c>
      <c r="AW567" s="1">
        <f t="shared" si="69"/>
        <v>0.24345319131897172</v>
      </c>
    </row>
    <row r="568" spans="1:49" x14ac:dyDescent="0.2">
      <c r="A568">
        <v>566</v>
      </c>
      <c r="B568" t="s">
        <v>5528</v>
      </c>
      <c r="C568" t="s">
        <v>5527</v>
      </c>
      <c r="D568" t="s">
        <v>5526</v>
      </c>
      <c r="E568">
        <v>12234659</v>
      </c>
      <c r="F568" t="s">
        <v>5525</v>
      </c>
      <c r="G568" t="s">
        <v>5</v>
      </c>
      <c r="H568" t="s">
        <v>4</v>
      </c>
      <c r="I568" t="s">
        <v>5524</v>
      </c>
      <c r="J568">
        <v>60011610</v>
      </c>
      <c r="K568" t="s">
        <v>5523</v>
      </c>
      <c r="L568" t="s">
        <v>341</v>
      </c>
      <c r="M568" t="s">
        <v>112</v>
      </c>
      <c r="N568">
        <v>2</v>
      </c>
      <c r="O568" t="s">
        <v>5522</v>
      </c>
      <c r="P568" t="s">
        <v>5521</v>
      </c>
      <c r="Q568" t="s">
        <v>5520</v>
      </c>
      <c r="R568" s="7">
        <v>37519</v>
      </c>
      <c r="S568" s="8">
        <f t="shared" si="64"/>
        <v>2002</v>
      </c>
      <c r="T568" s="8">
        <v>2002</v>
      </c>
      <c r="U568" s="8">
        <f t="shared" si="65"/>
        <v>20</v>
      </c>
      <c r="V568" s="7">
        <v>37519</v>
      </c>
      <c r="W568" t="s">
        <v>5519</v>
      </c>
      <c r="X568" s="2" t="s">
        <v>0</v>
      </c>
      <c r="Y568" s="6" t="e">
        <f t="shared" si="70"/>
        <v>#VALUE!</v>
      </c>
      <c r="AA568">
        <v>1653806</v>
      </c>
      <c r="AB568">
        <v>15034</v>
      </c>
      <c r="AD568" t="s">
        <v>2</v>
      </c>
      <c r="AE568">
        <v>138</v>
      </c>
      <c r="AF568">
        <v>1</v>
      </c>
      <c r="AH568" t="s">
        <v>5518</v>
      </c>
      <c r="AI568" t="s">
        <v>5517</v>
      </c>
      <c r="AJ568" t="s">
        <v>5516</v>
      </c>
      <c r="AK568" t="s">
        <v>5515</v>
      </c>
      <c r="AL568">
        <v>21</v>
      </c>
      <c r="AM568" s="5">
        <f t="shared" si="66"/>
        <v>1.05</v>
      </c>
      <c r="AN568" s="4">
        <f t="shared" si="71"/>
        <v>1.5903067020068156E-3</v>
      </c>
      <c r="AO568" s="3"/>
      <c r="AP568">
        <v>0</v>
      </c>
      <c r="AQ568" t="s">
        <v>318</v>
      </c>
      <c r="AR568" t="s">
        <v>5514</v>
      </c>
      <c r="AS568" t="s">
        <v>317</v>
      </c>
      <c r="AT568" s="2" t="s">
        <v>0</v>
      </c>
      <c r="AU568" s="1" t="e">
        <f t="shared" si="67"/>
        <v>#VALUE!</v>
      </c>
      <c r="AV568" s="1" t="e">
        <f t="shared" si="68"/>
        <v>#VALUE!</v>
      </c>
      <c r="AW568" s="1" t="e">
        <f t="shared" si="69"/>
        <v>#VALUE!</v>
      </c>
    </row>
    <row r="569" spans="1:49" x14ac:dyDescent="0.2">
      <c r="A569">
        <v>567</v>
      </c>
      <c r="B569" t="s">
        <v>5513</v>
      </c>
      <c r="C569" t="s">
        <v>5512</v>
      </c>
      <c r="F569" t="s">
        <v>5511</v>
      </c>
      <c r="G569" t="s">
        <v>5</v>
      </c>
      <c r="H569" t="s">
        <v>4</v>
      </c>
      <c r="I569" t="s">
        <v>5510</v>
      </c>
      <c r="J569" t="s">
        <v>5509</v>
      </c>
      <c r="K569" t="s">
        <v>5508</v>
      </c>
      <c r="L569" t="s">
        <v>5507</v>
      </c>
      <c r="M569" t="s">
        <v>22</v>
      </c>
      <c r="N569">
        <v>4</v>
      </c>
      <c r="O569" t="s">
        <v>5506</v>
      </c>
      <c r="P569" t="s">
        <v>5505</v>
      </c>
      <c r="Q569" t="s">
        <v>5504</v>
      </c>
      <c r="R569" s="7">
        <v>37516</v>
      </c>
      <c r="S569" s="8">
        <f t="shared" si="64"/>
        <v>2002</v>
      </c>
      <c r="T569" s="8">
        <v>2002</v>
      </c>
      <c r="U569" s="8">
        <f t="shared" si="65"/>
        <v>20</v>
      </c>
      <c r="V569" s="7">
        <v>37516</v>
      </c>
      <c r="W569" t="s">
        <v>1177</v>
      </c>
      <c r="X569" s="2">
        <v>1.042</v>
      </c>
      <c r="Y569" s="6">
        <f t="shared" si="70"/>
        <v>2.781559488534743E-2</v>
      </c>
      <c r="AA569">
        <v>7437463</v>
      </c>
      <c r="AB569">
        <v>26987</v>
      </c>
      <c r="AD569" t="s">
        <v>2</v>
      </c>
      <c r="AE569">
        <v>18</v>
      </c>
      <c r="AF569">
        <v>19</v>
      </c>
      <c r="AH569" t="s">
        <v>5503</v>
      </c>
      <c r="AI569" t="s">
        <v>5502</v>
      </c>
      <c r="AK569" t="s">
        <v>5501</v>
      </c>
      <c r="AL569">
        <v>106</v>
      </c>
      <c r="AM569" s="5">
        <f t="shared" si="66"/>
        <v>5.3</v>
      </c>
      <c r="AN569" s="4">
        <f t="shared" si="71"/>
        <v>8.02726240060583E-3</v>
      </c>
      <c r="AO569" s="3"/>
      <c r="AP569">
        <v>0</v>
      </c>
      <c r="AR569" t="s">
        <v>1</v>
      </c>
      <c r="AT569" s="2">
        <v>3.8820000000000001</v>
      </c>
      <c r="AU569" s="1">
        <f t="shared" si="67"/>
        <v>2.1879095139924947</v>
      </c>
      <c r="AV569" s="1">
        <f t="shared" si="68"/>
        <v>1.7921428642976629</v>
      </c>
      <c r="AW569" s="1">
        <f t="shared" si="69"/>
        <v>1.3963762146028309</v>
      </c>
    </row>
    <row r="570" spans="1:49" x14ac:dyDescent="0.2">
      <c r="A570">
        <v>568</v>
      </c>
      <c r="B570" t="s">
        <v>5500</v>
      </c>
      <c r="C570" t="s">
        <v>5499</v>
      </c>
      <c r="D570" t="s">
        <v>5498</v>
      </c>
      <c r="E570">
        <v>12372255</v>
      </c>
      <c r="F570" t="s">
        <v>5497</v>
      </c>
      <c r="G570" t="s">
        <v>5</v>
      </c>
      <c r="H570" t="s">
        <v>4</v>
      </c>
      <c r="I570" t="s">
        <v>5496</v>
      </c>
      <c r="J570" t="s">
        <v>5495</v>
      </c>
      <c r="K570" t="s">
        <v>5494</v>
      </c>
      <c r="L570" t="s">
        <v>5493</v>
      </c>
      <c r="M570" t="s">
        <v>5492</v>
      </c>
      <c r="N570">
        <v>4</v>
      </c>
      <c r="O570" t="s">
        <v>5491</v>
      </c>
      <c r="P570" t="s">
        <v>5490</v>
      </c>
      <c r="Q570" t="s">
        <v>5489</v>
      </c>
      <c r="R570" s="7">
        <v>37516</v>
      </c>
      <c r="S570" s="8">
        <f t="shared" si="64"/>
        <v>2002</v>
      </c>
      <c r="T570" s="8">
        <v>2002</v>
      </c>
      <c r="U570" s="8">
        <f t="shared" si="65"/>
        <v>20</v>
      </c>
      <c r="V570" s="7">
        <v>37516</v>
      </c>
      <c r="W570" t="s">
        <v>5488</v>
      </c>
      <c r="X570" s="2">
        <v>3.8220000000000001</v>
      </c>
      <c r="Y570" s="6">
        <f t="shared" si="70"/>
        <v>0.10202610715143751</v>
      </c>
      <c r="AA570">
        <v>9609822</v>
      </c>
      <c r="AB570">
        <v>15537</v>
      </c>
      <c r="AD570" t="s">
        <v>2</v>
      </c>
      <c r="AE570">
        <v>12</v>
      </c>
      <c r="AF570">
        <v>18</v>
      </c>
      <c r="AH570" t="s">
        <v>5487</v>
      </c>
      <c r="AI570" t="s">
        <v>5486</v>
      </c>
      <c r="AK570" t="s">
        <v>5485</v>
      </c>
      <c r="AL570">
        <v>75</v>
      </c>
      <c r="AM570" s="5">
        <f t="shared" si="66"/>
        <v>3.75</v>
      </c>
      <c r="AN570" s="4">
        <f t="shared" si="71"/>
        <v>5.6796667928814843E-3</v>
      </c>
      <c r="AO570" s="3"/>
      <c r="AP570">
        <v>1</v>
      </c>
      <c r="AQ570" t="s">
        <v>368</v>
      </c>
      <c r="AR570" t="s">
        <v>1</v>
      </c>
      <c r="AS570" t="s">
        <v>367</v>
      </c>
      <c r="AT570" s="2">
        <v>10.834</v>
      </c>
      <c r="AU570" s="1">
        <f t="shared" si="67"/>
        <v>7.3122175043870694</v>
      </c>
      <c r="AV570" s="1">
        <f t="shared" si="68"/>
        <v>5.385288697215949</v>
      </c>
      <c r="AW570" s="1">
        <f t="shared" si="69"/>
        <v>3.4583598900448291</v>
      </c>
    </row>
    <row r="571" spans="1:49" x14ac:dyDescent="0.2">
      <c r="A571">
        <v>569</v>
      </c>
      <c r="B571" t="s">
        <v>5484</v>
      </c>
      <c r="C571" t="s">
        <v>5483</v>
      </c>
      <c r="E571">
        <v>12366188</v>
      </c>
      <c r="F571" t="s">
        <v>5482</v>
      </c>
      <c r="G571" t="s">
        <v>5</v>
      </c>
      <c r="H571" t="s">
        <v>4</v>
      </c>
      <c r="I571" t="s">
        <v>5481</v>
      </c>
      <c r="J571" t="s">
        <v>5480</v>
      </c>
      <c r="K571" t="s">
        <v>5479</v>
      </c>
      <c r="L571" t="s">
        <v>5478</v>
      </c>
      <c r="M571" t="s">
        <v>88</v>
      </c>
      <c r="N571">
        <v>5</v>
      </c>
      <c r="O571" t="s">
        <v>5477</v>
      </c>
      <c r="P571" t="s">
        <v>5476</v>
      </c>
      <c r="Q571" t="s">
        <v>5475</v>
      </c>
      <c r="R571" s="7">
        <v>37515</v>
      </c>
      <c r="S571" s="8">
        <f t="shared" si="64"/>
        <v>2002</v>
      </c>
      <c r="T571" s="8">
        <v>2002</v>
      </c>
      <c r="U571" s="8">
        <f t="shared" si="65"/>
        <v>20</v>
      </c>
      <c r="V571" s="7">
        <v>37515</v>
      </c>
      <c r="W571" t="s">
        <v>5474</v>
      </c>
      <c r="X571" s="2">
        <v>0.89600000000000002</v>
      </c>
      <c r="Y571" s="6">
        <f t="shared" si="70"/>
        <v>2.3918208269934065E-2</v>
      </c>
      <c r="AA571" t="s">
        <v>5473</v>
      </c>
      <c r="AB571">
        <v>21100855841</v>
      </c>
      <c r="AD571" t="s">
        <v>2</v>
      </c>
      <c r="AE571">
        <v>66</v>
      </c>
      <c r="AF571">
        <v>3</v>
      </c>
      <c r="AI571" t="s">
        <v>5472</v>
      </c>
      <c r="AK571" t="s">
        <v>5471</v>
      </c>
      <c r="AL571">
        <v>9</v>
      </c>
      <c r="AM571" s="5">
        <f t="shared" si="66"/>
        <v>0.45</v>
      </c>
      <c r="AN571" s="4">
        <f t="shared" si="71"/>
        <v>6.8156001514577808E-4</v>
      </c>
      <c r="AO571" s="3"/>
      <c r="AP571">
        <v>0</v>
      </c>
      <c r="AR571" t="s">
        <v>1</v>
      </c>
      <c r="AT571" s="2" t="s">
        <v>0</v>
      </c>
      <c r="AU571" s="1">
        <f t="shared" si="67"/>
        <v>1.6947213793497575</v>
      </c>
      <c r="AV571" s="1">
        <f t="shared" si="68"/>
        <v>1.2299884142539921</v>
      </c>
      <c r="AW571" s="1">
        <f t="shared" si="69"/>
        <v>0.7652554491582263</v>
      </c>
    </row>
    <row r="572" spans="1:49" x14ac:dyDescent="0.2">
      <c r="A572">
        <v>570</v>
      </c>
      <c r="B572" t="s">
        <v>5470</v>
      </c>
      <c r="C572" t="s">
        <v>5469</v>
      </c>
      <c r="E572">
        <v>12210097</v>
      </c>
      <c r="F572" t="s">
        <v>5468</v>
      </c>
      <c r="G572" t="s">
        <v>5</v>
      </c>
      <c r="H572" t="s">
        <v>4</v>
      </c>
      <c r="I572" t="s">
        <v>5467</v>
      </c>
      <c r="J572" t="s">
        <v>5466</v>
      </c>
      <c r="K572" t="s">
        <v>5465</v>
      </c>
      <c r="L572" t="s">
        <v>5464</v>
      </c>
      <c r="M572" t="s">
        <v>12</v>
      </c>
      <c r="N572">
        <v>2</v>
      </c>
      <c r="O572" t="s">
        <v>5463</v>
      </c>
      <c r="P572" t="s">
        <v>5462</v>
      </c>
      <c r="Q572" t="s">
        <v>5461</v>
      </c>
      <c r="R572" s="7">
        <v>37514</v>
      </c>
      <c r="S572" s="8">
        <f t="shared" si="64"/>
        <v>2002</v>
      </c>
      <c r="T572" s="8">
        <v>2002</v>
      </c>
      <c r="U572" s="8">
        <f t="shared" si="65"/>
        <v>20</v>
      </c>
      <c r="V572" s="7">
        <v>37514</v>
      </c>
      <c r="W572" t="s">
        <v>410</v>
      </c>
      <c r="X572" s="2" t="s">
        <v>0</v>
      </c>
      <c r="Y572" s="6" t="e">
        <f t="shared" si="70"/>
        <v>#VALUE!</v>
      </c>
      <c r="AA572">
        <v>223034</v>
      </c>
      <c r="AB572">
        <v>23463</v>
      </c>
      <c r="AD572" t="s">
        <v>2</v>
      </c>
      <c r="AE572">
        <v>52</v>
      </c>
      <c r="AF572">
        <v>4</v>
      </c>
      <c r="AH572" t="s">
        <v>5460</v>
      </c>
      <c r="AI572" t="s">
        <v>5459</v>
      </c>
      <c r="AJ572" t="s">
        <v>5458</v>
      </c>
      <c r="AK572" t="s">
        <v>5457</v>
      </c>
      <c r="AL572">
        <v>39</v>
      </c>
      <c r="AM572" s="5">
        <f t="shared" si="66"/>
        <v>1.95</v>
      </c>
      <c r="AN572" s="4">
        <f t="shared" si="71"/>
        <v>2.9534267322983716E-3</v>
      </c>
      <c r="AO572" s="3"/>
      <c r="AP572">
        <v>0</v>
      </c>
      <c r="AR572" t="s">
        <v>1</v>
      </c>
      <c r="AT572" s="2" t="s">
        <v>0</v>
      </c>
      <c r="AU572" s="1" t="e">
        <f t="shared" si="67"/>
        <v>#VALUE!</v>
      </c>
      <c r="AV572" s="1" t="e">
        <f t="shared" si="68"/>
        <v>#VALUE!</v>
      </c>
      <c r="AW572" s="1" t="e">
        <f t="shared" si="69"/>
        <v>#VALUE!</v>
      </c>
    </row>
    <row r="573" spans="1:49" x14ac:dyDescent="0.2">
      <c r="A573">
        <v>571</v>
      </c>
      <c r="B573" t="s">
        <v>5456</v>
      </c>
      <c r="C573" t="s">
        <v>5455</v>
      </c>
      <c r="F573" t="s">
        <v>5454</v>
      </c>
      <c r="G573" t="s">
        <v>5</v>
      </c>
      <c r="H573" t="s">
        <v>4</v>
      </c>
      <c r="I573" t="s">
        <v>5453</v>
      </c>
      <c r="J573" t="s">
        <v>5452</v>
      </c>
      <c r="K573" t="s">
        <v>5451</v>
      </c>
      <c r="L573" t="s">
        <v>5450</v>
      </c>
      <c r="M573" t="s">
        <v>842</v>
      </c>
      <c r="N573">
        <v>8</v>
      </c>
      <c r="O573" t="s">
        <v>5449</v>
      </c>
      <c r="P573" t="s">
        <v>5448</v>
      </c>
      <c r="Q573" t="s">
        <v>5447</v>
      </c>
      <c r="R573" s="7">
        <v>37511</v>
      </c>
      <c r="S573" s="8">
        <f t="shared" si="64"/>
        <v>2002</v>
      </c>
      <c r="T573" s="8">
        <v>2002</v>
      </c>
      <c r="U573" s="8">
        <f t="shared" si="65"/>
        <v>20</v>
      </c>
      <c r="V573" s="7">
        <v>37511</v>
      </c>
      <c r="W573" t="s">
        <v>1048</v>
      </c>
      <c r="X573" s="2">
        <v>0.86399999999999999</v>
      </c>
      <c r="Y573" s="6">
        <f t="shared" si="70"/>
        <v>2.3063986546007848E-2</v>
      </c>
      <c r="AA573">
        <v>10895647</v>
      </c>
      <c r="AB573">
        <v>26970</v>
      </c>
      <c r="AD573" t="s">
        <v>2</v>
      </c>
      <c r="AE573">
        <v>106</v>
      </c>
      <c r="AF573">
        <v>36</v>
      </c>
      <c r="AH573" t="s">
        <v>5446</v>
      </c>
      <c r="AI573" t="s">
        <v>5445</v>
      </c>
      <c r="AK573" t="s">
        <v>5444</v>
      </c>
      <c r="AL573">
        <v>44</v>
      </c>
      <c r="AM573" s="5">
        <f t="shared" si="66"/>
        <v>2.2000000000000002</v>
      </c>
      <c r="AN573" s="4">
        <f t="shared" si="71"/>
        <v>3.3320711851571377E-3</v>
      </c>
      <c r="AO573" s="3"/>
      <c r="AP573">
        <v>0</v>
      </c>
      <c r="AR573" t="s">
        <v>1</v>
      </c>
      <c r="AT573" s="2">
        <v>2.9910000000000001</v>
      </c>
      <c r="AU573" s="1">
        <f t="shared" si="67"/>
        <v>1.7144411937752631</v>
      </c>
      <c r="AV573" s="1">
        <f t="shared" si="68"/>
        <v>1.3198028865582494</v>
      </c>
      <c r="AW573" s="1">
        <f t="shared" si="69"/>
        <v>0.92516457934123508</v>
      </c>
    </row>
    <row r="574" spans="1:49" x14ac:dyDescent="0.2">
      <c r="A574">
        <v>572</v>
      </c>
      <c r="B574" t="s">
        <v>5443</v>
      </c>
      <c r="C574" t="s">
        <v>5442</v>
      </c>
      <c r="F574" t="s">
        <v>5441</v>
      </c>
      <c r="G574" t="s">
        <v>5</v>
      </c>
      <c r="H574" t="s">
        <v>4</v>
      </c>
      <c r="I574" t="s">
        <v>5440</v>
      </c>
      <c r="J574">
        <v>60020650</v>
      </c>
      <c r="K574" t="s">
        <v>43</v>
      </c>
      <c r="L574" t="s">
        <v>42</v>
      </c>
      <c r="M574" t="s">
        <v>41</v>
      </c>
      <c r="N574">
        <v>3</v>
      </c>
      <c r="O574" t="s">
        <v>5439</v>
      </c>
      <c r="P574" t="s">
        <v>5438</v>
      </c>
      <c r="Q574" t="s">
        <v>787</v>
      </c>
      <c r="R574" s="7">
        <v>37511</v>
      </c>
      <c r="S574" s="8">
        <f t="shared" si="64"/>
        <v>2002</v>
      </c>
      <c r="T574" s="8">
        <v>2002</v>
      </c>
      <c r="U574" s="8">
        <f t="shared" si="65"/>
        <v>20</v>
      </c>
      <c r="V574" s="7">
        <v>37511</v>
      </c>
      <c r="W574" t="s">
        <v>786</v>
      </c>
      <c r="X574" s="2">
        <v>0.375</v>
      </c>
      <c r="Y574" s="6">
        <f t="shared" si="70"/>
        <v>1.0010410827260351E-2</v>
      </c>
      <c r="AA574">
        <v>135194</v>
      </c>
      <c r="AB574">
        <v>24918</v>
      </c>
      <c r="AD574" t="s">
        <v>2</v>
      </c>
      <c r="AE574">
        <v>38</v>
      </c>
      <c r="AF574">
        <v>19</v>
      </c>
      <c r="AH574" t="s">
        <v>5437</v>
      </c>
      <c r="AI574" t="s">
        <v>5436</v>
      </c>
      <c r="AK574" t="s">
        <v>5435</v>
      </c>
      <c r="AL574">
        <v>1</v>
      </c>
      <c r="AM574" s="5">
        <f t="shared" si="66"/>
        <v>0.05</v>
      </c>
      <c r="AN574" s="4">
        <f t="shared" si="71"/>
        <v>7.5728890571753133E-5</v>
      </c>
      <c r="AO574" s="3"/>
      <c r="AP574">
        <v>0</v>
      </c>
      <c r="AR574" t="s">
        <v>1</v>
      </c>
      <c r="AT574" s="2">
        <v>1.3140000000000001</v>
      </c>
      <c r="AU574" s="1">
        <f t="shared" si="67"/>
        <v>0.70300062462537716</v>
      </c>
      <c r="AV574" s="1">
        <f t="shared" si="68"/>
        <v>0.50430698589160516</v>
      </c>
      <c r="AW574" s="1">
        <f t="shared" si="69"/>
        <v>0.30561334715783323</v>
      </c>
    </row>
    <row r="575" spans="1:49" x14ac:dyDescent="0.2">
      <c r="A575">
        <v>573</v>
      </c>
      <c r="B575" t="s">
        <v>5434</v>
      </c>
      <c r="C575" t="s">
        <v>5433</v>
      </c>
      <c r="F575" t="s">
        <v>5432</v>
      </c>
      <c r="G575" t="s">
        <v>5</v>
      </c>
      <c r="H575" t="s">
        <v>4</v>
      </c>
      <c r="I575" t="s">
        <v>1134</v>
      </c>
      <c r="J575" t="s">
        <v>5431</v>
      </c>
      <c r="K575" t="s">
        <v>5430</v>
      </c>
      <c r="L575" t="s">
        <v>5429</v>
      </c>
      <c r="M575" t="s">
        <v>601</v>
      </c>
      <c r="N575">
        <v>3</v>
      </c>
      <c r="O575" t="s">
        <v>5428</v>
      </c>
      <c r="P575" t="s">
        <v>5427</v>
      </c>
      <c r="Q575" t="s">
        <v>5426</v>
      </c>
      <c r="R575" s="7">
        <v>37511</v>
      </c>
      <c r="S575" s="8">
        <f t="shared" si="64"/>
        <v>2002</v>
      </c>
      <c r="T575" s="8">
        <v>2002</v>
      </c>
      <c r="U575" s="8">
        <f t="shared" si="65"/>
        <v>20</v>
      </c>
      <c r="V575" s="7">
        <v>37511</v>
      </c>
      <c r="W575" t="s">
        <v>786</v>
      </c>
      <c r="X575" s="2">
        <v>0.375</v>
      </c>
      <c r="Y575" s="6">
        <f t="shared" si="70"/>
        <v>1.0010410827260351E-2</v>
      </c>
      <c r="AA575">
        <v>135194</v>
      </c>
      <c r="AB575">
        <v>24918</v>
      </c>
      <c r="AD575" t="s">
        <v>2</v>
      </c>
      <c r="AE575">
        <v>38</v>
      </c>
      <c r="AF575">
        <v>19</v>
      </c>
      <c r="AH575" t="s">
        <v>5425</v>
      </c>
      <c r="AI575" t="s">
        <v>5424</v>
      </c>
      <c r="AK575" t="s">
        <v>5423</v>
      </c>
      <c r="AL575">
        <v>3</v>
      </c>
      <c r="AM575" s="5">
        <f t="shared" si="66"/>
        <v>0.15</v>
      </c>
      <c r="AN575" s="4">
        <f t="shared" si="71"/>
        <v>2.2718667171525936E-4</v>
      </c>
      <c r="AO575" s="3"/>
      <c r="AP575">
        <v>0</v>
      </c>
      <c r="AR575" t="s">
        <v>1</v>
      </c>
      <c r="AT575" s="2">
        <v>1.3140000000000001</v>
      </c>
      <c r="AU575" s="1">
        <f t="shared" si="67"/>
        <v>0.70754435805968241</v>
      </c>
      <c r="AV575" s="1">
        <f t="shared" si="68"/>
        <v>0.51187987494878051</v>
      </c>
      <c r="AW575" s="1">
        <f t="shared" si="69"/>
        <v>0.31621539183787867</v>
      </c>
    </row>
    <row r="576" spans="1:49" x14ac:dyDescent="0.2">
      <c r="A576">
        <v>574</v>
      </c>
      <c r="B576" t="s">
        <v>5422</v>
      </c>
      <c r="C576" t="s">
        <v>5421</v>
      </c>
      <c r="F576" t="s">
        <v>5420</v>
      </c>
      <c r="G576" t="s">
        <v>5</v>
      </c>
      <c r="H576" t="s">
        <v>4</v>
      </c>
      <c r="I576" t="s">
        <v>1019</v>
      </c>
      <c r="J576">
        <v>60016912</v>
      </c>
      <c r="K576" t="s">
        <v>154</v>
      </c>
      <c r="L576" t="s">
        <v>153</v>
      </c>
      <c r="M576" t="s">
        <v>152</v>
      </c>
      <c r="N576">
        <v>3</v>
      </c>
      <c r="O576" t="s">
        <v>5419</v>
      </c>
      <c r="P576" t="s">
        <v>5418</v>
      </c>
      <c r="Q576" t="s">
        <v>550</v>
      </c>
      <c r="R576" s="7">
        <v>37511</v>
      </c>
      <c r="S576" s="8">
        <f t="shared" si="64"/>
        <v>2002</v>
      </c>
      <c r="T576" s="8">
        <v>2002</v>
      </c>
      <c r="U576" s="8">
        <f t="shared" si="65"/>
        <v>20</v>
      </c>
      <c r="V576" s="7">
        <v>37511</v>
      </c>
      <c r="W576" t="s">
        <v>786</v>
      </c>
      <c r="X576" s="2">
        <v>0.375</v>
      </c>
      <c r="Y576" s="6">
        <f t="shared" si="70"/>
        <v>1.0010410827260351E-2</v>
      </c>
      <c r="AA576">
        <v>135194</v>
      </c>
      <c r="AB576">
        <v>24918</v>
      </c>
      <c r="AD576" t="s">
        <v>2</v>
      </c>
      <c r="AE576">
        <v>38</v>
      </c>
      <c r="AF576">
        <v>19</v>
      </c>
      <c r="AH576" t="s">
        <v>5417</v>
      </c>
      <c r="AI576" t="s">
        <v>5416</v>
      </c>
      <c r="AK576" t="s">
        <v>5415</v>
      </c>
      <c r="AL576">
        <v>1</v>
      </c>
      <c r="AM576" s="5">
        <f t="shared" si="66"/>
        <v>0.05</v>
      </c>
      <c r="AN576" s="4">
        <f t="shared" si="71"/>
        <v>7.5728890571753133E-5</v>
      </c>
      <c r="AO576" s="3"/>
      <c r="AP576">
        <v>0</v>
      </c>
      <c r="AR576" t="s">
        <v>1</v>
      </c>
      <c r="AT576" s="2">
        <v>1.3140000000000001</v>
      </c>
      <c r="AU576" s="1">
        <f t="shared" si="67"/>
        <v>0.70300062462537716</v>
      </c>
      <c r="AV576" s="1">
        <f t="shared" si="68"/>
        <v>0.50430698589160516</v>
      </c>
      <c r="AW576" s="1">
        <f t="shared" si="69"/>
        <v>0.30561334715783323</v>
      </c>
    </row>
    <row r="577" spans="1:49" x14ac:dyDescent="0.2">
      <c r="A577">
        <v>575</v>
      </c>
      <c r="B577" t="s">
        <v>5414</v>
      </c>
      <c r="C577" t="s">
        <v>5413</v>
      </c>
      <c r="F577" t="s">
        <v>5412</v>
      </c>
      <c r="G577" t="s">
        <v>5</v>
      </c>
      <c r="H577" t="s">
        <v>4</v>
      </c>
      <c r="I577" t="s">
        <v>5411</v>
      </c>
      <c r="J577">
        <v>60004739</v>
      </c>
      <c r="K577" t="s">
        <v>5410</v>
      </c>
      <c r="L577" t="s">
        <v>5409</v>
      </c>
      <c r="M577" t="s">
        <v>152</v>
      </c>
      <c r="N577">
        <v>2</v>
      </c>
      <c r="O577" t="s">
        <v>5408</v>
      </c>
      <c r="P577" t="s">
        <v>5407</v>
      </c>
      <c r="Q577" t="s">
        <v>5406</v>
      </c>
      <c r="R577" s="7">
        <v>37511</v>
      </c>
      <c r="S577" s="8">
        <f t="shared" si="64"/>
        <v>2002</v>
      </c>
      <c r="T577" s="8">
        <v>2002</v>
      </c>
      <c r="U577" s="8">
        <f t="shared" si="65"/>
        <v>20</v>
      </c>
      <c r="V577" s="7">
        <v>37511</v>
      </c>
      <c r="W577" t="s">
        <v>786</v>
      </c>
      <c r="X577" s="2">
        <v>0.375</v>
      </c>
      <c r="Y577" s="6">
        <f t="shared" si="70"/>
        <v>1.0010410827260351E-2</v>
      </c>
      <c r="AA577">
        <v>135194</v>
      </c>
      <c r="AB577">
        <v>24918</v>
      </c>
      <c r="AD577" t="s">
        <v>2</v>
      </c>
      <c r="AE577">
        <v>38</v>
      </c>
      <c r="AF577">
        <v>19</v>
      </c>
      <c r="AH577" t="s">
        <v>5405</v>
      </c>
      <c r="AI577" t="s">
        <v>5404</v>
      </c>
      <c r="AK577" t="s">
        <v>5403</v>
      </c>
      <c r="AL577">
        <v>24</v>
      </c>
      <c r="AM577" s="5">
        <f t="shared" si="66"/>
        <v>1.2</v>
      </c>
      <c r="AN577" s="4">
        <f t="shared" si="71"/>
        <v>1.8174933737220749E-3</v>
      </c>
      <c r="AO577" s="3"/>
      <c r="AP577">
        <v>0</v>
      </c>
      <c r="AR577" t="s">
        <v>1</v>
      </c>
      <c r="AT577" s="2">
        <v>1.3140000000000001</v>
      </c>
      <c r="AU577" s="1">
        <f t="shared" si="67"/>
        <v>0.7552535591198869</v>
      </c>
      <c r="AV577" s="1">
        <f t="shared" si="68"/>
        <v>0.59139521004912132</v>
      </c>
      <c r="AW577" s="1">
        <f t="shared" si="69"/>
        <v>0.42753686097835575</v>
      </c>
    </row>
    <row r="578" spans="1:49" x14ac:dyDescent="0.2">
      <c r="A578">
        <v>576</v>
      </c>
      <c r="B578" t="s">
        <v>5402</v>
      </c>
      <c r="C578" t="s">
        <v>5401</v>
      </c>
      <c r="F578" t="s">
        <v>5400</v>
      </c>
      <c r="G578" t="s">
        <v>5</v>
      </c>
      <c r="H578" t="s">
        <v>4</v>
      </c>
      <c r="I578" t="s">
        <v>5399</v>
      </c>
      <c r="J578">
        <v>60029570</v>
      </c>
      <c r="K578" t="s">
        <v>723</v>
      </c>
      <c r="L578" t="s">
        <v>722</v>
      </c>
      <c r="M578" t="s">
        <v>6</v>
      </c>
      <c r="N578">
        <v>1</v>
      </c>
      <c r="O578" t="s">
        <v>5398</v>
      </c>
      <c r="P578">
        <v>56027406300</v>
      </c>
      <c r="Q578">
        <v>60029570</v>
      </c>
      <c r="R578" s="7">
        <v>37511</v>
      </c>
      <c r="S578" s="8">
        <f t="shared" ref="S578:S641" si="72">YEAR(R578)</f>
        <v>2002</v>
      </c>
      <c r="T578" s="8">
        <v>2002</v>
      </c>
      <c r="U578" s="8">
        <f t="shared" ref="U578:U641" si="73">2022-T578</f>
        <v>20</v>
      </c>
      <c r="V578" s="7">
        <v>37511</v>
      </c>
      <c r="W578" t="s">
        <v>786</v>
      </c>
      <c r="X578" s="2">
        <v>0.375</v>
      </c>
      <c r="Y578" s="6">
        <f t="shared" si="70"/>
        <v>1.0010410827260351E-2</v>
      </c>
      <c r="AA578">
        <v>135194</v>
      </c>
      <c r="AB578">
        <v>24918</v>
      </c>
      <c r="AD578" t="s">
        <v>2</v>
      </c>
      <c r="AE578">
        <v>38</v>
      </c>
      <c r="AF578">
        <v>19</v>
      </c>
      <c r="AH578" t="s">
        <v>5397</v>
      </c>
      <c r="AI578" t="s">
        <v>5396</v>
      </c>
      <c r="AK578" t="s">
        <v>5395</v>
      </c>
      <c r="AL578">
        <v>1</v>
      </c>
      <c r="AM578" s="5">
        <f t="shared" ref="AM578:AM641" si="74">AL578/U578</f>
        <v>0.05</v>
      </c>
      <c r="AN578" s="4">
        <f t="shared" si="71"/>
        <v>7.5728890571753133E-5</v>
      </c>
      <c r="AO578" s="3"/>
      <c r="AP578">
        <v>0</v>
      </c>
      <c r="AR578" t="s">
        <v>1</v>
      </c>
      <c r="AT578" s="2">
        <v>1.3140000000000001</v>
      </c>
      <c r="AU578" s="1">
        <f t="shared" ref="AU578:AU641" si="75">(Y578*0.7+AN578*0.3)*100</f>
        <v>0.70300062462537716</v>
      </c>
      <c r="AV578" s="1">
        <f t="shared" ref="AV578:AV641" si="76">(Y578*0.5+AN578*0.5)*100</f>
        <v>0.50430698589160516</v>
      </c>
      <c r="AW578" s="1">
        <f t="shared" ref="AW578:AW641" si="77">(Y578*0.3+AN578*0.7)*100</f>
        <v>0.30561334715783323</v>
      </c>
    </row>
    <row r="579" spans="1:49" x14ac:dyDescent="0.2">
      <c r="A579">
        <v>577</v>
      </c>
      <c r="B579" t="s">
        <v>5394</v>
      </c>
      <c r="C579" t="s">
        <v>5393</v>
      </c>
      <c r="E579">
        <v>12207543</v>
      </c>
      <c r="F579" t="s">
        <v>5392</v>
      </c>
      <c r="G579" t="s">
        <v>5</v>
      </c>
      <c r="H579" t="s">
        <v>4</v>
      </c>
      <c r="I579" t="s">
        <v>5391</v>
      </c>
      <c r="J579" t="s">
        <v>5390</v>
      </c>
      <c r="K579" t="s">
        <v>5389</v>
      </c>
      <c r="L579" t="s">
        <v>5388</v>
      </c>
      <c r="M579" t="s">
        <v>102</v>
      </c>
      <c r="N579">
        <v>6</v>
      </c>
      <c r="O579" t="s">
        <v>5387</v>
      </c>
      <c r="P579" t="s">
        <v>5386</v>
      </c>
      <c r="Q579" t="s">
        <v>5385</v>
      </c>
      <c r="R579" s="7">
        <v>37510</v>
      </c>
      <c r="S579" s="8">
        <f t="shared" si="72"/>
        <v>2002</v>
      </c>
      <c r="T579" s="8">
        <v>2002</v>
      </c>
      <c r="U579" s="8">
        <f t="shared" si="73"/>
        <v>20</v>
      </c>
      <c r="V579" s="7">
        <v>37510</v>
      </c>
      <c r="W579" t="s">
        <v>907</v>
      </c>
      <c r="X579" s="2">
        <v>7.1150000000000002</v>
      </c>
      <c r="Y579" s="6">
        <f t="shared" ref="Y579:Y642" si="78">(X579-$Z$3)/($Z$2-$Z$3)</f>
        <v>0.18993086142921972</v>
      </c>
      <c r="AA579">
        <v>27863</v>
      </c>
      <c r="AB579">
        <v>22680</v>
      </c>
      <c r="AD579" t="s">
        <v>2</v>
      </c>
      <c r="AE579">
        <v>124</v>
      </c>
      <c r="AF579">
        <v>36</v>
      </c>
      <c r="AH579" t="s">
        <v>5384</v>
      </c>
      <c r="AI579" t="s">
        <v>5383</v>
      </c>
      <c r="AK579" t="s">
        <v>5382</v>
      </c>
      <c r="AL579">
        <v>109</v>
      </c>
      <c r="AM579" s="5">
        <f t="shared" si="74"/>
        <v>5.45</v>
      </c>
      <c r="AN579" s="4">
        <f t="shared" ref="AN579:AN642" si="79">(AM579-$AO$3)/($AO$2-$AO$3)</f>
        <v>8.2544490723210906E-3</v>
      </c>
      <c r="AO579" s="3"/>
      <c r="AP579">
        <v>0</v>
      </c>
      <c r="AR579" t="s">
        <v>1</v>
      </c>
      <c r="AT579" s="2" t="s">
        <v>0</v>
      </c>
      <c r="AU579" s="1">
        <f t="shared" si="75"/>
        <v>13.542793772215015</v>
      </c>
      <c r="AV579" s="1">
        <f t="shared" si="76"/>
        <v>9.9092655250770409</v>
      </c>
      <c r="AW579" s="1">
        <f t="shared" si="77"/>
        <v>6.2757372779390685</v>
      </c>
    </row>
    <row r="580" spans="1:49" x14ac:dyDescent="0.2">
      <c r="A580">
        <v>578</v>
      </c>
      <c r="B580" t="s">
        <v>5381</v>
      </c>
      <c r="C580" t="s">
        <v>5380</v>
      </c>
      <c r="E580">
        <v>12665297</v>
      </c>
      <c r="F580" t="s">
        <v>5379</v>
      </c>
      <c r="G580" t="s">
        <v>5</v>
      </c>
      <c r="H580" t="s">
        <v>4</v>
      </c>
      <c r="I580" t="s">
        <v>5378</v>
      </c>
      <c r="J580" t="s">
        <v>5377</v>
      </c>
      <c r="K580" t="s">
        <v>5376</v>
      </c>
      <c r="L580" t="s">
        <v>5375</v>
      </c>
      <c r="M580" t="s">
        <v>663</v>
      </c>
      <c r="N580">
        <v>4</v>
      </c>
      <c r="O580" t="s">
        <v>5374</v>
      </c>
      <c r="P580" t="s">
        <v>5373</v>
      </c>
      <c r="Q580" t="s">
        <v>5372</v>
      </c>
      <c r="R580" s="7">
        <v>37510</v>
      </c>
      <c r="S580" s="8">
        <f t="shared" si="72"/>
        <v>2002</v>
      </c>
      <c r="T580" s="8">
        <v>2002</v>
      </c>
      <c r="U580" s="8">
        <f t="shared" si="73"/>
        <v>20</v>
      </c>
      <c r="V580" s="7">
        <v>37510</v>
      </c>
      <c r="W580" t="s">
        <v>5371</v>
      </c>
      <c r="X580" s="2">
        <v>0.69899999999999995</v>
      </c>
      <c r="Y580" s="6">
        <f t="shared" si="78"/>
        <v>1.8659405782013295E-2</v>
      </c>
      <c r="AA580" t="s">
        <v>5370</v>
      </c>
      <c r="AB580">
        <v>21429</v>
      </c>
      <c r="AC580">
        <v>14749092</v>
      </c>
      <c r="AD580" t="s">
        <v>2</v>
      </c>
      <c r="AE580">
        <v>1</v>
      </c>
      <c r="AF580">
        <v>9</v>
      </c>
      <c r="AH580" t="s">
        <v>5369</v>
      </c>
      <c r="AI580" t="s">
        <v>5368</v>
      </c>
      <c r="AK580" t="s">
        <v>5367</v>
      </c>
      <c r="AL580">
        <v>16</v>
      </c>
      <c r="AM580" s="5">
        <f t="shared" si="74"/>
        <v>0.8</v>
      </c>
      <c r="AN580" s="4">
        <f t="shared" si="79"/>
        <v>1.2116622491480501E-3</v>
      </c>
      <c r="AO580" s="3"/>
      <c r="AP580">
        <v>0</v>
      </c>
      <c r="AR580" t="s">
        <v>1</v>
      </c>
      <c r="AT580" s="2" t="s">
        <v>0</v>
      </c>
      <c r="AU580" s="1">
        <f t="shared" si="75"/>
        <v>1.3425082722153721</v>
      </c>
      <c r="AV580" s="1">
        <f t="shared" si="76"/>
        <v>0.99355340155806737</v>
      </c>
      <c r="AW580" s="1">
        <f t="shared" si="77"/>
        <v>0.64459853090076225</v>
      </c>
    </row>
    <row r="581" spans="1:49" x14ac:dyDescent="0.2">
      <c r="A581">
        <v>579</v>
      </c>
      <c r="B581" t="s">
        <v>5366</v>
      </c>
      <c r="C581" t="s">
        <v>5365</v>
      </c>
      <c r="E581">
        <v>12105211</v>
      </c>
      <c r="F581" t="s">
        <v>5364</v>
      </c>
      <c r="G581" t="s">
        <v>5</v>
      </c>
      <c r="H581" t="s">
        <v>4</v>
      </c>
      <c r="I581" t="s">
        <v>5363</v>
      </c>
      <c r="J581" t="s">
        <v>5362</v>
      </c>
      <c r="K581" t="s">
        <v>5361</v>
      </c>
      <c r="L581" t="s">
        <v>5360</v>
      </c>
      <c r="M581" t="s">
        <v>5359</v>
      </c>
      <c r="N581">
        <v>5</v>
      </c>
      <c r="O581" t="s">
        <v>5358</v>
      </c>
      <c r="P581" t="s">
        <v>5357</v>
      </c>
      <c r="Q581" t="s">
        <v>5356</v>
      </c>
      <c r="R581" s="7">
        <v>37505</v>
      </c>
      <c r="S581" s="8">
        <f t="shared" si="72"/>
        <v>2002</v>
      </c>
      <c r="T581" s="8">
        <v>2002</v>
      </c>
      <c r="U581" s="8">
        <f t="shared" si="73"/>
        <v>20</v>
      </c>
      <c r="V581" s="7">
        <v>37505</v>
      </c>
      <c r="W581" t="s">
        <v>807</v>
      </c>
      <c r="X581" s="2">
        <v>2.3610000000000002</v>
      </c>
      <c r="Y581" s="6">
        <f t="shared" si="78"/>
        <v>6.3025546568431179E-2</v>
      </c>
      <c r="AA581">
        <v>219258</v>
      </c>
      <c r="AB581">
        <v>17592</v>
      </c>
      <c r="AD581" t="s">
        <v>2</v>
      </c>
      <c r="AE581">
        <v>277</v>
      </c>
      <c r="AF581">
        <v>36</v>
      </c>
      <c r="AH581" t="s">
        <v>5355</v>
      </c>
      <c r="AI581" t="s">
        <v>5354</v>
      </c>
      <c r="AK581" t="s">
        <v>5353</v>
      </c>
      <c r="AL581">
        <v>56</v>
      </c>
      <c r="AM581" s="5">
        <f t="shared" si="74"/>
        <v>2.8</v>
      </c>
      <c r="AN581" s="4">
        <f t="shared" si="79"/>
        <v>4.2408178720181747E-3</v>
      </c>
      <c r="AO581" s="3"/>
      <c r="AP581">
        <v>1</v>
      </c>
      <c r="AR581" t="s">
        <v>1</v>
      </c>
      <c r="AT581" s="2">
        <v>5.157</v>
      </c>
      <c r="AU581" s="1">
        <f t="shared" si="75"/>
        <v>4.5390127959507272</v>
      </c>
      <c r="AV581" s="1">
        <f t="shared" si="76"/>
        <v>3.3633182220224676</v>
      </c>
      <c r="AW581" s="1">
        <f t="shared" si="77"/>
        <v>2.1876236480942075</v>
      </c>
    </row>
    <row r="582" spans="1:49" x14ac:dyDescent="0.2">
      <c r="A582">
        <v>580</v>
      </c>
      <c r="B582" t="s">
        <v>5352</v>
      </c>
      <c r="C582" t="s">
        <v>5351</v>
      </c>
      <c r="F582" t="s">
        <v>5350</v>
      </c>
      <c r="G582" t="s">
        <v>5</v>
      </c>
      <c r="H582" t="s">
        <v>4</v>
      </c>
      <c r="I582" t="s">
        <v>906</v>
      </c>
      <c r="J582">
        <v>60080744</v>
      </c>
      <c r="K582" t="s">
        <v>905</v>
      </c>
      <c r="L582" t="s">
        <v>904</v>
      </c>
      <c r="M582" t="s">
        <v>152</v>
      </c>
      <c r="N582">
        <v>1</v>
      </c>
      <c r="O582" t="s">
        <v>903</v>
      </c>
      <c r="P582">
        <v>7201869206</v>
      </c>
      <c r="Q582">
        <v>60080744</v>
      </c>
      <c r="R582" s="7">
        <v>37504</v>
      </c>
      <c r="S582" s="8">
        <f t="shared" si="72"/>
        <v>2002</v>
      </c>
      <c r="T582" s="8">
        <v>2002</v>
      </c>
      <c r="U582" s="8">
        <f t="shared" si="73"/>
        <v>20</v>
      </c>
      <c r="V582" s="7">
        <v>37504</v>
      </c>
      <c r="W582" t="s">
        <v>789</v>
      </c>
      <c r="X582" s="2">
        <v>0.30399999999999999</v>
      </c>
      <c r="Y582" s="6">
        <f t="shared" si="78"/>
        <v>8.115106377299057E-3</v>
      </c>
      <c r="AA582">
        <v>8952477</v>
      </c>
      <c r="AB582">
        <v>12250</v>
      </c>
      <c r="AD582" t="s">
        <v>2</v>
      </c>
      <c r="AE582">
        <v>34</v>
      </c>
      <c r="AF582">
        <v>5</v>
      </c>
      <c r="AH582" t="s">
        <v>2429</v>
      </c>
      <c r="AI582" t="s">
        <v>5349</v>
      </c>
      <c r="AJ582" t="s">
        <v>5348</v>
      </c>
      <c r="AK582" t="s">
        <v>5347</v>
      </c>
      <c r="AL582">
        <v>7</v>
      </c>
      <c r="AM582" s="5">
        <f t="shared" si="74"/>
        <v>0.35</v>
      </c>
      <c r="AN582" s="4">
        <f t="shared" si="79"/>
        <v>5.3010223400227184E-4</v>
      </c>
      <c r="AO582" s="3"/>
      <c r="AP582">
        <v>0</v>
      </c>
      <c r="AR582" t="s">
        <v>1</v>
      </c>
      <c r="AT582" s="2" t="s">
        <v>0</v>
      </c>
      <c r="AU582" s="1">
        <f t="shared" si="75"/>
        <v>0.58396051343100208</v>
      </c>
      <c r="AV582" s="1">
        <f t="shared" si="76"/>
        <v>0.43226043056506641</v>
      </c>
      <c r="AW582" s="1">
        <f t="shared" si="77"/>
        <v>0.28056034769913074</v>
      </c>
    </row>
    <row r="583" spans="1:49" x14ac:dyDescent="0.2">
      <c r="A583">
        <v>581</v>
      </c>
      <c r="B583" t="s">
        <v>5346</v>
      </c>
      <c r="C583" t="s">
        <v>5345</v>
      </c>
      <c r="F583" t="s">
        <v>5344</v>
      </c>
      <c r="G583" t="s">
        <v>5</v>
      </c>
      <c r="H583" t="s">
        <v>4</v>
      </c>
      <c r="I583" t="s">
        <v>5343</v>
      </c>
      <c r="J583">
        <v>60019987</v>
      </c>
      <c r="K583" t="s">
        <v>4144</v>
      </c>
      <c r="L583" t="s">
        <v>4143</v>
      </c>
      <c r="M583" t="s">
        <v>426</v>
      </c>
      <c r="N583">
        <v>2</v>
      </c>
      <c r="O583" t="s">
        <v>5342</v>
      </c>
      <c r="P583" t="s">
        <v>5341</v>
      </c>
      <c r="Q583" t="s">
        <v>4140</v>
      </c>
      <c r="R583" s="7">
        <v>37504</v>
      </c>
      <c r="S583" s="8">
        <f t="shared" si="72"/>
        <v>2002</v>
      </c>
      <c r="T583" s="8">
        <v>2002</v>
      </c>
      <c r="U583" s="8">
        <f t="shared" si="73"/>
        <v>20</v>
      </c>
      <c r="V583" s="7">
        <v>37504</v>
      </c>
      <c r="W583" t="s">
        <v>789</v>
      </c>
      <c r="X583" s="2">
        <v>0.30399999999999999</v>
      </c>
      <c r="Y583" s="6">
        <f t="shared" si="78"/>
        <v>8.115106377299057E-3</v>
      </c>
      <c r="AA583">
        <v>8952477</v>
      </c>
      <c r="AB583">
        <v>12250</v>
      </c>
      <c r="AD583" t="s">
        <v>2</v>
      </c>
      <c r="AE583">
        <v>34</v>
      </c>
      <c r="AF583">
        <v>5</v>
      </c>
      <c r="AH583" t="s">
        <v>5340</v>
      </c>
      <c r="AI583" t="s">
        <v>5339</v>
      </c>
      <c r="AK583" t="s">
        <v>5338</v>
      </c>
      <c r="AL583">
        <v>7</v>
      </c>
      <c r="AM583" s="5">
        <f t="shared" si="74"/>
        <v>0.35</v>
      </c>
      <c r="AN583" s="4">
        <f t="shared" si="79"/>
        <v>5.3010223400227184E-4</v>
      </c>
      <c r="AO583" s="3"/>
      <c r="AP583">
        <v>0</v>
      </c>
      <c r="AR583" t="s">
        <v>1</v>
      </c>
      <c r="AT583" s="2" t="s">
        <v>0</v>
      </c>
      <c r="AU583" s="1">
        <f t="shared" si="75"/>
        <v>0.58396051343100208</v>
      </c>
      <c r="AV583" s="1">
        <f t="shared" si="76"/>
        <v>0.43226043056506641</v>
      </c>
      <c r="AW583" s="1">
        <f t="shared" si="77"/>
        <v>0.28056034769913074</v>
      </c>
    </row>
    <row r="584" spans="1:49" x14ac:dyDescent="0.2">
      <c r="A584">
        <v>582</v>
      </c>
      <c r="B584" t="s">
        <v>5337</v>
      </c>
      <c r="C584" t="s">
        <v>5336</v>
      </c>
      <c r="F584" t="s">
        <v>5335</v>
      </c>
      <c r="G584" t="s">
        <v>5</v>
      </c>
      <c r="H584" t="s">
        <v>4</v>
      </c>
      <c r="I584" t="s">
        <v>5334</v>
      </c>
      <c r="J584">
        <v>60017161</v>
      </c>
      <c r="K584" t="s">
        <v>360</v>
      </c>
      <c r="L584" t="s">
        <v>87</v>
      </c>
      <c r="M584" t="s">
        <v>86</v>
      </c>
      <c r="N584">
        <v>4</v>
      </c>
      <c r="O584" t="s">
        <v>5333</v>
      </c>
      <c r="P584" t="s">
        <v>5332</v>
      </c>
      <c r="Q584" t="s">
        <v>5331</v>
      </c>
      <c r="R584" s="7">
        <v>37504</v>
      </c>
      <c r="S584" s="8">
        <f t="shared" si="72"/>
        <v>2002</v>
      </c>
      <c r="T584" s="8">
        <v>2002</v>
      </c>
      <c r="U584" s="8">
        <f t="shared" si="73"/>
        <v>20</v>
      </c>
      <c r="V584" s="7">
        <v>37504</v>
      </c>
      <c r="W584" t="s">
        <v>789</v>
      </c>
      <c r="X584" s="2">
        <v>0.30399999999999999</v>
      </c>
      <c r="Y584" s="6">
        <f t="shared" si="78"/>
        <v>8.115106377299057E-3</v>
      </c>
      <c r="AA584">
        <v>8952477</v>
      </c>
      <c r="AB584">
        <v>12250</v>
      </c>
      <c r="AD584" t="s">
        <v>2</v>
      </c>
      <c r="AE584">
        <v>34</v>
      </c>
      <c r="AF584">
        <v>5</v>
      </c>
      <c r="AH584" t="s">
        <v>5330</v>
      </c>
      <c r="AI584" t="s">
        <v>5329</v>
      </c>
      <c r="AJ584" t="s">
        <v>5328</v>
      </c>
      <c r="AK584" t="s">
        <v>5327</v>
      </c>
      <c r="AL584">
        <v>3</v>
      </c>
      <c r="AM584" s="5">
        <f t="shared" si="74"/>
        <v>0.15</v>
      </c>
      <c r="AN584" s="4">
        <f t="shared" si="79"/>
        <v>2.2718667171525936E-4</v>
      </c>
      <c r="AO584" s="3"/>
      <c r="AP584">
        <v>0</v>
      </c>
      <c r="AR584" t="s">
        <v>1</v>
      </c>
      <c r="AT584" s="2" t="s">
        <v>0</v>
      </c>
      <c r="AU584" s="1">
        <f t="shared" si="75"/>
        <v>0.5748730465623918</v>
      </c>
      <c r="AV584" s="1">
        <f t="shared" si="76"/>
        <v>0.41711465245071577</v>
      </c>
      <c r="AW584" s="1">
        <f t="shared" si="77"/>
        <v>0.25935625833903986</v>
      </c>
    </row>
    <row r="585" spans="1:49" x14ac:dyDescent="0.2">
      <c r="A585">
        <v>583</v>
      </c>
      <c r="B585" t="s">
        <v>5326</v>
      </c>
      <c r="C585" t="s">
        <v>5325</v>
      </c>
      <c r="F585" t="s">
        <v>5324</v>
      </c>
      <c r="G585" t="s">
        <v>5</v>
      </c>
      <c r="H585" t="s">
        <v>4</v>
      </c>
      <c r="I585" t="s">
        <v>5323</v>
      </c>
      <c r="J585">
        <v>60026859</v>
      </c>
      <c r="K585" t="s">
        <v>5322</v>
      </c>
      <c r="L585" t="s">
        <v>597</v>
      </c>
      <c r="M585" t="s">
        <v>182</v>
      </c>
      <c r="N585">
        <v>4</v>
      </c>
      <c r="O585" t="s">
        <v>5321</v>
      </c>
      <c r="P585" t="s">
        <v>5320</v>
      </c>
      <c r="Q585" t="s">
        <v>5319</v>
      </c>
      <c r="R585" s="7">
        <v>37504</v>
      </c>
      <c r="S585" s="8">
        <f t="shared" si="72"/>
        <v>2002</v>
      </c>
      <c r="T585" s="8">
        <v>2002</v>
      </c>
      <c r="U585" s="8">
        <f t="shared" si="73"/>
        <v>20</v>
      </c>
      <c r="V585" s="7">
        <v>37504</v>
      </c>
      <c r="W585" t="s">
        <v>789</v>
      </c>
      <c r="X585" s="2">
        <v>0.30399999999999999</v>
      </c>
      <c r="Y585" s="6">
        <f t="shared" si="78"/>
        <v>8.115106377299057E-3</v>
      </c>
      <c r="AA585">
        <v>8952477</v>
      </c>
      <c r="AB585">
        <v>12250</v>
      </c>
      <c r="AD585" t="s">
        <v>2</v>
      </c>
      <c r="AE585">
        <v>34</v>
      </c>
      <c r="AF585">
        <v>5</v>
      </c>
      <c r="AH585" t="s">
        <v>5318</v>
      </c>
      <c r="AI585" t="s">
        <v>5317</v>
      </c>
      <c r="AJ585" t="s">
        <v>5316</v>
      </c>
      <c r="AK585" t="s">
        <v>5315</v>
      </c>
      <c r="AL585">
        <v>4</v>
      </c>
      <c r="AM585" s="5">
        <f t="shared" si="74"/>
        <v>0.2</v>
      </c>
      <c r="AN585" s="4">
        <f t="shared" si="79"/>
        <v>3.0291556228701253E-4</v>
      </c>
      <c r="AO585" s="3"/>
      <c r="AP585">
        <v>0</v>
      </c>
      <c r="AR585" t="s">
        <v>1</v>
      </c>
      <c r="AT585" s="2" t="s">
        <v>0</v>
      </c>
      <c r="AU585" s="1">
        <f t="shared" si="75"/>
        <v>0.57714491327954431</v>
      </c>
      <c r="AV585" s="1">
        <f t="shared" si="76"/>
        <v>0.4209010969793035</v>
      </c>
      <c r="AW585" s="1">
        <f t="shared" si="77"/>
        <v>0.26465728067906258</v>
      </c>
    </row>
    <row r="586" spans="1:49" x14ac:dyDescent="0.2">
      <c r="A586">
        <v>584</v>
      </c>
      <c r="B586" t="s">
        <v>5314</v>
      </c>
      <c r="C586" t="s">
        <v>5313</v>
      </c>
      <c r="F586" t="s">
        <v>5312</v>
      </c>
      <c r="G586" t="s">
        <v>5</v>
      </c>
      <c r="H586" t="s">
        <v>4</v>
      </c>
      <c r="I586" t="s">
        <v>971</v>
      </c>
      <c r="J586">
        <v>60019330</v>
      </c>
      <c r="K586" t="s">
        <v>970</v>
      </c>
      <c r="L586" t="s">
        <v>216</v>
      </c>
      <c r="M586" t="s">
        <v>135</v>
      </c>
      <c r="N586">
        <v>1</v>
      </c>
      <c r="O586" t="s">
        <v>969</v>
      </c>
      <c r="P586">
        <v>7501883805</v>
      </c>
      <c r="Q586">
        <v>60019330</v>
      </c>
      <c r="R586" s="7">
        <v>37504</v>
      </c>
      <c r="S586" s="8">
        <f t="shared" si="72"/>
        <v>2002</v>
      </c>
      <c r="T586" s="8">
        <v>2002</v>
      </c>
      <c r="U586" s="8">
        <f t="shared" si="73"/>
        <v>20</v>
      </c>
      <c r="V586" s="7">
        <v>37504</v>
      </c>
      <c r="W586" t="s">
        <v>789</v>
      </c>
      <c r="X586" s="2">
        <v>0.30399999999999999</v>
      </c>
      <c r="Y586" s="6">
        <f t="shared" si="78"/>
        <v>8.115106377299057E-3</v>
      </c>
      <c r="AA586">
        <v>8952477</v>
      </c>
      <c r="AB586">
        <v>12250</v>
      </c>
      <c r="AD586" t="s">
        <v>2</v>
      </c>
      <c r="AE586">
        <v>34</v>
      </c>
      <c r="AF586">
        <v>5</v>
      </c>
      <c r="AH586" t="s">
        <v>5311</v>
      </c>
      <c r="AI586" t="s">
        <v>5310</v>
      </c>
      <c r="AJ586" t="s">
        <v>5309</v>
      </c>
      <c r="AK586" t="s">
        <v>5308</v>
      </c>
      <c r="AL586">
        <v>4</v>
      </c>
      <c r="AM586" s="5">
        <f t="shared" si="74"/>
        <v>0.2</v>
      </c>
      <c r="AN586" s="4">
        <f t="shared" si="79"/>
        <v>3.0291556228701253E-4</v>
      </c>
      <c r="AO586" s="3"/>
      <c r="AP586">
        <v>0</v>
      </c>
      <c r="AR586" t="s">
        <v>1</v>
      </c>
      <c r="AT586" s="2" t="s">
        <v>0</v>
      </c>
      <c r="AU586" s="1">
        <f t="shared" si="75"/>
        <v>0.57714491327954431</v>
      </c>
      <c r="AV586" s="1">
        <f t="shared" si="76"/>
        <v>0.4209010969793035</v>
      </c>
      <c r="AW586" s="1">
        <f t="shared" si="77"/>
        <v>0.26465728067906258</v>
      </c>
    </row>
    <row r="587" spans="1:49" x14ac:dyDescent="0.2">
      <c r="A587">
        <v>585</v>
      </c>
      <c r="B587" t="s">
        <v>5307</v>
      </c>
      <c r="C587" t="s">
        <v>5306</v>
      </c>
      <c r="F587" t="s">
        <v>5305</v>
      </c>
      <c r="G587" t="s">
        <v>5</v>
      </c>
      <c r="H587" t="s">
        <v>4</v>
      </c>
      <c r="I587" t="s">
        <v>5304</v>
      </c>
      <c r="J587">
        <v>60029738</v>
      </c>
      <c r="K587" t="s">
        <v>1027</v>
      </c>
      <c r="L587" t="s">
        <v>1026</v>
      </c>
      <c r="M587" t="s">
        <v>41</v>
      </c>
      <c r="N587">
        <v>2</v>
      </c>
      <c r="O587" t="s">
        <v>5303</v>
      </c>
      <c r="P587" t="s">
        <v>5302</v>
      </c>
      <c r="Q587" t="s">
        <v>1960</v>
      </c>
      <c r="R587" s="7">
        <v>37504</v>
      </c>
      <c r="S587" s="8">
        <f t="shared" si="72"/>
        <v>2002</v>
      </c>
      <c r="T587" s="8">
        <v>2002</v>
      </c>
      <c r="U587" s="8">
        <f t="shared" si="73"/>
        <v>20</v>
      </c>
      <c r="V587" s="7">
        <v>37504</v>
      </c>
      <c r="W587" t="s">
        <v>789</v>
      </c>
      <c r="X587" s="2">
        <v>0.30399999999999999</v>
      </c>
      <c r="Y587" s="6">
        <f t="shared" si="78"/>
        <v>8.115106377299057E-3</v>
      </c>
      <c r="AA587">
        <v>8952477</v>
      </c>
      <c r="AB587">
        <v>12250</v>
      </c>
      <c r="AD587" t="s">
        <v>2</v>
      </c>
      <c r="AE587">
        <v>34</v>
      </c>
      <c r="AF587">
        <v>5</v>
      </c>
      <c r="AH587" t="s">
        <v>5301</v>
      </c>
      <c r="AI587" t="s">
        <v>5300</v>
      </c>
      <c r="AJ587" t="s">
        <v>5299</v>
      </c>
      <c r="AK587" t="s">
        <v>5298</v>
      </c>
      <c r="AL587">
        <v>0</v>
      </c>
      <c r="AM587" s="5">
        <f t="shared" si="74"/>
        <v>0</v>
      </c>
      <c r="AN587" s="4">
        <f t="shared" si="79"/>
        <v>0</v>
      </c>
      <c r="AO587" s="3"/>
      <c r="AP587">
        <v>0</v>
      </c>
      <c r="AR587" t="s">
        <v>1</v>
      </c>
      <c r="AT587" s="2" t="s">
        <v>0</v>
      </c>
      <c r="AU587" s="1">
        <f t="shared" si="75"/>
        <v>0.56805744641093392</v>
      </c>
      <c r="AV587" s="1">
        <f t="shared" si="76"/>
        <v>0.40575531886495286</v>
      </c>
      <c r="AW587" s="1">
        <f t="shared" si="77"/>
        <v>0.24345319131897172</v>
      </c>
    </row>
    <row r="588" spans="1:49" x14ac:dyDescent="0.2">
      <c r="A588">
        <v>586</v>
      </c>
      <c r="B588" t="s">
        <v>5297</v>
      </c>
      <c r="C588" t="s">
        <v>5296</v>
      </c>
      <c r="F588" t="s">
        <v>5295</v>
      </c>
      <c r="G588" t="s">
        <v>5</v>
      </c>
      <c r="H588" t="s">
        <v>4</v>
      </c>
      <c r="I588" t="s">
        <v>5294</v>
      </c>
      <c r="J588" t="s">
        <v>5293</v>
      </c>
      <c r="K588" t="s">
        <v>5292</v>
      </c>
      <c r="L588" t="s">
        <v>5291</v>
      </c>
      <c r="M588" t="s">
        <v>518</v>
      </c>
      <c r="N588">
        <v>3</v>
      </c>
      <c r="O588" t="s">
        <v>5290</v>
      </c>
      <c r="P588" t="s">
        <v>5289</v>
      </c>
      <c r="Q588" t="s">
        <v>5288</v>
      </c>
      <c r="R588" s="7">
        <v>37504</v>
      </c>
      <c r="S588" s="8">
        <f t="shared" si="72"/>
        <v>2002</v>
      </c>
      <c r="T588" s="8">
        <v>2002</v>
      </c>
      <c r="U588" s="8">
        <f t="shared" si="73"/>
        <v>20</v>
      </c>
      <c r="V588" s="7">
        <v>37504</v>
      </c>
      <c r="W588" t="s">
        <v>789</v>
      </c>
      <c r="X588" s="2">
        <v>0.30399999999999999</v>
      </c>
      <c r="Y588" s="6">
        <f t="shared" si="78"/>
        <v>8.115106377299057E-3</v>
      </c>
      <c r="AA588">
        <v>8952477</v>
      </c>
      <c r="AB588">
        <v>12250</v>
      </c>
      <c r="AD588" t="s">
        <v>2</v>
      </c>
      <c r="AE588">
        <v>34</v>
      </c>
      <c r="AF588">
        <v>5</v>
      </c>
      <c r="AH588" t="s">
        <v>5287</v>
      </c>
      <c r="AI588" t="s">
        <v>5286</v>
      </c>
      <c r="AJ588" t="s">
        <v>5285</v>
      </c>
      <c r="AK588" t="s">
        <v>5284</v>
      </c>
      <c r="AL588">
        <v>0</v>
      </c>
      <c r="AM588" s="5">
        <f t="shared" si="74"/>
        <v>0</v>
      </c>
      <c r="AN588" s="4">
        <f t="shared" si="79"/>
        <v>0</v>
      </c>
      <c r="AO588" s="3"/>
      <c r="AP588">
        <v>0</v>
      </c>
      <c r="AR588" t="s">
        <v>1</v>
      </c>
      <c r="AT588" s="2" t="s">
        <v>0</v>
      </c>
      <c r="AU588" s="1">
        <f t="shared" si="75"/>
        <v>0.56805744641093392</v>
      </c>
      <c r="AV588" s="1">
        <f t="shared" si="76"/>
        <v>0.40575531886495286</v>
      </c>
      <c r="AW588" s="1">
        <f t="shared" si="77"/>
        <v>0.24345319131897172</v>
      </c>
    </row>
    <row r="589" spans="1:49" x14ac:dyDescent="0.2">
      <c r="A589">
        <v>587</v>
      </c>
      <c r="B589" t="s">
        <v>5283</v>
      </c>
      <c r="C589" t="s">
        <v>5282</v>
      </c>
      <c r="F589" t="s">
        <v>5281</v>
      </c>
      <c r="G589" t="s">
        <v>5</v>
      </c>
      <c r="H589" t="s">
        <v>4</v>
      </c>
      <c r="I589" t="s">
        <v>5280</v>
      </c>
      <c r="J589" t="s">
        <v>5279</v>
      </c>
      <c r="K589" t="s">
        <v>5278</v>
      </c>
      <c r="L589" t="s">
        <v>5277</v>
      </c>
      <c r="M589" t="s">
        <v>705</v>
      </c>
      <c r="N589">
        <v>4</v>
      </c>
      <c r="O589" t="s">
        <v>5276</v>
      </c>
      <c r="P589" t="s">
        <v>5275</v>
      </c>
      <c r="Q589" t="s">
        <v>5274</v>
      </c>
      <c r="R589" s="7">
        <v>37504</v>
      </c>
      <c r="S589" s="8">
        <f t="shared" si="72"/>
        <v>2002</v>
      </c>
      <c r="T589" s="8">
        <v>2002</v>
      </c>
      <c r="U589" s="8">
        <f t="shared" si="73"/>
        <v>20</v>
      </c>
      <c r="V589" s="7">
        <v>37504</v>
      </c>
      <c r="W589" t="s">
        <v>789</v>
      </c>
      <c r="X589" s="2">
        <v>0.30399999999999999</v>
      </c>
      <c r="Y589" s="6">
        <f t="shared" si="78"/>
        <v>8.115106377299057E-3</v>
      </c>
      <c r="AA589">
        <v>8952477</v>
      </c>
      <c r="AB589">
        <v>12250</v>
      </c>
      <c r="AD589" t="s">
        <v>2</v>
      </c>
      <c r="AE589">
        <v>34</v>
      </c>
      <c r="AF589">
        <v>5</v>
      </c>
      <c r="AH589" t="s">
        <v>5273</v>
      </c>
      <c r="AI589" t="s">
        <v>5272</v>
      </c>
      <c r="AJ589" t="s">
        <v>5271</v>
      </c>
      <c r="AK589" t="s">
        <v>5270</v>
      </c>
      <c r="AL589">
        <v>13</v>
      </c>
      <c r="AM589" s="5">
        <f t="shared" si="74"/>
        <v>0.65</v>
      </c>
      <c r="AN589" s="4">
        <f t="shared" si="79"/>
        <v>9.8447557743279067E-4</v>
      </c>
      <c r="AO589" s="3"/>
      <c r="AP589">
        <v>0</v>
      </c>
      <c r="AR589" t="s">
        <v>1</v>
      </c>
      <c r="AT589" s="2" t="s">
        <v>0</v>
      </c>
      <c r="AU589" s="1">
        <f t="shared" si="75"/>
        <v>0.59759171373391762</v>
      </c>
      <c r="AV589" s="1">
        <f t="shared" si="76"/>
        <v>0.4549790977365924</v>
      </c>
      <c r="AW589" s="1">
        <f t="shared" si="77"/>
        <v>0.31236648173926707</v>
      </c>
    </row>
    <row r="590" spans="1:49" x14ac:dyDescent="0.2">
      <c r="A590">
        <v>588</v>
      </c>
      <c r="B590" t="s">
        <v>5269</v>
      </c>
      <c r="C590" t="s">
        <v>5268</v>
      </c>
      <c r="F590" t="s">
        <v>5267</v>
      </c>
      <c r="G590" t="s">
        <v>5</v>
      </c>
      <c r="H590" t="s">
        <v>4</v>
      </c>
      <c r="I590" t="s">
        <v>5266</v>
      </c>
      <c r="J590">
        <v>60029116</v>
      </c>
      <c r="K590" t="s">
        <v>5265</v>
      </c>
      <c r="L590" t="s">
        <v>774</v>
      </c>
      <c r="M590" t="s">
        <v>14</v>
      </c>
      <c r="N590">
        <v>2</v>
      </c>
      <c r="O590" t="s">
        <v>5264</v>
      </c>
      <c r="P590" t="s">
        <v>5263</v>
      </c>
      <c r="Q590" t="s">
        <v>5262</v>
      </c>
      <c r="R590" s="7">
        <v>37504</v>
      </c>
      <c r="S590" s="8">
        <f t="shared" si="72"/>
        <v>2002</v>
      </c>
      <c r="T590" s="8">
        <v>2002</v>
      </c>
      <c r="U590" s="8">
        <f t="shared" si="73"/>
        <v>20</v>
      </c>
      <c r="V590" s="7">
        <v>37504</v>
      </c>
      <c r="W590" t="s">
        <v>789</v>
      </c>
      <c r="X590" s="2">
        <v>0.30399999999999999</v>
      </c>
      <c r="Y590" s="6">
        <f t="shared" si="78"/>
        <v>8.115106377299057E-3</v>
      </c>
      <c r="AA590">
        <v>8952477</v>
      </c>
      <c r="AB590">
        <v>12250</v>
      </c>
      <c r="AD590" t="s">
        <v>2</v>
      </c>
      <c r="AE590">
        <v>34</v>
      </c>
      <c r="AF590">
        <v>5</v>
      </c>
      <c r="AH590" t="s">
        <v>5261</v>
      </c>
      <c r="AI590" t="s">
        <v>5260</v>
      </c>
      <c r="AJ590" t="s">
        <v>5259</v>
      </c>
      <c r="AK590" t="s">
        <v>5258</v>
      </c>
      <c r="AL590">
        <v>3</v>
      </c>
      <c r="AM590" s="5">
        <f t="shared" si="74"/>
        <v>0.15</v>
      </c>
      <c r="AN590" s="4">
        <f t="shared" si="79"/>
        <v>2.2718667171525936E-4</v>
      </c>
      <c r="AO590" s="3"/>
      <c r="AP590">
        <v>0</v>
      </c>
      <c r="AR590" t="s">
        <v>1</v>
      </c>
      <c r="AT590" s="2" t="s">
        <v>0</v>
      </c>
      <c r="AU590" s="1">
        <f t="shared" si="75"/>
        <v>0.5748730465623918</v>
      </c>
      <c r="AV590" s="1">
        <f t="shared" si="76"/>
        <v>0.41711465245071577</v>
      </c>
      <c r="AW590" s="1">
        <f t="shared" si="77"/>
        <v>0.25935625833903986</v>
      </c>
    </row>
    <row r="591" spans="1:49" x14ac:dyDescent="0.2">
      <c r="A591">
        <v>589</v>
      </c>
      <c r="B591" t="s">
        <v>5257</v>
      </c>
      <c r="F591" t="s">
        <v>5256</v>
      </c>
      <c r="G591" t="s">
        <v>5</v>
      </c>
      <c r="H591" t="s">
        <v>4</v>
      </c>
      <c r="I591" t="s">
        <v>5255</v>
      </c>
      <c r="N591">
        <v>1</v>
      </c>
      <c r="O591" t="s">
        <v>5254</v>
      </c>
      <c r="P591">
        <v>7003559849</v>
      </c>
      <c r="R591" s="7">
        <v>37500</v>
      </c>
      <c r="S591" s="8">
        <f t="shared" si="72"/>
        <v>2002</v>
      </c>
      <c r="T591" s="8">
        <v>2002</v>
      </c>
      <c r="U591" s="8">
        <f t="shared" si="73"/>
        <v>20</v>
      </c>
      <c r="V591" s="7">
        <v>37500</v>
      </c>
      <c r="W591" t="s">
        <v>785</v>
      </c>
      <c r="X591" s="2">
        <v>0.29499999999999998</v>
      </c>
      <c r="Y591" s="6">
        <f t="shared" si="78"/>
        <v>7.8748565174448087E-3</v>
      </c>
      <c r="AA591">
        <v>10642269</v>
      </c>
      <c r="AB591">
        <v>19554</v>
      </c>
      <c r="AD591" t="s">
        <v>2</v>
      </c>
      <c r="AE591">
        <v>47</v>
      </c>
      <c r="AF591">
        <v>9</v>
      </c>
      <c r="AH591" t="s">
        <v>5253</v>
      </c>
      <c r="AI591" t="s">
        <v>5252</v>
      </c>
      <c r="AK591" t="s">
        <v>5251</v>
      </c>
      <c r="AL591">
        <v>0</v>
      </c>
      <c r="AM591" s="5">
        <f t="shared" si="74"/>
        <v>0</v>
      </c>
      <c r="AN591" s="4">
        <f t="shared" si="79"/>
        <v>0</v>
      </c>
      <c r="AO591" s="3"/>
      <c r="AP591">
        <v>0</v>
      </c>
      <c r="AR591" t="s">
        <v>1</v>
      </c>
      <c r="AT591" s="2" t="s">
        <v>0</v>
      </c>
      <c r="AU591" s="1">
        <f t="shared" si="75"/>
        <v>0.55123995622113653</v>
      </c>
      <c r="AV591" s="1">
        <f t="shared" si="76"/>
        <v>0.39374282587224041</v>
      </c>
      <c r="AW591" s="1">
        <f t="shared" si="77"/>
        <v>0.23624569552334423</v>
      </c>
    </row>
    <row r="592" spans="1:49" x14ac:dyDescent="0.2">
      <c r="A592">
        <v>590</v>
      </c>
      <c r="B592" t="s">
        <v>5250</v>
      </c>
      <c r="F592" t="s">
        <v>5249</v>
      </c>
      <c r="G592" t="s">
        <v>5</v>
      </c>
      <c r="H592" t="s">
        <v>4</v>
      </c>
      <c r="I592" t="s">
        <v>5248</v>
      </c>
      <c r="J592">
        <v>109030536</v>
      </c>
      <c r="K592" t="s">
        <v>5247</v>
      </c>
      <c r="M592" t="s">
        <v>36</v>
      </c>
      <c r="N592">
        <v>3</v>
      </c>
      <c r="O592" t="s">
        <v>5246</v>
      </c>
      <c r="P592" t="s">
        <v>5245</v>
      </c>
      <c r="Q592" t="s">
        <v>5244</v>
      </c>
      <c r="R592" s="7">
        <v>37500</v>
      </c>
      <c r="S592" s="8">
        <f t="shared" si="72"/>
        <v>2002</v>
      </c>
      <c r="T592" s="8">
        <v>2002</v>
      </c>
      <c r="U592" s="8">
        <f t="shared" si="73"/>
        <v>20</v>
      </c>
      <c r="V592" s="7">
        <v>37500</v>
      </c>
      <c r="W592" t="s">
        <v>5243</v>
      </c>
      <c r="X592" s="2" t="s">
        <v>0</v>
      </c>
      <c r="Y592" s="6" t="e">
        <f t="shared" si="78"/>
        <v>#VALUE!</v>
      </c>
      <c r="AA592" t="s">
        <v>5242</v>
      </c>
      <c r="AB592">
        <v>20050</v>
      </c>
      <c r="AD592" t="s">
        <v>2</v>
      </c>
      <c r="AF592">
        <v>482</v>
      </c>
      <c r="AI592" t="s">
        <v>5241</v>
      </c>
      <c r="AK592" t="s">
        <v>5240</v>
      </c>
      <c r="AL592">
        <v>0</v>
      </c>
      <c r="AM592" s="5">
        <f t="shared" si="74"/>
        <v>0</v>
      </c>
      <c r="AN592" s="4">
        <f t="shared" si="79"/>
        <v>0</v>
      </c>
      <c r="AO592" s="3"/>
      <c r="AP592">
        <v>0</v>
      </c>
      <c r="AR592" t="s">
        <v>1</v>
      </c>
      <c r="AT592" s="2" t="s">
        <v>0</v>
      </c>
      <c r="AU592" s="1" t="e">
        <f t="shared" si="75"/>
        <v>#VALUE!</v>
      </c>
      <c r="AV592" s="1" t="e">
        <f t="shared" si="76"/>
        <v>#VALUE!</v>
      </c>
      <c r="AW592" s="1" t="e">
        <f t="shared" si="77"/>
        <v>#VALUE!</v>
      </c>
    </row>
    <row r="593" spans="1:49" x14ac:dyDescent="0.2">
      <c r="A593">
        <v>591</v>
      </c>
      <c r="B593" t="s">
        <v>5239</v>
      </c>
      <c r="C593" t="s">
        <v>5238</v>
      </c>
      <c r="F593" t="s">
        <v>5237</v>
      </c>
      <c r="G593" t="s">
        <v>5</v>
      </c>
      <c r="H593" t="s">
        <v>4</v>
      </c>
      <c r="I593" t="s">
        <v>5236</v>
      </c>
      <c r="J593" t="s">
        <v>5231</v>
      </c>
      <c r="K593" t="s">
        <v>5235</v>
      </c>
      <c r="L593" t="s">
        <v>5234</v>
      </c>
      <c r="M593" t="s">
        <v>453</v>
      </c>
      <c r="N593">
        <v>2</v>
      </c>
      <c r="O593" t="s">
        <v>5233</v>
      </c>
      <c r="P593" t="s">
        <v>5232</v>
      </c>
      <c r="Q593" t="s">
        <v>5231</v>
      </c>
      <c r="R593" s="7">
        <v>37500</v>
      </c>
      <c r="S593" s="8">
        <f t="shared" si="72"/>
        <v>2002</v>
      </c>
      <c r="T593" s="8">
        <v>2002</v>
      </c>
      <c r="U593" s="8">
        <f t="shared" si="73"/>
        <v>20</v>
      </c>
      <c r="V593" s="7">
        <v>37500</v>
      </c>
      <c r="W593" t="s">
        <v>706</v>
      </c>
      <c r="X593" s="2">
        <v>0.61499999999999999</v>
      </c>
      <c r="Y593" s="6">
        <f t="shared" si="78"/>
        <v>1.6417073756706976E-2</v>
      </c>
      <c r="AA593">
        <v>1959271</v>
      </c>
      <c r="AB593">
        <v>12141</v>
      </c>
      <c r="AD593" t="s">
        <v>2</v>
      </c>
      <c r="AE593">
        <v>23</v>
      </c>
      <c r="AF593">
        <v>9</v>
      </c>
      <c r="AH593" t="s">
        <v>5230</v>
      </c>
      <c r="AI593" t="s">
        <v>5229</v>
      </c>
      <c r="AJ593" t="s">
        <v>5228</v>
      </c>
      <c r="AK593" t="s">
        <v>5227</v>
      </c>
      <c r="AL593">
        <v>3</v>
      </c>
      <c r="AM593" s="5">
        <f t="shared" si="74"/>
        <v>0.15</v>
      </c>
      <c r="AN593" s="4">
        <f t="shared" si="79"/>
        <v>2.2718667171525936E-4</v>
      </c>
      <c r="AO593" s="3"/>
      <c r="AP593">
        <v>0</v>
      </c>
      <c r="AR593" t="s">
        <v>1</v>
      </c>
      <c r="AT593" s="2" t="s">
        <v>0</v>
      </c>
      <c r="AU593" s="1">
        <f t="shared" si="75"/>
        <v>1.156010763120946</v>
      </c>
      <c r="AV593" s="1">
        <f t="shared" si="76"/>
        <v>0.83221302142111186</v>
      </c>
      <c r="AW593" s="1">
        <f t="shared" si="77"/>
        <v>0.50841527972127742</v>
      </c>
    </row>
    <row r="594" spans="1:49" x14ac:dyDescent="0.2">
      <c r="A594">
        <v>592</v>
      </c>
      <c r="B594" t="s">
        <v>5226</v>
      </c>
      <c r="C594" t="s">
        <v>5225</v>
      </c>
      <c r="F594" t="s">
        <v>5224</v>
      </c>
      <c r="G594" t="s">
        <v>5</v>
      </c>
      <c r="H594" t="s">
        <v>4</v>
      </c>
      <c r="I594" t="s">
        <v>5223</v>
      </c>
      <c r="J594">
        <v>60029965</v>
      </c>
      <c r="K594" t="s">
        <v>5222</v>
      </c>
      <c r="L594" t="s">
        <v>5221</v>
      </c>
      <c r="M594" t="s">
        <v>7</v>
      </c>
      <c r="N594">
        <v>1</v>
      </c>
      <c r="O594" t="s">
        <v>5220</v>
      </c>
      <c r="P594">
        <v>6603907614</v>
      </c>
      <c r="Q594">
        <v>60029965</v>
      </c>
      <c r="R594" s="7">
        <v>37500</v>
      </c>
      <c r="S594" s="8">
        <f t="shared" si="72"/>
        <v>2002</v>
      </c>
      <c r="T594" s="8">
        <v>2002</v>
      </c>
      <c r="U594" s="8">
        <f t="shared" si="73"/>
        <v>20</v>
      </c>
      <c r="V594" s="7">
        <v>37500</v>
      </c>
      <c r="W594" t="s">
        <v>5219</v>
      </c>
      <c r="X594" s="2">
        <v>0.60499999999999998</v>
      </c>
      <c r="Y594" s="6">
        <f t="shared" si="78"/>
        <v>1.6150129467980032E-2</v>
      </c>
      <c r="AA594">
        <v>346748</v>
      </c>
      <c r="AB594">
        <v>15563</v>
      </c>
      <c r="AD594" t="s">
        <v>2</v>
      </c>
      <c r="AE594">
        <v>73</v>
      </c>
      <c r="AF594">
        <v>9</v>
      </c>
      <c r="AH594">
        <v>3258</v>
      </c>
      <c r="AL594">
        <v>71</v>
      </c>
      <c r="AM594" s="5">
        <f t="shared" si="74"/>
        <v>3.55</v>
      </c>
      <c r="AN594" s="4">
        <f t="shared" si="79"/>
        <v>5.3767512305944714E-3</v>
      </c>
      <c r="AO594" s="3"/>
      <c r="AP594">
        <v>0</v>
      </c>
      <c r="AR594" t="s">
        <v>1</v>
      </c>
      <c r="AT594" s="2">
        <v>1.5229999999999999</v>
      </c>
      <c r="AU594" s="1">
        <f t="shared" si="75"/>
        <v>1.2918115996764363</v>
      </c>
      <c r="AV594" s="1">
        <f t="shared" si="76"/>
        <v>1.076344034928725</v>
      </c>
      <c r="AW594" s="1">
        <f t="shared" si="77"/>
        <v>0.86087647018101388</v>
      </c>
    </row>
    <row r="595" spans="1:49" x14ac:dyDescent="0.2">
      <c r="A595">
        <v>593</v>
      </c>
      <c r="B595" t="s">
        <v>5218</v>
      </c>
      <c r="F595" t="s">
        <v>5217</v>
      </c>
      <c r="G595" t="s">
        <v>5</v>
      </c>
      <c r="H595" t="s">
        <v>4</v>
      </c>
      <c r="I595" t="s">
        <v>5216</v>
      </c>
      <c r="J595" t="s">
        <v>5215</v>
      </c>
      <c r="K595" t="s">
        <v>5214</v>
      </c>
      <c r="L595" t="s">
        <v>5213</v>
      </c>
      <c r="M595" t="s">
        <v>5212</v>
      </c>
      <c r="N595">
        <v>3</v>
      </c>
      <c r="O595" t="s">
        <v>5211</v>
      </c>
      <c r="P595" t="s">
        <v>5210</v>
      </c>
      <c r="Q595" t="s">
        <v>5209</v>
      </c>
      <c r="R595" s="7">
        <v>37500</v>
      </c>
      <c r="S595" s="8">
        <f t="shared" si="72"/>
        <v>2002</v>
      </c>
      <c r="T595" s="8">
        <v>2002</v>
      </c>
      <c r="U595" s="8">
        <f t="shared" si="73"/>
        <v>20</v>
      </c>
      <c r="V595" s="7">
        <v>37500</v>
      </c>
      <c r="W595" t="s">
        <v>5208</v>
      </c>
      <c r="X595" s="2" t="s">
        <v>0</v>
      </c>
      <c r="Y595" s="6" t="e">
        <f t="shared" si="78"/>
        <v>#VALUE!</v>
      </c>
      <c r="AA595">
        <v>2506505</v>
      </c>
      <c r="AB595">
        <v>15387</v>
      </c>
      <c r="AD595" t="s">
        <v>2</v>
      </c>
      <c r="AE595">
        <v>23</v>
      </c>
      <c r="AF595">
        <v>2</v>
      </c>
      <c r="AH595" t="s">
        <v>5207</v>
      </c>
      <c r="AI595" t="s">
        <v>5206</v>
      </c>
      <c r="AK595" t="s">
        <v>5205</v>
      </c>
      <c r="AL595">
        <v>4</v>
      </c>
      <c r="AM595" s="5">
        <f t="shared" si="74"/>
        <v>0.2</v>
      </c>
      <c r="AN595" s="4">
        <f t="shared" si="79"/>
        <v>3.0291556228701253E-4</v>
      </c>
      <c r="AO595" s="3"/>
      <c r="AP595">
        <v>0</v>
      </c>
      <c r="AR595" t="s">
        <v>1</v>
      </c>
      <c r="AT595" s="2" t="s">
        <v>0</v>
      </c>
      <c r="AU595" s="1" t="e">
        <f t="shared" si="75"/>
        <v>#VALUE!</v>
      </c>
      <c r="AV595" s="1" t="e">
        <f t="shared" si="76"/>
        <v>#VALUE!</v>
      </c>
      <c r="AW595" s="1" t="e">
        <f t="shared" si="77"/>
        <v>#VALUE!</v>
      </c>
    </row>
    <row r="596" spans="1:49" x14ac:dyDescent="0.2">
      <c r="A596">
        <v>594</v>
      </c>
      <c r="B596" t="s">
        <v>5204</v>
      </c>
      <c r="C596" t="s">
        <v>5203</v>
      </c>
      <c r="D596" t="s">
        <v>5202</v>
      </c>
      <c r="E596">
        <v>12204233</v>
      </c>
      <c r="F596" t="s">
        <v>5201</v>
      </c>
      <c r="G596" t="s">
        <v>5</v>
      </c>
      <c r="H596" t="s">
        <v>4</v>
      </c>
      <c r="I596" t="s">
        <v>5200</v>
      </c>
      <c r="J596" t="s">
        <v>5199</v>
      </c>
      <c r="K596" t="s">
        <v>5198</v>
      </c>
      <c r="L596" t="s">
        <v>5197</v>
      </c>
      <c r="M596" t="s">
        <v>88</v>
      </c>
      <c r="N596">
        <v>5</v>
      </c>
      <c r="O596" t="s">
        <v>5196</v>
      </c>
      <c r="P596" t="s">
        <v>5195</v>
      </c>
      <c r="Q596" t="s">
        <v>5194</v>
      </c>
      <c r="R596" s="7">
        <v>37500</v>
      </c>
      <c r="S596" s="8">
        <f t="shared" si="72"/>
        <v>2002</v>
      </c>
      <c r="T596" s="8">
        <v>2002</v>
      </c>
      <c r="U596" s="8">
        <f t="shared" si="73"/>
        <v>20</v>
      </c>
      <c r="V596" s="7">
        <v>37500</v>
      </c>
      <c r="W596" t="s">
        <v>960</v>
      </c>
      <c r="X596" s="2">
        <v>1.0329999999999999</v>
      </c>
      <c r="Y596" s="6">
        <f t="shared" si="78"/>
        <v>2.7575345025493178E-2</v>
      </c>
      <c r="AA596">
        <v>8956111</v>
      </c>
      <c r="AB596">
        <v>23607</v>
      </c>
      <c r="AD596" t="s">
        <v>2</v>
      </c>
      <c r="AE596">
        <v>26</v>
      </c>
      <c r="AF596">
        <v>5</v>
      </c>
      <c r="AH596" t="s">
        <v>5193</v>
      </c>
      <c r="AI596" t="s">
        <v>5192</v>
      </c>
      <c r="AJ596" t="s">
        <v>5191</v>
      </c>
      <c r="AK596" t="s">
        <v>5190</v>
      </c>
      <c r="AL596">
        <v>30</v>
      </c>
      <c r="AM596" s="5">
        <f t="shared" si="74"/>
        <v>1.5</v>
      </c>
      <c r="AN596" s="4">
        <f t="shared" si="79"/>
        <v>2.2718667171525938E-3</v>
      </c>
      <c r="AO596" s="3"/>
      <c r="AP596">
        <v>0</v>
      </c>
      <c r="AR596" t="s">
        <v>1</v>
      </c>
      <c r="AT596" s="2" t="s">
        <v>0</v>
      </c>
      <c r="AU596" s="1">
        <f t="shared" si="75"/>
        <v>1.9984301532991002</v>
      </c>
      <c r="AV596" s="1">
        <f t="shared" si="76"/>
        <v>1.4923605871322887</v>
      </c>
      <c r="AW596" s="1">
        <f t="shared" si="77"/>
        <v>0.98629102096547683</v>
      </c>
    </row>
    <row r="597" spans="1:49" x14ac:dyDescent="0.2">
      <c r="A597">
        <v>595</v>
      </c>
      <c r="B597" t="s">
        <v>5189</v>
      </c>
      <c r="C597" t="s">
        <v>5188</v>
      </c>
      <c r="F597" t="s">
        <v>5187</v>
      </c>
      <c r="G597" t="s">
        <v>5</v>
      </c>
      <c r="H597" t="s">
        <v>4</v>
      </c>
      <c r="I597" t="s">
        <v>5186</v>
      </c>
      <c r="J597" t="s">
        <v>5185</v>
      </c>
      <c r="K597" t="s">
        <v>5184</v>
      </c>
      <c r="L597" t="s">
        <v>5183</v>
      </c>
      <c r="M597" t="s">
        <v>3</v>
      </c>
      <c r="N597">
        <v>2</v>
      </c>
      <c r="O597" t="s">
        <v>5182</v>
      </c>
      <c r="P597" t="s">
        <v>5181</v>
      </c>
      <c r="Q597" t="s">
        <v>5180</v>
      </c>
      <c r="R597" s="7">
        <v>37500</v>
      </c>
      <c r="S597" s="8">
        <f t="shared" si="72"/>
        <v>2002</v>
      </c>
      <c r="T597" s="8">
        <v>2002</v>
      </c>
      <c r="U597" s="8">
        <f t="shared" si="73"/>
        <v>20</v>
      </c>
      <c r="V597" s="7">
        <v>37500</v>
      </c>
      <c r="W597" t="s">
        <v>5179</v>
      </c>
      <c r="X597" s="2">
        <v>2.61</v>
      </c>
      <c r="Y597" s="6">
        <f t="shared" si="78"/>
        <v>6.9672459357732044E-2</v>
      </c>
      <c r="AA597">
        <v>46256</v>
      </c>
      <c r="AB597">
        <v>26704</v>
      </c>
      <c r="AD597" t="s">
        <v>2</v>
      </c>
      <c r="AE597">
        <v>124</v>
      </c>
      <c r="AF597" t="s">
        <v>5178</v>
      </c>
      <c r="AH597" t="s">
        <v>5177</v>
      </c>
      <c r="AI597" t="s">
        <v>5176</v>
      </c>
      <c r="AJ597" t="s">
        <v>5175</v>
      </c>
      <c r="AK597" t="s">
        <v>5174</v>
      </c>
      <c r="AL597">
        <v>58</v>
      </c>
      <c r="AM597" s="5">
        <f t="shared" si="74"/>
        <v>2.9</v>
      </c>
      <c r="AN597" s="4">
        <f t="shared" si="79"/>
        <v>4.3922756531616812E-3</v>
      </c>
      <c r="AO597" s="3"/>
      <c r="AP597">
        <v>1</v>
      </c>
      <c r="AR597" t="s">
        <v>1</v>
      </c>
      <c r="AT597" s="2">
        <v>6.2629999999999999</v>
      </c>
      <c r="AU597" s="1">
        <f t="shared" si="75"/>
        <v>5.0088404246360936</v>
      </c>
      <c r="AV597" s="1">
        <f t="shared" si="76"/>
        <v>3.7032367505446864</v>
      </c>
      <c r="AW597" s="1">
        <f t="shared" si="77"/>
        <v>2.3976330764532792</v>
      </c>
    </row>
    <row r="598" spans="1:49" x14ac:dyDescent="0.2">
      <c r="A598">
        <v>596</v>
      </c>
      <c r="B598" t="s">
        <v>5173</v>
      </c>
      <c r="C598" t="s">
        <v>5172</v>
      </c>
      <c r="F598" t="s">
        <v>5171</v>
      </c>
      <c r="G598" t="s">
        <v>5</v>
      </c>
      <c r="H598" t="s">
        <v>4</v>
      </c>
      <c r="I598" t="s">
        <v>5170</v>
      </c>
      <c r="J598">
        <v>60033125</v>
      </c>
      <c r="K598" t="s">
        <v>5169</v>
      </c>
      <c r="L598" t="s">
        <v>5168</v>
      </c>
      <c r="M598" t="s">
        <v>41</v>
      </c>
      <c r="N598">
        <v>1</v>
      </c>
      <c r="O598" t="s">
        <v>5167</v>
      </c>
      <c r="P598">
        <v>36079821600</v>
      </c>
      <c r="Q598">
        <v>60033125</v>
      </c>
      <c r="R598" s="7">
        <v>37500</v>
      </c>
      <c r="S598" s="8">
        <f t="shared" si="72"/>
        <v>2002</v>
      </c>
      <c r="T598" s="8">
        <v>2002</v>
      </c>
      <c r="U598" s="8">
        <f t="shared" si="73"/>
        <v>20</v>
      </c>
      <c r="V598" s="7">
        <v>37500</v>
      </c>
      <c r="W598" t="s">
        <v>955</v>
      </c>
      <c r="X598" s="2">
        <v>2.0579999999999998</v>
      </c>
      <c r="Y598" s="6">
        <f t="shared" si="78"/>
        <v>5.4937134620004803E-2</v>
      </c>
      <c r="AA598">
        <v>358711</v>
      </c>
      <c r="AB598">
        <v>28218</v>
      </c>
      <c r="AD598" t="s">
        <v>2</v>
      </c>
      <c r="AE598">
        <v>335</v>
      </c>
      <c r="AF598">
        <v>1</v>
      </c>
      <c r="AI598" t="s">
        <v>5166</v>
      </c>
      <c r="AJ598" t="s">
        <v>5165</v>
      </c>
      <c r="AK598" t="s">
        <v>5164</v>
      </c>
      <c r="AL598">
        <v>94</v>
      </c>
      <c r="AM598" s="5">
        <f t="shared" si="74"/>
        <v>4.7</v>
      </c>
      <c r="AN598" s="4">
        <f t="shared" si="79"/>
        <v>7.1185157137447939E-3</v>
      </c>
      <c r="AO598" s="3"/>
      <c r="AP598">
        <v>1</v>
      </c>
      <c r="AR598" t="s">
        <v>1</v>
      </c>
      <c r="AT598" s="2" t="s">
        <v>0</v>
      </c>
      <c r="AU598" s="1">
        <f t="shared" si="75"/>
        <v>4.0591548948126794</v>
      </c>
      <c r="AV598" s="1">
        <f t="shared" si="76"/>
        <v>3.1027825166874798</v>
      </c>
      <c r="AW598" s="1">
        <f t="shared" si="77"/>
        <v>2.1464101385622798</v>
      </c>
    </row>
    <row r="599" spans="1:49" x14ac:dyDescent="0.2">
      <c r="A599">
        <v>597</v>
      </c>
      <c r="B599" t="s">
        <v>5163</v>
      </c>
      <c r="C599" t="s">
        <v>5162</v>
      </c>
      <c r="E599">
        <v>12355240</v>
      </c>
      <c r="F599" t="s">
        <v>5161</v>
      </c>
      <c r="G599" t="s">
        <v>5</v>
      </c>
      <c r="H599" t="s">
        <v>4</v>
      </c>
      <c r="I599" t="s">
        <v>5160</v>
      </c>
      <c r="J599">
        <v>60069038</v>
      </c>
      <c r="K599" t="s">
        <v>5159</v>
      </c>
      <c r="L599" t="s">
        <v>5158</v>
      </c>
      <c r="M599" t="s">
        <v>5157</v>
      </c>
      <c r="N599">
        <v>2</v>
      </c>
      <c r="O599" t="s">
        <v>5156</v>
      </c>
      <c r="P599" t="s">
        <v>5155</v>
      </c>
      <c r="Q599" t="s">
        <v>5154</v>
      </c>
      <c r="R599" s="7">
        <v>37500</v>
      </c>
      <c r="S599" s="8">
        <f t="shared" si="72"/>
        <v>2002</v>
      </c>
      <c r="T599" s="8">
        <v>2002</v>
      </c>
      <c r="U599" s="8">
        <f t="shared" si="73"/>
        <v>20</v>
      </c>
      <c r="V599" s="7">
        <v>37500</v>
      </c>
      <c r="W599" t="s">
        <v>5153</v>
      </c>
      <c r="X599" s="2">
        <v>0.8</v>
      </c>
      <c r="Y599" s="6">
        <f t="shared" si="78"/>
        <v>2.1355543098155415E-2</v>
      </c>
      <c r="AA599">
        <v>3407594</v>
      </c>
      <c r="AB599">
        <v>23456</v>
      </c>
      <c r="AD599" t="s">
        <v>2</v>
      </c>
      <c r="AE599">
        <v>188</v>
      </c>
      <c r="AF599">
        <v>8</v>
      </c>
      <c r="AH599" t="s">
        <v>5152</v>
      </c>
      <c r="AI599" t="s">
        <v>5151</v>
      </c>
      <c r="AJ599" t="s">
        <v>5150</v>
      </c>
      <c r="AK599" t="s">
        <v>5149</v>
      </c>
      <c r="AL599">
        <v>12</v>
      </c>
      <c r="AM599" s="5">
        <f t="shared" si="74"/>
        <v>0.6</v>
      </c>
      <c r="AN599" s="4">
        <f t="shared" si="79"/>
        <v>9.0874668686103744E-4</v>
      </c>
      <c r="AO599" s="3"/>
      <c r="AP599">
        <v>0</v>
      </c>
      <c r="AQ599" t="s">
        <v>818</v>
      </c>
      <c r="AR599" t="s">
        <v>1</v>
      </c>
      <c r="AS599" t="s">
        <v>863</v>
      </c>
      <c r="AT599" s="2" t="s">
        <v>0</v>
      </c>
      <c r="AU599" s="1">
        <f t="shared" si="75"/>
        <v>1.52215041747671</v>
      </c>
      <c r="AV599" s="1">
        <f t="shared" si="76"/>
        <v>1.1132144892508227</v>
      </c>
      <c r="AW599" s="1">
        <f t="shared" si="77"/>
        <v>0.70427856102493502</v>
      </c>
    </row>
    <row r="600" spans="1:49" x14ac:dyDescent="0.2">
      <c r="A600">
        <v>598</v>
      </c>
      <c r="B600" t="s">
        <v>5148</v>
      </c>
      <c r="C600" t="s">
        <v>5147</v>
      </c>
      <c r="D600" t="s">
        <v>5146</v>
      </c>
      <c r="F600" t="s">
        <v>5145</v>
      </c>
      <c r="G600" t="s">
        <v>5</v>
      </c>
      <c r="H600" t="s">
        <v>4</v>
      </c>
      <c r="I600" t="s">
        <v>5144</v>
      </c>
      <c r="J600">
        <v>60032144</v>
      </c>
      <c r="K600" t="s">
        <v>210</v>
      </c>
      <c r="L600" t="s">
        <v>209</v>
      </c>
      <c r="M600" t="s">
        <v>152</v>
      </c>
      <c r="N600">
        <v>2</v>
      </c>
      <c r="O600" t="s">
        <v>5143</v>
      </c>
      <c r="P600" t="s">
        <v>5142</v>
      </c>
      <c r="Q600" t="s">
        <v>497</v>
      </c>
      <c r="R600" s="7">
        <v>37500</v>
      </c>
      <c r="S600" s="8">
        <f t="shared" si="72"/>
        <v>2002</v>
      </c>
      <c r="T600" s="8">
        <v>2002</v>
      </c>
      <c r="U600" s="8">
        <f t="shared" si="73"/>
        <v>20</v>
      </c>
      <c r="V600" s="7">
        <v>37500</v>
      </c>
      <c r="W600" t="s">
        <v>320</v>
      </c>
      <c r="X600" s="2">
        <v>0.90700000000000003</v>
      </c>
      <c r="Y600" s="6">
        <f t="shared" si="78"/>
        <v>2.4211846987533703E-2</v>
      </c>
      <c r="AA600">
        <v>1651684</v>
      </c>
      <c r="AB600">
        <v>25548</v>
      </c>
      <c r="AD600" t="s">
        <v>2</v>
      </c>
      <c r="AE600">
        <v>82</v>
      </c>
      <c r="AF600">
        <v>9</v>
      </c>
      <c r="AH600" t="s">
        <v>5141</v>
      </c>
      <c r="AI600" t="s">
        <v>5140</v>
      </c>
      <c r="AJ600" t="s">
        <v>5139</v>
      </c>
      <c r="AK600" t="s">
        <v>5138</v>
      </c>
      <c r="AL600">
        <v>0</v>
      </c>
      <c r="AM600" s="5">
        <f t="shared" si="74"/>
        <v>0</v>
      </c>
      <c r="AN600" s="4">
        <f t="shared" si="79"/>
        <v>0</v>
      </c>
      <c r="AO600" s="3"/>
      <c r="AP600">
        <v>0</v>
      </c>
      <c r="AQ600" t="s">
        <v>626</v>
      </c>
      <c r="AR600" t="s">
        <v>1</v>
      </c>
      <c r="AS600" t="s">
        <v>625</v>
      </c>
      <c r="AT600" s="2">
        <v>4.6619999999999999</v>
      </c>
      <c r="AU600" s="1">
        <f t="shared" si="75"/>
        <v>1.6948292891273591</v>
      </c>
      <c r="AV600" s="1">
        <f t="shared" si="76"/>
        <v>1.210592349376685</v>
      </c>
      <c r="AW600" s="1">
        <f t="shared" si="77"/>
        <v>0.72635540962601108</v>
      </c>
    </row>
    <row r="601" spans="1:49" x14ac:dyDescent="0.2">
      <c r="A601">
        <v>599</v>
      </c>
      <c r="B601" t="s">
        <v>5137</v>
      </c>
      <c r="C601" t="s">
        <v>5136</v>
      </c>
      <c r="F601" t="s">
        <v>5135</v>
      </c>
      <c r="G601" t="s">
        <v>5</v>
      </c>
      <c r="H601" t="s">
        <v>4</v>
      </c>
      <c r="I601" t="s">
        <v>5134</v>
      </c>
      <c r="J601" t="s">
        <v>5133</v>
      </c>
      <c r="K601" t="s">
        <v>5132</v>
      </c>
      <c r="L601" t="s">
        <v>5131</v>
      </c>
      <c r="M601" t="s">
        <v>5130</v>
      </c>
      <c r="N601">
        <v>6</v>
      </c>
      <c r="O601" t="s">
        <v>5129</v>
      </c>
      <c r="P601" t="s">
        <v>5128</v>
      </c>
      <c r="Q601" t="s">
        <v>5127</v>
      </c>
      <c r="R601" s="7">
        <v>37500</v>
      </c>
      <c r="S601" s="8">
        <f t="shared" si="72"/>
        <v>2002</v>
      </c>
      <c r="T601" s="8">
        <v>2002</v>
      </c>
      <c r="U601" s="8">
        <f t="shared" si="73"/>
        <v>20</v>
      </c>
      <c r="V601" s="7">
        <v>37500</v>
      </c>
      <c r="W601" t="s">
        <v>401</v>
      </c>
      <c r="X601" s="2">
        <v>1.365</v>
      </c>
      <c r="Y601" s="6">
        <f t="shared" si="78"/>
        <v>3.6437895411227675E-2</v>
      </c>
      <c r="AA601">
        <v>189545</v>
      </c>
      <c r="AB601">
        <v>17393</v>
      </c>
      <c r="AD601" t="s">
        <v>2</v>
      </c>
      <c r="AE601">
        <v>51</v>
      </c>
      <c r="AF601">
        <v>5</v>
      </c>
      <c r="AH601" t="s">
        <v>5126</v>
      </c>
      <c r="AI601" t="s">
        <v>5125</v>
      </c>
      <c r="AJ601" t="s">
        <v>5124</v>
      </c>
      <c r="AK601" t="s">
        <v>5123</v>
      </c>
      <c r="AL601">
        <v>187</v>
      </c>
      <c r="AM601" s="5">
        <f t="shared" si="74"/>
        <v>9.35</v>
      </c>
      <c r="AN601" s="4">
        <f t="shared" si="79"/>
        <v>1.4161302536917834E-2</v>
      </c>
      <c r="AO601" s="3"/>
      <c r="AP601">
        <v>0</v>
      </c>
      <c r="AR601" t="s">
        <v>1</v>
      </c>
      <c r="AS601" t="s">
        <v>1061</v>
      </c>
      <c r="AT601" s="2" t="s">
        <v>0</v>
      </c>
      <c r="AU601" s="1">
        <f t="shared" si="75"/>
        <v>2.9754917548934721</v>
      </c>
      <c r="AV601" s="1">
        <f t="shared" si="76"/>
        <v>2.5299598974072754</v>
      </c>
      <c r="AW601" s="1">
        <f t="shared" si="77"/>
        <v>2.0844280399210784</v>
      </c>
    </row>
    <row r="602" spans="1:49" x14ac:dyDescent="0.2">
      <c r="A602">
        <v>600</v>
      </c>
      <c r="B602" t="s">
        <v>5122</v>
      </c>
      <c r="C602" t="s">
        <v>5121</v>
      </c>
      <c r="F602" t="s">
        <v>5120</v>
      </c>
      <c r="G602" t="s">
        <v>5</v>
      </c>
      <c r="H602" t="s">
        <v>4</v>
      </c>
      <c r="I602" t="s">
        <v>490</v>
      </c>
      <c r="J602" t="s">
        <v>5117</v>
      </c>
      <c r="K602" t="s">
        <v>5119</v>
      </c>
      <c r="L602" t="s">
        <v>5118</v>
      </c>
      <c r="M602" t="s">
        <v>74</v>
      </c>
      <c r="N602">
        <v>3</v>
      </c>
      <c r="O602" t="s">
        <v>489</v>
      </c>
      <c r="P602" t="s">
        <v>488</v>
      </c>
      <c r="Q602" t="s">
        <v>5117</v>
      </c>
      <c r="R602" s="7">
        <v>37500</v>
      </c>
      <c r="S602" s="8">
        <f t="shared" si="72"/>
        <v>2002</v>
      </c>
      <c r="T602" s="8">
        <v>2002</v>
      </c>
      <c r="U602" s="8">
        <f t="shared" si="73"/>
        <v>20</v>
      </c>
      <c r="V602" s="7">
        <v>37500</v>
      </c>
      <c r="W602" t="s">
        <v>401</v>
      </c>
      <c r="X602" s="2">
        <v>1.365</v>
      </c>
      <c r="Y602" s="6">
        <f t="shared" si="78"/>
        <v>3.6437895411227675E-2</v>
      </c>
      <c r="AA602">
        <v>189545</v>
      </c>
      <c r="AB602">
        <v>17393</v>
      </c>
      <c r="AD602" t="s">
        <v>2</v>
      </c>
      <c r="AE602">
        <v>51</v>
      </c>
      <c r="AF602">
        <v>5</v>
      </c>
      <c r="AH602" t="s">
        <v>319</v>
      </c>
      <c r="AI602" t="s">
        <v>5116</v>
      </c>
      <c r="AJ602" t="s">
        <v>5115</v>
      </c>
      <c r="AK602" t="s">
        <v>5114</v>
      </c>
      <c r="AL602">
        <v>15</v>
      </c>
      <c r="AM602" s="5">
        <f t="shared" si="74"/>
        <v>0.75</v>
      </c>
      <c r="AN602" s="4">
        <f t="shared" si="79"/>
        <v>1.1359333585762969E-3</v>
      </c>
      <c r="AO602" s="3"/>
      <c r="AP602">
        <v>0</v>
      </c>
      <c r="AQ602" t="s">
        <v>368</v>
      </c>
      <c r="AR602" t="s">
        <v>1</v>
      </c>
      <c r="AS602" t="s">
        <v>367</v>
      </c>
      <c r="AT602" s="2" t="s">
        <v>0</v>
      </c>
      <c r="AU602" s="1">
        <f t="shared" si="75"/>
        <v>2.5847306795432257</v>
      </c>
      <c r="AV602" s="1">
        <f t="shared" si="76"/>
        <v>1.8786914384901987</v>
      </c>
      <c r="AW602" s="1">
        <f t="shared" si="77"/>
        <v>1.1726521974371711</v>
      </c>
    </row>
    <row r="603" spans="1:49" x14ac:dyDescent="0.2">
      <c r="A603">
        <v>601</v>
      </c>
      <c r="B603" t="s">
        <v>5113</v>
      </c>
      <c r="C603" t="s">
        <v>5112</v>
      </c>
      <c r="F603" t="s">
        <v>5111</v>
      </c>
      <c r="G603" t="s">
        <v>5</v>
      </c>
      <c r="H603" t="s">
        <v>4</v>
      </c>
      <c r="I603" t="s">
        <v>5110</v>
      </c>
      <c r="J603" t="s">
        <v>5109</v>
      </c>
      <c r="K603" t="s">
        <v>5108</v>
      </c>
      <c r="L603" t="s">
        <v>5107</v>
      </c>
      <c r="M603" t="s">
        <v>134</v>
      </c>
      <c r="N603">
        <v>3</v>
      </c>
      <c r="O603" t="s">
        <v>5106</v>
      </c>
      <c r="P603" t="s">
        <v>5105</v>
      </c>
      <c r="Q603" t="s">
        <v>5104</v>
      </c>
      <c r="R603" s="7">
        <v>37500</v>
      </c>
      <c r="S603" s="8">
        <f t="shared" si="72"/>
        <v>2002</v>
      </c>
      <c r="T603" s="8">
        <v>2002</v>
      </c>
      <c r="U603" s="8">
        <f t="shared" si="73"/>
        <v>20</v>
      </c>
      <c r="V603" s="7">
        <v>37500</v>
      </c>
      <c r="W603" t="s">
        <v>401</v>
      </c>
      <c r="X603" s="2">
        <v>1.365</v>
      </c>
      <c r="Y603" s="6">
        <f t="shared" si="78"/>
        <v>3.6437895411227675E-2</v>
      </c>
      <c r="AA603">
        <v>189545</v>
      </c>
      <c r="AB603">
        <v>17393</v>
      </c>
      <c r="AD603" t="s">
        <v>2</v>
      </c>
      <c r="AE603">
        <v>51</v>
      </c>
      <c r="AF603">
        <v>5</v>
      </c>
      <c r="AH603" t="s">
        <v>5103</v>
      </c>
      <c r="AI603" t="s">
        <v>5102</v>
      </c>
      <c r="AJ603" t="s">
        <v>5101</v>
      </c>
      <c r="AK603" t="s">
        <v>5100</v>
      </c>
      <c r="AL603">
        <v>53</v>
      </c>
      <c r="AM603" s="5">
        <f t="shared" si="74"/>
        <v>2.65</v>
      </c>
      <c r="AN603" s="4">
        <f t="shared" si="79"/>
        <v>4.013631200302915E-3</v>
      </c>
      <c r="AO603" s="3"/>
      <c r="AP603">
        <v>0</v>
      </c>
      <c r="AQ603" t="s">
        <v>290</v>
      </c>
      <c r="AR603" t="s">
        <v>5099</v>
      </c>
      <c r="AS603" t="s">
        <v>289</v>
      </c>
      <c r="AT603" s="2" t="s">
        <v>0</v>
      </c>
      <c r="AU603" s="1">
        <f t="shared" si="75"/>
        <v>2.6710616147950246</v>
      </c>
      <c r="AV603" s="1">
        <f t="shared" si="76"/>
        <v>2.0225763305765296</v>
      </c>
      <c r="AW603" s="1">
        <f t="shared" si="77"/>
        <v>1.3740910463580343</v>
      </c>
    </row>
    <row r="604" spans="1:49" x14ac:dyDescent="0.2">
      <c r="A604">
        <v>602</v>
      </c>
      <c r="B604" t="s">
        <v>5098</v>
      </c>
      <c r="C604" t="s">
        <v>5097</v>
      </c>
      <c r="F604" t="s">
        <v>5096</v>
      </c>
      <c r="G604" t="s">
        <v>5</v>
      </c>
      <c r="H604" t="s">
        <v>4</v>
      </c>
      <c r="I604" t="s">
        <v>5095</v>
      </c>
      <c r="J604">
        <v>60105253</v>
      </c>
      <c r="K604" t="s">
        <v>5094</v>
      </c>
      <c r="L604" t="s">
        <v>5093</v>
      </c>
      <c r="M604" t="s">
        <v>26</v>
      </c>
      <c r="N604">
        <v>4</v>
      </c>
      <c r="O604" t="s">
        <v>5092</v>
      </c>
      <c r="P604" t="s">
        <v>5091</v>
      </c>
      <c r="Q604" t="s">
        <v>5090</v>
      </c>
      <c r="R604" s="7">
        <v>37500</v>
      </c>
      <c r="S604" s="8">
        <f t="shared" si="72"/>
        <v>2002</v>
      </c>
      <c r="T604" s="8">
        <v>2002</v>
      </c>
      <c r="U604" s="8">
        <f t="shared" si="73"/>
        <v>20</v>
      </c>
      <c r="V604" s="7">
        <v>37500</v>
      </c>
      <c r="W604" t="s">
        <v>5089</v>
      </c>
      <c r="X604" s="2">
        <v>0.41799999999999998</v>
      </c>
      <c r="Y604" s="6">
        <f t="shared" si="78"/>
        <v>1.1158271268786204E-2</v>
      </c>
      <c r="AA604">
        <v>10637818</v>
      </c>
      <c r="AB604">
        <v>29653</v>
      </c>
      <c r="AD604" t="s">
        <v>2</v>
      </c>
      <c r="AE604">
        <v>32</v>
      </c>
      <c r="AF604">
        <v>9</v>
      </c>
      <c r="AH604" t="s">
        <v>5088</v>
      </c>
      <c r="AI604" t="s">
        <v>5087</v>
      </c>
      <c r="AJ604" t="s">
        <v>5086</v>
      </c>
      <c r="AK604" t="s">
        <v>5085</v>
      </c>
      <c r="AL604">
        <v>5</v>
      </c>
      <c r="AM604" s="5">
        <f t="shared" si="74"/>
        <v>0.25</v>
      </c>
      <c r="AN604" s="4">
        <f t="shared" si="79"/>
        <v>3.786444528587656E-4</v>
      </c>
      <c r="AO604" s="3"/>
      <c r="AP604">
        <v>0</v>
      </c>
      <c r="AR604" t="s">
        <v>1</v>
      </c>
      <c r="AT604" s="2">
        <v>1.022</v>
      </c>
      <c r="AU604" s="1">
        <f t="shared" si="75"/>
        <v>0.79243832240079715</v>
      </c>
      <c r="AV604" s="1">
        <f t="shared" si="76"/>
        <v>0.57684578608224846</v>
      </c>
      <c r="AW604" s="1">
        <f t="shared" si="77"/>
        <v>0.36125324976369971</v>
      </c>
    </row>
    <row r="605" spans="1:49" x14ac:dyDescent="0.2">
      <c r="A605">
        <v>603</v>
      </c>
      <c r="B605" t="s">
        <v>5084</v>
      </c>
      <c r="C605" t="s">
        <v>5083</v>
      </c>
      <c r="F605" t="s">
        <v>5082</v>
      </c>
      <c r="G605" t="s">
        <v>5</v>
      </c>
      <c r="H605" t="s">
        <v>4</v>
      </c>
      <c r="I605" t="s">
        <v>5081</v>
      </c>
      <c r="J605" t="s">
        <v>5080</v>
      </c>
      <c r="K605" t="s">
        <v>5079</v>
      </c>
      <c r="L605" t="s">
        <v>5078</v>
      </c>
      <c r="M605" t="s">
        <v>5077</v>
      </c>
      <c r="N605">
        <v>4</v>
      </c>
      <c r="O605" t="s">
        <v>5076</v>
      </c>
      <c r="P605" t="s">
        <v>5075</v>
      </c>
      <c r="Q605" t="s">
        <v>5074</v>
      </c>
      <c r="R605" s="7">
        <v>37500</v>
      </c>
      <c r="S605" s="8">
        <f t="shared" si="72"/>
        <v>2002</v>
      </c>
      <c r="T605" s="8">
        <v>2002</v>
      </c>
      <c r="U605" s="8">
        <f t="shared" si="73"/>
        <v>20</v>
      </c>
      <c r="V605" s="7">
        <v>37500</v>
      </c>
      <c r="W605" t="s">
        <v>401</v>
      </c>
      <c r="X605" s="2">
        <v>1.365</v>
      </c>
      <c r="Y605" s="6">
        <f t="shared" si="78"/>
        <v>3.6437895411227675E-2</v>
      </c>
      <c r="AA605">
        <v>189545</v>
      </c>
      <c r="AB605">
        <v>17393</v>
      </c>
      <c r="AD605" t="s">
        <v>2</v>
      </c>
      <c r="AE605">
        <v>51</v>
      </c>
      <c r="AF605">
        <v>5</v>
      </c>
      <c r="AH605" t="s">
        <v>5073</v>
      </c>
      <c r="AI605" t="s">
        <v>5072</v>
      </c>
      <c r="AJ605" t="s">
        <v>5071</v>
      </c>
      <c r="AK605" t="s">
        <v>5070</v>
      </c>
      <c r="AL605">
        <v>72</v>
      </c>
      <c r="AM605" s="5">
        <f t="shared" si="74"/>
        <v>3.6</v>
      </c>
      <c r="AN605" s="4">
        <f t="shared" si="79"/>
        <v>5.4524801211662246E-3</v>
      </c>
      <c r="AO605" s="3"/>
      <c r="AP605">
        <v>0</v>
      </c>
      <c r="AQ605" t="s">
        <v>5069</v>
      </c>
      <c r="AR605" t="s">
        <v>1</v>
      </c>
      <c r="AS605" t="s">
        <v>806</v>
      </c>
      <c r="AT605" s="2" t="s">
        <v>0</v>
      </c>
      <c r="AU605" s="1">
        <f t="shared" si="75"/>
        <v>2.714227082420924</v>
      </c>
      <c r="AV605" s="1">
        <f t="shared" si="76"/>
        <v>2.0945187766196951</v>
      </c>
      <c r="AW605" s="1">
        <f t="shared" si="77"/>
        <v>1.4748104708184657</v>
      </c>
    </row>
    <row r="606" spans="1:49" x14ac:dyDescent="0.2">
      <c r="A606">
        <v>604</v>
      </c>
      <c r="B606" t="s">
        <v>5068</v>
      </c>
      <c r="C606" t="s">
        <v>5067</v>
      </c>
      <c r="F606" t="s">
        <v>5066</v>
      </c>
      <c r="G606" t="s">
        <v>5</v>
      </c>
      <c r="H606" t="s">
        <v>4</v>
      </c>
      <c r="I606" t="s">
        <v>5065</v>
      </c>
      <c r="J606">
        <v>60024592</v>
      </c>
      <c r="K606" t="s">
        <v>243</v>
      </c>
      <c r="L606" t="s">
        <v>242</v>
      </c>
      <c r="M606" t="s">
        <v>7</v>
      </c>
      <c r="N606">
        <v>2</v>
      </c>
      <c r="O606" t="s">
        <v>5064</v>
      </c>
      <c r="P606" t="s">
        <v>5063</v>
      </c>
      <c r="Q606" t="s">
        <v>241</v>
      </c>
      <c r="R606" s="7">
        <v>37500</v>
      </c>
      <c r="S606" s="8">
        <f t="shared" si="72"/>
        <v>2002</v>
      </c>
      <c r="T606" s="8">
        <v>2002</v>
      </c>
      <c r="U606" s="8">
        <f t="shared" si="73"/>
        <v>20</v>
      </c>
      <c r="V606" s="7">
        <v>37500</v>
      </c>
      <c r="W606" t="s">
        <v>401</v>
      </c>
      <c r="X606" s="2">
        <v>1.365</v>
      </c>
      <c r="Y606" s="6">
        <f t="shared" si="78"/>
        <v>3.6437895411227675E-2</v>
      </c>
      <c r="AA606">
        <v>189545</v>
      </c>
      <c r="AB606">
        <v>17393</v>
      </c>
      <c r="AD606" t="s">
        <v>2</v>
      </c>
      <c r="AE606">
        <v>51</v>
      </c>
      <c r="AF606">
        <v>5</v>
      </c>
      <c r="AH606" t="s">
        <v>5062</v>
      </c>
      <c r="AI606" t="s">
        <v>5061</v>
      </c>
      <c r="AJ606" t="s">
        <v>5060</v>
      </c>
      <c r="AK606" t="s">
        <v>5059</v>
      </c>
      <c r="AL606">
        <v>3</v>
      </c>
      <c r="AM606" s="5">
        <f t="shared" si="74"/>
        <v>0.15</v>
      </c>
      <c r="AN606" s="4">
        <f t="shared" si="79"/>
        <v>2.2718667171525936E-4</v>
      </c>
      <c r="AO606" s="3"/>
      <c r="AP606">
        <v>0</v>
      </c>
      <c r="AQ606" t="s">
        <v>799</v>
      </c>
      <c r="AR606" t="s">
        <v>5058</v>
      </c>
      <c r="AS606" t="s">
        <v>798</v>
      </c>
      <c r="AT606" s="2" t="s">
        <v>0</v>
      </c>
      <c r="AU606" s="1">
        <f t="shared" si="75"/>
        <v>2.5574682789373946</v>
      </c>
      <c r="AV606" s="1">
        <f t="shared" si="76"/>
        <v>1.8332541041471466</v>
      </c>
      <c r="AW606" s="1">
        <f t="shared" si="77"/>
        <v>1.1090399293568984</v>
      </c>
    </row>
    <row r="607" spans="1:49" x14ac:dyDescent="0.2">
      <c r="A607">
        <v>605</v>
      </c>
      <c r="B607" t="s">
        <v>5057</v>
      </c>
      <c r="C607" t="s">
        <v>5056</v>
      </c>
      <c r="F607" t="s">
        <v>5055</v>
      </c>
      <c r="G607" t="s">
        <v>5</v>
      </c>
      <c r="H607" t="s">
        <v>4</v>
      </c>
      <c r="I607" t="s">
        <v>436</v>
      </c>
      <c r="J607" t="s">
        <v>435</v>
      </c>
      <c r="K607" t="s">
        <v>434</v>
      </c>
      <c r="L607" t="s">
        <v>433</v>
      </c>
      <c r="M607" t="s">
        <v>3</v>
      </c>
      <c r="N607">
        <v>2</v>
      </c>
      <c r="O607" t="s">
        <v>432</v>
      </c>
      <c r="P607" t="s">
        <v>5054</v>
      </c>
      <c r="Q607" t="s">
        <v>431</v>
      </c>
      <c r="R607" s="7">
        <v>37500</v>
      </c>
      <c r="S607" s="8">
        <f t="shared" si="72"/>
        <v>2002</v>
      </c>
      <c r="T607" s="8">
        <v>2002</v>
      </c>
      <c r="U607" s="8">
        <f t="shared" si="73"/>
        <v>20</v>
      </c>
      <c r="V607" s="7">
        <v>37500</v>
      </c>
      <c r="W607" t="s">
        <v>401</v>
      </c>
      <c r="X607" s="2">
        <v>1.365</v>
      </c>
      <c r="Y607" s="6">
        <f t="shared" si="78"/>
        <v>3.6437895411227675E-2</v>
      </c>
      <c r="AA607">
        <v>189545</v>
      </c>
      <c r="AB607">
        <v>17393</v>
      </c>
      <c r="AD607" t="s">
        <v>2</v>
      </c>
      <c r="AE607">
        <v>51</v>
      </c>
      <c r="AF607">
        <v>5</v>
      </c>
      <c r="AH607" t="s">
        <v>5053</v>
      </c>
      <c r="AI607" t="s">
        <v>5052</v>
      </c>
      <c r="AJ607" t="s">
        <v>5051</v>
      </c>
      <c r="AK607" t="s">
        <v>5050</v>
      </c>
      <c r="AL607">
        <v>18</v>
      </c>
      <c r="AM607" s="5">
        <f t="shared" si="74"/>
        <v>0.9</v>
      </c>
      <c r="AN607" s="4">
        <f t="shared" si="79"/>
        <v>1.3631200302915562E-3</v>
      </c>
      <c r="AO607" s="3"/>
      <c r="AP607">
        <v>0</v>
      </c>
      <c r="AR607" t="s">
        <v>1</v>
      </c>
      <c r="AT607" s="2" t="s">
        <v>0</v>
      </c>
      <c r="AU607" s="1">
        <f t="shared" si="75"/>
        <v>2.5915462796946835</v>
      </c>
      <c r="AV607" s="1">
        <f t="shared" si="76"/>
        <v>1.8900507720759616</v>
      </c>
      <c r="AW607" s="1">
        <f t="shared" si="77"/>
        <v>1.188555264457239</v>
      </c>
    </row>
    <row r="608" spans="1:49" x14ac:dyDescent="0.2">
      <c r="A608">
        <v>606</v>
      </c>
      <c r="B608" t="s">
        <v>5049</v>
      </c>
      <c r="F608" t="s">
        <v>5048</v>
      </c>
      <c r="G608" t="s">
        <v>5</v>
      </c>
      <c r="H608" t="s">
        <v>4</v>
      </c>
      <c r="I608" t="s">
        <v>34</v>
      </c>
      <c r="J608">
        <v>60029225</v>
      </c>
      <c r="K608" t="s">
        <v>2971</v>
      </c>
      <c r="L608" t="s">
        <v>27</v>
      </c>
      <c r="M608" t="s">
        <v>26</v>
      </c>
      <c r="N608">
        <v>1</v>
      </c>
      <c r="O608" t="s">
        <v>2970</v>
      </c>
      <c r="P608">
        <v>55943071100</v>
      </c>
      <c r="Q608">
        <v>60029225</v>
      </c>
      <c r="R608" s="7">
        <v>37500</v>
      </c>
      <c r="S608" s="8">
        <f t="shared" si="72"/>
        <v>2002</v>
      </c>
      <c r="T608" s="8">
        <v>2002</v>
      </c>
      <c r="U608" s="8">
        <f t="shared" si="73"/>
        <v>20</v>
      </c>
      <c r="V608" s="7">
        <v>37500</v>
      </c>
      <c r="W608" t="s">
        <v>5047</v>
      </c>
      <c r="X608" s="2">
        <v>0.76500000000000001</v>
      </c>
      <c r="Y608" s="6">
        <f t="shared" si="78"/>
        <v>2.0421238087611118E-2</v>
      </c>
      <c r="AA608">
        <v>10645624</v>
      </c>
      <c r="AB608">
        <v>25924</v>
      </c>
      <c r="AD608" t="s">
        <v>2</v>
      </c>
      <c r="AE608">
        <v>66</v>
      </c>
      <c r="AF608">
        <v>2</v>
      </c>
      <c r="AH608" t="s">
        <v>5046</v>
      </c>
      <c r="AL608">
        <v>2</v>
      </c>
      <c r="AM608" s="5">
        <f t="shared" si="74"/>
        <v>0.1</v>
      </c>
      <c r="AN608" s="4">
        <f t="shared" si="79"/>
        <v>1.5145778114350627E-4</v>
      </c>
      <c r="AO608" s="3"/>
      <c r="AP608">
        <v>0</v>
      </c>
      <c r="AR608" t="s">
        <v>1</v>
      </c>
      <c r="AT608" s="2">
        <v>0.61899999999999999</v>
      </c>
      <c r="AU608" s="1">
        <f t="shared" si="75"/>
        <v>1.4340303995670833</v>
      </c>
      <c r="AV608" s="1">
        <f t="shared" si="76"/>
        <v>1.0286347934377311</v>
      </c>
      <c r="AW608" s="1">
        <f t="shared" si="77"/>
        <v>0.62323918730837891</v>
      </c>
    </row>
    <row r="609" spans="1:49" x14ac:dyDescent="0.2">
      <c r="A609">
        <v>607</v>
      </c>
      <c r="B609" t="s">
        <v>5045</v>
      </c>
      <c r="C609" t="s">
        <v>5044</v>
      </c>
      <c r="F609" t="s">
        <v>5043</v>
      </c>
      <c r="G609" t="s">
        <v>5</v>
      </c>
      <c r="H609" t="s">
        <v>4</v>
      </c>
      <c r="I609" t="s">
        <v>5042</v>
      </c>
      <c r="J609" t="s">
        <v>5041</v>
      </c>
      <c r="K609" t="s">
        <v>5040</v>
      </c>
      <c r="L609" t="s">
        <v>5039</v>
      </c>
      <c r="M609" t="s">
        <v>683</v>
      </c>
      <c r="N609">
        <v>4</v>
      </c>
      <c r="O609" t="s">
        <v>5038</v>
      </c>
      <c r="P609" t="s">
        <v>5037</v>
      </c>
      <c r="Q609" t="s">
        <v>5036</v>
      </c>
      <c r="R609" s="7">
        <v>37500</v>
      </c>
      <c r="S609" s="8">
        <f t="shared" si="72"/>
        <v>2002</v>
      </c>
      <c r="T609" s="8">
        <v>2002</v>
      </c>
      <c r="U609" s="8">
        <f t="shared" si="73"/>
        <v>20</v>
      </c>
      <c r="V609" s="7">
        <v>37500</v>
      </c>
      <c r="W609" t="s">
        <v>643</v>
      </c>
      <c r="X609" s="2">
        <v>2.141</v>
      </c>
      <c r="Y609" s="6">
        <f t="shared" si="78"/>
        <v>5.7152772216438434E-2</v>
      </c>
      <c r="AA609">
        <v>1962892</v>
      </c>
      <c r="AB609">
        <v>17360</v>
      </c>
      <c r="AD609" t="s">
        <v>2</v>
      </c>
      <c r="AE609">
        <v>40</v>
      </c>
      <c r="AF609">
        <v>9</v>
      </c>
      <c r="AH609" t="s">
        <v>5035</v>
      </c>
      <c r="AI609" t="s">
        <v>5034</v>
      </c>
      <c r="AJ609" t="s">
        <v>5033</v>
      </c>
      <c r="AK609" t="s">
        <v>5032</v>
      </c>
      <c r="AL609">
        <v>11</v>
      </c>
      <c r="AM609" s="5">
        <f t="shared" si="74"/>
        <v>0.55000000000000004</v>
      </c>
      <c r="AN609" s="4">
        <f t="shared" si="79"/>
        <v>8.3301779628928443E-4</v>
      </c>
      <c r="AO609" s="3"/>
      <c r="AP609">
        <v>0</v>
      </c>
      <c r="AR609" t="s">
        <v>1</v>
      </c>
      <c r="AS609" t="s">
        <v>5031</v>
      </c>
      <c r="AT609" s="2" t="s">
        <v>0</v>
      </c>
      <c r="AU609" s="1">
        <f t="shared" si="75"/>
        <v>4.0256845890393684</v>
      </c>
      <c r="AV609" s="1">
        <f t="shared" si="76"/>
        <v>2.8992895006363857</v>
      </c>
      <c r="AW609" s="1">
        <f t="shared" si="77"/>
        <v>1.7728944122334029</v>
      </c>
    </row>
    <row r="610" spans="1:49" x14ac:dyDescent="0.2">
      <c r="A610">
        <v>608</v>
      </c>
      <c r="B610" t="s">
        <v>5030</v>
      </c>
      <c r="C610" t="s">
        <v>5029</v>
      </c>
      <c r="F610" t="s">
        <v>5028</v>
      </c>
      <c r="G610" t="s">
        <v>5</v>
      </c>
      <c r="H610" t="s">
        <v>4</v>
      </c>
      <c r="I610" t="s">
        <v>5027</v>
      </c>
      <c r="J610" t="s">
        <v>5026</v>
      </c>
      <c r="K610" t="s">
        <v>5025</v>
      </c>
      <c r="L610" t="s">
        <v>5024</v>
      </c>
      <c r="M610" t="s">
        <v>59</v>
      </c>
      <c r="N610">
        <v>3</v>
      </c>
      <c r="O610" t="s">
        <v>5023</v>
      </c>
      <c r="P610" t="s">
        <v>5022</v>
      </c>
      <c r="Q610" t="s">
        <v>5021</v>
      </c>
      <c r="R610" s="7">
        <v>37500</v>
      </c>
      <c r="S610" s="8">
        <f t="shared" si="72"/>
        <v>2002</v>
      </c>
      <c r="T610" s="8">
        <v>2002</v>
      </c>
      <c r="U610" s="8">
        <f t="shared" si="73"/>
        <v>20</v>
      </c>
      <c r="V610" s="7">
        <v>37500</v>
      </c>
      <c r="W610" t="s">
        <v>418</v>
      </c>
      <c r="X610" s="2">
        <v>1.6519999999999999</v>
      </c>
      <c r="Y610" s="6">
        <f t="shared" si="78"/>
        <v>4.409919649769093E-2</v>
      </c>
      <c r="AA610" t="s">
        <v>417</v>
      </c>
      <c r="AB610">
        <v>17337</v>
      </c>
      <c r="AD610" t="s">
        <v>2</v>
      </c>
      <c r="AE610">
        <v>50</v>
      </c>
      <c r="AF610">
        <v>9</v>
      </c>
      <c r="AH610" t="s">
        <v>5020</v>
      </c>
      <c r="AI610" t="s">
        <v>5019</v>
      </c>
      <c r="AJ610" t="s">
        <v>5018</v>
      </c>
      <c r="AK610" t="s">
        <v>5017</v>
      </c>
      <c r="AL610">
        <v>61</v>
      </c>
      <c r="AM610" s="5">
        <f t="shared" si="74"/>
        <v>3.05</v>
      </c>
      <c r="AN610" s="4">
        <f t="shared" si="79"/>
        <v>4.61946232487694E-3</v>
      </c>
      <c r="AO610" s="3"/>
      <c r="AP610">
        <v>0</v>
      </c>
      <c r="AR610" t="s">
        <v>1</v>
      </c>
      <c r="AT610" s="2" t="s">
        <v>0</v>
      </c>
      <c r="AU610" s="1">
        <f t="shared" si="75"/>
        <v>3.2255276245846733</v>
      </c>
      <c r="AV610" s="1">
        <f t="shared" si="76"/>
        <v>2.4359329411283936</v>
      </c>
      <c r="AW610" s="1">
        <f t="shared" si="77"/>
        <v>1.6463382576721135</v>
      </c>
    </row>
    <row r="611" spans="1:49" x14ac:dyDescent="0.2">
      <c r="A611">
        <v>609</v>
      </c>
      <c r="B611" t="s">
        <v>5016</v>
      </c>
      <c r="C611" t="s">
        <v>5015</v>
      </c>
      <c r="F611" t="s">
        <v>5014</v>
      </c>
      <c r="G611" t="s">
        <v>5</v>
      </c>
      <c r="H611" t="s">
        <v>4</v>
      </c>
      <c r="I611" t="s">
        <v>5013</v>
      </c>
      <c r="J611">
        <v>60027892</v>
      </c>
      <c r="K611" t="s">
        <v>5012</v>
      </c>
      <c r="L611" t="s">
        <v>161</v>
      </c>
      <c r="M611" t="s">
        <v>14</v>
      </c>
      <c r="N611">
        <v>6</v>
      </c>
      <c r="O611" t="s">
        <v>5011</v>
      </c>
      <c r="P611" t="s">
        <v>5010</v>
      </c>
      <c r="Q611" t="s">
        <v>5009</v>
      </c>
      <c r="R611" s="7">
        <v>37500</v>
      </c>
      <c r="S611" s="8">
        <f t="shared" si="72"/>
        <v>2002</v>
      </c>
      <c r="T611" s="8">
        <v>2002</v>
      </c>
      <c r="U611" s="8">
        <f t="shared" si="73"/>
        <v>20</v>
      </c>
      <c r="V611" s="7">
        <v>37500</v>
      </c>
      <c r="W611" t="s">
        <v>418</v>
      </c>
      <c r="X611" s="2">
        <v>1.6519999999999999</v>
      </c>
      <c r="Y611" s="6">
        <f t="shared" si="78"/>
        <v>4.409919649769093E-2</v>
      </c>
      <c r="AA611" t="s">
        <v>417</v>
      </c>
      <c r="AB611">
        <v>17337</v>
      </c>
      <c r="AD611" t="s">
        <v>2</v>
      </c>
      <c r="AE611">
        <v>50</v>
      </c>
      <c r="AF611">
        <v>9</v>
      </c>
      <c r="AH611" t="s">
        <v>5008</v>
      </c>
      <c r="AI611" t="s">
        <v>5007</v>
      </c>
      <c r="AJ611" t="s">
        <v>5006</v>
      </c>
      <c r="AK611" t="s">
        <v>5005</v>
      </c>
      <c r="AL611">
        <v>249</v>
      </c>
      <c r="AM611" s="5">
        <f t="shared" si="74"/>
        <v>12.45</v>
      </c>
      <c r="AN611" s="4">
        <f t="shared" si="79"/>
        <v>1.8856493752366525E-2</v>
      </c>
      <c r="AO611" s="3"/>
      <c r="AP611">
        <v>0</v>
      </c>
      <c r="AR611" t="s">
        <v>1</v>
      </c>
      <c r="AT611" s="2" t="s">
        <v>0</v>
      </c>
      <c r="AU611" s="1">
        <f t="shared" si="75"/>
        <v>3.6526385674093609</v>
      </c>
      <c r="AV611" s="1">
        <f t="shared" si="76"/>
        <v>3.1477845125028727</v>
      </c>
      <c r="AW611" s="1">
        <f t="shared" si="77"/>
        <v>2.6429304575963846</v>
      </c>
    </row>
    <row r="612" spans="1:49" x14ac:dyDescent="0.2">
      <c r="A612">
        <v>610</v>
      </c>
      <c r="B612" t="s">
        <v>5004</v>
      </c>
      <c r="C612" t="s">
        <v>5003</v>
      </c>
      <c r="F612" t="s">
        <v>5002</v>
      </c>
      <c r="G612" t="s">
        <v>5</v>
      </c>
      <c r="H612" t="s">
        <v>4</v>
      </c>
      <c r="I612" t="s">
        <v>5001</v>
      </c>
      <c r="J612" t="s">
        <v>4996</v>
      </c>
      <c r="K612" t="s">
        <v>5000</v>
      </c>
      <c r="L612" t="s">
        <v>4999</v>
      </c>
      <c r="M612" t="s">
        <v>76</v>
      </c>
      <c r="N612">
        <v>2</v>
      </c>
      <c r="O612" t="s">
        <v>4998</v>
      </c>
      <c r="P612" t="s">
        <v>4997</v>
      </c>
      <c r="Q612" t="s">
        <v>4996</v>
      </c>
      <c r="R612" s="7">
        <v>37500</v>
      </c>
      <c r="S612" s="8">
        <f t="shared" si="72"/>
        <v>2002</v>
      </c>
      <c r="T612" s="8">
        <v>2002</v>
      </c>
      <c r="U612" s="8">
        <f t="shared" si="73"/>
        <v>20</v>
      </c>
      <c r="V612" s="7">
        <v>37500</v>
      </c>
      <c r="W612" t="s">
        <v>418</v>
      </c>
      <c r="X612" s="2">
        <v>1.6519999999999999</v>
      </c>
      <c r="Y612" s="6">
        <f t="shared" si="78"/>
        <v>4.409919649769093E-2</v>
      </c>
      <c r="AA612" t="s">
        <v>417</v>
      </c>
      <c r="AB612">
        <v>17337</v>
      </c>
      <c r="AD612" t="s">
        <v>2</v>
      </c>
      <c r="AE612">
        <v>50</v>
      </c>
      <c r="AF612">
        <v>9</v>
      </c>
      <c r="AH612" t="s">
        <v>4995</v>
      </c>
      <c r="AI612" t="s">
        <v>4994</v>
      </c>
      <c r="AJ612" t="s">
        <v>4993</v>
      </c>
      <c r="AK612" t="s">
        <v>4992</v>
      </c>
      <c r="AL612">
        <v>20</v>
      </c>
      <c r="AM612" s="5">
        <f t="shared" si="74"/>
        <v>1</v>
      </c>
      <c r="AN612" s="4">
        <f t="shared" si="79"/>
        <v>1.5145778114350624E-3</v>
      </c>
      <c r="AO612" s="3"/>
      <c r="AP612">
        <v>0</v>
      </c>
      <c r="AR612" t="s">
        <v>1</v>
      </c>
      <c r="AT612" s="2" t="s">
        <v>0</v>
      </c>
      <c r="AU612" s="1">
        <f t="shared" si="75"/>
        <v>3.132381089181417</v>
      </c>
      <c r="AV612" s="1">
        <f t="shared" si="76"/>
        <v>2.2806887154562996</v>
      </c>
      <c r="AW612" s="1">
        <f t="shared" si="77"/>
        <v>1.4289963417311822</v>
      </c>
    </row>
    <row r="613" spans="1:49" x14ac:dyDescent="0.2">
      <c r="A613">
        <v>611</v>
      </c>
      <c r="B613" t="s">
        <v>4991</v>
      </c>
      <c r="C613" t="s">
        <v>4990</v>
      </c>
      <c r="F613" t="s">
        <v>4989</v>
      </c>
      <c r="G613" t="s">
        <v>5</v>
      </c>
      <c r="H613" t="s">
        <v>4</v>
      </c>
      <c r="I613" t="s">
        <v>4988</v>
      </c>
      <c r="J613" t="s">
        <v>4984</v>
      </c>
      <c r="K613" t="s">
        <v>4987</v>
      </c>
      <c r="L613" t="s">
        <v>2539</v>
      </c>
      <c r="M613" t="s">
        <v>88</v>
      </c>
      <c r="N613">
        <v>2</v>
      </c>
      <c r="O613" t="s">
        <v>4986</v>
      </c>
      <c r="P613" t="s">
        <v>4985</v>
      </c>
      <c r="Q613" t="s">
        <v>4984</v>
      </c>
      <c r="R613" s="7">
        <v>37500</v>
      </c>
      <c r="S613" s="8">
        <f t="shared" si="72"/>
        <v>2002</v>
      </c>
      <c r="T613" s="8">
        <v>2002</v>
      </c>
      <c r="U613" s="8">
        <f t="shared" si="73"/>
        <v>20</v>
      </c>
      <c r="V613" s="7">
        <v>37500</v>
      </c>
      <c r="W613" t="s">
        <v>418</v>
      </c>
      <c r="X613" s="2">
        <v>1.6519999999999999</v>
      </c>
      <c r="Y613" s="6">
        <f t="shared" si="78"/>
        <v>4.409919649769093E-2</v>
      </c>
      <c r="AA613" t="s">
        <v>417</v>
      </c>
      <c r="AB613">
        <v>17337</v>
      </c>
      <c r="AD613" t="s">
        <v>2</v>
      </c>
      <c r="AE613">
        <v>50</v>
      </c>
      <c r="AF613">
        <v>9</v>
      </c>
      <c r="AH613" t="s">
        <v>4983</v>
      </c>
      <c r="AI613" t="s">
        <v>4982</v>
      </c>
      <c r="AJ613" t="s">
        <v>4981</v>
      </c>
      <c r="AK613" t="s">
        <v>4980</v>
      </c>
      <c r="AL613">
        <v>11</v>
      </c>
      <c r="AM613" s="5">
        <f t="shared" si="74"/>
        <v>0.55000000000000004</v>
      </c>
      <c r="AN613" s="4">
        <f t="shared" si="79"/>
        <v>8.3301779628928443E-4</v>
      </c>
      <c r="AO613" s="3"/>
      <c r="AP613">
        <v>0</v>
      </c>
      <c r="AR613" t="s">
        <v>1</v>
      </c>
      <c r="AT613" s="2" t="s">
        <v>0</v>
      </c>
      <c r="AU613" s="1">
        <f t="shared" si="75"/>
        <v>3.1119342887270434</v>
      </c>
      <c r="AV613" s="1">
        <f t="shared" si="76"/>
        <v>2.2466107146990106</v>
      </c>
      <c r="AW613" s="1">
        <f t="shared" si="77"/>
        <v>1.3812871406709777</v>
      </c>
    </row>
    <row r="614" spans="1:49" x14ac:dyDescent="0.2">
      <c r="A614">
        <v>612</v>
      </c>
      <c r="B614" t="s">
        <v>4979</v>
      </c>
      <c r="C614" t="s">
        <v>4978</v>
      </c>
      <c r="F614" t="s">
        <v>4977</v>
      </c>
      <c r="G614" t="s">
        <v>5</v>
      </c>
      <c r="H614" t="s">
        <v>4</v>
      </c>
      <c r="I614" t="s">
        <v>4976</v>
      </c>
      <c r="J614">
        <v>60020547</v>
      </c>
      <c r="K614" t="s">
        <v>4975</v>
      </c>
      <c r="L614" t="s">
        <v>4974</v>
      </c>
      <c r="M614" t="s">
        <v>7</v>
      </c>
      <c r="N614">
        <v>2</v>
      </c>
      <c r="O614" t="s">
        <v>4973</v>
      </c>
      <c r="P614" t="s">
        <v>4972</v>
      </c>
      <c r="Q614" t="s">
        <v>4971</v>
      </c>
      <c r="R614" s="7">
        <v>37500</v>
      </c>
      <c r="S614" s="8">
        <f t="shared" si="72"/>
        <v>2002</v>
      </c>
      <c r="T614" s="8">
        <v>2002</v>
      </c>
      <c r="U614" s="8">
        <f t="shared" si="73"/>
        <v>20</v>
      </c>
      <c r="V614" s="7">
        <v>37500</v>
      </c>
      <c r="W614" t="s">
        <v>418</v>
      </c>
      <c r="X614" s="2">
        <v>1.6519999999999999</v>
      </c>
      <c r="Y614" s="6">
        <f t="shared" si="78"/>
        <v>4.409919649769093E-2</v>
      </c>
      <c r="AA614" t="s">
        <v>417</v>
      </c>
      <c r="AB614">
        <v>17337</v>
      </c>
      <c r="AD614" t="s">
        <v>2</v>
      </c>
      <c r="AE614">
        <v>50</v>
      </c>
      <c r="AF614">
        <v>9</v>
      </c>
      <c r="AH614" t="s">
        <v>4970</v>
      </c>
      <c r="AI614" t="s">
        <v>4969</v>
      </c>
      <c r="AJ614" t="s">
        <v>4968</v>
      </c>
      <c r="AK614" t="s">
        <v>4967</v>
      </c>
      <c r="AL614">
        <v>54</v>
      </c>
      <c r="AM614" s="5">
        <f t="shared" si="74"/>
        <v>2.7</v>
      </c>
      <c r="AN614" s="4">
        <f t="shared" si="79"/>
        <v>4.0893600908746691E-3</v>
      </c>
      <c r="AO614" s="3"/>
      <c r="AP614">
        <v>0</v>
      </c>
      <c r="AQ614" t="s">
        <v>290</v>
      </c>
      <c r="AR614" t="s">
        <v>1</v>
      </c>
      <c r="AS614" t="s">
        <v>289</v>
      </c>
      <c r="AT614" s="2" t="s">
        <v>0</v>
      </c>
      <c r="AU614" s="1">
        <f t="shared" si="75"/>
        <v>3.2096245575646054</v>
      </c>
      <c r="AV614" s="1">
        <f t="shared" si="76"/>
        <v>2.4094278294282798</v>
      </c>
      <c r="AW614" s="1">
        <f t="shared" si="77"/>
        <v>1.6092311012919545</v>
      </c>
    </row>
    <row r="615" spans="1:49" x14ac:dyDescent="0.2">
      <c r="A615">
        <v>613</v>
      </c>
      <c r="B615" t="s">
        <v>4966</v>
      </c>
      <c r="C615" t="s">
        <v>4965</v>
      </c>
      <c r="F615" t="s">
        <v>4964</v>
      </c>
      <c r="G615" t="s">
        <v>5</v>
      </c>
      <c r="H615" t="s">
        <v>4</v>
      </c>
      <c r="I615" t="s">
        <v>4963</v>
      </c>
      <c r="J615" t="s">
        <v>4962</v>
      </c>
      <c r="K615" t="s">
        <v>4961</v>
      </c>
      <c r="L615" t="s">
        <v>4960</v>
      </c>
      <c r="M615" t="s">
        <v>993</v>
      </c>
      <c r="N615">
        <v>5</v>
      </c>
      <c r="O615" t="s">
        <v>4959</v>
      </c>
      <c r="P615" t="s">
        <v>4958</v>
      </c>
      <c r="Q615" t="s">
        <v>4957</v>
      </c>
      <c r="R615" s="7">
        <v>37500</v>
      </c>
      <c r="S615" s="8">
        <f t="shared" si="72"/>
        <v>2002</v>
      </c>
      <c r="T615" s="8">
        <v>2002</v>
      </c>
      <c r="U615" s="8">
        <f t="shared" si="73"/>
        <v>20</v>
      </c>
      <c r="V615" s="7">
        <v>37500</v>
      </c>
      <c r="W615" t="s">
        <v>418</v>
      </c>
      <c r="X615" s="2">
        <v>1.6519999999999999</v>
      </c>
      <c r="Y615" s="6">
        <f t="shared" si="78"/>
        <v>4.409919649769093E-2</v>
      </c>
      <c r="AA615" t="s">
        <v>417</v>
      </c>
      <c r="AB615">
        <v>17337</v>
      </c>
      <c r="AD615" t="s">
        <v>2</v>
      </c>
      <c r="AE615">
        <v>50</v>
      </c>
      <c r="AF615">
        <v>9</v>
      </c>
      <c r="AH615" t="s">
        <v>4956</v>
      </c>
      <c r="AI615" t="s">
        <v>4955</v>
      </c>
      <c r="AJ615" t="s">
        <v>4954</v>
      </c>
      <c r="AK615" t="s">
        <v>4953</v>
      </c>
      <c r="AL615">
        <v>16</v>
      </c>
      <c r="AM615" s="5">
        <f t="shared" si="74"/>
        <v>0.8</v>
      </c>
      <c r="AN615" s="4">
        <f t="shared" si="79"/>
        <v>1.2116622491480501E-3</v>
      </c>
      <c r="AO615" s="3"/>
      <c r="AP615">
        <v>0</v>
      </c>
      <c r="AR615" t="s">
        <v>1</v>
      </c>
      <c r="AT615" s="2" t="s">
        <v>0</v>
      </c>
      <c r="AU615" s="1">
        <f t="shared" si="75"/>
        <v>3.1232936223128065</v>
      </c>
      <c r="AV615" s="1">
        <f t="shared" si="76"/>
        <v>2.2655429373419489</v>
      </c>
      <c r="AW615" s="1">
        <f t="shared" si="77"/>
        <v>1.4077922523710913</v>
      </c>
    </row>
    <row r="616" spans="1:49" x14ac:dyDescent="0.2">
      <c r="A616">
        <v>614</v>
      </c>
      <c r="B616" t="s">
        <v>4952</v>
      </c>
      <c r="C616" t="s">
        <v>4951</v>
      </c>
      <c r="F616" t="s">
        <v>4950</v>
      </c>
      <c r="G616" t="s">
        <v>5</v>
      </c>
      <c r="H616" t="s">
        <v>4</v>
      </c>
      <c r="I616" t="s">
        <v>204</v>
      </c>
      <c r="J616" t="s">
        <v>199</v>
      </c>
      <c r="K616" t="s">
        <v>203</v>
      </c>
      <c r="L616" t="s">
        <v>202</v>
      </c>
      <c r="M616" t="s">
        <v>3</v>
      </c>
      <c r="N616">
        <v>2</v>
      </c>
      <c r="O616" t="s">
        <v>201</v>
      </c>
      <c r="P616" t="s">
        <v>200</v>
      </c>
      <c r="Q616" t="s">
        <v>199</v>
      </c>
      <c r="R616" s="7">
        <v>37500</v>
      </c>
      <c r="S616" s="8">
        <f t="shared" si="72"/>
        <v>2002</v>
      </c>
      <c r="T616" s="8">
        <v>2002</v>
      </c>
      <c r="U616" s="8">
        <f t="shared" si="73"/>
        <v>20</v>
      </c>
      <c r="V616" s="7">
        <v>37500</v>
      </c>
      <c r="W616" t="s">
        <v>418</v>
      </c>
      <c r="X616" s="2">
        <v>1.6519999999999999</v>
      </c>
      <c r="Y616" s="6">
        <f t="shared" si="78"/>
        <v>4.409919649769093E-2</v>
      </c>
      <c r="AA616" t="s">
        <v>417</v>
      </c>
      <c r="AB616">
        <v>17337</v>
      </c>
      <c r="AD616" t="s">
        <v>2</v>
      </c>
      <c r="AE616">
        <v>50</v>
      </c>
      <c r="AF616">
        <v>9</v>
      </c>
      <c r="AH616" t="s">
        <v>4949</v>
      </c>
      <c r="AI616" t="s">
        <v>4948</v>
      </c>
      <c r="AJ616" t="s">
        <v>4947</v>
      </c>
      <c r="AK616" t="s">
        <v>4946</v>
      </c>
      <c r="AL616">
        <v>50</v>
      </c>
      <c r="AM616" s="5">
        <f t="shared" si="74"/>
        <v>2.5</v>
      </c>
      <c r="AN616" s="4">
        <f t="shared" si="79"/>
        <v>3.7864445285876562E-3</v>
      </c>
      <c r="AO616" s="3"/>
      <c r="AP616">
        <v>0</v>
      </c>
      <c r="AR616" t="s">
        <v>1</v>
      </c>
      <c r="AT616" s="2" t="s">
        <v>0</v>
      </c>
      <c r="AU616" s="1">
        <f t="shared" si="75"/>
        <v>3.2005370906959949</v>
      </c>
      <c r="AV616" s="1">
        <f t="shared" si="76"/>
        <v>2.3942820513139291</v>
      </c>
      <c r="AW616" s="1">
        <f t="shared" si="77"/>
        <v>1.5880270119318636</v>
      </c>
    </row>
    <row r="617" spans="1:49" x14ac:dyDescent="0.2">
      <c r="A617">
        <v>615</v>
      </c>
      <c r="B617" t="s">
        <v>4945</v>
      </c>
      <c r="C617" t="s">
        <v>4944</v>
      </c>
      <c r="F617" t="s">
        <v>4943</v>
      </c>
      <c r="G617" t="s">
        <v>5</v>
      </c>
      <c r="H617" t="s">
        <v>4</v>
      </c>
      <c r="I617" t="s">
        <v>4942</v>
      </c>
      <c r="J617" t="s">
        <v>4937</v>
      </c>
      <c r="K617" t="s">
        <v>4941</v>
      </c>
      <c r="L617" t="s">
        <v>4940</v>
      </c>
      <c r="M617" t="s">
        <v>3</v>
      </c>
      <c r="N617">
        <v>2</v>
      </c>
      <c r="O617" t="s">
        <v>4939</v>
      </c>
      <c r="P617" t="s">
        <v>4938</v>
      </c>
      <c r="Q617" t="s">
        <v>4937</v>
      </c>
      <c r="R617" s="7">
        <v>37500</v>
      </c>
      <c r="S617" s="8">
        <f t="shared" si="72"/>
        <v>2002</v>
      </c>
      <c r="T617" s="8">
        <v>2002</v>
      </c>
      <c r="U617" s="8">
        <f t="shared" si="73"/>
        <v>20</v>
      </c>
      <c r="V617" s="7">
        <v>37500</v>
      </c>
      <c r="W617" t="s">
        <v>418</v>
      </c>
      <c r="X617" s="2">
        <v>1.6519999999999999</v>
      </c>
      <c r="Y617" s="6">
        <f t="shared" si="78"/>
        <v>4.409919649769093E-2</v>
      </c>
      <c r="AA617" t="s">
        <v>417</v>
      </c>
      <c r="AB617">
        <v>17337</v>
      </c>
      <c r="AD617" t="s">
        <v>2</v>
      </c>
      <c r="AE617">
        <v>50</v>
      </c>
      <c r="AF617">
        <v>9</v>
      </c>
      <c r="AH617" t="s">
        <v>4936</v>
      </c>
      <c r="AI617" t="s">
        <v>4935</v>
      </c>
      <c r="AJ617" t="s">
        <v>4934</v>
      </c>
      <c r="AK617" t="s">
        <v>4933</v>
      </c>
      <c r="AL617">
        <v>6</v>
      </c>
      <c r="AM617" s="5">
        <f t="shared" si="74"/>
        <v>0.3</v>
      </c>
      <c r="AN617" s="4">
        <f t="shared" si="79"/>
        <v>4.5437334343051872E-4</v>
      </c>
      <c r="AO617" s="3"/>
      <c r="AP617">
        <v>0</v>
      </c>
      <c r="AR617" t="s">
        <v>4932</v>
      </c>
      <c r="AT617" s="2" t="s">
        <v>0</v>
      </c>
      <c r="AU617" s="1">
        <f t="shared" si="75"/>
        <v>3.1005749551412807</v>
      </c>
      <c r="AV617" s="1">
        <f t="shared" si="76"/>
        <v>2.2276784920560724</v>
      </c>
      <c r="AW617" s="1">
        <f t="shared" si="77"/>
        <v>1.3547820289708641</v>
      </c>
    </row>
    <row r="618" spans="1:49" x14ac:dyDescent="0.2">
      <c r="A618">
        <v>616</v>
      </c>
      <c r="B618" t="s">
        <v>4931</v>
      </c>
      <c r="F618" t="s">
        <v>4930</v>
      </c>
      <c r="G618" t="s">
        <v>5</v>
      </c>
      <c r="H618" t="s">
        <v>4</v>
      </c>
      <c r="R618" s="7">
        <v>37500</v>
      </c>
      <c r="S618" s="8">
        <f t="shared" si="72"/>
        <v>2002</v>
      </c>
      <c r="T618" s="8">
        <v>2002</v>
      </c>
      <c r="U618" s="8">
        <f t="shared" si="73"/>
        <v>20</v>
      </c>
      <c r="V618" s="7">
        <v>37500</v>
      </c>
      <c r="W618" t="s">
        <v>4929</v>
      </c>
      <c r="X618" s="2" t="s">
        <v>0</v>
      </c>
      <c r="Y618" s="6" t="e">
        <f t="shared" si="78"/>
        <v>#VALUE!</v>
      </c>
      <c r="AA618">
        <v>137782</v>
      </c>
      <c r="AB618">
        <v>29049</v>
      </c>
      <c r="AD618" t="s">
        <v>2</v>
      </c>
      <c r="AE618">
        <v>243</v>
      </c>
      <c r="AF618">
        <v>9</v>
      </c>
      <c r="AH618" t="s">
        <v>4928</v>
      </c>
      <c r="AI618" t="s">
        <v>4927</v>
      </c>
      <c r="AK618" t="s">
        <v>4926</v>
      </c>
      <c r="AL618">
        <v>0</v>
      </c>
      <c r="AM618" s="5">
        <f t="shared" si="74"/>
        <v>0</v>
      </c>
      <c r="AN618" s="4">
        <f t="shared" si="79"/>
        <v>0</v>
      </c>
      <c r="AO618" s="3"/>
      <c r="AP618">
        <v>0</v>
      </c>
      <c r="AR618" t="s">
        <v>1</v>
      </c>
      <c r="AT618" s="2" t="s">
        <v>0</v>
      </c>
      <c r="AU618" s="1" t="e">
        <f t="shared" si="75"/>
        <v>#VALUE!</v>
      </c>
      <c r="AV618" s="1" t="e">
        <f t="shared" si="76"/>
        <v>#VALUE!</v>
      </c>
      <c r="AW618" s="1" t="e">
        <f t="shared" si="77"/>
        <v>#VALUE!</v>
      </c>
    </row>
    <row r="619" spans="1:49" x14ac:dyDescent="0.2">
      <c r="A619">
        <v>617</v>
      </c>
      <c r="B619" t="s">
        <v>4925</v>
      </c>
      <c r="C619" t="s">
        <v>4924</v>
      </c>
      <c r="F619" t="s">
        <v>4923</v>
      </c>
      <c r="G619" t="s">
        <v>5</v>
      </c>
      <c r="H619" t="s">
        <v>4</v>
      </c>
      <c r="I619" t="s">
        <v>4922</v>
      </c>
      <c r="J619">
        <v>60008221</v>
      </c>
      <c r="K619" t="s">
        <v>4914</v>
      </c>
      <c r="L619" t="s">
        <v>4921</v>
      </c>
      <c r="M619" t="s">
        <v>4920</v>
      </c>
      <c r="N619">
        <v>1</v>
      </c>
      <c r="O619" t="s">
        <v>4919</v>
      </c>
      <c r="P619">
        <v>55698267100</v>
      </c>
      <c r="Q619">
        <v>60008221</v>
      </c>
      <c r="R619" s="7">
        <v>37500</v>
      </c>
      <c r="S619" s="8">
        <f t="shared" si="72"/>
        <v>2002</v>
      </c>
      <c r="T619" s="8">
        <v>2002</v>
      </c>
      <c r="U619" s="8">
        <f t="shared" si="73"/>
        <v>20</v>
      </c>
      <c r="V619" s="7">
        <v>37500</v>
      </c>
      <c r="W619" t="s">
        <v>618</v>
      </c>
      <c r="X619" s="2">
        <v>0.53400000000000003</v>
      </c>
      <c r="Y619" s="6">
        <f t="shared" si="78"/>
        <v>1.4254825018018741E-2</v>
      </c>
      <c r="AA619">
        <v>8927553</v>
      </c>
      <c r="AB619">
        <v>20484</v>
      </c>
      <c r="AD619" t="s">
        <v>2</v>
      </c>
      <c r="AE619">
        <v>15</v>
      </c>
      <c r="AF619">
        <v>5</v>
      </c>
      <c r="AH619" t="s">
        <v>4918</v>
      </c>
      <c r="AI619" t="s">
        <v>4917</v>
      </c>
      <c r="AJ619" t="s">
        <v>4916</v>
      </c>
      <c r="AK619" t="s">
        <v>4915</v>
      </c>
      <c r="AL619">
        <v>24</v>
      </c>
      <c r="AM619" s="5">
        <f t="shared" si="74"/>
        <v>1.2</v>
      </c>
      <c r="AN619" s="4">
        <f t="shared" si="79"/>
        <v>1.8174933737220749E-3</v>
      </c>
      <c r="AO619" s="3"/>
      <c r="AP619">
        <v>0</v>
      </c>
      <c r="AR619" t="s">
        <v>1</v>
      </c>
      <c r="AS619" t="s">
        <v>4914</v>
      </c>
      <c r="AT619" s="2">
        <v>1.3089999999999999</v>
      </c>
      <c r="AU619" s="1">
        <f t="shared" si="75"/>
        <v>1.0523625524729741</v>
      </c>
      <c r="AV619" s="1">
        <f t="shared" si="76"/>
        <v>0.80361591958704082</v>
      </c>
      <c r="AW619" s="1">
        <f t="shared" si="77"/>
        <v>0.55486928670110736</v>
      </c>
    </row>
    <row r="620" spans="1:49" x14ac:dyDescent="0.2">
      <c r="A620">
        <v>618</v>
      </c>
      <c r="B620" t="s">
        <v>4913</v>
      </c>
      <c r="C620" t="s">
        <v>4912</v>
      </c>
      <c r="E620">
        <v>12449514</v>
      </c>
      <c r="F620" t="s">
        <v>4911</v>
      </c>
      <c r="G620" t="s">
        <v>5</v>
      </c>
      <c r="H620" t="s">
        <v>4</v>
      </c>
      <c r="I620" t="s">
        <v>586</v>
      </c>
      <c r="J620" t="s">
        <v>4910</v>
      </c>
      <c r="K620" t="s">
        <v>4909</v>
      </c>
      <c r="L620" t="s">
        <v>4908</v>
      </c>
      <c r="M620" t="s">
        <v>3</v>
      </c>
      <c r="N620">
        <v>4</v>
      </c>
      <c r="O620" t="s">
        <v>4907</v>
      </c>
      <c r="P620" t="s">
        <v>4906</v>
      </c>
      <c r="Q620" t="s">
        <v>4905</v>
      </c>
      <c r="R620" s="7">
        <v>37500</v>
      </c>
      <c r="S620" s="8">
        <f t="shared" si="72"/>
        <v>2002</v>
      </c>
      <c r="T620" s="8">
        <v>2002</v>
      </c>
      <c r="U620" s="8">
        <f t="shared" si="73"/>
        <v>20</v>
      </c>
      <c r="V620" s="7">
        <v>37500</v>
      </c>
      <c r="W620" t="s">
        <v>627</v>
      </c>
      <c r="X620" s="2">
        <v>0.85499999999999998</v>
      </c>
      <c r="Y620" s="6">
        <f t="shared" si="78"/>
        <v>2.28237366861536E-2</v>
      </c>
      <c r="AA620">
        <v>980331</v>
      </c>
      <c r="AB620">
        <v>23342</v>
      </c>
      <c r="AD620" t="s">
        <v>2</v>
      </c>
      <c r="AE620">
        <v>28</v>
      </c>
      <c r="AF620">
        <v>9</v>
      </c>
      <c r="AH620" t="s">
        <v>4904</v>
      </c>
      <c r="AI620" t="s">
        <v>4903</v>
      </c>
      <c r="AJ620" t="s">
        <v>4902</v>
      </c>
      <c r="AK620" t="s">
        <v>4901</v>
      </c>
      <c r="AL620">
        <v>21</v>
      </c>
      <c r="AM620" s="5">
        <f t="shared" si="74"/>
        <v>1.05</v>
      </c>
      <c r="AN620" s="4">
        <f t="shared" si="79"/>
        <v>1.5903067020068156E-3</v>
      </c>
      <c r="AO620" s="3"/>
      <c r="AP620">
        <v>0</v>
      </c>
      <c r="AR620" t="s">
        <v>1</v>
      </c>
      <c r="AT620" s="2">
        <v>2.6259999999999999</v>
      </c>
      <c r="AU620" s="1">
        <f t="shared" si="75"/>
        <v>1.6453707690909565</v>
      </c>
      <c r="AV620" s="1">
        <f t="shared" si="76"/>
        <v>1.2207021694080209</v>
      </c>
      <c r="AW620" s="1">
        <f t="shared" si="77"/>
        <v>0.7960335697250851</v>
      </c>
    </row>
    <row r="621" spans="1:49" x14ac:dyDescent="0.2">
      <c r="A621">
        <v>619</v>
      </c>
      <c r="B621" t="s">
        <v>4900</v>
      </c>
      <c r="C621" t="s">
        <v>4899</v>
      </c>
      <c r="E621">
        <v>12449510</v>
      </c>
      <c r="F621" t="s">
        <v>4898</v>
      </c>
      <c r="G621" t="s">
        <v>5</v>
      </c>
      <c r="H621" t="s">
        <v>4</v>
      </c>
      <c r="I621" t="s">
        <v>661</v>
      </c>
      <c r="J621" t="s">
        <v>4897</v>
      </c>
      <c r="K621" t="s">
        <v>4896</v>
      </c>
      <c r="L621" t="s">
        <v>4895</v>
      </c>
      <c r="M621" t="s">
        <v>4894</v>
      </c>
      <c r="N621">
        <v>4</v>
      </c>
      <c r="O621" t="s">
        <v>4893</v>
      </c>
      <c r="P621" t="s">
        <v>4892</v>
      </c>
      <c r="Q621" t="s">
        <v>4891</v>
      </c>
      <c r="R621" s="7">
        <v>37500</v>
      </c>
      <c r="S621" s="8">
        <f t="shared" si="72"/>
        <v>2002</v>
      </c>
      <c r="T621" s="8">
        <v>2002</v>
      </c>
      <c r="U621" s="8">
        <f t="shared" si="73"/>
        <v>20</v>
      </c>
      <c r="V621" s="7">
        <v>37500</v>
      </c>
      <c r="W621" t="s">
        <v>627</v>
      </c>
      <c r="X621" s="2">
        <v>0.85499999999999998</v>
      </c>
      <c r="Y621" s="6">
        <f t="shared" si="78"/>
        <v>2.28237366861536E-2</v>
      </c>
      <c r="AA621">
        <v>980331</v>
      </c>
      <c r="AB621">
        <v>23342</v>
      </c>
      <c r="AD621" t="s">
        <v>2</v>
      </c>
      <c r="AE621">
        <v>28</v>
      </c>
      <c r="AF621">
        <v>9</v>
      </c>
      <c r="AH621" t="s">
        <v>4890</v>
      </c>
      <c r="AI621" t="s">
        <v>4889</v>
      </c>
      <c r="AJ621" t="s">
        <v>4888</v>
      </c>
      <c r="AK621" t="s">
        <v>4887</v>
      </c>
      <c r="AL621">
        <v>37</v>
      </c>
      <c r="AM621" s="5">
        <f t="shared" si="74"/>
        <v>1.85</v>
      </c>
      <c r="AN621" s="4">
        <f t="shared" si="79"/>
        <v>2.8019689511548655E-3</v>
      </c>
      <c r="AO621" s="3"/>
      <c r="AP621">
        <v>0</v>
      </c>
      <c r="AQ621" t="s">
        <v>4886</v>
      </c>
      <c r="AR621" t="s">
        <v>4885</v>
      </c>
      <c r="AS621" t="s">
        <v>4884</v>
      </c>
      <c r="AT621" s="2">
        <v>2.6259999999999999</v>
      </c>
      <c r="AU621" s="1">
        <f t="shared" si="75"/>
        <v>1.6817206365653976</v>
      </c>
      <c r="AV621" s="1">
        <f t="shared" si="76"/>
        <v>1.2812852818654232</v>
      </c>
      <c r="AW621" s="1">
        <f t="shared" si="77"/>
        <v>0.88084992716544863</v>
      </c>
    </row>
    <row r="622" spans="1:49" x14ac:dyDescent="0.2">
      <c r="A622">
        <v>620</v>
      </c>
      <c r="B622" t="s">
        <v>4883</v>
      </c>
      <c r="C622" t="s">
        <v>4882</v>
      </c>
      <c r="F622" t="s">
        <v>4881</v>
      </c>
      <c r="G622" t="s">
        <v>5</v>
      </c>
      <c r="H622" t="s">
        <v>4</v>
      </c>
      <c r="I622" t="s">
        <v>4880</v>
      </c>
      <c r="J622" t="s">
        <v>4879</v>
      </c>
      <c r="K622" t="s">
        <v>4878</v>
      </c>
      <c r="L622" t="s">
        <v>4877</v>
      </c>
      <c r="M622" t="s">
        <v>74</v>
      </c>
      <c r="N622">
        <v>2</v>
      </c>
      <c r="O622" t="s">
        <v>4876</v>
      </c>
      <c r="P622" t="s">
        <v>4875</v>
      </c>
      <c r="Q622" t="s">
        <v>4874</v>
      </c>
      <c r="R622" s="7">
        <v>37500</v>
      </c>
      <c r="S622" s="8">
        <f t="shared" si="72"/>
        <v>2002</v>
      </c>
      <c r="T622" s="8">
        <v>2002</v>
      </c>
      <c r="U622" s="8">
        <f t="shared" si="73"/>
        <v>20</v>
      </c>
      <c r="V622" s="7">
        <v>37500</v>
      </c>
      <c r="W622" t="s">
        <v>4873</v>
      </c>
      <c r="X622" s="2">
        <v>1.218</v>
      </c>
      <c r="Y622" s="6">
        <f t="shared" si="78"/>
        <v>3.2513814366941618E-2</v>
      </c>
      <c r="AA622">
        <v>15209210</v>
      </c>
      <c r="AB622">
        <v>16211</v>
      </c>
      <c r="AD622" t="s">
        <v>2</v>
      </c>
      <c r="AE622">
        <v>4</v>
      </c>
      <c r="AF622">
        <v>3</v>
      </c>
      <c r="AH622" t="s">
        <v>4872</v>
      </c>
      <c r="AI622" t="s">
        <v>4871</v>
      </c>
      <c r="AJ622" t="s">
        <v>4870</v>
      </c>
      <c r="AK622" t="s">
        <v>4869</v>
      </c>
      <c r="AL622">
        <v>45</v>
      </c>
      <c r="AM622" s="5">
        <f t="shared" si="74"/>
        <v>2.25</v>
      </c>
      <c r="AN622" s="4">
        <f t="shared" si="79"/>
        <v>3.4078000757288905E-3</v>
      </c>
      <c r="AO622" s="3"/>
      <c r="AP622">
        <v>0</v>
      </c>
      <c r="AR622" t="s">
        <v>1</v>
      </c>
      <c r="AT622" s="2">
        <v>6.5129999999999999</v>
      </c>
      <c r="AU622" s="1">
        <f t="shared" si="75"/>
        <v>2.37820100795778</v>
      </c>
      <c r="AV622" s="1">
        <f t="shared" si="76"/>
        <v>1.7960807221335255</v>
      </c>
      <c r="AW622" s="1">
        <f t="shared" si="77"/>
        <v>1.2139604363092709</v>
      </c>
    </row>
    <row r="623" spans="1:49" x14ac:dyDescent="0.2">
      <c r="A623">
        <v>621</v>
      </c>
      <c r="B623" t="s">
        <v>4868</v>
      </c>
      <c r="C623" t="s">
        <v>4867</v>
      </c>
      <c r="F623" t="s">
        <v>4866</v>
      </c>
      <c r="G623" t="s">
        <v>5</v>
      </c>
      <c r="H623" t="s">
        <v>4</v>
      </c>
      <c r="I623" t="s">
        <v>4865</v>
      </c>
      <c r="J623">
        <v>60011774</v>
      </c>
      <c r="K623" t="s">
        <v>913</v>
      </c>
      <c r="L623" t="s">
        <v>871</v>
      </c>
      <c r="M623" t="s">
        <v>26</v>
      </c>
      <c r="N623">
        <v>2</v>
      </c>
      <c r="O623" t="s">
        <v>4864</v>
      </c>
      <c r="P623" t="s">
        <v>4863</v>
      </c>
      <c r="Q623" t="s">
        <v>4862</v>
      </c>
      <c r="R623" s="7">
        <v>37500</v>
      </c>
      <c r="S623" s="8">
        <f t="shared" si="72"/>
        <v>2002</v>
      </c>
      <c r="T623" s="8">
        <v>2002</v>
      </c>
      <c r="U623" s="8">
        <f t="shared" si="73"/>
        <v>20</v>
      </c>
      <c r="V623" s="7">
        <v>37500</v>
      </c>
      <c r="W623" t="s">
        <v>912</v>
      </c>
      <c r="X623" s="2">
        <v>0.32500000000000001</v>
      </c>
      <c r="Y623" s="6">
        <f t="shared" si="78"/>
        <v>8.6756893836256385E-3</v>
      </c>
      <c r="AA623">
        <v>10637710</v>
      </c>
      <c r="AB623">
        <v>12922</v>
      </c>
      <c r="AD623" t="s">
        <v>2</v>
      </c>
      <c r="AE623">
        <v>48</v>
      </c>
      <c r="AF623">
        <v>5</v>
      </c>
      <c r="AH623" t="s">
        <v>4861</v>
      </c>
      <c r="AI623" t="s">
        <v>4860</v>
      </c>
      <c r="AK623" t="s">
        <v>4859</v>
      </c>
      <c r="AL623">
        <v>3</v>
      </c>
      <c r="AM623" s="5">
        <f t="shared" si="74"/>
        <v>0.15</v>
      </c>
      <c r="AN623" s="4">
        <f t="shared" si="79"/>
        <v>2.2718667171525936E-4</v>
      </c>
      <c r="AO623" s="3"/>
      <c r="AP623">
        <v>0</v>
      </c>
      <c r="AQ623" t="s">
        <v>527</v>
      </c>
      <c r="AR623" t="s">
        <v>4858</v>
      </c>
      <c r="AS623" t="s">
        <v>526</v>
      </c>
      <c r="AT623" s="2">
        <v>0.85599999999999998</v>
      </c>
      <c r="AU623" s="1">
        <f t="shared" si="75"/>
        <v>0.61411385700525256</v>
      </c>
      <c r="AV623" s="1">
        <f t="shared" si="76"/>
        <v>0.44514380276704485</v>
      </c>
      <c r="AW623" s="1">
        <f t="shared" si="77"/>
        <v>0.2761737485288373</v>
      </c>
    </row>
    <row r="624" spans="1:49" x14ac:dyDescent="0.2">
      <c r="A624">
        <v>622</v>
      </c>
      <c r="B624" t="s">
        <v>4857</v>
      </c>
      <c r="C624" t="s">
        <v>4856</v>
      </c>
      <c r="F624" t="s">
        <v>4855</v>
      </c>
      <c r="G624" t="s">
        <v>5</v>
      </c>
      <c r="H624" t="s">
        <v>4</v>
      </c>
      <c r="I624" t="s">
        <v>4854</v>
      </c>
      <c r="J624" t="s">
        <v>4853</v>
      </c>
      <c r="K624" t="s">
        <v>4852</v>
      </c>
      <c r="L624" t="s">
        <v>4851</v>
      </c>
      <c r="M624" t="s">
        <v>3</v>
      </c>
      <c r="N624">
        <v>2</v>
      </c>
      <c r="O624" t="s">
        <v>4850</v>
      </c>
      <c r="P624" t="s">
        <v>4849</v>
      </c>
      <c r="Q624" t="s">
        <v>4848</v>
      </c>
      <c r="R624" s="7">
        <v>37500</v>
      </c>
      <c r="S624" s="8">
        <f t="shared" si="72"/>
        <v>2002</v>
      </c>
      <c r="T624" s="8">
        <v>2002</v>
      </c>
      <c r="U624" s="8">
        <f t="shared" si="73"/>
        <v>20</v>
      </c>
      <c r="V624" s="7">
        <v>37500</v>
      </c>
      <c r="W624" t="s">
        <v>4847</v>
      </c>
      <c r="X624" s="2">
        <v>0.91600000000000004</v>
      </c>
      <c r="Y624" s="6">
        <f t="shared" si="78"/>
        <v>2.4452096847387951E-2</v>
      </c>
      <c r="AA624">
        <v>10636676</v>
      </c>
      <c r="AB624">
        <v>18211</v>
      </c>
      <c r="AD624" t="s">
        <v>2</v>
      </c>
      <c r="AE624">
        <v>10</v>
      </c>
      <c r="AF624">
        <v>6</v>
      </c>
      <c r="AH624" t="s">
        <v>4846</v>
      </c>
      <c r="AI624" t="s">
        <v>4845</v>
      </c>
      <c r="AJ624" t="s">
        <v>4844</v>
      </c>
      <c r="AK624" t="s">
        <v>4843</v>
      </c>
      <c r="AL624">
        <v>212</v>
      </c>
      <c r="AM624" s="5">
        <f t="shared" si="74"/>
        <v>10.6</v>
      </c>
      <c r="AN624" s="4">
        <f t="shared" si="79"/>
        <v>1.605452480121166E-2</v>
      </c>
      <c r="AO624" s="3"/>
      <c r="AP624">
        <v>0</v>
      </c>
      <c r="AR624" t="s">
        <v>1</v>
      </c>
      <c r="AT624" s="2" t="s">
        <v>0</v>
      </c>
      <c r="AU624" s="1">
        <f t="shared" si="75"/>
        <v>2.1932825233535063</v>
      </c>
      <c r="AV624" s="1">
        <f t="shared" si="76"/>
        <v>2.0253310824299806</v>
      </c>
      <c r="AW624" s="1">
        <f t="shared" si="77"/>
        <v>1.8573796415064545</v>
      </c>
    </row>
    <row r="625" spans="1:49" x14ac:dyDescent="0.2">
      <c r="A625">
        <v>623</v>
      </c>
      <c r="B625" t="s">
        <v>4842</v>
      </c>
      <c r="C625" t="s">
        <v>4841</v>
      </c>
      <c r="F625" t="s">
        <v>4840</v>
      </c>
      <c r="G625" t="s">
        <v>5</v>
      </c>
      <c r="H625" t="s">
        <v>4</v>
      </c>
      <c r="I625" t="s">
        <v>4839</v>
      </c>
      <c r="J625" t="s">
        <v>4838</v>
      </c>
      <c r="K625" t="s">
        <v>4837</v>
      </c>
      <c r="L625" t="s">
        <v>2539</v>
      </c>
      <c r="M625" t="s">
        <v>88</v>
      </c>
      <c r="N625">
        <v>6</v>
      </c>
      <c r="O625" t="s">
        <v>4836</v>
      </c>
      <c r="P625" t="s">
        <v>4835</v>
      </c>
      <c r="Q625" t="s">
        <v>4834</v>
      </c>
      <c r="R625" s="7">
        <v>37500</v>
      </c>
      <c r="S625" s="8">
        <f t="shared" si="72"/>
        <v>2002</v>
      </c>
      <c r="T625" s="8">
        <v>2002</v>
      </c>
      <c r="U625" s="8">
        <f t="shared" si="73"/>
        <v>20</v>
      </c>
      <c r="V625" s="7">
        <v>37500</v>
      </c>
      <c r="W625" t="s">
        <v>1431</v>
      </c>
      <c r="X625" s="2">
        <v>0.249</v>
      </c>
      <c r="Y625" s="6">
        <f t="shared" si="78"/>
        <v>6.6469127893008734E-3</v>
      </c>
      <c r="AA625">
        <v>8943370</v>
      </c>
      <c r="AB625">
        <v>18200</v>
      </c>
      <c r="AD625" t="s">
        <v>2</v>
      </c>
      <c r="AE625">
        <v>15</v>
      </c>
      <c r="AF625" t="s">
        <v>4810</v>
      </c>
      <c r="AH625" t="s">
        <v>4833</v>
      </c>
      <c r="AI625" t="s">
        <v>4832</v>
      </c>
      <c r="AJ625" t="s">
        <v>4831</v>
      </c>
      <c r="AK625" t="s">
        <v>4830</v>
      </c>
      <c r="AL625">
        <v>13</v>
      </c>
      <c r="AM625" s="5">
        <f t="shared" si="74"/>
        <v>0.65</v>
      </c>
      <c r="AN625" s="4">
        <f t="shared" si="79"/>
        <v>9.8447557743279067E-4</v>
      </c>
      <c r="AO625" s="3"/>
      <c r="AP625">
        <v>0</v>
      </c>
      <c r="AR625" t="s">
        <v>1</v>
      </c>
      <c r="AT625" s="2" t="s">
        <v>0</v>
      </c>
      <c r="AU625" s="1">
        <f t="shared" si="75"/>
        <v>0.49481816257404487</v>
      </c>
      <c r="AV625" s="1">
        <f t="shared" si="76"/>
        <v>0.38156941833668317</v>
      </c>
      <c r="AW625" s="1">
        <f t="shared" si="77"/>
        <v>0.26832067409932153</v>
      </c>
    </row>
    <row r="626" spans="1:49" x14ac:dyDescent="0.2">
      <c r="A626">
        <v>624</v>
      </c>
      <c r="B626" t="s">
        <v>4829</v>
      </c>
      <c r="C626" t="s">
        <v>4828</v>
      </c>
      <c r="D626">
        <v>1011092002802040</v>
      </c>
      <c r="F626" t="s">
        <v>4827</v>
      </c>
      <c r="G626" t="s">
        <v>5</v>
      </c>
      <c r="H626" t="s">
        <v>4</v>
      </c>
      <c r="I626" t="s">
        <v>4826</v>
      </c>
      <c r="J626" t="s">
        <v>4825</v>
      </c>
      <c r="K626" t="s">
        <v>4824</v>
      </c>
      <c r="L626" t="s">
        <v>4823</v>
      </c>
      <c r="M626" t="s">
        <v>3</v>
      </c>
      <c r="N626">
        <v>3</v>
      </c>
      <c r="O626" t="s">
        <v>4822</v>
      </c>
      <c r="P626" t="s">
        <v>4821</v>
      </c>
      <c r="Q626" t="s">
        <v>4820</v>
      </c>
      <c r="R626" s="7">
        <v>37500</v>
      </c>
      <c r="S626" s="8">
        <f t="shared" si="72"/>
        <v>2002</v>
      </c>
      <c r="T626" s="8">
        <v>2002</v>
      </c>
      <c r="U626" s="8">
        <f t="shared" si="73"/>
        <v>20</v>
      </c>
      <c r="V626" s="7">
        <v>37500</v>
      </c>
      <c r="W626" t="s">
        <v>549</v>
      </c>
      <c r="X626" s="2">
        <v>0.92900000000000005</v>
      </c>
      <c r="Y626" s="6">
        <f t="shared" si="78"/>
        <v>2.4799124422732979E-2</v>
      </c>
      <c r="AA626">
        <v>10897798</v>
      </c>
      <c r="AB626">
        <v>18896</v>
      </c>
      <c r="AD626" t="s">
        <v>2</v>
      </c>
      <c r="AE626">
        <v>6</v>
      </c>
      <c r="AF626">
        <v>9</v>
      </c>
      <c r="AH626" t="s">
        <v>1171</v>
      </c>
      <c r="AI626" t="s">
        <v>4819</v>
      </c>
      <c r="AJ626" t="s">
        <v>4818</v>
      </c>
      <c r="AK626" t="s">
        <v>4817</v>
      </c>
      <c r="AL626">
        <v>116</v>
      </c>
      <c r="AM626" s="5">
        <f t="shared" si="74"/>
        <v>5.8</v>
      </c>
      <c r="AN626" s="4">
        <f t="shared" si="79"/>
        <v>8.7845513063233623E-3</v>
      </c>
      <c r="AO626" s="3"/>
      <c r="AP626">
        <v>0</v>
      </c>
      <c r="AR626" t="s">
        <v>1</v>
      </c>
      <c r="AT626" s="2">
        <v>3.4359999999999999</v>
      </c>
      <c r="AU626" s="1">
        <f t="shared" si="75"/>
        <v>1.9994752487810092</v>
      </c>
      <c r="AV626" s="1">
        <f t="shared" si="76"/>
        <v>1.6791837864528172</v>
      </c>
      <c r="AW626" s="1">
        <f t="shared" si="77"/>
        <v>1.3588923241246247</v>
      </c>
    </row>
    <row r="627" spans="1:49" x14ac:dyDescent="0.2">
      <c r="A627">
        <v>625</v>
      </c>
      <c r="B627" t="s">
        <v>4816</v>
      </c>
      <c r="C627" t="s">
        <v>4815</v>
      </c>
      <c r="F627" t="s">
        <v>4814</v>
      </c>
      <c r="G627" t="s">
        <v>5</v>
      </c>
      <c r="H627" t="s">
        <v>4</v>
      </c>
      <c r="I627" t="s">
        <v>4813</v>
      </c>
      <c r="J627">
        <v>60002014</v>
      </c>
      <c r="K627" t="s">
        <v>4812</v>
      </c>
      <c r="L627" t="s">
        <v>515</v>
      </c>
      <c r="M627" t="s">
        <v>172</v>
      </c>
      <c r="N627">
        <v>1</v>
      </c>
      <c r="O627" t="s">
        <v>4811</v>
      </c>
      <c r="P627">
        <v>56405557600</v>
      </c>
      <c r="Q627">
        <v>60002014</v>
      </c>
      <c r="R627" s="7">
        <v>37500</v>
      </c>
      <c r="S627" s="8">
        <f t="shared" si="72"/>
        <v>2002</v>
      </c>
      <c r="T627" s="8">
        <v>2002</v>
      </c>
      <c r="U627" s="8">
        <f t="shared" si="73"/>
        <v>20</v>
      </c>
      <c r="V627" s="7">
        <v>37500</v>
      </c>
      <c r="W627" t="s">
        <v>1431</v>
      </c>
      <c r="X627" s="2">
        <v>0.249</v>
      </c>
      <c r="Y627" s="6">
        <f t="shared" si="78"/>
        <v>6.6469127893008734E-3</v>
      </c>
      <c r="AA627">
        <v>8943370</v>
      </c>
      <c r="AB627">
        <v>18200</v>
      </c>
      <c r="AD627" t="s">
        <v>2</v>
      </c>
      <c r="AE627">
        <v>15</v>
      </c>
      <c r="AF627" t="s">
        <v>4810</v>
      </c>
      <c r="AH627" t="s">
        <v>4809</v>
      </c>
      <c r="AI627" t="s">
        <v>4808</v>
      </c>
      <c r="AJ627" t="s">
        <v>4807</v>
      </c>
      <c r="AK627" t="s">
        <v>4806</v>
      </c>
      <c r="AL627">
        <v>26</v>
      </c>
      <c r="AM627" s="5">
        <f t="shared" si="74"/>
        <v>1.3</v>
      </c>
      <c r="AN627" s="4">
        <f t="shared" si="79"/>
        <v>1.9689511548655813E-3</v>
      </c>
      <c r="AO627" s="3"/>
      <c r="AP627">
        <v>0</v>
      </c>
      <c r="AR627" t="s">
        <v>1</v>
      </c>
      <c r="AT627" s="2" t="s">
        <v>0</v>
      </c>
      <c r="AU627" s="1">
        <f t="shared" si="75"/>
        <v>0.52435242989702857</v>
      </c>
      <c r="AV627" s="1">
        <f t="shared" si="76"/>
        <v>0.43079319720832276</v>
      </c>
      <c r="AW627" s="1">
        <f t="shared" si="77"/>
        <v>0.3372339645196169</v>
      </c>
    </row>
    <row r="628" spans="1:49" x14ac:dyDescent="0.2">
      <c r="A628">
        <v>626</v>
      </c>
      <c r="B628" t="s">
        <v>4805</v>
      </c>
      <c r="C628" t="s">
        <v>4804</v>
      </c>
      <c r="D628">
        <v>1011092002802560</v>
      </c>
      <c r="F628" t="s">
        <v>4803</v>
      </c>
      <c r="G628" t="s">
        <v>5</v>
      </c>
      <c r="H628" t="s">
        <v>4</v>
      </c>
      <c r="I628" t="s">
        <v>312</v>
      </c>
      <c r="J628" t="s">
        <v>4802</v>
      </c>
      <c r="K628" t="s">
        <v>4801</v>
      </c>
      <c r="L628" t="s">
        <v>4800</v>
      </c>
      <c r="M628" t="s">
        <v>11</v>
      </c>
      <c r="N628">
        <v>3</v>
      </c>
      <c r="O628" t="s">
        <v>4799</v>
      </c>
      <c r="P628" t="s">
        <v>4798</v>
      </c>
      <c r="Q628" t="s">
        <v>4797</v>
      </c>
      <c r="R628" s="7">
        <v>37500</v>
      </c>
      <c r="S628" s="8">
        <f t="shared" si="72"/>
        <v>2002</v>
      </c>
      <c r="T628" s="8">
        <v>2002</v>
      </c>
      <c r="U628" s="8">
        <f t="shared" si="73"/>
        <v>20</v>
      </c>
      <c r="V628" s="7">
        <v>37500</v>
      </c>
      <c r="W628" t="s">
        <v>347</v>
      </c>
      <c r="X628" s="2">
        <v>1.468</v>
      </c>
      <c r="Y628" s="6">
        <f t="shared" si="78"/>
        <v>3.9187421585115186E-2</v>
      </c>
      <c r="AA628">
        <v>906778</v>
      </c>
      <c r="AB628">
        <v>18931</v>
      </c>
      <c r="AD628" t="s">
        <v>2</v>
      </c>
      <c r="AE628">
        <v>50</v>
      </c>
      <c r="AF628">
        <v>9</v>
      </c>
      <c r="AH628" t="s">
        <v>4796</v>
      </c>
      <c r="AI628" t="s">
        <v>4795</v>
      </c>
      <c r="AJ628" t="s">
        <v>4794</v>
      </c>
      <c r="AK628" t="s">
        <v>4793</v>
      </c>
      <c r="AL628">
        <v>342</v>
      </c>
      <c r="AM628" s="5">
        <f t="shared" si="74"/>
        <v>17.100000000000001</v>
      </c>
      <c r="AN628" s="4">
        <f t="shared" si="79"/>
        <v>2.5899280575539571E-2</v>
      </c>
      <c r="AO628" s="3"/>
      <c r="AP628">
        <v>0</v>
      </c>
      <c r="AR628" t="s">
        <v>1</v>
      </c>
      <c r="AT628" s="2">
        <v>5.0830000000000002</v>
      </c>
      <c r="AU628" s="1">
        <f t="shared" si="75"/>
        <v>3.5200979282242502</v>
      </c>
      <c r="AV628" s="1">
        <f t="shared" si="76"/>
        <v>3.2543351080327381</v>
      </c>
      <c r="AW628" s="1">
        <f t="shared" si="77"/>
        <v>2.9885722878412255</v>
      </c>
    </row>
    <row r="629" spans="1:49" x14ac:dyDescent="0.2">
      <c r="A629">
        <v>627</v>
      </c>
      <c r="B629" t="s">
        <v>4792</v>
      </c>
      <c r="C629" t="s">
        <v>4791</v>
      </c>
      <c r="D629">
        <v>1011092002802560</v>
      </c>
      <c r="F629" t="s">
        <v>4790</v>
      </c>
      <c r="G629" t="s">
        <v>5</v>
      </c>
      <c r="H629" t="s">
        <v>4</v>
      </c>
      <c r="I629" t="s">
        <v>500</v>
      </c>
      <c r="J629" t="s">
        <v>827</v>
      </c>
      <c r="K629" t="s">
        <v>826</v>
      </c>
      <c r="L629" t="s">
        <v>825</v>
      </c>
      <c r="M629" t="s">
        <v>3</v>
      </c>
      <c r="N629">
        <v>1</v>
      </c>
      <c r="O629" t="s">
        <v>4789</v>
      </c>
      <c r="P629">
        <v>7005365875</v>
      </c>
      <c r="Q629" t="s">
        <v>4788</v>
      </c>
      <c r="R629" s="7">
        <v>37500</v>
      </c>
      <c r="S629" s="8">
        <f t="shared" si="72"/>
        <v>2002</v>
      </c>
      <c r="T629" s="8">
        <v>2002</v>
      </c>
      <c r="U629" s="8">
        <f t="shared" si="73"/>
        <v>20</v>
      </c>
      <c r="V629" s="7">
        <v>37500</v>
      </c>
      <c r="W629" t="s">
        <v>347</v>
      </c>
      <c r="X629" s="2">
        <v>1.468</v>
      </c>
      <c r="Y629" s="6">
        <f t="shared" si="78"/>
        <v>3.9187421585115186E-2</v>
      </c>
      <c r="AA629">
        <v>906778</v>
      </c>
      <c r="AB629">
        <v>18931</v>
      </c>
      <c r="AD629" t="s">
        <v>2</v>
      </c>
      <c r="AE629">
        <v>50</v>
      </c>
      <c r="AF629">
        <v>9</v>
      </c>
      <c r="AH629" t="s">
        <v>4787</v>
      </c>
      <c r="AI629" t="s">
        <v>4786</v>
      </c>
      <c r="AJ629" t="s">
        <v>4785</v>
      </c>
      <c r="AK629" t="s">
        <v>4784</v>
      </c>
      <c r="AL629">
        <v>12</v>
      </c>
      <c r="AM629" s="5">
        <f t="shared" si="74"/>
        <v>0.6</v>
      </c>
      <c r="AN629" s="4">
        <f t="shared" si="79"/>
        <v>9.0874668686103744E-4</v>
      </c>
      <c r="AO629" s="3"/>
      <c r="AP629">
        <v>0</v>
      </c>
      <c r="AQ629" t="s">
        <v>290</v>
      </c>
      <c r="AR629">
        <v>118859</v>
      </c>
      <c r="AS629" t="s">
        <v>289</v>
      </c>
      <c r="AT629" s="2">
        <v>5.0830000000000002</v>
      </c>
      <c r="AU629" s="1">
        <f t="shared" si="75"/>
        <v>2.7703819115638941</v>
      </c>
      <c r="AV629" s="1">
        <f t="shared" si="76"/>
        <v>2.0048084135988109</v>
      </c>
      <c r="AW629" s="1">
        <f t="shared" si="77"/>
        <v>1.2392349156337281</v>
      </c>
    </row>
    <row r="630" spans="1:49" x14ac:dyDescent="0.2">
      <c r="A630">
        <v>628</v>
      </c>
      <c r="B630" t="s">
        <v>4783</v>
      </c>
      <c r="C630" t="s">
        <v>4782</v>
      </c>
      <c r="D630">
        <v>1011092002802550</v>
      </c>
      <c r="F630" t="s">
        <v>4781</v>
      </c>
      <c r="G630" t="s">
        <v>5</v>
      </c>
      <c r="H630" t="s">
        <v>4</v>
      </c>
      <c r="I630" t="s">
        <v>1086</v>
      </c>
      <c r="J630" t="s">
        <v>1085</v>
      </c>
      <c r="K630" t="s">
        <v>1084</v>
      </c>
      <c r="L630" t="s">
        <v>1083</v>
      </c>
      <c r="M630" t="s">
        <v>3</v>
      </c>
      <c r="N630">
        <v>2</v>
      </c>
      <c r="O630" t="s">
        <v>1082</v>
      </c>
      <c r="P630" t="s">
        <v>1081</v>
      </c>
      <c r="Q630" t="s">
        <v>1080</v>
      </c>
      <c r="R630" s="7">
        <v>37500</v>
      </c>
      <c r="S630" s="8">
        <f t="shared" si="72"/>
        <v>2002</v>
      </c>
      <c r="T630" s="8">
        <v>2002</v>
      </c>
      <c r="U630" s="8">
        <f t="shared" si="73"/>
        <v>20</v>
      </c>
      <c r="V630" s="7">
        <v>37500</v>
      </c>
      <c r="W630" t="s">
        <v>347</v>
      </c>
      <c r="X630" s="2">
        <v>1.468</v>
      </c>
      <c r="Y630" s="6">
        <f t="shared" si="78"/>
        <v>3.9187421585115186E-2</v>
      </c>
      <c r="AA630">
        <v>906778</v>
      </c>
      <c r="AB630">
        <v>18931</v>
      </c>
      <c r="AD630" t="s">
        <v>2</v>
      </c>
      <c r="AE630">
        <v>50</v>
      </c>
      <c r="AF630">
        <v>9</v>
      </c>
      <c r="AH630" t="s">
        <v>4780</v>
      </c>
      <c r="AI630" t="s">
        <v>4779</v>
      </c>
      <c r="AJ630" t="s">
        <v>4778</v>
      </c>
      <c r="AK630" t="s">
        <v>4777</v>
      </c>
      <c r="AL630">
        <v>28</v>
      </c>
      <c r="AM630" s="5">
        <f t="shared" si="74"/>
        <v>1.4</v>
      </c>
      <c r="AN630" s="4">
        <f t="shared" si="79"/>
        <v>2.1204089360090874E-3</v>
      </c>
      <c r="AO630" s="3"/>
      <c r="AP630">
        <v>0</v>
      </c>
      <c r="AR630" t="s">
        <v>1</v>
      </c>
      <c r="AT630" s="2">
        <v>5.0830000000000002</v>
      </c>
      <c r="AU630" s="1">
        <f t="shared" si="75"/>
        <v>2.8067317790383353</v>
      </c>
      <c r="AV630" s="1">
        <f t="shared" si="76"/>
        <v>2.0653915260562137</v>
      </c>
      <c r="AW630" s="1">
        <f t="shared" si="77"/>
        <v>1.3240512730740917</v>
      </c>
    </row>
    <row r="631" spans="1:49" x14ac:dyDescent="0.2">
      <c r="A631">
        <v>629</v>
      </c>
      <c r="B631" t="s">
        <v>4776</v>
      </c>
      <c r="C631" t="s">
        <v>4775</v>
      </c>
      <c r="D631">
        <v>1011092002803470</v>
      </c>
      <c r="F631" t="s">
        <v>4774</v>
      </c>
      <c r="G631" t="s">
        <v>5</v>
      </c>
      <c r="H631" t="s">
        <v>4</v>
      </c>
      <c r="I631" t="s">
        <v>451</v>
      </c>
      <c r="J631" t="s">
        <v>4773</v>
      </c>
      <c r="K631" t="s">
        <v>4772</v>
      </c>
      <c r="L631" t="s">
        <v>4771</v>
      </c>
      <c r="M631" t="s">
        <v>272</v>
      </c>
      <c r="N631">
        <v>3</v>
      </c>
      <c r="O631" t="s">
        <v>4770</v>
      </c>
      <c r="P631" t="s">
        <v>4769</v>
      </c>
      <c r="Q631" t="s">
        <v>4768</v>
      </c>
      <c r="R631" s="7">
        <v>37500</v>
      </c>
      <c r="S631" s="8">
        <f t="shared" si="72"/>
        <v>2002</v>
      </c>
      <c r="T631" s="8">
        <v>2002</v>
      </c>
      <c r="U631" s="8">
        <f t="shared" si="73"/>
        <v>20</v>
      </c>
      <c r="V631" s="7">
        <v>37500</v>
      </c>
      <c r="W631" t="s">
        <v>549</v>
      </c>
      <c r="X631" s="2">
        <v>0.92900000000000005</v>
      </c>
      <c r="Y631" s="6">
        <f t="shared" si="78"/>
        <v>2.4799124422732979E-2</v>
      </c>
      <c r="AA631">
        <v>10897798</v>
      </c>
      <c r="AB631">
        <v>18896</v>
      </c>
      <c r="AD631" t="s">
        <v>2</v>
      </c>
      <c r="AE631">
        <v>6</v>
      </c>
      <c r="AF631">
        <v>9</v>
      </c>
      <c r="AH631" t="s">
        <v>4767</v>
      </c>
      <c r="AI631" t="s">
        <v>4766</v>
      </c>
      <c r="AJ631" t="s">
        <v>4765</v>
      </c>
      <c r="AK631" t="s">
        <v>4764</v>
      </c>
      <c r="AL631">
        <v>11</v>
      </c>
      <c r="AM631" s="5">
        <f t="shared" si="74"/>
        <v>0.55000000000000004</v>
      </c>
      <c r="AN631" s="4">
        <f t="shared" si="79"/>
        <v>8.3301779628928443E-4</v>
      </c>
      <c r="AO631" s="3"/>
      <c r="AP631">
        <v>0</v>
      </c>
      <c r="AR631" t="s">
        <v>1</v>
      </c>
      <c r="AT631" s="2">
        <v>3.4359999999999999</v>
      </c>
      <c r="AU631" s="1">
        <f t="shared" si="75"/>
        <v>1.7609292434799868</v>
      </c>
      <c r="AV631" s="1">
        <f t="shared" si="76"/>
        <v>1.2816071109511131</v>
      </c>
      <c r="AW631" s="1">
        <f t="shared" si="77"/>
        <v>0.80228497842223923</v>
      </c>
    </row>
    <row r="632" spans="1:49" x14ac:dyDescent="0.2">
      <c r="A632">
        <v>630</v>
      </c>
      <c r="B632" t="s">
        <v>4763</v>
      </c>
      <c r="C632" t="s">
        <v>4762</v>
      </c>
      <c r="F632" t="s">
        <v>4761</v>
      </c>
      <c r="G632" t="s">
        <v>5</v>
      </c>
      <c r="H632" t="s">
        <v>4</v>
      </c>
      <c r="I632" t="s">
        <v>4760</v>
      </c>
      <c r="J632">
        <v>60033191</v>
      </c>
      <c r="K632" t="s">
        <v>523</v>
      </c>
      <c r="L632" t="s">
        <v>298</v>
      </c>
      <c r="M632" t="s">
        <v>297</v>
      </c>
      <c r="N632">
        <v>2</v>
      </c>
      <c r="O632" t="s">
        <v>4759</v>
      </c>
      <c r="P632" t="s">
        <v>4758</v>
      </c>
      <c r="Q632" t="s">
        <v>4757</v>
      </c>
      <c r="R632" s="7">
        <v>37500</v>
      </c>
      <c r="S632" s="8">
        <f t="shared" si="72"/>
        <v>2002</v>
      </c>
      <c r="T632" s="8">
        <v>2002</v>
      </c>
      <c r="U632" s="8">
        <f t="shared" si="73"/>
        <v>20</v>
      </c>
      <c r="V632" s="7">
        <v>37500</v>
      </c>
      <c r="W632" t="s">
        <v>4756</v>
      </c>
      <c r="X632" s="2">
        <v>0.35</v>
      </c>
      <c r="Y632" s="6">
        <f t="shared" si="78"/>
        <v>9.3430501054429932E-3</v>
      </c>
      <c r="AA632">
        <v>9487921</v>
      </c>
      <c r="AB632">
        <v>16065</v>
      </c>
      <c r="AD632" t="s">
        <v>2</v>
      </c>
      <c r="AE632">
        <v>84</v>
      </c>
      <c r="AF632">
        <v>4</v>
      </c>
      <c r="AH632" t="s">
        <v>4755</v>
      </c>
      <c r="AI632" t="s">
        <v>4754</v>
      </c>
      <c r="AJ632" t="s">
        <v>4753</v>
      </c>
      <c r="AK632" t="s">
        <v>4752</v>
      </c>
      <c r="AL632">
        <v>8</v>
      </c>
      <c r="AM632" s="5">
        <f t="shared" si="74"/>
        <v>0.4</v>
      </c>
      <c r="AN632" s="4">
        <f t="shared" si="79"/>
        <v>6.0583112457402507E-4</v>
      </c>
      <c r="AO632" s="3"/>
      <c r="AP632">
        <v>0</v>
      </c>
      <c r="AR632" t="s">
        <v>1</v>
      </c>
      <c r="AT632" s="2">
        <v>1.8360000000000001</v>
      </c>
      <c r="AU632" s="1">
        <f t="shared" si="75"/>
        <v>0.67218844111823028</v>
      </c>
      <c r="AV632" s="1">
        <f t="shared" si="76"/>
        <v>0.49744406150085096</v>
      </c>
      <c r="AW632" s="1">
        <f t="shared" si="77"/>
        <v>0.32269968188347153</v>
      </c>
    </row>
    <row r="633" spans="1:49" x14ac:dyDescent="0.2">
      <c r="A633">
        <v>631</v>
      </c>
      <c r="B633" t="s">
        <v>4751</v>
      </c>
      <c r="F633" t="s">
        <v>4750</v>
      </c>
      <c r="G633" t="s">
        <v>5</v>
      </c>
      <c r="H633" t="s">
        <v>4</v>
      </c>
      <c r="I633" t="s">
        <v>1111</v>
      </c>
      <c r="J633">
        <v>60001558</v>
      </c>
      <c r="K633" t="s">
        <v>672</v>
      </c>
      <c r="L633" t="s">
        <v>209</v>
      </c>
      <c r="M633" t="s">
        <v>152</v>
      </c>
      <c r="N633">
        <v>3</v>
      </c>
      <c r="O633" t="s">
        <v>4749</v>
      </c>
      <c r="P633" t="s">
        <v>4748</v>
      </c>
      <c r="Q633" t="s">
        <v>4747</v>
      </c>
      <c r="R633" s="7">
        <v>37500</v>
      </c>
      <c r="S633" s="8">
        <f t="shared" si="72"/>
        <v>2002</v>
      </c>
      <c r="T633" s="8">
        <v>2002</v>
      </c>
      <c r="U633" s="8">
        <f t="shared" si="73"/>
        <v>20</v>
      </c>
      <c r="V633" s="7">
        <v>37500</v>
      </c>
      <c r="W633" t="s">
        <v>315</v>
      </c>
      <c r="X633" s="2">
        <v>0.128</v>
      </c>
      <c r="Y633" s="6">
        <f t="shared" si="78"/>
        <v>3.4168868957048667E-3</v>
      </c>
      <c r="AA633">
        <v>10750207</v>
      </c>
      <c r="AB633">
        <v>18722</v>
      </c>
      <c r="AD633" t="s">
        <v>2</v>
      </c>
      <c r="AE633">
        <v>14</v>
      </c>
      <c r="AF633">
        <v>9</v>
      </c>
      <c r="AH633" t="s">
        <v>4746</v>
      </c>
      <c r="AI633" t="s">
        <v>4745</v>
      </c>
      <c r="AK633" t="s">
        <v>4744</v>
      </c>
      <c r="AL633">
        <v>5</v>
      </c>
      <c r="AM633" s="5">
        <f t="shared" si="74"/>
        <v>0.25</v>
      </c>
      <c r="AN633" s="4">
        <f t="shared" si="79"/>
        <v>3.786444528587656E-4</v>
      </c>
      <c r="AO633" s="3"/>
      <c r="AP633">
        <v>0</v>
      </c>
      <c r="AR633" t="s">
        <v>1</v>
      </c>
      <c r="AT633" s="2" t="s">
        <v>0</v>
      </c>
      <c r="AU633" s="1">
        <f t="shared" si="75"/>
        <v>0.25054141628510368</v>
      </c>
      <c r="AV633" s="1">
        <f t="shared" si="76"/>
        <v>0.18977656742818161</v>
      </c>
      <c r="AW633" s="1">
        <f t="shared" si="77"/>
        <v>0.12901171857125959</v>
      </c>
    </row>
    <row r="634" spans="1:49" x14ac:dyDescent="0.2">
      <c r="A634">
        <v>632</v>
      </c>
      <c r="B634" t="s">
        <v>4743</v>
      </c>
      <c r="C634" t="s">
        <v>4742</v>
      </c>
      <c r="D634">
        <v>1011092002803140</v>
      </c>
      <c r="F634" t="s">
        <v>4741</v>
      </c>
      <c r="G634" t="s">
        <v>5</v>
      </c>
      <c r="H634" t="s">
        <v>4</v>
      </c>
      <c r="I634" t="s">
        <v>999</v>
      </c>
      <c r="J634" t="s">
        <v>634</v>
      </c>
      <c r="K634" t="s">
        <v>633</v>
      </c>
      <c r="L634" t="s">
        <v>632</v>
      </c>
      <c r="M634" t="s">
        <v>493</v>
      </c>
      <c r="N634">
        <v>2</v>
      </c>
      <c r="O634" t="s">
        <v>4740</v>
      </c>
      <c r="P634" t="s">
        <v>4739</v>
      </c>
      <c r="Q634" t="s">
        <v>631</v>
      </c>
      <c r="R634" s="7">
        <v>37500</v>
      </c>
      <c r="S634" s="8">
        <f t="shared" si="72"/>
        <v>2002</v>
      </c>
      <c r="T634" s="8">
        <v>2002</v>
      </c>
      <c r="U634" s="8">
        <f t="shared" si="73"/>
        <v>20</v>
      </c>
      <c r="V634" s="7">
        <v>37500</v>
      </c>
      <c r="W634" t="s">
        <v>384</v>
      </c>
      <c r="X634" s="2">
        <v>0.94</v>
      </c>
      <c r="Y634" s="6">
        <f t="shared" si="78"/>
        <v>2.5092763140332611E-2</v>
      </c>
      <c r="AA634">
        <v>15311309</v>
      </c>
      <c r="AB634">
        <v>17295</v>
      </c>
      <c r="AD634" t="s">
        <v>2</v>
      </c>
      <c r="AE634">
        <v>12</v>
      </c>
      <c r="AF634">
        <v>9</v>
      </c>
      <c r="AH634" t="s">
        <v>4738</v>
      </c>
      <c r="AI634" t="s">
        <v>4737</v>
      </c>
      <c r="AJ634" t="s">
        <v>4736</v>
      </c>
      <c r="AK634" t="s">
        <v>4735</v>
      </c>
      <c r="AL634">
        <v>10</v>
      </c>
      <c r="AM634" s="5">
        <f t="shared" si="74"/>
        <v>0.5</v>
      </c>
      <c r="AN634" s="4">
        <f t="shared" si="79"/>
        <v>7.572889057175312E-4</v>
      </c>
      <c r="AO634" s="3"/>
      <c r="AP634">
        <v>0</v>
      </c>
      <c r="AR634" t="s">
        <v>1</v>
      </c>
      <c r="AT634" s="2" t="s">
        <v>0</v>
      </c>
      <c r="AU634" s="1">
        <f t="shared" si="75"/>
        <v>1.7792120869948087</v>
      </c>
      <c r="AV634" s="1">
        <f t="shared" si="76"/>
        <v>1.292502602302507</v>
      </c>
      <c r="AW634" s="1">
        <f t="shared" si="77"/>
        <v>0.80579311761020556</v>
      </c>
    </row>
    <row r="635" spans="1:49" x14ac:dyDescent="0.2">
      <c r="A635">
        <v>633</v>
      </c>
      <c r="B635" t="s">
        <v>4734</v>
      </c>
      <c r="C635" t="s">
        <v>4733</v>
      </c>
      <c r="D635" t="s">
        <v>4732</v>
      </c>
      <c r="F635" t="s">
        <v>4731</v>
      </c>
      <c r="G635" t="s">
        <v>5</v>
      </c>
      <c r="H635" t="s">
        <v>4</v>
      </c>
      <c r="I635" t="s">
        <v>4730</v>
      </c>
      <c r="J635" t="s">
        <v>4729</v>
      </c>
      <c r="K635" t="s">
        <v>4728</v>
      </c>
      <c r="L635" t="s">
        <v>4727</v>
      </c>
      <c r="M635" t="s">
        <v>4726</v>
      </c>
      <c r="N635">
        <v>4</v>
      </c>
      <c r="O635" t="s">
        <v>4725</v>
      </c>
      <c r="P635" t="s">
        <v>4724</v>
      </c>
      <c r="Q635" t="s">
        <v>4723</v>
      </c>
      <c r="R635" s="7">
        <v>37500</v>
      </c>
      <c r="S635" s="8">
        <f t="shared" si="72"/>
        <v>2002</v>
      </c>
      <c r="T635" s="8">
        <v>2002</v>
      </c>
      <c r="U635" s="8">
        <f t="shared" si="73"/>
        <v>20</v>
      </c>
      <c r="V635" s="7">
        <v>37500</v>
      </c>
      <c r="W635" t="s">
        <v>287</v>
      </c>
      <c r="X635" s="2">
        <v>1.774</v>
      </c>
      <c r="Y635" s="6">
        <f t="shared" si="78"/>
        <v>4.7355916820159633E-2</v>
      </c>
      <c r="AA635">
        <v>295515</v>
      </c>
      <c r="AB635">
        <v>29066</v>
      </c>
      <c r="AD635" t="s">
        <v>2</v>
      </c>
      <c r="AE635">
        <v>42</v>
      </c>
      <c r="AF635">
        <v>9</v>
      </c>
      <c r="AH635" t="s">
        <v>4722</v>
      </c>
      <c r="AI635" t="s">
        <v>4721</v>
      </c>
      <c r="AK635" t="s">
        <v>4720</v>
      </c>
      <c r="AL635">
        <v>17</v>
      </c>
      <c r="AM635" s="5">
        <f t="shared" si="74"/>
        <v>0.85</v>
      </c>
      <c r="AN635" s="4">
        <f t="shared" si="79"/>
        <v>1.2873911397198031E-3</v>
      </c>
      <c r="AO635" s="3"/>
      <c r="AP635">
        <v>0</v>
      </c>
      <c r="AR635" t="s">
        <v>1</v>
      </c>
      <c r="AT635" s="2">
        <v>3.1789999999999998</v>
      </c>
      <c r="AU635" s="1">
        <f t="shared" si="75"/>
        <v>3.3535359116027683</v>
      </c>
      <c r="AV635" s="1">
        <f t="shared" si="76"/>
        <v>2.4321653979939719</v>
      </c>
      <c r="AW635" s="1">
        <f t="shared" si="77"/>
        <v>1.5107948843851753</v>
      </c>
    </row>
    <row r="636" spans="1:49" x14ac:dyDescent="0.2">
      <c r="A636">
        <v>634</v>
      </c>
      <c r="B636" t="s">
        <v>4719</v>
      </c>
      <c r="C636" t="s">
        <v>4718</v>
      </c>
      <c r="F636" t="s">
        <v>4717</v>
      </c>
      <c r="G636" t="s">
        <v>5</v>
      </c>
      <c r="H636" t="s">
        <v>4</v>
      </c>
      <c r="I636" t="s">
        <v>4716</v>
      </c>
      <c r="J636">
        <v>60002162</v>
      </c>
      <c r="K636" t="s">
        <v>4715</v>
      </c>
      <c r="L636" t="s">
        <v>4714</v>
      </c>
      <c r="M636" t="s">
        <v>7</v>
      </c>
      <c r="N636">
        <v>1</v>
      </c>
      <c r="O636" t="s">
        <v>4713</v>
      </c>
      <c r="P636">
        <v>7003897650</v>
      </c>
      <c r="Q636">
        <v>60002162</v>
      </c>
      <c r="R636" s="7">
        <v>37500</v>
      </c>
      <c r="S636" s="8">
        <f t="shared" si="72"/>
        <v>2002</v>
      </c>
      <c r="T636" s="8">
        <v>2002</v>
      </c>
      <c r="U636" s="8">
        <f t="shared" si="73"/>
        <v>20</v>
      </c>
      <c r="V636" s="7">
        <v>37500</v>
      </c>
      <c r="W636" t="s">
        <v>316</v>
      </c>
      <c r="X636" s="2">
        <v>0.33800000000000002</v>
      </c>
      <c r="Y636" s="6">
        <f t="shared" si="78"/>
        <v>9.0227169589706634E-3</v>
      </c>
      <c r="AA636">
        <v>7372884</v>
      </c>
      <c r="AB636">
        <v>70506</v>
      </c>
      <c r="AD636" t="s">
        <v>2</v>
      </c>
      <c r="AE636">
        <v>20</v>
      </c>
      <c r="AF636" t="s">
        <v>4712</v>
      </c>
      <c r="AH636" t="s">
        <v>4711</v>
      </c>
      <c r="AI636" t="s">
        <v>4710</v>
      </c>
      <c r="AJ636" t="s">
        <v>4709</v>
      </c>
      <c r="AK636" t="s">
        <v>4708</v>
      </c>
      <c r="AL636">
        <v>3</v>
      </c>
      <c r="AM636" s="5">
        <f t="shared" si="74"/>
        <v>0.15</v>
      </c>
      <c r="AN636" s="4">
        <f t="shared" si="79"/>
        <v>2.2718667171525936E-4</v>
      </c>
      <c r="AO636" s="3"/>
      <c r="AP636">
        <v>0</v>
      </c>
      <c r="AR636" t="s">
        <v>1</v>
      </c>
      <c r="AT636" s="2" t="s">
        <v>0</v>
      </c>
      <c r="AU636" s="1">
        <f t="shared" si="75"/>
        <v>0.63840578727940422</v>
      </c>
      <c r="AV636" s="1">
        <f t="shared" si="76"/>
        <v>0.46249518153429608</v>
      </c>
      <c r="AW636" s="1">
        <f t="shared" si="77"/>
        <v>0.28658457578918806</v>
      </c>
    </row>
    <row r="637" spans="1:49" x14ac:dyDescent="0.2">
      <c r="A637">
        <v>635</v>
      </c>
      <c r="B637" t="s">
        <v>4707</v>
      </c>
      <c r="C637" t="s">
        <v>4706</v>
      </c>
      <c r="D637">
        <v>1011092002803140</v>
      </c>
      <c r="F637" t="s">
        <v>4705</v>
      </c>
      <c r="G637" t="s">
        <v>5</v>
      </c>
      <c r="H637" t="s">
        <v>4</v>
      </c>
      <c r="I637" t="s">
        <v>4704</v>
      </c>
      <c r="J637" t="s">
        <v>2750</v>
      </c>
      <c r="K637" t="s">
        <v>2749</v>
      </c>
      <c r="L637" t="s">
        <v>2748</v>
      </c>
      <c r="M637" t="s">
        <v>3</v>
      </c>
      <c r="N637">
        <v>2</v>
      </c>
      <c r="O637" t="s">
        <v>4703</v>
      </c>
      <c r="P637" t="s">
        <v>4702</v>
      </c>
      <c r="Q637" t="s">
        <v>4701</v>
      </c>
      <c r="R637" s="7">
        <v>37500</v>
      </c>
      <c r="S637" s="8">
        <f t="shared" si="72"/>
        <v>2002</v>
      </c>
      <c r="T637" s="8">
        <v>2002</v>
      </c>
      <c r="U637" s="8">
        <f t="shared" si="73"/>
        <v>20</v>
      </c>
      <c r="V637" s="7">
        <v>37500</v>
      </c>
      <c r="W637" t="s">
        <v>384</v>
      </c>
      <c r="X637" s="2">
        <v>0.94</v>
      </c>
      <c r="Y637" s="6">
        <f t="shared" si="78"/>
        <v>2.5092763140332611E-2</v>
      </c>
      <c r="AA637">
        <v>15311309</v>
      </c>
      <c r="AB637">
        <v>17295</v>
      </c>
      <c r="AD637" t="s">
        <v>2</v>
      </c>
      <c r="AE637">
        <v>12</v>
      </c>
      <c r="AF637">
        <v>9</v>
      </c>
      <c r="AH637" t="s">
        <v>4700</v>
      </c>
      <c r="AI637" t="s">
        <v>4699</v>
      </c>
      <c r="AJ637" t="s">
        <v>4698</v>
      </c>
      <c r="AK637" t="s">
        <v>4697</v>
      </c>
      <c r="AL637">
        <v>37</v>
      </c>
      <c r="AM637" s="5">
        <f t="shared" si="74"/>
        <v>1.85</v>
      </c>
      <c r="AN637" s="4">
        <f t="shared" si="79"/>
        <v>2.8019689511548655E-3</v>
      </c>
      <c r="AO637" s="3"/>
      <c r="AP637">
        <v>0</v>
      </c>
      <c r="AQ637" t="s">
        <v>1013</v>
      </c>
      <c r="AR637" t="s">
        <v>4696</v>
      </c>
      <c r="AS637" t="s">
        <v>1012</v>
      </c>
      <c r="AT637" s="2" t="s">
        <v>0</v>
      </c>
      <c r="AU637" s="1">
        <f t="shared" si="75"/>
        <v>1.8405524883579285</v>
      </c>
      <c r="AV637" s="1">
        <f t="shared" si="76"/>
        <v>1.3947366045743739</v>
      </c>
      <c r="AW637" s="1">
        <f t="shared" si="77"/>
        <v>0.94892072079081879</v>
      </c>
    </row>
    <row r="638" spans="1:49" x14ac:dyDescent="0.2">
      <c r="A638">
        <v>636</v>
      </c>
      <c r="B638" t="s">
        <v>4695</v>
      </c>
      <c r="C638" t="s">
        <v>4694</v>
      </c>
      <c r="E638">
        <v>12359841</v>
      </c>
      <c r="F638" t="s">
        <v>4693</v>
      </c>
      <c r="G638" t="s">
        <v>5</v>
      </c>
      <c r="H638" t="s">
        <v>4</v>
      </c>
      <c r="I638" t="s">
        <v>4692</v>
      </c>
      <c r="J638" t="s">
        <v>4691</v>
      </c>
      <c r="K638" t="s">
        <v>4690</v>
      </c>
      <c r="L638" t="s">
        <v>4689</v>
      </c>
      <c r="M638" t="s">
        <v>4688</v>
      </c>
      <c r="N638">
        <v>3</v>
      </c>
      <c r="O638" t="s">
        <v>4687</v>
      </c>
      <c r="P638" t="s">
        <v>4686</v>
      </c>
      <c r="Q638" t="s">
        <v>4685</v>
      </c>
      <c r="R638" s="7">
        <v>37500</v>
      </c>
      <c r="S638" s="8">
        <f t="shared" si="72"/>
        <v>2002</v>
      </c>
      <c r="T638" s="8">
        <v>2002</v>
      </c>
      <c r="U638" s="8">
        <f t="shared" si="73"/>
        <v>20</v>
      </c>
      <c r="V638" s="7">
        <v>37500</v>
      </c>
      <c r="W638" t="s">
        <v>4684</v>
      </c>
      <c r="X638" s="2">
        <v>1.228</v>
      </c>
      <c r="Y638" s="6">
        <f t="shared" si="78"/>
        <v>3.2780758655668561E-2</v>
      </c>
      <c r="AA638">
        <v>10720502</v>
      </c>
      <c r="AB638">
        <v>17282</v>
      </c>
      <c r="AD638" t="s">
        <v>2</v>
      </c>
      <c r="AE638">
        <v>9</v>
      </c>
      <c r="AF638">
        <v>5</v>
      </c>
      <c r="AH638" t="s">
        <v>4683</v>
      </c>
      <c r="AI638" t="s">
        <v>4682</v>
      </c>
      <c r="AK638" t="s">
        <v>4681</v>
      </c>
      <c r="AL638">
        <v>38</v>
      </c>
      <c r="AM638" s="5">
        <f t="shared" si="74"/>
        <v>1.9</v>
      </c>
      <c r="AN638" s="4">
        <f t="shared" si="79"/>
        <v>2.8776978417266188E-3</v>
      </c>
      <c r="AO638" s="3"/>
      <c r="AP638">
        <v>1</v>
      </c>
      <c r="AR638" t="s">
        <v>1</v>
      </c>
      <c r="AT638" s="2" t="s">
        <v>0</v>
      </c>
      <c r="AU638" s="1">
        <f t="shared" si="75"/>
        <v>2.3809840411485981</v>
      </c>
      <c r="AV638" s="1">
        <f t="shared" si="76"/>
        <v>1.7829228248697588</v>
      </c>
      <c r="AW638" s="1">
        <f t="shared" si="77"/>
        <v>1.18486160859092</v>
      </c>
    </row>
    <row r="639" spans="1:49" x14ac:dyDescent="0.2">
      <c r="A639">
        <v>637</v>
      </c>
      <c r="B639" t="s">
        <v>4680</v>
      </c>
      <c r="C639" t="s">
        <v>4679</v>
      </c>
      <c r="E639">
        <v>12226512</v>
      </c>
      <c r="F639" t="s">
        <v>4678</v>
      </c>
      <c r="G639" t="s">
        <v>5</v>
      </c>
      <c r="H639" t="s">
        <v>4</v>
      </c>
      <c r="I639" t="s">
        <v>4677</v>
      </c>
      <c r="J639">
        <v>60021116</v>
      </c>
      <c r="K639" t="s">
        <v>4676</v>
      </c>
      <c r="L639" t="s">
        <v>4675</v>
      </c>
      <c r="M639" t="s">
        <v>36</v>
      </c>
      <c r="N639">
        <v>4</v>
      </c>
      <c r="O639" t="s">
        <v>4674</v>
      </c>
      <c r="P639" t="s">
        <v>4673</v>
      </c>
      <c r="Q639" t="s">
        <v>4672</v>
      </c>
      <c r="R639" s="7">
        <v>37500</v>
      </c>
      <c r="S639" s="8">
        <f t="shared" si="72"/>
        <v>2002</v>
      </c>
      <c r="T639" s="8">
        <v>2002</v>
      </c>
      <c r="U639" s="8">
        <f t="shared" si="73"/>
        <v>20</v>
      </c>
      <c r="V639" s="7">
        <v>37500</v>
      </c>
      <c r="W639" t="s">
        <v>13</v>
      </c>
      <c r="X639" s="2">
        <v>3.5539999999999998</v>
      </c>
      <c r="Y639" s="6">
        <f t="shared" si="78"/>
        <v>9.4872000213555435E-2</v>
      </c>
      <c r="AA639">
        <v>320889</v>
      </c>
      <c r="AB639">
        <v>16615</v>
      </c>
      <c r="AD639" t="s">
        <v>2</v>
      </c>
      <c r="AE639">
        <v>130</v>
      </c>
      <c r="AF639">
        <v>1</v>
      </c>
      <c r="AH639" t="s">
        <v>4671</v>
      </c>
      <c r="AI639" t="s">
        <v>4670</v>
      </c>
      <c r="AK639" t="s">
        <v>4669</v>
      </c>
      <c r="AL639">
        <v>71</v>
      </c>
      <c r="AM639" s="5">
        <f t="shared" si="74"/>
        <v>3.55</v>
      </c>
      <c r="AN639" s="4">
        <f t="shared" si="79"/>
        <v>5.3767512305944714E-3</v>
      </c>
      <c r="AO639" s="3"/>
      <c r="AP639">
        <v>1</v>
      </c>
      <c r="AR639" t="s">
        <v>1</v>
      </c>
      <c r="AT639" s="2">
        <v>8.34</v>
      </c>
      <c r="AU639" s="1">
        <f t="shared" si="75"/>
        <v>6.8023425518667153</v>
      </c>
      <c r="AV639" s="1">
        <f t="shared" si="76"/>
        <v>5.0124375722074959</v>
      </c>
      <c r="AW639" s="1">
        <f t="shared" si="77"/>
        <v>3.222532592548276</v>
      </c>
    </row>
    <row r="640" spans="1:49" x14ac:dyDescent="0.2">
      <c r="A640">
        <v>638</v>
      </c>
      <c r="B640" t="s">
        <v>4668</v>
      </c>
      <c r="C640" t="s">
        <v>4667</v>
      </c>
      <c r="F640" t="s">
        <v>4666</v>
      </c>
      <c r="G640" t="s">
        <v>5</v>
      </c>
      <c r="H640" t="s">
        <v>4</v>
      </c>
      <c r="I640" t="s">
        <v>669</v>
      </c>
      <c r="J640" t="s">
        <v>4665</v>
      </c>
      <c r="K640" t="s">
        <v>4664</v>
      </c>
      <c r="L640" t="s">
        <v>4663</v>
      </c>
      <c r="M640" t="s">
        <v>194</v>
      </c>
      <c r="N640">
        <v>6</v>
      </c>
      <c r="O640" t="s">
        <v>4662</v>
      </c>
      <c r="P640" t="s">
        <v>4661</v>
      </c>
      <c r="Q640" t="s">
        <v>4660</v>
      </c>
      <c r="R640" s="7">
        <v>37500</v>
      </c>
      <c r="S640" s="8">
        <f t="shared" si="72"/>
        <v>2002</v>
      </c>
      <c r="T640" s="8">
        <v>2002</v>
      </c>
      <c r="U640" s="8">
        <f t="shared" si="73"/>
        <v>20</v>
      </c>
      <c r="V640" s="7">
        <v>37500</v>
      </c>
      <c r="W640" t="s">
        <v>4659</v>
      </c>
      <c r="X640" s="2">
        <v>0.69299999999999995</v>
      </c>
      <c r="Y640" s="6">
        <f t="shared" si="78"/>
        <v>1.8499239208777128E-2</v>
      </c>
      <c r="AA640">
        <v>3076962</v>
      </c>
      <c r="AB640">
        <v>21084</v>
      </c>
      <c r="AD640" t="s">
        <v>2</v>
      </c>
      <c r="AE640">
        <v>27</v>
      </c>
      <c r="AF640">
        <v>3</v>
      </c>
      <c r="AH640" t="s">
        <v>4658</v>
      </c>
      <c r="AI640" t="s">
        <v>4657</v>
      </c>
      <c r="AJ640" t="s">
        <v>4656</v>
      </c>
      <c r="AK640" t="s">
        <v>4655</v>
      </c>
      <c r="AL640">
        <v>38</v>
      </c>
      <c r="AM640" s="5">
        <f t="shared" si="74"/>
        <v>1.9</v>
      </c>
      <c r="AN640" s="4">
        <f t="shared" si="79"/>
        <v>2.8776978417266188E-3</v>
      </c>
      <c r="AO640" s="3"/>
      <c r="AP640">
        <v>0</v>
      </c>
      <c r="AR640" t="s">
        <v>1</v>
      </c>
      <c r="AT640" s="2">
        <v>1.833</v>
      </c>
      <c r="AU640" s="1">
        <f t="shared" si="75"/>
        <v>1.3812776798661974</v>
      </c>
      <c r="AV640" s="1">
        <f t="shared" si="76"/>
        <v>1.0688468525251873</v>
      </c>
      <c r="AW640" s="1">
        <f t="shared" si="77"/>
        <v>0.75641602518417717</v>
      </c>
    </row>
    <row r="641" spans="1:49" x14ac:dyDescent="0.2">
      <c r="A641">
        <v>639</v>
      </c>
      <c r="B641" t="s">
        <v>4654</v>
      </c>
      <c r="C641" t="s">
        <v>4653</v>
      </c>
      <c r="E641">
        <v>12227931</v>
      </c>
      <c r="F641" t="s">
        <v>4652</v>
      </c>
      <c r="G641" t="s">
        <v>5</v>
      </c>
      <c r="H641" t="s">
        <v>4</v>
      </c>
      <c r="I641" t="s">
        <v>4651</v>
      </c>
      <c r="J641" t="s">
        <v>4650</v>
      </c>
      <c r="K641" t="s">
        <v>4649</v>
      </c>
      <c r="L641" t="s">
        <v>4648</v>
      </c>
      <c r="M641" t="s">
        <v>80</v>
      </c>
      <c r="N641">
        <v>9</v>
      </c>
      <c r="O641" t="s">
        <v>4647</v>
      </c>
      <c r="P641" t="s">
        <v>4646</v>
      </c>
      <c r="Q641" t="s">
        <v>4645</v>
      </c>
      <c r="R641" s="7">
        <v>37500</v>
      </c>
      <c r="S641" s="8">
        <f t="shared" si="72"/>
        <v>2002</v>
      </c>
      <c r="T641" s="8">
        <v>2002</v>
      </c>
      <c r="U641" s="8">
        <f t="shared" si="73"/>
        <v>20</v>
      </c>
      <c r="V641" s="7">
        <v>37500</v>
      </c>
      <c r="W641" t="s">
        <v>973</v>
      </c>
      <c r="X641" s="2">
        <v>0.89600000000000002</v>
      </c>
      <c r="Y641" s="6">
        <f t="shared" si="78"/>
        <v>2.3918208269934065E-2</v>
      </c>
      <c r="AA641">
        <v>2656736</v>
      </c>
      <c r="AB641">
        <v>29901</v>
      </c>
      <c r="AD641" t="s">
        <v>2</v>
      </c>
      <c r="AE641">
        <v>18</v>
      </c>
      <c r="AF641">
        <v>5</v>
      </c>
      <c r="AH641" t="s">
        <v>4644</v>
      </c>
      <c r="AI641" t="s">
        <v>4643</v>
      </c>
      <c r="AJ641" t="s">
        <v>4642</v>
      </c>
      <c r="AK641" t="s">
        <v>4641</v>
      </c>
      <c r="AL641">
        <v>7</v>
      </c>
      <c r="AM641" s="5">
        <f t="shared" si="74"/>
        <v>0.35</v>
      </c>
      <c r="AN641" s="4">
        <f t="shared" si="79"/>
        <v>5.3010223400227184E-4</v>
      </c>
      <c r="AO641" s="3"/>
      <c r="AP641">
        <v>0</v>
      </c>
      <c r="AQ641" t="s">
        <v>318</v>
      </c>
      <c r="AR641" t="s">
        <v>4640</v>
      </c>
      <c r="AS641" t="s">
        <v>317</v>
      </c>
      <c r="AT641" s="2">
        <v>3.9140000000000001</v>
      </c>
      <c r="AU641" s="1">
        <f t="shared" si="75"/>
        <v>1.6901776459154523</v>
      </c>
      <c r="AV641" s="1">
        <f t="shared" si="76"/>
        <v>1.222415525196817</v>
      </c>
      <c r="AW641" s="1">
        <f t="shared" si="77"/>
        <v>0.75465340447818086</v>
      </c>
    </row>
    <row r="642" spans="1:49" x14ac:dyDescent="0.2">
      <c r="A642">
        <v>640</v>
      </c>
      <c r="B642" t="s">
        <v>4639</v>
      </c>
      <c r="C642" t="s">
        <v>4638</v>
      </c>
      <c r="F642" t="s">
        <v>4637</v>
      </c>
      <c r="G642" t="s">
        <v>5</v>
      </c>
      <c r="H642" t="s">
        <v>4</v>
      </c>
      <c r="I642" t="s">
        <v>4636</v>
      </c>
      <c r="J642" t="s">
        <v>4635</v>
      </c>
      <c r="K642" t="s">
        <v>4634</v>
      </c>
      <c r="L642" t="s">
        <v>4633</v>
      </c>
      <c r="M642" t="s">
        <v>184</v>
      </c>
      <c r="N642">
        <v>5</v>
      </c>
      <c r="O642" t="s">
        <v>4632</v>
      </c>
      <c r="P642" t="s">
        <v>4631</v>
      </c>
      <c r="Q642" t="s">
        <v>4630</v>
      </c>
      <c r="R642" s="7">
        <v>37500</v>
      </c>
      <c r="S642" s="8">
        <f t="shared" ref="S642:S705" si="80">YEAR(R642)</f>
        <v>2002</v>
      </c>
      <c r="T642" s="8">
        <v>2002</v>
      </c>
      <c r="U642" s="8">
        <f t="shared" ref="U642:U705" si="81">2022-T642</f>
        <v>20</v>
      </c>
      <c r="V642" s="7">
        <v>37500</v>
      </c>
      <c r="W642" t="s">
        <v>4629</v>
      </c>
      <c r="X642" s="2">
        <v>0.67700000000000005</v>
      </c>
      <c r="Y642" s="6">
        <f t="shared" si="78"/>
        <v>1.8072128346814022E-2</v>
      </c>
      <c r="AA642">
        <v>9311890</v>
      </c>
      <c r="AB642">
        <v>17808</v>
      </c>
      <c r="AD642" t="s">
        <v>2</v>
      </c>
      <c r="AE642">
        <v>16</v>
      </c>
      <c r="AF642">
        <v>7</v>
      </c>
      <c r="AH642" t="s">
        <v>4628</v>
      </c>
      <c r="AI642" t="s">
        <v>4627</v>
      </c>
      <c r="AJ642" t="s">
        <v>4626</v>
      </c>
      <c r="AK642" t="s">
        <v>4625</v>
      </c>
      <c r="AL642">
        <v>50</v>
      </c>
      <c r="AM642" s="5">
        <f t="shared" ref="AM642:AM705" si="82">AL642/U642</f>
        <v>2.5</v>
      </c>
      <c r="AN642" s="4">
        <f t="shared" si="79"/>
        <v>3.7864445285876562E-3</v>
      </c>
      <c r="AO642" s="3"/>
      <c r="AP642">
        <v>0</v>
      </c>
      <c r="AR642" t="s">
        <v>1</v>
      </c>
      <c r="AT642" s="2" t="s">
        <v>0</v>
      </c>
      <c r="AU642" s="1">
        <f t="shared" ref="AU642:AU705" si="83">(Y642*0.7+AN642*0.3)*100</f>
        <v>1.3786423201346112</v>
      </c>
      <c r="AV642" s="1">
        <f t="shared" ref="AV642:AV705" si="84">(Y642*0.5+AN642*0.5)*100</f>
        <v>1.0929286437700838</v>
      </c>
      <c r="AW642" s="1">
        <f t="shared" ref="AW642:AW705" si="85">(Y642*0.3+AN642*0.7)*100</f>
        <v>0.80721496740555654</v>
      </c>
    </row>
    <row r="643" spans="1:49" x14ac:dyDescent="0.2">
      <c r="A643">
        <v>641</v>
      </c>
      <c r="B643" t="s">
        <v>4624</v>
      </c>
      <c r="C643" t="s">
        <v>4623</v>
      </c>
      <c r="D643" t="s">
        <v>4622</v>
      </c>
      <c r="F643" t="s">
        <v>4621</v>
      </c>
      <c r="G643" t="s">
        <v>5</v>
      </c>
      <c r="H643" t="s">
        <v>4</v>
      </c>
      <c r="I643" t="s">
        <v>4620</v>
      </c>
      <c r="J643" t="s">
        <v>372</v>
      </c>
      <c r="K643" t="s">
        <v>371</v>
      </c>
      <c r="L643" t="s">
        <v>370</v>
      </c>
      <c r="M643" t="s">
        <v>3</v>
      </c>
      <c r="N643">
        <v>4</v>
      </c>
      <c r="O643" t="s">
        <v>4619</v>
      </c>
      <c r="P643" t="s">
        <v>4618</v>
      </c>
      <c r="Q643" t="s">
        <v>4617</v>
      </c>
      <c r="R643" s="7">
        <v>37500</v>
      </c>
      <c r="S643" s="8">
        <f t="shared" si="80"/>
        <v>2002</v>
      </c>
      <c r="T643" s="8">
        <v>2002</v>
      </c>
      <c r="U643" s="8">
        <f t="shared" si="81"/>
        <v>20</v>
      </c>
      <c r="V643" s="7">
        <v>37500</v>
      </c>
      <c r="W643" t="s">
        <v>4616</v>
      </c>
      <c r="X643" s="2" t="s">
        <v>0</v>
      </c>
      <c r="Y643" s="6" t="e">
        <f t="shared" ref="Y643:Y706" si="86">(X643-$Z$3)/($Z$2-$Z$3)</f>
        <v>#VALUE!</v>
      </c>
      <c r="AA643">
        <v>10459227</v>
      </c>
      <c r="AB643">
        <v>24243</v>
      </c>
      <c r="AD643" t="s">
        <v>2</v>
      </c>
      <c r="AE643">
        <v>13</v>
      </c>
      <c r="AF643">
        <v>5</v>
      </c>
      <c r="AH643" t="s">
        <v>4615</v>
      </c>
      <c r="AI643" t="s">
        <v>4614</v>
      </c>
      <c r="AJ643" t="s">
        <v>4613</v>
      </c>
      <c r="AK643" t="s">
        <v>4612</v>
      </c>
      <c r="AL643">
        <v>7</v>
      </c>
      <c r="AM643" s="5">
        <f t="shared" si="82"/>
        <v>0.35</v>
      </c>
      <c r="AN643" s="4">
        <f t="shared" ref="AN643:AN706" si="87">(AM643-$AO$3)/($AO$2-$AO$3)</f>
        <v>5.3010223400227184E-4</v>
      </c>
      <c r="AO643" s="3"/>
      <c r="AP643">
        <v>0</v>
      </c>
      <c r="AR643" t="s">
        <v>1</v>
      </c>
      <c r="AT643" s="2" t="s">
        <v>0</v>
      </c>
      <c r="AU643" s="1" t="e">
        <f t="shared" si="83"/>
        <v>#VALUE!</v>
      </c>
      <c r="AV643" s="1" t="e">
        <f t="shared" si="84"/>
        <v>#VALUE!</v>
      </c>
      <c r="AW643" s="1" t="e">
        <f t="shared" si="85"/>
        <v>#VALUE!</v>
      </c>
    </row>
    <row r="644" spans="1:49" x14ac:dyDescent="0.2">
      <c r="A644">
        <v>642</v>
      </c>
      <c r="B644" t="s">
        <v>4611</v>
      </c>
      <c r="C644" t="s">
        <v>4610</v>
      </c>
      <c r="D644">
        <v>1011092002802330</v>
      </c>
      <c r="F644" t="s">
        <v>4609</v>
      </c>
      <c r="G644" t="s">
        <v>5</v>
      </c>
      <c r="H644" t="s">
        <v>4</v>
      </c>
      <c r="I644" t="s">
        <v>4608</v>
      </c>
      <c r="J644" t="s">
        <v>4607</v>
      </c>
      <c r="K644" t="s">
        <v>4606</v>
      </c>
      <c r="L644" t="s">
        <v>4605</v>
      </c>
      <c r="M644" t="s">
        <v>4604</v>
      </c>
      <c r="N644">
        <v>4</v>
      </c>
      <c r="O644" t="s">
        <v>4603</v>
      </c>
      <c r="P644" t="s">
        <v>4602</v>
      </c>
      <c r="Q644" t="s">
        <v>4601</v>
      </c>
      <c r="R644" s="7">
        <v>37500</v>
      </c>
      <c r="S644" s="8">
        <f t="shared" si="80"/>
        <v>2002</v>
      </c>
      <c r="T644" s="8">
        <v>2002</v>
      </c>
      <c r="U644" s="8">
        <f t="shared" si="81"/>
        <v>20</v>
      </c>
      <c r="V644" s="7">
        <v>37500</v>
      </c>
      <c r="W644" t="s">
        <v>352</v>
      </c>
      <c r="X644" s="2">
        <v>1.3720000000000001</v>
      </c>
      <c r="Y644" s="6">
        <f t="shared" si="86"/>
        <v>3.662475641333654E-2</v>
      </c>
      <c r="AA644">
        <v>189480</v>
      </c>
      <c r="AB644">
        <v>17366</v>
      </c>
      <c r="AD644" t="s">
        <v>2</v>
      </c>
      <c r="AE644">
        <v>50</v>
      </c>
      <c r="AF644">
        <v>9</v>
      </c>
      <c r="AH644" t="s">
        <v>4600</v>
      </c>
      <c r="AI644" t="s">
        <v>4599</v>
      </c>
      <c r="AJ644" t="s">
        <v>4598</v>
      </c>
      <c r="AK644" t="s">
        <v>4597</v>
      </c>
      <c r="AL644">
        <v>46</v>
      </c>
      <c r="AM644" s="5">
        <f t="shared" si="82"/>
        <v>2.2999999999999998</v>
      </c>
      <c r="AN644" s="4">
        <f t="shared" si="87"/>
        <v>3.4835289663006433E-3</v>
      </c>
      <c r="AO644" s="3"/>
      <c r="AP644">
        <v>0</v>
      </c>
      <c r="AR644" t="s">
        <v>4596</v>
      </c>
      <c r="AT644" s="2" t="s">
        <v>0</v>
      </c>
      <c r="AU644" s="1">
        <f t="shared" si="83"/>
        <v>2.6682388179225769</v>
      </c>
      <c r="AV644" s="1">
        <f t="shared" si="84"/>
        <v>2.005414268981859</v>
      </c>
      <c r="AW644" s="1">
        <f t="shared" si="85"/>
        <v>1.3425897200411412</v>
      </c>
    </row>
    <row r="645" spans="1:49" x14ac:dyDescent="0.2">
      <c r="A645">
        <v>643</v>
      </c>
      <c r="B645" t="s">
        <v>4595</v>
      </c>
      <c r="C645" t="s">
        <v>4594</v>
      </c>
      <c r="D645">
        <v>1011092002802330</v>
      </c>
      <c r="F645" t="s">
        <v>4593</v>
      </c>
      <c r="G645" t="s">
        <v>5</v>
      </c>
      <c r="H645" t="s">
        <v>4</v>
      </c>
      <c r="I645" t="s">
        <v>4592</v>
      </c>
      <c r="J645" t="s">
        <v>4591</v>
      </c>
      <c r="K645" t="s">
        <v>4590</v>
      </c>
      <c r="L645" t="s">
        <v>4589</v>
      </c>
      <c r="M645" t="s">
        <v>1005</v>
      </c>
      <c r="N645">
        <v>5</v>
      </c>
      <c r="O645" t="s">
        <v>4588</v>
      </c>
      <c r="P645" t="s">
        <v>4587</v>
      </c>
      <c r="Q645" t="s">
        <v>4586</v>
      </c>
      <c r="R645" s="7">
        <v>37500</v>
      </c>
      <c r="S645" s="8">
        <f t="shared" si="80"/>
        <v>2002</v>
      </c>
      <c r="T645" s="8">
        <v>2002</v>
      </c>
      <c r="U645" s="8">
        <f t="shared" si="81"/>
        <v>20</v>
      </c>
      <c r="V645" s="7">
        <v>37500</v>
      </c>
      <c r="W645" t="s">
        <v>352</v>
      </c>
      <c r="X645" s="2">
        <v>1.3720000000000001</v>
      </c>
      <c r="Y645" s="6">
        <f t="shared" si="86"/>
        <v>3.662475641333654E-2</v>
      </c>
      <c r="AA645">
        <v>189480</v>
      </c>
      <c r="AB645">
        <v>17366</v>
      </c>
      <c r="AD645" t="s">
        <v>2</v>
      </c>
      <c r="AE645">
        <v>50</v>
      </c>
      <c r="AF645">
        <v>9</v>
      </c>
      <c r="AH645" t="s">
        <v>4585</v>
      </c>
      <c r="AI645" t="s">
        <v>4584</v>
      </c>
      <c r="AJ645" t="s">
        <v>4583</v>
      </c>
      <c r="AK645" t="s">
        <v>4582</v>
      </c>
      <c r="AL645">
        <v>164</v>
      </c>
      <c r="AM645" s="5">
        <f t="shared" si="82"/>
        <v>8.1999999999999993</v>
      </c>
      <c r="AN645" s="4">
        <f t="shared" si="87"/>
        <v>1.2419538053767512E-2</v>
      </c>
      <c r="AO645" s="3"/>
      <c r="AP645">
        <v>0</v>
      </c>
      <c r="AR645" t="s">
        <v>1</v>
      </c>
      <c r="AT645" s="2" t="s">
        <v>0</v>
      </c>
      <c r="AU645" s="1">
        <f t="shared" si="83"/>
        <v>2.9363190905465828</v>
      </c>
      <c r="AV645" s="1">
        <f t="shared" si="84"/>
        <v>2.4522147233552025</v>
      </c>
      <c r="AW645" s="1">
        <f t="shared" si="85"/>
        <v>1.968110356163822</v>
      </c>
    </row>
    <row r="646" spans="1:49" x14ac:dyDescent="0.2">
      <c r="A646">
        <v>644</v>
      </c>
      <c r="B646" t="s">
        <v>4581</v>
      </c>
      <c r="C646" t="s">
        <v>4580</v>
      </c>
      <c r="F646" t="s">
        <v>4579</v>
      </c>
      <c r="G646" t="s">
        <v>5</v>
      </c>
      <c r="H646" t="s">
        <v>4</v>
      </c>
      <c r="I646" t="s">
        <v>1142</v>
      </c>
      <c r="J646" t="s">
        <v>4578</v>
      </c>
      <c r="K646" t="s">
        <v>4577</v>
      </c>
      <c r="L646" t="s">
        <v>4576</v>
      </c>
      <c r="M646" t="s">
        <v>3</v>
      </c>
      <c r="N646">
        <v>5</v>
      </c>
      <c r="O646" t="s">
        <v>4575</v>
      </c>
      <c r="P646" t="s">
        <v>4574</v>
      </c>
      <c r="Q646" t="s">
        <v>4573</v>
      </c>
      <c r="R646" s="7">
        <v>37500</v>
      </c>
      <c r="S646" s="8">
        <f t="shared" si="80"/>
        <v>2002</v>
      </c>
      <c r="T646" s="8">
        <v>2002</v>
      </c>
      <c r="U646" s="8">
        <f t="shared" si="81"/>
        <v>20</v>
      </c>
      <c r="V646" s="7">
        <v>37500</v>
      </c>
      <c r="W646" t="s">
        <v>931</v>
      </c>
      <c r="X646" s="2">
        <v>2.823</v>
      </c>
      <c r="Y646" s="6">
        <f t="shared" si="86"/>
        <v>7.5358372707615917E-2</v>
      </c>
      <c r="AA646">
        <v>1636804</v>
      </c>
      <c r="AB646">
        <v>17249</v>
      </c>
      <c r="AD646" t="s">
        <v>2</v>
      </c>
      <c r="AE646">
        <v>40</v>
      </c>
      <c r="AF646">
        <v>9</v>
      </c>
      <c r="AH646" t="s">
        <v>369</v>
      </c>
      <c r="AI646" t="s">
        <v>4572</v>
      </c>
      <c r="AK646" t="s">
        <v>4571</v>
      </c>
      <c r="AL646">
        <v>536</v>
      </c>
      <c r="AM646" s="5">
        <f t="shared" si="82"/>
        <v>26.8</v>
      </c>
      <c r="AN646" s="4">
        <f t="shared" si="87"/>
        <v>4.0590685346459675E-2</v>
      </c>
      <c r="AO646" s="3"/>
      <c r="AP646">
        <v>0</v>
      </c>
      <c r="AR646" t="s">
        <v>1</v>
      </c>
      <c r="AT646" s="2">
        <v>9.6189999999999998</v>
      </c>
      <c r="AU646" s="1">
        <f t="shared" si="83"/>
        <v>6.4928066499269033</v>
      </c>
      <c r="AV646" s="1">
        <f t="shared" si="84"/>
        <v>5.79745290270378</v>
      </c>
      <c r="AW646" s="1">
        <f t="shared" si="85"/>
        <v>5.102099155480655</v>
      </c>
    </row>
    <row r="647" spans="1:49" x14ac:dyDescent="0.2">
      <c r="A647">
        <v>645</v>
      </c>
      <c r="B647" t="s">
        <v>4570</v>
      </c>
      <c r="C647" t="s">
        <v>4569</v>
      </c>
      <c r="D647">
        <v>1011092002802320</v>
      </c>
      <c r="F647" t="s">
        <v>4568</v>
      </c>
      <c r="G647" t="s">
        <v>5</v>
      </c>
      <c r="H647" t="s">
        <v>4</v>
      </c>
      <c r="I647" t="s">
        <v>4567</v>
      </c>
      <c r="J647" t="s">
        <v>4566</v>
      </c>
      <c r="K647" t="s">
        <v>4565</v>
      </c>
      <c r="L647" t="s">
        <v>4564</v>
      </c>
      <c r="M647" t="s">
        <v>74</v>
      </c>
      <c r="N647">
        <v>2</v>
      </c>
      <c r="O647" t="s">
        <v>4563</v>
      </c>
      <c r="P647" t="s">
        <v>4562</v>
      </c>
      <c r="Q647" t="s">
        <v>4561</v>
      </c>
      <c r="R647" s="7">
        <v>37500</v>
      </c>
      <c r="S647" s="8">
        <f t="shared" si="80"/>
        <v>2002</v>
      </c>
      <c r="T647" s="8">
        <v>2002</v>
      </c>
      <c r="U647" s="8">
        <f t="shared" si="81"/>
        <v>20</v>
      </c>
      <c r="V647" s="7">
        <v>37500</v>
      </c>
      <c r="W647" t="s">
        <v>352</v>
      </c>
      <c r="X647" s="2">
        <v>1.3720000000000001</v>
      </c>
      <c r="Y647" s="6">
        <f t="shared" si="86"/>
        <v>3.662475641333654E-2</v>
      </c>
      <c r="AA647">
        <v>189480</v>
      </c>
      <c r="AB647">
        <v>17366</v>
      </c>
      <c r="AD647" t="s">
        <v>2</v>
      </c>
      <c r="AE647">
        <v>50</v>
      </c>
      <c r="AF647">
        <v>9</v>
      </c>
      <c r="AH647" t="s">
        <v>4560</v>
      </c>
      <c r="AI647" t="s">
        <v>4559</v>
      </c>
      <c r="AJ647" t="s">
        <v>4558</v>
      </c>
      <c r="AK647" t="s">
        <v>4557</v>
      </c>
      <c r="AL647">
        <v>1</v>
      </c>
      <c r="AM647" s="5">
        <f t="shared" si="82"/>
        <v>0.05</v>
      </c>
      <c r="AN647" s="4">
        <f t="shared" si="87"/>
        <v>7.5728890571753133E-5</v>
      </c>
      <c r="AO647" s="3"/>
      <c r="AP647">
        <v>0</v>
      </c>
      <c r="AR647" t="s">
        <v>1</v>
      </c>
      <c r="AT647" s="2" t="s">
        <v>0</v>
      </c>
      <c r="AU647" s="1">
        <f t="shared" si="83"/>
        <v>2.56600481565071</v>
      </c>
      <c r="AV647" s="1">
        <f t="shared" si="84"/>
        <v>1.8350242651954147</v>
      </c>
      <c r="AW647" s="1">
        <f t="shared" si="85"/>
        <v>1.104043714740119</v>
      </c>
    </row>
    <row r="648" spans="1:49" x14ac:dyDescent="0.2">
      <c r="A648">
        <v>646</v>
      </c>
      <c r="B648" t="s">
        <v>4556</v>
      </c>
      <c r="C648" t="s">
        <v>4555</v>
      </c>
      <c r="D648">
        <v>1011092002802310</v>
      </c>
      <c r="F648" t="s">
        <v>4554</v>
      </c>
      <c r="G648" t="s">
        <v>5</v>
      </c>
      <c r="H648" t="s">
        <v>4</v>
      </c>
      <c r="I648" t="s">
        <v>4553</v>
      </c>
      <c r="J648" t="s">
        <v>4552</v>
      </c>
      <c r="K648" t="s">
        <v>4551</v>
      </c>
      <c r="L648" t="s">
        <v>4550</v>
      </c>
      <c r="M648" t="s">
        <v>4549</v>
      </c>
      <c r="N648">
        <v>4</v>
      </c>
      <c r="O648" t="s">
        <v>4548</v>
      </c>
      <c r="P648" t="s">
        <v>4547</v>
      </c>
      <c r="Q648" t="s">
        <v>4546</v>
      </c>
      <c r="R648" s="7">
        <v>37500</v>
      </c>
      <c r="S648" s="8">
        <f t="shared" si="80"/>
        <v>2002</v>
      </c>
      <c r="T648" s="8">
        <v>2002</v>
      </c>
      <c r="U648" s="8">
        <f t="shared" si="81"/>
        <v>20</v>
      </c>
      <c r="V648" s="7">
        <v>37500</v>
      </c>
      <c r="W648" t="s">
        <v>352</v>
      </c>
      <c r="X648" s="2">
        <v>1.3720000000000001</v>
      </c>
      <c r="Y648" s="6">
        <f t="shared" si="86"/>
        <v>3.662475641333654E-2</v>
      </c>
      <c r="AA648">
        <v>189480</v>
      </c>
      <c r="AB648">
        <v>17366</v>
      </c>
      <c r="AD648" t="s">
        <v>2</v>
      </c>
      <c r="AE648">
        <v>50</v>
      </c>
      <c r="AF648">
        <v>9</v>
      </c>
      <c r="AH648" t="s">
        <v>4545</v>
      </c>
      <c r="AI648" t="s">
        <v>4544</v>
      </c>
      <c r="AK648" t="s">
        <v>4543</v>
      </c>
      <c r="AL648">
        <v>150</v>
      </c>
      <c r="AM648" s="5">
        <f t="shared" si="82"/>
        <v>7.5</v>
      </c>
      <c r="AN648" s="4">
        <f t="shared" si="87"/>
        <v>1.1359333585762969E-2</v>
      </c>
      <c r="AO648" s="3"/>
      <c r="AP648">
        <v>0</v>
      </c>
      <c r="AR648" t="s">
        <v>1</v>
      </c>
      <c r="AT648" s="2" t="s">
        <v>0</v>
      </c>
      <c r="AU648" s="1">
        <f t="shared" si="83"/>
        <v>2.9045129565064465</v>
      </c>
      <c r="AV648" s="1">
        <f t="shared" si="84"/>
        <v>2.3992044999549753</v>
      </c>
      <c r="AW648" s="1">
        <f t="shared" si="85"/>
        <v>1.8938960434035041</v>
      </c>
    </row>
    <row r="649" spans="1:49" x14ac:dyDescent="0.2">
      <c r="A649">
        <v>647</v>
      </c>
      <c r="B649" t="s">
        <v>4542</v>
      </c>
      <c r="C649" t="s">
        <v>4541</v>
      </c>
      <c r="D649">
        <v>1011092002801890</v>
      </c>
      <c r="F649" t="s">
        <v>4540</v>
      </c>
      <c r="G649" t="s">
        <v>5</v>
      </c>
      <c r="H649" t="s">
        <v>4</v>
      </c>
      <c r="I649" t="s">
        <v>4539</v>
      </c>
      <c r="J649" t="s">
        <v>4538</v>
      </c>
      <c r="K649" t="s">
        <v>4537</v>
      </c>
      <c r="L649" t="s">
        <v>4536</v>
      </c>
      <c r="M649" t="s">
        <v>4535</v>
      </c>
      <c r="N649">
        <v>3</v>
      </c>
      <c r="O649" t="s">
        <v>4534</v>
      </c>
      <c r="P649" t="s">
        <v>4533</v>
      </c>
      <c r="Q649" t="s">
        <v>4532</v>
      </c>
      <c r="R649" s="7">
        <v>37500</v>
      </c>
      <c r="S649" s="8">
        <f t="shared" si="80"/>
        <v>2002</v>
      </c>
      <c r="T649" s="8">
        <v>2002</v>
      </c>
      <c r="U649" s="8">
        <f t="shared" si="81"/>
        <v>20</v>
      </c>
      <c r="V649" s="7">
        <v>37500</v>
      </c>
      <c r="W649" t="s">
        <v>322</v>
      </c>
      <c r="X649" s="2">
        <v>1.6379999999999999</v>
      </c>
      <c r="Y649" s="6">
        <f t="shared" si="86"/>
        <v>4.3725474493473214E-2</v>
      </c>
      <c r="AA649" t="s">
        <v>321</v>
      </c>
      <c r="AB649">
        <v>17391</v>
      </c>
      <c r="AD649" t="s">
        <v>2</v>
      </c>
      <c r="AE649">
        <v>50</v>
      </c>
      <c r="AF649">
        <v>9</v>
      </c>
      <c r="AH649" t="s">
        <v>4531</v>
      </c>
      <c r="AI649" t="s">
        <v>4530</v>
      </c>
      <c r="AJ649" t="s">
        <v>4529</v>
      </c>
      <c r="AK649" t="s">
        <v>4528</v>
      </c>
      <c r="AL649">
        <v>47</v>
      </c>
      <c r="AM649" s="5">
        <f t="shared" si="82"/>
        <v>2.35</v>
      </c>
      <c r="AN649" s="4">
        <f t="shared" si="87"/>
        <v>3.559257856872397E-3</v>
      </c>
      <c r="AO649" s="3"/>
      <c r="AP649">
        <v>0</v>
      </c>
      <c r="AR649" t="s">
        <v>1</v>
      </c>
      <c r="AT649" s="2">
        <v>4.931</v>
      </c>
      <c r="AU649" s="1">
        <f t="shared" si="83"/>
        <v>3.1675609502492965</v>
      </c>
      <c r="AV649" s="1">
        <f t="shared" si="84"/>
        <v>2.3642366175172804</v>
      </c>
      <c r="AW649" s="1">
        <f t="shared" si="85"/>
        <v>1.5609122847852641</v>
      </c>
    </row>
    <row r="650" spans="1:49" x14ac:dyDescent="0.2">
      <c r="A650">
        <v>648</v>
      </c>
      <c r="B650" t="s">
        <v>4527</v>
      </c>
      <c r="C650" t="s">
        <v>4526</v>
      </c>
      <c r="E650">
        <v>12203727</v>
      </c>
      <c r="F650" t="s">
        <v>4525</v>
      </c>
      <c r="G650" t="s">
        <v>5</v>
      </c>
      <c r="H650" t="s">
        <v>4</v>
      </c>
      <c r="I650" t="s">
        <v>44</v>
      </c>
      <c r="J650" t="s">
        <v>963</v>
      </c>
      <c r="K650" t="s">
        <v>966</v>
      </c>
      <c r="L650" t="s">
        <v>965</v>
      </c>
      <c r="M650" t="s">
        <v>964</v>
      </c>
      <c r="N650">
        <v>3</v>
      </c>
      <c r="O650" t="s">
        <v>4524</v>
      </c>
      <c r="P650" t="s">
        <v>4523</v>
      </c>
      <c r="Q650" t="s">
        <v>4522</v>
      </c>
      <c r="R650" s="7">
        <v>37500</v>
      </c>
      <c r="S650" s="8">
        <f t="shared" si="80"/>
        <v>2002</v>
      </c>
      <c r="T650" s="8">
        <v>2002</v>
      </c>
      <c r="U650" s="8">
        <f t="shared" si="81"/>
        <v>20</v>
      </c>
      <c r="V650" s="7">
        <v>37500</v>
      </c>
      <c r="W650" t="s">
        <v>4521</v>
      </c>
      <c r="X650" s="2">
        <v>1.6339999999999999</v>
      </c>
      <c r="Y650" s="6">
        <f t="shared" si="86"/>
        <v>4.3618696777982434E-2</v>
      </c>
      <c r="AA650">
        <v>10588388</v>
      </c>
      <c r="AB650">
        <v>14538</v>
      </c>
      <c r="AD650" t="s">
        <v>2</v>
      </c>
      <c r="AE650">
        <v>225</v>
      </c>
      <c r="AF650">
        <v>1</v>
      </c>
      <c r="AH650" t="s">
        <v>225</v>
      </c>
      <c r="AI650" t="s">
        <v>4520</v>
      </c>
      <c r="AJ650" t="s">
        <v>4519</v>
      </c>
      <c r="AK650" t="s">
        <v>4518</v>
      </c>
      <c r="AL650">
        <v>17</v>
      </c>
      <c r="AM650" s="5">
        <f t="shared" si="82"/>
        <v>0.85</v>
      </c>
      <c r="AN650" s="4">
        <f t="shared" si="87"/>
        <v>1.2873911397198031E-3</v>
      </c>
      <c r="AO650" s="3"/>
      <c r="AP650">
        <v>1</v>
      </c>
      <c r="AR650" t="s">
        <v>1</v>
      </c>
      <c r="AT650" s="2">
        <v>3.78</v>
      </c>
      <c r="AU650" s="1">
        <f t="shared" si="83"/>
        <v>3.0919305086503641</v>
      </c>
      <c r="AV650" s="1">
        <f t="shared" si="84"/>
        <v>2.2453043958851118</v>
      </c>
      <c r="AW650" s="1">
        <f t="shared" si="85"/>
        <v>1.3986782831198592</v>
      </c>
    </row>
    <row r="651" spans="1:49" x14ac:dyDescent="0.2">
      <c r="A651">
        <v>649</v>
      </c>
      <c r="B651" t="s">
        <v>4517</v>
      </c>
      <c r="C651" t="s">
        <v>4516</v>
      </c>
      <c r="D651">
        <v>1011092002801890</v>
      </c>
      <c r="F651" t="s">
        <v>4515</v>
      </c>
      <c r="G651" t="s">
        <v>5</v>
      </c>
      <c r="H651" t="s">
        <v>4</v>
      </c>
      <c r="I651" t="s">
        <v>709</v>
      </c>
      <c r="J651" t="s">
        <v>4514</v>
      </c>
      <c r="K651" t="s">
        <v>4513</v>
      </c>
      <c r="L651" t="s">
        <v>4512</v>
      </c>
      <c r="M651" t="s">
        <v>4511</v>
      </c>
      <c r="N651">
        <v>1</v>
      </c>
      <c r="O651" t="s">
        <v>4510</v>
      </c>
      <c r="P651">
        <v>6701474999</v>
      </c>
      <c r="Q651" t="s">
        <v>4509</v>
      </c>
      <c r="R651" s="7">
        <v>37500</v>
      </c>
      <c r="S651" s="8">
        <f t="shared" si="80"/>
        <v>2002</v>
      </c>
      <c r="T651" s="8">
        <v>2002</v>
      </c>
      <c r="U651" s="8">
        <f t="shared" si="81"/>
        <v>20</v>
      </c>
      <c r="V651" s="7">
        <v>37500</v>
      </c>
      <c r="W651" t="s">
        <v>322</v>
      </c>
      <c r="X651" s="2">
        <v>1.6379999999999999</v>
      </c>
      <c r="Y651" s="6">
        <f t="shared" si="86"/>
        <v>4.3725474493473214E-2</v>
      </c>
      <c r="AA651" t="s">
        <v>321</v>
      </c>
      <c r="AB651">
        <v>17391</v>
      </c>
      <c r="AD651" t="s">
        <v>2</v>
      </c>
      <c r="AE651">
        <v>50</v>
      </c>
      <c r="AF651">
        <v>9</v>
      </c>
      <c r="AH651" t="s">
        <v>4508</v>
      </c>
      <c r="AI651" t="s">
        <v>4507</v>
      </c>
      <c r="AJ651" t="s">
        <v>4506</v>
      </c>
      <c r="AK651" t="s">
        <v>4505</v>
      </c>
      <c r="AL651">
        <v>104</v>
      </c>
      <c r="AM651" s="5">
        <f t="shared" si="82"/>
        <v>5.2</v>
      </c>
      <c r="AN651" s="4">
        <f t="shared" si="87"/>
        <v>7.8758046194623253E-3</v>
      </c>
      <c r="AO651" s="3"/>
      <c r="AP651">
        <v>0</v>
      </c>
      <c r="AR651" t="s">
        <v>1</v>
      </c>
      <c r="AT651" s="2">
        <v>4.931</v>
      </c>
      <c r="AU651" s="1">
        <f t="shared" si="83"/>
        <v>3.2970573531269949</v>
      </c>
      <c r="AV651" s="1">
        <f t="shared" si="84"/>
        <v>2.5800639556467768</v>
      </c>
      <c r="AW651" s="1">
        <f t="shared" si="85"/>
        <v>1.8630705581665592</v>
      </c>
    </row>
    <row r="652" spans="1:49" x14ac:dyDescent="0.2">
      <c r="A652">
        <v>650</v>
      </c>
      <c r="B652" t="s">
        <v>4504</v>
      </c>
      <c r="C652" t="s">
        <v>4503</v>
      </c>
      <c r="D652" t="s">
        <v>4502</v>
      </c>
      <c r="E652">
        <v>12322961</v>
      </c>
      <c r="F652" t="s">
        <v>4501</v>
      </c>
      <c r="G652" t="s">
        <v>5</v>
      </c>
      <c r="H652" t="s">
        <v>4</v>
      </c>
      <c r="I652" t="s">
        <v>4500</v>
      </c>
      <c r="J652" t="s">
        <v>4499</v>
      </c>
      <c r="K652" t="s">
        <v>4498</v>
      </c>
      <c r="L652" t="s">
        <v>4497</v>
      </c>
      <c r="M652" t="s">
        <v>80</v>
      </c>
      <c r="N652">
        <v>4</v>
      </c>
      <c r="O652" t="s">
        <v>4496</v>
      </c>
      <c r="P652" t="s">
        <v>4495</v>
      </c>
      <c r="Q652" t="s">
        <v>4494</v>
      </c>
      <c r="R652" s="7">
        <v>37500</v>
      </c>
      <c r="S652" s="8">
        <f t="shared" si="80"/>
        <v>2002</v>
      </c>
      <c r="T652" s="8">
        <v>2002</v>
      </c>
      <c r="U652" s="8">
        <f t="shared" si="81"/>
        <v>20</v>
      </c>
      <c r="V652" s="7">
        <v>37500</v>
      </c>
      <c r="W652" t="s">
        <v>4493</v>
      </c>
      <c r="X652" s="2">
        <v>0.96099999999999997</v>
      </c>
      <c r="Y652" s="6">
        <f t="shared" si="86"/>
        <v>2.5653346146659192E-2</v>
      </c>
      <c r="AA652">
        <v>10440305</v>
      </c>
      <c r="AB652">
        <v>29591</v>
      </c>
      <c r="AD652" t="s">
        <v>2</v>
      </c>
      <c r="AE652">
        <v>13</v>
      </c>
      <c r="AF652">
        <v>9</v>
      </c>
      <c r="AH652" t="s">
        <v>4492</v>
      </c>
      <c r="AI652" t="s">
        <v>4491</v>
      </c>
      <c r="AK652" t="s">
        <v>4490</v>
      </c>
      <c r="AL652">
        <v>73</v>
      </c>
      <c r="AM652" s="5">
        <f t="shared" si="82"/>
        <v>3.65</v>
      </c>
      <c r="AN652" s="4">
        <f t="shared" si="87"/>
        <v>5.5282090117379779E-3</v>
      </c>
      <c r="AO652" s="3"/>
      <c r="AP652">
        <v>1</v>
      </c>
      <c r="AR652" t="s">
        <v>1</v>
      </c>
      <c r="AT652" s="2" t="s">
        <v>0</v>
      </c>
      <c r="AU652" s="1">
        <f t="shared" si="83"/>
        <v>1.9615805006182825</v>
      </c>
      <c r="AV652" s="1">
        <f t="shared" si="84"/>
        <v>1.5590777579198585</v>
      </c>
      <c r="AW652" s="1">
        <f t="shared" si="85"/>
        <v>1.1565750152214342</v>
      </c>
    </row>
    <row r="653" spans="1:49" x14ac:dyDescent="0.2">
      <c r="A653">
        <v>651</v>
      </c>
      <c r="B653" t="s">
        <v>4489</v>
      </c>
      <c r="C653" t="s">
        <v>4488</v>
      </c>
      <c r="D653">
        <v>1011092002801920</v>
      </c>
      <c r="F653" t="s">
        <v>4487</v>
      </c>
      <c r="G653" t="s">
        <v>5</v>
      </c>
      <c r="H653" t="s">
        <v>4</v>
      </c>
      <c r="I653" t="s">
        <v>4486</v>
      </c>
      <c r="J653" t="s">
        <v>1150</v>
      </c>
      <c r="K653" t="s">
        <v>1149</v>
      </c>
      <c r="L653" t="s">
        <v>1148</v>
      </c>
      <c r="M653" t="s">
        <v>3</v>
      </c>
      <c r="N653">
        <v>2</v>
      </c>
      <c r="O653" t="s">
        <v>4485</v>
      </c>
      <c r="P653" t="s">
        <v>4484</v>
      </c>
      <c r="Q653" t="s">
        <v>4483</v>
      </c>
      <c r="R653" s="7">
        <v>37500</v>
      </c>
      <c r="S653" s="8">
        <f t="shared" si="80"/>
        <v>2002</v>
      </c>
      <c r="T653" s="8">
        <v>2002</v>
      </c>
      <c r="U653" s="8">
        <f t="shared" si="81"/>
        <v>20</v>
      </c>
      <c r="V653" s="7">
        <v>37500</v>
      </c>
      <c r="W653" t="s">
        <v>322</v>
      </c>
      <c r="X653" s="2">
        <v>1.6379999999999999</v>
      </c>
      <c r="Y653" s="6">
        <f t="shared" si="86"/>
        <v>4.3725474493473214E-2</v>
      </c>
      <c r="AA653" t="s">
        <v>321</v>
      </c>
      <c r="AB653">
        <v>17391</v>
      </c>
      <c r="AD653" t="s">
        <v>2</v>
      </c>
      <c r="AE653">
        <v>50</v>
      </c>
      <c r="AF653">
        <v>9</v>
      </c>
      <c r="AH653" t="s">
        <v>4482</v>
      </c>
      <c r="AI653" t="s">
        <v>4481</v>
      </c>
      <c r="AJ653" t="s">
        <v>4480</v>
      </c>
      <c r="AK653" t="s">
        <v>4479</v>
      </c>
      <c r="AL653">
        <v>24</v>
      </c>
      <c r="AM653" s="5">
        <f t="shared" si="82"/>
        <v>1.2</v>
      </c>
      <c r="AN653" s="4">
        <f t="shared" si="87"/>
        <v>1.8174933737220749E-3</v>
      </c>
      <c r="AO653" s="3"/>
      <c r="AP653">
        <v>0</v>
      </c>
      <c r="AR653" t="s">
        <v>404</v>
      </c>
      <c r="AT653" s="2">
        <v>4.931</v>
      </c>
      <c r="AU653" s="1">
        <f t="shared" si="83"/>
        <v>3.115308015754787</v>
      </c>
      <c r="AV653" s="1">
        <f t="shared" si="84"/>
        <v>2.2771483933597647</v>
      </c>
      <c r="AW653" s="1">
        <f t="shared" si="85"/>
        <v>1.4389887709647415</v>
      </c>
    </row>
    <row r="654" spans="1:49" x14ac:dyDescent="0.2">
      <c r="A654">
        <v>652</v>
      </c>
      <c r="B654" t="s">
        <v>4478</v>
      </c>
      <c r="C654" t="s">
        <v>4477</v>
      </c>
      <c r="D654" t="s">
        <v>4476</v>
      </c>
      <c r="F654" t="s">
        <v>4475</v>
      </c>
      <c r="G654" t="s">
        <v>5</v>
      </c>
      <c r="H654" t="s">
        <v>4</v>
      </c>
      <c r="I654" t="s">
        <v>4474</v>
      </c>
      <c r="J654" t="s">
        <v>4473</v>
      </c>
      <c r="K654" t="s">
        <v>4472</v>
      </c>
      <c r="L654" t="s">
        <v>4471</v>
      </c>
      <c r="M654" t="s">
        <v>4470</v>
      </c>
      <c r="N654">
        <v>3</v>
      </c>
      <c r="O654" t="s">
        <v>4469</v>
      </c>
      <c r="P654" t="s">
        <v>4468</v>
      </c>
      <c r="Q654" t="s">
        <v>4467</v>
      </c>
      <c r="R654" s="7">
        <v>37500</v>
      </c>
      <c r="S654" s="8">
        <f t="shared" si="80"/>
        <v>2002</v>
      </c>
      <c r="T654" s="8">
        <v>2002</v>
      </c>
      <c r="U654" s="8">
        <f t="shared" si="81"/>
        <v>20</v>
      </c>
      <c r="V654" s="7">
        <v>37500</v>
      </c>
      <c r="W654" t="s">
        <v>4466</v>
      </c>
      <c r="X654" s="2">
        <v>1.7609999999999999</v>
      </c>
      <c r="Y654" s="6">
        <f t="shared" si="86"/>
        <v>4.7008889244814604E-2</v>
      </c>
      <c r="AA654">
        <v>9518320</v>
      </c>
      <c r="AB654">
        <v>13853</v>
      </c>
      <c r="AD654" t="s">
        <v>2</v>
      </c>
      <c r="AE654">
        <v>77</v>
      </c>
      <c r="AF654">
        <v>3</v>
      </c>
      <c r="AH654" t="s">
        <v>4465</v>
      </c>
      <c r="AI654" t="s">
        <v>4464</v>
      </c>
      <c r="AJ654" t="s">
        <v>4463</v>
      </c>
      <c r="AK654" t="s">
        <v>4462</v>
      </c>
      <c r="AL654">
        <v>0</v>
      </c>
      <c r="AM654" s="5">
        <f t="shared" si="82"/>
        <v>0</v>
      </c>
      <c r="AN654" s="4">
        <f t="shared" si="87"/>
        <v>0</v>
      </c>
      <c r="AO654" s="3"/>
      <c r="AP654">
        <v>0</v>
      </c>
      <c r="AR654" t="s">
        <v>1</v>
      </c>
      <c r="AT654" s="2" t="s">
        <v>0</v>
      </c>
      <c r="AU654" s="1">
        <f t="shared" si="83"/>
        <v>3.2906222471370219</v>
      </c>
      <c r="AV654" s="1">
        <f t="shared" si="84"/>
        <v>2.3504444622407301</v>
      </c>
      <c r="AW654" s="1">
        <f t="shared" si="85"/>
        <v>1.4102666773444381</v>
      </c>
    </row>
    <row r="655" spans="1:49" x14ac:dyDescent="0.2">
      <c r="A655">
        <v>653</v>
      </c>
      <c r="B655" t="s">
        <v>4461</v>
      </c>
      <c r="C655" t="s">
        <v>4460</v>
      </c>
      <c r="D655" t="s">
        <v>4459</v>
      </c>
      <c r="F655" t="s">
        <v>4458</v>
      </c>
      <c r="G655" t="s">
        <v>5</v>
      </c>
      <c r="H655" t="s">
        <v>4</v>
      </c>
      <c r="I655" t="s">
        <v>4457</v>
      </c>
      <c r="J655">
        <v>60025578</v>
      </c>
      <c r="K655" t="s">
        <v>606</v>
      </c>
      <c r="L655" t="s">
        <v>605</v>
      </c>
      <c r="M655" t="s">
        <v>21</v>
      </c>
      <c r="N655">
        <v>4</v>
      </c>
      <c r="O655" t="s">
        <v>4456</v>
      </c>
      <c r="P655" t="s">
        <v>4455</v>
      </c>
      <c r="Q655" t="s">
        <v>4454</v>
      </c>
      <c r="R655" s="7">
        <v>37500</v>
      </c>
      <c r="S655" s="8">
        <f t="shared" si="80"/>
        <v>2002</v>
      </c>
      <c r="T655" s="8">
        <v>2002</v>
      </c>
      <c r="U655" s="8">
        <f t="shared" si="81"/>
        <v>20</v>
      </c>
      <c r="V655" s="7">
        <v>37500</v>
      </c>
      <c r="W655" t="s">
        <v>604</v>
      </c>
      <c r="X655" s="2">
        <v>0.94</v>
      </c>
      <c r="Y655" s="6">
        <f t="shared" si="86"/>
        <v>2.5092763140332611E-2</v>
      </c>
      <c r="AA655">
        <v>9574158</v>
      </c>
      <c r="AB655">
        <v>21096</v>
      </c>
      <c r="AD655" t="s">
        <v>2</v>
      </c>
      <c r="AE655">
        <v>12</v>
      </c>
      <c r="AF655">
        <v>7</v>
      </c>
      <c r="AH655" t="s">
        <v>4453</v>
      </c>
      <c r="AI655" t="s">
        <v>4452</v>
      </c>
      <c r="AJ655" t="s">
        <v>4451</v>
      </c>
      <c r="AK655" t="s">
        <v>4450</v>
      </c>
      <c r="AL655">
        <v>31</v>
      </c>
      <c r="AM655" s="5">
        <f t="shared" si="82"/>
        <v>1.55</v>
      </c>
      <c r="AN655" s="4">
        <f t="shared" si="87"/>
        <v>2.347595607724347E-3</v>
      </c>
      <c r="AO655" s="3"/>
      <c r="AP655">
        <v>0</v>
      </c>
      <c r="AR655" t="s">
        <v>1</v>
      </c>
      <c r="AT655" s="2">
        <v>3.4980000000000002</v>
      </c>
      <c r="AU655" s="1">
        <f t="shared" si="83"/>
        <v>1.826921288055013</v>
      </c>
      <c r="AV655" s="1">
        <f t="shared" si="84"/>
        <v>1.3720179374028478</v>
      </c>
      <c r="AW655" s="1">
        <f t="shared" si="85"/>
        <v>0.91711458675068258</v>
      </c>
    </row>
    <row r="656" spans="1:49" x14ac:dyDescent="0.2">
      <c r="A656">
        <v>654</v>
      </c>
      <c r="B656" t="s">
        <v>4449</v>
      </c>
      <c r="C656" t="s">
        <v>4448</v>
      </c>
      <c r="E656">
        <v>12214873</v>
      </c>
      <c r="F656" t="s">
        <v>4447</v>
      </c>
      <c r="G656" t="s">
        <v>5</v>
      </c>
      <c r="H656" t="s">
        <v>4</v>
      </c>
      <c r="I656" t="s">
        <v>4446</v>
      </c>
      <c r="J656" t="s">
        <v>4445</v>
      </c>
      <c r="K656" t="s">
        <v>4444</v>
      </c>
      <c r="L656" t="s">
        <v>4443</v>
      </c>
      <c r="M656" t="s">
        <v>32</v>
      </c>
      <c r="N656">
        <v>2</v>
      </c>
      <c r="O656" t="s">
        <v>4442</v>
      </c>
      <c r="P656" t="s">
        <v>4441</v>
      </c>
      <c r="Q656" t="s">
        <v>4440</v>
      </c>
      <c r="R656" s="7">
        <v>37500</v>
      </c>
      <c r="S656" s="8">
        <f t="shared" si="80"/>
        <v>2002</v>
      </c>
      <c r="T656" s="8">
        <v>2002</v>
      </c>
      <c r="U656" s="8">
        <f t="shared" si="81"/>
        <v>20</v>
      </c>
      <c r="V656" s="7">
        <v>37500</v>
      </c>
      <c r="W656" t="s">
        <v>2391</v>
      </c>
      <c r="X656" s="2">
        <v>1.1479999999999999</v>
      </c>
      <c r="Y656" s="6">
        <f t="shared" si="86"/>
        <v>3.0645204345853019E-2</v>
      </c>
      <c r="AA656">
        <v>189294</v>
      </c>
      <c r="AB656">
        <v>16318</v>
      </c>
      <c r="AD656" t="s">
        <v>2</v>
      </c>
      <c r="AE656">
        <v>49</v>
      </c>
      <c r="AF656">
        <v>9</v>
      </c>
      <c r="AH656" t="s">
        <v>4439</v>
      </c>
      <c r="AI656" t="s">
        <v>4438</v>
      </c>
      <c r="AJ656" t="s">
        <v>4437</v>
      </c>
      <c r="AK656" t="s">
        <v>4436</v>
      </c>
      <c r="AL656">
        <v>56</v>
      </c>
      <c r="AM656" s="5">
        <f t="shared" si="82"/>
        <v>2.8</v>
      </c>
      <c r="AN656" s="4">
        <f t="shared" si="87"/>
        <v>4.2408178720181747E-3</v>
      </c>
      <c r="AO656" s="3"/>
      <c r="AP656">
        <v>0</v>
      </c>
      <c r="AR656" t="s">
        <v>1</v>
      </c>
      <c r="AT656" s="2" t="s">
        <v>0</v>
      </c>
      <c r="AU656" s="1">
        <f t="shared" si="83"/>
        <v>2.2723888403702563</v>
      </c>
      <c r="AV656" s="1">
        <f t="shared" si="84"/>
        <v>1.7443011108935598</v>
      </c>
      <c r="AW656" s="1">
        <f t="shared" si="85"/>
        <v>1.2162133814168627</v>
      </c>
    </row>
    <row r="657" spans="1:49" x14ac:dyDescent="0.2">
      <c r="A657">
        <v>655</v>
      </c>
      <c r="B657" t="s">
        <v>4435</v>
      </c>
      <c r="C657" t="s">
        <v>4434</v>
      </c>
      <c r="E657">
        <v>12177744</v>
      </c>
      <c r="F657" t="s">
        <v>4433</v>
      </c>
      <c r="G657" t="s">
        <v>5</v>
      </c>
      <c r="H657" t="s">
        <v>4</v>
      </c>
      <c r="I657" t="s">
        <v>4432</v>
      </c>
      <c r="J657" t="s">
        <v>4431</v>
      </c>
      <c r="K657" t="s">
        <v>4430</v>
      </c>
      <c r="L657" t="s">
        <v>4429</v>
      </c>
      <c r="M657" t="s">
        <v>4428</v>
      </c>
      <c r="N657">
        <v>5</v>
      </c>
      <c r="O657" t="s">
        <v>4427</v>
      </c>
      <c r="P657" t="s">
        <v>4426</v>
      </c>
      <c r="Q657" t="s">
        <v>4425</v>
      </c>
      <c r="R657" s="7">
        <v>37500</v>
      </c>
      <c r="S657" s="8">
        <f t="shared" si="80"/>
        <v>2002</v>
      </c>
      <c r="T657" s="8">
        <v>2002</v>
      </c>
      <c r="U657" s="8">
        <f t="shared" si="81"/>
        <v>20</v>
      </c>
      <c r="V657" s="7">
        <v>37500</v>
      </c>
      <c r="W657" t="s">
        <v>4424</v>
      </c>
      <c r="X657" s="2">
        <v>0.57799999999999996</v>
      </c>
      <c r="Y657" s="6">
        <f t="shared" si="86"/>
        <v>1.5429379888417288E-2</v>
      </c>
      <c r="AA657">
        <v>3438651</v>
      </c>
      <c r="AB657">
        <v>19666</v>
      </c>
      <c r="AD657" t="s">
        <v>2</v>
      </c>
      <c r="AE657">
        <v>45</v>
      </c>
      <c r="AF657">
        <v>3</v>
      </c>
      <c r="AH657" t="s">
        <v>4423</v>
      </c>
      <c r="AI657" t="s">
        <v>4422</v>
      </c>
      <c r="AK657" t="s">
        <v>4421</v>
      </c>
      <c r="AL657">
        <v>2</v>
      </c>
      <c r="AM657" s="5">
        <f t="shared" si="82"/>
        <v>0.1</v>
      </c>
      <c r="AN657" s="4">
        <f t="shared" si="87"/>
        <v>1.5145778114350627E-4</v>
      </c>
      <c r="AO657" s="3"/>
      <c r="AP657">
        <v>0</v>
      </c>
      <c r="AR657" t="s">
        <v>1</v>
      </c>
      <c r="AT657" s="2">
        <v>2.1880000000000002</v>
      </c>
      <c r="AU657" s="1">
        <f t="shared" si="83"/>
        <v>1.0846003256235153</v>
      </c>
      <c r="AV657" s="1">
        <f t="shared" si="84"/>
        <v>0.77904188347803971</v>
      </c>
      <c r="AW657" s="1">
        <f t="shared" si="85"/>
        <v>0.47348344133256404</v>
      </c>
    </row>
    <row r="658" spans="1:49" x14ac:dyDescent="0.2">
      <c r="A658">
        <v>656</v>
      </c>
      <c r="B658" t="s">
        <v>4420</v>
      </c>
      <c r="C658" t="s">
        <v>4419</v>
      </c>
      <c r="D658">
        <v>1011092002801460</v>
      </c>
      <c r="F658" t="s">
        <v>4418</v>
      </c>
      <c r="G658" t="s">
        <v>5</v>
      </c>
      <c r="H658" t="s">
        <v>4</v>
      </c>
      <c r="I658" t="s">
        <v>1669</v>
      </c>
      <c r="J658" t="s">
        <v>1668</v>
      </c>
      <c r="K658" t="s">
        <v>1667</v>
      </c>
      <c r="L658" t="s">
        <v>1666</v>
      </c>
      <c r="M658" t="s">
        <v>1665</v>
      </c>
      <c r="N658">
        <v>1</v>
      </c>
      <c r="O658" t="s">
        <v>1664</v>
      </c>
      <c r="P658">
        <v>7404245964</v>
      </c>
      <c r="Q658" t="s">
        <v>1663</v>
      </c>
      <c r="R658" s="7">
        <v>37500</v>
      </c>
      <c r="S658" s="8">
        <f t="shared" si="80"/>
        <v>2002</v>
      </c>
      <c r="T658" s="8">
        <v>2002</v>
      </c>
      <c r="U658" s="8">
        <f t="shared" si="81"/>
        <v>20</v>
      </c>
      <c r="V658" s="7">
        <v>37500</v>
      </c>
      <c r="W658" t="s">
        <v>870</v>
      </c>
      <c r="X658" s="2">
        <v>1.218</v>
      </c>
      <c r="Y658" s="6">
        <f t="shared" si="86"/>
        <v>3.2513814366941618E-2</v>
      </c>
      <c r="AA658">
        <v>189448</v>
      </c>
      <c r="AB658">
        <v>15107</v>
      </c>
      <c r="AD658" t="s">
        <v>2</v>
      </c>
      <c r="AE658">
        <v>48</v>
      </c>
      <c r="AF658">
        <v>9</v>
      </c>
      <c r="AH658" t="s">
        <v>4417</v>
      </c>
      <c r="AI658" t="s">
        <v>4416</v>
      </c>
      <c r="AJ658" t="s">
        <v>4415</v>
      </c>
      <c r="AK658" t="s">
        <v>4414</v>
      </c>
      <c r="AL658">
        <v>151</v>
      </c>
      <c r="AM658" s="5">
        <f t="shared" si="82"/>
        <v>7.55</v>
      </c>
      <c r="AN658" s="4">
        <f t="shared" si="87"/>
        <v>1.1435062476334721E-2</v>
      </c>
      <c r="AO658" s="3"/>
      <c r="AP658">
        <v>0</v>
      </c>
      <c r="AR658" t="s">
        <v>1</v>
      </c>
      <c r="AT658" s="2" t="s">
        <v>0</v>
      </c>
      <c r="AU658" s="1">
        <f t="shared" si="83"/>
        <v>2.6190188799759548</v>
      </c>
      <c r="AV658" s="1">
        <f t="shared" si="84"/>
        <v>2.1974438421638167</v>
      </c>
      <c r="AW658" s="1">
        <f t="shared" si="85"/>
        <v>1.7758688043516788</v>
      </c>
    </row>
    <row r="659" spans="1:49" x14ac:dyDescent="0.2">
      <c r="A659">
        <v>657</v>
      </c>
      <c r="B659" t="s">
        <v>4413</v>
      </c>
      <c r="C659" t="s">
        <v>4412</v>
      </c>
      <c r="F659" t="s">
        <v>4411</v>
      </c>
      <c r="G659" t="s">
        <v>5</v>
      </c>
      <c r="H659" t="s">
        <v>4</v>
      </c>
      <c r="I659" t="s">
        <v>4410</v>
      </c>
      <c r="J659" t="s">
        <v>4409</v>
      </c>
      <c r="K659" t="s">
        <v>4408</v>
      </c>
      <c r="L659" t="s">
        <v>4407</v>
      </c>
      <c r="M659" t="s">
        <v>4406</v>
      </c>
      <c r="N659">
        <v>7</v>
      </c>
      <c r="O659" t="s">
        <v>4405</v>
      </c>
      <c r="P659" t="s">
        <v>4404</v>
      </c>
      <c r="Q659" t="s">
        <v>4403</v>
      </c>
      <c r="R659" s="7">
        <v>37500</v>
      </c>
      <c r="S659" s="8">
        <f t="shared" si="80"/>
        <v>2002</v>
      </c>
      <c r="T659" s="8">
        <v>2002</v>
      </c>
      <c r="U659" s="8">
        <f t="shared" si="81"/>
        <v>20</v>
      </c>
      <c r="V659" s="7">
        <v>37500</v>
      </c>
      <c r="W659" t="s">
        <v>25</v>
      </c>
      <c r="X659" s="2">
        <v>0.29699999999999999</v>
      </c>
      <c r="Y659" s="6">
        <f t="shared" si="86"/>
        <v>7.9282453751901971E-3</v>
      </c>
      <c r="AA659">
        <v>10637842</v>
      </c>
      <c r="AB659">
        <v>12310</v>
      </c>
      <c r="AD659" t="s">
        <v>2</v>
      </c>
      <c r="AE659">
        <v>47</v>
      </c>
      <c r="AF659">
        <v>9</v>
      </c>
      <c r="AH659" t="s">
        <v>4402</v>
      </c>
      <c r="AI659" t="s">
        <v>4401</v>
      </c>
      <c r="AK659" t="s">
        <v>4400</v>
      </c>
      <c r="AL659">
        <v>5</v>
      </c>
      <c r="AM659" s="5">
        <f t="shared" si="82"/>
        <v>0.25</v>
      </c>
      <c r="AN659" s="4">
        <f t="shared" si="87"/>
        <v>3.786444528587656E-4</v>
      </c>
      <c r="AO659" s="3"/>
      <c r="AP659">
        <v>0</v>
      </c>
      <c r="AQ659" t="s">
        <v>990</v>
      </c>
      <c r="AR659" t="s">
        <v>4399</v>
      </c>
      <c r="AS659" t="s">
        <v>989</v>
      </c>
      <c r="AT659" s="2">
        <v>0.65400000000000003</v>
      </c>
      <c r="AU659" s="1">
        <f t="shared" si="83"/>
        <v>0.56633650984907669</v>
      </c>
      <c r="AV659" s="1">
        <f t="shared" si="84"/>
        <v>0.41534449140244811</v>
      </c>
      <c r="AW659" s="1">
        <f t="shared" si="85"/>
        <v>0.26435247295581948</v>
      </c>
    </row>
    <row r="660" spans="1:49" x14ac:dyDescent="0.2">
      <c r="A660">
        <v>658</v>
      </c>
      <c r="B660" t="s">
        <v>4398</v>
      </c>
      <c r="C660" t="s">
        <v>4397</v>
      </c>
      <c r="E660">
        <v>12068017</v>
      </c>
      <c r="F660" t="s">
        <v>4396</v>
      </c>
      <c r="G660" t="s">
        <v>5</v>
      </c>
      <c r="H660" t="s">
        <v>4</v>
      </c>
      <c r="I660" t="s">
        <v>4395</v>
      </c>
      <c r="J660" t="s">
        <v>4394</v>
      </c>
      <c r="K660" t="s">
        <v>4393</v>
      </c>
      <c r="L660" t="s">
        <v>4392</v>
      </c>
      <c r="M660" t="s">
        <v>4391</v>
      </c>
      <c r="N660">
        <v>7</v>
      </c>
      <c r="O660" t="s">
        <v>4390</v>
      </c>
      <c r="P660" t="s">
        <v>4389</v>
      </c>
      <c r="Q660" t="s">
        <v>4388</v>
      </c>
      <c r="R660" s="7">
        <v>37498</v>
      </c>
      <c r="S660" s="8">
        <f t="shared" si="80"/>
        <v>2002</v>
      </c>
      <c r="T660" s="8">
        <v>2002</v>
      </c>
      <c r="U660" s="8">
        <f t="shared" si="81"/>
        <v>20</v>
      </c>
      <c r="V660" s="7">
        <v>37498</v>
      </c>
      <c r="W660" t="s">
        <v>807</v>
      </c>
      <c r="X660" s="2">
        <v>2.3610000000000002</v>
      </c>
      <c r="Y660" s="6">
        <f t="shared" si="86"/>
        <v>6.3025546568431179E-2</v>
      </c>
      <c r="AA660">
        <v>219258</v>
      </c>
      <c r="AB660">
        <v>17592</v>
      </c>
      <c r="AD660" t="s">
        <v>2</v>
      </c>
      <c r="AE660">
        <v>277</v>
      </c>
      <c r="AF660">
        <v>35</v>
      </c>
      <c r="AH660" t="s">
        <v>4387</v>
      </c>
      <c r="AI660" t="s">
        <v>4386</v>
      </c>
      <c r="AK660" t="s">
        <v>4385</v>
      </c>
      <c r="AL660">
        <v>124</v>
      </c>
      <c r="AM660" s="5">
        <f t="shared" si="82"/>
        <v>6.2</v>
      </c>
      <c r="AN660" s="4">
        <f t="shared" si="87"/>
        <v>9.3903824308973882E-3</v>
      </c>
      <c r="AO660" s="3"/>
      <c r="AP660">
        <v>1</v>
      </c>
      <c r="AR660" t="s">
        <v>1</v>
      </c>
      <c r="AT660" s="2">
        <v>5.157</v>
      </c>
      <c r="AU660" s="1">
        <f t="shared" si="83"/>
        <v>4.693499732717104</v>
      </c>
      <c r="AV660" s="1">
        <f t="shared" si="84"/>
        <v>3.6207964499664285</v>
      </c>
      <c r="AW660" s="1">
        <f t="shared" si="85"/>
        <v>2.5480931672157521</v>
      </c>
    </row>
    <row r="661" spans="1:49" x14ac:dyDescent="0.2">
      <c r="A661">
        <v>659</v>
      </c>
      <c r="B661" t="s">
        <v>4384</v>
      </c>
      <c r="C661" t="s">
        <v>4383</v>
      </c>
      <c r="F661" t="s">
        <v>4382</v>
      </c>
      <c r="G661" t="s">
        <v>5</v>
      </c>
      <c r="H661" t="s">
        <v>4</v>
      </c>
      <c r="I661" t="s">
        <v>4381</v>
      </c>
      <c r="J661">
        <v>60032882</v>
      </c>
      <c r="K661" t="s">
        <v>4380</v>
      </c>
      <c r="L661" t="s">
        <v>206</v>
      </c>
      <c r="M661" t="s">
        <v>45</v>
      </c>
      <c r="N661">
        <v>3</v>
      </c>
      <c r="O661" t="s">
        <v>4379</v>
      </c>
      <c r="P661" t="s">
        <v>4378</v>
      </c>
      <c r="Q661" t="s">
        <v>4377</v>
      </c>
      <c r="R661" s="7">
        <v>37497</v>
      </c>
      <c r="S661" s="8">
        <f t="shared" si="80"/>
        <v>2002</v>
      </c>
      <c r="T661" s="8">
        <v>2002</v>
      </c>
      <c r="U661" s="8">
        <f t="shared" si="81"/>
        <v>20</v>
      </c>
      <c r="V661" s="7">
        <v>37497</v>
      </c>
      <c r="W661" t="s">
        <v>786</v>
      </c>
      <c r="X661" s="2">
        <v>0.375</v>
      </c>
      <c r="Y661" s="6">
        <f t="shared" si="86"/>
        <v>1.0010410827260351E-2</v>
      </c>
      <c r="AA661">
        <v>135194</v>
      </c>
      <c r="AB661">
        <v>24918</v>
      </c>
      <c r="AD661" t="s">
        <v>2</v>
      </c>
      <c r="AE661">
        <v>38</v>
      </c>
      <c r="AF661">
        <v>18</v>
      </c>
      <c r="AH661" t="s">
        <v>4376</v>
      </c>
      <c r="AI661" t="s">
        <v>4375</v>
      </c>
      <c r="AK661" t="s">
        <v>4374</v>
      </c>
      <c r="AL661">
        <v>4</v>
      </c>
      <c r="AM661" s="5">
        <f t="shared" si="82"/>
        <v>0.2</v>
      </c>
      <c r="AN661" s="4">
        <f t="shared" si="87"/>
        <v>3.0291556228701253E-4</v>
      </c>
      <c r="AO661" s="3"/>
      <c r="AP661">
        <v>0</v>
      </c>
      <c r="AR661" t="s">
        <v>1</v>
      </c>
      <c r="AT661" s="2">
        <v>1.3140000000000001</v>
      </c>
      <c r="AU661" s="1">
        <f t="shared" si="83"/>
        <v>0.70981622477683493</v>
      </c>
      <c r="AV661" s="1">
        <f t="shared" si="84"/>
        <v>0.51566631947736818</v>
      </c>
      <c r="AW661" s="1">
        <f t="shared" si="85"/>
        <v>0.32151641417790139</v>
      </c>
    </row>
    <row r="662" spans="1:49" x14ac:dyDescent="0.2">
      <c r="A662">
        <v>660</v>
      </c>
      <c r="B662" t="s">
        <v>4373</v>
      </c>
      <c r="C662" t="s">
        <v>4372</v>
      </c>
      <c r="F662" t="s">
        <v>4371</v>
      </c>
      <c r="G662" t="s">
        <v>5</v>
      </c>
      <c r="H662" t="s">
        <v>4</v>
      </c>
      <c r="I662" t="s">
        <v>4370</v>
      </c>
      <c r="J662" t="s">
        <v>4365</v>
      </c>
      <c r="K662" t="s">
        <v>4369</v>
      </c>
      <c r="L662" t="s">
        <v>4368</v>
      </c>
      <c r="M662" t="s">
        <v>39</v>
      </c>
      <c r="N662">
        <v>2</v>
      </c>
      <c r="O662" t="s">
        <v>4367</v>
      </c>
      <c r="P662" t="s">
        <v>4366</v>
      </c>
      <c r="Q662" t="s">
        <v>4365</v>
      </c>
      <c r="R662" s="7">
        <v>37497</v>
      </c>
      <c r="S662" s="8">
        <f t="shared" si="80"/>
        <v>2002</v>
      </c>
      <c r="T662" s="8">
        <v>2002</v>
      </c>
      <c r="U662" s="8">
        <f t="shared" si="81"/>
        <v>20</v>
      </c>
      <c r="V662" s="7">
        <v>37497</v>
      </c>
      <c r="W662" t="s">
        <v>786</v>
      </c>
      <c r="X662" s="2">
        <v>0.375</v>
      </c>
      <c r="Y662" s="6">
        <f t="shared" si="86"/>
        <v>1.0010410827260351E-2</v>
      </c>
      <c r="AA662">
        <v>135194</v>
      </c>
      <c r="AB662">
        <v>24918</v>
      </c>
      <c r="AD662" t="s">
        <v>2</v>
      </c>
      <c r="AE662">
        <v>38</v>
      </c>
      <c r="AF662">
        <v>18</v>
      </c>
      <c r="AH662" t="s">
        <v>4364</v>
      </c>
      <c r="AI662" t="s">
        <v>4363</v>
      </c>
      <c r="AK662" t="s">
        <v>4362</v>
      </c>
      <c r="AL662">
        <v>16</v>
      </c>
      <c r="AM662" s="5">
        <f t="shared" si="82"/>
        <v>0.8</v>
      </c>
      <c r="AN662" s="4">
        <f t="shared" si="87"/>
        <v>1.2116622491480501E-3</v>
      </c>
      <c r="AO662" s="3"/>
      <c r="AP662">
        <v>0</v>
      </c>
      <c r="AR662" t="s">
        <v>1</v>
      </c>
      <c r="AT662" s="2">
        <v>1.3140000000000001</v>
      </c>
      <c r="AU662" s="1">
        <f t="shared" si="83"/>
        <v>0.73707862538266611</v>
      </c>
      <c r="AV662" s="1">
        <f t="shared" si="84"/>
        <v>0.56110365382042005</v>
      </c>
      <c r="AW662" s="1">
        <f t="shared" si="85"/>
        <v>0.38512868225817404</v>
      </c>
    </row>
    <row r="663" spans="1:49" x14ac:dyDescent="0.2">
      <c r="A663">
        <v>661</v>
      </c>
      <c r="B663" t="s">
        <v>4361</v>
      </c>
      <c r="C663" t="s">
        <v>4360</v>
      </c>
      <c r="F663" t="s">
        <v>4359</v>
      </c>
      <c r="G663" t="s">
        <v>5</v>
      </c>
      <c r="H663" t="s">
        <v>4</v>
      </c>
      <c r="I663" t="s">
        <v>4358</v>
      </c>
      <c r="J663">
        <v>60003771</v>
      </c>
      <c r="K663" t="s">
        <v>4357</v>
      </c>
      <c r="L663" t="s">
        <v>1006</v>
      </c>
      <c r="M663" t="s">
        <v>41</v>
      </c>
      <c r="N663">
        <v>3</v>
      </c>
      <c r="O663" t="s">
        <v>4356</v>
      </c>
      <c r="P663" t="s">
        <v>4355</v>
      </c>
      <c r="Q663" t="s">
        <v>4354</v>
      </c>
      <c r="R663" s="7">
        <v>37497</v>
      </c>
      <c r="S663" s="8">
        <f t="shared" si="80"/>
        <v>2002</v>
      </c>
      <c r="T663" s="8">
        <v>2002</v>
      </c>
      <c r="U663" s="8">
        <f t="shared" si="81"/>
        <v>20</v>
      </c>
      <c r="V663" s="7">
        <v>37497</v>
      </c>
      <c r="W663" t="s">
        <v>786</v>
      </c>
      <c r="X663" s="2">
        <v>0.375</v>
      </c>
      <c r="Y663" s="6">
        <f t="shared" si="86"/>
        <v>1.0010410827260351E-2</v>
      </c>
      <c r="AA663">
        <v>135194</v>
      </c>
      <c r="AB663">
        <v>24918</v>
      </c>
      <c r="AD663" t="s">
        <v>2</v>
      </c>
      <c r="AE663">
        <v>38</v>
      </c>
      <c r="AF663">
        <v>18</v>
      </c>
      <c r="AH663" t="s">
        <v>4353</v>
      </c>
      <c r="AI663" t="s">
        <v>4352</v>
      </c>
      <c r="AK663" t="s">
        <v>4351</v>
      </c>
      <c r="AL663">
        <v>2</v>
      </c>
      <c r="AM663" s="5">
        <f t="shared" si="82"/>
        <v>0.1</v>
      </c>
      <c r="AN663" s="4">
        <f t="shared" si="87"/>
        <v>1.5145778114350627E-4</v>
      </c>
      <c r="AO663" s="3"/>
      <c r="AP663">
        <v>0</v>
      </c>
      <c r="AR663" t="s">
        <v>1</v>
      </c>
      <c r="AT663" s="2">
        <v>1.3140000000000001</v>
      </c>
      <c r="AU663" s="1">
        <f t="shared" si="83"/>
        <v>0.70527249134252978</v>
      </c>
      <c r="AV663" s="1">
        <f t="shared" si="84"/>
        <v>0.50809343042019284</v>
      </c>
      <c r="AW663" s="1">
        <f t="shared" si="85"/>
        <v>0.31091436949785595</v>
      </c>
    </row>
    <row r="664" spans="1:49" x14ac:dyDescent="0.2">
      <c r="A664">
        <v>662</v>
      </c>
      <c r="B664" t="s">
        <v>4350</v>
      </c>
      <c r="C664" t="s">
        <v>4349</v>
      </c>
      <c r="F664" t="s">
        <v>4348</v>
      </c>
      <c r="G664" t="s">
        <v>5</v>
      </c>
      <c r="H664" t="s">
        <v>4</v>
      </c>
      <c r="I664" t="s">
        <v>4347</v>
      </c>
      <c r="J664">
        <v>60021097</v>
      </c>
      <c r="K664" t="s">
        <v>541</v>
      </c>
      <c r="L664" t="s">
        <v>540</v>
      </c>
      <c r="M664" t="s">
        <v>41</v>
      </c>
      <c r="N664">
        <v>2</v>
      </c>
      <c r="O664" t="s">
        <v>4346</v>
      </c>
      <c r="P664" t="s">
        <v>4345</v>
      </c>
      <c r="Q664" t="s">
        <v>600</v>
      </c>
      <c r="R664" s="7">
        <v>37497</v>
      </c>
      <c r="S664" s="8">
        <f t="shared" si="80"/>
        <v>2002</v>
      </c>
      <c r="T664" s="8">
        <v>2002</v>
      </c>
      <c r="U664" s="8">
        <f t="shared" si="81"/>
        <v>20</v>
      </c>
      <c r="V664" s="7">
        <v>37497</v>
      </c>
      <c r="W664" t="s">
        <v>786</v>
      </c>
      <c r="X664" s="2">
        <v>0.375</v>
      </c>
      <c r="Y664" s="6">
        <f t="shared" si="86"/>
        <v>1.0010410827260351E-2</v>
      </c>
      <c r="AA664">
        <v>135194</v>
      </c>
      <c r="AB664">
        <v>24918</v>
      </c>
      <c r="AD664" t="s">
        <v>2</v>
      </c>
      <c r="AE664">
        <v>38</v>
      </c>
      <c r="AF664">
        <v>18</v>
      </c>
      <c r="AH664" t="s">
        <v>4344</v>
      </c>
      <c r="AI664" t="s">
        <v>4343</v>
      </c>
      <c r="AK664" t="s">
        <v>4342</v>
      </c>
      <c r="AL664">
        <v>18</v>
      </c>
      <c r="AM664" s="5">
        <f t="shared" si="82"/>
        <v>0.9</v>
      </c>
      <c r="AN664" s="4">
        <f t="shared" si="87"/>
        <v>1.3631200302915562E-3</v>
      </c>
      <c r="AO664" s="3"/>
      <c r="AP664">
        <v>0</v>
      </c>
      <c r="AR664" t="s">
        <v>1</v>
      </c>
      <c r="AT664" s="2">
        <v>1.3140000000000001</v>
      </c>
      <c r="AU664" s="1">
        <f t="shared" si="83"/>
        <v>0.74162235881697125</v>
      </c>
      <c r="AV664" s="1">
        <f t="shared" si="84"/>
        <v>0.56867654287759539</v>
      </c>
      <c r="AW664" s="1">
        <f t="shared" si="85"/>
        <v>0.39573072693821948</v>
      </c>
    </row>
    <row r="665" spans="1:49" x14ac:dyDescent="0.2">
      <c r="A665">
        <v>663</v>
      </c>
      <c r="B665" t="s">
        <v>4341</v>
      </c>
      <c r="C665" t="s">
        <v>4340</v>
      </c>
      <c r="F665" t="s">
        <v>4339</v>
      </c>
      <c r="G665" t="s">
        <v>5</v>
      </c>
      <c r="H665" t="s">
        <v>4</v>
      </c>
      <c r="I665" t="s">
        <v>4338</v>
      </c>
      <c r="J665" t="s">
        <v>4337</v>
      </c>
      <c r="K665" t="s">
        <v>4336</v>
      </c>
      <c r="L665" t="s">
        <v>4335</v>
      </c>
      <c r="M665" t="s">
        <v>4334</v>
      </c>
      <c r="N665">
        <v>6</v>
      </c>
      <c r="O665" t="s">
        <v>4333</v>
      </c>
      <c r="P665" t="s">
        <v>4332</v>
      </c>
      <c r="Q665" t="s">
        <v>4331</v>
      </c>
      <c r="R665" s="7">
        <v>37496</v>
      </c>
      <c r="S665" s="8">
        <f t="shared" si="80"/>
        <v>2002</v>
      </c>
      <c r="T665" s="8">
        <v>2002</v>
      </c>
      <c r="U665" s="8">
        <f t="shared" si="81"/>
        <v>20</v>
      </c>
      <c r="V665" s="7">
        <v>2002</v>
      </c>
      <c r="W665" t="s">
        <v>4330</v>
      </c>
      <c r="X665" s="2">
        <v>0.755</v>
      </c>
      <c r="Y665" s="6">
        <f t="shared" si="86"/>
        <v>2.0154293798884174E-2</v>
      </c>
      <c r="AA665">
        <v>14619555</v>
      </c>
      <c r="AB665">
        <v>19105</v>
      </c>
      <c r="AD665" t="s">
        <v>2</v>
      </c>
      <c r="AE665">
        <v>4</v>
      </c>
      <c r="AF665">
        <v>3</v>
      </c>
      <c r="AH665" t="s">
        <v>4329</v>
      </c>
      <c r="AI665" t="s">
        <v>4328</v>
      </c>
      <c r="AJ665" t="s">
        <v>4327</v>
      </c>
      <c r="AK665" t="s">
        <v>4326</v>
      </c>
      <c r="AL665">
        <v>4</v>
      </c>
      <c r="AM665" s="5">
        <f t="shared" si="82"/>
        <v>0.2</v>
      </c>
      <c r="AN665" s="4">
        <f t="shared" si="87"/>
        <v>3.0291556228701253E-4</v>
      </c>
      <c r="AO665" s="3"/>
      <c r="AP665">
        <v>0</v>
      </c>
      <c r="AR665" t="s">
        <v>1</v>
      </c>
      <c r="AT665" s="2">
        <v>2.5089999999999999</v>
      </c>
      <c r="AU665" s="1">
        <f t="shared" si="83"/>
        <v>1.4198880327905026</v>
      </c>
      <c r="AV665" s="1">
        <f t="shared" si="84"/>
        <v>1.0228604680585593</v>
      </c>
      <c r="AW665" s="1">
        <f t="shared" si="85"/>
        <v>0.62583290332661612</v>
      </c>
    </row>
    <row r="666" spans="1:49" x14ac:dyDescent="0.2">
      <c r="A666">
        <v>664</v>
      </c>
      <c r="B666" t="s">
        <v>4325</v>
      </c>
      <c r="C666" t="s">
        <v>4324</v>
      </c>
      <c r="D666" t="s">
        <v>4323</v>
      </c>
      <c r="F666" t="s">
        <v>4322</v>
      </c>
      <c r="G666" t="s">
        <v>5</v>
      </c>
      <c r="H666" t="s">
        <v>4</v>
      </c>
      <c r="I666" t="s">
        <v>4321</v>
      </c>
      <c r="J666" t="s">
        <v>4320</v>
      </c>
      <c r="K666" t="s">
        <v>4319</v>
      </c>
      <c r="L666" t="s">
        <v>4318</v>
      </c>
      <c r="M666" t="s">
        <v>195</v>
      </c>
      <c r="N666">
        <v>3</v>
      </c>
      <c r="O666" t="s">
        <v>4317</v>
      </c>
      <c r="P666" t="s">
        <v>4316</v>
      </c>
      <c r="Q666" t="s">
        <v>4315</v>
      </c>
      <c r="R666" s="7">
        <v>37494</v>
      </c>
      <c r="S666" s="8">
        <f t="shared" si="80"/>
        <v>2002</v>
      </c>
      <c r="T666" s="8">
        <v>2002</v>
      </c>
      <c r="U666" s="8">
        <f t="shared" si="81"/>
        <v>20</v>
      </c>
      <c r="V666" s="7">
        <v>37494</v>
      </c>
      <c r="W666" t="s">
        <v>878</v>
      </c>
      <c r="X666" s="2">
        <v>0.499</v>
      </c>
      <c r="Y666" s="6">
        <f t="shared" si="86"/>
        <v>1.332052000747444E-2</v>
      </c>
      <c r="AA666">
        <v>3759601</v>
      </c>
      <c r="AB666">
        <v>29464</v>
      </c>
      <c r="AD666" t="s">
        <v>2</v>
      </c>
      <c r="AE666">
        <v>301</v>
      </c>
      <c r="AF666" s="9">
        <v>44289</v>
      </c>
      <c r="AH666" t="s">
        <v>4314</v>
      </c>
      <c r="AI666" t="s">
        <v>4313</v>
      </c>
      <c r="AK666" t="s">
        <v>4312</v>
      </c>
      <c r="AL666">
        <v>19</v>
      </c>
      <c r="AM666" s="5">
        <f t="shared" si="82"/>
        <v>0.95</v>
      </c>
      <c r="AN666" s="4">
        <f t="shared" si="87"/>
        <v>1.4388489208633094E-3</v>
      </c>
      <c r="AO666" s="3"/>
      <c r="AP666">
        <v>0</v>
      </c>
      <c r="AR666" t="s">
        <v>1</v>
      </c>
      <c r="AT666" s="2" t="s">
        <v>0</v>
      </c>
      <c r="AU666" s="1">
        <f t="shared" si="83"/>
        <v>0.9756018681491101</v>
      </c>
      <c r="AV666" s="1">
        <f t="shared" si="84"/>
        <v>0.73796844641688741</v>
      </c>
      <c r="AW666" s="1">
        <f t="shared" si="85"/>
        <v>0.50033502468466484</v>
      </c>
    </row>
    <row r="667" spans="1:49" x14ac:dyDescent="0.2">
      <c r="A667">
        <v>665</v>
      </c>
      <c r="B667" t="s">
        <v>4311</v>
      </c>
      <c r="C667" t="s">
        <v>4310</v>
      </c>
      <c r="F667" t="s">
        <v>4309</v>
      </c>
      <c r="G667" t="s">
        <v>5</v>
      </c>
      <c r="H667" t="s">
        <v>4</v>
      </c>
      <c r="I667" t="s">
        <v>4308</v>
      </c>
      <c r="J667" t="s">
        <v>4307</v>
      </c>
      <c r="K667" t="s">
        <v>4306</v>
      </c>
      <c r="L667" t="s">
        <v>4305</v>
      </c>
      <c r="M667" t="s">
        <v>3</v>
      </c>
      <c r="N667">
        <v>3</v>
      </c>
      <c r="O667" t="s">
        <v>4304</v>
      </c>
      <c r="P667" t="s">
        <v>4303</v>
      </c>
      <c r="Q667" t="s">
        <v>4302</v>
      </c>
      <c r="R667" s="7">
        <v>37494</v>
      </c>
      <c r="S667" s="8">
        <f t="shared" si="80"/>
        <v>2002</v>
      </c>
      <c r="T667" s="8">
        <v>2002</v>
      </c>
      <c r="U667" s="8">
        <f t="shared" si="81"/>
        <v>20</v>
      </c>
      <c r="V667" s="7">
        <v>2002</v>
      </c>
      <c r="W667" t="s">
        <v>4288</v>
      </c>
      <c r="X667" s="2">
        <v>0.755</v>
      </c>
      <c r="Y667" s="6">
        <f t="shared" si="86"/>
        <v>2.0154293798884174E-2</v>
      </c>
      <c r="AA667">
        <v>3003604</v>
      </c>
      <c r="AB667">
        <v>16515</v>
      </c>
      <c r="AD667" t="s">
        <v>2</v>
      </c>
      <c r="AE667">
        <v>40</v>
      </c>
      <c r="AF667">
        <v>1</v>
      </c>
      <c r="AH667" t="s">
        <v>4301</v>
      </c>
      <c r="AI667" t="s">
        <v>4300</v>
      </c>
      <c r="AJ667" t="s">
        <v>4299</v>
      </c>
      <c r="AK667" t="s">
        <v>4298</v>
      </c>
      <c r="AL667">
        <v>9</v>
      </c>
      <c r="AM667" s="5">
        <f t="shared" si="82"/>
        <v>0.45</v>
      </c>
      <c r="AN667" s="4">
        <f t="shared" si="87"/>
        <v>6.8156001514577808E-4</v>
      </c>
      <c r="AO667" s="3"/>
      <c r="AP667">
        <v>0</v>
      </c>
      <c r="AR667" t="s">
        <v>1</v>
      </c>
      <c r="AT667" s="2">
        <v>3.1890000000000001</v>
      </c>
      <c r="AU667" s="1">
        <f t="shared" si="83"/>
        <v>1.4312473663762653</v>
      </c>
      <c r="AV667" s="1">
        <f t="shared" si="84"/>
        <v>1.0417926907014976</v>
      </c>
      <c r="AW667" s="1">
        <f t="shared" si="85"/>
        <v>0.65233801502672961</v>
      </c>
    </row>
    <row r="668" spans="1:49" x14ac:dyDescent="0.2">
      <c r="A668">
        <v>666</v>
      </c>
      <c r="B668" t="s">
        <v>4297</v>
      </c>
      <c r="C668" t="s">
        <v>4296</v>
      </c>
      <c r="F668" t="s">
        <v>4295</v>
      </c>
      <c r="G668" t="s">
        <v>5</v>
      </c>
      <c r="H668" t="s">
        <v>4</v>
      </c>
      <c r="I668" t="s">
        <v>4294</v>
      </c>
      <c r="J668">
        <v>60016605</v>
      </c>
      <c r="K668" t="s">
        <v>4293</v>
      </c>
      <c r="L668" t="s">
        <v>4292</v>
      </c>
      <c r="M668" t="s">
        <v>762</v>
      </c>
      <c r="N668">
        <v>2</v>
      </c>
      <c r="O668" t="s">
        <v>4291</v>
      </c>
      <c r="P668" t="s">
        <v>4290</v>
      </c>
      <c r="Q668" t="s">
        <v>4289</v>
      </c>
      <c r="R668" s="7">
        <v>37494</v>
      </c>
      <c r="S668" s="8">
        <f t="shared" si="80"/>
        <v>2002</v>
      </c>
      <c r="T668" s="8">
        <v>2002</v>
      </c>
      <c r="U668" s="8">
        <f t="shared" si="81"/>
        <v>20</v>
      </c>
      <c r="V668" s="7">
        <v>2002</v>
      </c>
      <c r="W668" t="s">
        <v>4288</v>
      </c>
      <c r="X668" s="2">
        <v>0.755</v>
      </c>
      <c r="Y668" s="6">
        <f t="shared" si="86"/>
        <v>2.0154293798884174E-2</v>
      </c>
      <c r="AA668">
        <v>3003604</v>
      </c>
      <c r="AB668">
        <v>16515</v>
      </c>
      <c r="AD668" t="s">
        <v>2</v>
      </c>
      <c r="AE668">
        <v>40</v>
      </c>
      <c r="AF668">
        <v>1</v>
      </c>
      <c r="AH668" t="s">
        <v>4287</v>
      </c>
      <c r="AI668" t="s">
        <v>4286</v>
      </c>
      <c r="AJ668" t="s">
        <v>4285</v>
      </c>
      <c r="AK668" t="s">
        <v>4284</v>
      </c>
      <c r="AL668">
        <v>14</v>
      </c>
      <c r="AM668" s="5">
        <f t="shared" si="82"/>
        <v>0.7</v>
      </c>
      <c r="AN668" s="4">
        <f t="shared" si="87"/>
        <v>1.0602044680045437E-3</v>
      </c>
      <c r="AO668" s="3"/>
      <c r="AP668">
        <v>0</v>
      </c>
      <c r="AR668" t="s">
        <v>1</v>
      </c>
      <c r="AT668" s="2">
        <v>3.1890000000000001</v>
      </c>
      <c r="AU668" s="1">
        <f t="shared" si="83"/>
        <v>1.4426066999620284</v>
      </c>
      <c r="AV668" s="1">
        <f t="shared" si="84"/>
        <v>1.0607249133444359</v>
      </c>
      <c r="AW668" s="1">
        <f t="shared" si="85"/>
        <v>0.67884312672684322</v>
      </c>
    </row>
    <row r="669" spans="1:49" x14ac:dyDescent="0.2">
      <c r="A669">
        <v>667</v>
      </c>
      <c r="B669" t="s">
        <v>4283</v>
      </c>
      <c r="E669">
        <v>11861484</v>
      </c>
      <c r="F669" t="s">
        <v>4282</v>
      </c>
      <c r="G669" t="s">
        <v>5</v>
      </c>
      <c r="H669" t="s">
        <v>4</v>
      </c>
      <c r="I669" t="s">
        <v>4281</v>
      </c>
      <c r="J669">
        <v>60012614</v>
      </c>
      <c r="K669" t="s">
        <v>4280</v>
      </c>
      <c r="L669" t="s">
        <v>4279</v>
      </c>
      <c r="M669" t="s">
        <v>223</v>
      </c>
      <c r="N669">
        <v>7</v>
      </c>
      <c r="O669" t="s">
        <v>4278</v>
      </c>
      <c r="P669" t="s">
        <v>4277</v>
      </c>
      <c r="Q669" t="s">
        <v>4276</v>
      </c>
      <c r="R669" s="7">
        <v>37491</v>
      </c>
      <c r="S669" s="8">
        <f t="shared" si="80"/>
        <v>2002</v>
      </c>
      <c r="T669" s="8">
        <v>2002</v>
      </c>
      <c r="U669" s="8">
        <f t="shared" si="81"/>
        <v>20</v>
      </c>
      <c r="V669" s="7">
        <v>2002</v>
      </c>
      <c r="W669" t="s">
        <v>4076</v>
      </c>
      <c r="X669" s="2">
        <v>0.15</v>
      </c>
      <c r="Y669" s="6">
        <f t="shared" si="86"/>
        <v>4.0041643309041402E-3</v>
      </c>
      <c r="AA669">
        <v>9501991</v>
      </c>
      <c r="AB669">
        <v>14531</v>
      </c>
      <c r="AD669" t="s">
        <v>2</v>
      </c>
      <c r="AE669">
        <v>129</v>
      </c>
      <c r="AF669">
        <v>4</v>
      </c>
      <c r="AH669" t="s">
        <v>4275</v>
      </c>
      <c r="AI669" t="s">
        <v>4274</v>
      </c>
      <c r="AJ669" t="s">
        <v>4273</v>
      </c>
      <c r="AK669" t="s">
        <v>4272</v>
      </c>
      <c r="AL669">
        <v>73</v>
      </c>
      <c r="AM669" s="5">
        <f t="shared" si="82"/>
        <v>3.65</v>
      </c>
      <c r="AN669" s="4">
        <f t="shared" si="87"/>
        <v>5.5282090117379779E-3</v>
      </c>
      <c r="AO669" s="3"/>
      <c r="AP669">
        <v>0</v>
      </c>
      <c r="AR669" t="s">
        <v>1</v>
      </c>
      <c r="AT669" s="2">
        <v>6.8680000000000003</v>
      </c>
      <c r="AU669" s="1">
        <f t="shared" si="83"/>
        <v>0.44613777351542916</v>
      </c>
      <c r="AV669" s="1">
        <f t="shared" si="84"/>
        <v>0.47661866713210588</v>
      </c>
      <c r="AW669" s="1">
        <f t="shared" si="85"/>
        <v>0.5070995607487826</v>
      </c>
    </row>
    <row r="670" spans="1:49" x14ac:dyDescent="0.2">
      <c r="A670">
        <v>668</v>
      </c>
      <c r="B670" t="s">
        <v>4271</v>
      </c>
      <c r="E670">
        <v>11934862</v>
      </c>
      <c r="F670" t="s">
        <v>4270</v>
      </c>
      <c r="G670" t="s">
        <v>5</v>
      </c>
      <c r="H670" t="s">
        <v>4</v>
      </c>
      <c r="I670" t="s">
        <v>4269</v>
      </c>
      <c r="J670">
        <v>60032179</v>
      </c>
      <c r="K670" t="s">
        <v>503</v>
      </c>
      <c r="L670" t="s">
        <v>502</v>
      </c>
      <c r="M670" t="s">
        <v>7</v>
      </c>
      <c r="N670">
        <v>3</v>
      </c>
      <c r="O670" t="s">
        <v>4268</v>
      </c>
      <c r="P670" t="s">
        <v>4267</v>
      </c>
      <c r="Q670" t="s">
        <v>4077</v>
      </c>
      <c r="R670" s="7">
        <v>37491</v>
      </c>
      <c r="S670" s="8">
        <f t="shared" si="80"/>
        <v>2002</v>
      </c>
      <c r="T670" s="8">
        <v>2002</v>
      </c>
      <c r="U670" s="8">
        <f t="shared" si="81"/>
        <v>20</v>
      </c>
      <c r="V670" s="7">
        <v>2002</v>
      </c>
      <c r="W670" t="s">
        <v>4076</v>
      </c>
      <c r="X670" s="2">
        <v>0.15</v>
      </c>
      <c r="Y670" s="6">
        <f t="shared" si="86"/>
        <v>4.0041643309041402E-3</v>
      </c>
      <c r="AA670">
        <v>9501991</v>
      </c>
      <c r="AB670">
        <v>14531</v>
      </c>
      <c r="AD670" t="s">
        <v>2</v>
      </c>
      <c r="AE670">
        <v>129</v>
      </c>
      <c r="AF670">
        <v>8</v>
      </c>
      <c r="AH670" t="s">
        <v>4266</v>
      </c>
      <c r="AI670" t="s">
        <v>4265</v>
      </c>
      <c r="AJ670" t="s">
        <v>4264</v>
      </c>
      <c r="AK670" t="s">
        <v>4263</v>
      </c>
      <c r="AL670">
        <v>107</v>
      </c>
      <c r="AM670" s="5">
        <f t="shared" si="82"/>
        <v>5.35</v>
      </c>
      <c r="AN670" s="4">
        <f t="shared" si="87"/>
        <v>8.1029912911775841E-3</v>
      </c>
      <c r="AO670" s="3"/>
      <c r="AP670">
        <v>0</v>
      </c>
      <c r="AQ670" t="s">
        <v>796</v>
      </c>
      <c r="AR670" t="s">
        <v>4071</v>
      </c>
      <c r="AS670" t="s">
        <v>795</v>
      </c>
      <c r="AT670" s="2">
        <v>6.8680000000000003</v>
      </c>
      <c r="AU670" s="1">
        <f t="shared" si="83"/>
        <v>0.52338124189861734</v>
      </c>
      <c r="AV670" s="1">
        <f t="shared" si="84"/>
        <v>0.60535778110408622</v>
      </c>
      <c r="AW670" s="1">
        <f t="shared" si="85"/>
        <v>0.68733432030955499</v>
      </c>
    </row>
    <row r="671" spans="1:49" x14ac:dyDescent="0.2">
      <c r="A671">
        <v>669</v>
      </c>
      <c r="B671" t="s">
        <v>4262</v>
      </c>
      <c r="E671">
        <v>11874922</v>
      </c>
      <c r="F671" t="s">
        <v>4261</v>
      </c>
      <c r="G671" t="s">
        <v>5</v>
      </c>
      <c r="H671" t="s">
        <v>4</v>
      </c>
      <c r="I671" t="s">
        <v>4260</v>
      </c>
      <c r="J671">
        <v>60017317</v>
      </c>
      <c r="K671" t="s">
        <v>4259</v>
      </c>
      <c r="L671" t="s">
        <v>4258</v>
      </c>
      <c r="M671" t="s">
        <v>41</v>
      </c>
      <c r="N671">
        <v>4</v>
      </c>
      <c r="O671" t="s">
        <v>4257</v>
      </c>
      <c r="P671" t="s">
        <v>4256</v>
      </c>
      <c r="Q671" t="s">
        <v>4255</v>
      </c>
      <c r="R671" s="7">
        <v>37491</v>
      </c>
      <c r="S671" s="8">
        <f t="shared" si="80"/>
        <v>2002</v>
      </c>
      <c r="T671" s="8">
        <v>2002</v>
      </c>
      <c r="U671" s="8">
        <f t="shared" si="81"/>
        <v>20</v>
      </c>
      <c r="V671" s="7">
        <v>2002</v>
      </c>
      <c r="W671" t="s">
        <v>4076</v>
      </c>
      <c r="X671" s="2">
        <v>0.15</v>
      </c>
      <c r="Y671" s="6">
        <f t="shared" si="86"/>
        <v>4.0041643309041402E-3</v>
      </c>
      <c r="AA671">
        <v>9501991</v>
      </c>
      <c r="AB671">
        <v>14531</v>
      </c>
      <c r="AD671" t="s">
        <v>2</v>
      </c>
      <c r="AE671">
        <v>129</v>
      </c>
      <c r="AF671">
        <v>5</v>
      </c>
      <c r="AH671" t="s">
        <v>4254</v>
      </c>
      <c r="AI671" t="s">
        <v>4253</v>
      </c>
      <c r="AJ671" t="s">
        <v>4252</v>
      </c>
      <c r="AK671" t="s">
        <v>4251</v>
      </c>
      <c r="AL671">
        <v>77</v>
      </c>
      <c r="AM671" s="5">
        <f t="shared" si="82"/>
        <v>3.85</v>
      </c>
      <c r="AN671" s="4">
        <f t="shared" si="87"/>
        <v>5.8311245740249908E-3</v>
      </c>
      <c r="AO671" s="3"/>
      <c r="AP671">
        <v>0</v>
      </c>
      <c r="AQ671" t="s">
        <v>1038</v>
      </c>
      <c r="AR671" t="s">
        <v>4250</v>
      </c>
      <c r="AS671" t="s">
        <v>1037</v>
      </c>
      <c r="AT671" s="2">
        <v>6.8680000000000003</v>
      </c>
      <c r="AU671" s="1">
        <f t="shared" si="83"/>
        <v>0.4552252403840395</v>
      </c>
      <c r="AV671" s="1">
        <f t="shared" si="84"/>
        <v>0.49176444524645657</v>
      </c>
      <c r="AW671" s="1">
        <f t="shared" si="85"/>
        <v>0.52830365010887348</v>
      </c>
    </row>
    <row r="672" spans="1:49" x14ac:dyDescent="0.2">
      <c r="A672">
        <v>670</v>
      </c>
      <c r="B672" t="s">
        <v>4249</v>
      </c>
      <c r="C672" t="s">
        <v>4248</v>
      </c>
      <c r="F672" t="s">
        <v>4247</v>
      </c>
      <c r="G672" t="s">
        <v>5</v>
      </c>
      <c r="H672" t="s">
        <v>4</v>
      </c>
      <c r="I672" t="s">
        <v>4246</v>
      </c>
      <c r="J672" t="s">
        <v>4245</v>
      </c>
      <c r="K672" t="s">
        <v>4244</v>
      </c>
      <c r="L672" t="s">
        <v>4243</v>
      </c>
      <c r="M672" t="s">
        <v>4242</v>
      </c>
      <c r="N672">
        <v>5</v>
      </c>
      <c r="O672" t="s">
        <v>4241</v>
      </c>
      <c r="P672" t="s">
        <v>4240</v>
      </c>
      <c r="Q672" t="s">
        <v>4239</v>
      </c>
      <c r="R672" s="7">
        <v>37489</v>
      </c>
      <c r="S672" s="8">
        <f t="shared" si="80"/>
        <v>2002</v>
      </c>
      <c r="T672" s="8">
        <v>2002</v>
      </c>
      <c r="U672" s="8">
        <f t="shared" si="81"/>
        <v>20</v>
      </c>
      <c r="V672" s="7">
        <v>37489</v>
      </c>
      <c r="W672" t="s">
        <v>955</v>
      </c>
      <c r="X672" s="2">
        <v>2.0579999999999998</v>
      </c>
      <c r="Y672" s="6">
        <f t="shared" si="86"/>
        <v>5.4937134620004803E-2</v>
      </c>
      <c r="AA672">
        <v>358711</v>
      </c>
      <c r="AB672">
        <v>28218</v>
      </c>
      <c r="AD672" t="s">
        <v>2</v>
      </c>
      <c r="AE672">
        <v>334</v>
      </c>
      <c r="AF672">
        <v>4</v>
      </c>
      <c r="AH672" t="s">
        <v>4238</v>
      </c>
      <c r="AI672" t="s">
        <v>4237</v>
      </c>
      <c r="AJ672" t="s">
        <v>4236</v>
      </c>
      <c r="AK672" t="s">
        <v>4235</v>
      </c>
      <c r="AL672">
        <v>75</v>
      </c>
      <c r="AM672" s="5">
        <f t="shared" si="82"/>
        <v>3.75</v>
      </c>
      <c r="AN672" s="4">
        <f t="shared" si="87"/>
        <v>5.6796667928814843E-3</v>
      </c>
      <c r="AO672" s="3"/>
      <c r="AP672">
        <v>0</v>
      </c>
      <c r="AR672" t="s">
        <v>1</v>
      </c>
      <c r="AT672" s="2" t="s">
        <v>0</v>
      </c>
      <c r="AU672" s="1">
        <f t="shared" si="83"/>
        <v>4.0159894271867804</v>
      </c>
      <c r="AV672" s="1">
        <f t="shared" si="84"/>
        <v>3.0308400706443144</v>
      </c>
      <c r="AW672" s="1">
        <f t="shared" si="85"/>
        <v>2.0456907141018479</v>
      </c>
    </row>
    <row r="673" spans="1:49" x14ac:dyDescent="0.2">
      <c r="A673">
        <v>671</v>
      </c>
      <c r="B673" t="s">
        <v>4234</v>
      </c>
      <c r="C673" t="s">
        <v>4233</v>
      </c>
      <c r="D673" t="s">
        <v>4232</v>
      </c>
      <c r="E673">
        <v>12222860</v>
      </c>
      <c r="F673" t="s">
        <v>4231</v>
      </c>
      <c r="G673" t="s">
        <v>5</v>
      </c>
      <c r="H673" t="s">
        <v>4</v>
      </c>
      <c r="I673" t="s">
        <v>4230</v>
      </c>
      <c r="J673" t="s">
        <v>4229</v>
      </c>
      <c r="K673" t="s">
        <v>4228</v>
      </c>
      <c r="L673" t="s">
        <v>4227</v>
      </c>
      <c r="M673" t="s">
        <v>4226</v>
      </c>
      <c r="N673">
        <v>4</v>
      </c>
      <c r="O673" t="s">
        <v>4225</v>
      </c>
      <c r="P673" t="s">
        <v>4224</v>
      </c>
      <c r="Q673" t="s">
        <v>4223</v>
      </c>
      <c r="R673" s="7">
        <v>37489</v>
      </c>
      <c r="S673" s="8">
        <f t="shared" si="80"/>
        <v>2002</v>
      </c>
      <c r="T673" s="8">
        <v>2002</v>
      </c>
      <c r="U673" s="8">
        <f t="shared" si="81"/>
        <v>20</v>
      </c>
      <c r="V673" s="7">
        <v>37489</v>
      </c>
      <c r="W673" t="s">
        <v>1118</v>
      </c>
      <c r="X673" s="2">
        <v>1.3120000000000001</v>
      </c>
      <c r="Y673" s="6">
        <f t="shared" si="86"/>
        <v>3.502309068097488E-2</v>
      </c>
      <c r="AA673">
        <v>319155</v>
      </c>
      <c r="AB673">
        <v>29203</v>
      </c>
      <c r="AD673" t="s">
        <v>2</v>
      </c>
      <c r="AE673">
        <v>47</v>
      </c>
      <c r="AF673">
        <v>16</v>
      </c>
      <c r="AH673" t="s">
        <v>4222</v>
      </c>
      <c r="AI673" t="s">
        <v>4221</v>
      </c>
      <c r="AK673" t="s">
        <v>4220</v>
      </c>
      <c r="AL673">
        <v>35</v>
      </c>
      <c r="AM673" s="5">
        <f t="shared" si="82"/>
        <v>1.75</v>
      </c>
      <c r="AN673" s="4">
        <f t="shared" si="87"/>
        <v>2.6505111700113595E-3</v>
      </c>
      <c r="AO673" s="3"/>
      <c r="AP673">
        <v>0</v>
      </c>
      <c r="AR673" t="s">
        <v>1</v>
      </c>
      <c r="AT673" s="2">
        <v>3.609</v>
      </c>
      <c r="AU673" s="1">
        <f t="shared" si="83"/>
        <v>2.5311316827685824</v>
      </c>
      <c r="AV673" s="1">
        <f t="shared" si="84"/>
        <v>1.883680092549312</v>
      </c>
      <c r="AW673" s="1">
        <f t="shared" si="85"/>
        <v>1.2362285023300417</v>
      </c>
    </row>
    <row r="674" spans="1:49" x14ac:dyDescent="0.2">
      <c r="A674">
        <v>672</v>
      </c>
      <c r="B674" t="s">
        <v>4219</v>
      </c>
      <c r="E674">
        <v>11914382</v>
      </c>
      <c r="F674" t="s">
        <v>4218</v>
      </c>
      <c r="G674" t="s">
        <v>5</v>
      </c>
      <c r="H674" t="s">
        <v>4</v>
      </c>
      <c r="I674" t="s">
        <v>4217</v>
      </c>
      <c r="J674">
        <v>60018179</v>
      </c>
      <c r="K674" t="s">
        <v>270</v>
      </c>
      <c r="L674" t="s">
        <v>214</v>
      </c>
      <c r="M674" t="s">
        <v>7</v>
      </c>
      <c r="N674">
        <v>4</v>
      </c>
      <c r="O674" t="s">
        <v>4216</v>
      </c>
      <c r="P674" t="s">
        <v>4215</v>
      </c>
      <c r="Q674" t="s">
        <v>4214</v>
      </c>
      <c r="R674" s="7">
        <v>37489</v>
      </c>
      <c r="S674" s="8">
        <f t="shared" si="80"/>
        <v>2002</v>
      </c>
      <c r="T674" s="8">
        <v>2002</v>
      </c>
      <c r="U674" s="8">
        <f t="shared" si="81"/>
        <v>20</v>
      </c>
      <c r="V674" s="7">
        <v>2002</v>
      </c>
      <c r="W674" t="s">
        <v>40</v>
      </c>
      <c r="X674" s="2">
        <v>1.367</v>
      </c>
      <c r="Y674" s="6">
        <f t="shared" si="86"/>
        <v>3.6491284268973065E-2</v>
      </c>
      <c r="AA674">
        <v>220949</v>
      </c>
      <c r="AB674">
        <v>29605</v>
      </c>
      <c r="AD674" t="s">
        <v>2</v>
      </c>
      <c r="AE674">
        <v>205</v>
      </c>
      <c r="AF674">
        <v>6</v>
      </c>
      <c r="AH674" t="s">
        <v>4213</v>
      </c>
      <c r="AI674" t="s">
        <v>4212</v>
      </c>
      <c r="AJ674" t="s">
        <v>4211</v>
      </c>
      <c r="AK674" t="s">
        <v>4210</v>
      </c>
      <c r="AL674">
        <v>119</v>
      </c>
      <c r="AM674" s="5">
        <f t="shared" si="82"/>
        <v>5.95</v>
      </c>
      <c r="AN674" s="4">
        <f t="shared" si="87"/>
        <v>9.0117379780386211E-3</v>
      </c>
      <c r="AO674" s="3"/>
      <c r="AP674">
        <v>0</v>
      </c>
      <c r="AQ674" t="s">
        <v>409</v>
      </c>
      <c r="AR674" t="s">
        <v>4209</v>
      </c>
      <c r="AS674" t="s">
        <v>408</v>
      </c>
      <c r="AT674" s="2">
        <v>3.3119999999999998</v>
      </c>
      <c r="AU674" s="1">
        <f t="shared" si="83"/>
        <v>2.8247420381692727</v>
      </c>
      <c r="AV674" s="1">
        <f t="shared" si="84"/>
        <v>2.2751511123505841</v>
      </c>
      <c r="AW674" s="1">
        <f t="shared" si="85"/>
        <v>1.7255601865318955</v>
      </c>
    </row>
    <row r="675" spans="1:49" x14ac:dyDescent="0.2">
      <c r="A675">
        <v>673</v>
      </c>
      <c r="B675" t="s">
        <v>4208</v>
      </c>
      <c r="C675" t="s">
        <v>4207</v>
      </c>
      <c r="F675" t="s">
        <v>4206</v>
      </c>
      <c r="G675" t="s">
        <v>5</v>
      </c>
      <c r="H675" t="s">
        <v>4</v>
      </c>
      <c r="I675" t="s">
        <v>4205</v>
      </c>
      <c r="J675">
        <v>60091990</v>
      </c>
      <c r="K675" t="s">
        <v>4204</v>
      </c>
      <c r="L675" t="s">
        <v>136</v>
      </c>
      <c r="M675" t="s">
        <v>135</v>
      </c>
      <c r="N675">
        <v>1</v>
      </c>
      <c r="O675" t="s">
        <v>4203</v>
      </c>
      <c r="P675">
        <v>55231989000</v>
      </c>
      <c r="Q675">
        <v>60091990</v>
      </c>
      <c r="R675" s="7">
        <v>37488</v>
      </c>
      <c r="S675" s="8">
        <f t="shared" si="80"/>
        <v>2002</v>
      </c>
      <c r="T675" s="8">
        <v>2002</v>
      </c>
      <c r="U675" s="8">
        <f t="shared" si="81"/>
        <v>20</v>
      </c>
      <c r="V675" s="7">
        <v>37488</v>
      </c>
      <c r="W675" t="s">
        <v>703</v>
      </c>
      <c r="X675" s="2">
        <v>2.3759999999999999</v>
      </c>
      <c r="Y675" s="6">
        <f t="shared" si="86"/>
        <v>6.3425963001521576E-2</v>
      </c>
      <c r="AA675" t="s">
        <v>702</v>
      </c>
      <c r="AB675">
        <v>26765</v>
      </c>
      <c r="AC675">
        <v>15384357</v>
      </c>
      <c r="AD675" t="s">
        <v>2</v>
      </c>
      <c r="AE675">
        <v>575</v>
      </c>
      <c r="AF675" t="s">
        <v>919</v>
      </c>
      <c r="AH675" t="s">
        <v>4202</v>
      </c>
      <c r="AI675" t="s">
        <v>4201</v>
      </c>
      <c r="AJ675" t="s">
        <v>4200</v>
      </c>
      <c r="AK675" t="s">
        <v>4199</v>
      </c>
      <c r="AL675">
        <v>9</v>
      </c>
      <c r="AM675" s="5">
        <f t="shared" si="82"/>
        <v>0.45</v>
      </c>
      <c r="AN675" s="4">
        <f t="shared" si="87"/>
        <v>6.8156001514577808E-4</v>
      </c>
      <c r="AO675" s="3"/>
      <c r="AP675">
        <v>0</v>
      </c>
      <c r="AR675" t="s">
        <v>1</v>
      </c>
      <c r="AT675" s="2">
        <v>5.8739999999999997</v>
      </c>
      <c r="AU675" s="1">
        <f t="shared" si="83"/>
        <v>4.460264210560883</v>
      </c>
      <c r="AV675" s="1">
        <f t="shared" si="84"/>
        <v>3.2053761508333674</v>
      </c>
      <c r="AW675" s="1">
        <f t="shared" si="85"/>
        <v>1.950488091105852</v>
      </c>
    </row>
    <row r="676" spans="1:49" x14ac:dyDescent="0.2">
      <c r="A676">
        <v>674</v>
      </c>
      <c r="B676" t="s">
        <v>4198</v>
      </c>
      <c r="C676" t="s">
        <v>4197</v>
      </c>
      <c r="F676" t="s">
        <v>4196</v>
      </c>
      <c r="G676" t="s">
        <v>5</v>
      </c>
      <c r="H676" t="s">
        <v>4</v>
      </c>
      <c r="I676" t="s">
        <v>4195</v>
      </c>
      <c r="J676" t="s">
        <v>4194</v>
      </c>
      <c r="K676" t="s">
        <v>4193</v>
      </c>
      <c r="L676" t="s">
        <v>4192</v>
      </c>
      <c r="M676" t="s">
        <v>22</v>
      </c>
      <c r="N676">
        <v>2</v>
      </c>
      <c r="O676" t="s">
        <v>4191</v>
      </c>
      <c r="P676" t="s">
        <v>4190</v>
      </c>
      <c r="Q676" t="s">
        <v>4189</v>
      </c>
      <c r="R676" s="7">
        <v>37488</v>
      </c>
      <c r="S676" s="8">
        <f t="shared" si="80"/>
        <v>2002</v>
      </c>
      <c r="T676" s="8">
        <v>2002</v>
      </c>
      <c r="U676" s="8">
        <f t="shared" si="81"/>
        <v>20</v>
      </c>
      <c r="V676" s="7">
        <v>37488</v>
      </c>
      <c r="W676" t="s">
        <v>703</v>
      </c>
      <c r="X676" s="2">
        <v>2.3759999999999999</v>
      </c>
      <c r="Y676" s="6">
        <f t="shared" si="86"/>
        <v>6.3425963001521576E-2</v>
      </c>
      <c r="AA676" t="s">
        <v>702</v>
      </c>
      <c r="AB676">
        <v>26765</v>
      </c>
      <c r="AC676">
        <v>15384357</v>
      </c>
      <c r="AD676" t="s">
        <v>2</v>
      </c>
      <c r="AE676">
        <v>575</v>
      </c>
      <c r="AF676" t="s">
        <v>919</v>
      </c>
      <c r="AH676" t="s">
        <v>4188</v>
      </c>
      <c r="AI676" t="s">
        <v>4187</v>
      </c>
      <c r="AJ676" t="s">
        <v>4186</v>
      </c>
      <c r="AK676" t="s">
        <v>4185</v>
      </c>
      <c r="AL676">
        <v>46</v>
      </c>
      <c r="AM676" s="5">
        <f t="shared" si="82"/>
        <v>2.2999999999999998</v>
      </c>
      <c r="AN676" s="4">
        <f t="shared" si="87"/>
        <v>3.4835289663006433E-3</v>
      </c>
      <c r="AO676" s="3"/>
      <c r="AP676">
        <v>0</v>
      </c>
      <c r="AR676" t="s">
        <v>1</v>
      </c>
      <c r="AT676" s="2">
        <v>5.8739999999999997</v>
      </c>
      <c r="AU676" s="1">
        <f t="shared" si="83"/>
        <v>4.5443232790955292</v>
      </c>
      <c r="AV676" s="1">
        <f t="shared" si="84"/>
        <v>3.3454745983911112</v>
      </c>
      <c r="AW676" s="1">
        <f t="shared" si="85"/>
        <v>2.1466259176866926</v>
      </c>
    </row>
    <row r="677" spans="1:49" x14ac:dyDescent="0.2">
      <c r="A677">
        <v>675</v>
      </c>
      <c r="B677" t="s">
        <v>4184</v>
      </c>
      <c r="C677" t="s">
        <v>4183</v>
      </c>
      <c r="F677" t="s">
        <v>4182</v>
      </c>
      <c r="G677" t="s">
        <v>5</v>
      </c>
      <c r="H677" t="s">
        <v>4</v>
      </c>
      <c r="I677" t="s">
        <v>4181</v>
      </c>
      <c r="J677" t="s">
        <v>4180</v>
      </c>
      <c r="K677" t="s">
        <v>4179</v>
      </c>
      <c r="L677" t="s">
        <v>4178</v>
      </c>
      <c r="M677" t="s">
        <v>4177</v>
      </c>
      <c r="N677">
        <v>4</v>
      </c>
      <c r="O677" t="s">
        <v>4176</v>
      </c>
      <c r="P677" t="s">
        <v>4175</v>
      </c>
      <c r="Q677" t="s">
        <v>4174</v>
      </c>
      <c r="R677" s="7">
        <v>37488</v>
      </c>
      <c r="S677" s="8">
        <f t="shared" si="80"/>
        <v>2002</v>
      </c>
      <c r="T677" s="8">
        <v>2002</v>
      </c>
      <c r="U677" s="8">
        <f t="shared" si="81"/>
        <v>20</v>
      </c>
      <c r="V677" s="7">
        <v>37488</v>
      </c>
      <c r="W677" t="s">
        <v>1174</v>
      </c>
      <c r="X677" s="2">
        <v>0.91800000000000004</v>
      </c>
      <c r="Y677" s="6">
        <f t="shared" si="86"/>
        <v>2.4505485705133341E-2</v>
      </c>
      <c r="AA677">
        <v>1431161</v>
      </c>
      <c r="AB677">
        <v>22674</v>
      </c>
      <c r="AD677" t="s">
        <v>2</v>
      </c>
      <c r="AE677">
        <v>23</v>
      </c>
      <c r="AF677">
        <v>16</v>
      </c>
      <c r="AH677" t="s">
        <v>4173</v>
      </c>
      <c r="AI677" t="s">
        <v>4172</v>
      </c>
      <c r="AK677" t="s">
        <v>4171</v>
      </c>
      <c r="AL677">
        <v>7</v>
      </c>
      <c r="AM677" s="5">
        <f t="shared" si="82"/>
        <v>0.35</v>
      </c>
      <c r="AN677" s="4">
        <f t="shared" si="87"/>
        <v>5.3010223400227184E-4</v>
      </c>
      <c r="AO677" s="3"/>
      <c r="AP677">
        <v>0</v>
      </c>
      <c r="AR677" t="s">
        <v>1</v>
      </c>
      <c r="AT677" s="2" t="s">
        <v>0</v>
      </c>
      <c r="AU677" s="1">
        <f t="shared" si="83"/>
        <v>1.7312870663794018</v>
      </c>
      <c r="AV677" s="1">
        <f t="shared" si="84"/>
        <v>1.2517793969567808</v>
      </c>
      <c r="AW677" s="1">
        <f t="shared" si="85"/>
        <v>0.77227172753415918</v>
      </c>
    </row>
    <row r="678" spans="1:49" x14ac:dyDescent="0.2">
      <c r="A678">
        <v>676</v>
      </c>
      <c r="B678" t="s">
        <v>4170</v>
      </c>
      <c r="C678" t="s">
        <v>4169</v>
      </c>
      <c r="F678" t="s">
        <v>4168</v>
      </c>
      <c r="G678" t="s">
        <v>5</v>
      </c>
      <c r="H678" t="s">
        <v>4</v>
      </c>
      <c r="I678" t="s">
        <v>4167</v>
      </c>
      <c r="J678">
        <v>60005304</v>
      </c>
      <c r="K678" t="s">
        <v>168</v>
      </c>
      <c r="L678" t="s">
        <v>167</v>
      </c>
      <c r="M678" t="s">
        <v>7</v>
      </c>
      <c r="N678">
        <v>1</v>
      </c>
      <c r="O678" t="s">
        <v>4166</v>
      </c>
      <c r="P678">
        <v>6506694631</v>
      </c>
      <c r="Q678">
        <v>60005304</v>
      </c>
      <c r="R678" s="7">
        <v>37488</v>
      </c>
      <c r="S678" s="8">
        <f t="shared" si="80"/>
        <v>2002</v>
      </c>
      <c r="T678" s="8">
        <v>2002</v>
      </c>
      <c r="U678" s="8">
        <f t="shared" si="81"/>
        <v>20</v>
      </c>
      <c r="V678" s="7">
        <v>37488</v>
      </c>
      <c r="W678" t="s">
        <v>578</v>
      </c>
      <c r="X678" s="2">
        <v>0.66800000000000004</v>
      </c>
      <c r="Y678" s="6">
        <f t="shared" si="86"/>
        <v>1.7831878486959774E-2</v>
      </c>
      <c r="AA678" t="s">
        <v>577</v>
      </c>
      <c r="AB678">
        <v>29593</v>
      </c>
      <c r="AC678">
        <v>21553165</v>
      </c>
      <c r="AD678" t="s">
        <v>2</v>
      </c>
      <c r="AE678">
        <v>41</v>
      </c>
      <c r="AF678">
        <v>24</v>
      </c>
      <c r="AH678" t="s">
        <v>4165</v>
      </c>
      <c r="AI678" t="s">
        <v>4164</v>
      </c>
      <c r="AK678" t="s">
        <v>4163</v>
      </c>
      <c r="AL678">
        <v>4</v>
      </c>
      <c r="AM678" s="5">
        <f t="shared" si="82"/>
        <v>0.2</v>
      </c>
      <c r="AN678" s="4">
        <f t="shared" si="87"/>
        <v>3.0291556228701253E-4</v>
      </c>
      <c r="AO678" s="3"/>
      <c r="AP678">
        <v>0</v>
      </c>
      <c r="AR678" t="s">
        <v>1</v>
      </c>
      <c r="AT678" s="2">
        <v>1.98</v>
      </c>
      <c r="AU678" s="1">
        <f t="shared" si="83"/>
        <v>1.2573189609557944</v>
      </c>
      <c r="AV678" s="1">
        <f t="shared" si="84"/>
        <v>0.90673970246233937</v>
      </c>
      <c r="AW678" s="1">
        <f t="shared" si="85"/>
        <v>0.55616044396888409</v>
      </c>
    </row>
    <row r="679" spans="1:49" x14ac:dyDescent="0.2">
      <c r="A679">
        <v>677</v>
      </c>
      <c r="B679" t="s">
        <v>4162</v>
      </c>
      <c r="C679" t="s">
        <v>4161</v>
      </c>
      <c r="F679" t="s">
        <v>253</v>
      </c>
      <c r="G679" t="s">
        <v>5</v>
      </c>
      <c r="H679" t="s">
        <v>4</v>
      </c>
      <c r="I679" t="s">
        <v>252</v>
      </c>
      <c r="J679" t="s">
        <v>251</v>
      </c>
      <c r="K679" t="s">
        <v>250</v>
      </c>
      <c r="L679" t="s">
        <v>249</v>
      </c>
      <c r="M679" t="s">
        <v>248</v>
      </c>
      <c r="N679">
        <v>3</v>
      </c>
      <c r="O679" t="s">
        <v>247</v>
      </c>
      <c r="P679" t="s">
        <v>246</v>
      </c>
      <c r="Q679" t="s">
        <v>245</v>
      </c>
      <c r="R679" s="7">
        <v>37488</v>
      </c>
      <c r="S679" s="8">
        <f t="shared" si="80"/>
        <v>2002</v>
      </c>
      <c r="T679" s="8">
        <v>2002</v>
      </c>
      <c r="U679" s="8">
        <f t="shared" si="81"/>
        <v>20</v>
      </c>
      <c r="V679" s="7">
        <v>37488</v>
      </c>
      <c r="W679" t="s">
        <v>789</v>
      </c>
      <c r="X679" s="2">
        <v>0.30399999999999999</v>
      </c>
      <c r="Y679" s="6">
        <f t="shared" si="86"/>
        <v>8.115106377299057E-3</v>
      </c>
      <c r="AA679">
        <v>8952477</v>
      </c>
      <c r="AB679">
        <v>12250</v>
      </c>
      <c r="AD679" t="s">
        <v>2</v>
      </c>
      <c r="AE679">
        <v>34</v>
      </c>
      <c r="AF679">
        <v>4</v>
      </c>
      <c r="AH679" t="s">
        <v>4160</v>
      </c>
      <c r="AI679" t="s">
        <v>4159</v>
      </c>
      <c r="AJ679" t="s">
        <v>244</v>
      </c>
      <c r="AK679" t="s">
        <v>4158</v>
      </c>
      <c r="AL679">
        <v>5</v>
      </c>
      <c r="AM679" s="5">
        <f t="shared" si="82"/>
        <v>0.25</v>
      </c>
      <c r="AN679" s="4">
        <f t="shared" si="87"/>
        <v>3.786444528587656E-4</v>
      </c>
      <c r="AO679" s="3"/>
      <c r="AP679">
        <v>0</v>
      </c>
      <c r="AR679" t="s">
        <v>1</v>
      </c>
      <c r="AT679" s="2" t="s">
        <v>0</v>
      </c>
      <c r="AU679" s="1">
        <f t="shared" si="83"/>
        <v>0.57941677999669683</v>
      </c>
      <c r="AV679" s="1">
        <f t="shared" si="84"/>
        <v>0.42468754150789112</v>
      </c>
      <c r="AW679" s="1">
        <f t="shared" si="85"/>
        <v>0.2699583030190853</v>
      </c>
    </row>
    <row r="680" spans="1:49" x14ac:dyDescent="0.2">
      <c r="A680">
        <v>678</v>
      </c>
      <c r="B680" t="s">
        <v>4157</v>
      </c>
      <c r="C680" t="s">
        <v>4156</v>
      </c>
      <c r="F680" t="s">
        <v>4155</v>
      </c>
      <c r="G680" t="s">
        <v>5</v>
      </c>
      <c r="H680" t="s">
        <v>4</v>
      </c>
      <c r="I680" t="s">
        <v>4154</v>
      </c>
      <c r="J680">
        <v>60116768</v>
      </c>
      <c r="K680" t="s">
        <v>277</v>
      </c>
      <c r="L680" t="s">
        <v>216</v>
      </c>
      <c r="M680" t="s">
        <v>135</v>
      </c>
      <c r="N680">
        <v>1</v>
      </c>
      <c r="O680" t="s">
        <v>4153</v>
      </c>
      <c r="P680">
        <v>7601561423</v>
      </c>
      <c r="Q680">
        <v>60116768</v>
      </c>
      <c r="R680" s="7">
        <v>37488</v>
      </c>
      <c r="S680" s="8">
        <f t="shared" si="80"/>
        <v>2002</v>
      </c>
      <c r="T680" s="8">
        <v>2002</v>
      </c>
      <c r="U680" s="8">
        <f t="shared" si="81"/>
        <v>20</v>
      </c>
      <c r="V680" s="7">
        <v>37488</v>
      </c>
      <c r="W680" t="s">
        <v>789</v>
      </c>
      <c r="X680" s="2">
        <v>0.30399999999999999</v>
      </c>
      <c r="Y680" s="6">
        <f t="shared" si="86"/>
        <v>8.115106377299057E-3</v>
      </c>
      <c r="AA680">
        <v>8952477</v>
      </c>
      <c r="AB680">
        <v>12250</v>
      </c>
      <c r="AD680" t="s">
        <v>2</v>
      </c>
      <c r="AE680">
        <v>34</v>
      </c>
      <c r="AF680">
        <v>4</v>
      </c>
      <c r="AH680" t="s">
        <v>4152</v>
      </c>
      <c r="AI680" t="s">
        <v>4151</v>
      </c>
      <c r="AJ680" t="s">
        <v>4150</v>
      </c>
      <c r="AK680" t="s">
        <v>4149</v>
      </c>
      <c r="AL680">
        <v>1</v>
      </c>
      <c r="AM680" s="5">
        <f t="shared" si="82"/>
        <v>0.05</v>
      </c>
      <c r="AN680" s="4">
        <f t="shared" si="87"/>
        <v>7.5728890571753133E-5</v>
      </c>
      <c r="AO680" s="3"/>
      <c r="AP680">
        <v>0</v>
      </c>
      <c r="AR680" t="s">
        <v>1</v>
      </c>
      <c r="AT680" s="2" t="s">
        <v>0</v>
      </c>
      <c r="AU680" s="1">
        <f t="shared" si="83"/>
        <v>0.57032931312808655</v>
      </c>
      <c r="AV680" s="1">
        <f t="shared" si="84"/>
        <v>0.40954176339354048</v>
      </c>
      <c r="AW680" s="1">
        <f t="shared" si="85"/>
        <v>0.24875421365899444</v>
      </c>
    </row>
    <row r="681" spans="1:49" x14ac:dyDescent="0.2">
      <c r="A681">
        <v>679</v>
      </c>
      <c r="B681" t="s">
        <v>4148</v>
      </c>
      <c r="C681" t="s">
        <v>4147</v>
      </c>
      <c r="F681" t="s">
        <v>4146</v>
      </c>
      <c r="G681" t="s">
        <v>5</v>
      </c>
      <c r="H681" t="s">
        <v>4</v>
      </c>
      <c r="I681" t="s">
        <v>4145</v>
      </c>
      <c r="J681">
        <v>60019987</v>
      </c>
      <c r="K681" t="s">
        <v>4144</v>
      </c>
      <c r="L681" t="s">
        <v>4143</v>
      </c>
      <c r="M681" t="s">
        <v>426</v>
      </c>
      <c r="N681">
        <v>2</v>
      </c>
      <c r="O681" t="s">
        <v>4142</v>
      </c>
      <c r="P681" t="s">
        <v>4141</v>
      </c>
      <c r="Q681" t="s">
        <v>4140</v>
      </c>
      <c r="R681" s="7">
        <v>37488</v>
      </c>
      <c r="S681" s="8">
        <f t="shared" si="80"/>
        <v>2002</v>
      </c>
      <c r="T681" s="8">
        <v>2002</v>
      </c>
      <c r="U681" s="8">
        <f t="shared" si="81"/>
        <v>20</v>
      </c>
      <c r="V681" s="7">
        <v>37488</v>
      </c>
      <c r="W681" t="s">
        <v>789</v>
      </c>
      <c r="X681" s="2">
        <v>0.30399999999999999</v>
      </c>
      <c r="Y681" s="6">
        <f t="shared" si="86"/>
        <v>8.115106377299057E-3</v>
      </c>
      <c r="AA681">
        <v>8952477</v>
      </c>
      <c r="AB681">
        <v>12250</v>
      </c>
      <c r="AD681" t="s">
        <v>2</v>
      </c>
      <c r="AE681">
        <v>34</v>
      </c>
      <c r="AF681">
        <v>4</v>
      </c>
      <c r="AH681" t="s">
        <v>4139</v>
      </c>
      <c r="AI681" t="s">
        <v>4138</v>
      </c>
      <c r="AJ681" t="s">
        <v>4137</v>
      </c>
      <c r="AK681" t="s">
        <v>4136</v>
      </c>
      <c r="AL681">
        <v>5</v>
      </c>
      <c r="AM681" s="5">
        <f t="shared" si="82"/>
        <v>0.25</v>
      </c>
      <c r="AN681" s="4">
        <f t="shared" si="87"/>
        <v>3.786444528587656E-4</v>
      </c>
      <c r="AO681" s="3"/>
      <c r="AP681">
        <v>0</v>
      </c>
      <c r="AR681" t="s">
        <v>1</v>
      </c>
      <c r="AT681" s="2" t="s">
        <v>0</v>
      </c>
      <c r="AU681" s="1">
        <f t="shared" si="83"/>
        <v>0.57941677999669683</v>
      </c>
      <c r="AV681" s="1">
        <f t="shared" si="84"/>
        <v>0.42468754150789112</v>
      </c>
      <c r="AW681" s="1">
        <f t="shared" si="85"/>
        <v>0.2699583030190853</v>
      </c>
    </row>
    <row r="682" spans="1:49" x14ac:dyDescent="0.2">
      <c r="A682">
        <v>680</v>
      </c>
      <c r="B682" t="s">
        <v>4135</v>
      </c>
      <c r="C682" t="s">
        <v>4134</v>
      </c>
      <c r="F682" t="s">
        <v>4133</v>
      </c>
      <c r="G682" t="s">
        <v>5</v>
      </c>
      <c r="H682" t="s">
        <v>4</v>
      </c>
      <c r="I682" t="s">
        <v>174</v>
      </c>
      <c r="J682">
        <v>60023345</v>
      </c>
      <c r="K682" t="s">
        <v>291</v>
      </c>
      <c r="L682" t="s">
        <v>197</v>
      </c>
      <c r="M682" t="s">
        <v>125</v>
      </c>
      <c r="N682">
        <v>3</v>
      </c>
      <c r="O682" t="s">
        <v>4132</v>
      </c>
      <c r="P682" t="s">
        <v>4131</v>
      </c>
      <c r="Q682" t="s">
        <v>589</v>
      </c>
      <c r="R682" s="7">
        <v>37488</v>
      </c>
      <c r="S682" s="8">
        <f t="shared" si="80"/>
        <v>2002</v>
      </c>
      <c r="T682" s="8">
        <v>2002</v>
      </c>
      <c r="U682" s="8">
        <f t="shared" si="81"/>
        <v>20</v>
      </c>
      <c r="V682" s="7">
        <v>37488</v>
      </c>
      <c r="W682" t="s">
        <v>789</v>
      </c>
      <c r="X682" s="2">
        <v>0.30399999999999999</v>
      </c>
      <c r="Y682" s="6">
        <f t="shared" si="86"/>
        <v>8.115106377299057E-3</v>
      </c>
      <c r="AA682">
        <v>8952477</v>
      </c>
      <c r="AB682">
        <v>12250</v>
      </c>
      <c r="AD682" t="s">
        <v>2</v>
      </c>
      <c r="AE682">
        <v>34</v>
      </c>
      <c r="AF682">
        <v>4</v>
      </c>
      <c r="AH682" t="s">
        <v>4130</v>
      </c>
      <c r="AI682" t="s">
        <v>4129</v>
      </c>
      <c r="AJ682" t="s">
        <v>4128</v>
      </c>
      <c r="AK682" t="s">
        <v>4127</v>
      </c>
      <c r="AL682">
        <v>2</v>
      </c>
      <c r="AM682" s="5">
        <f t="shared" si="82"/>
        <v>0.1</v>
      </c>
      <c r="AN682" s="4">
        <f t="shared" si="87"/>
        <v>1.5145778114350627E-4</v>
      </c>
      <c r="AO682" s="3"/>
      <c r="AP682">
        <v>0</v>
      </c>
      <c r="AR682" t="s">
        <v>1</v>
      </c>
      <c r="AT682" s="2" t="s">
        <v>0</v>
      </c>
      <c r="AU682" s="1">
        <f t="shared" si="83"/>
        <v>0.57260117984523917</v>
      </c>
      <c r="AV682" s="1">
        <f t="shared" si="84"/>
        <v>0.41332820792212815</v>
      </c>
      <c r="AW682" s="1">
        <f t="shared" si="85"/>
        <v>0.25405523599901714</v>
      </c>
    </row>
    <row r="683" spans="1:49" x14ac:dyDescent="0.2">
      <c r="A683">
        <v>681</v>
      </c>
      <c r="B683" t="s">
        <v>4126</v>
      </c>
      <c r="C683" t="s">
        <v>4125</v>
      </c>
      <c r="F683" t="s">
        <v>4124</v>
      </c>
      <c r="G683" t="s">
        <v>5</v>
      </c>
      <c r="H683" t="s">
        <v>4</v>
      </c>
      <c r="I683" t="s">
        <v>4123</v>
      </c>
      <c r="J683">
        <v>60031004</v>
      </c>
      <c r="K683" t="s">
        <v>1193</v>
      </c>
      <c r="L683" t="s">
        <v>975</v>
      </c>
      <c r="M683" t="s">
        <v>308</v>
      </c>
      <c r="N683">
        <v>2</v>
      </c>
      <c r="O683" t="s">
        <v>4122</v>
      </c>
      <c r="P683" t="s">
        <v>4121</v>
      </c>
      <c r="Q683" t="s">
        <v>1191</v>
      </c>
      <c r="R683" s="7">
        <v>37488</v>
      </c>
      <c r="S683" s="8">
        <f t="shared" si="80"/>
        <v>2002</v>
      </c>
      <c r="T683" s="8">
        <v>2002</v>
      </c>
      <c r="U683" s="8">
        <f t="shared" si="81"/>
        <v>20</v>
      </c>
      <c r="V683" s="7">
        <v>37488</v>
      </c>
      <c r="W683" t="s">
        <v>789</v>
      </c>
      <c r="X683" s="2">
        <v>0.30399999999999999</v>
      </c>
      <c r="Y683" s="6">
        <f t="shared" si="86"/>
        <v>8.115106377299057E-3</v>
      </c>
      <c r="AA683">
        <v>8952477</v>
      </c>
      <c r="AB683">
        <v>12250</v>
      </c>
      <c r="AD683" t="s">
        <v>2</v>
      </c>
      <c r="AE683">
        <v>34</v>
      </c>
      <c r="AF683">
        <v>4</v>
      </c>
      <c r="AH683" t="s">
        <v>4120</v>
      </c>
      <c r="AI683" t="s">
        <v>4119</v>
      </c>
      <c r="AJ683" t="s">
        <v>4118</v>
      </c>
      <c r="AK683" t="s">
        <v>4117</v>
      </c>
      <c r="AL683">
        <v>5</v>
      </c>
      <c r="AM683" s="5">
        <f t="shared" si="82"/>
        <v>0.25</v>
      </c>
      <c r="AN683" s="4">
        <f t="shared" si="87"/>
        <v>3.786444528587656E-4</v>
      </c>
      <c r="AO683" s="3"/>
      <c r="AP683">
        <v>0</v>
      </c>
      <c r="AR683" t="s">
        <v>1</v>
      </c>
      <c r="AT683" s="2" t="s">
        <v>0</v>
      </c>
      <c r="AU683" s="1">
        <f t="shared" si="83"/>
        <v>0.57941677999669683</v>
      </c>
      <c r="AV683" s="1">
        <f t="shared" si="84"/>
        <v>0.42468754150789112</v>
      </c>
      <c r="AW683" s="1">
        <f t="shared" si="85"/>
        <v>0.2699583030190853</v>
      </c>
    </row>
    <row r="684" spans="1:49" x14ac:dyDescent="0.2">
      <c r="A684">
        <v>682</v>
      </c>
      <c r="B684" t="s">
        <v>4116</v>
      </c>
      <c r="C684" t="s">
        <v>4115</v>
      </c>
      <c r="F684" t="s">
        <v>4114</v>
      </c>
      <c r="G684" t="s">
        <v>5</v>
      </c>
      <c r="H684" t="s">
        <v>4</v>
      </c>
      <c r="I684" t="s">
        <v>2934</v>
      </c>
      <c r="J684">
        <v>60029738</v>
      </c>
      <c r="K684" t="s">
        <v>1027</v>
      </c>
      <c r="L684" t="s">
        <v>1026</v>
      </c>
      <c r="M684" t="s">
        <v>41</v>
      </c>
      <c r="N684">
        <v>2</v>
      </c>
      <c r="O684" t="s">
        <v>4113</v>
      </c>
      <c r="P684" t="s">
        <v>4112</v>
      </c>
      <c r="Q684" t="s">
        <v>1960</v>
      </c>
      <c r="R684" s="7">
        <v>37488</v>
      </c>
      <c r="S684" s="8">
        <f t="shared" si="80"/>
        <v>2002</v>
      </c>
      <c r="T684" s="8">
        <v>2002</v>
      </c>
      <c r="U684" s="8">
        <f t="shared" si="81"/>
        <v>20</v>
      </c>
      <c r="V684" s="7">
        <v>37488</v>
      </c>
      <c r="W684" t="s">
        <v>789</v>
      </c>
      <c r="X684" s="2">
        <v>0.30399999999999999</v>
      </c>
      <c r="Y684" s="6">
        <f t="shared" si="86"/>
        <v>8.115106377299057E-3</v>
      </c>
      <c r="AA684">
        <v>8952477</v>
      </c>
      <c r="AB684">
        <v>12250</v>
      </c>
      <c r="AD684" t="s">
        <v>2</v>
      </c>
      <c r="AE684">
        <v>34</v>
      </c>
      <c r="AF684">
        <v>4</v>
      </c>
      <c r="AH684" t="s">
        <v>4111</v>
      </c>
      <c r="AI684" t="s">
        <v>4110</v>
      </c>
      <c r="AJ684" t="s">
        <v>4109</v>
      </c>
      <c r="AK684" t="s">
        <v>4108</v>
      </c>
      <c r="AL684">
        <v>4</v>
      </c>
      <c r="AM684" s="5">
        <f t="shared" si="82"/>
        <v>0.2</v>
      </c>
      <c r="AN684" s="4">
        <f t="shared" si="87"/>
        <v>3.0291556228701253E-4</v>
      </c>
      <c r="AO684" s="3"/>
      <c r="AP684">
        <v>0</v>
      </c>
      <c r="AR684" t="s">
        <v>1</v>
      </c>
      <c r="AT684" s="2" t="s">
        <v>0</v>
      </c>
      <c r="AU684" s="1">
        <f t="shared" si="83"/>
        <v>0.57714491327954431</v>
      </c>
      <c r="AV684" s="1">
        <f t="shared" si="84"/>
        <v>0.4209010969793035</v>
      </c>
      <c r="AW684" s="1">
        <f t="shared" si="85"/>
        <v>0.26465728067906258</v>
      </c>
    </row>
    <row r="685" spans="1:49" x14ac:dyDescent="0.2">
      <c r="A685">
        <v>683</v>
      </c>
      <c r="B685" t="s">
        <v>4107</v>
      </c>
      <c r="C685" t="s">
        <v>4106</v>
      </c>
      <c r="F685" t="s">
        <v>4105</v>
      </c>
      <c r="G685" t="s">
        <v>5</v>
      </c>
      <c r="H685" t="s">
        <v>4</v>
      </c>
      <c r="I685" t="s">
        <v>4104</v>
      </c>
      <c r="J685">
        <v>100990762</v>
      </c>
      <c r="K685" t="s">
        <v>4103</v>
      </c>
      <c r="L685" t="s">
        <v>4102</v>
      </c>
      <c r="M685" t="s">
        <v>7</v>
      </c>
      <c r="N685">
        <v>1</v>
      </c>
      <c r="O685" t="s">
        <v>4101</v>
      </c>
      <c r="P685">
        <v>7402580085</v>
      </c>
      <c r="Q685">
        <v>100990762</v>
      </c>
      <c r="R685" s="7">
        <v>37488</v>
      </c>
      <c r="S685" s="8">
        <f t="shared" si="80"/>
        <v>2002</v>
      </c>
      <c r="T685" s="8">
        <v>2002</v>
      </c>
      <c r="U685" s="8">
        <f t="shared" si="81"/>
        <v>20</v>
      </c>
      <c r="V685" s="7">
        <v>37488</v>
      </c>
      <c r="W685" t="s">
        <v>789</v>
      </c>
      <c r="X685" s="2">
        <v>0.30399999999999999</v>
      </c>
      <c r="Y685" s="6">
        <f t="shared" si="86"/>
        <v>8.115106377299057E-3</v>
      </c>
      <c r="AA685">
        <v>8952477</v>
      </c>
      <c r="AB685">
        <v>12250</v>
      </c>
      <c r="AD685" t="s">
        <v>2</v>
      </c>
      <c r="AE685">
        <v>34</v>
      </c>
      <c r="AF685">
        <v>4</v>
      </c>
      <c r="AH685" t="s">
        <v>1138</v>
      </c>
      <c r="AI685" t="s">
        <v>4100</v>
      </c>
      <c r="AJ685" t="s">
        <v>4099</v>
      </c>
      <c r="AK685" t="s">
        <v>4098</v>
      </c>
      <c r="AL685">
        <v>26</v>
      </c>
      <c r="AM685" s="5">
        <f t="shared" si="82"/>
        <v>1.3</v>
      </c>
      <c r="AN685" s="4">
        <f t="shared" si="87"/>
        <v>1.9689511548655813E-3</v>
      </c>
      <c r="AO685" s="3"/>
      <c r="AP685">
        <v>0</v>
      </c>
      <c r="AR685" t="s">
        <v>1</v>
      </c>
      <c r="AT685" s="2" t="s">
        <v>0</v>
      </c>
      <c r="AU685" s="1">
        <f t="shared" si="83"/>
        <v>0.62712598105690143</v>
      </c>
      <c r="AV685" s="1">
        <f t="shared" si="84"/>
        <v>0.50420287660823193</v>
      </c>
      <c r="AW685" s="1">
        <f t="shared" si="85"/>
        <v>0.38127977215956244</v>
      </c>
    </row>
    <row r="686" spans="1:49" x14ac:dyDescent="0.2">
      <c r="A686">
        <v>684</v>
      </c>
      <c r="B686" t="s">
        <v>4097</v>
      </c>
      <c r="C686" t="s">
        <v>4096</v>
      </c>
      <c r="F686" t="s">
        <v>4095</v>
      </c>
      <c r="G686" t="s">
        <v>5</v>
      </c>
      <c r="H686" t="s">
        <v>4</v>
      </c>
      <c r="I686" t="s">
        <v>4094</v>
      </c>
      <c r="J686" t="s">
        <v>4093</v>
      </c>
      <c r="K686" t="s">
        <v>4092</v>
      </c>
      <c r="L686" t="s">
        <v>4091</v>
      </c>
      <c r="M686" t="s">
        <v>4090</v>
      </c>
      <c r="N686">
        <v>5</v>
      </c>
      <c r="O686" t="s">
        <v>4089</v>
      </c>
      <c r="P686" t="s">
        <v>4088</v>
      </c>
      <c r="Q686" t="s">
        <v>4087</v>
      </c>
      <c r="R686" s="7">
        <v>37488</v>
      </c>
      <c r="S686" s="8">
        <f t="shared" si="80"/>
        <v>2002</v>
      </c>
      <c r="T686" s="8">
        <v>2002</v>
      </c>
      <c r="U686" s="8">
        <f t="shared" si="81"/>
        <v>20</v>
      </c>
      <c r="V686" s="7">
        <v>37488</v>
      </c>
      <c r="W686" t="s">
        <v>789</v>
      </c>
      <c r="X686" s="2">
        <v>0.30399999999999999</v>
      </c>
      <c r="Y686" s="6">
        <f t="shared" si="86"/>
        <v>8.115106377299057E-3</v>
      </c>
      <c r="AA686">
        <v>8952477</v>
      </c>
      <c r="AB686">
        <v>12250</v>
      </c>
      <c r="AD686" t="s">
        <v>2</v>
      </c>
      <c r="AE686">
        <v>34</v>
      </c>
      <c r="AF686">
        <v>4</v>
      </c>
      <c r="AH686" t="s">
        <v>4086</v>
      </c>
      <c r="AI686" t="s">
        <v>4085</v>
      </c>
      <c r="AJ686" t="s">
        <v>4084</v>
      </c>
      <c r="AK686" t="s">
        <v>4083</v>
      </c>
      <c r="AL686">
        <v>6</v>
      </c>
      <c r="AM686" s="5">
        <f t="shared" si="82"/>
        <v>0.3</v>
      </c>
      <c r="AN686" s="4">
        <f t="shared" si="87"/>
        <v>4.5437334343051872E-4</v>
      </c>
      <c r="AO686" s="3"/>
      <c r="AP686">
        <v>0</v>
      </c>
      <c r="AR686" t="s">
        <v>1</v>
      </c>
      <c r="AT686" s="2" t="s">
        <v>0</v>
      </c>
      <c r="AU686" s="1">
        <f t="shared" si="83"/>
        <v>0.58168864671384946</v>
      </c>
      <c r="AV686" s="1">
        <f t="shared" si="84"/>
        <v>0.42847398603647879</v>
      </c>
      <c r="AW686" s="1">
        <f t="shared" si="85"/>
        <v>0.27525932535910802</v>
      </c>
    </row>
    <row r="687" spans="1:49" x14ac:dyDescent="0.2">
      <c r="A687">
        <v>685</v>
      </c>
      <c r="B687" t="s">
        <v>4082</v>
      </c>
      <c r="E687">
        <v>11830570</v>
      </c>
      <c r="F687" t="s">
        <v>4081</v>
      </c>
      <c r="G687" t="s">
        <v>5</v>
      </c>
      <c r="H687" t="s">
        <v>4</v>
      </c>
      <c r="I687" t="s">
        <v>4080</v>
      </c>
      <c r="J687">
        <v>60032179</v>
      </c>
      <c r="K687" t="s">
        <v>503</v>
      </c>
      <c r="L687" t="s">
        <v>502</v>
      </c>
      <c r="M687" t="s">
        <v>7</v>
      </c>
      <c r="N687">
        <v>3</v>
      </c>
      <c r="O687" t="s">
        <v>4079</v>
      </c>
      <c r="P687" t="s">
        <v>4078</v>
      </c>
      <c r="Q687" t="s">
        <v>4077</v>
      </c>
      <c r="R687" s="7">
        <v>37488</v>
      </c>
      <c r="S687" s="8">
        <f t="shared" si="80"/>
        <v>2002</v>
      </c>
      <c r="T687" s="8">
        <v>2002</v>
      </c>
      <c r="U687" s="8">
        <f t="shared" si="81"/>
        <v>20</v>
      </c>
      <c r="V687" s="7">
        <v>2002</v>
      </c>
      <c r="W687" t="s">
        <v>4076</v>
      </c>
      <c r="X687" s="2">
        <v>0.15</v>
      </c>
      <c r="Y687" s="6">
        <f t="shared" si="86"/>
        <v>4.0041643309041402E-3</v>
      </c>
      <c r="AA687">
        <v>9501991</v>
      </c>
      <c r="AB687">
        <v>14531</v>
      </c>
      <c r="AD687" t="s">
        <v>2</v>
      </c>
      <c r="AE687">
        <v>129</v>
      </c>
      <c r="AF687">
        <v>3</v>
      </c>
      <c r="AH687" t="s">
        <v>4075</v>
      </c>
      <c r="AI687" t="s">
        <v>4074</v>
      </c>
      <c r="AJ687" t="s">
        <v>4073</v>
      </c>
      <c r="AK687" t="s">
        <v>4072</v>
      </c>
      <c r="AL687">
        <v>37</v>
      </c>
      <c r="AM687" s="5">
        <f t="shared" si="82"/>
        <v>1.85</v>
      </c>
      <c r="AN687" s="4">
        <f t="shared" si="87"/>
        <v>2.8019689511548655E-3</v>
      </c>
      <c r="AO687" s="3"/>
      <c r="AP687">
        <v>0</v>
      </c>
      <c r="AQ687" t="s">
        <v>796</v>
      </c>
      <c r="AR687" t="s">
        <v>4071</v>
      </c>
      <c r="AS687" t="s">
        <v>795</v>
      </c>
      <c r="AT687" s="2">
        <v>6.8680000000000003</v>
      </c>
      <c r="AU687" s="1">
        <f t="shared" si="83"/>
        <v>0.36435057169793578</v>
      </c>
      <c r="AV687" s="1">
        <f t="shared" si="84"/>
        <v>0.34030666410295024</v>
      </c>
      <c r="AW687" s="1">
        <f t="shared" si="85"/>
        <v>0.31626275650796482</v>
      </c>
    </row>
    <row r="688" spans="1:49" x14ac:dyDescent="0.2">
      <c r="A688">
        <v>686</v>
      </c>
      <c r="B688" t="s">
        <v>4070</v>
      </c>
      <c r="C688" t="s">
        <v>4069</v>
      </c>
      <c r="D688" t="s">
        <v>4068</v>
      </c>
      <c r="F688" t="s">
        <v>4067</v>
      </c>
      <c r="G688" t="s">
        <v>5</v>
      </c>
      <c r="H688" t="s">
        <v>4</v>
      </c>
      <c r="I688" t="s">
        <v>4066</v>
      </c>
      <c r="J688" t="s">
        <v>4065</v>
      </c>
      <c r="K688" t="s">
        <v>4064</v>
      </c>
      <c r="L688" t="s">
        <v>85</v>
      </c>
      <c r="M688" t="s">
        <v>22</v>
      </c>
      <c r="N688">
        <v>3</v>
      </c>
      <c r="O688" t="s">
        <v>4063</v>
      </c>
      <c r="P688" t="s">
        <v>4062</v>
      </c>
      <c r="Q688" t="s">
        <v>4061</v>
      </c>
      <c r="R688" s="7">
        <v>37487</v>
      </c>
      <c r="S688" s="8">
        <f t="shared" si="80"/>
        <v>2002</v>
      </c>
      <c r="T688" s="8">
        <v>2002</v>
      </c>
      <c r="U688" s="8">
        <f t="shared" si="81"/>
        <v>20</v>
      </c>
      <c r="V688" s="7">
        <v>37487</v>
      </c>
      <c r="W688" t="s">
        <v>4060</v>
      </c>
      <c r="X688" s="2">
        <v>0.73799999999999999</v>
      </c>
      <c r="Y688" s="6">
        <f t="shared" si="86"/>
        <v>1.9700488508048369E-2</v>
      </c>
      <c r="AA688" t="s">
        <v>4059</v>
      </c>
      <c r="AB688">
        <v>12489</v>
      </c>
      <c r="AD688" t="s">
        <v>2</v>
      </c>
      <c r="AE688">
        <v>66</v>
      </c>
      <c r="AF688" s="9">
        <v>44289</v>
      </c>
      <c r="AH688" t="s">
        <v>274</v>
      </c>
      <c r="AI688" t="s">
        <v>4058</v>
      </c>
      <c r="AJ688" t="s">
        <v>4057</v>
      </c>
      <c r="AK688" t="s">
        <v>4056</v>
      </c>
      <c r="AL688">
        <v>4</v>
      </c>
      <c r="AM688" s="5">
        <f t="shared" si="82"/>
        <v>0.2</v>
      </c>
      <c r="AN688" s="4">
        <f t="shared" si="87"/>
        <v>3.0291556228701253E-4</v>
      </c>
      <c r="AO688" s="3"/>
      <c r="AP688">
        <v>0</v>
      </c>
      <c r="AR688" t="s">
        <v>1</v>
      </c>
      <c r="AT688" s="2">
        <v>3.6269999999999998</v>
      </c>
      <c r="AU688" s="1">
        <f t="shared" si="83"/>
        <v>1.3881216624319963</v>
      </c>
      <c r="AV688" s="1">
        <f t="shared" si="84"/>
        <v>1.0001702035167692</v>
      </c>
      <c r="AW688" s="1">
        <f t="shared" si="85"/>
        <v>0.61221874460154191</v>
      </c>
    </row>
    <row r="689" spans="1:49" x14ac:dyDescent="0.2">
      <c r="A689">
        <v>687</v>
      </c>
      <c r="B689" t="s">
        <v>4055</v>
      </c>
      <c r="C689" t="s">
        <v>4054</v>
      </c>
      <c r="F689" t="s">
        <v>4053</v>
      </c>
      <c r="G689" t="s">
        <v>5</v>
      </c>
      <c r="H689" t="s">
        <v>4</v>
      </c>
      <c r="I689" t="s">
        <v>4052</v>
      </c>
      <c r="J689">
        <v>60019674</v>
      </c>
      <c r="K689" t="s">
        <v>4051</v>
      </c>
      <c r="L689" t="s">
        <v>64</v>
      </c>
      <c r="M689" t="s">
        <v>7</v>
      </c>
      <c r="N689">
        <v>2</v>
      </c>
      <c r="O689" t="s">
        <v>4050</v>
      </c>
      <c r="P689" t="s">
        <v>4049</v>
      </c>
      <c r="Q689" t="s">
        <v>4048</v>
      </c>
      <c r="R689" s="7">
        <v>37487</v>
      </c>
      <c r="S689" s="8">
        <f t="shared" si="80"/>
        <v>2002</v>
      </c>
      <c r="T689" s="8">
        <v>2002</v>
      </c>
      <c r="U689" s="8">
        <f t="shared" si="81"/>
        <v>20</v>
      </c>
      <c r="V689" s="7">
        <v>2002</v>
      </c>
      <c r="W689" t="s">
        <v>4047</v>
      </c>
      <c r="X689" s="2">
        <v>0.65400000000000003</v>
      </c>
      <c r="Y689" s="6">
        <f t="shared" si="86"/>
        <v>1.7458156482742054E-2</v>
      </c>
      <c r="AA689" t="s">
        <v>4046</v>
      </c>
      <c r="AB689">
        <v>28472</v>
      </c>
      <c r="AD689" t="s">
        <v>2</v>
      </c>
      <c r="AE689">
        <v>10</v>
      </c>
      <c r="AF689">
        <v>1</v>
      </c>
      <c r="AH689" t="s">
        <v>4045</v>
      </c>
      <c r="AI689" t="s">
        <v>4044</v>
      </c>
      <c r="AK689" t="s">
        <v>4043</v>
      </c>
      <c r="AL689">
        <v>10</v>
      </c>
      <c r="AM689" s="5">
        <f t="shared" si="82"/>
        <v>0.5</v>
      </c>
      <c r="AN689" s="4">
        <f t="shared" si="87"/>
        <v>7.572889057175312E-4</v>
      </c>
      <c r="AO689" s="3"/>
      <c r="AP689">
        <v>0</v>
      </c>
      <c r="AR689">
        <v>122419</v>
      </c>
      <c r="AT689" s="2" t="s">
        <v>0</v>
      </c>
      <c r="AU689" s="1">
        <f t="shared" si="83"/>
        <v>1.2447896209634695</v>
      </c>
      <c r="AV689" s="1">
        <f t="shared" si="84"/>
        <v>0.91077226942297917</v>
      </c>
      <c r="AW689" s="1">
        <f t="shared" si="85"/>
        <v>0.57675491788248878</v>
      </c>
    </row>
    <row r="690" spans="1:49" x14ac:dyDescent="0.2">
      <c r="A690">
        <v>688</v>
      </c>
      <c r="B690" t="s">
        <v>4042</v>
      </c>
      <c r="E690">
        <v>11976349</v>
      </c>
      <c r="F690" t="s">
        <v>4041</v>
      </c>
      <c r="G690" t="s">
        <v>5</v>
      </c>
      <c r="H690" t="s">
        <v>4</v>
      </c>
      <c r="I690" t="s">
        <v>4040</v>
      </c>
      <c r="J690">
        <v>60029170</v>
      </c>
      <c r="K690" t="s">
        <v>4039</v>
      </c>
      <c r="L690" t="s">
        <v>4038</v>
      </c>
      <c r="M690" t="s">
        <v>172</v>
      </c>
      <c r="N690">
        <v>4</v>
      </c>
      <c r="O690" t="s">
        <v>4037</v>
      </c>
      <c r="P690" t="s">
        <v>4036</v>
      </c>
      <c r="Q690" t="s">
        <v>4035</v>
      </c>
      <c r="R690" s="7">
        <v>37487</v>
      </c>
      <c r="S690" s="8">
        <f t="shared" si="80"/>
        <v>2002</v>
      </c>
      <c r="T690" s="8">
        <v>2002</v>
      </c>
      <c r="U690" s="8">
        <f t="shared" si="81"/>
        <v>20</v>
      </c>
      <c r="V690" s="7">
        <v>2002</v>
      </c>
      <c r="W690" t="s">
        <v>40</v>
      </c>
      <c r="X690" s="2">
        <v>1.367</v>
      </c>
      <c r="Y690" s="6">
        <f t="shared" si="86"/>
        <v>3.6491284268973065E-2</v>
      </c>
      <c r="AA690">
        <v>220949</v>
      </c>
      <c r="AB690">
        <v>29605</v>
      </c>
      <c r="AD690" t="s">
        <v>2</v>
      </c>
      <c r="AE690">
        <v>205</v>
      </c>
      <c r="AF690">
        <v>10</v>
      </c>
      <c r="AH690" t="s">
        <v>4034</v>
      </c>
      <c r="AI690" t="s">
        <v>4033</v>
      </c>
      <c r="AJ690" t="s">
        <v>4032</v>
      </c>
      <c r="AK690" t="s">
        <v>4031</v>
      </c>
      <c r="AL690">
        <v>58</v>
      </c>
      <c r="AM690" s="5">
        <f t="shared" si="82"/>
        <v>2.9</v>
      </c>
      <c r="AN690" s="4">
        <f t="shared" si="87"/>
        <v>4.3922756531616812E-3</v>
      </c>
      <c r="AO690" s="3"/>
      <c r="AP690">
        <v>0</v>
      </c>
      <c r="AR690" t="s">
        <v>1</v>
      </c>
      <c r="AT690" s="2">
        <v>3.3119999999999998</v>
      </c>
      <c r="AU690" s="1">
        <f t="shared" si="83"/>
        <v>2.6861581684229647</v>
      </c>
      <c r="AV690" s="1">
        <f t="shared" si="84"/>
        <v>2.044177996106737</v>
      </c>
      <c r="AW690" s="1">
        <f t="shared" si="85"/>
        <v>1.4021978237905095</v>
      </c>
    </row>
    <row r="691" spans="1:49" x14ac:dyDescent="0.2">
      <c r="A691">
        <v>689</v>
      </c>
      <c r="B691" t="s">
        <v>4030</v>
      </c>
      <c r="C691" t="s">
        <v>4029</v>
      </c>
      <c r="D691" t="s">
        <v>4028</v>
      </c>
      <c r="F691" t="s">
        <v>4027</v>
      </c>
      <c r="G691" t="s">
        <v>5</v>
      </c>
      <c r="H691" t="s">
        <v>4</v>
      </c>
      <c r="I691" t="s">
        <v>4026</v>
      </c>
      <c r="J691" t="s">
        <v>892</v>
      </c>
      <c r="K691" t="s">
        <v>891</v>
      </c>
      <c r="L691" t="s">
        <v>890</v>
      </c>
      <c r="M691" t="s">
        <v>117</v>
      </c>
      <c r="N691">
        <v>2</v>
      </c>
      <c r="O691" t="s">
        <v>4025</v>
      </c>
      <c r="P691" t="s">
        <v>4024</v>
      </c>
      <c r="Q691" t="s">
        <v>892</v>
      </c>
      <c r="R691" s="7">
        <v>37485</v>
      </c>
      <c r="S691" s="8">
        <f t="shared" si="80"/>
        <v>2002</v>
      </c>
      <c r="T691" s="8">
        <v>2002</v>
      </c>
      <c r="U691" s="8">
        <f t="shared" si="81"/>
        <v>20</v>
      </c>
      <c r="V691" s="7">
        <v>2002</v>
      </c>
      <c r="W691" t="s">
        <v>3997</v>
      </c>
      <c r="X691" s="2">
        <v>1.208</v>
      </c>
      <c r="Y691" s="6">
        <f t="shared" si="86"/>
        <v>3.2246870078214675E-2</v>
      </c>
      <c r="AA691">
        <v>1681699</v>
      </c>
      <c r="AB691">
        <v>30441</v>
      </c>
      <c r="AD691" t="s">
        <v>2</v>
      </c>
      <c r="AE691">
        <v>35</v>
      </c>
      <c r="AF691" s="9">
        <v>44257</v>
      </c>
      <c r="AH691" t="s">
        <v>4023</v>
      </c>
      <c r="AI691" t="s">
        <v>4022</v>
      </c>
      <c r="AJ691" t="s">
        <v>4021</v>
      </c>
      <c r="AK691" t="s">
        <v>4020</v>
      </c>
      <c r="AL691">
        <v>60</v>
      </c>
      <c r="AM691" s="5">
        <f t="shared" si="82"/>
        <v>3</v>
      </c>
      <c r="AN691" s="4">
        <f t="shared" si="87"/>
        <v>4.5437334343051876E-3</v>
      </c>
      <c r="AO691" s="3"/>
      <c r="AP691">
        <v>0</v>
      </c>
      <c r="AQ691" t="s">
        <v>4019</v>
      </c>
      <c r="AR691" t="s">
        <v>1</v>
      </c>
      <c r="AS691" t="s">
        <v>4018</v>
      </c>
      <c r="AT691" s="2" t="s">
        <v>0</v>
      </c>
      <c r="AU691" s="1">
        <f t="shared" si="83"/>
        <v>2.3935929085041825</v>
      </c>
      <c r="AV691" s="1">
        <f t="shared" si="84"/>
        <v>1.8395301756259932</v>
      </c>
      <c r="AW691" s="1">
        <f t="shared" si="85"/>
        <v>1.2854674427478032</v>
      </c>
    </row>
    <row r="692" spans="1:49" x14ac:dyDescent="0.2">
      <c r="A692">
        <v>690</v>
      </c>
      <c r="B692" t="s">
        <v>4017</v>
      </c>
      <c r="C692" t="s">
        <v>4016</v>
      </c>
      <c r="D692" t="s">
        <v>4015</v>
      </c>
      <c r="F692" t="s">
        <v>4014</v>
      </c>
      <c r="G692" t="s">
        <v>5</v>
      </c>
      <c r="H692" t="s">
        <v>4</v>
      </c>
      <c r="I692" t="s">
        <v>4013</v>
      </c>
      <c r="J692">
        <v>60011001</v>
      </c>
      <c r="K692" t="s">
        <v>608</v>
      </c>
      <c r="L692" t="s">
        <v>556</v>
      </c>
      <c r="M692" t="s">
        <v>36</v>
      </c>
      <c r="N692">
        <v>1</v>
      </c>
      <c r="O692" t="s">
        <v>4012</v>
      </c>
      <c r="P692">
        <v>7102643996</v>
      </c>
      <c r="Q692">
        <v>60011001</v>
      </c>
      <c r="R692" s="7">
        <v>37485</v>
      </c>
      <c r="S692" s="8">
        <f t="shared" si="80"/>
        <v>2002</v>
      </c>
      <c r="T692" s="8">
        <v>2002</v>
      </c>
      <c r="U692" s="8">
        <f t="shared" si="81"/>
        <v>20</v>
      </c>
      <c r="V692" s="7">
        <v>2002</v>
      </c>
      <c r="W692" t="s">
        <v>3997</v>
      </c>
      <c r="X692" s="2">
        <v>1.208</v>
      </c>
      <c r="Y692" s="6">
        <f t="shared" si="86"/>
        <v>3.2246870078214675E-2</v>
      </c>
      <c r="AA692">
        <v>1681699</v>
      </c>
      <c r="AB692">
        <v>30441</v>
      </c>
      <c r="AD692" t="s">
        <v>2</v>
      </c>
      <c r="AE692">
        <v>35</v>
      </c>
      <c r="AF692" s="9">
        <v>44257</v>
      </c>
      <c r="AH692" t="s">
        <v>4011</v>
      </c>
      <c r="AI692" t="s">
        <v>4010</v>
      </c>
      <c r="AJ692" t="s">
        <v>4009</v>
      </c>
      <c r="AK692" t="s">
        <v>4008</v>
      </c>
      <c r="AL692">
        <v>23</v>
      </c>
      <c r="AM692" s="5">
        <f t="shared" si="82"/>
        <v>1.1499999999999999</v>
      </c>
      <c r="AN692" s="4">
        <f t="shared" si="87"/>
        <v>1.7417644831503216E-3</v>
      </c>
      <c r="AO692" s="3"/>
      <c r="AP692">
        <v>0</v>
      </c>
      <c r="AQ692" t="s">
        <v>840</v>
      </c>
      <c r="AR692" t="s">
        <v>1</v>
      </c>
      <c r="AS692" t="s">
        <v>838</v>
      </c>
      <c r="AT692" s="2" t="s">
        <v>0</v>
      </c>
      <c r="AU692" s="1">
        <f t="shared" si="83"/>
        <v>2.3095338399695367</v>
      </c>
      <c r="AV692" s="1">
        <f t="shared" si="84"/>
        <v>1.69943172806825</v>
      </c>
      <c r="AW692" s="1">
        <f t="shared" si="85"/>
        <v>1.0893296161669626</v>
      </c>
    </row>
    <row r="693" spans="1:49" x14ac:dyDescent="0.2">
      <c r="A693">
        <v>691</v>
      </c>
      <c r="B693" t="s">
        <v>4007</v>
      </c>
      <c r="C693" t="s">
        <v>4006</v>
      </c>
      <c r="D693" t="s">
        <v>4005</v>
      </c>
      <c r="F693" t="s">
        <v>4004</v>
      </c>
      <c r="G693" t="s">
        <v>5</v>
      </c>
      <c r="H693" t="s">
        <v>4</v>
      </c>
      <c r="I693" t="s">
        <v>4003</v>
      </c>
      <c r="J693" t="s">
        <v>4002</v>
      </c>
      <c r="K693" t="s">
        <v>4001</v>
      </c>
      <c r="L693" t="s">
        <v>1163</v>
      </c>
      <c r="M693" t="s">
        <v>48</v>
      </c>
      <c r="N693">
        <v>5</v>
      </c>
      <c r="O693" t="s">
        <v>4000</v>
      </c>
      <c r="P693" t="s">
        <v>3999</v>
      </c>
      <c r="Q693" t="s">
        <v>3998</v>
      </c>
      <c r="R693" s="7">
        <v>37485</v>
      </c>
      <c r="S693" s="8">
        <f t="shared" si="80"/>
        <v>2002</v>
      </c>
      <c r="T693" s="8">
        <v>2002</v>
      </c>
      <c r="U693" s="8">
        <f t="shared" si="81"/>
        <v>20</v>
      </c>
      <c r="V693" s="7">
        <v>2002</v>
      </c>
      <c r="W693" t="s">
        <v>3997</v>
      </c>
      <c r="X693" s="2">
        <v>1.208</v>
      </c>
      <c r="Y693" s="6">
        <f t="shared" si="86"/>
        <v>3.2246870078214675E-2</v>
      </c>
      <c r="AA693">
        <v>1681699</v>
      </c>
      <c r="AB693">
        <v>30441</v>
      </c>
      <c r="AD693" t="s">
        <v>2</v>
      </c>
      <c r="AE693">
        <v>35</v>
      </c>
      <c r="AF693" s="9">
        <v>44257</v>
      </c>
      <c r="AH693" t="s">
        <v>3996</v>
      </c>
      <c r="AI693" t="s">
        <v>3995</v>
      </c>
      <c r="AJ693" t="s">
        <v>3994</v>
      </c>
      <c r="AK693" t="s">
        <v>3993</v>
      </c>
      <c r="AL693">
        <v>20</v>
      </c>
      <c r="AM693" s="5">
        <f t="shared" si="82"/>
        <v>1</v>
      </c>
      <c r="AN693" s="4">
        <f t="shared" si="87"/>
        <v>1.5145778114350624E-3</v>
      </c>
      <c r="AO693" s="3"/>
      <c r="AP693">
        <v>0</v>
      </c>
      <c r="AQ693" t="s">
        <v>603</v>
      </c>
      <c r="AR693" t="s">
        <v>3992</v>
      </c>
      <c r="AS693" t="s">
        <v>602</v>
      </c>
      <c r="AT693" s="2" t="s">
        <v>0</v>
      </c>
      <c r="AU693" s="1">
        <f t="shared" si="83"/>
        <v>2.3027182398180788</v>
      </c>
      <c r="AV693" s="1">
        <f t="shared" si="84"/>
        <v>1.6880723944824867</v>
      </c>
      <c r="AW693" s="1">
        <f t="shared" si="85"/>
        <v>1.0734265491468946</v>
      </c>
    </row>
    <row r="694" spans="1:49" x14ac:dyDescent="0.2">
      <c r="A694">
        <v>692</v>
      </c>
      <c r="B694" t="s">
        <v>3991</v>
      </c>
      <c r="C694" t="s">
        <v>3990</v>
      </c>
      <c r="F694" t="s">
        <v>3989</v>
      </c>
      <c r="G694" t="s">
        <v>5</v>
      </c>
      <c r="H694" t="s">
        <v>4</v>
      </c>
      <c r="I694" t="s">
        <v>3988</v>
      </c>
      <c r="J694">
        <v>60008088</v>
      </c>
      <c r="K694" t="s">
        <v>756</v>
      </c>
      <c r="L694" t="s">
        <v>755</v>
      </c>
      <c r="M694" t="s">
        <v>6</v>
      </c>
      <c r="N694">
        <v>8</v>
      </c>
      <c r="O694" t="s">
        <v>3987</v>
      </c>
      <c r="P694" t="s">
        <v>3986</v>
      </c>
      <c r="Q694" t="s">
        <v>3985</v>
      </c>
      <c r="R694" s="7">
        <v>37485</v>
      </c>
      <c r="S694" s="8">
        <f t="shared" si="80"/>
        <v>2002</v>
      </c>
      <c r="T694" s="8">
        <v>2002</v>
      </c>
      <c r="U694" s="8">
        <f t="shared" si="81"/>
        <v>20</v>
      </c>
      <c r="V694" s="7">
        <v>2002</v>
      </c>
      <c r="W694" t="s">
        <v>3984</v>
      </c>
      <c r="X694" s="2">
        <v>0.91700000000000004</v>
      </c>
      <c r="Y694" s="6">
        <f t="shared" si="86"/>
        <v>2.4478791276260646E-2</v>
      </c>
      <c r="AA694">
        <v>14454408</v>
      </c>
      <c r="AB694">
        <v>18565</v>
      </c>
      <c r="AD694" t="s">
        <v>2</v>
      </c>
      <c r="AE694">
        <v>29</v>
      </c>
      <c r="AF694">
        <v>1</v>
      </c>
      <c r="AH694" t="s">
        <v>748</v>
      </c>
      <c r="AI694" t="s">
        <v>3983</v>
      </c>
      <c r="AJ694" t="s">
        <v>3982</v>
      </c>
      <c r="AK694" t="s">
        <v>3981</v>
      </c>
      <c r="AL694">
        <v>33</v>
      </c>
      <c r="AM694" s="5">
        <f t="shared" si="82"/>
        <v>1.65</v>
      </c>
      <c r="AN694" s="4">
        <f t="shared" si="87"/>
        <v>2.4990533888678531E-3</v>
      </c>
      <c r="AO694" s="3"/>
      <c r="AP694">
        <v>0</v>
      </c>
      <c r="AR694" t="s">
        <v>1</v>
      </c>
      <c r="AT694" s="2">
        <v>3.101</v>
      </c>
      <c r="AU694" s="1">
        <f t="shared" si="83"/>
        <v>1.7884869910042807</v>
      </c>
      <c r="AV694" s="1">
        <f t="shared" si="84"/>
        <v>1.3488922332564248</v>
      </c>
      <c r="AW694" s="1">
        <f t="shared" si="85"/>
        <v>0.90929747550856899</v>
      </c>
    </row>
    <row r="695" spans="1:49" x14ac:dyDescent="0.2">
      <c r="A695">
        <v>693</v>
      </c>
      <c r="B695" t="s">
        <v>3980</v>
      </c>
      <c r="C695" t="s">
        <v>3979</v>
      </c>
      <c r="F695" t="s">
        <v>3978</v>
      </c>
      <c r="G695" t="s">
        <v>5</v>
      </c>
      <c r="H695" t="s">
        <v>4</v>
      </c>
      <c r="I695" t="s">
        <v>3977</v>
      </c>
      <c r="J695" t="s">
        <v>3976</v>
      </c>
      <c r="K695" t="s">
        <v>3975</v>
      </c>
      <c r="L695" t="s">
        <v>3974</v>
      </c>
      <c r="M695" t="s">
        <v>3973</v>
      </c>
      <c r="N695">
        <v>6</v>
      </c>
      <c r="O695" t="s">
        <v>3972</v>
      </c>
      <c r="P695" t="s">
        <v>3971</v>
      </c>
      <c r="Q695" t="s">
        <v>3970</v>
      </c>
      <c r="R695" s="7">
        <v>37483</v>
      </c>
      <c r="S695" s="8">
        <f t="shared" si="80"/>
        <v>2002</v>
      </c>
      <c r="T695" s="8">
        <v>2002</v>
      </c>
      <c r="U695" s="8">
        <f t="shared" si="81"/>
        <v>20</v>
      </c>
      <c r="V695" s="7">
        <v>37483</v>
      </c>
      <c r="W695" t="s">
        <v>1048</v>
      </c>
      <c r="X695" s="2">
        <v>0.86399999999999999</v>
      </c>
      <c r="Y695" s="6">
        <f t="shared" si="86"/>
        <v>2.3063986546007848E-2</v>
      </c>
      <c r="AA695">
        <v>10895647</v>
      </c>
      <c r="AB695">
        <v>26970</v>
      </c>
      <c r="AD695" t="s">
        <v>2</v>
      </c>
      <c r="AE695">
        <v>106</v>
      </c>
      <c r="AF695">
        <v>32</v>
      </c>
      <c r="AH695" t="s">
        <v>3969</v>
      </c>
      <c r="AI695" t="s">
        <v>3968</v>
      </c>
      <c r="AK695" t="s">
        <v>3967</v>
      </c>
      <c r="AL695">
        <v>114</v>
      </c>
      <c r="AM695" s="5">
        <f t="shared" si="82"/>
        <v>5.7</v>
      </c>
      <c r="AN695" s="4">
        <f t="shared" si="87"/>
        <v>8.6330935251798559E-3</v>
      </c>
      <c r="AO695" s="3"/>
      <c r="AP695">
        <v>0</v>
      </c>
      <c r="AR695" t="s">
        <v>1</v>
      </c>
      <c r="AT695" s="2">
        <v>2.9910000000000001</v>
      </c>
      <c r="AU695" s="1">
        <f t="shared" si="83"/>
        <v>1.8734718639759447</v>
      </c>
      <c r="AV695" s="1">
        <f t="shared" si="84"/>
        <v>1.5848540035593852</v>
      </c>
      <c r="AW695" s="1">
        <f t="shared" si="85"/>
        <v>1.2962361431428253</v>
      </c>
    </row>
    <row r="696" spans="1:49" x14ac:dyDescent="0.2">
      <c r="A696">
        <v>694</v>
      </c>
      <c r="B696" t="s">
        <v>3966</v>
      </c>
      <c r="C696" t="s">
        <v>3965</v>
      </c>
      <c r="F696" t="s">
        <v>3964</v>
      </c>
      <c r="G696" t="s">
        <v>5</v>
      </c>
      <c r="H696" t="s">
        <v>4</v>
      </c>
      <c r="I696" t="s">
        <v>3963</v>
      </c>
      <c r="J696" t="s">
        <v>3962</v>
      </c>
      <c r="K696" t="s">
        <v>3961</v>
      </c>
      <c r="L696" t="s">
        <v>3960</v>
      </c>
      <c r="M696" t="s">
        <v>22</v>
      </c>
      <c r="N696">
        <v>3</v>
      </c>
      <c r="O696" t="s">
        <v>3959</v>
      </c>
      <c r="P696" t="s">
        <v>3958</v>
      </c>
      <c r="Q696" t="s">
        <v>3957</v>
      </c>
      <c r="R696" s="7">
        <v>37483</v>
      </c>
      <c r="S696" s="8">
        <f t="shared" si="80"/>
        <v>2002</v>
      </c>
      <c r="T696" s="8">
        <v>2002</v>
      </c>
      <c r="U696" s="8">
        <f t="shared" si="81"/>
        <v>20</v>
      </c>
      <c r="V696" s="7">
        <v>37483</v>
      </c>
      <c r="W696" t="s">
        <v>3956</v>
      </c>
      <c r="X696" s="2">
        <v>1.276</v>
      </c>
      <c r="Y696" s="6">
        <f t="shared" si="86"/>
        <v>3.4062091241557887E-2</v>
      </c>
      <c r="AA696">
        <v>214922</v>
      </c>
      <c r="AB696">
        <v>75087</v>
      </c>
      <c r="AD696" t="s">
        <v>2</v>
      </c>
      <c r="AE696">
        <v>41</v>
      </c>
      <c r="AF696" t="s">
        <v>3955</v>
      </c>
      <c r="AI696" t="s">
        <v>3954</v>
      </c>
      <c r="AJ696" t="s">
        <v>3953</v>
      </c>
      <c r="AK696" t="s">
        <v>3952</v>
      </c>
      <c r="AL696">
        <v>5</v>
      </c>
      <c r="AM696" s="5">
        <f t="shared" si="82"/>
        <v>0.25</v>
      </c>
      <c r="AN696" s="4">
        <f t="shared" si="87"/>
        <v>3.786444528587656E-4</v>
      </c>
      <c r="AO696" s="3"/>
      <c r="AP696">
        <v>0</v>
      </c>
      <c r="AR696" t="s">
        <v>1</v>
      </c>
      <c r="AT696" s="2" t="s">
        <v>0</v>
      </c>
      <c r="AU696" s="1">
        <f t="shared" si="83"/>
        <v>2.3957057204948149</v>
      </c>
      <c r="AV696" s="1">
        <f t="shared" si="84"/>
        <v>1.7220367847208329</v>
      </c>
      <c r="AW696" s="1">
        <f t="shared" si="85"/>
        <v>1.0483678489468502</v>
      </c>
    </row>
    <row r="697" spans="1:49" x14ac:dyDescent="0.2">
      <c r="A697">
        <v>695</v>
      </c>
      <c r="B697" t="s">
        <v>3951</v>
      </c>
      <c r="C697" t="s">
        <v>3950</v>
      </c>
      <c r="F697" t="s">
        <v>3949</v>
      </c>
      <c r="G697" t="s">
        <v>5</v>
      </c>
      <c r="H697" t="s">
        <v>4</v>
      </c>
      <c r="I697" t="s">
        <v>3948</v>
      </c>
      <c r="J697">
        <v>60015465</v>
      </c>
      <c r="K697" t="s">
        <v>3947</v>
      </c>
      <c r="L697" t="s">
        <v>3946</v>
      </c>
      <c r="M697" t="s">
        <v>125</v>
      </c>
      <c r="N697">
        <v>3</v>
      </c>
      <c r="O697" t="s">
        <v>3945</v>
      </c>
      <c r="P697" t="s">
        <v>3944</v>
      </c>
      <c r="Q697" t="s">
        <v>3943</v>
      </c>
      <c r="R697" s="7">
        <v>37483</v>
      </c>
      <c r="S697" s="8">
        <f t="shared" si="80"/>
        <v>2002</v>
      </c>
      <c r="T697" s="8">
        <v>2002</v>
      </c>
      <c r="U697" s="8">
        <f t="shared" si="81"/>
        <v>20</v>
      </c>
      <c r="V697" s="7">
        <v>37483</v>
      </c>
      <c r="W697" t="s">
        <v>786</v>
      </c>
      <c r="X697" s="2">
        <v>0.375</v>
      </c>
      <c r="Y697" s="6">
        <f t="shared" si="86"/>
        <v>1.0010410827260351E-2</v>
      </c>
      <c r="AA697">
        <v>135194</v>
      </c>
      <c r="AB697">
        <v>24918</v>
      </c>
      <c r="AD697" t="s">
        <v>2</v>
      </c>
      <c r="AE697">
        <v>38</v>
      </c>
      <c r="AF697">
        <v>17</v>
      </c>
      <c r="AH697" t="s">
        <v>3942</v>
      </c>
      <c r="AI697" t="s">
        <v>3941</v>
      </c>
      <c r="AK697" t="s">
        <v>3940</v>
      </c>
      <c r="AL697">
        <v>1</v>
      </c>
      <c r="AM697" s="5">
        <f t="shared" si="82"/>
        <v>0.05</v>
      </c>
      <c r="AN697" s="4">
        <f t="shared" si="87"/>
        <v>7.5728890571753133E-5</v>
      </c>
      <c r="AO697" s="3"/>
      <c r="AP697">
        <v>0</v>
      </c>
      <c r="AR697" t="s">
        <v>1</v>
      </c>
      <c r="AT697" s="2">
        <v>1.3140000000000001</v>
      </c>
      <c r="AU697" s="1">
        <f t="shared" si="83"/>
        <v>0.70300062462537716</v>
      </c>
      <c r="AV697" s="1">
        <f t="shared" si="84"/>
        <v>0.50430698589160516</v>
      </c>
      <c r="AW697" s="1">
        <f t="shared" si="85"/>
        <v>0.30561334715783323</v>
      </c>
    </row>
    <row r="698" spans="1:49" x14ac:dyDescent="0.2">
      <c r="A698">
        <v>696</v>
      </c>
      <c r="B698" t="s">
        <v>3939</v>
      </c>
      <c r="C698" t="s">
        <v>3938</v>
      </c>
      <c r="F698" t="s">
        <v>3937</v>
      </c>
      <c r="G698" t="s">
        <v>5</v>
      </c>
      <c r="H698" t="s">
        <v>4</v>
      </c>
      <c r="I698" t="s">
        <v>3936</v>
      </c>
      <c r="J698" t="s">
        <v>3935</v>
      </c>
      <c r="K698" t="s">
        <v>3934</v>
      </c>
      <c r="L698" t="s">
        <v>3933</v>
      </c>
      <c r="M698" t="s">
        <v>3932</v>
      </c>
      <c r="N698">
        <v>3</v>
      </c>
      <c r="O698" t="s">
        <v>3931</v>
      </c>
      <c r="P698" t="s">
        <v>3930</v>
      </c>
      <c r="Q698" t="s">
        <v>3929</v>
      </c>
      <c r="R698" s="7">
        <v>37483</v>
      </c>
      <c r="S698" s="8">
        <f t="shared" si="80"/>
        <v>2002</v>
      </c>
      <c r="T698" s="8">
        <v>2002</v>
      </c>
      <c r="U698" s="8">
        <f t="shared" si="81"/>
        <v>20</v>
      </c>
      <c r="V698" s="7">
        <v>37483</v>
      </c>
      <c r="W698" t="s">
        <v>786</v>
      </c>
      <c r="X698" s="2">
        <v>0.375</v>
      </c>
      <c r="Y698" s="6">
        <f t="shared" si="86"/>
        <v>1.0010410827260351E-2</v>
      </c>
      <c r="AA698">
        <v>135194</v>
      </c>
      <c r="AB698">
        <v>24918</v>
      </c>
      <c r="AD698" t="s">
        <v>2</v>
      </c>
      <c r="AE698">
        <v>38</v>
      </c>
      <c r="AF698">
        <v>17</v>
      </c>
      <c r="AH698" t="s">
        <v>3928</v>
      </c>
      <c r="AI698" t="s">
        <v>3927</v>
      </c>
      <c r="AK698" t="s">
        <v>3926</v>
      </c>
      <c r="AL698">
        <v>29</v>
      </c>
      <c r="AM698" s="5">
        <f t="shared" si="82"/>
        <v>1.45</v>
      </c>
      <c r="AN698" s="4">
        <f t="shared" si="87"/>
        <v>2.1961378265808406E-3</v>
      </c>
      <c r="AO698" s="3"/>
      <c r="AP698">
        <v>0</v>
      </c>
      <c r="AR698" t="s">
        <v>1</v>
      </c>
      <c r="AT698" s="2">
        <v>1.3140000000000001</v>
      </c>
      <c r="AU698" s="1">
        <f t="shared" si="83"/>
        <v>0.76661289270564981</v>
      </c>
      <c r="AV698" s="1">
        <f t="shared" si="84"/>
        <v>0.61032743269205958</v>
      </c>
      <c r="AW698" s="1">
        <f t="shared" si="85"/>
        <v>0.45404197267846935</v>
      </c>
    </row>
    <row r="699" spans="1:49" x14ac:dyDescent="0.2">
      <c r="A699">
        <v>697</v>
      </c>
      <c r="B699" t="s">
        <v>3925</v>
      </c>
      <c r="C699" t="s">
        <v>3924</v>
      </c>
      <c r="F699" t="s">
        <v>3923</v>
      </c>
      <c r="G699" t="s">
        <v>5</v>
      </c>
      <c r="H699" t="s">
        <v>4</v>
      </c>
      <c r="I699" t="s">
        <v>3922</v>
      </c>
      <c r="J699">
        <v>60030553</v>
      </c>
      <c r="K699" t="s">
        <v>1092</v>
      </c>
      <c r="L699" t="s">
        <v>155</v>
      </c>
      <c r="M699" t="s">
        <v>14</v>
      </c>
      <c r="N699">
        <v>3</v>
      </c>
      <c r="O699" t="s">
        <v>3921</v>
      </c>
      <c r="P699" t="s">
        <v>3920</v>
      </c>
      <c r="Q699" t="s">
        <v>3919</v>
      </c>
      <c r="R699" s="7">
        <v>37483</v>
      </c>
      <c r="S699" s="8">
        <f t="shared" si="80"/>
        <v>2002</v>
      </c>
      <c r="T699" s="8">
        <v>2002</v>
      </c>
      <c r="U699" s="8">
        <f t="shared" si="81"/>
        <v>20</v>
      </c>
      <c r="V699" s="7">
        <v>37483</v>
      </c>
      <c r="W699" t="s">
        <v>786</v>
      </c>
      <c r="X699" s="2">
        <v>0.375</v>
      </c>
      <c r="Y699" s="6">
        <f t="shared" si="86"/>
        <v>1.0010410827260351E-2</v>
      </c>
      <c r="AA699">
        <v>135194</v>
      </c>
      <c r="AB699">
        <v>24918</v>
      </c>
      <c r="AD699" t="s">
        <v>2</v>
      </c>
      <c r="AE699">
        <v>38</v>
      </c>
      <c r="AF699">
        <v>17</v>
      </c>
      <c r="AH699" t="s">
        <v>3918</v>
      </c>
      <c r="AI699" t="s">
        <v>3917</v>
      </c>
      <c r="AK699" t="s">
        <v>3916</v>
      </c>
      <c r="AL699">
        <v>7</v>
      </c>
      <c r="AM699" s="5">
        <f t="shared" si="82"/>
        <v>0.35</v>
      </c>
      <c r="AN699" s="4">
        <f t="shared" si="87"/>
        <v>5.3010223400227184E-4</v>
      </c>
      <c r="AO699" s="3"/>
      <c r="AP699">
        <v>0</v>
      </c>
      <c r="AR699" t="s">
        <v>1</v>
      </c>
      <c r="AT699" s="2">
        <v>1.3140000000000001</v>
      </c>
      <c r="AU699" s="1">
        <f t="shared" si="83"/>
        <v>0.71663182492829269</v>
      </c>
      <c r="AV699" s="1">
        <f t="shared" si="84"/>
        <v>0.52702565306313121</v>
      </c>
      <c r="AW699" s="1">
        <f t="shared" si="85"/>
        <v>0.33741948119796955</v>
      </c>
    </row>
    <row r="700" spans="1:49" x14ac:dyDescent="0.2">
      <c r="A700">
        <v>698</v>
      </c>
      <c r="B700" t="s">
        <v>3915</v>
      </c>
      <c r="C700" t="s">
        <v>3914</v>
      </c>
      <c r="F700" t="s">
        <v>3913</v>
      </c>
      <c r="G700" t="s">
        <v>5</v>
      </c>
      <c r="H700" t="s">
        <v>4</v>
      </c>
      <c r="I700" t="s">
        <v>3912</v>
      </c>
      <c r="J700">
        <v>60025555</v>
      </c>
      <c r="K700" t="s">
        <v>188</v>
      </c>
      <c r="L700" t="s">
        <v>104</v>
      </c>
      <c r="M700" t="s">
        <v>36</v>
      </c>
      <c r="N700">
        <v>9</v>
      </c>
      <c r="O700" t="s">
        <v>3911</v>
      </c>
      <c r="P700" t="s">
        <v>3910</v>
      </c>
      <c r="Q700" t="s">
        <v>3909</v>
      </c>
      <c r="R700" s="7">
        <v>37483</v>
      </c>
      <c r="S700" s="8">
        <f t="shared" si="80"/>
        <v>2002</v>
      </c>
      <c r="T700" s="8">
        <v>2002</v>
      </c>
      <c r="U700" s="8">
        <f t="shared" si="81"/>
        <v>20</v>
      </c>
      <c r="V700" s="7">
        <v>37483</v>
      </c>
      <c r="W700" t="s">
        <v>786</v>
      </c>
      <c r="X700" s="2">
        <v>0.375</v>
      </c>
      <c r="Y700" s="6">
        <f t="shared" si="86"/>
        <v>1.0010410827260351E-2</v>
      </c>
      <c r="AA700">
        <v>135194</v>
      </c>
      <c r="AB700">
        <v>24918</v>
      </c>
      <c r="AD700" t="s">
        <v>2</v>
      </c>
      <c r="AE700">
        <v>38</v>
      </c>
      <c r="AF700">
        <v>17</v>
      </c>
      <c r="AH700" t="s">
        <v>3908</v>
      </c>
      <c r="AI700" t="s">
        <v>3907</v>
      </c>
      <c r="AK700" t="s">
        <v>3906</v>
      </c>
      <c r="AL700">
        <v>29</v>
      </c>
      <c r="AM700" s="5">
        <f t="shared" si="82"/>
        <v>1.45</v>
      </c>
      <c r="AN700" s="4">
        <f t="shared" si="87"/>
        <v>2.1961378265808406E-3</v>
      </c>
      <c r="AO700" s="3"/>
      <c r="AP700">
        <v>0</v>
      </c>
      <c r="AR700" t="s">
        <v>1</v>
      </c>
      <c r="AT700" s="2">
        <v>1.3140000000000001</v>
      </c>
      <c r="AU700" s="1">
        <f t="shared" si="83"/>
        <v>0.76661289270564981</v>
      </c>
      <c r="AV700" s="1">
        <f t="shared" si="84"/>
        <v>0.61032743269205958</v>
      </c>
      <c r="AW700" s="1">
        <f t="shared" si="85"/>
        <v>0.45404197267846935</v>
      </c>
    </row>
    <row r="701" spans="1:49" x14ac:dyDescent="0.2">
      <c r="A701">
        <v>699</v>
      </c>
      <c r="B701" t="s">
        <v>3905</v>
      </c>
      <c r="C701" t="s">
        <v>3904</v>
      </c>
      <c r="F701" t="s">
        <v>3903</v>
      </c>
      <c r="G701" t="s">
        <v>5</v>
      </c>
      <c r="H701" t="s">
        <v>4</v>
      </c>
      <c r="I701" t="s">
        <v>3902</v>
      </c>
      <c r="J701" t="s">
        <v>3901</v>
      </c>
      <c r="K701" t="s">
        <v>3900</v>
      </c>
      <c r="L701" t="s">
        <v>3899</v>
      </c>
      <c r="M701" t="s">
        <v>683</v>
      </c>
      <c r="N701">
        <v>8</v>
      </c>
      <c r="O701" t="s">
        <v>3898</v>
      </c>
      <c r="P701" t="s">
        <v>3897</v>
      </c>
      <c r="Q701" t="s">
        <v>3896</v>
      </c>
      <c r="R701" s="7">
        <v>37483</v>
      </c>
      <c r="S701" s="8">
        <f t="shared" si="80"/>
        <v>2002</v>
      </c>
      <c r="T701" s="8">
        <v>2002</v>
      </c>
      <c r="U701" s="8">
        <f t="shared" si="81"/>
        <v>20</v>
      </c>
      <c r="V701" s="7">
        <v>2002</v>
      </c>
      <c r="W701" t="s">
        <v>3895</v>
      </c>
      <c r="X701" s="2">
        <v>0.61399999999999999</v>
      </c>
      <c r="Y701" s="6">
        <f t="shared" si="86"/>
        <v>1.6390379327834281E-2</v>
      </c>
      <c r="AA701">
        <v>14387697</v>
      </c>
      <c r="AB701">
        <v>12921</v>
      </c>
      <c r="AD701" t="s">
        <v>2</v>
      </c>
      <c r="AE701">
        <v>104</v>
      </c>
      <c r="AF701">
        <v>1</v>
      </c>
      <c r="AH701" t="s">
        <v>3894</v>
      </c>
      <c r="AL701">
        <v>36</v>
      </c>
      <c r="AM701" s="5">
        <f t="shared" si="82"/>
        <v>1.8</v>
      </c>
      <c r="AN701" s="4">
        <f t="shared" si="87"/>
        <v>2.7262400605831123E-3</v>
      </c>
      <c r="AO701" s="3"/>
      <c r="AP701">
        <v>0</v>
      </c>
      <c r="AR701" t="s">
        <v>1</v>
      </c>
      <c r="AT701" s="2" t="s">
        <v>0</v>
      </c>
      <c r="AU701" s="1">
        <f t="shared" si="83"/>
        <v>1.229113754765893</v>
      </c>
      <c r="AV701" s="1">
        <f t="shared" si="84"/>
        <v>0.95583096942086965</v>
      </c>
      <c r="AW701" s="1">
        <f t="shared" si="85"/>
        <v>0.68254818407584628</v>
      </c>
    </row>
    <row r="702" spans="1:49" x14ac:dyDescent="0.2">
      <c r="A702">
        <v>700</v>
      </c>
      <c r="B702" t="s">
        <v>3893</v>
      </c>
      <c r="C702" t="s">
        <v>3892</v>
      </c>
      <c r="E702">
        <v>12167061</v>
      </c>
      <c r="F702" t="s">
        <v>3891</v>
      </c>
      <c r="G702" t="s">
        <v>5</v>
      </c>
      <c r="H702" t="s">
        <v>4</v>
      </c>
      <c r="I702" t="s">
        <v>1398</v>
      </c>
      <c r="J702">
        <v>60024322</v>
      </c>
      <c r="K702" t="s">
        <v>930</v>
      </c>
      <c r="L702" t="s">
        <v>929</v>
      </c>
      <c r="M702" t="s">
        <v>36</v>
      </c>
      <c r="N702">
        <v>4</v>
      </c>
      <c r="O702" t="s">
        <v>3890</v>
      </c>
      <c r="P702" t="s">
        <v>3889</v>
      </c>
      <c r="Q702" t="s">
        <v>2300</v>
      </c>
      <c r="R702" s="7">
        <v>37482</v>
      </c>
      <c r="S702" s="8">
        <f t="shared" si="80"/>
        <v>2002</v>
      </c>
      <c r="T702" s="8">
        <v>2002</v>
      </c>
      <c r="U702" s="8">
        <f t="shared" si="81"/>
        <v>20</v>
      </c>
      <c r="V702" s="7">
        <v>37482</v>
      </c>
      <c r="W702" t="s">
        <v>907</v>
      </c>
      <c r="X702" s="2">
        <v>7.1150000000000002</v>
      </c>
      <c r="Y702" s="6">
        <f t="shared" si="86"/>
        <v>0.18993086142921972</v>
      </c>
      <c r="AA702">
        <v>27863</v>
      </c>
      <c r="AB702">
        <v>22680</v>
      </c>
      <c r="AD702" t="s">
        <v>2</v>
      </c>
      <c r="AE702">
        <v>124</v>
      </c>
      <c r="AF702">
        <v>32</v>
      </c>
      <c r="AH702" t="s">
        <v>3888</v>
      </c>
      <c r="AI702" t="s">
        <v>3887</v>
      </c>
      <c r="AK702" t="s">
        <v>3886</v>
      </c>
      <c r="AL702">
        <v>340</v>
      </c>
      <c r="AM702" s="5">
        <f t="shared" si="82"/>
        <v>17</v>
      </c>
      <c r="AN702" s="4">
        <f t="shared" si="87"/>
        <v>2.5747822794396063E-2</v>
      </c>
      <c r="AO702" s="3"/>
      <c r="AP702">
        <v>0</v>
      </c>
      <c r="AR702" t="s">
        <v>1</v>
      </c>
      <c r="AT702" s="2" t="s">
        <v>0</v>
      </c>
      <c r="AU702" s="1">
        <f t="shared" si="83"/>
        <v>14.067594983877264</v>
      </c>
      <c r="AV702" s="1">
        <f t="shared" si="84"/>
        <v>10.783934211180789</v>
      </c>
      <c r="AW702" s="1">
        <f t="shared" si="85"/>
        <v>7.5002734384843155</v>
      </c>
    </row>
    <row r="703" spans="1:49" x14ac:dyDescent="0.2">
      <c r="A703">
        <v>701</v>
      </c>
      <c r="B703" t="s">
        <v>3885</v>
      </c>
      <c r="C703" t="s">
        <v>3884</v>
      </c>
      <c r="F703" t="s">
        <v>3883</v>
      </c>
      <c r="G703" t="s">
        <v>5</v>
      </c>
      <c r="H703" t="s">
        <v>4</v>
      </c>
      <c r="I703" t="s">
        <v>1165</v>
      </c>
      <c r="J703" t="s">
        <v>3882</v>
      </c>
      <c r="K703" t="s">
        <v>3881</v>
      </c>
      <c r="L703" t="s">
        <v>3880</v>
      </c>
      <c r="M703" t="s">
        <v>195</v>
      </c>
      <c r="N703">
        <v>10</v>
      </c>
      <c r="O703" t="s">
        <v>3879</v>
      </c>
      <c r="P703" t="s">
        <v>3878</v>
      </c>
      <c r="Q703" t="s">
        <v>3877</v>
      </c>
      <c r="R703" s="7">
        <v>37480</v>
      </c>
      <c r="S703" s="8">
        <f t="shared" si="80"/>
        <v>2002</v>
      </c>
      <c r="T703" s="8">
        <v>2002</v>
      </c>
      <c r="U703" s="8">
        <f t="shared" si="81"/>
        <v>20</v>
      </c>
      <c r="V703" s="7">
        <v>37480</v>
      </c>
      <c r="W703" t="s">
        <v>958</v>
      </c>
      <c r="X703" s="2">
        <v>1.1819999999999999</v>
      </c>
      <c r="Y703" s="6">
        <f t="shared" si="86"/>
        <v>3.1552814927524625E-2</v>
      </c>
      <c r="AA703">
        <v>36951</v>
      </c>
      <c r="AB703">
        <v>27030</v>
      </c>
      <c r="AD703" t="s">
        <v>2</v>
      </c>
      <c r="AE703">
        <v>81</v>
      </c>
      <c r="AF703">
        <v>7</v>
      </c>
      <c r="AH703" t="s">
        <v>3876</v>
      </c>
      <c r="AI703" t="s">
        <v>3875</v>
      </c>
      <c r="AK703" t="s">
        <v>3874</v>
      </c>
      <c r="AL703">
        <v>59</v>
      </c>
      <c r="AM703" s="5">
        <f t="shared" si="82"/>
        <v>2.95</v>
      </c>
      <c r="AN703" s="4">
        <f t="shared" si="87"/>
        <v>4.4680045437334344E-3</v>
      </c>
      <c r="AO703" s="3"/>
      <c r="AP703">
        <v>0</v>
      </c>
      <c r="AR703" t="s">
        <v>1</v>
      </c>
      <c r="AT703" s="2">
        <v>3.7909999999999999</v>
      </c>
      <c r="AU703" s="1">
        <f t="shared" si="83"/>
        <v>2.3427371812387263</v>
      </c>
      <c r="AV703" s="1">
        <f t="shared" si="84"/>
        <v>1.8010409735629027</v>
      </c>
      <c r="AW703" s="1">
        <f t="shared" si="85"/>
        <v>1.2593447658870791</v>
      </c>
    </row>
    <row r="704" spans="1:49" x14ac:dyDescent="0.2">
      <c r="A704">
        <v>702</v>
      </c>
      <c r="B704" t="s">
        <v>3873</v>
      </c>
      <c r="C704" t="s">
        <v>3872</v>
      </c>
      <c r="D704" t="s">
        <v>3871</v>
      </c>
      <c r="F704" t="s">
        <v>3870</v>
      </c>
      <c r="G704" t="s">
        <v>5</v>
      </c>
      <c r="H704" t="s">
        <v>4</v>
      </c>
      <c r="I704" t="s">
        <v>3869</v>
      </c>
      <c r="J704">
        <v>60007457</v>
      </c>
      <c r="K704" t="s">
        <v>528</v>
      </c>
      <c r="L704" t="s">
        <v>27</v>
      </c>
      <c r="M704" t="s">
        <v>26</v>
      </c>
      <c r="N704">
        <v>2</v>
      </c>
      <c r="O704" t="s">
        <v>3868</v>
      </c>
      <c r="P704" t="s">
        <v>3867</v>
      </c>
      <c r="Q704" t="s">
        <v>879</v>
      </c>
      <c r="R704" s="7">
        <v>37480</v>
      </c>
      <c r="S704" s="8">
        <f t="shared" si="80"/>
        <v>2002</v>
      </c>
      <c r="T704" s="8">
        <v>2002</v>
      </c>
      <c r="U704" s="8">
        <f t="shared" si="81"/>
        <v>20</v>
      </c>
      <c r="V704" s="7">
        <v>37480</v>
      </c>
      <c r="W704" t="s">
        <v>878</v>
      </c>
      <c r="X704" s="2">
        <v>0.499</v>
      </c>
      <c r="Y704" s="6">
        <f t="shared" si="86"/>
        <v>1.332052000747444E-2</v>
      </c>
      <c r="AA704">
        <v>3759601</v>
      </c>
      <c r="AB704">
        <v>29464</v>
      </c>
      <c r="AD704" t="s">
        <v>2</v>
      </c>
      <c r="AE704">
        <v>300</v>
      </c>
      <c r="AF704">
        <v>6</v>
      </c>
      <c r="AH704" t="s">
        <v>3866</v>
      </c>
      <c r="AI704" t="s">
        <v>3865</v>
      </c>
      <c r="AK704" t="s">
        <v>3864</v>
      </c>
      <c r="AL704">
        <v>6</v>
      </c>
      <c r="AM704" s="5">
        <f t="shared" si="82"/>
        <v>0.3</v>
      </c>
      <c r="AN704" s="4">
        <f t="shared" si="87"/>
        <v>4.5437334343051872E-4</v>
      </c>
      <c r="AO704" s="3"/>
      <c r="AP704">
        <v>0</v>
      </c>
      <c r="AQ704" t="s">
        <v>3863</v>
      </c>
      <c r="AR704" t="s">
        <v>1</v>
      </c>
      <c r="AS704" t="s">
        <v>2082</v>
      </c>
      <c r="AT704" s="2" t="s">
        <v>0</v>
      </c>
      <c r="AU704" s="1">
        <f t="shared" si="83"/>
        <v>0.9460676008261264</v>
      </c>
      <c r="AV704" s="1">
        <f t="shared" si="84"/>
        <v>0.68874466754524799</v>
      </c>
      <c r="AW704" s="1">
        <f t="shared" si="85"/>
        <v>0.43142173426436953</v>
      </c>
    </row>
    <row r="705" spans="1:49" x14ac:dyDescent="0.2">
      <c r="A705">
        <v>703</v>
      </c>
      <c r="B705" t="s">
        <v>3862</v>
      </c>
      <c r="F705" t="s">
        <v>3861</v>
      </c>
      <c r="G705" t="s">
        <v>5</v>
      </c>
      <c r="H705" t="s">
        <v>4</v>
      </c>
      <c r="I705" t="s">
        <v>3860</v>
      </c>
      <c r="J705" t="s">
        <v>3859</v>
      </c>
      <c r="K705" t="s">
        <v>3858</v>
      </c>
      <c r="L705" t="s">
        <v>3857</v>
      </c>
      <c r="M705" t="s">
        <v>3856</v>
      </c>
      <c r="N705">
        <v>14</v>
      </c>
      <c r="O705" t="s">
        <v>3855</v>
      </c>
      <c r="P705" t="s">
        <v>3854</v>
      </c>
      <c r="Q705" t="s">
        <v>3853</v>
      </c>
      <c r="R705" s="7">
        <v>37478</v>
      </c>
      <c r="S705" s="8">
        <f t="shared" si="80"/>
        <v>2002</v>
      </c>
      <c r="T705" s="8">
        <v>2002</v>
      </c>
      <c r="U705" s="8">
        <f t="shared" si="81"/>
        <v>20</v>
      </c>
      <c r="V705" s="7">
        <v>37478</v>
      </c>
      <c r="W705" t="s">
        <v>3852</v>
      </c>
      <c r="X705" s="2">
        <v>1.9830000000000001</v>
      </c>
      <c r="Y705" s="6">
        <f t="shared" si="86"/>
        <v>5.2935052454552739E-2</v>
      </c>
      <c r="AA705">
        <v>21699313</v>
      </c>
      <c r="AB705">
        <v>21100855886</v>
      </c>
      <c r="AC705">
        <v>21699356</v>
      </c>
      <c r="AD705" t="s">
        <v>2</v>
      </c>
      <c r="AE705">
        <v>107</v>
      </c>
      <c r="AF705">
        <v>8</v>
      </c>
      <c r="AI705" t="s">
        <v>3851</v>
      </c>
      <c r="AJ705" t="s">
        <v>3850</v>
      </c>
      <c r="AK705" t="s">
        <v>3849</v>
      </c>
      <c r="AL705">
        <v>167</v>
      </c>
      <c r="AM705" s="5">
        <f t="shared" si="82"/>
        <v>8.35</v>
      </c>
      <c r="AN705" s="4">
        <f t="shared" si="87"/>
        <v>1.2646724725482771E-2</v>
      </c>
      <c r="AO705" s="3"/>
      <c r="AP705">
        <v>0</v>
      </c>
      <c r="AR705" t="s">
        <v>1</v>
      </c>
      <c r="AT705" s="2" t="s">
        <v>0</v>
      </c>
      <c r="AU705" s="1">
        <f t="shared" si="83"/>
        <v>4.0848554135831741</v>
      </c>
      <c r="AV705" s="1">
        <f t="shared" si="84"/>
        <v>3.2790888590017753</v>
      </c>
      <c r="AW705" s="1">
        <f t="shared" si="85"/>
        <v>2.4733223044203756</v>
      </c>
    </row>
    <row r="706" spans="1:49" x14ac:dyDescent="0.2">
      <c r="A706">
        <v>704</v>
      </c>
      <c r="B706" t="s">
        <v>3848</v>
      </c>
      <c r="C706" t="s">
        <v>3847</v>
      </c>
      <c r="F706" t="s">
        <v>3846</v>
      </c>
      <c r="G706" t="s">
        <v>5</v>
      </c>
      <c r="H706" t="s">
        <v>4</v>
      </c>
      <c r="I706" t="s">
        <v>3845</v>
      </c>
      <c r="J706" t="s">
        <v>3840</v>
      </c>
      <c r="K706" t="s">
        <v>3844</v>
      </c>
      <c r="L706" t="s">
        <v>3843</v>
      </c>
      <c r="M706" t="s">
        <v>3</v>
      </c>
      <c r="N706">
        <v>2</v>
      </c>
      <c r="O706" t="s">
        <v>3842</v>
      </c>
      <c r="P706" t="s">
        <v>3841</v>
      </c>
      <c r="Q706" t="s">
        <v>3840</v>
      </c>
      <c r="R706" s="7">
        <v>37478</v>
      </c>
      <c r="S706" s="8">
        <f t="shared" ref="S706:S769" si="88">YEAR(R706)</f>
        <v>2002</v>
      </c>
      <c r="T706" s="8">
        <v>2002</v>
      </c>
      <c r="U706" s="8">
        <f t="shared" ref="U706:U769" si="89">2022-T706</f>
        <v>20</v>
      </c>
      <c r="V706" s="7">
        <v>37478</v>
      </c>
      <c r="W706" t="s">
        <v>578</v>
      </c>
      <c r="X706" s="2">
        <v>0.66800000000000004</v>
      </c>
      <c r="Y706" s="6">
        <f t="shared" si="86"/>
        <v>1.7831878486959774E-2</v>
      </c>
      <c r="AA706" t="s">
        <v>577</v>
      </c>
      <c r="AB706">
        <v>29593</v>
      </c>
      <c r="AC706">
        <v>21553165</v>
      </c>
      <c r="AD706" t="s">
        <v>2</v>
      </c>
      <c r="AE706">
        <v>41</v>
      </c>
      <c r="AF706">
        <v>23</v>
      </c>
      <c r="AH706" t="s">
        <v>3839</v>
      </c>
      <c r="AI706" t="s">
        <v>3838</v>
      </c>
      <c r="AK706" t="s">
        <v>3837</v>
      </c>
      <c r="AL706">
        <v>25</v>
      </c>
      <c r="AM706" s="5">
        <f t="shared" ref="AM706:AM769" si="90">AL706/U706</f>
        <v>1.25</v>
      </c>
      <c r="AN706" s="4">
        <f t="shared" si="87"/>
        <v>1.8932222642938281E-3</v>
      </c>
      <c r="AO706" s="3"/>
      <c r="AP706">
        <v>0</v>
      </c>
      <c r="AR706" t="s">
        <v>1</v>
      </c>
      <c r="AT706" s="2">
        <v>1.98</v>
      </c>
      <c r="AU706" s="1">
        <f t="shared" ref="AU706:AU769" si="91">(Y706*0.7+AN706*0.3)*100</f>
        <v>1.3050281620159987</v>
      </c>
      <c r="AV706" s="1">
        <f t="shared" ref="AV706:AV769" si="92">(Y706*0.5+AN706*0.5)*100</f>
        <v>0.98625503756268018</v>
      </c>
      <c r="AW706" s="1">
        <f t="shared" ref="AW706:AW769" si="93">(Y706*0.3+AN706*0.7)*100</f>
        <v>0.66748191310936111</v>
      </c>
    </row>
    <row r="707" spans="1:49" x14ac:dyDescent="0.2">
      <c r="A707">
        <v>705</v>
      </c>
      <c r="B707" t="s">
        <v>3836</v>
      </c>
      <c r="C707" t="s">
        <v>3835</v>
      </c>
      <c r="F707" t="s">
        <v>3834</v>
      </c>
      <c r="G707" t="s">
        <v>5</v>
      </c>
      <c r="H707" t="s">
        <v>4</v>
      </c>
      <c r="I707" t="s">
        <v>3833</v>
      </c>
      <c r="J707">
        <v>60018429</v>
      </c>
      <c r="K707" t="s">
        <v>3832</v>
      </c>
      <c r="L707" t="s">
        <v>3831</v>
      </c>
      <c r="M707" t="s">
        <v>36</v>
      </c>
      <c r="N707">
        <v>2</v>
      </c>
      <c r="O707" t="s">
        <v>3830</v>
      </c>
      <c r="P707" t="s">
        <v>3829</v>
      </c>
      <c r="Q707" t="s">
        <v>3828</v>
      </c>
      <c r="R707" s="7">
        <v>37474</v>
      </c>
      <c r="S707" s="8">
        <f t="shared" si="88"/>
        <v>2002</v>
      </c>
      <c r="T707" s="8">
        <v>2002</v>
      </c>
      <c r="U707" s="8">
        <f t="shared" si="89"/>
        <v>20</v>
      </c>
      <c r="V707" s="7">
        <v>2002</v>
      </c>
      <c r="W707" t="s">
        <v>335</v>
      </c>
      <c r="X707" s="2">
        <v>0.111</v>
      </c>
      <c r="Y707" s="6">
        <f t="shared" ref="Y707:Y770" si="94">(X707-$Z$3)/($Z$2-$Z$3)</f>
        <v>2.9630816048690639E-3</v>
      </c>
      <c r="AA707">
        <v>87566621</v>
      </c>
      <c r="AB707">
        <v>24890</v>
      </c>
      <c r="AD707" t="s">
        <v>2</v>
      </c>
      <c r="AE707">
        <v>85</v>
      </c>
      <c r="AF707">
        <v>11</v>
      </c>
      <c r="AH707" t="s">
        <v>3827</v>
      </c>
      <c r="AI707" t="s">
        <v>3826</v>
      </c>
      <c r="AJ707" t="s">
        <v>3825</v>
      </c>
      <c r="AK707" t="s">
        <v>3824</v>
      </c>
      <c r="AL707">
        <v>5</v>
      </c>
      <c r="AM707" s="5">
        <f t="shared" si="90"/>
        <v>0.25</v>
      </c>
      <c r="AN707" s="4">
        <f t="shared" ref="AN707:AN770" si="95">(AM707-$AO$3)/($AO$2-$AO$3)</f>
        <v>3.786444528587656E-4</v>
      </c>
      <c r="AO707" s="3"/>
      <c r="AP707">
        <v>0</v>
      </c>
      <c r="AR707" t="s">
        <v>1</v>
      </c>
      <c r="AT707" s="2" t="s">
        <v>0</v>
      </c>
      <c r="AU707" s="1">
        <f t="shared" si="91"/>
        <v>0.21877504592659741</v>
      </c>
      <c r="AV707" s="1">
        <f t="shared" si="92"/>
        <v>0.16708630288639148</v>
      </c>
      <c r="AW707" s="1">
        <f t="shared" si="93"/>
        <v>0.11539755984618549</v>
      </c>
    </row>
    <row r="708" spans="1:49" x14ac:dyDescent="0.2">
      <c r="A708">
        <v>706</v>
      </c>
      <c r="B708" t="s">
        <v>3823</v>
      </c>
      <c r="C708" t="s">
        <v>3822</v>
      </c>
      <c r="F708" t="s">
        <v>3821</v>
      </c>
      <c r="G708" t="s">
        <v>5</v>
      </c>
      <c r="H708" t="s">
        <v>4</v>
      </c>
      <c r="I708" t="s">
        <v>1015</v>
      </c>
      <c r="J708" t="s">
        <v>1127</v>
      </c>
      <c r="K708" t="s">
        <v>1126</v>
      </c>
      <c r="L708" t="s">
        <v>1125</v>
      </c>
      <c r="M708" t="s">
        <v>22</v>
      </c>
      <c r="N708">
        <v>5</v>
      </c>
      <c r="O708" t="s">
        <v>1124</v>
      </c>
      <c r="P708" t="s">
        <v>1123</v>
      </c>
      <c r="Q708" t="s">
        <v>1122</v>
      </c>
      <c r="R708" s="7">
        <v>37474</v>
      </c>
      <c r="S708" s="8">
        <f t="shared" si="88"/>
        <v>2002</v>
      </c>
      <c r="T708" s="8">
        <v>2002</v>
      </c>
      <c r="U708" s="8">
        <f t="shared" si="89"/>
        <v>20</v>
      </c>
      <c r="V708" s="7">
        <v>2002</v>
      </c>
      <c r="W708" t="s">
        <v>335</v>
      </c>
      <c r="X708" s="2">
        <v>0.111</v>
      </c>
      <c r="Y708" s="6">
        <f t="shared" si="94"/>
        <v>2.9630816048690639E-3</v>
      </c>
      <c r="AA708">
        <v>87566621</v>
      </c>
      <c r="AB708">
        <v>24890</v>
      </c>
      <c r="AD708" t="s">
        <v>2</v>
      </c>
      <c r="AE708">
        <v>85</v>
      </c>
      <c r="AF708">
        <v>11</v>
      </c>
      <c r="AH708" t="s">
        <v>3820</v>
      </c>
      <c r="AI708" t="s">
        <v>3819</v>
      </c>
      <c r="AJ708" t="s">
        <v>3818</v>
      </c>
      <c r="AK708" t="s">
        <v>3817</v>
      </c>
      <c r="AL708">
        <v>3</v>
      </c>
      <c r="AM708" s="5">
        <f t="shared" si="90"/>
        <v>0.15</v>
      </c>
      <c r="AN708" s="4">
        <f t="shared" si="95"/>
        <v>2.2718667171525936E-4</v>
      </c>
      <c r="AO708" s="3"/>
      <c r="AP708">
        <v>0</v>
      </c>
      <c r="AR708" t="s">
        <v>1</v>
      </c>
      <c r="AT708" s="2" t="s">
        <v>0</v>
      </c>
      <c r="AU708" s="1">
        <f t="shared" si="91"/>
        <v>0.21423131249229221</v>
      </c>
      <c r="AV708" s="1">
        <f t="shared" si="92"/>
        <v>0.15951341382921616</v>
      </c>
      <c r="AW708" s="1">
        <f t="shared" si="93"/>
        <v>0.10479551516614007</v>
      </c>
    </row>
    <row r="709" spans="1:49" x14ac:dyDescent="0.2">
      <c r="A709">
        <v>707</v>
      </c>
      <c r="B709" t="s">
        <v>3816</v>
      </c>
      <c r="C709" t="s">
        <v>3815</v>
      </c>
      <c r="F709" t="s">
        <v>3814</v>
      </c>
      <c r="G709" t="s">
        <v>5</v>
      </c>
      <c r="H709" t="s">
        <v>4</v>
      </c>
      <c r="I709" t="s">
        <v>3813</v>
      </c>
      <c r="J709" t="s">
        <v>3812</v>
      </c>
      <c r="K709" t="s">
        <v>3811</v>
      </c>
      <c r="L709" t="s">
        <v>3810</v>
      </c>
      <c r="M709" t="s">
        <v>22</v>
      </c>
      <c r="N709">
        <v>4</v>
      </c>
      <c r="O709" t="s">
        <v>3809</v>
      </c>
      <c r="P709" t="s">
        <v>3808</v>
      </c>
      <c r="Q709" t="s">
        <v>3807</v>
      </c>
      <c r="R709" s="7">
        <v>37474</v>
      </c>
      <c r="S709" s="8">
        <f t="shared" si="88"/>
        <v>2002</v>
      </c>
      <c r="T709" s="8">
        <v>2002</v>
      </c>
      <c r="U709" s="8">
        <f t="shared" si="89"/>
        <v>20</v>
      </c>
      <c r="V709" s="7">
        <v>2002</v>
      </c>
      <c r="W709" t="s">
        <v>928</v>
      </c>
      <c r="X709" s="2">
        <v>0.13900000000000001</v>
      </c>
      <c r="Y709" s="6">
        <f t="shared" si="94"/>
        <v>3.7105256133045036E-3</v>
      </c>
      <c r="AA709" t="s">
        <v>927</v>
      </c>
      <c r="AB709">
        <v>24891</v>
      </c>
      <c r="AD709" t="s">
        <v>2</v>
      </c>
      <c r="AE709">
        <v>85</v>
      </c>
      <c r="AF709">
        <v>7</v>
      </c>
      <c r="AH709" t="s">
        <v>3806</v>
      </c>
      <c r="AI709" t="s">
        <v>3805</v>
      </c>
      <c r="AJ709" t="s">
        <v>3804</v>
      </c>
      <c r="AK709" t="s">
        <v>3803</v>
      </c>
      <c r="AL709">
        <v>14</v>
      </c>
      <c r="AM709" s="5">
        <f t="shared" si="90"/>
        <v>0.7</v>
      </c>
      <c r="AN709" s="4">
        <f t="shared" si="95"/>
        <v>1.0602044680045437E-3</v>
      </c>
      <c r="AO709" s="3"/>
      <c r="AP709">
        <v>0</v>
      </c>
      <c r="AR709" t="s">
        <v>1</v>
      </c>
      <c r="AT709" s="2" t="s">
        <v>0</v>
      </c>
      <c r="AU709" s="1">
        <f t="shared" si="91"/>
        <v>0.29154292697145151</v>
      </c>
      <c r="AV709" s="1">
        <f t="shared" si="92"/>
        <v>0.23853650406545235</v>
      </c>
      <c r="AW709" s="1">
        <f t="shared" si="93"/>
        <v>0.18553008115945313</v>
      </c>
    </row>
    <row r="710" spans="1:49" x14ac:dyDescent="0.2">
      <c r="A710">
        <v>708</v>
      </c>
      <c r="B710" t="s">
        <v>3802</v>
      </c>
      <c r="C710" t="s">
        <v>3801</v>
      </c>
      <c r="F710" t="s">
        <v>3800</v>
      </c>
      <c r="G710" t="s">
        <v>5</v>
      </c>
      <c r="H710" t="s">
        <v>4</v>
      </c>
      <c r="I710" t="s">
        <v>553</v>
      </c>
      <c r="J710">
        <v>60025555</v>
      </c>
      <c r="K710" t="s">
        <v>188</v>
      </c>
      <c r="L710" t="s">
        <v>104</v>
      </c>
      <c r="M710" t="s">
        <v>36</v>
      </c>
      <c r="N710">
        <v>2</v>
      </c>
      <c r="O710" t="s">
        <v>3799</v>
      </c>
      <c r="P710" t="s">
        <v>3798</v>
      </c>
      <c r="Q710" t="s">
        <v>1020</v>
      </c>
      <c r="R710" s="7">
        <v>37474</v>
      </c>
      <c r="S710" s="8">
        <f t="shared" si="88"/>
        <v>2002</v>
      </c>
      <c r="T710" s="8">
        <v>2002</v>
      </c>
      <c r="U710" s="8">
        <f t="shared" si="89"/>
        <v>20</v>
      </c>
      <c r="V710" s="7">
        <v>2002</v>
      </c>
      <c r="W710" t="s">
        <v>335</v>
      </c>
      <c r="X710" s="2">
        <v>0.111</v>
      </c>
      <c r="Y710" s="6">
        <f t="shared" si="94"/>
        <v>2.9630816048690639E-3</v>
      </c>
      <c r="AA710">
        <v>87566621</v>
      </c>
      <c r="AB710">
        <v>24890</v>
      </c>
      <c r="AD710" t="s">
        <v>2</v>
      </c>
      <c r="AE710">
        <v>85</v>
      </c>
      <c r="AF710">
        <v>12</v>
      </c>
      <c r="AH710" t="s">
        <v>3797</v>
      </c>
      <c r="AI710" t="s">
        <v>3796</v>
      </c>
      <c r="AJ710" t="s">
        <v>3795</v>
      </c>
      <c r="AK710" t="s">
        <v>3794</v>
      </c>
      <c r="AL710">
        <v>0</v>
      </c>
      <c r="AM710" s="5">
        <f t="shared" si="90"/>
        <v>0</v>
      </c>
      <c r="AN710" s="4">
        <f t="shared" si="95"/>
        <v>0</v>
      </c>
      <c r="AO710" s="3"/>
      <c r="AP710">
        <v>0</v>
      </c>
      <c r="AR710" t="s">
        <v>1</v>
      </c>
      <c r="AT710" s="2" t="s">
        <v>0</v>
      </c>
      <c r="AU710" s="1">
        <f t="shared" si="91"/>
        <v>0.20741571234083445</v>
      </c>
      <c r="AV710" s="1">
        <f t="shared" si="92"/>
        <v>0.1481540802434532</v>
      </c>
      <c r="AW710" s="1">
        <f t="shared" si="93"/>
        <v>8.8892448146071903E-2</v>
      </c>
    </row>
    <row r="711" spans="1:49" x14ac:dyDescent="0.2">
      <c r="A711">
        <v>709</v>
      </c>
      <c r="B711" t="s">
        <v>3793</v>
      </c>
      <c r="C711" t="s">
        <v>3792</v>
      </c>
      <c r="F711" t="s">
        <v>3791</v>
      </c>
      <c r="G711" t="s">
        <v>5</v>
      </c>
      <c r="H711" t="s">
        <v>4</v>
      </c>
      <c r="I711" t="s">
        <v>3790</v>
      </c>
      <c r="J711">
        <v>60000202</v>
      </c>
      <c r="K711" t="s">
        <v>3789</v>
      </c>
      <c r="L711" t="s">
        <v>556</v>
      </c>
      <c r="M711" t="s">
        <v>36</v>
      </c>
      <c r="N711">
        <v>1</v>
      </c>
      <c r="O711" t="s">
        <v>3788</v>
      </c>
      <c r="P711">
        <v>35249014800</v>
      </c>
      <c r="Q711">
        <v>60000202</v>
      </c>
      <c r="R711" s="7">
        <v>37474</v>
      </c>
      <c r="S711" s="8">
        <f t="shared" si="88"/>
        <v>2002</v>
      </c>
      <c r="T711" s="8">
        <v>2002</v>
      </c>
      <c r="U711" s="8">
        <f t="shared" si="89"/>
        <v>20</v>
      </c>
      <c r="V711" s="7">
        <v>2002</v>
      </c>
      <c r="W711" t="s">
        <v>928</v>
      </c>
      <c r="X711" s="2">
        <v>0.13900000000000001</v>
      </c>
      <c r="Y711" s="6">
        <f t="shared" si="94"/>
        <v>3.7105256133045036E-3</v>
      </c>
      <c r="AA711" t="s">
        <v>927</v>
      </c>
      <c r="AB711">
        <v>24891</v>
      </c>
      <c r="AD711" t="s">
        <v>2</v>
      </c>
      <c r="AE711">
        <v>85</v>
      </c>
      <c r="AF711">
        <v>7</v>
      </c>
      <c r="AH711" t="s">
        <v>1121</v>
      </c>
      <c r="AI711" t="s">
        <v>3787</v>
      </c>
      <c r="AJ711" t="s">
        <v>3786</v>
      </c>
      <c r="AK711" t="s">
        <v>3785</v>
      </c>
      <c r="AL711">
        <v>2</v>
      </c>
      <c r="AM711" s="5">
        <f t="shared" si="90"/>
        <v>0.1</v>
      </c>
      <c r="AN711" s="4">
        <f t="shared" si="95"/>
        <v>1.5145778114350627E-4</v>
      </c>
      <c r="AO711" s="3"/>
      <c r="AP711">
        <v>0</v>
      </c>
      <c r="AR711" t="s">
        <v>1</v>
      </c>
      <c r="AT711" s="2" t="s">
        <v>0</v>
      </c>
      <c r="AU711" s="1">
        <f t="shared" si="91"/>
        <v>0.26428052636562038</v>
      </c>
      <c r="AV711" s="1">
        <f t="shared" si="92"/>
        <v>0.19309916972240052</v>
      </c>
      <c r="AW711" s="1">
        <f t="shared" si="93"/>
        <v>0.12191781307918054</v>
      </c>
    </row>
    <row r="712" spans="1:49" x14ac:dyDescent="0.2">
      <c r="A712">
        <v>710</v>
      </c>
      <c r="B712" t="s">
        <v>3784</v>
      </c>
      <c r="C712" t="s">
        <v>3783</v>
      </c>
      <c r="F712" t="s">
        <v>3782</v>
      </c>
      <c r="G712" t="s">
        <v>5</v>
      </c>
      <c r="H712" t="s">
        <v>4</v>
      </c>
      <c r="I712" t="s">
        <v>3781</v>
      </c>
      <c r="J712">
        <v>60016437</v>
      </c>
      <c r="K712" t="s">
        <v>3780</v>
      </c>
      <c r="L712" t="s">
        <v>173</v>
      </c>
      <c r="M712" t="s">
        <v>172</v>
      </c>
      <c r="N712">
        <v>5</v>
      </c>
      <c r="O712" t="s">
        <v>3779</v>
      </c>
      <c r="P712" t="s">
        <v>3778</v>
      </c>
      <c r="Q712" t="s">
        <v>3777</v>
      </c>
      <c r="R712" s="7">
        <v>37473</v>
      </c>
      <c r="S712" s="8">
        <f t="shared" si="88"/>
        <v>2002</v>
      </c>
      <c r="T712" s="8">
        <v>2002</v>
      </c>
      <c r="U712" s="8">
        <f t="shared" si="89"/>
        <v>20</v>
      </c>
      <c r="V712" s="7">
        <v>37473</v>
      </c>
      <c r="W712" t="s">
        <v>958</v>
      </c>
      <c r="X712" s="2">
        <v>1.1819999999999999</v>
      </c>
      <c r="Y712" s="6">
        <f t="shared" si="94"/>
        <v>3.1552814927524625E-2</v>
      </c>
      <c r="AA712">
        <v>36951</v>
      </c>
      <c r="AB712">
        <v>27030</v>
      </c>
      <c r="AD712" t="s">
        <v>2</v>
      </c>
      <c r="AE712">
        <v>81</v>
      </c>
      <c r="AF712">
        <v>6</v>
      </c>
      <c r="AH712" t="s">
        <v>3776</v>
      </c>
      <c r="AI712" t="s">
        <v>3775</v>
      </c>
      <c r="AK712" t="s">
        <v>3774</v>
      </c>
      <c r="AL712">
        <v>62</v>
      </c>
      <c r="AM712" s="5">
        <f t="shared" si="90"/>
        <v>3.1</v>
      </c>
      <c r="AN712" s="4">
        <f t="shared" si="95"/>
        <v>4.6951912154486941E-3</v>
      </c>
      <c r="AO712" s="3"/>
      <c r="AP712">
        <v>0</v>
      </c>
      <c r="AR712" t="s">
        <v>1</v>
      </c>
      <c r="AT712" s="2">
        <v>3.7909999999999999</v>
      </c>
      <c r="AU712" s="1">
        <f t="shared" si="91"/>
        <v>2.3495527813901842</v>
      </c>
      <c r="AV712" s="1">
        <f t="shared" si="92"/>
        <v>1.8124003071486661</v>
      </c>
      <c r="AW712" s="1">
        <f t="shared" si="93"/>
        <v>1.2752478329071473</v>
      </c>
    </row>
    <row r="713" spans="1:49" x14ac:dyDescent="0.2">
      <c r="A713">
        <v>711</v>
      </c>
      <c r="B713" t="s">
        <v>3773</v>
      </c>
      <c r="C713" t="s">
        <v>3772</v>
      </c>
      <c r="F713" t="s">
        <v>3771</v>
      </c>
      <c r="G713" t="s">
        <v>5</v>
      </c>
      <c r="H713" t="s">
        <v>4</v>
      </c>
      <c r="I713" t="s">
        <v>3770</v>
      </c>
      <c r="J713">
        <v>60031004</v>
      </c>
      <c r="K713" t="s">
        <v>1193</v>
      </c>
      <c r="L713" t="s">
        <v>975</v>
      </c>
      <c r="M713" t="s">
        <v>308</v>
      </c>
      <c r="N713">
        <v>2</v>
      </c>
      <c r="O713" t="s">
        <v>3769</v>
      </c>
      <c r="P713" t="s">
        <v>3768</v>
      </c>
      <c r="Q713" t="s">
        <v>1191</v>
      </c>
      <c r="R713" s="7">
        <v>37473</v>
      </c>
      <c r="S713" s="8">
        <f t="shared" si="88"/>
        <v>2002</v>
      </c>
      <c r="T713" s="8">
        <v>2002</v>
      </c>
      <c r="U713" s="8">
        <f t="shared" si="89"/>
        <v>20</v>
      </c>
      <c r="V713" s="7">
        <v>37473</v>
      </c>
      <c r="W713" t="s">
        <v>789</v>
      </c>
      <c r="X713" s="2">
        <v>0.30399999999999999</v>
      </c>
      <c r="Y713" s="6">
        <f t="shared" si="94"/>
        <v>8.115106377299057E-3</v>
      </c>
      <c r="AA713">
        <v>8952477</v>
      </c>
      <c r="AB713">
        <v>12250</v>
      </c>
      <c r="AD713" t="s">
        <v>2</v>
      </c>
      <c r="AE713">
        <v>34</v>
      </c>
      <c r="AF713">
        <v>3</v>
      </c>
      <c r="AH713" t="s">
        <v>3767</v>
      </c>
      <c r="AI713" t="s">
        <v>3766</v>
      </c>
      <c r="AJ713" t="s">
        <v>3765</v>
      </c>
      <c r="AK713" t="s">
        <v>3764</v>
      </c>
      <c r="AL713">
        <v>40</v>
      </c>
      <c r="AM713" s="5">
        <f t="shared" si="90"/>
        <v>2</v>
      </c>
      <c r="AN713" s="4">
        <f t="shared" si="95"/>
        <v>3.0291556228701248E-3</v>
      </c>
      <c r="AO713" s="3"/>
      <c r="AP713">
        <v>0</v>
      </c>
      <c r="AR713" t="s">
        <v>1</v>
      </c>
      <c r="AT713" s="2" t="s">
        <v>0</v>
      </c>
      <c r="AU713" s="1">
        <f t="shared" si="91"/>
        <v>0.65893211509703775</v>
      </c>
      <c r="AV713" s="1">
        <f t="shared" si="92"/>
        <v>0.55721310000845914</v>
      </c>
      <c r="AW713" s="1">
        <f t="shared" si="93"/>
        <v>0.45549408491988047</v>
      </c>
    </row>
    <row r="714" spans="1:49" x14ac:dyDescent="0.2">
      <c r="A714">
        <v>712</v>
      </c>
      <c r="B714" t="s">
        <v>3763</v>
      </c>
      <c r="C714" t="s">
        <v>3762</v>
      </c>
      <c r="F714" t="s">
        <v>3761</v>
      </c>
      <c r="G714" t="s">
        <v>5</v>
      </c>
      <c r="H714" t="s">
        <v>4</v>
      </c>
      <c r="I714" t="s">
        <v>1096</v>
      </c>
      <c r="J714" t="s">
        <v>1042</v>
      </c>
      <c r="K714" t="s">
        <v>1041</v>
      </c>
      <c r="L714" t="s">
        <v>1040</v>
      </c>
      <c r="M714" t="s">
        <v>76</v>
      </c>
      <c r="N714">
        <v>5</v>
      </c>
      <c r="O714" t="s">
        <v>3760</v>
      </c>
      <c r="P714" t="s">
        <v>3759</v>
      </c>
      <c r="Q714" t="s">
        <v>3758</v>
      </c>
      <c r="R714" s="7">
        <v>37473</v>
      </c>
      <c r="S714" s="8">
        <f t="shared" si="88"/>
        <v>2002</v>
      </c>
      <c r="T714" s="8">
        <v>2002</v>
      </c>
      <c r="U714" s="8">
        <f t="shared" si="89"/>
        <v>20</v>
      </c>
      <c r="V714" s="7">
        <v>37473</v>
      </c>
      <c r="W714" t="s">
        <v>789</v>
      </c>
      <c r="X714" s="2">
        <v>0.30399999999999999</v>
      </c>
      <c r="Y714" s="6">
        <f t="shared" si="94"/>
        <v>8.115106377299057E-3</v>
      </c>
      <c r="AA714">
        <v>8952477</v>
      </c>
      <c r="AB714">
        <v>12250</v>
      </c>
      <c r="AD714" t="s">
        <v>2</v>
      </c>
      <c r="AE714">
        <v>34</v>
      </c>
      <c r="AF714">
        <v>3</v>
      </c>
      <c r="AH714" t="s">
        <v>819</v>
      </c>
      <c r="AI714" t="s">
        <v>3757</v>
      </c>
      <c r="AJ714" t="s">
        <v>3756</v>
      </c>
      <c r="AK714" t="s">
        <v>3755</v>
      </c>
      <c r="AL714">
        <v>3</v>
      </c>
      <c r="AM714" s="5">
        <f t="shared" si="90"/>
        <v>0.15</v>
      </c>
      <c r="AN714" s="4">
        <f t="shared" si="95"/>
        <v>2.2718667171525936E-4</v>
      </c>
      <c r="AO714" s="3"/>
      <c r="AP714">
        <v>0</v>
      </c>
      <c r="AR714" t="s">
        <v>1</v>
      </c>
      <c r="AT714" s="2" t="s">
        <v>0</v>
      </c>
      <c r="AU714" s="1">
        <f t="shared" si="91"/>
        <v>0.5748730465623918</v>
      </c>
      <c r="AV714" s="1">
        <f t="shared" si="92"/>
        <v>0.41711465245071577</v>
      </c>
      <c r="AW714" s="1">
        <f t="shared" si="93"/>
        <v>0.25935625833903986</v>
      </c>
    </row>
    <row r="715" spans="1:49" x14ac:dyDescent="0.2">
      <c r="A715">
        <v>713</v>
      </c>
      <c r="B715" t="s">
        <v>3754</v>
      </c>
      <c r="C715" t="s">
        <v>3753</v>
      </c>
      <c r="F715" t="s">
        <v>3752</v>
      </c>
      <c r="G715" t="s">
        <v>5</v>
      </c>
      <c r="H715" t="s">
        <v>4</v>
      </c>
      <c r="I715" t="s">
        <v>3751</v>
      </c>
      <c r="J715" t="s">
        <v>3750</v>
      </c>
      <c r="K715" t="s">
        <v>3749</v>
      </c>
      <c r="L715" t="s">
        <v>3748</v>
      </c>
      <c r="M715" t="s">
        <v>3747</v>
      </c>
      <c r="N715">
        <v>4</v>
      </c>
      <c r="O715" t="s">
        <v>3746</v>
      </c>
      <c r="P715" t="s">
        <v>3745</v>
      </c>
      <c r="Q715" t="s">
        <v>3744</v>
      </c>
      <c r="R715" s="7">
        <v>37473</v>
      </c>
      <c r="S715" s="8">
        <f t="shared" si="88"/>
        <v>2002</v>
      </c>
      <c r="T715" s="8">
        <v>2002</v>
      </c>
      <c r="U715" s="8">
        <f t="shared" si="89"/>
        <v>20</v>
      </c>
      <c r="V715" s="7">
        <v>37473</v>
      </c>
      <c r="W715" t="s">
        <v>789</v>
      </c>
      <c r="X715" s="2">
        <v>0.30399999999999999</v>
      </c>
      <c r="Y715" s="6">
        <f t="shared" si="94"/>
        <v>8.115106377299057E-3</v>
      </c>
      <c r="AA715">
        <v>8952477</v>
      </c>
      <c r="AB715">
        <v>12250</v>
      </c>
      <c r="AD715" t="s">
        <v>2</v>
      </c>
      <c r="AE715">
        <v>34</v>
      </c>
      <c r="AF715">
        <v>3</v>
      </c>
      <c r="AH715" t="s">
        <v>3743</v>
      </c>
      <c r="AI715" t="s">
        <v>3742</v>
      </c>
      <c r="AJ715" t="s">
        <v>3741</v>
      </c>
      <c r="AK715" t="s">
        <v>3740</v>
      </c>
      <c r="AL715">
        <v>4</v>
      </c>
      <c r="AM715" s="5">
        <f t="shared" si="90"/>
        <v>0.2</v>
      </c>
      <c r="AN715" s="4">
        <f t="shared" si="95"/>
        <v>3.0291556228701253E-4</v>
      </c>
      <c r="AO715" s="3"/>
      <c r="AP715">
        <v>0</v>
      </c>
      <c r="AR715" t="s">
        <v>1</v>
      </c>
      <c r="AT715" s="2" t="s">
        <v>0</v>
      </c>
      <c r="AU715" s="1">
        <f t="shared" si="91"/>
        <v>0.57714491327954431</v>
      </c>
      <c r="AV715" s="1">
        <f t="shared" si="92"/>
        <v>0.4209010969793035</v>
      </c>
      <c r="AW715" s="1">
        <f t="shared" si="93"/>
        <v>0.26465728067906258</v>
      </c>
    </row>
    <row r="716" spans="1:49" x14ac:dyDescent="0.2">
      <c r="A716">
        <v>714</v>
      </c>
      <c r="B716" t="s">
        <v>3739</v>
      </c>
      <c r="C716" t="s">
        <v>3738</v>
      </c>
      <c r="F716" t="s">
        <v>3737</v>
      </c>
      <c r="G716" t="s">
        <v>5</v>
      </c>
      <c r="H716" t="s">
        <v>4</v>
      </c>
      <c r="I716" t="s">
        <v>128</v>
      </c>
      <c r="J716">
        <v>60031544</v>
      </c>
      <c r="K716" t="s">
        <v>127</v>
      </c>
      <c r="L716" t="s">
        <v>126</v>
      </c>
      <c r="M716" t="s">
        <v>125</v>
      </c>
      <c r="N716">
        <v>4</v>
      </c>
      <c r="O716" t="s">
        <v>654</v>
      </c>
      <c r="P716" t="s">
        <v>653</v>
      </c>
      <c r="Q716" t="s">
        <v>256</v>
      </c>
      <c r="R716" s="7">
        <v>37473</v>
      </c>
      <c r="S716" s="8">
        <f t="shared" si="88"/>
        <v>2002</v>
      </c>
      <c r="T716" s="8">
        <v>2002</v>
      </c>
      <c r="U716" s="8">
        <f t="shared" si="89"/>
        <v>20</v>
      </c>
      <c r="V716" s="7">
        <v>37473</v>
      </c>
      <c r="W716" t="s">
        <v>789</v>
      </c>
      <c r="X716" s="2">
        <v>0.30399999999999999</v>
      </c>
      <c r="Y716" s="6">
        <f t="shared" si="94"/>
        <v>8.115106377299057E-3</v>
      </c>
      <c r="AA716">
        <v>8952477</v>
      </c>
      <c r="AB716">
        <v>12250</v>
      </c>
      <c r="AD716" t="s">
        <v>2</v>
      </c>
      <c r="AE716">
        <v>34</v>
      </c>
      <c r="AF716">
        <v>3</v>
      </c>
      <c r="AH716" t="s">
        <v>3736</v>
      </c>
      <c r="AI716" t="s">
        <v>3735</v>
      </c>
      <c r="AJ716" t="s">
        <v>3734</v>
      </c>
      <c r="AK716" t="s">
        <v>3733</v>
      </c>
      <c r="AL716">
        <v>2</v>
      </c>
      <c r="AM716" s="5">
        <f t="shared" si="90"/>
        <v>0.1</v>
      </c>
      <c r="AN716" s="4">
        <f t="shared" si="95"/>
        <v>1.5145778114350627E-4</v>
      </c>
      <c r="AO716" s="3"/>
      <c r="AP716">
        <v>0</v>
      </c>
      <c r="AR716" t="s">
        <v>1</v>
      </c>
      <c r="AT716" s="2" t="s">
        <v>0</v>
      </c>
      <c r="AU716" s="1">
        <f t="shared" si="91"/>
        <v>0.57260117984523917</v>
      </c>
      <c r="AV716" s="1">
        <f t="shared" si="92"/>
        <v>0.41332820792212815</v>
      </c>
      <c r="AW716" s="1">
        <f t="shared" si="93"/>
        <v>0.25405523599901714</v>
      </c>
    </row>
    <row r="717" spans="1:49" x14ac:dyDescent="0.2">
      <c r="A717">
        <v>715</v>
      </c>
      <c r="B717" t="s">
        <v>3732</v>
      </c>
      <c r="C717" t="s">
        <v>3731</v>
      </c>
      <c r="F717" t="s">
        <v>3730</v>
      </c>
      <c r="G717" t="s">
        <v>5</v>
      </c>
      <c r="H717" t="s">
        <v>4</v>
      </c>
      <c r="I717" t="s">
        <v>3729</v>
      </c>
      <c r="J717" t="s">
        <v>3725</v>
      </c>
      <c r="K717" t="s">
        <v>3728</v>
      </c>
      <c r="L717" t="s">
        <v>899</v>
      </c>
      <c r="M717" t="s">
        <v>59</v>
      </c>
      <c r="N717">
        <v>2</v>
      </c>
      <c r="O717" t="s">
        <v>3727</v>
      </c>
      <c r="P717" t="s">
        <v>3726</v>
      </c>
      <c r="Q717" t="s">
        <v>3725</v>
      </c>
      <c r="R717" s="7">
        <v>37473</v>
      </c>
      <c r="S717" s="8">
        <f t="shared" si="88"/>
        <v>2002</v>
      </c>
      <c r="T717" s="8">
        <v>2002</v>
      </c>
      <c r="U717" s="8">
        <f t="shared" si="89"/>
        <v>20</v>
      </c>
      <c r="V717" s="7">
        <v>37473</v>
      </c>
      <c r="W717" t="s">
        <v>789</v>
      </c>
      <c r="X717" s="2">
        <v>0.30399999999999999</v>
      </c>
      <c r="Y717" s="6">
        <f t="shared" si="94"/>
        <v>8.115106377299057E-3</v>
      </c>
      <c r="AA717">
        <v>8952477</v>
      </c>
      <c r="AB717">
        <v>12250</v>
      </c>
      <c r="AD717" t="s">
        <v>2</v>
      </c>
      <c r="AE717">
        <v>34</v>
      </c>
      <c r="AF717">
        <v>3</v>
      </c>
      <c r="AH717" t="s">
        <v>3724</v>
      </c>
      <c r="AI717" t="s">
        <v>3723</v>
      </c>
      <c r="AJ717" t="s">
        <v>3722</v>
      </c>
      <c r="AK717" t="s">
        <v>3721</v>
      </c>
      <c r="AL717">
        <v>6</v>
      </c>
      <c r="AM717" s="5">
        <f t="shared" si="90"/>
        <v>0.3</v>
      </c>
      <c r="AN717" s="4">
        <f t="shared" si="95"/>
        <v>4.5437334343051872E-4</v>
      </c>
      <c r="AO717" s="3"/>
      <c r="AP717">
        <v>0</v>
      </c>
      <c r="AR717" t="s">
        <v>1</v>
      </c>
      <c r="AT717" s="2" t="s">
        <v>0</v>
      </c>
      <c r="AU717" s="1">
        <f t="shared" si="91"/>
        <v>0.58168864671384946</v>
      </c>
      <c r="AV717" s="1">
        <f t="shared" si="92"/>
        <v>0.42847398603647879</v>
      </c>
      <c r="AW717" s="1">
        <f t="shared" si="93"/>
        <v>0.27525932535910802</v>
      </c>
    </row>
    <row r="718" spans="1:49" x14ac:dyDescent="0.2">
      <c r="A718">
        <v>716</v>
      </c>
      <c r="B718" t="s">
        <v>3720</v>
      </c>
      <c r="C718" t="s">
        <v>3719</v>
      </c>
      <c r="F718" t="s">
        <v>3718</v>
      </c>
      <c r="G718" t="s">
        <v>5</v>
      </c>
      <c r="H718" t="s">
        <v>4</v>
      </c>
      <c r="I718" t="s">
        <v>3717</v>
      </c>
      <c r="J718" t="s">
        <v>3716</v>
      </c>
      <c r="K718" t="s">
        <v>3715</v>
      </c>
      <c r="L718" t="s">
        <v>3714</v>
      </c>
      <c r="M718" t="s">
        <v>66</v>
      </c>
      <c r="N718">
        <v>4</v>
      </c>
      <c r="O718" t="s">
        <v>3713</v>
      </c>
      <c r="P718" t="s">
        <v>3712</v>
      </c>
      <c r="Q718" t="s">
        <v>3711</v>
      </c>
      <c r="R718" s="7">
        <v>37473</v>
      </c>
      <c r="S718" s="8">
        <f t="shared" si="88"/>
        <v>2002</v>
      </c>
      <c r="T718" s="8">
        <v>2002</v>
      </c>
      <c r="U718" s="8">
        <f t="shared" si="89"/>
        <v>20</v>
      </c>
      <c r="V718" s="7">
        <v>37473</v>
      </c>
      <c r="W718" t="s">
        <v>789</v>
      </c>
      <c r="X718" s="2">
        <v>0.30399999999999999</v>
      </c>
      <c r="Y718" s="6">
        <f t="shared" si="94"/>
        <v>8.115106377299057E-3</v>
      </c>
      <c r="AA718">
        <v>8952477</v>
      </c>
      <c r="AB718">
        <v>12250</v>
      </c>
      <c r="AD718" t="s">
        <v>2</v>
      </c>
      <c r="AE718">
        <v>34</v>
      </c>
      <c r="AF718">
        <v>3</v>
      </c>
      <c r="AH718" t="s">
        <v>3710</v>
      </c>
      <c r="AI718" t="s">
        <v>3709</v>
      </c>
      <c r="AJ718" t="s">
        <v>3708</v>
      </c>
      <c r="AK718" t="s">
        <v>3707</v>
      </c>
      <c r="AL718">
        <v>6</v>
      </c>
      <c r="AM718" s="5">
        <f t="shared" si="90"/>
        <v>0.3</v>
      </c>
      <c r="AN718" s="4">
        <f t="shared" si="95"/>
        <v>4.5437334343051872E-4</v>
      </c>
      <c r="AO718" s="3"/>
      <c r="AP718">
        <v>0</v>
      </c>
      <c r="AR718" t="s">
        <v>1</v>
      </c>
      <c r="AT718" s="2" t="s">
        <v>0</v>
      </c>
      <c r="AU718" s="1">
        <f t="shared" si="91"/>
        <v>0.58168864671384946</v>
      </c>
      <c r="AV718" s="1">
        <f t="shared" si="92"/>
        <v>0.42847398603647879</v>
      </c>
      <c r="AW718" s="1">
        <f t="shared" si="93"/>
        <v>0.27525932535910802</v>
      </c>
    </row>
    <row r="719" spans="1:49" x14ac:dyDescent="0.2">
      <c r="A719">
        <v>717</v>
      </c>
      <c r="B719" t="s">
        <v>3706</v>
      </c>
      <c r="C719" t="s">
        <v>3705</v>
      </c>
      <c r="F719" t="s">
        <v>3704</v>
      </c>
      <c r="G719" t="s">
        <v>5</v>
      </c>
      <c r="H719" t="s">
        <v>4</v>
      </c>
      <c r="I719" t="s">
        <v>3703</v>
      </c>
      <c r="J719" t="s">
        <v>3702</v>
      </c>
      <c r="K719" t="s">
        <v>3701</v>
      </c>
      <c r="L719" t="s">
        <v>3700</v>
      </c>
      <c r="M719" t="s">
        <v>3</v>
      </c>
      <c r="N719">
        <v>3</v>
      </c>
      <c r="O719" t="s">
        <v>3699</v>
      </c>
      <c r="P719" t="s">
        <v>3698</v>
      </c>
      <c r="Q719" t="s">
        <v>3697</v>
      </c>
      <c r="R719" s="7">
        <v>37473</v>
      </c>
      <c r="S719" s="8">
        <f t="shared" si="88"/>
        <v>2002</v>
      </c>
      <c r="T719" s="8">
        <v>2002</v>
      </c>
      <c r="U719" s="8">
        <f t="shared" si="89"/>
        <v>20</v>
      </c>
      <c r="V719" s="7">
        <v>37473</v>
      </c>
      <c r="W719" t="s">
        <v>789</v>
      </c>
      <c r="X719" s="2">
        <v>0.30399999999999999</v>
      </c>
      <c r="Y719" s="6">
        <f t="shared" si="94"/>
        <v>8.115106377299057E-3</v>
      </c>
      <c r="AA719">
        <v>8952477</v>
      </c>
      <c r="AB719">
        <v>12250</v>
      </c>
      <c r="AD719" t="s">
        <v>2</v>
      </c>
      <c r="AE719">
        <v>34</v>
      </c>
      <c r="AF719">
        <v>3</v>
      </c>
      <c r="AH719" t="s">
        <v>3696</v>
      </c>
      <c r="AI719" t="s">
        <v>3695</v>
      </c>
      <c r="AJ719" t="s">
        <v>3694</v>
      </c>
      <c r="AK719" t="s">
        <v>3693</v>
      </c>
      <c r="AL719">
        <v>4</v>
      </c>
      <c r="AM719" s="5">
        <f t="shared" si="90"/>
        <v>0.2</v>
      </c>
      <c r="AN719" s="4">
        <f t="shared" si="95"/>
        <v>3.0291556228701253E-4</v>
      </c>
      <c r="AO719" s="3"/>
      <c r="AP719">
        <v>0</v>
      </c>
      <c r="AR719" t="s">
        <v>1</v>
      </c>
      <c r="AT719" s="2" t="s">
        <v>0</v>
      </c>
      <c r="AU719" s="1">
        <f t="shared" si="91"/>
        <v>0.57714491327954431</v>
      </c>
      <c r="AV719" s="1">
        <f t="shared" si="92"/>
        <v>0.4209010969793035</v>
      </c>
      <c r="AW719" s="1">
        <f t="shared" si="93"/>
        <v>0.26465728067906258</v>
      </c>
    </row>
    <row r="720" spans="1:49" x14ac:dyDescent="0.2">
      <c r="A720">
        <v>718</v>
      </c>
      <c r="B720" t="s">
        <v>3692</v>
      </c>
      <c r="C720" t="s">
        <v>3691</v>
      </c>
      <c r="F720" t="s">
        <v>3690</v>
      </c>
      <c r="G720" t="s">
        <v>5</v>
      </c>
      <c r="H720" t="s">
        <v>4</v>
      </c>
      <c r="I720" t="s">
        <v>3689</v>
      </c>
      <c r="J720">
        <v>60001439</v>
      </c>
      <c r="K720" t="s">
        <v>159</v>
      </c>
      <c r="L720" t="s">
        <v>158</v>
      </c>
      <c r="M720" t="s">
        <v>7</v>
      </c>
      <c r="N720">
        <v>2</v>
      </c>
      <c r="O720" t="s">
        <v>3688</v>
      </c>
      <c r="P720" t="s">
        <v>3687</v>
      </c>
      <c r="Q720" t="s">
        <v>656</v>
      </c>
      <c r="R720" s="7">
        <v>37473</v>
      </c>
      <c r="S720" s="8">
        <f t="shared" si="88"/>
        <v>2002</v>
      </c>
      <c r="T720" s="8">
        <v>2002</v>
      </c>
      <c r="U720" s="8">
        <f t="shared" si="89"/>
        <v>20</v>
      </c>
      <c r="V720" s="7">
        <v>37473</v>
      </c>
      <c r="W720" t="s">
        <v>789</v>
      </c>
      <c r="X720" s="2">
        <v>0.30399999999999999</v>
      </c>
      <c r="Y720" s="6">
        <f t="shared" si="94"/>
        <v>8.115106377299057E-3</v>
      </c>
      <c r="AA720">
        <v>8952477</v>
      </c>
      <c r="AB720">
        <v>12250</v>
      </c>
      <c r="AD720" t="s">
        <v>2</v>
      </c>
      <c r="AE720">
        <v>34</v>
      </c>
      <c r="AF720">
        <v>3</v>
      </c>
      <c r="AH720" t="s">
        <v>3686</v>
      </c>
      <c r="AI720" t="s">
        <v>3685</v>
      </c>
      <c r="AJ720" t="s">
        <v>3684</v>
      </c>
      <c r="AK720" t="s">
        <v>3683</v>
      </c>
      <c r="AL720">
        <v>0</v>
      </c>
      <c r="AM720" s="5">
        <f t="shared" si="90"/>
        <v>0</v>
      </c>
      <c r="AN720" s="4">
        <f t="shared" si="95"/>
        <v>0</v>
      </c>
      <c r="AO720" s="3"/>
      <c r="AP720">
        <v>0</v>
      </c>
      <c r="AR720" t="s">
        <v>1</v>
      </c>
      <c r="AT720" s="2" t="s">
        <v>0</v>
      </c>
      <c r="AU720" s="1">
        <f t="shared" si="91"/>
        <v>0.56805744641093392</v>
      </c>
      <c r="AV720" s="1">
        <f t="shared" si="92"/>
        <v>0.40575531886495286</v>
      </c>
      <c r="AW720" s="1">
        <f t="shared" si="93"/>
        <v>0.24345319131897172</v>
      </c>
    </row>
    <row r="721" spans="1:49" x14ac:dyDescent="0.2">
      <c r="A721">
        <v>719</v>
      </c>
      <c r="B721" t="s">
        <v>3682</v>
      </c>
      <c r="C721" t="s">
        <v>3681</v>
      </c>
      <c r="F721" t="s">
        <v>3680</v>
      </c>
      <c r="G721" t="s">
        <v>5</v>
      </c>
      <c r="H721" t="s">
        <v>4</v>
      </c>
      <c r="I721" t="s">
        <v>198</v>
      </c>
      <c r="J721">
        <v>60116768</v>
      </c>
      <c r="K721" t="s">
        <v>277</v>
      </c>
      <c r="L721" t="s">
        <v>216</v>
      </c>
      <c r="M721" t="s">
        <v>135</v>
      </c>
      <c r="N721">
        <v>3</v>
      </c>
      <c r="O721" t="s">
        <v>3679</v>
      </c>
      <c r="P721" t="s">
        <v>3678</v>
      </c>
      <c r="Q721" t="s">
        <v>3677</v>
      </c>
      <c r="R721" s="7">
        <v>37473</v>
      </c>
      <c r="S721" s="8">
        <f t="shared" si="88"/>
        <v>2002</v>
      </c>
      <c r="T721" s="8">
        <v>2002</v>
      </c>
      <c r="U721" s="8">
        <f t="shared" si="89"/>
        <v>20</v>
      </c>
      <c r="V721" s="7">
        <v>37473</v>
      </c>
      <c r="W721" t="s">
        <v>789</v>
      </c>
      <c r="X721" s="2">
        <v>0.30399999999999999</v>
      </c>
      <c r="Y721" s="6">
        <f t="shared" si="94"/>
        <v>8.115106377299057E-3</v>
      </c>
      <c r="AA721">
        <v>8952477</v>
      </c>
      <c r="AB721">
        <v>12250</v>
      </c>
      <c r="AD721" t="s">
        <v>2</v>
      </c>
      <c r="AE721">
        <v>34</v>
      </c>
      <c r="AF721">
        <v>3</v>
      </c>
      <c r="AH721" t="s">
        <v>858</v>
      </c>
      <c r="AI721" t="s">
        <v>3676</v>
      </c>
      <c r="AJ721" t="s">
        <v>3675</v>
      </c>
      <c r="AK721" t="s">
        <v>3674</v>
      </c>
      <c r="AL721">
        <v>1</v>
      </c>
      <c r="AM721" s="5">
        <f t="shared" si="90"/>
        <v>0.05</v>
      </c>
      <c r="AN721" s="4">
        <f t="shared" si="95"/>
        <v>7.5728890571753133E-5</v>
      </c>
      <c r="AO721" s="3"/>
      <c r="AP721">
        <v>0</v>
      </c>
      <c r="AR721" t="s">
        <v>1</v>
      </c>
      <c r="AT721" s="2" t="s">
        <v>0</v>
      </c>
      <c r="AU721" s="1">
        <f t="shared" si="91"/>
        <v>0.57032931312808655</v>
      </c>
      <c r="AV721" s="1">
        <f t="shared" si="92"/>
        <v>0.40954176339354048</v>
      </c>
      <c r="AW721" s="1">
        <f t="shared" si="93"/>
        <v>0.24875421365899444</v>
      </c>
    </row>
    <row r="722" spans="1:49" x14ac:dyDescent="0.2">
      <c r="A722">
        <v>720</v>
      </c>
      <c r="B722" t="s">
        <v>3673</v>
      </c>
      <c r="C722" t="s">
        <v>3672</v>
      </c>
      <c r="F722" t="s">
        <v>3671</v>
      </c>
      <c r="G722" t="s">
        <v>5</v>
      </c>
      <c r="H722" t="s">
        <v>4</v>
      </c>
      <c r="I722" t="s">
        <v>1106</v>
      </c>
      <c r="J722">
        <v>60011357</v>
      </c>
      <c r="K722" t="s">
        <v>217</v>
      </c>
      <c r="L722" t="s">
        <v>216</v>
      </c>
      <c r="M722" t="s">
        <v>135</v>
      </c>
      <c r="N722">
        <v>2</v>
      </c>
      <c r="O722" t="s">
        <v>1105</v>
      </c>
      <c r="P722" t="s">
        <v>1104</v>
      </c>
      <c r="Q722" t="s">
        <v>235</v>
      </c>
      <c r="R722" s="7">
        <v>37473</v>
      </c>
      <c r="S722" s="8">
        <f t="shared" si="88"/>
        <v>2002</v>
      </c>
      <c r="T722" s="8">
        <v>2002</v>
      </c>
      <c r="U722" s="8">
        <f t="shared" si="89"/>
        <v>20</v>
      </c>
      <c r="V722" s="7">
        <v>37473</v>
      </c>
      <c r="W722" t="s">
        <v>789</v>
      </c>
      <c r="X722" s="2">
        <v>0.30399999999999999</v>
      </c>
      <c r="Y722" s="6">
        <f t="shared" si="94"/>
        <v>8.115106377299057E-3</v>
      </c>
      <c r="AA722">
        <v>8952477</v>
      </c>
      <c r="AB722">
        <v>12250</v>
      </c>
      <c r="AD722" t="s">
        <v>2</v>
      </c>
      <c r="AE722">
        <v>34</v>
      </c>
      <c r="AF722">
        <v>3</v>
      </c>
      <c r="AH722" t="s">
        <v>3670</v>
      </c>
      <c r="AI722" t="s">
        <v>3669</v>
      </c>
      <c r="AJ722" t="s">
        <v>3668</v>
      </c>
      <c r="AK722" t="s">
        <v>3667</v>
      </c>
      <c r="AL722">
        <v>10</v>
      </c>
      <c r="AM722" s="5">
        <f t="shared" si="90"/>
        <v>0.5</v>
      </c>
      <c r="AN722" s="4">
        <f t="shared" si="95"/>
        <v>7.572889057175312E-4</v>
      </c>
      <c r="AO722" s="3"/>
      <c r="AP722">
        <v>0</v>
      </c>
      <c r="AR722" t="s">
        <v>1</v>
      </c>
      <c r="AT722" s="2" t="s">
        <v>0</v>
      </c>
      <c r="AU722" s="1">
        <f t="shared" si="91"/>
        <v>0.59077611358245985</v>
      </c>
      <c r="AV722" s="1">
        <f t="shared" si="92"/>
        <v>0.44361976415082938</v>
      </c>
      <c r="AW722" s="1">
        <f t="shared" si="93"/>
        <v>0.2964634147191989</v>
      </c>
    </row>
    <row r="723" spans="1:49" x14ac:dyDescent="0.2">
      <c r="A723">
        <v>721</v>
      </c>
      <c r="B723" t="s">
        <v>3666</v>
      </c>
      <c r="C723" t="s">
        <v>3665</v>
      </c>
      <c r="F723" t="s">
        <v>3664</v>
      </c>
      <c r="G723" t="s">
        <v>5</v>
      </c>
      <c r="H723" t="s">
        <v>4</v>
      </c>
      <c r="I723" t="s">
        <v>3663</v>
      </c>
      <c r="J723" t="s">
        <v>3662</v>
      </c>
      <c r="K723" t="s">
        <v>3661</v>
      </c>
      <c r="L723" t="s">
        <v>3660</v>
      </c>
      <c r="M723" t="s">
        <v>76</v>
      </c>
      <c r="N723">
        <v>5</v>
      </c>
      <c r="O723" t="s">
        <v>3659</v>
      </c>
      <c r="P723" t="s">
        <v>3658</v>
      </c>
      <c r="Q723" t="s">
        <v>3657</v>
      </c>
      <c r="R723" s="7">
        <v>37473</v>
      </c>
      <c r="S723" s="8">
        <f t="shared" si="88"/>
        <v>2002</v>
      </c>
      <c r="T723" s="8">
        <v>2002</v>
      </c>
      <c r="U723" s="8">
        <f t="shared" si="89"/>
        <v>20</v>
      </c>
      <c r="V723" s="7">
        <v>37473</v>
      </c>
      <c r="W723" t="s">
        <v>789</v>
      </c>
      <c r="X723" s="2">
        <v>0.30399999999999999</v>
      </c>
      <c r="Y723" s="6">
        <f t="shared" si="94"/>
        <v>8.115106377299057E-3</v>
      </c>
      <c r="AA723">
        <v>8952477</v>
      </c>
      <c r="AB723">
        <v>12250</v>
      </c>
      <c r="AD723" t="s">
        <v>2</v>
      </c>
      <c r="AE723">
        <v>34</v>
      </c>
      <c r="AF723">
        <v>3</v>
      </c>
      <c r="AH723" t="s">
        <v>3656</v>
      </c>
      <c r="AI723" t="s">
        <v>3655</v>
      </c>
      <c r="AJ723" t="s">
        <v>3654</v>
      </c>
      <c r="AK723" t="s">
        <v>3653</v>
      </c>
      <c r="AL723">
        <v>23</v>
      </c>
      <c r="AM723" s="5">
        <f t="shared" si="90"/>
        <v>1.1499999999999999</v>
      </c>
      <c r="AN723" s="4">
        <f t="shared" si="95"/>
        <v>1.7417644831503216E-3</v>
      </c>
      <c r="AO723" s="3"/>
      <c r="AP723">
        <v>0</v>
      </c>
      <c r="AR723" t="s">
        <v>1</v>
      </c>
      <c r="AT723" s="2" t="s">
        <v>0</v>
      </c>
      <c r="AU723" s="1">
        <f t="shared" si="91"/>
        <v>0.62031038090544355</v>
      </c>
      <c r="AV723" s="1">
        <f t="shared" si="92"/>
        <v>0.49284354302246891</v>
      </c>
      <c r="AW723" s="1">
        <f t="shared" si="93"/>
        <v>0.36537670513949422</v>
      </c>
    </row>
    <row r="724" spans="1:49" x14ac:dyDescent="0.2">
      <c r="A724">
        <v>722</v>
      </c>
      <c r="B724" t="s">
        <v>3652</v>
      </c>
      <c r="C724" t="s">
        <v>3651</v>
      </c>
      <c r="F724" t="s">
        <v>3650</v>
      </c>
      <c r="G724" t="s">
        <v>5</v>
      </c>
      <c r="H724" t="s">
        <v>4</v>
      </c>
      <c r="I724" t="s">
        <v>3649</v>
      </c>
      <c r="J724">
        <v>60026134</v>
      </c>
      <c r="K724" t="s">
        <v>794</v>
      </c>
      <c r="L724" t="s">
        <v>793</v>
      </c>
      <c r="M724" t="s">
        <v>182</v>
      </c>
      <c r="N724">
        <v>3</v>
      </c>
      <c r="O724" t="s">
        <v>3648</v>
      </c>
      <c r="P724" t="s">
        <v>3647</v>
      </c>
      <c r="Q724" t="s">
        <v>1113</v>
      </c>
      <c r="R724" s="7">
        <v>37473</v>
      </c>
      <c r="S724" s="8">
        <f t="shared" si="88"/>
        <v>2002</v>
      </c>
      <c r="T724" s="8">
        <v>2002</v>
      </c>
      <c r="U724" s="8">
        <f t="shared" si="89"/>
        <v>20</v>
      </c>
      <c r="V724" s="7">
        <v>37473</v>
      </c>
      <c r="W724" t="s">
        <v>789</v>
      </c>
      <c r="X724" s="2">
        <v>0.30399999999999999</v>
      </c>
      <c r="Y724" s="6">
        <f t="shared" si="94"/>
        <v>8.115106377299057E-3</v>
      </c>
      <c r="AA724">
        <v>8952477</v>
      </c>
      <c r="AB724">
        <v>12250</v>
      </c>
      <c r="AD724" t="s">
        <v>2</v>
      </c>
      <c r="AE724">
        <v>34</v>
      </c>
      <c r="AF724">
        <v>3</v>
      </c>
      <c r="AH724" t="s">
        <v>3646</v>
      </c>
      <c r="AI724" t="s">
        <v>3645</v>
      </c>
      <c r="AJ724" t="s">
        <v>3644</v>
      </c>
      <c r="AK724" t="s">
        <v>3643</v>
      </c>
      <c r="AL724">
        <v>2</v>
      </c>
      <c r="AM724" s="5">
        <f t="shared" si="90"/>
        <v>0.1</v>
      </c>
      <c r="AN724" s="4">
        <f t="shared" si="95"/>
        <v>1.5145778114350627E-4</v>
      </c>
      <c r="AO724" s="3"/>
      <c r="AP724">
        <v>0</v>
      </c>
      <c r="AR724" t="s">
        <v>1</v>
      </c>
      <c r="AT724" s="2" t="s">
        <v>0</v>
      </c>
      <c r="AU724" s="1">
        <f t="shared" si="91"/>
        <v>0.57260117984523917</v>
      </c>
      <c r="AV724" s="1">
        <f t="shared" si="92"/>
        <v>0.41332820792212815</v>
      </c>
      <c r="AW724" s="1">
        <f t="shared" si="93"/>
        <v>0.25405523599901714</v>
      </c>
    </row>
    <row r="725" spans="1:49" x14ac:dyDescent="0.2">
      <c r="A725">
        <v>723</v>
      </c>
      <c r="B725" t="s">
        <v>3642</v>
      </c>
      <c r="C725" t="s">
        <v>3641</v>
      </c>
      <c r="F725" t="s">
        <v>3640</v>
      </c>
      <c r="G725" t="s">
        <v>5</v>
      </c>
      <c r="H725" t="s">
        <v>4</v>
      </c>
      <c r="I725" t="s">
        <v>3639</v>
      </c>
      <c r="J725">
        <v>60017161</v>
      </c>
      <c r="K725" t="s">
        <v>360</v>
      </c>
      <c r="L725" t="s">
        <v>87</v>
      </c>
      <c r="M725" t="s">
        <v>86</v>
      </c>
      <c r="N725">
        <v>2</v>
      </c>
      <c r="O725" t="s">
        <v>3638</v>
      </c>
      <c r="P725" t="s">
        <v>3637</v>
      </c>
      <c r="Q725" t="s">
        <v>898</v>
      </c>
      <c r="R725" s="7">
        <v>37473</v>
      </c>
      <c r="S725" s="8">
        <f t="shared" si="88"/>
        <v>2002</v>
      </c>
      <c r="T725" s="8">
        <v>2002</v>
      </c>
      <c r="U725" s="8">
        <f t="shared" si="89"/>
        <v>20</v>
      </c>
      <c r="V725" s="7">
        <v>37473</v>
      </c>
      <c r="W725" t="s">
        <v>789</v>
      </c>
      <c r="X725" s="2">
        <v>0.30399999999999999</v>
      </c>
      <c r="Y725" s="6">
        <f t="shared" si="94"/>
        <v>8.115106377299057E-3</v>
      </c>
      <c r="AA725">
        <v>8952477</v>
      </c>
      <c r="AB725">
        <v>12250</v>
      </c>
      <c r="AD725" t="s">
        <v>2</v>
      </c>
      <c r="AE725">
        <v>34</v>
      </c>
      <c r="AF725">
        <v>3</v>
      </c>
      <c r="AH725" t="s">
        <v>3636</v>
      </c>
      <c r="AI725" t="s">
        <v>3635</v>
      </c>
      <c r="AJ725" t="s">
        <v>3634</v>
      </c>
      <c r="AK725" t="s">
        <v>3633</v>
      </c>
      <c r="AL725">
        <v>5</v>
      </c>
      <c r="AM725" s="5">
        <f t="shared" si="90"/>
        <v>0.25</v>
      </c>
      <c r="AN725" s="4">
        <f t="shared" si="95"/>
        <v>3.786444528587656E-4</v>
      </c>
      <c r="AO725" s="3"/>
      <c r="AP725">
        <v>0</v>
      </c>
      <c r="AR725" t="s">
        <v>1</v>
      </c>
      <c r="AT725" s="2" t="s">
        <v>0</v>
      </c>
      <c r="AU725" s="1">
        <f t="shared" si="91"/>
        <v>0.57941677999669683</v>
      </c>
      <c r="AV725" s="1">
        <f t="shared" si="92"/>
        <v>0.42468754150789112</v>
      </c>
      <c r="AW725" s="1">
        <f t="shared" si="93"/>
        <v>0.2699583030190853</v>
      </c>
    </row>
    <row r="726" spans="1:49" x14ac:dyDescent="0.2">
      <c r="A726">
        <v>724</v>
      </c>
      <c r="B726" t="s">
        <v>3632</v>
      </c>
      <c r="C726" t="s">
        <v>3631</v>
      </c>
      <c r="F726" t="s">
        <v>3630</v>
      </c>
      <c r="G726" t="s">
        <v>5</v>
      </c>
      <c r="H726" t="s">
        <v>4</v>
      </c>
      <c r="I726" t="s">
        <v>3629</v>
      </c>
      <c r="J726" t="s">
        <v>3628</v>
      </c>
      <c r="K726" t="s">
        <v>3627</v>
      </c>
      <c r="L726" t="s">
        <v>3626</v>
      </c>
      <c r="M726" t="s">
        <v>88</v>
      </c>
      <c r="N726">
        <v>3</v>
      </c>
      <c r="O726" t="s">
        <v>3625</v>
      </c>
      <c r="P726" t="s">
        <v>3624</v>
      </c>
      <c r="Q726" t="s">
        <v>3623</v>
      </c>
      <c r="R726" s="7">
        <v>37473</v>
      </c>
      <c r="S726" s="8">
        <f t="shared" si="88"/>
        <v>2002</v>
      </c>
      <c r="T726" s="8">
        <v>2002</v>
      </c>
      <c r="U726" s="8">
        <f t="shared" si="89"/>
        <v>20</v>
      </c>
      <c r="V726" s="7">
        <v>37473</v>
      </c>
      <c r="W726" t="s">
        <v>789</v>
      </c>
      <c r="X726" s="2">
        <v>0.30399999999999999</v>
      </c>
      <c r="Y726" s="6">
        <f t="shared" si="94"/>
        <v>8.115106377299057E-3</v>
      </c>
      <c r="AA726">
        <v>8952477</v>
      </c>
      <c r="AB726">
        <v>12250</v>
      </c>
      <c r="AD726" t="s">
        <v>2</v>
      </c>
      <c r="AE726">
        <v>34</v>
      </c>
      <c r="AF726">
        <v>3</v>
      </c>
      <c r="AH726" t="s">
        <v>3622</v>
      </c>
      <c r="AI726" t="s">
        <v>3621</v>
      </c>
      <c r="AJ726" t="s">
        <v>3620</v>
      </c>
      <c r="AK726" t="s">
        <v>3619</v>
      </c>
      <c r="AL726">
        <v>7</v>
      </c>
      <c r="AM726" s="5">
        <f t="shared" si="90"/>
        <v>0.35</v>
      </c>
      <c r="AN726" s="4">
        <f t="shared" si="95"/>
        <v>5.3010223400227184E-4</v>
      </c>
      <c r="AO726" s="3"/>
      <c r="AP726">
        <v>0</v>
      </c>
      <c r="AR726" t="s">
        <v>1</v>
      </c>
      <c r="AT726" s="2" t="s">
        <v>0</v>
      </c>
      <c r="AU726" s="1">
        <f t="shared" si="91"/>
        <v>0.58396051343100208</v>
      </c>
      <c r="AV726" s="1">
        <f t="shared" si="92"/>
        <v>0.43226043056506641</v>
      </c>
      <c r="AW726" s="1">
        <f t="shared" si="93"/>
        <v>0.28056034769913074</v>
      </c>
    </row>
    <row r="727" spans="1:49" x14ac:dyDescent="0.2">
      <c r="A727">
        <v>725</v>
      </c>
      <c r="B727" t="s">
        <v>3618</v>
      </c>
      <c r="C727" t="s">
        <v>3617</v>
      </c>
      <c r="F727" t="s">
        <v>3616</v>
      </c>
      <c r="G727" t="s">
        <v>5</v>
      </c>
      <c r="H727" t="s">
        <v>4</v>
      </c>
      <c r="I727" t="s">
        <v>420</v>
      </c>
      <c r="J727">
        <v>60013983</v>
      </c>
      <c r="K727" t="s">
        <v>393</v>
      </c>
      <c r="L727" t="s">
        <v>392</v>
      </c>
      <c r="M727" t="s">
        <v>114</v>
      </c>
      <c r="N727">
        <v>4</v>
      </c>
      <c r="O727" t="s">
        <v>3615</v>
      </c>
      <c r="P727" t="s">
        <v>3614</v>
      </c>
      <c r="Q727" t="s">
        <v>882</v>
      </c>
      <c r="R727" s="7">
        <v>37473</v>
      </c>
      <c r="S727" s="8">
        <f t="shared" si="88"/>
        <v>2002</v>
      </c>
      <c r="T727" s="8">
        <v>2002</v>
      </c>
      <c r="U727" s="8">
        <f t="shared" si="89"/>
        <v>20</v>
      </c>
      <c r="V727" s="7">
        <v>37473</v>
      </c>
      <c r="W727" t="s">
        <v>789</v>
      </c>
      <c r="X727" s="2">
        <v>0.30399999999999999</v>
      </c>
      <c r="Y727" s="6">
        <f t="shared" si="94"/>
        <v>8.115106377299057E-3</v>
      </c>
      <c r="AA727">
        <v>8952477</v>
      </c>
      <c r="AB727">
        <v>12250</v>
      </c>
      <c r="AD727" t="s">
        <v>2</v>
      </c>
      <c r="AE727">
        <v>34</v>
      </c>
      <c r="AF727">
        <v>3</v>
      </c>
      <c r="AH727" t="s">
        <v>3613</v>
      </c>
      <c r="AI727" t="s">
        <v>3612</v>
      </c>
      <c r="AJ727" t="s">
        <v>3611</v>
      </c>
      <c r="AK727" t="s">
        <v>3610</v>
      </c>
      <c r="AL727">
        <v>19</v>
      </c>
      <c r="AM727" s="5">
        <f t="shared" si="90"/>
        <v>0.95</v>
      </c>
      <c r="AN727" s="4">
        <f t="shared" si="95"/>
        <v>1.4388489208633094E-3</v>
      </c>
      <c r="AO727" s="3"/>
      <c r="AP727">
        <v>0</v>
      </c>
      <c r="AR727" t="s">
        <v>1</v>
      </c>
      <c r="AT727" s="2" t="s">
        <v>0</v>
      </c>
      <c r="AU727" s="1">
        <f t="shared" si="91"/>
        <v>0.61122291403683315</v>
      </c>
      <c r="AV727" s="1">
        <f t="shared" si="92"/>
        <v>0.47769776490811827</v>
      </c>
      <c r="AW727" s="1">
        <f t="shared" si="93"/>
        <v>0.34417261577940339</v>
      </c>
    </row>
    <row r="728" spans="1:49" x14ac:dyDescent="0.2">
      <c r="A728">
        <v>726</v>
      </c>
      <c r="B728" t="s">
        <v>3609</v>
      </c>
      <c r="C728" t="s">
        <v>3608</v>
      </c>
      <c r="D728" t="s">
        <v>3607</v>
      </c>
      <c r="F728" t="s">
        <v>3606</v>
      </c>
      <c r="G728" t="s">
        <v>5</v>
      </c>
      <c r="H728" t="s">
        <v>4</v>
      </c>
      <c r="I728" t="s">
        <v>3605</v>
      </c>
      <c r="J728">
        <v>60007457</v>
      </c>
      <c r="K728" t="s">
        <v>528</v>
      </c>
      <c r="L728" t="s">
        <v>27</v>
      </c>
      <c r="M728" t="s">
        <v>26</v>
      </c>
      <c r="N728">
        <v>3</v>
      </c>
      <c r="O728" t="s">
        <v>3604</v>
      </c>
      <c r="P728" t="s">
        <v>3603</v>
      </c>
      <c r="Q728" t="s">
        <v>886</v>
      </c>
      <c r="R728" s="7">
        <v>37473</v>
      </c>
      <c r="S728" s="8">
        <f t="shared" si="88"/>
        <v>2002</v>
      </c>
      <c r="T728" s="8">
        <v>2002</v>
      </c>
      <c r="U728" s="8">
        <f t="shared" si="89"/>
        <v>20</v>
      </c>
      <c r="V728" s="7">
        <v>37473</v>
      </c>
      <c r="W728" t="s">
        <v>878</v>
      </c>
      <c r="X728" s="2">
        <v>0.499</v>
      </c>
      <c r="Y728" s="6">
        <f t="shared" si="94"/>
        <v>1.332052000747444E-2</v>
      </c>
      <c r="AA728">
        <v>3759601</v>
      </c>
      <c r="AB728">
        <v>29464</v>
      </c>
      <c r="AD728" t="s">
        <v>2</v>
      </c>
      <c r="AE728">
        <v>300</v>
      </c>
      <c r="AF728" s="9">
        <v>44320</v>
      </c>
      <c r="AH728" t="s">
        <v>3602</v>
      </c>
      <c r="AI728" t="s">
        <v>3601</v>
      </c>
      <c r="AJ728" t="s">
        <v>3600</v>
      </c>
      <c r="AK728" t="s">
        <v>3599</v>
      </c>
      <c r="AL728">
        <v>20</v>
      </c>
      <c r="AM728" s="5">
        <f t="shared" si="90"/>
        <v>1</v>
      </c>
      <c r="AN728" s="4">
        <f t="shared" si="95"/>
        <v>1.5145778114350624E-3</v>
      </c>
      <c r="AO728" s="3"/>
      <c r="AP728">
        <v>0</v>
      </c>
      <c r="AQ728" t="s">
        <v>290</v>
      </c>
      <c r="AR728" t="s">
        <v>1184</v>
      </c>
      <c r="AS728" t="s">
        <v>289</v>
      </c>
      <c r="AT728" s="2" t="s">
        <v>0</v>
      </c>
      <c r="AU728" s="1">
        <f t="shared" si="91"/>
        <v>0.97787373486626272</v>
      </c>
      <c r="AV728" s="1">
        <f t="shared" si="92"/>
        <v>0.7417548909454752</v>
      </c>
      <c r="AW728" s="1">
        <f t="shared" si="93"/>
        <v>0.50563604702468756</v>
      </c>
    </row>
    <row r="729" spans="1:49" x14ac:dyDescent="0.2">
      <c r="A729">
        <v>727</v>
      </c>
      <c r="B729" t="s">
        <v>3598</v>
      </c>
      <c r="C729" t="s">
        <v>3597</v>
      </c>
      <c r="E729">
        <v>12192910</v>
      </c>
      <c r="F729" t="s">
        <v>3596</v>
      </c>
      <c r="G729" t="s">
        <v>5</v>
      </c>
      <c r="H729" t="s">
        <v>4</v>
      </c>
      <c r="I729" t="s">
        <v>3595</v>
      </c>
      <c r="J729" t="s">
        <v>3594</v>
      </c>
      <c r="K729" t="s">
        <v>3593</v>
      </c>
      <c r="L729" t="s">
        <v>3592</v>
      </c>
      <c r="M729" t="s">
        <v>3591</v>
      </c>
      <c r="N729">
        <v>3</v>
      </c>
      <c r="O729" t="s">
        <v>3590</v>
      </c>
      <c r="P729" t="s">
        <v>3589</v>
      </c>
      <c r="Q729" t="s">
        <v>3588</v>
      </c>
      <c r="R729" s="7">
        <v>37471</v>
      </c>
      <c r="S729" s="8">
        <f t="shared" si="88"/>
        <v>2002</v>
      </c>
      <c r="T729" s="8">
        <v>2002</v>
      </c>
      <c r="U729" s="8">
        <f t="shared" si="89"/>
        <v>20</v>
      </c>
      <c r="V729" s="7">
        <v>2002</v>
      </c>
      <c r="W729" t="s">
        <v>3587</v>
      </c>
      <c r="X729" s="2">
        <v>1.296</v>
      </c>
      <c r="Y729" s="6">
        <f t="shared" si="94"/>
        <v>3.4595979819011774E-2</v>
      </c>
      <c r="AA729" t="s">
        <v>3586</v>
      </c>
      <c r="AB729">
        <v>39591</v>
      </c>
      <c r="AD729" t="s">
        <v>2</v>
      </c>
      <c r="AE729">
        <v>58</v>
      </c>
      <c r="AF729">
        <v>8</v>
      </c>
      <c r="AH729" t="s">
        <v>3585</v>
      </c>
      <c r="AI729" t="s">
        <v>3584</v>
      </c>
      <c r="AJ729" t="s">
        <v>3583</v>
      </c>
      <c r="AK729" t="s">
        <v>3582</v>
      </c>
      <c r="AL729">
        <v>9</v>
      </c>
      <c r="AM729" s="5">
        <f t="shared" si="90"/>
        <v>0.45</v>
      </c>
      <c r="AN729" s="4">
        <f t="shared" si="95"/>
        <v>6.8156001514577808E-4</v>
      </c>
      <c r="AO729" s="3"/>
      <c r="AP729">
        <v>0</v>
      </c>
      <c r="AR729" t="s">
        <v>1</v>
      </c>
      <c r="AT729" s="2">
        <v>4.8449999999999998</v>
      </c>
      <c r="AU729" s="1">
        <f t="shared" si="91"/>
        <v>2.4421653877851974</v>
      </c>
      <c r="AV729" s="1">
        <f t="shared" si="92"/>
        <v>1.7638769917078776</v>
      </c>
      <c r="AW729" s="1">
        <f t="shared" si="93"/>
        <v>1.0855885956305578</v>
      </c>
    </row>
    <row r="730" spans="1:49" x14ac:dyDescent="0.2">
      <c r="A730">
        <v>728</v>
      </c>
      <c r="B730" t="s">
        <v>3581</v>
      </c>
      <c r="C730" t="s">
        <v>3580</v>
      </c>
      <c r="E730">
        <v>12124748</v>
      </c>
      <c r="F730" t="s">
        <v>3579</v>
      </c>
      <c r="G730" t="s">
        <v>5</v>
      </c>
      <c r="H730" t="s">
        <v>4</v>
      </c>
      <c r="I730" t="s">
        <v>3578</v>
      </c>
      <c r="J730" t="s">
        <v>3577</v>
      </c>
      <c r="K730" t="s">
        <v>3576</v>
      </c>
      <c r="L730" t="s">
        <v>3575</v>
      </c>
      <c r="M730" t="s">
        <v>708</v>
      </c>
      <c r="N730">
        <v>4</v>
      </c>
      <c r="O730" t="s">
        <v>3574</v>
      </c>
      <c r="P730" t="s">
        <v>3573</v>
      </c>
      <c r="Q730" t="s">
        <v>3572</v>
      </c>
      <c r="R730" s="7">
        <v>37471</v>
      </c>
      <c r="S730" s="8">
        <f t="shared" si="88"/>
        <v>2002</v>
      </c>
      <c r="T730" s="8">
        <v>2002</v>
      </c>
      <c r="U730" s="8">
        <f t="shared" si="89"/>
        <v>20</v>
      </c>
      <c r="V730" s="7">
        <v>2002</v>
      </c>
      <c r="W730" t="s">
        <v>410</v>
      </c>
      <c r="X730" s="2" t="s">
        <v>0</v>
      </c>
      <c r="Y730" s="6" t="e">
        <f t="shared" si="94"/>
        <v>#VALUE!</v>
      </c>
      <c r="AA730">
        <v>223034</v>
      </c>
      <c r="AB730">
        <v>23463</v>
      </c>
      <c r="AD730" t="s">
        <v>2</v>
      </c>
      <c r="AE730">
        <v>52</v>
      </c>
      <c r="AF730">
        <v>2</v>
      </c>
      <c r="AH730" t="s">
        <v>3571</v>
      </c>
      <c r="AI730" t="s">
        <v>3570</v>
      </c>
      <c r="AJ730" t="s">
        <v>3569</v>
      </c>
      <c r="AK730" t="s">
        <v>3568</v>
      </c>
      <c r="AL730">
        <v>13</v>
      </c>
      <c r="AM730" s="5">
        <f t="shared" si="90"/>
        <v>0.65</v>
      </c>
      <c r="AN730" s="4">
        <f t="shared" si="95"/>
        <v>9.8447557743279067E-4</v>
      </c>
      <c r="AO730" s="3"/>
      <c r="AP730">
        <v>0</v>
      </c>
      <c r="AQ730" t="s">
        <v>3567</v>
      </c>
      <c r="AR730" t="s">
        <v>3566</v>
      </c>
      <c r="AS730" t="s">
        <v>3565</v>
      </c>
      <c r="AT730" s="2" t="s">
        <v>0</v>
      </c>
      <c r="AU730" s="1" t="e">
        <f t="shared" si="91"/>
        <v>#VALUE!</v>
      </c>
      <c r="AV730" s="1" t="e">
        <f t="shared" si="92"/>
        <v>#VALUE!</v>
      </c>
      <c r="AW730" s="1" t="e">
        <f t="shared" si="93"/>
        <v>#VALUE!</v>
      </c>
    </row>
    <row r="731" spans="1:49" x14ac:dyDescent="0.2">
      <c r="A731">
        <v>729</v>
      </c>
      <c r="B731" t="s">
        <v>3564</v>
      </c>
      <c r="F731" t="s">
        <v>3563</v>
      </c>
      <c r="G731" t="s">
        <v>5</v>
      </c>
      <c r="H731" t="s">
        <v>4</v>
      </c>
      <c r="I731" t="s">
        <v>3562</v>
      </c>
      <c r="N731">
        <v>1</v>
      </c>
      <c r="O731" t="s">
        <v>3561</v>
      </c>
      <c r="P731">
        <v>57202783729</v>
      </c>
      <c r="R731" s="7">
        <v>37469</v>
      </c>
      <c r="S731" s="8">
        <f t="shared" si="88"/>
        <v>2002</v>
      </c>
      <c r="T731" s="8">
        <v>2002</v>
      </c>
      <c r="U731" s="8">
        <f t="shared" si="89"/>
        <v>20</v>
      </c>
      <c r="V731" s="7">
        <v>37469</v>
      </c>
      <c r="W731" t="s">
        <v>785</v>
      </c>
      <c r="X731" s="2">
        <v>0.29499999999999998</v>
      </c>
      <c r="Y731" s="6">
        <f t="shared" si="94"/>
        <v>7.8748565174448087E-3</v>
      </c>
      <c r="AA731">
        <v>10642269</v>
      </c>
      <c r="AB731">
        <v>19554</v>
      </c>
      <c r="AD731" t="s">
        <v>2</v>
      </c>
      <c r="AE731">
        <v>47</v>
      </c>
      <c r="AF731">
        <v>8</v>
      </c>
      <c r="AH731" t="s">
        <v>3560</v>
      </c>
      <c r="AI731" t="s">
        <v>3559</v>
      </c>
      <c r="AK731" t="s">
        <v>3558</v>
      </c>
      <c r="AL731">
        <v>1</v>
      </c>
      <c r="AM731" s="5">
        <f t="shared" si="90"/>
        <v>0.05</v>
      </c>
      <c r="AN731" s="4">
        <f t="shared" si="95"/>
        <v>7.5728890571753133E-5</v>
      </c>
      <c r="AO731" s="3"/>
      <c r="AP731">
        <v>0</v>
      </c>
      <c r="AR731" t="s">
        <v>1</v>
      </c>
      <c r="AT731" s="2" t="s">
        <v>0</v>
      </c>
      <c r="AU731" s="1">
        <f t="shared" si="91"/>
        <v>0.55351182293828916</v>
      </c>
      <c r="AV731" s="1">
        <f t="shared" si="92"/>
        <v>0.39752927040082808</v>
      </c>
      <c r="AW731" s="1">
        <f t="shared" si="93"/>
        <v>0.24154671786336696</v>
      </c>
    </row>
    <row r="732" spans="1:49" x14ac:dyDescent="0.2">
      <c r="A732">
        <v>730</v>
      </c>
      <c r="B732" t="s">
        <v>3557</v>
      </c>
      <c r="F732" t="s">
        <v>3556</v>
      </c>
      <c r="G732" t="s">
        <v>5</v>
      </c>
      <c r="H732" t="s">
        <v>4</v>
      </c>
      <c r="I732" t="s">
        <v>3555</v>
      </c>
      <c r="N732">
        <v>4</v>
      </c>
      <c r="O732" t="s">
        <v>3554</v>
      </c>
      <c r="P732" t="s">
        <v>3553</v>
      </c>
      <c r="Q732" t="s">
        <v>664</v>
      </c>
      <c r="R732" s="7">
        <v>37469</v>
      </c>
      <c r="S732" s="8">
        <f t="shared" si="88"/>
        <v>2002</v>
      </c>
      <c r="T732" s="8">
        <v>2002</v>
      </c>
      <c r="U732" s="8">
        <f t="shared" si="89"/>
        <v>20</v>
      </c>
      <c r="V732" s="7">
        <v>37469</v>
      </c>
      <c r="W732" t="s">
        <v>785</v>
      </c>
      <c r="X732" s="2">
        <v>0.29499999999999998</v>
      </c>
      <c r="Y732" s="6">
        <f t="shared" si="94"/>
        <v>7.8748565174448087E-3</v>
      </c>
      <c r="AA732">
        <v>10642269</v>
      </c>
      <c r="AB732">
        <v>19554</v>
      </c>
      <c r="AD732" t="s">
        <v>2</v>
      </c>
      <c r="AE732">
        <v>47</v>
      </c>
      <c r="AF732">
        <v>8</v>
      </c>
      <c r="AH732" t="s">
        <v>3552</v>
      </c>
      <c r="AI732" t="s">
        <v>3551</v>
      </c>
      <c r="AK732" t="s">
        <v>3550</v>
      </c>
      <c r="AL732">
        <v>6</v>
      </c>
      <c r="AM732" s="5">
        <f t="shared" si="90"/>
        <v>0.3</v>
      </c>
      <c r="AN732" s="4">
        <f t="shared" si="95"/>
        <v>4.5437334343051872E-4</v>
      </c>
      <c r="AO732" s="3"/>
      <c r="AP732">
        <v>0</v>
      </c>
      <c r="AR732" t="s">
        <v>1</v>
      </c>
      <c r="AT732" s="2" t="s">
        <v>0</v>
      </c>
      <c r="AU732" s="1">
        <f t="shared" si="91"/>
        <v>0.56487115652405206</v>
      </c>
      <c r="AV732" s="1">
        <f t="shared" si="92"/>
        <v>0.4164614930437664</v>
      </c>
      <c r="AW732" s="1">
        <f t="shared" si="93"/>
        <v>0.26805182956348056</v>
      </c>
    </row>
    <row r="733" spans="1:49" x14ac:dyDescent="0.2">
      <c r="A733">
        <v>731</v>
      </c>
      <c r="B733" t="s">
        <v>3549</v>
      </c>
      <c r="F733" t="s">
        <v>3548</v>
      </c>
      <c r="G733" t="s">
        <v>5</v>
      </c>
      <c r="H733" t="s">
        <v>4</v>
      </c>
      <c r="I733" t="s">
        <v>3547</v>
      </c>
      <c r="N733">
        <v>1</v>
      </c>
      <c r="O733" t="s">
        <v>3546</v>
      </c>
      <c r="P733">
        <v>7003706658</v>
      </c>
      <c r="R733" s="7">
        <v>37469</v>
      </c>
      <c r="S733" s="8">
        <f t="shared" si="88"/>
        <v>2002</v>
      </c>
      <c r="T733" s="8">
        <v>2002</v>
      </c>
      <c r="U733" s="8">
        <f t="shared" si="89"/>
        <v>20</v>
      </c>
      <c r="V733" s="7">
        <v>37469</v>
      </c>
      <c r="W733" t="s">
        <v>785</v>
      </c>
      <c r="X733" s="2">
        <v>0.29499999999999998</v>
      </c>
      <c r="Y733" s="6">
        <f t="shared" si="94"/>
        <v>7.8748565174448087E-3</v>
      </c>
      <c r="AA733">
        <v>10642269</v>
      </c>
      <c r="AB733">
        <v>19554</v>
      </c>
      <c r="AD733" t="s">
        <v>2</v>
      </c>
      <c r="AE733">
        <v>47</v>
      </c>
      <c r="AF733">
        <v>8</v>
      </c>
      <c r="AH733" t="s">
        <v>3545</v>
      </c>
      <c r="AI733" t="s">
        <v>3544</v>
      </c>
      <c r="AK733" t="s">
        <v>3543</v>
      </c>
      <c r="AL733">
        <v>2</v>
      </c>
      <c r="AM733" s="5">
        <f t="shared" si="90"/>
        <v>0.1</v>
      </c>
      <c r="AN733" s="4">
        <f t="shared" si="95"/>
        <v>1.5145778114350627E-4</v>
      </c>
      <c r="AO733" s="3"/>
      <c r="AP733">
        <v>0</v>
      </c>
      <c r="AR733" t="s">
        <v>1</v>
      </c>
      <c r="AT733" s="2" t="s">
        <v>0</v>
      </c>
      <c r="AU733" s="1">
        <f t="shared" si="91"/>
        <v>0.55578368965544178</v>
      </c>
      <c r="AV733" s="1">
        <f t="shared" si="92"/>
        <v>0.40131571492941576</v>
      </c>
      <c r="AW733" s="1">
        <f t="shared" si="93"/>
        <v>0.24684774020338968</v>
      </c>
    </row>
    <row r="734" spans="1:49" x14ac:dyDescent="0.2">
      <c r="A734">
        <v>732</v>
      </c>
      <c r="B734" t="s">
        <v>3542</v>
      </c>
      <c r="C734" t="s">
        <v>3541</v>
      </c>
      <c r="F734" t="s">
        <v>3540</v>
      </c>
      <c r="G734" t="s">
        <v>5</v>
      </c>
      <c r="H734" t="s">
        <v>4</v>
      </c>
      <c r="I734" t="s">
        <v>3539</v>
      </c>
      <c r="J734">
        <v>60070941</v>
      </c>
      <c r="K734" t="s">
        <v>3538</v>
      </c>
      <c r="L734" t="s">
        <v>3537</v>
      </c>
      <c r="M734" t="s">
        <v>26</v>
      </c>
      <c r="N734">
        <v>2</v>
      </c>
      <c r="O734" t="s">
        <v>3536</v>
      </c>
      <c r="P734" t="s">
        <v>3535</v>
      </c>
      <c r="Q734" t="s">
        <v>3534</v>
      </c>
      <c r="R734" s="7">
        <v>37469</v>
      </c>
      <c r="S734" s="8">
        <f t="shared" si="88"/>
        <v>2002</v>
      </c>
      <c r="T734" s="8">
        <v>2002</v>
      </c>
      <c r="U734" s="8">
        <f t="shared" si="89"/>
        <v>20</v>
      </c>
      <c r="V734" s="7">
        <v>37469</v>
      </c>
      <c r="W734" t="s">
        <v>720</v>
      </c>
      <c r="X734" s="2">
        <v>0.318</v>
      </c>
      <c r="Y734" s="6">
        <f t="shared" si="94"/>
        <v>8.4888283815167786E-3</v>
      </c>
      <c r="AA734">
        <v>338443</v>
      </c>
      <c r="AB734">
        <v>27160</v>
      </c>
      <c r="AC734">
        <v>15739120</v>
      </c>
      <c r="AD734" t="s">
        <v>2</v>
      </c>
      <c r="AE734">
        <v>45</v>
      </c>
      <c r="AF734">
        <v>8</v>
      </c>
      <c r="AH734" t="s">
        <v>3533</v>
      </c>
      <c r="AI734" t="s">
        <v>3532</v>
      </c>
      <c r="AK734" t="s">
        <v>3531</v>
      </c>
      <c r="AL734">
        <v>1</v>
      </c>
      <c r="AM734" s="5">
        <f t="shared" si="90"/>
        <v>0.05</v>
      </c>
      <c r="AN734" s="4">
        <f t="shared" si="95"/>
        <v>7.5728890571753133E-5</v>
      </c>
      <c r="AO734" s="3"/>
      <c r="AP734">
        <v>0</v>
      </c>
      <c r="AQ734" t="s">
        <v>3530</v>
      </c>
      <c r="AR734" t="s">
        <v>3529</v>
      </c>
      <c r="AS734" t="s">
        <v>3528</v>
      </c>
      <c r="AT734" s="2">
        <v>0.77</v>
      </c>
      <c r="AU734" s="1">
        <f t="shared" si="91"/>
        <v>0.59648985342332705</v>
      </c>
      <c r="AV734" s="1">
        <f t="shared" si="92"/>
        <v>0.42822786360442655</v>
      </c>
      <c r="AW734" s="1">
        <f t="shared" si="93"/>
        <v>0.25996587378552605</v>
      </c>
    </row>
    <row r="735" spans="1:49" x14ac:dyDescent="0.2">
      <c r="A735">
        <v>733</v>
      </c>
      <c r="B735" t="s">
        <v>3527</v>
      </c>
      <c r="C735" t="s">
        <v>3526</v>
      </c>
      <c r="F735" t="s">
        <v>3525</v>
      </c>
      <c r="G735" t="s">
        <v>5</v>
      </c>
      <c r="H735" t="s">
        <v>4</v>
      </c>
      <c r="I735" t="s">
        <v>3524</v>
      </c>
      <c r="J735">
        <v>102014441</v>
      </c>
      <c r="K735" t="s">
        <v>3523</v>
      </c>
      <c r="M735" t="s">
        <v>7</v>
      </c>
      <c r="N735">
        <v>1</v>
      </c>
      <c r="O735" t="s">
        <v>3522</v>
      </c>
      <c r="P735">
        <v>6603482344</v>
      </c>
      <c r="Q735">
        <v>102014441</v>
      </c>
      <c r="R735" s="7">
        <v>37469</v>
      </c>
      <c r="S735" s="8">
        <f t="shared" si="88"/>
        <v>2002</v>
      </c>
      <c r="T735" s="8">
        <v>2002</v>
      </c>
      <c r="U735" s="8">
        <f t="shared" si="89"/>
        <v>20</v>
      </c>
      <c r="V735" s="7">
        <v>37469</v>
      </c>
      <c r="W735" t="s">
        <v>3521</v>
      </c>
      <c r="X735" s="2">
        <v>0.70899999999999996</v>
      </c>
      <c r="Y735" s="6">
        <f t="shared" si="94"/>
        <v>1.8926350070740235E-2</v>
      </c>
      <c r="AA735">
        <v>8873828</v>
      </c>
      <c r="AB735">
        <v>16300</v>
      </c>
      <c r="AD735" t="s">
        <v>2</v>
      </c>
      <c r="AE735">
        <v>16</v>
      </c>
      <c r="AF735">
        <v>3</v>
      </c>
      <c r="AH735" t="s">
        <v>3520</v>
      </c>
      <c r="AI735" t="s">
        <v>3519</v>
      </c>
      <c r="AJ735" t="s">
        <v>3518</v>
      </c>
      <c r="AK735" t="s">
        <v>3517</v>
      </c>
      <c r="AL735">
        <v>0</v>
      </c>
      <c r="AM735" s="5">
        <f t="shared" si="90"/>
        <v>0</v>
      </c>
      <c r="AN735" s="4">
        <f t="shared" si="95"/>
        <v>0</v>
      </c>
      <c r="AO735" s="3"/>
      <c r="AP735">
        <v>0</v>
      </c>
      <c r="AR735" t="s">
        <v>1</v>
      </c>
      <c r="AT735" s="2" t="s">
        <v>0</v>
      </c>
      <c r="AU735" s="1">
        <f t="shared" si="91"/>
        <v>1.3248445049518163</v>
      </c>
      <c r="AV735" s="1">
        <f t="shared" si="92"/>
        <v>0.94631750353701172</v>
      </c>
      <c r="AW735" s="1">
        <f t="shared" si="93"/>
        <v>0.56779050212220705</v>
      </c>
    </row>
    <row r="736" spans="1:49" x14ac:dyDescent="0.2">
      <c r="A736">
        <v>734</v>
      </c>
      <c r="B736" t="s">
        <v>3516</v>
      </c>
      <c r="C736" t="s">
        <v>3515</v>
      </c>
      <c r="F736" t="s">
        <v>3514</v>
      </c>
      <c r="G736" t="s">
        <v>5</v>
      </c>
      <c r="H736" t="s">
        <v>4</v>
      </c>
      <c r="I736" t="s">
        <v>3513</v>
      </c>
      <c r="J736">
        <v>60008673</v>
      </c>
      <c r="K736" t="s">
        <v>872</v>
      </c>
      <c r="L736" t="s">
        <v>871</v>
      </c>
      <c r="M736" t="s">
        <v>26</v>
      </c>
      <c r="N736">
        <v>2</v>
      </c>
      <c r="O736" t="s">
        <v>3512</v>
      </c>
      <c r="P736" t="s">
        <v>3511</v>
      </c>
      <c r="Q736" t="s">
        <v>877</v>
      </c>
      <c r="R736" s="7">
        <v>37469</v>
      </c>
      <c r="S736" s="8">
        <f t="shared" si="88"/>
        <v>2002</v>
      </c>
      <c r="T736" s="8">
        <v>2002</v>
      </c>
      <c r="U736" s="8">
        <f t="shared" si="89"/>
        <v>20</v>
      </c>
      <c r="V736" s="7">
        <v>37469</v>
      </c>
      <c r="W736" t="s">
        <v>720</v>
      </c>
      <c r="X736" s="2">
        <v>0.318</v>
      </c>
      <c r="Y736" s="6">
        <f t="shared" si="94"/>
        <v>8.4888283815167786E-3</v>
      </c>
      <c r="AA736">
        <v>338443</v>
      </c>
      <c r="AB736">
        <v>27160</v>
      </c>
      <c r="AC736">
        <v>15739120</v>
      </c>
      <c r="AD736" t="s">
        <v>2</v>
      </c>
      <c r="AE736">
        <v>45</v>
      </c>
      <c r="AF736">
        <v>8</v>
      </c>
      <c r="AH736" t="s">
        <v>3510</v>
      </c>
      <c r="AI736" t="s">
        <v>3509</v>
      </c>
      <c r="AK736" t="s">
        <v>3508</v>
      </c>
      <c r="AL736">
        <v>3</v>
      </c>
      <c r="AM736" s="5">
        <f t="shared" si="90"/>
        <v>0.15</v>
      </c>
      <c r="AN736" s="4">
        <f t="shared" si="95"/>
        <v>2.2718667171525936E-4</v>
      </c>
      <c r="AO736" s="3"/>
      <c r="AP736">
        <v>0</v>
      </c>
      <c r="AQ736" t="s">
        <v>1693</v>
      </c>
      <c r="AR736" t="s">
        <v>3507</v>
      </c>
      <c r="AS736" t="s">
        <v>1691</v>
      </c>
      <c r="AT736" s="2">
        <v>0.77</v>
      </c>
      <c r="AU736" s="1">
        <f t="shared" si="91"/>
        <v>0.60103358685763231</v>
      </c>
      <c r="AV736" s="1">
        <f t="shared" si="92"/>
        <v>0.4358007526616019</v>
      </c>
      <c r="AW736" s="1">
        <f t="shared" si="93"/>
        <v>0.27056791846557149</v>
      </c>
    </row>
    <row r="737" spans="1:49" x14ac:dyDescent="0.2">
      <c r="A737">
        <v>735</v>
      </c>
      <c r="B737" t="s">
        <v>3506</v>
      </c>
      <c r="C737" t="s">
        <v>3505</v>
      </c>
      <c r="F737" t="s">
        <v>3504</v>
      </c>
      <c r="G737" t="s">
        <v>5</v>
      </c>
      <c r="H737" t="s">
        <v>4</v>
      </c>
      <c r="I737" t="s">
        <v>3503</v>
      </c>
      <c r="J737" t="s">
        <v>3502</v>
      </c>
      <c r="K737" t="s">
        <v>3501</v>
      </c>
      <c r="L737" t="s">
        <v>3500</v>
      </c>
      <c r="M737" t="s">
        <v>80</v>
      </c>
      <c r="N737">
        <v>4</v>
      </c>
      <c r="O737" t="s">
        <v>3499</v>
      </c>
      <c r="P737" t="s">
        <v>3498</v>
      </c>
      <c r="Q737" t="s">
        <v>3497</v>
      </c>
      <c r="R737" s="7">
        <v>37469</v>
      </c>
      <c r="S737" s="8">
        <f t="shared" si="88"/>
        <v>2002</v>
      </c>
      <c r="T737" s="8">
        <v>2002</v>
      </c>
      <c r="U737" s="8">
        <f t="shared" si="89"/>
        <v>20</v>
      </c>
      <c r="V737" s="7">
        <v>37469</v>
      </c>
      <c r="W737" t="s">
        <v>706</v>
      </c>
      <c r="X737" s="2">
        <v>0.61499999999999999</v>
      </c>
      <c r="Y737" s="6">
        <f t="shared" si="94"/>
        <v>1.6417073756706976E-2</v>
      </c>
      <c r="AA737">
        <v>1959271</v>
      </c>
      <c r="AB737">
        <v>12141</v>
      </c>
      <c r="AD737" t="s">
        <v>2</v>
      </c>
      <c r="AE737">
        <v>23</v>
      </c>
      <c r="AF737">
        <v>8</v>
      </c>
      <c r="AH737" t="s">
        <v>3496</v>
      </c>
      <c r="AI737" t="s">
        <v>3495</v>
      </c>
      <c r="AJ737" t="s">
        <v>3494</v>
      </c>
      <c r="AK737" t="s">
        <v>3493</v>
      </c>
      <c r="AL737">
        <v>4</v>
      </c>
      <c r="AM737" s="5">
        <f t="shared" si="90"/>
        <v>0.2</v>
      </c>
      <c r="AN737" s="4">
        <f t="shared" si="95"/>
        <v>3.0291556228701253E-4</v>
      </c>
      <c r="AO737" s="3"/>
      <c r="AP737">
        <v>0</v>
      </c>
      <c r="AR737" t="s">
        <v>1</v>
      </c>
      <c r="AT737" s="2" t="s">
        <v>0</v>
      </c>
      <c r="AU737" s="1">
        <f t="shared" si="91"/>
        <v>1.1582826298380986</v>
      </c>
      <c r="AV737" s="1">
        <f t="shared" si="92"/>
        <v>0.83599946594969943</v>
      </c>
      <c r="AW737" s="1">
        <f t="shared" si="93"/>
        <v>0.51371630206130015</v>
      </c>
    </row>
    <row r="738" spans="1:49" x14ac:dyDescent="0.2">
      <c r="A738">
        <v>736</v>
      </c>
      <c r="B738" t="s">
        <v>3492</v>
      </c>
      <c r="C738" t="s">
        <v>3491</v>
      </c>
      <c r="F738" t="s">
        <v>3490</v>
      </c>
      <c r="G738" t="s">
        <v>5</v>
      </c>
      <c r="H738" t="s">
        <v>4</v>
      </c>
      <c r="I738" t="s">
        <v>166</v>
      </c>
      <c r="J738">
        <v>60005510</v>
      </c>
      <c r="K738" t="s">
        <v>668</v>
      </c>
      <c r="L738" t="s">
        <v>87</v>
      </c>
      <c r="M738" t="s">
        <v>86</v>
      </c>
      <c r="N738">
        <v>4</v>
      </c>
      <c r="O738" t="s">
        <v>3489</v>
      </c>
      <c r="P738" t="s">
        <v>3488</v>
      </c>
      <c r="Q738" t="s">
        <v>1130</v>
      </c>
      <c r="R738" s="7">
        <v>37469</v>
      </c>
      <c r="S738" s="8">
        <f t="shared" si="88"/>
        <v>2002</v>
      </c>
      <c r="T738" s="8">
        <v>2002</v>
      </c>
      <c r="U738" s="8">
        <f t="shared" si="89"/>
        <v>20</v>
      </c>
      <c r="V738" s="7">
        <v>37469</v>
      </c>
      <c r="W738" t="s">
        <v>706</v>
      </c>
      <c r="X738" s="2">
        <v>0.61499999999999999</v>
      </c>
      <c r="Y738" s="6">
        <f t="shared" si="94"/>
        <v>1.6417073756706976E-2</v>
      </c>
      <c r="AA738">
        <v>1959271</v>
      </c>
      <c r="AB738">
        <v>12141</v>
      </c>
      <c r="AD738" t="s">
        <v>2</v>
      </c>
      <c r="AE738">
        <v>23</v>
      </c>
      <c r="AF738">
        <v>8</v>
      </c>
      <c r="AH738" t="s">
        <v>3487</v>
      </c>
      <c r="AI738" t="s">
        <v>3486</v>
      </c>
      <c r="AJ738" t="s">
        <v>3485</v>
      </c>
      <c r="AK738" t="s">
        <v>3484</v>
      </c>
      <c r="AL738">
        <v>3</v>
      </c>
      <c r="AM738" s="5">
        <f t="shared" si="90"/>
        <v>0.15</v>
      </c>
      <c r="AN738" s="4">
        <f t="shared" si="95"/>
        <v>2.2718667171525936E-4</v>
      </c>
      <c r="AO738" s="3"/>
      <c r="AP738">
        <v>0</v>
      </c>
      <c r="AR738" t="s">
        <v>1</v>
      </c>
      <c r="AT738" s="2" t="s">
        <v>0</v>
      </c>
      <c r="AU738" s="1">
        <f t="shared" si="91"/>
        <v>1.156010763120946</v>
      </c>
      <c r="AV738" s="1">
        <f t="shared" si="92"/>
        <v>0.83221302142111186</v>
      </c>
      <c r="AW738" s="1">
        <f t="shared" si="93"/>
        <v>0.50841527972127742</v>
      </c>
    </row>
    <row r="739" spans="1:49" x14ac:dyDescent="0.2">
      <c r="A739">
        <v>737</v>
      </c>
      <c r="B739" t="s">
        <v>3483</v>
      </c>
      <c r="C739" t="s">
        <v>3482</v>
      </c>
      <c r="F739" t="s">
        <v>3481</v>
      </c>
      <c r="G739" t="s">
        <v>5</v>
      </c>
      <c r="H739" t="s">
        <v>4</v>
      </c>
      <c r="I739" t="s">
        <v>3480</v>
      </c>
      <c r="J739" t="s">
        <v>3479</v>
      </c>
      <c r="K739" t="s">
        <v>3478</v>
      </c>
      <c r="L739" t="s">
        <v>3477</v>
      </c>
      <c r="M739" t="s">
        <v>3476</v>
      </c>
      <c r="N739">
        <v>4</v>
      </c>
      <c r="O739" t="s">
        <v>3475</v>
      </c>
      <c r="P739" t="s">
        <v>3474</v>
      </c>
      <c r="Q739" t="s">
        <v>3473</v>
      </c>
      <c r="R739" s="7">
        <v>37469</v>
      </c>
      <c r="S739" s="8">
        <f t="shared" si="88"/>
        <v>2002</v>
      </c>
      <c r="T739" s="8">
        <v>2002</v>
      </c>
      <c r="U739" s="8">
        <f t="shared" si="89"/>
        <v>20</v>
      </c>
      <c r="V739" s="7">
        <v>37469</v>
      </c>
      <c r="W739" t="s">
        <v>462</v>
      </c>
      <c r="X739" s="2">
        <v>0.251</v>
      </c>
      <c r="Y739" s="6">
        <f t="shared" si="94"/>
        <v>6.7003016470462617E-3</v>
      </c>
      <c r="AA739">
        <v>207217</v>
      </c>
      <c r="AB739">
        <v>26145</v>
      </c>
      <c r="AD739" t="s">
        <v>2</v>
      </c>
      <c r="AE739">
        <v>89</v>
      </c>
      <c r="AF739">
        <v>8</v>
      </c>
      <c r="AH739" t="s">
        <v>3472</v>
      </c>
      <c r="AI739" t="s">
        <v>3471</v>
      </c>
      <c r="AK739" t="s">
        <v>3470</v>
      </c>
      <c r="AL739">
        <v>3</v>
      </c>
      <c r="AM739" s="5">
        <f t="shared" si="90"/>
        <v>0.15</v>
      </c>
      <c r="AN739" s="4">
        <f t="shared" si="95"/>
        <v>2.2718667171525936E-4</v>
      </c>
      <c r="AO739" s="3"/>
      <c r="AP739">
        <v>0</v>
      </c>
      <c r="AR739" t="s">
        <v>1</v>
      </c>
      <c r="AT739" s="2">
        <v>1.3360000000000001</v>
      </c>
      <c r="AU739" s="1">
        <f t="shared" si="91"/>
        <v>0.47583671544469608</v>
      </c>
      <c r="AV739" s="1">
        <f t="shared" si="92"/>
        <v>0.34637441593807605</v>
      </c>
      <c r="AW739" s="1">
        <f t="shared" si="93"/>
        <v>0.21691211643145597</v>
      </c>
    </row>
    <row r="740" spans="1:49" x14ac:dyDescent="0.2">
      <c r="A740">
        <v>738</v>
      </c>
      <c r="B740" t="s">
        <v>3469</v>
      </c>
      <c r="C740" t="s">
        <v>3468</v>
      </c>
      <c r="F740" t="s">
        <v>3467</v>
      </c>
      <c r="G740" t="s">
        <v>5</v>
      </c>
      <c r="H740" t="s">
        <v>4</v>
      </c>
      <c r="I740" t="s">
        <v>3466</v>
      </c>
      <c r="J740">
        <v>60009415</v>
      </c>
      <c r="K740" t="s">
        <v>3465</v>
      </c>
      <c r="L740" t="s">
        <v>3464</v>
      </c>
      <c r="M740" t="s">
        <v>7</v>
      </c>
      <c r="N740">
        <v>2</v>
      </c>
      <c r="O740" t="s">
        <v>3463</v>
      </c>
      <c r="P740" t="s">
        <v>3462</v>
      </c>
      <c r="Q740" t="s">
        <v>3461</v>
      </c>
      <c r="R740" s="7">
        <v>37469</v>
      </c>
      <c r="S740" s="8">
        <f t="shared" si="88"/>
        <v>2002</v>
      </c>
      <c r="T740" s="8">
        <v>2002</v>
      </c>
      <c r="U740" s="8">
        <f t="shared" si="89"/>
        <v>20</v>
      </c>
      <c r="V740" s="7">
        <v>37469</v>
      </c>
      <c r="W740" t="s">
        <v>691</v>
      </c>
      <c r="X740" s="2">
        <v>0.317</v>
      </c>
      <c r="Y740" s="6">
        <f t="shared" si="94"/>
        <v>8.4621339526440836E-3</v>
      </c>
      <c r="AA740">
        <v>11108657</v>
      </c>
      <c r="AB740">
        <v>26646</v>
      </c>
      <c r="AD740" t="s">
        <v>2</v>
      </c>
      <c r="AE740">
        <v>2002</v>
      </c>
      <c r="AF740">
        <v>8</v>
      </c>
      <c r="AH740" t="s">
        <v>3460</v>
      </c>
      <c r="AI740" t="s">
        <v>3459</v>
      </c>
      <c r="AJ740" t="s">
        <v>3458</v>
      </c>
      <c r="AK740" t="s">
        <v>3457</v>
      </c>
      <c r="AL740">
        <v>4</v>
      </c>
      <c r="AM740" s="5">
        <f t="shared" si="90"/>
        <v>0.2</v>
      </c>
      <c r="AN740" s="4">
        <f t="shared" si="95"/>
        <v>3.0291556228701253E-4</v>
      </c>
      <c r="AO740" s="3"/>
      <c r="AP740">
        <v>1</v>
      </c>
      <c r="AR740" t="s">
        <v>1</v>
      </c>
      <c r="AT740" s="2" t="s">
        <v>0</v>
      </c>
      <c r="AU740" s="1">
        <f t="shared" si="91"/>
        <v>0.6014368435536962</v>
      </c>
      <c r="AV740" s="1">
        <f t="shared" si="92"/>
        <v>0.43825247574655485</v>
      </c>
      <c r="AW740" s="1">
        <f t="shared" si="93"/>
        <v>0.27506810793941339</v>
      </c>
    </row>
    <row r="741" spans="1:49" x14ac:dyDescent="0.2">
      <c r="A741">
        <v>739</v>
      </c>
      <c r="B741" t="s">
        <v>3456</v>
      </c>
      <c r="C741" t="s">
        <v>3455</v>
      </c>
      <c r="F741" t="s">
        <v>3454</v>
      </c>
      <c r="G741" t="s">
        <v>5</v>
      </c>
      <c r="H741" t="s">
        <v>4</v>
      </c>
      <c r="I741" t="s">
        <v>3453</v>
      </c>
      <c r="J741" t="s">
        <v>3452</v>
      </c>
      <c r="K741" t="s">
        <v>3451</v>
      </c>
      <c r="L741" t="s">
        <v>3450</v>
      </c>
      <c r="M741" t="s">
        <v>74</v>
      </c>
      <c r="N741">
        <v>4</v>
      </c>
      <c r="O741" t="s">
        <v>3449</v>
      </c>
      <c r="P741" t="s">
        <v>3448</v>
      </c>
      <c r="Q741" t="s">
        <v>3447</v>
      </c>
      <c r="R741" s="7">
        <v>37469</v>
      </c>
      <c r="S741" s="8">
        <f t="shared" si="88"/>
        <v>2002</v>
      </c>
      <c r="T741" s="8">
        <v>2002</v>
      </c>
      <c r="U741" s="8">
        <f t="shared" si="89"/>
        <v>20</v>
      </c>
      <c r="V741" s="7">
        <v>37469</v>
      </c>
      <c r="W741" t="s">
        <v>691</v>
      </c>
      <c r="X741" s="2">
        <v>0.317</v>
      </c>
      <c r="Y741" s="6">
        <f t="shared" si="94"/>
        <v>8.4621339526440836E-3</v>
      </c>
      <c r="AA741">
        <v>11108657</v>
      </c>
      <c r="AB741">
        <v>26646</v>
      </c>
      <c r="AD741" t="s">
        <v>2</v>
      </c>
      <c r="AE741">
        <v>2002</v>
      </c>
      <c r="AF741">
        <v>8</v>
      </c>
      <c r="AH741" t="s">
        <v>3446</v>
      </c>
      <c r="AI741" t="s">
        <v>3445</v>
      </c>
      <c r="AJ741" t="s">
        <v>3444</v>
      </c>
      <c r="AK741" t="s">
        <v>3443</v>
      </c>
      <c r="AL741">
        <v>4</v>
      </c>
      <c r="AM741" s="5">
        <f t="shared" si="90"/>
        <v>0.2</v>
      </c>
      <c r="AN741" s="4">
        <f t="shared" si="95"/>
        <v>3.0291556228701253E-4</v>
      </c>
      <c r="AO741" s="3"/>
      <c r="AP741">
        <v>1</v>
      </c>
      <c r="AR741" t="s">
        <v>1</v>
      </c>
      <c r="AT741" s="2" t="s">
        <v>0</v>
      </c>
      <c r="AU741" s="1">
        <f t="shared" si="91"/>
        <v>0.6014368435536962</v>
      </c>
      <c r="AV741" s="1">
        <f t="shared" si="92"/>
        <v>0.43825247574655485</v>
      </c>
      <c r="AW741" s="1">
        <f t="shared" si="93"/>
        <v>0.27506810793941339</v>
      </c>
    </row>
    <row r="742" spans="1:49" x14ac:dyDescent="0.2">
      <c r="A742">
        <v>740</v>
      </c>
      <c r="B742" t="s">
        <v>3442</v>
      </c>
      <c r="C742" t="s">
        <v>3441</v>
      </c>
      <c r="F742" t="s">
        <v>3440</v>
      </c>
      <c r="G742" t="s">
        <v>5</v>
      </c>
      <c r="H742" t="s">
        <v>4</v>
      </c>
      <c r="I742" t="s">
        <v>3439</v>
      </c>
      <c r="J742">
        <v>60023290</v>
      </c>
      <c r="K742" t="s">
        <v>3438</v>
      </c>
      <c r="L742" t="s">
        <v>495</v>
      </c>
      <c r="M742" t="s">
        <v>7</v>
      </c>
      <c r="N742">
        <v>1</v>
      </c>
      <c r="O742" t="s">
        <v>3437</v>
      </c>
      <c r="P742">
        <v>7003728012</v>
      </c>
      <c r="Q742">
        <v>60023290</v>
      </c>
      <c r="R742" s="7">
        <v>37469</v>
      </c>
      <c r="S742" s="8">
        <f t="shared" si="88"/>
        <v>2002</v>
      </c>
      <c r="T742" s="8">
        <v>2002</v>
      </c>
      <c r="U742" s="8">
        <f t="shared" si="89"/>
        <v>20</v>
      </c>
      <c r="V742" s="7">
        <v>37469</v>
      </c>
      <c r="W742" t="s">
        <v>691</v>
      </c>
      <c r="X742" s="2">
        <v>0.317</v>
      </c>
      <c r="Y742" s="6">
        <f t="shared" si="94"/>
        <v>8.4621339526440836E-3</v>
      </c>
      <c r="AA742">
        <v>11108657</v>
      </c>
      <c r="AB742">
        <v>26646</v>
      </c>
      <c r="AD742" t="s">
        <v>2</v>
      </c>
      <c r="AE742">
        <v>2002</v>
      </c>
      <c r="AF742">
        <v>8</v>
      </c>
      <c r="AH742" t="s">
        <v>3436</v>
      </c>
      <c r="AI742" t="s">
        <v>3435</v>
      </c>
      <c r="AJ742" t="s">
        <v>3434</v>
      </c>
      <c r="AK742" t="s">
        <v>3433</v>
      </c>
      <c r="AL742">
        <v>1</v>
      </c>
      <c r="AM742" s="5">
        <f t="shared" si="90"/>
        <v>0.05</v>
      </c>
      <c r="AN742" s="4">
        <f t="shared" si="95"/>
        <v>7.5728890571753133E-5</v>
      </c>
      <c r="AO742" s="3"/>
      <c r="AP742">
        <v>1</v>
      </c>
      <c r="AR742" t="s">
        <v>1</v>
      </c>
      <c r="AT742" s="2" t="s">
        <v>0</v>
      </c>
      <c r="AU742" s="1">
        <f t="shared" si="91"/>
        <v>0.59462124340223843</v>
      </c>
      <c r="AV742" s="1">
        <f t="shared" si="92"/>
        <v>0.42689314216079177</v>
      </c>
      <c r="AW742" s="1">
        <f t="shared" si="93"/>
        <v>0.25916504091934522</v>
      </c>
    </row>
    <row r="743" spans="1:49" x14ac:dyDescent="0.2">
      <c r="A743">
        <v>741</v>
      </c>
      <c r="B743" t="s">
        <v>3432</v>
      </c>
      <c r="C743" t="s">
        <v>3431</v>
      </c>
      <c r="F743" t="s">
        <v>3430</v>
      </c>
      <c r="G743" t="s">
        <v>5</v>
      </c>
      <c r="H743" t="s">
        <v>4</v>
      </c>
      <c r="I743" t="s">
        <v>3429</v>
      </c>
      <c r="J743">
        <v>60024666</v>
      </c>
      <c r="K743" t="s">
        <v>599</v>
      </c>
      <c r="L743" t="s">
        <v>598</v>
      </c>
      <c r="M743" t="s">
        <v>135</v>
      </c>
      <c r="N743">
        <v>4</v>
      </c>
      <c r="O743" t="s">
        <v>3428</v>
      </c>
      <c r="P743" t="s">
        <v>3427</v>
      </c>
      <c r="Q743" t="s">
        <v>3426</v>
      </c>
      <c r="R743" s="7">
        <v>37469</v>
      </c>
      <c r="S743" s="8">
        <f t="shared" si="88"/>
        <v>2002</v>
      </c>
      <c r="T743" s="8">
        <v>2002</v>
      </c>
      <c r="U743" s="8">
        <f t="shared" si="89"/>
        <v>20</v>
      </c>
      <c r="V743" s="7">
        <v>37469</v>
      </c>
      <c r="W743" t="s">
        <v>736</v>
      </c>
      <c r="X743" s="2">
        <v>0.83499999999999996</v>
      </c>
      <c r="Y743" s="6">
        <f t="shared" si="94"/>
        <v>2.2289848108699713E-2</v>
      </c>
      <c r="AA743">
        <v>13438832</v>
      </c>
      <c r="AB743">
        <v>22568</v>
      </c>
      <c r="AC743">
        <v>18805981</v>
      </c>
      <c r="AD743" t="s">
        <v>2</v>
      </c>
      <c r="AE743">
        <v>54</v>
      </c>
      <c r="AF743">
        <v>6</v>
      </c>
      <c r="AH743" t="s">
        <v>3425</v>
      </c>
      <c r="AI743" t="s">
        <v>3424</v>
      </c>
      <c r="AK743" t="s">
        <v>3423</v>
      </c>
      <c r="AL743">
        <v>11</v>
      </c>
      <c r="AM743" s="5">
        <f t="shared" si="90"/>
        <v>0.55000000000000004</v>
      </c>
      <c r="AN743" s="4">
        <f t="shared" si="95"/>
        <v>8.3301779628928443E-4</v>
      </c>
      <c r="AO743" s="3"/>
      <c r="AP743">
        <v>1</v>
      </c>
      <c r="AQ743" t="s">
        <v>3422</v>
      </c>
      <c r="AR743" t="s">
        <v>3421</v>
      </c>
      <c r="AS743" t="s">
        <v>3420</v>
      </c>
      <c r="AT743" s="2" t="s">
        <v>0</v>
      </c>
      <c r="AU743" s="1">
        <f t="shared" si="91"/>
        <v>1.5852799014976584</v>
      </c>
      <c r="AV743" s="1">
        <f t="shared" si="92"/>
        <v>1.1561432952494499</v>
      </c>
      <c r="AW743" s="1">
        <f t="shared" si="93"/>
        <v>0.72700668900124132</v>
      </c>
    </row>
    <row r="744" spans="1:49" x14ac:dyDescent="0.2">
      <c r="A744">
        <v>742</v>
      </c>
      <c r="B744" t="s">
        <v>3419</v>
      </c>
      <c r="C744" t="s">
        <v>3418</v>
      </c>
      <c r="F744" t="s">
        <v>3417</v>
      </c>
      <c r="G744" t="s">
        <v>5</v>
      </c>
      <c r="H744" t="s">
        <v>4</v>
      </c>
      <c r="I744" t="s">
        <v>3416</v>
      </c>
      <c r="J744">
        <v>60019106</v>
      </c>
      <c r="K744" t="s">
        <v>3415</v>
      </c>
      <c r="L744" t="s">
        <v>3414</v>
      </c>
      <c r="M744" t="s">
        <v>125</v>
      </c>
      <c r="N744">
        <v>2</v>
      </c>
      <c r="O744" t="s">
        <v>3413</v>
      </c>
      <c r="P744" t="s">
        <v>3412</v>
      </c>
      <c r="Q744" t="s">
        <v>3411</v>
      </c>
      <c r="R744" s="7">
        <v>37469</v>
      </c>
      <c r="S744" s="8">
        <f t="shared" si="88"/>
        <v>2002</v>
      </c>
      <c r="T744" s="8">
        <v>2002</v>
      </c>
      <c r="U744" s="8">
        <f t="shared" si="89"/>
        <v>20</v>
      </c>
      <c r="V744" s="7">
        <v>37469</v>
      </c>
      <c r="W744" t="s">
        <v>462</v>
      </c>
      <c r="X744" s="2">
        <v>0.251</v>
      </c>
      <c r="Y744" s="6">
        <f t="shared" si="94"/>
        <v>6.7003016470462617E-3</v>
      </c>
      <c r="AA744">
        <v>207217</v>
      </c>
      <c r="AB744">
        <v>26145</v>
      </c>
      <c r="AD744" t="s">
        <v>2</v>
      </c>
      <c r="AE744">
        <v>89</v>
      </c>
      <c r="AF744">
        <v>8</v>
      </c>
      <c r="AH744" t="s">
        <v>3410</v>
      </c>
      <c r="AI744" t="s">
        <v>3409</v>
      </c>
      <c r="AK744" t="s">
        <v>3408</v>
      </c>
      <c r="AL744">
        <v>13</v>
      </c>
      <c r="AM744" s="5">
        <f t="shared" si="90"/>
        <v>0.65</v>
      </c>
      <c r="AN744" s="4">
        <f t="shared" si="95"/>
        <v>9.8447557743279067E-4</v>
      </c>
      <c r="AO744" s="3"/>
      <c r="AP744">
        <v>0</v>
      </c>
      <c r="AR744" t="s">
        <v>1</v>
      </c>
      <c r="AT744" s="2">
        <v>1.3360000000000001</v>
      </c>
      <c r="AU744" s="1">
        <f t="shared" si="91"/>
        <v>0.49855538261622195</v>
      </c>
      <c r="AV744" s="1">
        <f t="shared" si="92"/>
        <v>0.38423886122395262</v>
      </c>
      <c r="AW744" s="1">
        <f t="shared" si="93"/>
        <v>0.26992233983168312</v>
      </c>
    </row>
    <row r="745" spans="1:49" x14ac:dyDescent="0.2">
      <c r="A745">
        <v>743</v>
      </c>
      <c r="B745" t="s">
        <v>3407</v>
      </c>
      <c r="C745" t="s">
        <v>3406</v>
      </c>
      <c r="F745" t="s">
        <v>3405</v>
      </c>
      <c r="G745" t="s">
        <v>5</v>
      </c>
      <c r="H745" t="s">
        <v>4</v>
      </c>
      <c r="I745" t="s">
        <v>3404</v>
      </c>
      <c r="J745">
        <v>60028900</v>
      </c>
      <c r="K745" t="s">
        <v>3403</v>
      </c>
      <c r="L745" t="s">
        <v>18</v>
      </c>
      <c r="M745" t="s">
        <v>463</v>
      </c>
      <c r="N745">
        <v>2</v>
      </c>
      <c r="O745" t="s">
        <v>3402</v>
      </c>
      <c r="P745" t="s">
        <v>3401</v>
      </c>
      <c r="Q745" t="s">
        <v>3400</v>
      </c>
      <c r="R745" s="7">
        <v>37469</v>
      </c>
      <c r="S745" s="8">
        <f t="shared" si="88"/>
        <v>2002</v>
      </c>
      <c r="T745" s="8">
        <v>2002</v>
      </c>
      <c r="U745" s="8">
        <f t="shared" si="89"/>
        <v>20</v>
      </c>
      <c r="V745" s="7">
        <v>37469</v>
      </c>
      <c r="W745" t="s">
        <v>1000</v>
      </c>
      <c r="X745" s="2">
        <v>1.3460000000000001</v>
      </c>
      <c r="Y745" s="6">
        <f t="shared" si="94"/>
        <v>3.593070126264649E-2</v>
      </c>
      <c r="AA745">
        <v>7338724</v>
      </c>
      <c r="AB745">
        <v>12178</v>
      </c>
      <c r="AD745" t="s">
        <v>2</v>
      </c>
      <c r="AE745">
        <v>20</v>
      </c>
      <c r="AF745">
        <v>8</v>
      </c>
      <c r="AH745" t="s">
        <v>3399</v>
      </c>
      <c r="AI745" t="s">
        <v>3398</v>
      </c>
      <c r="AJ745" t="s">
        <v>3397</v>
      </c>
      <c r="AK745" t="s">
        <v>3396</v>
      </c>
      <c r="AL745">
        <v>7</v>
      </c>
      <c r="AM745" s="5">
        <f t="shared" si="90"/>
        <v>0.35</v>
      </c>
      <c r="AN745" s="4">
        <f t="shared" si="95"/>
        <v>5.3010223400227184E-4</v>
      </c>
      <c r="AO745" s="3"/>
      <c r="AP745">
        <v>0</v>
      </c>
      <c r="AR745" t="s">
        <v>1</v>
      </c>
      <c r="AT745" s="2">
        <v>4.1420000000000003</v>
      </c>
      <c r="AU745" s="1">
        <f t="shared" si="91"/>
        <v>2.5310521554053222</v>
      </c>
      <c r="AV745" s="1">
        <f t="shared" si="92"/>
        <v>1.8230401748324381</v>
      </c>
      <c r="AW745" s="1">
        <f t="shared" si="93"/>
        <v>1.1150281942595537</v>
      </c>
    </row>
    <row r="746" spans="1:49" x14ac:dyDescent="0.2">
      <c r="A746">
        <v>744</v>
      </c>
      <c r="B746" t="s">
        <v>3395</v>
      </c>
      <c r="C746" t="s">
        <v>3394</v>
      </c>
      <c r="F746" t="s">
        <v>3393</v>
      </c>
      <c r="G746" t="s">
        <v>5</v>
      </c>
      <c r="H746" t="s">
        <v>4</v>
      </c>
      <c r="I746" t="s">
        <v>3392</v>
      </c>
      <c r="J746" t="s">
        <v>3391</v>
      </c>
      <c r="K746" t="s">
        <v>3390</v>
      </c>
      <c r="L746" t="s">
        <v>3389</v>
      </c>
      <c r="M746" t="s">
        <v>12</v>
      </c>
      <c r="N746">
        <v>5</v>
      </c>
      <c r="O746" t="s">
        <v>3388</v>
      </c>
      <c r="P746" t="s">
        <v>3387</v>
      </c>
      <c r="Q746" t="s">
        <v>3386</v>
      </c>
      <c r="R746" s="7">
        <v>37469</v>
      </c>
      <c r="S746" s="8">
        <f t="shared" si="88"/>
        <v>2002</v>
      </c>
      <c r="T746" s="8">
        <v>2002</v>
      </c>
      <c r="U746" s="8">
        <f t="shared" si="89"/>
        <v>20</v>
      </c>
      <c r="V746" s="7">
        <v>37469</v>
      </c>
      <c r="W746" t="s">
        <v>1000</v>
      </c>
      <c r="X746" s="2">
        <v>1.3460000000000001</v>
      </c>
      <c r="Y746" s="6">
        <f t="shared" si="94"/>
        <v>3.593070126264649E-2</v>
      </c>
      <c r="AA746">
        <v>7338724</v>
      </c>
      <c r="AB746">
        <v>12178</v>
      </c>
      <c r="AD746" t="s">
        <v>2</v>
      </c>
      <c r="AE746">
        <v>20</v>
      </c>
      <c r="AF746">
        <v>8</v>
      </c>
      <c r="AH746" t="s">
        <v>3385</v>
      </c>
      <c r="AI746" t="s">
        <v>3384</v>
      </c>
      <c r="AJ746" t="s">
        <v>3383</v>
      </c>
      <c r="AK746" t="s">
        <v>3382</v>
      </c>
      <c r="AL746">
        <v>46</v>
      </c>
      <c r="AM746" s="5">
        <f t="shared" si="90"/>
        <v>2.2999999999999998</v>
      </c>
      <c r="AN746" s="4">
        <f t="shared" si="95"/>
        <v>3.4835289663006433E-3</v>
      </c>
      <c r="AO746" s="3"/>
      <c r="AP746">
        <v>0</v>
      </c>
      <c r="AR746" t="s">
        <v>1</v>
      </c>
      <c r="AT746" s="2">
        <v>4.1420000000000003</v>
      </c>
      <c r="AU746" s="1">
        <f t="shared" si="91"/>
        <v>2.6196549573742733</v>
      </c>
      <c r="AV746" s="1">
        <f t="shared" si="92"/>
        <v>1.9707115114473566</v>
      </c>
      <c r="AW746" s="1">
        <f t="shared" si="93"/>
        <v>1.3217680655204396</v>
      </c>
    </row>
    <row r="747" spans="1:49" x14ac:dyDescent="0.2">
      <c r="A747">
        <v>745</v>
      </c>
      <c r="B747" t="s">
        <v>3381</v>
      </c>
      <c r="C747" t="s">
        <v>3380</v>
      </c>
      <c r="F747" t="s">
        <v>3379</v>
      </c>
      <c r="G747" t="s">
        <v>5</v>
      </c>
      <c r="H747" t="s">
        <v>4</v>
      </c>
      <c r="I747" t="s">
        <v>868</v>
      </c>
      <c r="J747" t="s">
        <v>3378</v>
      </c>
      <c r="K747" t="s">
        <v>3377</v>
      </c>
      <c r="L747" t="s">
        <v>3376</v>
      </c>
      <c r="M747" t="s">
        <v>3375</v>
      </c>
      <c r="N747">
        <v>4</v>
      </c>
      <c r="O747" t="s">
        <v>3374</v>
      </c>
      <c r="P747" t="s">
        <v>3373</v>
      </c>
      <c r="Q747" t="s">
        <v>3372</v>
      </c>
      <c r="R747" s="7">
        <v>37469</v>
      </c>
      <c r="S747" s="8">
        <f t="shared" si="88"/>
        <v>2002</v>
      </c>
      <c r="T747" s="8">
        <v>2002</v>
      </c>
      <c r="U747" s="8">
        <f t="shared" si="89"/>
        <v>20</v>
      </c>
      <c r="V747" s="7">
        <v>37469</v>
      </c>
      <c r="W747" s="11" t="s">
        <v>976</v>
      </c>
      <c r="X747" s="2">
        <v>2.383</v>
      </c>
      <c r="Y747" s="6">
        <f t="shared" si="94"/>
        <v>6.3612824003630442E-2</v>
      </c>
      <c r="AA747">
        <v>13502417</v>
      </c>
      <c r="AB747">
        <v>17416</v>
      </c>
      <c r="AD747" t="s">
        <v>2</v>
      </c>
      <c r="AE747">
        <v>149</v>
      </c>
      <c r="AF747">
        <v>4</v>
      </c>
      <c r="AH747" t="s">
        <v>236</v>
      </c>
      <c r="AI747" t="s">
        <v>3371</v>
      </c>
      <c r="AK747" t="s">
        <v>3370</v>
      </c>
      <c r="AL747">
        <v>31</v>
      </c>
      <c r="AM747" s="5">
        <f t="shared" si="90"/>
        <v>1.55</v>
      </c>
      <c r="AN747" s="4">
        <f t="shared" si="95"/>
        <v>2.347595607724347E-3</v>
      </c>
      <c r="AO747" s="3"/>
      <c r="AP747">
        <v>0</v>
      </c>
      <c r="AR747" t="s">
        <v>1</v>
      </c>
      <c r="AT747" s="2" t="s">
        <v>0</v>
      </c>
      <c r="AU747" s="1">
        <f t="shared" si="91"/>
        <v>4.523325548485861</v>
      </c>
      <c r="AV747" s="1">
        <f t="shared" si="92"/>
        <v>3.2980209805677396</v>
      </c>
      <c r="AW747" s="1">
        <f t="shared" si="93"/>
        <v>2.0727164126496174</v>
      </c>
    </row>
    <row r="748" spans="1:49" x14ac:dyDescent="0.2">
      <c r="A748">
        <v>746</v>
      </c>
      <c r="B748" t="s">
        <v>3369</v>
      </c>
      <c r="C748" t="s">
        <v>3368</v>
      </c>
      <c r="F748" t="s">
        <v>3367</v>
      </c>
      <c r="G748" t="s">
        <v>5</v>
      </c>
      <c r="H748" t="s">
        <v>4</v>
      </c>
      <c r="I748" t="s">
        <v>3366</v>
      </c>
      <c r="J748">
        <v>60001881</v>
      </c>
      <c r="K748" t="s">
        <v>2568</v>
      </c>
      <c r="L748" t="s">
        <v>2567</v>
      </c>
      <c r="M748" t="s">
        <v>41</v>
      </c>
      <c r="N748">
        <v>2</v>
      </c>
      <c r="O748" t="s">
        <v>3365</v>
      </c>
      <c r="P748" t="s">
        <v>3364</v>
      </c>
      <c r="Q748" t="s">
        <v>3363</v>
      </c>
      <c r="R748" s="7">
        <v>37469</v>
      </c>
      <c r="S748" s="8">
        <f t="shared" si="88"/>
        <v>2002</v>
      </c>
      <c r="T748" s="8">
        <v>2002</v>
      </c>
      <c r="U748" s="8">
        <f t="shared" si="89"/>
        <v>20</v>
      </c>
      <c r="V748" s="7">
        <v>37469</v>
      </c>
      <c r="W748" s="11" t="s">
        <v>976</v>
      </c>
      <c r="X748" s="2">
        <v>2.383</v>
      </c>
      <c r="Y748" s="6">
        <f t="shared" si="94"/>
        <v>6.3612824003630442E-2</v>
      </c>
      <c r="AA748">
        <v>13502417</v>
      </c>
      <c r="AB748">
        <v>17416</v>
      </c>
      <c r="AD748" t="s">
        <v>2</v>
      </c>
      <c r="AE748">
        <v>149</v>
      </c>
      <c r="AF748">
        <v>4</v>
      </c>
      <c r="AH748" t="s">
        <v>3362</v>
      </c>
      <c r="AI748" t="s">
        <v>3361</v>
      </c>
      <c r="AK748" t="s">
        <v>3360</v>
      </c>
      <c r="AL748">
        <v>3</v>
      </c>
      <c r="AM748" s="5">
        <f t="shared" si="90"/>
        <v>0.15</v>
      </c>
      <c r="AN748" s="4">
        <f t="shared" si="95"/>
        <v>2.2718667171525936E-4</v>
      </c>
      <c r="AO748" s="3"/>
      <c r="AP748">
        <v>0</v>
      </c>
      <c r="AR748" t="s">
        <v>1</v>
      </c>
      <c r="AT748" s="2" t="s">
        <v>0</v>
      </c>
      <c r="AU748" s="1">
        <f t="shared" si="91"/>
        <v>4.4597132804055892</v>
      </c>
      <c r="AV748" s="1">
        <f t="shared" si="92"/>
        <v>3.1920005337672848</v>
      </c>
      <c r="AW748" s="1">
        <f t="shared" si="93"/>
        <v>1.9242877871289814</v>
      </c>
    </row>
    <row r="749" spans="1:49" x14ac:dyDescent="0.2">
      <c r="A749">
        <v>747</v>
      </c>
      <c r="B749" t="s">
        <v>3359</v>
      </c>
      <c r="C749" t="s">
        <v>3358</v>
      </c>
      <c r="F749" t="s">
        <v>3357</v>
      </c>
      <c r="G749" t="s">
        <v>5</v>
      </c>
      <c r="H749" t="s">
        <v>4</v>
      </c>
      <c r="I749" t="s">
        <v>3356</v>
      </c>
      <c r="J749">
        <v>60022148</v>
      </c>
      <c r="K749" t="s">
        <v>485</v>
      </c>
      <c r="L749" t="s">
        <v>484</v>
      </c>
      <c r="M749" t="s">
        <v>41</v>
      </c>
      <c r="N749">
        <v>2</v>
      </c>
      <c r="O749" t="s">
        <v>3355</v>
      </c>
      <c r="P749" t="s">
        <v>3354</v>
      </c>
      <c r="Q749" t="s">
        <v>3353</v>
      </c>
      <c r="R749" s="7">
        <v>37469</v>
      </c>
      <c r="S749" s="8">
        <f t="shared" si="88"/>
        <v>2002</v>
      </c>
      <c r="T749" s="8">
        <v>2002</v>
      </c>
      <c r="U749" s="8">
        <f t="shared" si="89"/>
        <v>20</v>
      </c>
      <c r="V749" s="7">
        <v>37469</v>
      </c>
      <c r="W749" s="11" t="s">
        <v>976</v>
      </c>
      <c r="X749" s="2">
        <v>2.383</v>
      </c>
      <c r="Y749" s="6">
        <f t="shared" si="94"/>
        <v>6.3612824003630442E-2</v>
      </c>
      <c r="AA749">
        <v>13502417</v>
      </c>
      <c r="AB749">
        <v>17416</v>
      </c>
      <c r="AD749" t="s">
        <v>2</v>
      </c>
      <c r="AE749">
        <v>149</v>
      </c>
      <c r="AF749">
        <v>4</v>
      </c>
      <c r="AH749" t="s">
        <v>3352</v>
      </c>
      <c r="AI749" t="s">
        <v>3351</v>
      </c>
      <c r="AK749" t="s">
        <v>3350</v>
      </c>
      <c r="AL749">
        <v>9</v>
      </c>
      <c r="AM749" s="5">
        <f t="shared" si="90"/>
        <v>0.45</v>
      </c>
      <c r="AN749" s="4">
        <f t="shared" si="95"/>
        <v>6.8156001514577808E-4</v>
      </c>
      <c r="AO749" s="3"/>
      <c r="AP749">
        <v>0</v>
      </c>
      <c r="AR749" t="s">
        <v>1</v>
      </c>
      <c r="AT749" s="2" t="s">
        <v>0</v>
      </c>
      <c r="AU749" s="1">
        <f t="shared" si="91"/>
        <v>4.4733444807085041</v>
      </c>
      <c r="AV749" s="1">
        <f t="shared" si="92"/>
        <v>3.2147192009388106</v>
      </c>
      <c r="AW749" s="1">
        <f t="shared" si="93"/>
        <v>1.9560939211691177</v>
      </c>
    </row>
    <row r="750" spans="1:49" x14ac:dyDescent="0.2">
      <c r="A750">
        <v>748</v>
      </c>
      <c r="B750" t="s">
        <v>3349</v>
      </c>
      <c r="C750" t="s">
        <v>3348</v>
      </c>
      <c r="F750" t="s">
        <v>3347</v>
      </c>
      <c r="G750" t="s">
        <v>5</v>
      </c>
      <c r="H750" t="s">
        <v>4</v>
      </c>
      <c r="I750" t="s">
        <v>3346</v>
      </c>
      <c r="J750">
        <v>60031004</v>
      </c>
      <c r="K750" t="s">
        <v>1193</v>
      </c>
      <c r="L750" t="s">
        <v>975</v>
      </c>
      <c r="M750" t="s">
        <v>308</v>
      </c>
      <c r="N750">
        <v>1</v>
      </c>
      <c r="O750" t="s">
        <v>3345</v>
      </c>
      <c r="P750">
        <v>6603112569</v>
      </c>
      <c r="Q750">
        <v>60031004</v>
      </c>
      <c r="R750" s="7">
        <v>37469</v>
      </c>
      <c r="S750" s="8">
        <f t="shared" si="88"/>
        <v>2002</v>
      </c>
      <c r="T750" s="8">
        <v>2002</v>
      </c>
      <c r="U750" s="8">
        <f t="shared" si="89"/>
        <v>20</v>
      </c>
      <c r="V750" s="7">
        <v>37469</v>
      </c>
      <c r="W750" s="11" t="s">
        <v>976</v>
      </c>
      <c r="X750" s="2">
        <v>2.383</v>
      </c>
      <c r="Y750" s="6">
        <f t="shared" si="94"/>
        <v>6.3612824003630442E-2</v>
      </c>
      <c r="AA750">
        <v>13502417</v>
      </c>
      <c r="AB750">
        <v>17416</v>
      </c>
      <c r="AD750" t="s">
        <v>2</v>
      </c>
      <c r="AE750">
        <v>149</v>
      </c>
      <c r="AF750">
        <v>4</v>
      </c>
      <c r="AH750" t="s">
        <v>3344</v>
      </c>
      <c r="AI750" t="s">
        <v>3343</v>
      </c>
      <c r="AK750" t="s">
        <v>3342</v>
      </c>
      <c r="AL750">
        <v>5</v>
      </c>
      <c r="AM750" s="5">
        <f t="shared" si="90"/>
        <v>0.25</v>
      </c>
      <c r="AN750" s="4">
        <f t="shared" si="95"/>
        <v>3.786444528587656E-4</v>
      </c>
      <c r="AO750" s="3"/>
      <c r="AP750">
        <v>0</v>
      </c>
      <c r="AR750" t="s">
        <v>1</v>
      </c>
      <c r="AT750" s="2" t="s">
        <v>0</v>
      </c>
      <c r="AU750" s="1">
        <f t="shared" si="91"/>
        <v>4.4642570138398936</v>
      </c>
      <c r="AV750" s="1">
        <f t="shared" si="92"/>
        <v>3.1995734228244603</v>
      </c>
      <c r="AW750" s="1">
        <f t="shared" si="93"/>
        <v>1.9348898318090268</v>
      </c>
    </row>
    <row r="751" spans="1:49" x14ac:dyDescent="0.2">
      <c r="A751">
        <v>749</v>
      </c>
      <c r="B751" t="s">
        <v>3341</v>
      </c>
      <c r="C751" t="s">
        <v>3340</v>
      </c>
      <c r="F751" t="s">
        <v>3339</v>
      </c>
      <c r="G751" t="s">
        <v>5</v>
      </c>
      <c r="H751" t="s">
        <v>4</v>
      </c>
      <c r="I751" t="s">
        <v>3338</v>
      </c>
      <c r="J751">
        <v>60022148</v>
      </c>
      <c r="K751" t="s">
        <v>485</v>
      </c>
      <c r="L751" t="s">
        <v>484</v>
      </c>
      <c r="M751" t="s">
        <v>41</v>
      </c>
      <c r="N751">
        <v>1</v>
      </c>
      <c r="O751" t="s">
        <v>3337</v>
      </c>
      <c r="P751">
        <v>7202211079</v>
      </c>
      <c r="Q751">
        <v>60022148</v>
      </c>
      <c r="R751" s="7">
        <v>37469</v>
      </c>
      <c r="S751" s="8">
        <f t="shared" si="88"/>
        <v>2002</v>
      </c>
      <c r="T751" s="8">
        <v>2002</v>
      </c>
      <c r="U751" s="8">
        <f t="shared" si="89"/>
        <v>20</v>
      </c>
      <c r="V751" s="7">
        <v>37469</v>
      </c>
      <c r="W751" s="11" t="s">
        <v>976</v>
      </c>
      <c r="X751" s="2">
        <v>2.383</v>
      </c>
      <c r="Y751" s="6">
        <f t="shared" si="94"/>
        <v>6.3612824003630442E-2</v>
      </c>
      <c r="AA751">
        <v>13502417</v>
      </c>
      <c r="AB751">
        <v>17416</v>
      </c>
      <c r="AD751" t="s">
        <v>2</v>
      </c>
      <c r="AE751">
        <v>149</v>
      </c>
      <c r="AF751">
        <v>4</v>
      </c>
      <c r="AH751" t="s">
        <v>768</v>
      </c>
      <c r="AI751" t="s">
        <v>3336</v>
      </c>
      <c r="AK751" t="s">
        <v>3335</v>
      </c>
      <c r="AL751">
        <v>9</v>
      </c>
      <c r="AM751" s="5">
        <f t="shared" si="90"/>
        <v>0.45</v>
      </c>
      <c r="AN751" s="4">
        <f t="shared" si="95"/>
        <v>6.8156001514577808E-4</v>
      </c>
      <c r="AO751" s="3"/>
      <c r="AP751">
        <v>0</v>
      </c>
      <c r="AR751" t="s">
        <v>1</v>
      </c>
      <c r="AT751" s="2" t="s">
        <v>0</v>
      </c>
      <c r="AU751" s="1">
        <f t="shared" si="91"/>
        <v>4.4733444807085041</v>
      </c>
      <c r="AV751" s="1">
        <f t="shared" si="92"/>
        <v>3.2147192009388106</v>
      </c>
      <c r="AW751" s="1">
        <f t="shared" si="93"/>
        <v>1.9560939211691177</v>
      </c>
    </row>
    <row r="752" spans="1:49" x14ac:dyDescent="0.2">
      <c r="A752">
        <v>750</v>
      </c>
      <c r="B752" t="s">
        <v>3334</v>
      </c>
      <c r="C752" t="s">
        <v>3333</v>
      </c>
      <c r="F752" t="s">
        <v>3332</v>
      </c>
      <c r="G752" t="s">
        <v>5</v>
      </c>
      <c r="H752" t="s">
        <v>4</v>
      </c>
      <c r="I752" t="s">
        <v>3331</v>
      </c>
      <c r="J752" t="s">
        <v>3330</v>
      </c>
      <c r="K752" t="s">
        <v>3329</v>
      </c>
      <c r="L752" t="s">
        <v>3328</v>
      </c>
      <c r="M752" t="s">
        <v>3327</v>
      </c>
      <c r="N752">
        <v>7</v>
      </c>
      <c r="O752" t="s">
        <v>3326</v>
      </c>
      <c r="P752" t="s">
        <v>3325</v>
      </c>
      <c r="Q752" t="s">
        <v>3324</v>
      </c>
      <c r="R752" s="7">
        <v>37469</v>
      </c>
      <c r="S752" s="8">
        <f t="shared" si="88"/>
        <v>2002</v>
      </c>
      <c r="T752" s="8">
        <v>2002</v>
      </c>
      <c r="U752" s="8">
        <f t="shared" si="89"/>
        <v>20</v>
      </c>
      <c r="V752" s="7">
        <v>37469</v>
      </c>
      <c r="W752" t="s">
        <v>1048</v>
      </c>
      <c r="X752" s="2">
        <v>0.86399999999999999</v>
      </c>
      <c r="Y752" s="6">
        <f t="shared" si="94"/>
        <v>2.3063986546007848E-2</v>
      </c>
      <c r="AA752">
        <v>10895647</v>
      </c>
      <c r="AB752">
        <v>26970</v>
      </c>
      <c r="AD752" t="s">
        <v>2</v>
      </c>
      <c r="AE752">
        <v>106</v>
      </c>
      <c r="AF752">
        <v>30</v>
      </c>
      <c r="AH752" t="s">
        <v>3323</v>
      </c>
      <c r="AI752" t="s">
        <v>3322</v>
      </c>
      <c r="AK752" t="s">
        <v>3321</v>
      </c>
      <c r="AL752">
        <v>6</v>
      </c>
      <c r="AM752" s="5">
        <f t="shared" si="90"/>
        <v>0.3</v>
      </c>
      <c r="AN752" s="4">
        <f t="shared" si="95"/>
        <v>4.5437334343051872E-4</v>
      </c>
      <c r="AO752" s="3"/>
      <c r="AP752">
        <v>0</v>
      </c>
      <c r="AR752" t="s">
        <v>1</v>
      </c>
      <c r="AT752" s="2">
        <v>2.9910000000000001</v>
      </c>
      <c r="AU752" s="1">
        <f t="shared" si="91"/>
        <v>1.6281102585234648</v>
      </c>
      <c r="AV752" s="1">
        <f t="shared" si="92"/>
        <v>1.1759179944719182</v>
      </c>
      <c r="AW752" s="1">
        <f t="shared" si="93"/>
        <v>0.72372573042037169</v>
      </c>
    </row>
    <row r="753" spans="1:49" x14ac:dyDescent="0.2">
      <c r="A753">
        <v>751</v>
      </c>
      <c r="B753" t="s">
        <v>3320</v>
      </c>
      <c r="C753" t="s">
        <v>3319</v>
      </c>
      <c r="F753" t="s">
        <v>3318</v>
      </c>
      <c r="G753" t="s">
        <v>5</v>
      </c>
      <c r="H753" t="s">
        <v>4</v>
      </c>
      <c r="I753" t="s">
        <v>1060</v>
      </c>
      <c r="J753">
        <v>60003892</v>
      </c>
      <c r="K753" t="s">
        <v>361</v>
      </c>
      <c r="L753" t="s">
        <v>630</v>
      </c>
      <c r="M753" t="s">
        <v>7</v>
      </c>
      <c r="N753">
        <v>4</v>
      </c>
      <c r="O753" t="s">
        <v>3317</v>
      </c>
      <c r="P753" t="s">
        <v>3316</v>
      </c>
      <c r="Q753" t="s">
        <v>1001</v>
      </c>
      <c r="R753" s="7">
        <v>37469</v>
      </c>
      <c r="S753" s="8">
        <f t="shared" si="88"/>
        <v>2002</v>
      </c>
      <c r="T753" s="8">
        <v>2002</v>
      </c>
      <c r="U753" s="8">
        <f t="shared" si="89"/>
        <v>20</v>
      </c>
      <c r="V753" s="7">
        <v>37469</v>
      </c>
      <c r="W753" t="s">
        <v>773</v>
      </c>
      <c r="X753" s="2">
        <v>0.88100000000000001</v>
      </c>
      <c r="Y753" s="6">
        <f t="shared" si="94"/>
        <v>2.3517791836843653E-2</v>
      </c>
      <c r="AA753">
        <v>10459243</v>
      </c>
      <c r="AB753">
        <v>17248</v>
      </c>
      <c r="AD753" t="s">
        <v>2</v>
      </c>
      <c r="AE753">
        <v>44</v>
      </c>
      <c r="AF753">
        <v>4</v>
      </c>
      <c r="AH753" t="s">
        <v>3315</v>
      </c>
      <c r="AI753" t="s">
        <v>3314</v>
      </c>
      <c r="AJ753" t="s">
        <v>1136</v>
      </c>
      <c r="AK753" t="s">
        <v>3313</v>
      </c>
      <c r="AL753">
        <v>100</v>
      </c>
      <c r="AM753" s="5">
        <f t="shared" si="90"/>
        <v>5</v>
      </c>
      <c r="AN753" s="4">
        <f t="shared" si="95"/>
        <v>7.5728890571753124E-3</v>
      </c>
      <c r="AO753" s="3"/>
      <c r="AP753">
        <v>0</v>
      </c>
      <c r="AR753" t="s">
        <v>1</v>
      </c>
      <c r="AT753" s="2" t="s">
        <v>0</v>
      </c>
      <c r="AU753" s="1">
        <f t="shared" si="91"/>
        <v>1.8734321002943151</v>
      </c>
      <c r="AV753" s="1">
        <f t="shared" si="92"/>
        <v>1.5545340447009484</v>
      </c>
      <c r="AW753" s="1">
        <f t="shared" si="93"/>
        <v>1.2356359891075814</v>
      </c>
    </row>
    <row r="754" spans="1:49" x14ac:dyDescent="0.2">
      <c r="A754">
        <v>752</v>
      </c>
      <c r="B754" t="s">
        <v>3312</v>
      </c>
      <c r="C754" t="s">
        <v>3311</v>
      </c>
      <c r="F754" t="s">
        <v>3310</v>
      </c>
      <c r="G754" t="s">
        <v>5</v>
      </c>
      <c r="H754" t="s">
        <v>4</v>
      </c>
      <c r="I754" t="s">
        <v>3309</v>
      </c>
      <c r="J754">
        <v>60026610</v>
      </c>
      <c r="K754" t="s">
        <v>374</v>
      </c>
      <c r="L754" t="s">
        <v>373</v>
      </c>
      <c r="M754" t="s">
        <v>7</v>
      </c>
      <c r="N754">
        <v>1</v>
      </c>
      <c r="O754" t="s">
        <v>3308</v>
      </c>
      <c r="P754">
        <v>7103019064</v>
      </c>
      <c r="Q754">
        <v>60026610</v>
      </c>
      <c r="R754" s="7">
        <v>37469</v>
      </c>
      <c r="S754" s="8">
        <f t="shared" si="88"/>
        <v>2002</v>
      </c>
      <c r="T754" s="8">
        <v>2002</v>
      </c>
      <c r="U754" s="8">
        <f t="shared" si="89"/>
        <v>20</v>
      </c>
      <c r="V754" s="7">
        <v>37469</v>
      </c>
      <c r="W754" t="s">
        <v>773</v>
      </c>
      <c r="X754" s="2">
        <v>0.88100000000000001</v>
      </c>
      <c r="Y754" s="6">
        <f t="shared" si="94"/>
        <v>2.3517791836843653E-2</v>
      </c>
      <c r="AA754">
        <v>10459243</v>
      </c>
      <c r="AB754">
        <v>17248</v>
      </c>
      <c r="AD754" t="s">
        <v>2</v>
      </c>
      <c r="AE754">
        <v>44</v>
      </c>
      <c r="AF754">
        <v>4</v>
      </c>
      <c r="AH754" t="s">
        <v>3307</v>
      </c>
      <c r="AI754" t="s">
        <v>3306</v>
      </c>
      <c r="AJ754" t="s">
        <v>3305</v>
      </c>
      <c r="AK754" t="s">
        <v>3304</v>
      </c>
      <c r="AL754">
        <v>0</v>
      </c>
      <c r="AM754" s="5">
        <f t="shared" si="90"/>
        <v>0</v>
      </c>
      <c r="AN754" s="4">
        <f t="shared" si="95"/>
        <v>0</v>
      </c>
      <c r="AO754" s="3"/>
      <c r="AP754">
        <v>0</v>
      </c>
      <c r="AR754" t="s">
        <v>1</v>
      </c>
      <c r="AT754" s="2" t="s">
        <v>0</v>
      </c>
      <c r="AU754" s="1">
        <f t="shared" si="91"/>
        <v>1.6462454285790555</v>
      </c>
      <c r="AV754" s="1">
        <f t="shared" si="92"/>
        <v>1.1758895918421826</v>
      </c>
      <c r="AW754" s="1">
        <f t="shared" si="93"/>
        <v>0.70553375510530958</v>
      </c>
    </row>
    <row r="755" spans="1:49" x14ac:dyDescent="0.2">
      <c r="A755">
        <v>753</v>
      </c>
      <c r="B755" t="s">
        <v>3303</v>
      </c>
      <c r="C755" t="s">
        <v>3302</v>
      </c>
      <c r="F755" t="s">
        <v>3301</v>
      </c>
      <c r="G755" t="s">
        <v>5</v>
      </c>
      <c r="H755" t="s">
        <v>4</v>
      </c>
      <c r="I755" t="s">
        <v>3300</v>
      </c>
      <c r="J755" t="s">
        <v>3299</v>
      </c>
      <c r="K755" t="s">
        <v>3298</v>
      </c>
      <c r="L755" t="s">
        <v>3297</v>
      </c>
      <c r="M755" t="s">
        <v>841</v>
      </c>
      <c r="N755">
        <v>3</v>
      </c>
      <c r="O755" t="s">
        <v>3296</v>
      </c>
      <c r="P755" t="s">
        <v>3295</v>
      </c>
      <c r="Q755" t="s">
        <v>3294</v>
      </c>
      <c r="R755" s="7">
        <v>37469</v>
      </c>
      <c r="S755" s="8">
        <f t="shared" si="88"/>
        <v>2002</v>
      </c>
      <c r="T755" s="8">
        <v>2002</v>
      </c>
      <c r="U755" s="8">
        <f t="shared" si="89"/>
        <v>20</v>
      </c>
      <c r="V755" s="7">
        <v>37469</v>
      </c>
      <c r="W755" t="s">
        <v>869</v>
      </c>
      <c r="X755" s="2">
        <v>0.82</v>
      </c>
      <c r="Y755" s="6">
        <f t="shared" si="94"/>
        <v>2.1889431675609299E-2</v>
      </c>
      <c r="AA755">
        <v>189456</v>
      </c>
      <c r="AB755">
        <v>15361</v>
      </c>
      <c r="AD755" t="s">
        <v>2</v>
      </c>
      <c r="AE755">
        <v>51</v>
      </c>
      <c r="AF755">
        <v>4</v>
      </c>
      <c r="AH755" t="s">
        <v>3293</v>
      </c>
      <c r="AI755" t="s">
        <v>3292</v>
      </c>
      <c r="AJ755" t="s">
        <v>3291</v>
      </c>
      <c r="AK755" t="s">
        <v>3290</v>
      </c>
      <c r="AL755">
        <v>60</v>
      </c>
      <c r="AM755" s="5">
        <f t="shared" si="90"/>
        <v>3</v>
      </c>
      <c r="AN755" s="4">
        <f t="shared" si="95"/>
        <v>4.5437334343051876E-3</v>
      </c>
      <c r="AO755" s="3"/>
      <c r="AP755">
        <v>0</v>
      </c>
      <c r="AR755" t="s">
        <v>1</v>
      </c>
      <c r="AT755" s="2" t="s">
        <v>0</v>
      </c>
      <c r="AU755" s="1">
        <f t="shared" si="91"/>
        <v>1.6685722203218063</v>
      </c>
      <c r="AV755" s="1">
        <f t="shared" si="92"/>
        <v>1.3216582554957244</v>
      </c>
      <c r="AW755" s="1">
        <f t="shared" si="93"/>
        <v>0.97474429066964219</v>
      </c>
    </row>
    <row r="756" spans="1:49" x14ac:dyDescent="0.2">
      <c r="A756">
        <v>754</v>
      </c>
      <c r="B756" t="s">
        <v>3289</v>
      </c>
      <c r="C756" t="s">
        <v>3288</v>
      </c>
      <c r="F756" t="s">
        <v>3287</v>
      </c>
      <c r="G756" t="s">
        <v>5</v>
      </c>
      <c r="H756" t="s">
        <v>4</v>
      </c>
      <c r="I756" t="s">
        <v>3286</v>
      </c>
      <c r="J756" t="s">
        <v>3281</v>
      </c>
      <c r="K756" t="s">
        <v>3285</v>
      </c>
      <c r="L756" t="s">
        <v>3284</v>
      </c>
      <c r="M756" t="s">
        <v>3</v>
      </c>
      <c r="N756">
        <v>2</v>
      </c>
      <c r="O756" t="s">
        <v>3283</v>
      </c>
      <c r="P756" t="s">
        <v>3282</v>
      </c>
      <c r="Q756" t="s">
        <v>3281</v>
      </c>
      <c r="R756" s="7">
        <v>37469</v>
      </c>
      <c r="S756" s="8">
        <f t="shared" si="88"/>
        <v>2002</v>
      </c>
      <c r="T756" s="8">
        <v>2002</v>
      </c>
      <c r="U756" s="8">
        <f t="shared" si="89"/>
        <v>20</v>
      </c>
      <c r="V756" s="7">
        <v>37469</v>
      </c>
      <c r="W756" t="s">
        <v>773</v>
      </c>
      <c r="X756" s="2">
        <v>0.88100000000000001</v>
      </c>
      <c r="Y756" s="6">
        <f t="shared" si="94"/>
        <v>2.3517791836843653E-2</v>
      </c>
      <c r="AA756">
        <v>10459243</v>
      </c>
      <c r="AB756">
        <v>17248</v>
      </c>
      <c r="AD756" t="s">
        <v>2</v>
      </c>
      <c r="AE756">
        <v>44</v>
      </c>
      <c r="AF756">
        <v>4</v>
      </c>
      <c r="AH756" t="s">
        <v>3280</v>
      </c>
      <c r="AI756" t="s">
        <v>3279</v>
      </c>
      <c r="AJ756" t="s">
        <v>3278</v>
      </c>
      <c r="AK756" t="s">
        <v>3277</v>
      </c>
      <c r="AL756">
        <v>4</v>
      </c>
      <c r="AM756" s="5">
        <f t="shared" si="90"/>
        <v>0.2</v>
      </c>
      <c r="AN756" s="4">
        <f t="shared" si="95"/>
        <v>3.0291556228701253E-4</v>
      </c>
      <c r="AO756" s="3"/>
      <c r="AP756">
        <v>0</v>
      </c>
      <c r="AQ756" t="s">
        <v>290</v>
      </c>
      <c r="AR756" t="s">
        <v>1</v>
      </c>
      <c r="AS756" t="s">
        <v>289</v>
      </c>
      <c r="AT756" s="2" t="s">
        <v>0</v>
      </c>
      <c r="AU756" s="1">
        <f t="shared" si="91"/>
        <v>1.655332895447666</v>
      </c>
      <c r="AV756" s="1">
        <f t="shared" si="92"/>
        <v>1.1910353699565333</v>
      </c>
      <c r="AW756" s="1">
        <f t="shared" si="93"/>
        <v>0.72673784446540046</v>
      </c>
    </row>
    <row r="757" spans="1:49" x14ac:dyDescent="0.2">
      <c r="A757">
        <v>755</v>
      </c>
      <c r="B757" t="s">
        <v>3276</v>
      </c>
      <c r="C757" t="s">
        <v>3275</v>
      </c>
      <c r="F757" t="s">
        <v>3274</v>
      </c>
      <c r="G757" t="s">
        <v>5</v>
      </c>
      <c r="H757" t="s">
        <v>4</v>
      </c>
      <c r="I757" t="s">
        <v>3273</v>
      </c>
      <c r="J757" t="s">
        <v>3272</v>
      </c>
      <c r="K757" t="s">
        <v>3271</v>
      </c>
      <c r="L757" t="s">
        <v>3270</v>
      </c>
      <c r="M757" t="s">
        <v>70</v>
      </c>
      <c r="N757">
        <v>2</v>
      </c>
      <c r="O757" t="s">
        <v>3269</v>
      </c>
      <c r="P757" t="s">
        <v>3268</v>
      </c>
      <c r="Q757" t="s">
        <v>3267</v>
      </c>
      <c r="R757" s="7">
        <v>37469</v>
      </c>
      <c r="S757" s="8">
        <f t="shared" si="88"/>
        <v>2002</v>
      </c>
      <c r="T757" s="8">
        <v>2002</v>
      </c>
      <c r="U757" s="8">
        <f t="shared" si="89"/>
        <v>20</v>
      </c>
      <c r="V757" s="7">
        <v>37469</v>
      </c>
      <c r="W757" t="s">
        <v>773</v>
      </c>
      <c r="X757" s="2">
        <v>0.88100000000000001</v>
      </c>
      <c r="Y757" s="6">
        <f t="shared" si="94"/>
        <v>2.3517791836843653E-2</v>
      </c>
      <c r="AA757">
        <v>10459243</v>
      </c>
      <c r="AB757">
        <v>17248</v>
      </c>
      <c r="AD757" t="s">
        <v>2</v>
      </c>
      <c r="AE757">
        <v>44</v>
      </c>
      <c r="AF757">
        <v>4</v>
      </c>
      <c r="AH757" t="s">
        <v>3266</v>
      </c>
      <c r="AI757" t="s">
        <v>3265</v>
      </c>
      <c r="AJ757" t="s">
        <v>3264</v>
      </c>
      <c r="AK757" t="s">
        <v>3263</v>
      </c>
      <c r="AL757">
        <v>25</v>
      </c>
      <c r="AM757" s="5">
        <f t="shared" si="90"/>
        <v>1.25</v>
      </c>
      <c r="AN757" s="4">
        <f t="shared" si="95"/>
        <v>1.8932222642938281E-3</v>
      </c>
      <c r="AO757" s="3"/>
      <c r="AP757">
        <v>0</v>
      </c>
      <c r="AR757" t="s">
        <v>1</v>
      </c>
      <c r="AT757" s="2" t="s">
        <v>0</v>
      </c>
      <c r="AU757" s="1">
        <f t="shared" si="91"/>
        <v>1.7030420965078705</v>
      </c>
      <c r="AV757" s="1">
        <f t="shared" si="92"/>
        <v>1.2705507050568741</v>
      </c>
      <c r="AW757" s="1">
        <f t="shared" si="93"/>
        <v>0.8380593136058776</v>
      </c>
    </row>
    <row r="758" spans="1:49" x14ac:dyDescent="0.2">
      <c r="A758">
        <v>756</v>
      </c>
      <c r="B758" t="s">
        <v>3262</v>
      </c>
      <c r="C758" t="s">
        <v>3261</v>
      </c>
      <c r="F758" t="s">
        <v>3260</v>
      </c>
      <c r="G758" t="s">
        <v>5</v>
      </c>
      <c r="H758" t="s">
        <v>4</v>
      </c>
      <c r="I758" t="s">
        <v>143</v>
      </c>
      <c r="J758" t="s">
        <v>3259</v>
      </c>
      <c r="K758" t="s">
        <v>3258</v>
      </c>
      <c r="L758" t="s">
        <v>3257</v>
      </c>
      <c r="M758" t="s">
        <v>3</v>
      </c>
      <c r="N758">
        <v>5</v>
      </c>
      <c r="O758" t="s">
        <v>3256</v>
      </c>
      <c r="P758" t="s">
        <v>3255</v>
      </c>
      <c r="Q758" t="s">
        <v>3254</v>
      </c>
      <c r="R758" s="7">
        <v>37469</v>
      </c>
      <c r="S758" s="8">
        <f t="shared" si="88"/>
        <v>2002</v>
      </c>
      <c r="T758" s="8">
        <v>2002</v>
      </c>
      <c r="U758" s="8">
        <f t="shared" si="89"/>
        <v>20</v>
      </c>
      <c r="V758" s="7">
        <v>37469</v>
      </c>
      <c r="W758" t="s">
        <v>773</v>
      </c>
      <c r="X758" s="2">
        <v>0.88100000000000001</v>
      </c>
      <c r="Y758" s="6">
        <f t="shared" si="94"/>
        <v>2.3517791836843653E-2</v>
      </c>
      <c r="AA758">
        <v>10459243</v>
      </c>
      <c r="AB758">
        <v>17248</v>
      </c>
      <c r="AD758" t="s">
        <v>2</v>
      </c>
      <c r="AE758">
        <v>44</v>
      </c>
      <c r="AF758">
        <v>4</v>
      </c>
      <c r="AH758" t="s">
        <v>3253</v>
      </c>
      <c r="AI758" t="s">
        <v>3252</v>
      </c>
      <c r="AJ758" t="s">
        <v>3251</v>
      </c>
      <c r="AK758" t="s">
        <v>3250</v>
      </c>
      <c r="AL758">
        <v>7</v>
      </c>
      <c r="AM758" s="5">
        <f t="shared" si="90"/>
        <v>0.35</v>
      </c>
      <c r="AN758" s="4">
        <f t="shared" si="95"/>
        <v>5.3010223400227184E-4</v>
      </c>
      <c r="AO758" s="3"/>
      <c r="AP758">
        <v>0</v>
      </c>
      <c r="AR758" t="s">
        <v>1</v>
      </c>
      <c r="AT758" s="2" t="s">
        <v>0</v>
      </c>
      <c r="AU758" s="1">
        <f t="shared" si="91"/>
        <v>1.6621484955991237</v>
      </c>
      <c r="AV758" s="1">
        <f t="shared" si="92"/>
        <v>1.2023947035422964</v>
      </c>
      <c r="AW758" s="1">
        <f t="shared" si="93"/>
        <v>0.74264091148546862</v>
      </c>
    </row>
    <row r="759" spans="1:49" x14ac:dyDescent="0.2">
      <c r="A759">
        <v>757</v>
      </c>
      <c r="B759" t="s">
        <v>3249</v>
      </c>
      <c r="C759" t="s">
        <v>3248</v>
      </c>
      <c r="F759" t="s">
        <v>3247</v>
      </c>
      <c r="G759" t="s">
        <v>5</v>
      </c>
      <c r="H759" t="s">
        <v>4</v>
      </c>
      <c r="I759" t="s">
        <v>474</v>
      </c>
      <c r="J759">
        <v>60019499</v>
      </c>
      <c r="K759" t="s">
        <v>473</v>
      </c>
      <c r="L759" t="s">
        <v>72</v>
      </c>
      <c r="M759" t="s">
        <v>21</v>
      </c>
      <c r="N759">
        <v>5</v>
      </c>
      <c r="O759" t="s">
        <v>3246</v>
      </c>
      <c r="P759" t="s">
        <v>3245</v>
      </c>
      <c r="Q759" t="s">
        <v>3244</v>
      </c>
      <c r="R759" s="7">
        <v>37469</v>
      </c>
      <c r="S759" s="8">
        <f t="shared" si="88"/>
        <v>2002</v>
      </c>
      <c r="T759" s="8">
        <v>2002</v>
      </c>
      <c r="U759" s="8">
        <f t="shared" si="89"/>
        <v>20</v>
      </c>
      <c r="V759" s="7">
        <v>37469</v>
      </c>
      <c r="W759" t="s">
        <v>1014</v>
      </c>
      <c r="X759" s="2">
        <v>0.82499999999999996</v>
      </c>
      <c r="Y759" s="6">
        <f t="shared" si="94"/>
        <v>2.202290381997277E-2</v>
      </c>
      <c r="AA759">
        <v>261165</v>
      </c>
      <c r="AB759">
        <v>13444</v>
      </c>
      <c r="AD759" t="s">
        <v>2</v>
      </c>
      <c r="AE759">
        <v>80</v>
      </c>
      <c r="AF759">
        <v>4</v>
      </c>
      <c r="AH759" t="s">
        <v>3243</v>
      </c>
      <c r="AI759" t="s">
        <v>3242</v>
      </c>
      <c r="AK759" t="s">
        <v>3241</v>
      </c>
      <c r="AL759">
        <v>42</v>
      </c>
      <c r="AM759" s="5">
        <f t="shared" si="90"/>
        <v>2.1</v>
      </c>
      <c r="AN759" s="4">
        <f t="shared" si="95"/>
        <v>3.1806134040136312E-3</v>
      </c>
      <c r="AO759" s="3"/>
      <c r="AP759">
        <v>1</v>
      </c>
      <c r="AR759" t="s">
        <v>1</v>
      </c>
      <c r="AT759" s="2" t="s">
        <v>0</v>
      </c>
      <c r="AU759" s="1">
        <f t="shared" si="91"/>
        <v>1.6370216695185027</v>
      </c>
      <c r="AV759" s="1">
        <f t="shared" si="92"/>
        <v>1.2601758611993201</v>
      </c>
      <c r="AW759" s="1">
        <f t="shared" si="93"/>
        <v>0.88333005288013733</v>
      </c>
    </row>
    <row r="760" spans="1:49" x14ac:dyDescent="0.2">
      <c r="A760">
        <v>758</v>
      </c>
      <c r="B760" t="s">
        <v>3240</v>
      </c>
      <c r="C760" t="s">
        <v>3239</v>
      </c>
      <c r="F760" t="s">
        <v>3238</v>
      </c>
      <c r="G760" t="s">
        <v>5</v>
      </c>
      <c r="H760" t="s">
        <v>4</v>
      </c>
      <c r="I760" t="s">
        <v>381</v>
      </c>
      <c r="J760" t="s">
        <v>3237</v>
      </c>
      <c r="K760" t="s">
        <v>3236</v>
      </c>
      <c r="L760" t="s">
        <v>3235</v>
      </c>
      <c r="M760" t="s">
        <v>76</v>
      </c>
      <c r="N760">
        <v>6</v>
      </c>
      <c r="O760" t="s">
        <v>3234</v>
      </c>
      <c r="P760" t="s">
        <v>3233</v>
      </c>
      <c r="Q760" t="s">
        <v>3232</v>
      </c>
      <c r="R760" s="7">
        <v>37469</v>
      </c>
      <c r="S760" s="8">
        <f t="shared" si="88"/>
        <v>2002</v>
      </c>
      <c r="T760" s="8">
        <v>2002</v>
      </c>
      <c r="U760" s="8">
        <f t="shared" si="89"/>
        <v>20</v>
      </c>
      <c r="V760" s="7">
        <v>37469</v>
      </c>
      <c r="W760" t="s">
        <v>773</v>
      </c>
      <c r="X760" s="2">
        <v>0.88100000000000001</v>
      </c>
      <c r="Y760" s="6">
        <f t="shared" si="94"/>
        <v>2.3517791836843653E-2</v>
      </c>
      <c r="AA760">
        <v>10459243</v>
      </c>
      <c r="AB760">
        <v>17248</v>
      </c>
      <c r="AD760" t="s">
        <v>2</v>
      </c>
      <c r="AE760">
        <v>44</v>
      </c>
      <c r="AF760">
        <v>4</v>
      </c>
      <c r="AH760" t="s">
        <v>3231</v>
      </c>
      <c r="AI760" t="s">
        <v>3230</v>
      </c>
      <c r="AJ760" t="s">
        <v>3229</v>
      </c>
      <c r="AK760" t="s">
        <v>3228</v>
      </c>
      <c r="AL760">
        <v>9</v>
      </c>
      <c r="AM760" s="5">
        <f t="shared" si="90"/>
        <v>0.45</v>
      </c>
      <c r="AN760" s="4">
        <f t="shared" si="95"/>
        <v>6.8156001514577808E-4</v>
      </c>
      <c r="AO760" s="3"/>
      <c r="AP760">
        <v>0</v>
      </c>
      <c r="AR760" t="s">
        <v>1</v>
      </c>
      <c r="AT760" s="2" t="s">
        <v>0</v>
      </c>
      <c r="AU760" s="1">
        <f t="shared" si="91"/>
        <v>1.666692229033429</v>
      </c>
      <c r="AV760" s="1">
        <f t="shared" si="92"/>
        <v>1.2099675925994715</v>
      </c>
      <c r="AW760" s="1">
        <f t="shared" si="93"/>
        <v>0.75324295616551407</v>
      </c>
    </row>
    <row r="761" spans="1:49" x14ac:dyDescent="0.2">
      <c r="A761">
        <v>759</v>
      </c>
      <c r="B761" t="s">
        <v>3227</v>
      </c>
      <c r="C761" t="s">
        <v>3226</v>
      </c>
      <c r="E761">
        <v>12193810</v>
      </c>
      <c r="F761" t="s">
        <v>3225</v>
      </c>
      <c r="G761" t="s">
        <v>5</v>
      </c>
      <c r="H761" t="s">
        <v>4</v>
      </c>
      <c r="I761" t="s">
        <v>3224</v>
      </c>
      <c r="J761">
        <v>60029608</v>
      </c>
      <c r="K761" t="s">
        <v>1024</v>
      </c>
      <c r="L761" t="s">
        <v>1023</v>
      </c>
      <c r="M761" t="s">
        <v>21</v>
      </c>
      <c r="N761">
        <v>3</v>
      </c>
      <c r="O761" t="s">
        <v>3223</v>
      </c>
      <c r="P761" t="s">
        <v>3222</v>
      </c>
      <c r="Q761" t="s">
        <v>3221</v>
      </c>
      <c r="R761" s="7">
        <v>37469</v>
      </c>
      <c r="S761" s="8">
        <f t="shared" si="88"/>
        <v>2002</v>
      </c>
      <c r="T761" s="8">
        <v>2002</v>
      </c>
      <c r="U761" s="8">
        <f t="shared" si="89"/>
        <v>20</v>
      </c>
      <c r="V761" s="7">
        <v>37469</v>
      </c>
      <c r="W761" t="s">
        <v>3220</v>
      </c>
      <c r="X761" s="2">
        <v>0.39100000000000001</v>
      </c>
      <c r="Y761" s="6">
        <f t="shared" si="94"/>
        <v>1.043752168922346E-2</v>
      </c>
      <c r="AA761">
        <v>2890003</v>
      </c>
      <c r="AB761">
        <v>24547</v>
      </c>
      <c r="AD761" t="s">
        <v>2</v>
      </c>
      <c r="AE761">
        <v>19</v>
      </c>
      <c r="AF761">
        <v>8</v>
      </c>
      <c r="AH761" t="s">
        <v>3219</v>
      </c>
      <c r="AI761" t="s">
        <v>3218</v>
      </c>
      <c r="AJ761" t="s">
        <v>3217</v>
      </c>
      <c r="AK761" t="s">
        <v>3216</v>
      </c>
      <c r="AL761">
        <v>11</v>
      </c>
      <c r="AM761" s="5">
        <f t="shared" si="90"/>
        <v>0.55000000000000004</v>
      </c>
      <c r="AN761" s="4">
        <f t="shared" si="95"/>
        <v>8.3301779628928443E-4</v>
      </c>
      <c r="AO761" s="3"/>
      <c r="AP761">
        <v>0</v>
      </c>
      <c r="AR761" t="s">
        <v>1</v>
      </c>
      <c r="AT761" s="2">
        <v>0.93100000000000005</v>
      </c>
      <c r="AU761" s="1">
        <f t="shared" si="91"/>
        <v>0.75561705213432062</v>
      </c>
      <c r="AV761" s="1">
        <f t="shared" si="92"/>
        <v>0.56352697427563725</v>
      </c>
      <c r="AW761" s="1">
        <f t="shared" si="93"/>
        <v>0.37143689641695365</v>
      </c>
    </row>
    <row r="762" spans="1:49" x14ac:dyDescent="0.2">
      <c r="A762">
        <v>760</v>
      </c>
      <c r="B762" t="s">
        <v>3215</v>
      </c>
      <c r="C762" t="s">
        <v>3214</v>
      </c>
      <c r="F762" t="s">
        <v>3213</v>
      </c>
      <c r="G762" t="s">
        <v>5</v>
      </c>
      <c r="H762" t="s">
        <v>4</v>
      </c>
      <c r="I762" t="s">
        <v>3212</v>
      </c>
      <c r="J762">
        <v>60016561</v>
      </c>
      <c r="K762" t="s">
        <v>207</v>
      </c>
      <c r="L762" t="s">
        <v>206</v>
      </c>
      <c r="M762" t="s">
        <v>45</v>
      </c>
      <c r="N762">
        <v>3</v>
      </c>
      <c r="O762" t="s">
        <v>3211</v>
      </c>
      <c r="P762" t="s">
        <v>3210</v>
      </c>
      <c r="Q762" t="s">
        <v>3209</v>
      </c>
      <c r="R762" s="7">
        <v>37469</v>
      </c>
      <c r="S762" s="8">
        <f t="shared" si="88"/>
        <v>2002</v>
      </c>
      <c r="T762" s="8">
        <v>2002</v>
      </c>
      <c r="U762" s="8">
        <f t="shared" si="89"/>
        <v>20</v>
      </c>
      <c r="V762" s="7">
        <v>37469</v>
      </c>
      <c r="W762" t="s">
        <v>665</v>
      </c>
      <c r="X762" s="2">
        <v>0.76700000000000002</v>
      </c>
      <c r="Y762" s="6">
        <f t="shared" si="94"/>
        <v>2.0474626945356504E-2</v>
      </c>
      <c r="AA762">
        <v>983063</v>
      </c>
      <c r="AB762">
        <v>26048</v>
      </c>
      <c r="AD762" t="s">
        <v>2</v>
      </c>
      <c r="AE762">
        <v>48</v>
      </c>
      <c r="AF762">
        <v>3</v>
      </c>
      <c r="AH762" t="s">
        <v>3208</v>
      </c>
      <c r="AI762" t="s">
        <v>3207</v>
      </c>
      <c r="AJ762" t="s">
        <v>3206</v>
      </c>
      <c r="AK762" t="s">
        <v>3205</v>
      </c>
      <c r="AL762">
        <v>18</v>
      </c>
      <c r="AM762" s="5">
        <f t="shared" si="90"/>
        <v>0.9</v>
      </c>
      <c r="AN762" s="4">
        <f t="shared" si="95"/>
        <v>1.3631200302915562E-3</v>
      </c>
      <c r="AO762" s="3"/>
      <c r="AP762">
        <v>0</v>
      </c>
      <c r="AR762" t="s">
        <v>1</v>
      </c>
      <c r="AT762" s="2" t="s">
        <v>0</v>
      </c>
      <c r="AU762" s="1">
        <f t="shared" si="91"/>
        <v>1.4741174870837019</v>
      </c>
      <c r="AV762" s="1">
        <f t="shared" si="92"/>
        <v>1.091887348782403</v>
      </c>
      <c r="AW762" s="1">
        <f t="shared" si="93"/>
        <v>0.70965721048110397</v>
      </c>
    </row>
    <row r="763" spans="1:49" x14ac:dyDescent="0.2">
      <c r="A763">
        <v>761</v>
      </c>
      <c r="B763" t="s">
        <v>3204</v>
      </c>
      <c r="C763" t="s">
        <v>3203</v>
      </c>
      <c r="F763" t="s">
        <v>3202</v>
      </c>
      <c r="G763" t="s">
        <v>5</v>
      </c>
      <c r="H763" t="s">
        <v>4</v>
      </c>
      <c r="I763" t="s">
        <v>3201</v>
      </c>
      <c r="J763" t="s">
        <v>3200</v>
      </c>
      <c r="K763" t="s">
        <v>3199</v>
      </c>
      <c r="L763" t="s">
        <v>3198</v>
      </c>
      <c r="M763" t="s">
        <v>39</v>
      </c>
      <c r="N763">
        <v>5</v>
      </c>
      <c r="O763" t="s">
        <v>3197</v>
      </c>
      <c r="P763" t="s">
        <v>3196</v>
      </c>
      <c r="Q763" t="s">
        <v>3195</v>
      </c>
      <c r="R763" s="7">
        <v>37469</v>
      </c>
      <c r="S763" s="8">
        <f t="shared" si="88"/>
        <v>2002</v>
      </c>
      <c r="T763" s="8">
        <v>2002</v>
      </c>
      <c r="U763" s="8">
        <f t="shared" si="89"/>
        <v>20</v>
      </c>
      <c r="V763" s="7">
        <v>37469</v>
      </c>
      <c r="W763" t="s">
        <v>665</v>
      </c>
      <c r="X763" s="2">
        <v>0.76700000000000002</v>
      </c>
      <c r="Y763" s="6">
        <f t="shared" si="94"/>
        <v>2.0474626945356504E-2</v>
      </c>
      <c r="AA763">
        <v>983063</v>
      </c>
      <c r="AB763">
        <v>26048</v>
      </c>
      <c r="AD763" t="s">
        <v>2</v>
      </c>
      <c r="AE763">
        <v>48</v>
      </c>
      <c r="AF763">
        <v>3</v>
      </c>
      <c r="AH763" t="s">
        <v>3194</v>
      </c>
      <c r="AI763" t="s">
        <v>3193</v>
      </c>
      <c r="AJ763" t="s">
        <v>3192</v>
      </c>
      <c r="AK763" t="s">
        <v>3191</v>
      </c>
      <c r="AL763">
        <v>11</v>
      </c>
      <c r="AM763" s="5">
        <f t="shared" si="90"/>
        <v>0.55000000000000004</v>
      </c>
      <c r="AN763" s="4">
        <f t="shared" si="95"/>
        <v>8.3301779628928443E-4</v>
      </c>
      <c r="AO763" s="3"/>
      <c r="AP763">
        <v>0</v>
      </c>
      <c r="AR763" t="s">
        <v>1</v>
      </c>
      <c r="AT763" s="2" t="s">
        <v>0</v>
      </c>
      <c r="AU763" s="1">
        <f t="shared" si="91"/>
        <v>1.4582144200636338</v>
      </c>
      <c r="AV763" s="1">
        <f t="shared" si="92"/>
        <v>1.0653822370822894</v>
      </c>
      <c r="AW763" s="1">
        <f t="shared" si="93"/>
        <v>0.67255005410094493</v>
      </c>
    </row>
    <row r="764" spans="1:49" x14ac:dyDescent="0.2">
      <c r="A764">
        <v>762</v>
      </c>
      <c r="B764" t="s">
        <v>3190</v>
      </c>
      <c r="C764" t="s">
        <v>3189</v>
      </c>
      <c r="F764" t="s">
        <v>3188</v>
      </c>
      <c r="G764" t="s">
        <v>5</v>
      </c>
      <c r="H764" t="s">
        <v>4</v>
      </c>
      <c r="I764" t="s">
        <v>951</v>
      </c>
      <c r="J764">
        <v>60011520</v>
      </c>
      <c r="K764" t="s">
        <v>535</v>
      </c>
      <c r="L764" t="s">
        <v>484</v>
      </c>
      <c r="M764" t="s">
        <v>41</v>
      </c>
      <c r="N764">
        <v>2</v>
      </c>
      <c r="O764" t="s">
        <v>3187</v>
      </c>
      <c r="P764" t="s">
        <v>3186</v>
      </c>
      <c r="Q764" t="s">
        <v>3185</v>
      </c>
      <c r="R764" s="7">
        <v>37469</v>
      </c>
      <c r="S764" s="8">
        <f t="shared" si="88"/>
        <v>2002</v>
      </c>
      <c r="T764" s="8">
        <v>2002</v>
      </c>
      <c r="U764" s="8">
        <f t="shared" si="89"/>
        <v>20</v>
      </c>
      <c r="V764" s="7">
        <v>37469</v>
      </c>
      <c r="W764" s="11" t="s">
        <v>3184</v>
      </c>
      <c r="X764" s="2">
        <v>2.383</v>
      </c>
      <c r="Y764" s="6">
        <f t="shared" si="94"/>
        <v>6.3612824003630442E-2</v>
      </c>
      <c r="AA764" t="s">
        <v>3183</v>
      </c>
      <c r="AB764">
        <v>17420</v>
      </c>
      <c r="AD764" t="s">
        <v>2</v>
      </c>
      <c r="AE764">
        <v>149</v>
      </c>
      <c r="AF764">
        <v>4</v>
      </c>
      <c r="AH764" t="s">
        <v>3182</v>
      </c>
      <c r="AI764" t="s">
        <v>3181</v>
      </c>
      <c r="AK764" t="s">
        <v>3180</v>
      </c>
      <c r="AL764">
        <v>12</v>
      </c>
      <c r="AM764" s="5">
        <f t="shared" si="90"/>
        <v>0.6</v>
      </c>
      <c r="AN764" s="4">
        <f t="shared" si="95"/>
        <v>9.0874668686103744E-4</v>
      </c>
      <c r="AO764" s="3"/>
      <c r="AP764">
        <v>0</v>
      </c>
      <c r="AR764" t="s">
        <v>1</v>
      </c>
      <c r="AT764" s="2" t="s">
        <v>0</v>
      </c>
      <c r="AU764" s="1">
        <f t="shared" si="91"/>
        <v>4.480160080859962</v>
      </c>
      <c r="AV764" s="1">
        <f t="shared" si="92"/>
        <v>3.2260785345245742</v>
      </c>
      <c r="AW764" s="1">
        <f t="shared" si="93"/>
        <v>1.9719969881891859</v>
      </c>
    </row>
    <row r="765" spans="1:49" x14ac:dyDescent="0.2">
      <c r="A765">
        <v>763</v>
      </c>
      <c r="B765" t="s">
        <v>3179</v>
      </c>
      <c r="C765" t="s">
        <v>3178</v>
      </c>
      <c r="D765">
        <v>1011092002802260</v>
      </c>
      <c r="F765" t="s">
        <v>3177</v>
      </c>
      <c r="G765" t="s">
        <v>5</v>
      </c>
      <c r="H765" t="s">
        <v>4</v>
      </c>
      <c r="I765" t="s">
        <v>3176</v>
      </c>
      <c r="J765" t="s">
        <v>3175</v>
      </c>
      <c r="K765" t="s">
        <v>3174</v>
      </c>
      <c r="L765" t="s">
        <v>3173</v>
      </c>
      <c r="M765" t="s">
        <v>3172</v>
      </c>
      <c r="N765">
        <v>3</v>
      </c>
      <c r="O765" t="s">
        <v>3171</v>
      </c>
      <c r="P765" t="s">
        <v>3170</v>
      </c>
      <c r="Q765" t="s">
        <v>3169</v>
      </c>
      <c r="R765" s="7">
        <v>37469</v>
      </c>
      <c r="S765" s="8">
        <f t="shared" si="88"/>
        <v>2002</v>
      </c>
      <c r="T765" s="8">
        <v>2002</v>
      </c>
      <c r="U765" s="8">
        <f t="shared" si="89"/>
        <v>20</v>
      </c>
      <c r="V765" s="7">
        <v>37469</v>
      </c>
      <c r="W765" t="s">
        <v>418</v>
      </c>
      <c r="X765" s="2">
        <v>1.6519999999999999</v>
      </c>
      <c r="Y765" s="6">
        <f t="shared" si="94"/>
        <v>4.409919649769093E-2</v>
      </c>
      <c r="AA765" t="s">
        <v>417</v>
      </c>
      <c r="AB765">
        <v>17337</v>
      </c>
      <c r="AD765" t="s">
        <v>2</v>
      </c>
      <c r="AE765">
        <v>50</v>
      </c>
      <c r="AF765">
        <v>8</v>
      </c>
      <c r="AH765" t="s">
        <v>3168</v>
      </c>
      <c r="AI765" t="s">
        <v>3167</v>
      </c>
      <c r="AJ765" t="s">
        <v>3166</v>
      </c>
      <c r="AK765" t="s">
        <v>3165</v>
      </c>
      <c r="AL765">
        <v>11</v>
      </c>
      <c r="AM765" s="5">
        <f t="shared" si="90"/>
        <v>0.55000000000000004</v>
      </c>
      <c r="AN765" s="4">
        <f t="shared" si="95"/>
        <v>8.3301779628928443E-4</v>
      </c>
      <c r="AO765" s="3"/>
      <c r="AP765">
        <v>0</v>
      </c>
      <c r="AR765" t="s">
        <v>1</v>
      </c>
      <c r="AT765" s="2" t="s">
        <v>0</v>
      </c>
      <c r="AU765" s="1">
        <f t="shared" si="91"/>
        <v>3.1119342887270434</v>
      </c>
      <c r="AV765" s="1">
        <f t="shared" si="92"/>
        <v>2.2466107146990106</v>
      </c>
      <c r="AW765" s="1">
        <f t="shared" si="93"/>
        <v>1.3812871406709777</v>
      </c>
    </row>
    <row r="766" spans="1:49" x14ac:dyDescent="0.2">
      <c r="A766">
        <v>764</v>
      </c>
      <c r="B766" t="s">
        <v>3164</v>
      </c>
      <c r="C766" t="s">
        <v>3163</v>
      </c>
      <c r="D766">
        <v>1011092002801380</v>
      </c>
      <c r="F766" t="s">
        <v>3162</v>
      </c>
      <c r="G766" t="s">
        <v>5</v>
      </c>
      <c r="H766" t="s">
        <v>4</v>
      </c>
      <c r="I766" t="s">
        <v>3161</v>
      </c>
      <c r="J766" t="s">
        <v>3160</v>
      </c>
      <c r="K766" t="s">
        <v>3159</v>
      </c>
      <c r="L766" t="s">
        <v>3158</v>
      </c>
      <c r="M766" t="s">
        <v>820</v>
      </c>
      <c r="N766">
        <v>2</v>
      </c>
      <c r="O766" t="s">
        <v>3157</v>
      </c>
      <c r="P766" t="s">
        <v>3156</v>
      </c>
      <c r="Q766" t="s">
        <v>3155</v>
      </c>
      <c r="R766" s="7">
        <v>37469</v>
      </c>
      <c r="S766" s="8">
        <f t="shared" si="88"/>
        <v>2002</v>
      </c>
      <c r="T766" s="8">
        <v>2002</v>
      </c>
      <c r="U766" s="8">
        <f t="shared" si="89"/>
        <v>20</v>
      </c>
      <c r="V766" s="7">
        <v>37469</v>
      </c>
      <c r="W766" t="s">
        <v>418</v>
      </c>
      <c r="X766" s="2">
        <v>1.6519999999999999</v>
      </c>
      <c r="Y766" s="6">
        <f t="shared" si="94"/>
        <v>4.409919649769093E-2</v>
      </c>
      <c r="AA766" t="s">
        <v>417</v>
      </c>
      <c r="AB766">
        <v>17337</v>
      </c>
      <c r="AD766" t="s">
        <v>2</v>
      </c>
      <c r="AE766">
        <v>50</v>
      </c>
      <c r="AF766">
        <v>8</v>
      </c>
      <c r="AH766" t="s">
        <v>3154</v>
      </c>
      <c r="AI766" t="s">
        <v>3153</v>
      </c>
      <c r="AJ766" t="s">
        <v>3152</v>
      </c>
      <c r="AK766" t="s">
        <v>3151</v>
      </c>
      <c r="AL766">
        <v>94</v>
      </c>
      <c r="AM766" s="5">
        <f t="shared" si="90"/>
        <v>4.7</v>
      </c>
      <c r="AN766" s="4">
        <f t="shared" si="95"/>
        <v>7.1185157137447939E-3</v>
      </c>
      <c r="AO766" s="3"/>
      <c r="AP766">
        <v>0</v>
      </c>
      <c r="AR766" t="s">
        <v>3150</v>
      </c>
      <c r="AT766" s="2" t="s">
        <v>0</v>
      </c>
      <c r="AU766" s="1">
        <f t="shared" si="91"/>
        <v>3.3004992262507091</v>
      </c>
      <c r="AV766" s="1">
        <f t="shared" si="92"/>
        <v>2.5608856105717859</v>
      </c>
      <c r="AW766" s="1">
        <f t="shared" si="93"/>
        <v>1.8212719948928633</v>
      </c>
    </row>
    <row r="767" spans="1:49" x14ac:dyDescent="0.2">
      <c r="A767">
        <v>765</v>
      </c>
      <c r="B767" t="s">
        <v>3149</v>
      </c>
      <c r="C767" t="s">
        <v>3148</v>
      </c>
      <c r="D767">
        <v>1011092002800730</v>
      </c>
      <c r="F767" t="s">
        <v>3147</v>
      </c>
      <c r="G767" t="s">
        <v>5</v>
      </c>
      <c r="H767" t="s">
        <v>4</v>
      </c>
      <c r="I767" t="s">
        <v>3146</v>
      </c>
      <c r="J767" t="s">
        <v>853</v>
      </c>
      <c r="K767" t="s">
        <v>852</v>
      </c>
      <c r="L767" t="s">
        <v>851</v>
      </c>
      <c r="M767" t="s">
        <v>92</v>
      </c>
      <c r="N767">
        <v>2</v>
      </c>
      <c r="O767" t="s">
        <v>3145</v>
      </c>
      <c r="P767" t="s">
        <v>3144</v>
      </c>
      <c r="Q767" t="s">
        <v>3143</v>
      </c>
      <c r="R767" s="7">
        <v>37469</v>
      </c>
      <c r="S767" s="8">
        <f t="shared" si="88"/>
        <v>2002</v>
      </c>
      <c r="T767" s="8">
        <v>2002</v>
      </c>
      <c r="U767" s="8">
        <f t="shared" si="89"/>
        <v>20</v>
      </c>
      <c r="V767" s="7">
        <v>37469</v>
      </c>
      <c r="W767" t="s">
        <v>418</v>
      </c>
      <c r="X767" s="2">
        <v>1.6519999999999999</v>
      </c>
      <c r="Y767" s="6">
        <f t="shared" si="94"/>
        <v>4.409919649769093E-2</v>
      </c>
      <c r="AA767" t="s">
        <v>417</v>
      </c>
      <c r="AB767">
        <v>17337</v>
      </c>
      <c r="AD767" t="s">
        <v>2</v>
      </c>
      <c r="AE767">
        <v>50</v>
      </c>
      <c r="AF767">
        <v>8</v>
      </c>
      <c r="AH767" t="s">
        <v>3142</v>
      </c>
      <c r="AI767" t="s">
        <v>3141</v>
      </c>
      <c r="AJ767" t="s">
        <v>3140</v>
      </c>
      <c r="AK767" t="s">
        <v>3139</v>
      </c>
      <c r="AL767">
        <v>25</v>
      </c>
      <c r="AM767" s="5">
        <f t="shared" si="90"/>
        <v>1.25</v>
      </c>
      <c r="AN767" s="4">
        <f t="shared" si="95"/>
        <v>1.8932222642938281E-3</v>
      </c>
      <c r="AO767" s="3"/>
      <c r="AP767">
        <v>0</v>
      </c>
      <c r="AR767" t="s">
        <v>1</v>
      </c>
      <c r="AT767" s="2" t="s">
        <v>0</v>
      </c>
      <c r="AU767" s="1">
        <f t="shared" si="91"/>
        <v>3.1437404227671801</v>
      </c>
      <c r="AV767" s="1">
        <f t="shared" si="92"/>
        <v>2.2996209380992378</v>
      </c>
      <c r="AW767" s="1">
        <f t="shared" si="93"/>
        <v>1.4555014534312958</v>
      </c>
    </row>
    <row r="768" spans="1:49" x14ac:dyDescent="0.2">
      <c r="A768">
        <v>766</v>
      </c>
      <c r="B768" t="s">
        <v>3138</v>
      </c>
      <c r="C768" t="s">
        <v>3137</v>
      </c>
      <c r="D768">
        <v>1011092002802260</v>
      </c>
      <c r="F768" t="s">
        <v>3136</v>
      </c>
      <c r="G768" t="s">
        <v>5</v>
      </c>
      <c r="H768" t="s">
        <v>4</v>
      </c>
      <c r="I768" t="s">
        <v>3135</v>
      </c>
      <c r="J768" t="s">
        <v>3134</v>
      </c>
      <c r="K768" t="s">
        <v>3133</v>
      </c>
      <c r="L768" t="s">
        <v>3132</v>
      </c>
      <c r="M768" t="s">
        <v>864</v>
      </c>
      <c r="N768">
        <v>2</v>
      </c>
      <c r="O768" t="s">
        <v>3131</v>
      </c>
      <c r="P768" t="s">
        <v>3130</v>
      </c>
      <c r="Q768" t="s">
        <v>3129</v>
      </c>
      <c r="R768" s="7">
        <v>37469</v>
      </c>
      <c r="S768" s="8">
        <f t="shared" si="88"/>
        <v>2002</v>
      </c>
      <c r="T768" s="8">
        <v>2002</v>
      </c>
      <c r="U768" s="8">
        <f t="shared" si="89"/>
        <v>20</v>
      </c>
      <c r="V768" s="7">
        <v>37469</v>
      </c>
      <c r="W768" t="s">
        <v>418</v>
      </c>
      <c r="X768" s="2">
        <v>1.6519999999999999</v>
      </c>
      <c r="Y768" s="6">
        <f t="shared" si="94"/>
        <v>4.409919649769093E-2</v>
      </c>
      <c r="AA768" t="s">
        <v>417</v>
      </c>
      <c r="AB768">
        <v>17337</v>
      </c>
      <c r="AD768" t="s">
        <v>2</v>
      </c>
      <c r="AE768">
        <v>50</v>
      </c>
      <c r="AF768">
        <v>8</v>
      </c>
      <c r="AH768" t="s">
        <v>619</v>
      </c>
      <c r="AI768" t="s">
        <v>3128</v>
      </c>
      <c r="AJ768" t="s">
        <v>3127</v>
      </c>
      <c r="AK768" t="s">
        <v>3126</v>
      </c>
      <c r="AL768">
        <v>14</v>
      </c>
      <c r="AM768" s="5">
        <f t="shared" si="90"/>
        <v>0.7</v>
      </c>
      <c r="AN768" s="4">
        <f t="shared" si="95"/>
        <v>1.0602044680045437E-3</v>
      </c>
      <c r="AO768" s="3"/>
      <c r="AP768">
        <v>0</v>
      </c>
      <c r="AQ768" t="s">
        <v>571</v>
      </c>
      <c r="AR768" t="s">
        <v>1</v>
      </c>
      <c r="AS768" t="s">
        <v>3125</v>
      </c>
      <c r="AT768" s="2" t="s">
        <v>0</v>
      </c>
      <c r="AU768" s="1">
        <f t="shared" si="91"/>
        <v>3.1187498888785017</v>
      </c>
      <c r="AV768" s="1">
        <f t="shared" si="92"/>
        <v>2.2579700482847738</v>
      </c>
      <c r="AW768" s="1">
        <f t="shared" si="93"/>
        <v>1.3971902076910458</v>
      </c>
    </row>
    <row r="769" spans="1:49" x14ac:dyDescent="0.2">
      <c r="A769">
        <v>767</v>
      </c>
      <c r="B769" t="s">
        <v>3124</v>
      </c>
      <c r="C769" t="s">
        <v>3123</v>
      </c>
      <c r="D769">
        <v>1011092002803470</v>
      </c>
      <c r="F769" t="s">
        <v>3122</v>
      </c>
      <c r="G769" t="s">
        <v>5</v>
      </c>
      <c r="H769" t="s">
        <v>4</v>
      </c>
      <c r="I769" t="s">
        <v>3121</v>
      </c>
      <c r="J769" t="s">
        <v>3120</v>
      </c>
      <c r="K769" t="s">
        <v>3119</v>
      </c>
      <c r="L769" t="s">
        <v>3118</v>
      </c>
      <c r="M769" t="s">
        <v>3117</v>
      </c>
      <c r="N769">
        <v>3</v>
      </c>
      <c r="O769" t="s">
        <v>3116</v>
      </c>
      <c r="P769" t="s">
        <v>3115</v>
      </c>
      <c r="Q769" t="s">
        <v>3114</v>
      </c>
      <c r="R769" s="7">
        <v>37469</v>
      </c>
      <c r="S769" s="8">
        <f t="shared" si="88"/>
        <v>2002</v>
      </c>
      <c r="T769" s="8">
        <v>2002</v>
      </c>
      <c r="U769" s="8">
        <f t="shared" si="89"/>
        <v>20</v>
      </c>
      <c r="V769" s="7">
        <v>37469</v>
      </c>
      <c r="W769" t="s">
        <v>418</v>
      </c>
      <c r="X769" s="2">
        <v>1.6519999999999999</v>
      </c>
      <c r="Y769" s="6">
        <f t="shared" si="94"/>
        <v>4.409919649769093E-2</v>
      </c>
      <c r="AA769" t="s">
        <v>417</v>
      </c>
      <c r="AB769">
        <v>17337</v>
      </c>
      <c r="AD769" t="s">
        <v>2</v>
      </c>
      <c r="AE769">
        <v>50</v>
      </c>
      <c r="AF769">
        <v>8</v>
      </c>
      <c r="AH769" t="s">
        <v>3113</v>
      </c>
      <c r="AI769" t="s">
        <v>3112</v>
      </c>
      <c r="AJ769" t="s">
        <v>3111</v>
      </c>
      <c r="AK769" t="s">
        <v>3110</v>
      </c>
      <c r="AL769">
        <v>27</v>
      </c>
      <c r="AM769" s="5">
        <f t="shared" si="90"/>
        <v>1.35</v>
      </c>
      <c r="AN769" s="4">
        <f t="shared" si="95"/>
        <v>2.0446800454373346E-3</v>
      </c>
      <c r="AO769" s="3"/>
      <c r="AP769">
        <v>0</v>
      </c>
      <c r="AQ769" t="s">
        <v>290</v>
      </c>
      <c r="AR769" t="s">
        <v>3109</v>
      </c>
      <c r="AS769" t="s">
        <v>289</v>
      </c>
      <c r="AT769" s="2" t="s">
        <v>0</v>
      </c>
      <c r="AU769" s="1">
        <f t="shared" si="91"/>
        <v>3.1482841562014849</v>
      </c>
      <c r="AV769" s="1">
        <f t="shared" si="92"/>
        <v>2.3071938271564134</v>
      </c>
      <c r="AW769" s="1">
        <f t="shared" si="93"/>
        <v>1.4661034981113412</v>
      </c>
    </row>
    <row r="770" spans="1:49" x14ac:dyDescent="0.2">
      <c r="A770">
        <v>768</v>
      </c>
      <c r="B770" t="s">
        <v>3108</v>
      </c>
      <c r="C770" t="s">
        <v>3107</v>
      </c>
      <c r="D770">
        <v>1011092002801280</v>
      </c>
      <c r="F770" t="s">
        <v>3106</v>
      </c>
      <c r="G770" t="s">
        <v>5</v>
      </c>
      <c r="H770" t="s">
        <v>4</v>
      </c>
      <c r="I770" t="s">
        <v>649</v>
      </c>
      <c r="J770" t="s">
        <v>3105</v>
      </c>
      <c r="K770" t="s">
        <v>3104</v>
      </c>
      <c r="L770" t="s">
        <v>3103</v>
      </c>
      <c r="M770" t="s">
        <v>3102</v>
      </c>
      <c r="N770">
        <v>4</v>
      </c>
      <c r="O770" t="s">
        <v>3101</v>
      </c>
      <c r="P770" t="s">
        <v>3100</v>
      </c>
      <c r="Q770" t="s">
        <v>3099</v>
      </c>
      <c r="R770" s="7">
        <v>37469</v>
      </c>
      <c r="S770" s="8">
        <f t="shared" ref="S770:S833" si="96">YEAR(R770)</f>
        <v>2002</v>
      </c>
      <c r="T770" s="8">
        <v>2002</v>
      </c>
      <c r="U770" s="8">
        <f t="shared" ref="U770:U833" si="97">2022-T770</f>
        <v>20</v>
      </c>
      <c r="V770" s="7">
        <v>37469</v>
      </c>
      <c r="W770" t="s">
        <v>418</v>
      </c>
      <c r="X770" s="2">
        <v>1.6519999999999999</v>
      </c>
      <c r="Y770" s="6">
        <f t="shared" si="94"/>
        <v>4.409919649769093E-2</v>
      </c>
      <c r="AA770" t="s">
        <v>417</v>
      </c>
      <c r="AB770">
        <v>17337</v>
      </c>
      <c r="AD770" t="s">
        <v>2</v>
      </c>
      <c r="AE770">
        <v>50</v>
      </c>
      <c r="AF770">
        <v>8</v>
      </c>
      <c r="AH770" t="s">
        <v>3098</v>
      </c>
      <c r="AI770" t="s">
        <v>3097</v>
      </c>
      <c r="AJ770" t="s">
        <v>3096</v>
      </c>
      <c r="AK770" t="s">
        <v>3095</v>
      </c>
      <c r="AL770">
        <v>83</v>
      </c>
      <c r="AM770" s="5">
        <f t="shared" ref="AM770:AM833" si="98">AL770/U770</f>
        <v>4.1500000000000004</v>
      </c>
      <c r="AN770" s="4">
        <f t="shared" si="95"/>
        <v>6.2854979174555101E-3</v>
      </c>
      <c r="AO770" s="3"/>
      <c r="AP770">
        <v>0</v>
      </c>
      <c r="AR770" t="s">
        <v>1</v>
      </c>
      <c r="AT770" s="2" t="s">
        <v>0</v>
      </c>
      <c r="AU770" s="1">
        <f t="shared" ref="AU770:AU833" si="99">(Y770*0.7+AN770*0.3)*100</f>
        <v>3.2755086923620302</v>
      </c>
      <c r="AV770" s="1">
        <f t="shared" ref="AV770:AV833" si="100">(Y770*0.5+AN770*0.5)*100</f>
        <v>2.5192347207573218</v>
      </c>
      <c r="AW770" s="1">
        <f t="shared" ref="AW770:AW833" si="101">(Y770*0.3+AN770*0.7)*100</f>
        <v>1.7629607491526134</v>
      </c>
    </row>
    <row r="771" spans="1:49" x14ac:dyDescent="0.2">
      <c r="A771">
        <v>769</v>
      </c>
      <c r="B771" t="s">
        <v>3094</v>
      </c>
      <c r="C771" t="s">
        <v>3093</v>
      </c>
      <c r="D771">
        <v>1011092002801390</v>
      </c>
      <c r="F771" t="s">
        <v>3092</v>
      </c>
      <c r="G771" t="s">
        <v>5</v>
      </c>
      <c r="H771" t="s">
        <v>4</v>
      </c>
      <c r="I771" t="s">
        <v>423</v>
      </c>
      <c r="J771" t="s">
        <v>3091</v>
      </c>
      <c r="K771" t="s">
        <v>3090</v>
      </c>
      <c r="L771" t="s">
        <v>3089</v>
      </c>
      <c r="M771" t="s">
        <v>405</v>
      </c>
      <c r="N771">
        <v>1</v>
      </c>
      <c r="O771" t="s">
        <v>3088</v>
      </c>
      <c r="P771">
        <v>7003509990</v>
      </c>
      <c r="Q771" t="s">
        <v>3087</v>
      </c>
      <c r="R771" s="7">
        <v>37469</v>
      </c>
      <c r="S771" s="8">
        <f t="shared" si="96"/>
        <v>2002</v>
      </c>
      <c r="T771" s="8">
        <v>2002</v>
      </c>
      <c r="U771" s="8">
        <f t="shared" si="97"/>
        <v>20</v>
      </c>
      <c r="V771" s="7">
        <v>37469</v>
      </c>
      <c r="W771" t="s">
        <v>418</v>
      </c>
      <c r="X771" s="2">
        <v>1.6519999999999999</v>
      </c>
      <c r="Y771" s="6">
        <f t="shared" ref="Y771:Y834" si="102">(X771-$Z$3)/($Z$2-$Z$3)</f>
        <v>4.409919649769093E-2</v>
      </c>
      <c r="AA771" t="s">
        <v>417</v>
      </c>
      <c r="AB771">
        <v>17337</v>
      </c>
      <c r="AD771" t="s">
        <v>2</v>
      </c>
      <c r="AE771">
        <v>50</v>
      </c>
      <c r="AF771">
        <v>8</v>
      </c>
      <c r="AH771" t="s">
        <v>3086</v>
      </c>
      <c r="AI771" t="s">
        <v>3085</v>
      </c>
      <c r="AJ771" t="s">
        <v>3084</v>
      </c>
      <c r="AK771" t="s">
        <v>3083</v>
      </c>
      <c r="AL771">
        <v>2</v>
      </c>
      <c r="AM771" s="5">
        <f t="shared" si="98"/>
        <v>0.1</v>
      </c>
      <c r="AN771" s="4">
        <f t="shared" ref="AN771:AN834" si="103">(AM771-$AO$3)/($AO$2-$AO$3)</f>
        <v>1.5145778114350627E-4</v>
      </c>
      <c r="AO771" s="3"/>
      <c r="AP771">
        <v>0</v>
      </c>
      <c r="AQ771" t="s">
        <v>573</v>
      </c>
      <c r="AR771" t="s">
        <v>1</v>
      </c>
      <c r="AS771" t="s">
        <v>3082</v>
      </c>
      <c r="AT771" s="2" t="s">
        <v>0</v>
      </c>
      <c r="AU771" s="1">
        <f t="shared" si="99"/>
        <v>3.0914874882726702</v>
      </c>
      <c r="AV771" s="1">
        <f t="shared" si="100"/>
        <v>2.2125327139417217</v>
      </c>
      <c r="AW771" s="1">
        <f t="shared" si="101"/>
        <v>1.3335779396107732</v>
      </c>
    </row>
    <row r="772" spans="1:49" x14ac:dyDescent="0.2">
      <c r="A772">
        <v>770</v>
      </c>
      <c r="B772" t="s">
        <v>3081</v>
      </c>
      <c r="C772" t="s">
        <v>3080</v>
      </c>
      <c r="D772">
        <v>1011092002801360</v>
      </c>
      <c r="F772" t="s">
        <v>3079</v>
      </c>
      <c r="G772" t="s">
        <v>5</v>
      </c>
      <c r="H772" t="s">
        <v>4</v>
      </c>
      <c r="I772" t="s">
        <v>208</v>
      </c>
      <c r="J772">
        <v>60016561</v>
      </c>
      <c r="K772" t="s">
        <v>207</v>
      </c>
      <c r="L772" t="s">
        <v>206</v>
      </c>
      <c r="M772" t="s">
        <v>45</v>
      </c>
      <c r="N772">
        <v>1</v>
      </c>
      <c r="O772" t="s">
        <v>205</v>
      </c>
      <c r="P772">
        <v>36487487800</v>
      </c>
      <c r="Q772">
        <v>60016561</v>
      </c>
      <c r="R772" s="7">
        <v>37469</v>
      </c>
      <c r="S772" s="8">
        <f t="shared" si="96"/>
        <v>2002</v>
      </c>
      <c r="T772" s="8">
        <v>2002</v>
      </c>
      <c r="U772" s="8">
        <f t="shared" si="97"/>
        <v>20</v>
      </c>
      <c r="V772" s="7">
        <v>37469</v>
      </c>
      <c r="W772" t="s">
        <v>418</v>
      </c>
      <c r="X772" s="2">
        <v>1.6519999999999999</v>
      </c>
      <c r="Y772" s="6">
        <f t="shared" si="102"/>
        <v>4.409919649769093E-2</v>
      </c>
      <c r="AA772" t="s">
        <v>417</v>
      </c>
      <c r="AB772">
        <v>17337</v>
      </c>
      <c r="AD772" t="s">
        <v>2</v>
      </c>
      <c r="AE772">
        <v>50</v>
      </c>
      <c r="AF772">
        <v>8</v>
      </c>
      <c r="AH772" t="s">
        <v>3078</v>
      </c>
      <c r="AI772" t="s">
        <v>3077</v>
      </c>
      <c r="AJ772" t="s">
        <v>3076</v>
      </c>
      <c r="AK772" t="s">
        <v>3075</v>
      </c>
      <c r="AL772">
        <v>32</v>
      </c>
      <c r="AM772" s="5">
        <f t="shared" si="98"/>
        <v>1.6</v>
      </c>
      <c r="AN772" s="4">
        <f t="shared" si="103"/>
        <v>2.4233244982961003E-3</v>
      </c>
      <c r="AO772" s="3"/>
      <c r="AP772">
        <v>0</v>
      </c>
      <c r="AR772" t="s">
        <v>1</v>
      </c>
      <c r="AT772" s="2" t="s">
        <v>0</v>
      </c>
      <c r="AU772" s="1">
        <f t="shared" si="99"/>
        <v>3.1596434897872476</v>
      </c>
      <c r="AV772" s="1">
        <f t="shared" si="100"/>
        <v>2.3261260497993517</v>
      </c>
      <c r="AW772" s="1">
        <f t="shared" si="101"/>
        <v>1.4926086098114548</v>
      </c>
    </row>
    <row r="773" spans="1:49" x14ac:dyDescent="0.2">
      <c r="A773">
        <v>771</v>
      </c>
      <c r="B773" t="s">
        <v>3074</v>
      </c>
      <c r="C773" t="s">
        <v>3073</v>
      </c>
      <c r="D773">
        <v>1011092002800690</v>
      </c>
      <c r="F773" t="s">
        <v>3072</v>
      </c>
      <c r="G773" t="s">
        <v>5</v>
      </c>
      <c r="H773" t="s">
        <v>4</v>
      </c>
      <c r="I773" t="s">
        <v>3071</v>
      </c>
      <c r="J773" t="s">
        <v>942</v>
      </c>
      <c r="K773" t="s">
        <v>941</v>
      </c>
      <c r="L773" t="s">
        <v>940</v>
      </c>
      <c r="M773" t="s">
        <v>3</v>
      </c>
      <c r="N773">
        <v>1</v>
      </c>
      <c r="O773" t="s">
        <v>3070</v>
      </c>
      <c r="P773">
        <v>7003451771</v>
      </c>
      <c r="Q773" t="s">
        <v>939</v>
      </c>
      <c r="R773" s="7">
        <v>37469</v>
      </c>
      <c r="S773" s="8">
        <f t="shared" si="96"/>
        <v>2002</v>
      </c>
      <c r="T773" s="8">
        <v>2002</v>
      </c>
      <c r="U773" s="8">
        <f t="shared" si="97"/>
        <v>20</v>
      </c>
      <c r="V773" s="7">
        <v>37469</v>
      </c>
      <c r="W773" t="s">
        <v>418</v>
      </c>
      <c r="X773" s="2">
        <v>1.6519999999999999</v>
      </c>
      <c r="Y773" s="6">
        <f t="shared" si="102"/>
        <v>4.409919649769093E-2</v>
      </c>
      <c r="AA773" t="s">
        <v>417</v>
      </c>
      <c r="AB773">
        <v>17337</v>
      </c>
      <c r="AD773" t="s">
        <v>2</v>
      </c>
      <c r="AE773">
        <v>50</v>
      </c>
      <c r="AF773">
        <v>8</v>
      </c>
      <c r="AH773" t="s">
        <v>3069</v>
      </c>
      <c r="AI773" t="s">
        <v>3068</v>
      </c>
      <c r="AJ773" t="s">
        <v>3067</v>
      </c>
      <c r="AK773" t="s">
        <v>3066</v>
      </c>
      <c r="AL773">
        <v>49</v>
      </c>
      <c r="AM773" s="5">
        <f t="shared" si="98"/>
        <v>2.4500000000000002</v>
      </c>
      <c r="AN773" s="4">
        <f t="shared" si="103"/>
        <v>3.7107156380159034E-3</v>
      </c>
      <c r="AO773" s="3"/>
      <c r="AP773">
        <v>0</v>
      </c>
      <c r="AQ773" t="s">
        <v>294</v>
      </c>
      <c r="AR773" t="s">
        <v>1</v>
      </c>
      <c r="AS773" t="s">
        <v>293</v>
      </c>
      <c r="AT773" s="2" t="s">
        <v>0</v>
      </c>
      <c r="AU773" s="1">
        <f t="shared" si="99"/>
        <v>3.1982652239788418</v>
      </c>
      <c r="AV773" s="1">
        <f t="shared" si="100"/>
        <v>2.3904956067853416</v>
      </c>
      <c r="AW773" s="1">
        <f t="shared" si="101"/>
        <v>1.5827259895918413</v>
      </c>
    </row>
    <row r="774" spans="1:49" x14ac:dyDescent="0.2">
      <c r="A774">
        <v>772</v>
      </c>
      <c r="B774" t="s">
        <v>3065</v>
      </c>
      <c r="C774" t="s">
        <v>3064</v>
      </c>
      <c r="D774">
        <v>1011092002801290</v>
      </c>
      <c r="F774" t="s">
        <v>3063</v>
      </c>
      <c r="G774" t="s">
        <v>5</v>
      </c>
      <c r="H774" t="s">
        <v>4</v>
      </c>
      <c r="I774" t="s">
        <v>237</v>
      </c>
      <c r="J774" t="s">
        <v>3062</v>
      </c>
      <c r="K774" t="s">
        <v>3061</v>
      </c>
      <c r="L774" t="s">
        <v>3060</v>
      </c>
      <c r="M774" t="s">
        <v>3059</v>
      </c>
      <c r="N774">
        <v>2</v>
      </c>
      <c r="O774" t="s">
        <v>3058</v>
      </c>
      <c r="P774" t="s">
        <v>3057</v>
      </c>
      <c r="Q774" t="s">
        <v>3056</v>
      </c>
      <c r="R774" s="7">
        <v>37469</v>
      </c>
      <c r="S774" s="8">
        <f t="shared" si="96"/>
        <v>2002</v>
      </c>
      <c r="T774" s="8">
        <v>2002</v>
      </c>
      <c r="U774" s="8">
        <f t="shared" si="97"/>
        <v>20</v>
      </c>
      <c r="V774" s="7">
        <v>37469</v>
      </c>
      <c r="W774" t="s">
        <v>418</v>
      </c>
      <c r="X774" s="2">
        <v>1.6519999999999999</v>
      </c>
      <c r="Y774" s="6">
        <f t="shared" si="102"/>
        <v>4.409919649769093E-2</v>
      </c>
      <c r="AA774" t="s">
        <v>417</v>
      </c>
      <c r="AB774">
        <v>17337</v>
      </c>
      <c r="AD774" t="s">
        <v>2</v>
      </c>
      <c r="AE774">
        <v>50</v>
      </c>
      <c r="AF774">
        <v>8</v>
      </c>
      <c r="AH774" t="s">
        <v>3055</v>
      </c>
      <c r="AI774" t="s">
        <v>3054</v>
      </c>
      <c r="AJ774" t="s">
        <v>3053</v>
      </c>
      <c r="AK774" t="s">
        <v>3052</v>
      </c>
      <c r="AL774">
        <v>27</v>
      </c>
      <c r="AM774" s="5">
        <f t="shared" si="98"/>
        <v>1.35</v>
      </c>
      <c r="AN774" s="4">
        <f t="shared" si="103"/>
        <v>2.0446800454373346E-3</v>
      </c>
      <c r="AO774" s="3"/>
      <c r="AP774">
        <v>0</v>
      </c>
      <c r="AR774" t="s">
        <v>1</v>
      </c>
      <c r="AT774" s="2" t="s">
        <v>0</v>
      </c>
      <c r="AU774" s="1">
        <f t="shared" si="99"/>
        <v>3.1482841562014849</v>
      </c>
      <c r="AV774" s="1">
        <f t="shared" si="100"/>
        <v>2.3071938271564134</v>
      </c>
      <c r="AW774" s="1">
        <f t="shared" si="101"/>
        <v>1.4661034981113412</v>
      </c>
    </row>
    <row r="775" spans="1:49" x14ac:dyDescent="0.2">
      <c r="A775">
        <v>773</v>
      </c>
      <c r="B775" t="s">
        <v>3051</v>
      </c>
      <c r="C775" t="s">
        <v>3050</v>
      </c>
      <c r="D775">
        <v>1011092002800700</v>
      </c>
      <c r="F775" t="s">
        <v>3049</v>
      </c>
      <c r="G775" t="s">
        <v>5</v>
      </c>
      <c r="H775" t="s">
        <v>4</v>
      </c>
      <c r="I775" t="s">
        <v>1760</v>
      </c>
      <c r="J775" t="s">
        <v>3044</v>
      </c>
      <c r="K775" t="s">
        <v>3048</v>
      </c>
      <c r="L775" t="s">
        <v>3047</v>
      </c>
      <c r="M775" t="s">
        <v>414</v>
      </c>
      <c r="N775">
        <v>3</v>
      </c>
      <c r="O775" t="s">
        <v>3046</v>
      </c>
      <c r="P775" t="s">
        <v>3045</v>
      </c>
      <c r="Q775" t="s">
        <v>3044</v>
      </c>
      <c r="R775" s="7">
        <v>37469</v>
      </c>
      <c r="S775" s="8">
        <f t="shared" si="96"/>
        <v>2002</v>
      </c>
      <c r="T775" s="8">
        <v>2002</v>
      </c>
      <c r="U775" s="8">
        <f t="shared" si="97"/>
        <v>20</v>
      </c>
      <c r="V775" s="7">
        <v>37469</v>
      </c>
      <c r="W775" t="s">
        <v>418</v>
      </c>
      <c r="X775" s="2">
        <v>1.6519999999999999</v>
      </c>
      <c r="Y775" s="6">
        <f t="shared" si="102"/>
        <v>4.409919649769093E-2</v>
      </c>
      <c r="AA775" t="s">
        <v>417</v>
      </c>
      <c r="AB775">
        <v>17337</v>
      </c>
      <c r="AD775" t="s">
        <v>2</v>
      </c>
      <c r="AE775">
        <v>50</v>
      </c>
      <c r="AF775">
        <v>8</v>
      </c>
      <c r="AH775" t="s">
        <v>3043</v>
      </c>
      <c r="AI775" t="s">
        <v>3042</v>
      </c>
      <c r="AJ775" t="s">
        <v>3041</v>
      </c>
      <c r="AK775" t="s">
        <v>3040</v>
      </c>
      <c r="AL775">
        <v>9</v>
      </c>
      <c r="AM775" s="5">
        <f t="shared" si="98"/>
        <v>0.45</v>
      </c>
      <c r="AN775" s="4">
        <f t="shared" si="103"/>
        <v>6.8156001514577808E-4</v>
      </c>
      <c r="AO775" s="3"/>
      <c r="AP775">
        <v>0</v>
      </c>
      <c r="AR775" t="s">
        <v>1</v>
      </c>
      <c r="AT775" s="2" t="s">
        <v>0</v>
      </c>
      <c r="AU775" s="1">
        <f t="shared" si="99"/>
        <v>3.1073905552927386</v>
      </c>
      <c r="AV775" s="1">
        <f t="shared" si="100"/>
        <v>2.2390378256418355</v>
      </c>
      <c r="AW775" s="1">
        <f t="shared" si="101"/>
        <v>1.3706850959909322</v>
      </c>
    </row>
    <row r="776" spans="1:49" x14ac:dyDescent="0.2">
      <c r="A776">
        <v>774</v>
      </c>
      <c r="B776" t="s">
        <v>3039</v>
      </c>
      <c r="C776" t="s">
        <v>3038</v>
      </c>
      <c r="D776">
        <v>1011092002801360</v>
      </c>
      <c r="F776" t="s">
        <v>3037</v>
      </c>
      <c r="G776" t="s">
        <v>5</v>
      </c>
      <c r="H776" t="s">
        <v>4</v>
      </c>
      <c r="I776" t="s">
        <v>1019</v>
      </c>
      <c r="J776" t="s">
        <v>3036</v>
      </c>
      <c r="K776" t="s">
        <v>3035</v>
      </c>
      <c r="L776" t="s">
        <v>3034</v>
      </c>
      <c r="M776" t="s">
        <v>705</v>
      </c>
      <c r="N776">
        <v>2</v>
      </c>
      <c r="O776" t="s">
        <v>3033</v>
      </c>
      <c r="P776" t="s">
        <v>3032</v>
      </c>
      <c r="Q776" t="s">
        <v>3031</v>
      </c>
      <c r="R776" s="7">
        <v>37469</v>
      </c>
      <c r="S776" s="8">
        <f t="shared" si="96"/>
        <v>2002</v>
      </c>
      <c r="T776" s="8">
        <v>2002</v>
      </c>
      <c r="U776" s="8">
        <f t="shared" si="97"/>
        <v>20</v>
      </c>
      <c r="V776" s="7">
        <v>37469</v>
      </c>
      <c r="W776" t="s">
        <v>418</v>
      </c>
      <c r="X776" s="2">
        <v>1.6519999999999999</v>
      </c>
      <c r="Y776" s="6">
        <f t="shared" si="102"/>
        <v>4.409919649769093E-2</v>
      </c>
      <c r="AA776" t="s">
        <v>417</v>
      </c>
      <c r="AB776">
        <v>17337</v>
      </c>
      <c r="AD776" t="s">
        <v>2</v>
      </c>
      <c r="AE776">
        <v>50</v>
      </c>
      <c r="AF776">
        <v>8</v>
      </c>
      <c r="AH776" t="s">
        <v>3030</v>
      </c>
      <c r="AI776" t="s">
        <v>3029</v>
      </c>
      <c r="AJ776" t="s">
        <v>3028</v>
      </c>
      <c r="AK776" t="s">
        <v>3027</v>
      </c>
      <c r="AL776">
        <v>84</v>
      </c>
      <c r="AM776" s="5">
        <f t="shared" si="98"/>
        <v>4.2</v>
      </c>
      <c r="AN776" s="4">
        <f t="shared" si="103"/>
        <v>6.3612268080272625E-3</v>
      </c>
      <c r="AO776" s="3"/>
      <c r="AP776">
        <v>0</v>
      </c>
      <c r="AR776" t="s">
        <v>1</v>
      </c>
      <c r="AT776" s="2" t="s">
        <v>0</v>
      </c>
      <c r="AU776" s="1">
        <f t="shared" si="99"/>
        <v>3.2777805590791833</v>
      </c>
      <c r="AV776" s="1">
        <f t="shared" si="100"/>
        <v>2.5230211652859094</v>
      </c>
      <c r="AW776" s="1">
        <f t="shared" si="101"/>
        <v>1.7682617714926363</v>
      </c>
    </row>
    <row r="777" spans="1:49" x14ac:dyDescent="0.2">
      <c r="A777">
        <v>775</v>
      </c>
      <c r="B777" t="s">
        <v>3026</v>
      </c>
      <c r="C777" t="s">
        <v>3025</v>
      </c>
      <c r="D777">
        <v>1011092002801290</v>
      </c>
      <c r="F777" t="s">
        <v>3024</v>
      </c>
      <c r="G777" t="s">
        <v>5</v>
      </c>
      <c r="H777" t="s">
        <v>4</v>
      </c>
      <c r="I777" t="s">
        <v>3023</v>
      </c>
      <c r="J777" t="s">
        <v>3022</v>
      </c>
      <c r="K777" t="s">
        <v>3021</v>
      </c>
      <c r="L777" t="s">
        <v>3020</v>
      </c>
      <c r="M777" t="s">
        <v>3019</v>
      </c>
      <c r="N777">
        <v>5</v>
      </c>
      <c r="O777" t="s">
        <v>3018</v>
      </c>
      <c r="P777" t="s">
        <v>3017</v>
      </c>
      <c r="Q777" t="s">
        <v>3016</v>
      </c>
      <c r="R777" s="7">
        <v>37469</v>
      </c>
      <c r="S777" s="8">
        <f t="shared" si="96"/>
        <v>2002</v>
      </c>
      <c r="T777" s="8">
        <v>2002</v>
      </c>
      <c r="U777" s="8">
        <f t="shared" si="97"/>
        <v>20</v>
      </c>
      <c r="V777" s="7">
        <v>37469</v>
      </c>
      <c r="W777" t="s">
        <v>418</v>
      </c>
      <c r="X777" s="2">
        <v>1.6519999999999999</v>
      </c>
      <c r="Y777" s="6">
        <f t="shared" si="102"/>
        <v>4.409919649769093E-2</v>
      </c>
      <c r="AA777" t="s">
        <v>417</v>
      </c>
      <c r="AB777">
        <v>17337</v>
      </c>
      <c r="AD777" t="s">
        <v>2</v>
      </c>
      <c r="AE777">
        <v>50</v>
      </c>
      <c r="AF777">
        <v>8</v>
      </c>
      <c r="AH777" t="s">
        <v>3015</v>
      </c>
      <c r="AI777" t="s">
        <v>3014</v>
      </c>
      <c r="AJ777" t="s">
        <v>3013</v>
      </c>
      <c r="AK777" t="s">
        <v>3012</v>
      </c>
      <c r="AL777">
        <v>291</v>
      </c>
      <c r="AM777" s="5">
        <f t="shared" si="98"/>
        <v>14.55</v>
      </c>
      <c r="AN777" s="4">
        <f t="shared" si="103"/>
        <v>2.2037107156380159E-2</v>
      </c>
      <c r="AO777" s="3"/>
      <c r="AP777">
        <v>0</v>
      </c>
      <c r="AR777" t="s">
        <v>1</v>
      </c>
      <c r="AT777" s="2" t="s">
        <v>0</v>
      </c>
      <c r="AU777" s="1">
        <f t="shared" si="99"/>
        <v>3.7480569695297699</v>
      </c>
      <c r="AV777" s="1">
        <f t="shared" si="100"/>
        <v>3.3068151827035539</v>
      </c>
      <c r="AW777" s="1">
        <f t="shared" si="101"/>
        <v>2.8655733958773388</v>
      </c>
    </row>
    <row r="778" spans="1:49" x14ac:dyDescent="0.2">
      <c r="A778">
        <v>776</v>
      </c>
      <c r="B778" t="s">
        <v>3011</v>
      </c>
      <c r="C778" t="s">
        <v>3010</v>
      </c>
      <c r="D778">
        <v>1011092002801390</v>
      </c>
      <c r="F778" t="s">
        <v>3009</v>
      </c>
      <c r="G778" t="s">
        <v>5</v>
      </c>
      <c r="H778" t="s">
        <v>4</v>
      </c>
      <c r="I778" t="s">
        <v>814</v>
      </c>
      <c r="J778" t="s">
        <v>3008</v>
      </c>
      <c r="K778" t="s">
        <v>3007</v>
      </c>
      <c r="L778" t="s">
        <v>3006</v>
      </c>
      <c r="M778" t="s">
        <v>3005</v>
      </c>
      <c r="N778">
        <v>3</v>
      </c>
      <c r="O778" t="s">
        <v>3004</v>
      </c>
      <c r="P778" t="s">
        <v>3003</v>
      </c>
      <c r="Q778" t="s">
        <v>3002</v>
      </c>
      <c r="R778" s="7">
        <v>37469</v>
      </c>
      <c r="S778" s="8">
        <f t="shared" si="96"/>
        <v>2002</v>
      </c>
      <c r="T778" s="8">
        <v>2002</v>
      </c>
      <c r="U778" s="8">
        <f t="shared" si="97"/>
        <v>20</v>
      </c>
      <c r="V778" s="7">
        <v>37469</v>
      </c>
      <c r="W778" t="s">
        <v>418</v>
      </c>
      <c r="X778" s="2">
        <v>1.6519999999999999</v>
      </c>
      <c r="Y778" s="6">
        <f t="shared" si="102"/>
        <v>4.409919649769093E-2</v>
      </c>
      <c r="AA778" t="s">
        <v>417</v>
      </c>
      <c r="AB778">
        <v>17337</v>
      </c>
      <c r="AD778" t="s">
        <v>2</v>
      </c>
      <c r="AE778">
        <v>50</v>
      </c>
      <c r="AF778">
        <v>8</v>
      </c>
      <c r="AH778" t="s">
        <v>1071</v>
      </c>
      <c r="AI778" t="s">
        <v>3001</v>
      </c>
      <c r="AJ778" t="s">
        <v>3000</v>
      </c>
      <c r="AK778" t="s">
        <v>2999</v>
      </c>
      <c r="AL778">
        <v>59</v>
      </c>
      <c r="AM778" s="5">
        <f t="shared" si="98"/>
        <v>2.95</v>
      </c>
      <c r="AN778" s="4">
        <f t="shared" si="103"/>
        <v>4.4680045437334344E-3</v>
      </c>
      <c r="AO778" s="3"/>
      <c r="AP778">
        <v>0</v>
      </c>
      <c r="AQ778" t="s">
        <v>699</v>
      </c>
      <c r="AR778" t="s">
        <v>1</v>
      </c>
      <c r="AS778" t="s">
        <v>698</v>
      </c>
      <c r="AT778" s="2" t="s">
        <v>0</v>
      </c>
      <c r="AU778" s="1">
        <f t="shared" si="99"/>
        <v>3.2209838911503681</v>
      </c>
      <c r="AV778" s="1">
        <f t="shared" si="100"/>
        <v>2.4283600520712185</v>
      </c>
      <c r="AW778" s="1">
        <f t="shared" si="101"/>
        <v>1.6357362129920683</v>
      </c>
    </row>
    <row r="779" spans="1:49" x14ac:dyDescent="0.2">
      <c r="A779">
        <v>777</v>
      </c>
      <c r="B779" t="s">
        <v>2998</v>
      </c>
      <c r="C779" t="s">
        <v>2997</v>
      </c>
      <c r="D779">
        <v>1011092002801280</v>
      </c>
      <c r="F779" t="s">
        <v>2996</v>
      </c>
      <c r="G779" t="s">
        <v>5</v>
      </c>
      <c r="H779" t="s">
        <v>4</v>
      </c>
      <c r="I779" t="s">
        <v>2995</v>
      </c>
      <c r="J779" t="s">
        <v>2994</v>
      </c>
      <c r="K779" t="s">
        <v>2993</v>
      </c>
      <c r="L779" t="s">
        <v>2992</v>
      </c>
      <c r="M779" t="s">
        <v>3</v>
      </c>
      <c r="N779">
        <v>1</v>
      </c>
      <c r="O779" t="s">
        <v>2991</v>
      </c>
      <c r="P779">
        <v>7101613112</v>
      </c>
      <c r="Q779" t="s">
        <v>2990</v>
      </c>
      <c r="R779" s="7">
        <v>37469</v>
      </c>
      <c r="S779" s="8">
        <f t="shared" si="96"/>
        <v>2002</v>
      </c>
      <c r="T779" s="8">
        <v>2002</v>
      </c>
      <c r="U779" s="8">
        <f t="shared" si="97"/>
        <v>20</v>
      </c>
      <c r="V779" s="7">
        <v>37469</v>
      </c>
      <c r="W779" t="s">
        <v>418</v>
      </c>
      <c r="X779" s="2">
        <v>1.6519999999999999</v>
      </c>
      <c r="Y779" s="6">
        <f t="shared" si="102"/>
        <v>4.409919649769093E-2</v>
      </c>
      <c r="AA779" t="s">
        <v>417</v>
      </c>
      <c r="AB779">
        <v>17337</v>
      </c>
      <c r="AD779" t="s">
        <v>2</v>
      </c>
      <c r="AE779">
        <v>50</v>
      </c>
      <c r="AF779">
        <v>8</v>
      </c>
      <c r="AH779" t="s">
        <v>2989</v>
      </c>
      <c r="AI779" t="s">
        <v>2988</v>
      </c>
      <c r="AJ779" t="s">
        <v>2987</v>
      </c>
      <c r="AK779" t="s">
        <v>2986</v>
      </c>
      <c r="AL779">
        <v>29</v>
      </c>
      <c r="AM779" s="5">
        <f t="shared" si="98"/>
        <v>1.45</v>
      </c>
      <c r="AN779" s="4">
        <f t="shared" si="103"/>
        <v>2.1961378265808406E-3</v>
      </c>
      <c r="AO779" s="3"/>
      <c r="AP779">
        <v>0</v>
      </c>
      <c r="AQ779" t="s">
        <v>368</v>
      </c>
      <c r="AR779" t="s">
        <v>2985</v>
      </c>
      <c r="AS779" t="s">
        <v>367</v>
      </c>
      <c r="AT779" s="2" t="s">
        <v>0</v>
      </c>
      <c r="AU779" s="1">
        <f t="shared" si="99"/>
        <v>3.1528278896357906</v>
      </c>
      <c r="AV779" s="1">
        <f t="shared" si="100"/>
        <v>2.3147667162135885</v>
      </c>
      <c r="AW779" s="1">
        <f t="shared" si="101"/>
        <v>1.4767055427913867</v>
      </c>
    </row>
    <row r="780" spans="1:49" x14ac:dyDescent="0.2">
      <c r="A780">
        <v>778</v>
      </c>
      <c r="B780" t="s">
        <v>2984</v>
      </c>
      <c r="C780" t="s">
        <v>2983</v>
      </c>
      <c r="F780" t="s">
        <v>2982</v>
      </c>
      <c r="G780" t="s">
        <v>5</v>
      </c>
      <c r="H780" t="s">
        <v>4</v>
      </c>
      <c r="I780" t="s">
        <v>2981</v>
      </c>
      <c r="J780" t="s">
        <v>2980</v>
      </c>
      <c r="K780" t="s">
        <v>2979</v>
      </c>
      <c r="L780" t="s">
        <v>33</v>
      </c>
      <c r="M780" t="s">
        <v>32</v>
      </c>
      <c r="N780">
        <v>2</v>
      </c>
      <c r="O780" t="s">
        <v>2978</v>
      </c>
      <c r="P780" t="s">
        <v>2977</v>
      </c>
      <c r="Q780" t="s">
        <v>2976</v>
      </c>
      <c r="R780" s="7">
        <v>37469</v>
      </c>
      <c r="S780" s="8">
        <f t="shared" si="96"/>
        <v>2002</v>
      </c>
      <c r="T780" s="8">
        <v>2002</v>
      </c>
      <c r="U780" s="8">
        <f t="shared" si="97"/>
        <v>20</v>
      </c>
      <c r="V780" s="7">
        <v>37469</v>
      </c>
      <c r="W780" t="s">
        <v>31</v>
      </c>
      <c r="X780" s="2">
        <v>0.36699999999999999</v>
      </c>
      <c r="Y780" s="6">
        <f t="shared" si="102"/>
        <v>9.7968553962787964E-3</v>
      </c>
      <c r="AA780">
        <v>10283358</v>
      </c>
      <c r="AB780">
        <v>27502</v>
      </c>
      <c r="AD780" t="s">
        <v>2</v>
      </c>
      <c r="AE780">
        <v>47</v>
      </c>
      <c r="AF780">
        <v>8</v>
      </c>
      <c r="AH780" t="s">
        <v>2975</v>
      </c>
      <c r="AL780">
        <v>0</v>
      </c>
      <c r="AM780" s="5">
        <f t="shared" si="98"/>
        <v>0</v>
      </c>
      <c r="AN780" s="4">
        <f t="shared" si="103"/>
        <v>0</v>
      </c>
      <c r="AO780" s="3"/>
      <c r="AP780">
        <v>0</v>
      </c>
      <c r="AR780" t="s">
        <v>1</v>
      </c>
      <c r="AT780" s="2">
        <v>0.67900000000000005</v>
      </c>
      <c r="AU780" s="1">
        <f t="shared" si="99"/>
        <v>0.68577987773951565</v>
      </c>
      <c r="AV780" s="1">
        <f t="shared" si="100"/>
        <v>0.48984276981393982</v>
      </c>
      <c r="AW780" s="1">
        <f t="shared" si="101"/>
        <v>0.29390566188836392</v>
      </c>
    </row>
    <row r="781" spans="1:49" x14ac:dyDescent="0.2">
      <c r="A781">
        <v>779</v>
      </c>
      <c r="B781" t="s">
        <v>2974</v>
      </c>
      <c r="C781" t="s">
        <v>2973</v>
      </c>
      <c r="F781" t="s">
        <v>2972</v>
      </c>
      <c r="G781" t="s">
        <v>5</v>
      </c>
      <c r="H781" t="s">
        <v>4</v>
      </c>
      <c r="I781" t="s">
        <v>34</v>
      </c>
      <c r="J781">
        <v>60029225</v>
      </c>
      <c r="K781" t="s">
        <v>2971</v>
      </c>
      <c r="L781" t="s">
        <v>27</v>
      </c>
      <c r="M781" t="s">
        <v>26</v>
      </c>
      <c r="N781">
        <v>1</v>
      </c>
      <c r="O781" t="s">
        <v>2970</v>
      </c>
      <c r="P781">
        <v>55943071100</v>
      </c>
      <c r="Q781">
        <v>60029225</v>
      </c>
      <c r="R781" s="7">
        <v>37469</v>
      </c>
      <c r="S781" s="8">
        <f t="shared" si="96"/>
        <v>2002</v>
      </c>
      <c r="T781" s="8">
        <v>2002</v>
      </c>
      <c r="U781" s="8">
        <f t="shared" si="97"/>
        <v>20</v>
      </c>
      <c r="V781" s="7">
        <v>37469</v>
      </c>
      <c r="W781" t="s">
        <v>31</v>
      </c>
      <c r="X781" s="2">
        <v>0.36699999999999999</v>
      </c>
      <c r="Y781" s="6">
        <f t="shared" si="102"/>
        <v>9.7968553962787964E-3</v>
      </c>
      <c r="AA781">
        <v>10283358</v>
      </c>
      <c r="AB781">
        <v>27502</v>
      </c>
      <c r="AD781" t="s">
        <v>2</v>
      </c>
      <c r="AE781">
        <v>47</v>
      </c>
      <c r="AF781">
        <v>8</v>
      </c>
      <c r="AH781" t="s">
        <v>2969</v>
      </c>
      <c r="AL781">
        <v>5</v>
      </c>
      <c r="AM781" s="5">
        <f t="shared" si="98"/>
        <v>0.25</v>
      </c>
      <c r="AN781" s="4">
        <f t="shared" si="103"/>
        <v>3.786444528587656E-4</v>
      </c>
      <c r="AO781" s="3"/>
      <c r="AP781">
        <v>0</v>
      </c>
      <c r="AR781" t="s">
        <v>1</v>
      </c>
      <c r="AT781" s="2">
        <v>0.67900000000000005</v>
      </c>
      <c r="AU781" s="1">
        <f t="shared" si="99"/>
        <v>0.69713921132527867</v>
      </c>
      <c r="AV781" s="1">
        <f t="shared" si="100"/>
        <v>0.50877499245687807</v>
      </c>
      <c r="AW781" s="1">
        <f t="shared" si="101"/>
        <v>0.32041077358847747</v>
      </c>
    </row>
    <row r="782" spans="1:49" x14ac:dyDescent="0.2">
      <c r="A782">
        <v>780</v>
      </c>
      <c r="B782" t="s">
        <v>2968</v>
      </c>
      <c r="C782" t="s">
        <v>2967</v>
      </c>
      <c r="D782">
        <v>1011092002802030</v>
      </c>
      <c r="F782" t="s">
        <v>2966</v>
      </c>
      <c r="G782" t="s">
        <v>5</v>
      </c>
      <c r="H782" t="s">
        <v>4</v>
      </c>
      <c r="I782" t="s">
        <v>2965</v>
      </c>
      <c r="J782" t="s">
        <v>2964</v>
      </c>
      <c r="K782" t="s">
        <v>2963</v>
      </c>
      <c r="L782" t="s">
        <v>2962</v>
      </c>
      <c r="M782" t="s">
        <v>2961</v>
      </c>
      <c r="N782">
        <v>3</v>
      </c>
      <c r="O782" t="s">
        <v>2960</v>
      </c>
      <c r="P782" t="s">
        <v>2959</v>
      </c>
      <c r="Q782" t="s">
        <v>2958</v>
      </c>
      <c r="R782" s="7">
        <v>37469</v>
      </c>
      <c r="S782" s="8">
        <f t="shared" si="96"/>
        <v>2002</v>
      </c>
      <c r="T782" s="8">
        <v>2002</v>
      </c>
      <c r="U782" s="8">
        <f t="shared" si="97"/>
        <v>20</v>
      </c>
      <c r="V782" s="7">
        <v>37469</v>
      </c>
      <c r="W782" t="s">
        <v>384</v>
      </c>
      <c r="X782" s="2">
        <v>0.94</v>
      </c>
      <c r="Y782" s="6">
        <f t="shared" si="102"/>
        <v>2.5092763140332611E-2</v>
      </c>
      <c r="AA782">
        <v>15311309</v>
      </c>
      <c r="AB782">
        <v>17295</v>
      </c>
      <c r="AD782" t="s">
        <v>2</v>
      </c>
      <c r="AE782">
        <v>12</v>
      </c>
      <c r="AF782">
        <v>8</v>
      </c>
      <c r="AH782" t="s">
        <v>2957</v>
      </c>
      <c r="AI782" t="s">
        <v>2956</v>
      </c>
      <c r="AJ782" t="s">
        <v>2955</v>
      </c>
      <c r="AK782" t="s">
        <v>2954</v>
      </c>
      <c r="AL782">
        <v>7</v>
      </c>
      <c r="AM782" s="5">
        <f t="shared" si="98"/>
        <v>0.35</v>
      </c>
      <c r="AN782" s="4">
        <f t="shared" si="103"/>
        <v>5.3010223400227184E-4</v>
      </c>
      <c r="AO782" s="3"/>
      <c r="AP782">
        <v>0</v>
      </c>
      <c r="AQ782" t="s">
        <v>302</v>
      </c>
      <c r="AR782" t="s">
        <v>2953</v>
      </c>
      <c r="AS782" t="s">
        <v>301</v>
      </c>
      <c r="AT782" s="2" t="s">
        <v>0</v>
      </c>
      <c r="AU782" s="1">
        <f t="shared" si="99"/>
        <v>1.7723964868433508</v>
      </c>
      <c r="AV782" s="1">
        <f t="shared" si="100"/>
        <v>1.2811432687167441</v>
      </c>
      <c r="AW782" s="1">
        <f t="shared" si="101"/>
        <v>0.78989005059013728</v>
      </c>
    </row>
    <row r="783" spans="1:49" x14ac:dyDescent="0.2">
      <c r="A783">
        <v>781</v>
      </c>
      <c r="B783" t="s">
        <v>2952</v>
      </c>
      <c r="C783" t="s">
        <v>2951</v>
      </c>
      <c r="D783">
        <v>1011092002801480</v>
      </c>
      <c r="F783" t="s">
        <v>2950</v>
      </c>
      <c r="G783" t="s">
        <v>5</v>
      </c>
      <c r="H783" t="s">
        <v>4</v>
      </c>
      <c r="I783" t="s">
        <v>2949</v>
      </c>
      <c r="J783" t="s">
        <v>2948</v>
      </c>
      <c r="K783" t="s">
        <v>2947</v>
      </c>
      <c r="L783" t="s">
        <v>2946</v>
      </c>
      <c r="M783" t="s">
        <v>74</v>
      </c>
      <c r="N783">
        <v>2</v>
      </c>
      <c r="O783" t="s">
        <v>2945</v>
      </c>
      <c r="P783" t="s">
        <v>2944</v>
      </c>
      <c r="Q783" t="s">
        <v>2943</v>
      </c>
      <c r="R783" s="7">
        <v>37469</v>
      </c>
      <c r="S783" s="8">
        <f t="shared" si="96"/>
        <v>2002</v>
      </c>
      <c r="T783" s="8">
        <v>2002</v>
      </c>
      <c r="U783" s="8">
        <f t="shared" si="97"/>
        <v>20</v>
      </c>
      <c r="V783" s="7">
        <v>37469</v>
      </c>
      <c r="W783" t="s">
        <v>347</v>
      </c>
      <c r="X783" s="2">
        <v>1.468</v>
      </c>
      <c r="Y783" s="6">
        <f t="shared" si="102"/>
        <v>3.9187421585115186E-2</v>
      </c>
      <c r="AA783">
        <v>906778</v>
      </c>
      <c r="AB783">
        <v>18931</v>
      </c>
      <c r="AD783" t="s">
        <v>2</v>
      </c>
      <c r="AE783">
        <v>50</v>
      </c>
      <c r="AF783">
        <v>8</v>
      </c>
      <c r="AH783" t="s">
        <v>2942</v>
      </c>
      <c r="AI783" t="s">
        <v>2941</v>
      </c>
      <c r="AJ783" t="s">
        <v>2940</v>
      </c>
      <c r="AK783" t="s">
        <v>2939</v>
      </c>
      <c r="AL783">
        <v>69</v>
      </c>
      <c r="AM783" s="5">
        <f t="shared" si="98"/>
        <v>3.45</v>
      </c>
      <c r="AN783" s="4">
        <f t="shared" si="103"/>
        <v>5.2252934494509658E-3</v>
      </c>
      <c r="AO783" s="3"/>
      <c r="AP783">
        <v>0</v>
      </c>
      <c r="AQ783" t="s">
        <v>290</v>
      </c>
      <c r="AR783" t="s">
        <v>2938</v>
      </c>
      <c r="AS783" t="s">
        <v>289</v>
      </c>
      <c r="AT783" s="2">
        <v>5.0830000000000002</v>
      </c>
      <c r="AU783" s="1">
        <f t="shared" si="99"/>
        <v>2.8998783144415916</v>
      </c>
      <c r="AV783" s="1">
        <f t="shared" si="100"/>
        <v>2.2206357517283077</v>
      </c>
      <c r="AW783" s="1">
        <f t="shared" si="101"/>
        <v>1.5413931890150232</v>
      </c>
    </row>
    <row r="784" spans="1:49" x14ac:dyDescent="0.2">
      <c r="A784">
        <v>782</v>
      </c>
      <c r="B784" t="s">
        <v>2937</v>
      </c>
      <c r="C784" t="s">
        <v>2936</v>
      </c>
      <c r="D784">
        <v>1011092002802030</v>
      </c>
      <c r="F784" t="s">
        <v>2935</v>
      </c>
      <c r="G784" t="s">
        <v>5</v>
      </c>
      <c r="H784" t="s">
        <v>4</v>
      </c>
      <c r="I784" t="s">
        <v>2934</v>
      </c>
      <c r="J784" t="s">
        <v>2933</v>
      </c>
      <c r="K784" t="s">
        <v>2932</v>
      </c>
      <c r="L784" t="s">
        <v>2931</v>
      </c>
      <c r="M784" t="s">
        <v>817</v>
      </c>
      <c r="N784">
        <v>5</v>
      </c>
      <c r="O784" t="s">
        <v>2930</v>
      </c>
      <c r="P784" t="s">
        <v>2929</v>
      </c>
      <c r="Q784" t="s">
        <v>2928</v>
      </c>
      <c r="R784" s="7">
        <v>37469</v>
      </c>
      <c r="S784" s="8">
        <f t="shared" si="96"/>
        <v>2002</v>
      </c>
      <c r="T784" s="8">
        <v>2002</v>
      </c>
      <c r="U784" s="8">
        <f t="shared" si="97"/>
        <v>20</v>
      </c>
      <c r="V784" s="7">
        <v>37469</v>
      </c>
      <c r="W784" t="s">
        <v>384</v>
      </c>
      <c r="X784" s="2">
        <v>0.94</v>
      </c>
      <c r="Y784" s="6">
        <f t="shared" si="102"/>
        <v>2.5092763140332611E-2</v>
      </c>
      <c r="AA784">
        <v>15311309</v>
      </c>
      <c r="AB784">
        <v>17295</v>
      </c>
      <c r="AD784" t="s">
        <v>2</v>
      </c>
      <c r="AE784">
        <v>12</v>
      </c>
      <c r="AF784">
        <v>8</v>
      </c>
      <c r="AH784" t="s">
        <v>2927</v>
      </c>
      <c r="AI784" t="s">
        <v>2926</v>
      </c>
      <c r="AJ784" t="s">
        <v>2925</v>
      </c>
      <c r="AK784" t="s">
        <v>2924</v>
      </c>
      <c r="AL784">
        <v>13</v>
      </c>
      <c r="AM784" s="5">
        <f t="shared" si="98"/>
        <v>0.65</v>
      </c>
      <c r="AN784" s="4">
        <f t="shared" si="103"/>
        <v>9.8447557743279067E-4</v>
      </c>
      <c r="AO784" s="3"/>
      <c r="AP784">
        <v>0</v>
      </c>
      <c r="AQ784" t="s">
        <v>413</v>
      </c>
      <c r="AR784" t="s">
        <v>2923</v>
      </c>
      <c r="AS784" t="s">
        <v>412</v>
      </c>
      <c r="AT784" s="2" t="s">
        <v>0</v>
      </c>
      <c r="AU784" s="1">
        <f t="shared" si="99"/>
        <v>1.7860276871462664</v>
      </c>
      <c r="AV784" s="1">
        <f t="shared" si="100"/>
        <v>1.3038619358882702</v>
      </c>
      <c r="AW784" s="1">
        <f t="shared" si="101"/>
        <v>0.82169618463027361</v>
      </c>
    </row>
    <row r="785" spans="1:49" x14ac:dyDescent="0.2">
      <c r="A785">
        <v>783</v>
      </c>
      <c r="B785" t="s">
        <v>2922</v>
      </c>
      <c r="C785" t="s">
        <v>2921</v>
      </c>
      <c r="D785">
        <v>1011092002802030</v>
      </c>
      <c r="F785" t="s">
        <v>2920</v>
      </c>
      <c r="G785" t="s">
        <v>5</v>
      </c>
      <c r="H785" t="s">
        <v>4</v>
      </c>
      <c r="I785" t="s">
        <v>2919</v>
      </c>
      <c r="J785" t="s">
        <v>2918</v>
      </c>
      <c r="K785" t="s">
        <v>2917</v>
      </c>
      <c r="L785" t="s">
        <v>2916</v>
      </c>
      <c r="M785" t="s">
        <v>3</v>
      </c>
      <c r="N785">
        <v>2</v>
      </c>
      <c r="O785" t="s">
        <v>2915</v>
      </c>
      <c r="P785" t="s">
        <v>2914</v>
      </c>
      <c r="Q785" t="s">
        <v>2913</v>
      </c>
      <c r="R785" s="7">
        <v>37469</v>
      </c>
      <c r="S785" s="8">
        <f t="shared" si="96"/>
        <v>2002</v>
      </c>
      <c r="T785" s="8">
        <v>2002</v>
      </c>
      <c r="U785" s="8">
        <f t="shared" si="97"/>
        <v>20</v>
      </c>
      <c r="V785" s="7">
        <v>37469</v>
      </c>
      <c r="W785" t="s">
        <v>384</v>
      </c>
      <c r="X785" s="2">
        <v>0.94</v>
      </c>
      <c r="Y785" s="6">
        <f t="shared" si="102"/>
        <v>2.5092763140332611E-2</v>
      </c>
      <c r="AA785">
        <v>15311309</v>
      </c>
      <c r="AB785">
        <v>17295</v>
      </c>
      <c r="AD785" t="s">
        <v>2</v>
      </c>
      <c r="AE785">
        <v>12</v>
      </c>
      <c r="AF785">
        <v>8</v>
      </c>
      <c r="AH785" t="s">
        <v>2912</v>
      </c>
      <c r="AI785" t="s">
        <v>2911</v>
      </c>
      <c r="AJ785" t="s">
        <v>2910</v>
      </c>
      <c r="AK785" t="s">
        <v>2909</v>
      </c>
      <c r="AL785">
        <v>26</v>
      </c>
      <c r="AM785" s="5">
        <f t="shared" si="98"/>
        <v>1.3</v>
      </c>
      <c r="AN785" s="4">
        <f t="shared" si="103"/>
        <v>1.9689511548655813E-3</v>
      </c>
      <c r="AO785" s="3"/>
      <c r="AP785">
        <v>0</v>
      </c>
      <c r="AR785" t="s">
        <v>1</v>
      </c>
      <c r="AT785" s="2" t="s">
        <v>0</v>
      </c>
      <c r="AU785" s="1">
        <f t="shared" si="99"/>
        <v>1.8155619544692501</v>
      </c>
      <c r="AV785" s="1">
        <f t="shared" si="100"/>
        <v>1.3530857147599096</v>
      </c>
      <c r="AW785" s="1">
        <f t="shared" si="101"/>
        <v>0.89060947505056909</v>
      </c>
    </row>
    <row r="786" spans="1:49" x14ac:dyDescent="0.2">
      <c r="A786">
        <v>784</v>
      </c>
      <c r="B786" t="s">
        <v>2908</v>
      </c>
      <c r="C786" t="s">
        <v>2907</v>
      </c>
      <c r="D786">
        <v>1011092002801520</v>
      </c>
      <c r="F786" t="s">
        <v>2906</v>
      </c>
      <c r="G786" t="s">
        <v>5</v>
      </c>
      <c r="H786" t="s">
        <v>4</v>
      </c>
      <c r="I786" t="s">
        <v>2905</v>
      </c>
      <c r="J786" t="s">
        <v>2904</v>
      </c>
      <c r="K786" t="s">
        <v>2903</v>
      </c>
      <c r="L786" t="s">
        <v>2902</v>
      </c>
      <c r="M786" t="s">
        <v>75</v>
      </c>
      <c r="N786">
        <v>2</v>
      </c>
      <c r="O786" t="s">
        <v>2901</v>
      </c>
      <c r="P786" t="s">
        <v>2900</v>
      </c>
      <c r="Q786" t="s">
        <v>2899</v>
      </c>
      <c r="R786" s="7">
        <v>37469</v>
      </c>
      <c r="S786" s="8">
        <f t="shared" si="96"/>
        <v>2002</v>
      </c>
      <c r="T786" s="8">
        <v>2002</v>
      </c>
      <c r="U786" s="8">
        <f t="shared" si="97"/>
        <v>20</v>
      </c>
      <c r="V786" s="7">
        <v>37469</v>
      </c>
      <c r="W786" t="s">
        <v>347</v>
      </c>
      <c r="X786" s="2">
        <v>1.468</v>
      </c>
      <c r="Y786" s="6">
        <f t="shared" si="102"/>
        <v>3.9187421585115186E-2</v>
      </c>
      <c r="AA786">
        <v>906778</v>
      </c>
      <c r="AB786">
        <v>18931</v>
      </c>
      <c r="AD786" t="s">
        <v>2</v>
      </c>
      <c r="AE786">
        <v>50</v>
      </c>
      <c r="AF786">
        <v>8</v>
      </c>
      <c r="AH786" t="s">
        <v>2898</v>
      </c>
      <c r="AI786" t="s">
        <v>2897</v>
      </c>
      <c r="AJ786" t="s">
        <v>2896</v>
      </c>
      <c r="AK786" t="s">
        <v>2895</v>
      </c>
      <c r="AL786">
        <v>4</v>
      </c>
      <c r="AM786" s="5">
        <f t="shared" si="98"/>
        <v>0.2</v>
      </c>
      <c r="AN786" s="4">
        <f t="shared" si="103"/>
        <v>3.0291556228701253E-4</v>
      </c>
      <c r="AO786" s="3"/>
      <c r="AP786">
        <v>0</v>
      </c>
      <c r="AQ786" t="s">
        <v>2894</v>
      </c>
      <c r="AR786" t="s">
        <v>1</v>
      </c>
      <c r="AS786" t="s">
        <v>2893</v>
      </c>
      <c r="AT786" s="2">
        <v>5.0830000000000002</v>
      </c>
      <c r="AU786" s="1">
        <f t="shared" si="99"/>
        <v>2.7522069778266731</v>
      </c>
      <c r="AV786" s="1">
        <f t="shared" si="100"/>
        <v>1.9745168573701097</v>
      </c>
      <c r="AW786" s="1">
        <f t="shared" si="101"/>
        <v>1.1968267369135466</v>
      </c>
    </row>
    <row r="787" spans="1:49" x14ac:dyDescent="0.2">
      <c r="A787">
        <v>785</v>
      </c>
      <c r="B787" t="s">
        <v>2892</v>
      </c>
      <c r="C787" t="s">
        <v>2891</v>
      </c>
      <c r="D787">
        <v>1011092002801210</v>
      </c>
      <c r="F787" t="s">
        <v>2890</v>
      </c>
      <c r="G787" t="s">
        <v>5</v>
      </c>
      <c r="H787" t="s">
        <v>4</v>
      </c>
      <c r="I787" t="s">
        <v>2889</v>
      </c>
      <c r="J787" t="s">
        <v>2888</v>
      </c>
      <c r="K787" t="s">
        <v>2887</v>
      </c>
      <c r="L787" t="s">
        <v>2886</v>
      </c>
      <c r="M787" t="s">
        <v>2885</v>
      </c>
      <c r="N787">
        <v>2</v>
      </c>
      <c r="O787" t="s">
        <v>2884</v>
      </c>
      <c r="P787" t="s">
        <v>2883</v>
      </c>
      <c r="Q787" t="s">
        <v>2882</v>
      </c>
      <c r="R787" s="7">
        <v>37469</v>
      </c>
      <c r="S787" s="8">
        <f t="shared" si="96"/>
        <v>2002</v>
      </c>
      <c r="T787" s="8">
        <v>2002</v>
      </c>
      <c r="U787" s="8">
        <f t="shared" si="97"/>
        <v>20</v>
      </c>
      <c r="V787" s="7">
        <v>37469</v>
      </c>
      <c r="W787" t="s">
        <v>857</v>
      </c>
      <c r="X787" s="2">
        <v>2.9860000000000002</v>
      </c>
      <c r="Y787" s="6">
        <f t="shared" si="102"/>
        <v>7.9709564613865094E-2</v>
      </c>
      <c r="AA787">
        <v>7338716</v>
      </c>
      <c r="AB787">
        <v>18902</v>
      </c>
      <c r="AD787" t="s">
        <v>2</v>
      </c>
      <c r="AE787">
        <v>20</v>
      </c>
      <c r="AF787">
        <v>6</v>
      </c>
      <c r="AH787" t="s">
        <v>2881</v>
      </c>
      <c r="AI787" t="s">
        <v>2880</v>
      </c>
      <c r="AJ787" t="s">
        <v>2879</v>
      </c>
      <c r="AK787" t="s">
        <v>2878</v>
      </c>
      <c r="AL787">
        <v>18</v>
      </c>
      <c r="AM787" s="5">
        <f t="shared" si="98"/>
        <v>0.9</v>
      </c>
      <c r="AN787" s="4">
        <f t="shared" si="103"/>
        <v>1.3631200302915562E-3</v>
      </c>
      <c r="AO787" s="3"/>
      <c r="AP787">
        <v>0</v>
      </c>
      <c r="AR787" t="s">
        <v>1</v>
      </c>
      <c r="AT787" s="2" t="s">
        <v>0</v>
      </c>
      <c r="AU787" s="1">
        <f t="shared" si="99"/>
        <v>5.620563123879303</v>
      </c>
      <c r="AV787" s="1">
        <f t="shared" si="100"/>
        <v>4.0536342322078323</v>
      </c>
      <c r="AW787" s="1">
        <f t="shared" si="101"/>
        <v>2.4867053405363619</v>
      </c>
    </row>
    <row r="788" spans="1:49" x14ac:dyDescent="0.2">
      <c r="A788">
        <v>786</v>
      </c>
      <c r="B788" t="s">
        <v>2877</v>
      </c>
      <c r="C788" t="s">
        <v>2876</v>
      </c>
      <c r="D788">
        <v>1011092002801330</v>
      </c>
      <c r="F788" t="s">
        <v>2875</v>
      </c>
      <c r="G788" t="s">
        <v>5</v>
      </c>
      <c r="H788" t="s">
        <v>4</v>
      </c>
      <c r="I788" t="s">
        <v>2874</v>
      </c>
      <c r="J788" t="s">
        <v>2873</v>
      </c>
      <c r="K788" t="s">
        <v>2872</v>
      </c>
      <c r="L788" t="s">
        <v>2871</v>
      </c>
      <c r="M788" t="s">
        <v>2870</v>
      </c>
      <c r="N788">
        <v>4</v>
      </c>
      <c r="O788" t="s">
        <v>2869</v>
      </c>
      <c r="P788" t="s">
        <v>2868</v>
      </c>
      <c r="Q788" t="s">
        <v>2867</v>
      </c>
      <c r="R788" s="7">
        <v>37469</v>
      </c>
      <c r="S788" s="8">
        <f t="shared" si="96"/>
        <v>2002</v>
      </c>
      <c r="T788" s="8">
        <v>2002</v>
      </c>
      <c r="U788" s="8">
        <f t="shared" si="97"/>
        <v>20</v>
      </c>
      <c r="V788" s="7">
        <v>37469</v>
      </c>
      <c r="W788" t="s">
        <v>352</v>
      </c>
      <c r="X788" s="2">
        <v>1.3720000000000001</v>
      </c>
      <c r="Y788" s="6">
        <f t="shared" si="102"/>
        <v>3.662475641333654E-2</v>
      </c>
      <c r="AA788">
        <v>189480</v>
      </c>
      <c r="AB788">
        <v>17366</v>
      </c>
      <c r="AD788" t="s">
        <v>2</v>
      </c>
      <c r="AE788">
        <v>50</v>
      </c>
      <c r="AF788">
        <v>8</v>
      </c>
      <c r="AH788" t="s">
        <v>2866</v>
      </c>
      <c r="AI788" t="s">
        <v>2865</v>
      </c>
      <c r="AJ788" t="s">
        <v>2864</v>
      </c>
      <c r="AK788" t="s">
        <v>2863</v>
      </c>
      <c r="AL788">
        <v>13</v>
      </c>
      <c r="AM788" s="5">
        <f t="shared" si="98"/>
        <v>0.65</v>
      </c>
      <c r="AN788" s="4">
        <f t="shared" si="103"/>
        <v>9.8447557743279067E-4</v>
      </c>
      <c r="AO788" s="3"/>
      <c r="AP788">
        <v>0</v>
      </c>
      <c r="AQ788" t="s">
        <v>302</v>
      </c>
      <c r="AR788" t="s">
        <v>2862</v>
      </c>
      <c r="AS788" t="s">
        <v>301</v>
      </c>
      <c r="AT788" s="2" t="s">
        <v>0</v>
      </c>
      <c r="AU788" s="1">
        <f t="shared" si="99"/>
        <v>2.5932672162565411</v>
      </c>
      <c r="AV788" s="1">
        <f t="shared" si="100"/>
        <v>1.8804615995384664</v>
      </c>
      <c r="AW788" s="1">
        <f t="shared" si="101"/>
        <v>1.1676559828203916</v>
      </c>
    </row>
    <row r="789" spans="1:49" x14ac:dyDescent="0.2">
      <c r="A789">
        <v>787</v>
      </c>
      <c r="B789" t="s">
        <v>2861</v>
      </c>
      <c r="C789" t="s">
        <v>2860</v>
      </c>
      <c r="D789" t="s">
        <v>2859</v>
      </c>
      <c r="F789" t="s">
        <v>2858</v>
      </c>
      <c r="G789" t="s">
        <v>5</v>
      </c>
      <c r="H789" t="s">
        <v>4</v>
      </c>
      <c r="I789" t="s">
        <v>733</v>
      </c>
      <c r="J789" t="s">
        <v>2857</v>
      </c>
      <c r="K789" t="s">
        <v>2856</v>
      </c>
      <c r="L789" t="s">
        <v>2855</v>
      </c>
      <c r="M789" t="s">
        <v>2854</v>
      </c>
      <c r="N789">
        <v>3</v>
      </c>
      <c r="O789" t="s">
        <v>2853</v>
      </c>
      <c r="P789" t="s">
        <v>2852</v>
      </c>
      <c r="Q789" t="s">
        <v>2851</v>
      </c>
      <c r="R789" s="7">
        <v>37469</v>
      </c>
      <c r="S789" s="8">
        <f t="shared" si="96"/>
        <v>2002</v>
      </c>
      <c r="T789" s="8">
        <v>2002</v>
      </c>
      <c r="U789" s="8">
        <f t="shared" si="97"/>
        <v>20</v>
      </c>
      <c r="V789" s="7">
        <v>37469</v>
      </c>
      <c r="W789" t="s">
        <v>1072</v>
      </c>
      <c r="X789" s="2">
        <v>0.81</v>
      </c>
      <c r="Y789" s="6">
        <f t="shared" si="102"/>
        <v>2.1622487386882359E-2</v>
      </c>
      <c r="AA789">
        <v>10411135</v>
      </c>
      <c r="AB789">
        <v>12116</v>
      </c>
      <c r="AD789" t="s">
        <v>2</v>
      </c>
      <c r="AE789">
        <v>14</v>
      </c>
      <c r="AF789">
        <v>8</v>
      </c>
      <c r="AH789" t="s">
        <v>2850</v>
      </c>
      <c r="AI789" t="s">
        <v>2849</v>
      </c>
      <c r="AJ789" t="s">
        <v>2848</v>
      </c>
      <c r="AK789" t="s">
        <v>2847</v>
      </c>
      <c r="AL789">
        <v>107</v>
      </c>
      <c r="AM789" s="5">
        <f t="shared" si="98"/>
        <v>5.35</v>
      </c>
      <c r="AN789" s="4">
        <f t="shared" si="103"/>
        <v>8.1029912911775841E-3</v>
      </c>
      <c r="AO789" s="3"/>
      <c r="AP789">
        <v>0</v>
      </c>
      <c r="AQ789" t="s">
        <v>2846</v>
      </c>
      <c r="AR789">
        <v>219299</v>
      </c>
      <c r="AS789" t="s">
        <v>2845</v>
      </c>
      <c r="AT789" s="2">
        <v>2.468</v>
      </c>
      <c r="AU789" s="1">
        <f t="shared" si="99"/>
        <v>1.7566638558170926</v>
      </c>
      <c r="AV789" s="1">
        <f t="shared" si="100"/>
        <v>1.4862739339029971</v>
      </c>
      <c r="AW789" s="1">
        <f t="shared" si="101"/>
        <v>1.2158840119889016</v>
      </c>
    </row>
    <row r="790" spans="1:49" x14ac:dyDescent="0.2">
      <c r="A790">
        <v>788</v>
      </c>
      <c r="B790" t="s">
        <v>2844</v>
      </c>
      <c r="C790" t="s">
        <v>2843</v>
      </c>
      <c r="D790">
        <v>1011092002801350</v>
      </c>
      <c r="F790" t="s">
        <v>2842</v>
      </c>
      <c r="G790" t="s">
        <v>5</v>
      </c>
      <c r="H790" t="s">
        <v>4</v>
      </c>
      <c r="I790" t="s">
        <v>2841</v>
      </c>
      <c r="J790" t="s">
        <v>823</v>
      </c>
      <c r="K790" t="s">
        <v>822</v>
      </c>
      <c r="L790" t="s">
        <v>821</v>
      </c>
      <c r="M790" t="s">
        <v>820</v>
      </c>
      <c r="N790">
        <v>2</v>
      </c>
      <c r="O790" t="s">
        <v>2840</v>
      </c>
      <c r="P790" t="s">
        <v>2839</v>
      </c>
      <c r="Q790" t="s">
        <v>943</v>
      </c>
      <c r="R790" s="7">
        <v>37469</v>
      </c>
      <c r="S790" s="8">
        <f t="shared" si="96"/>
        <v>2002</v>
      </c>
      <c r="T790" s="8">
        <v>2002</v>
      </c>
      <c r="U790" s="8">
        <f t="shared" si="97"/>
        <v>20</v>
      </c>
      <c r="V790" s="7">
        <v>37469</v>
      </c>
      <c r="W790" t="s">
        <v>352</v>
      </c>
      <c r="X790" s="2">
        <v>1.3720000000000001</v>
      </c>
      <c r="Y790" s="6">
        <f t="shared" si="102"/>
        <v>3.662475641333654E-2</v>
      </c>
      <c r="AA790">
        <v>189480</v>
      </c>
      <c r="AB790">
        <v>17366</v>
      </c>
      <c r="AD790" t="s">
        <v>2</v>
      </c>
      <c r="AE790">
        <v>50</v>
      </c>
      <c r="AF790">
        <v>8</v>
      </c>
      <c r="AH790" t="s">
        <v>2838</v>
      </c>
      <c r="AI790" t="s">
        <v>2837</v>
      </c>
      <c r="AJ790" t="s">
        <v>2836</v>
      </c>
      <c r="AK790" t="s">
        <v>2835</v>
      </c>
      <c r="AL790">
        <v>7</v>
      </c>
      <c r="AM790" s="5">
        <f t="shared" si="98"/>
        <v>0.35</v>
      </c>
      <c r="AN790" s="4">
        <f t="shared" si="103"/>
        <v>5.3010223400227184E-4</v>
      </c>
      <c r="AO790" s="3"/>
      <c r="AP790">
        <v>0</v>
      </c>
      <c r="AQ790" t="s">
        <v>302</v>
      </c>
      <c r="AR790" t="s">
        <v>2834</v>
      </c>
      <c r="AS790" t="s">
        <v>301</v>
      </c>
      <c r="AT790" s="2" t="s">
        <v>0</v>
      </c>
      <c r="AU790" s="1">
        <f t="shared" si="99"/>
        <v>2.5796360159536258</v>
      </c>
      <c r="AV790" s="1">
        <f t="shared" si="100"/>
        <v>1.8577429323669408</v>
      </c>
      <c r="AW790" s="1">
        <f t="shared" si="101"/>
        <v>1.1358498487802553</v>
      </c>
    </row>
    <row r="791" spans="1:49" x14ac:dyDescent="0.2">
      <c r="A791">
        <v>789</v>
      </c>
      <c r="B791" t="s">
        <v>2833</v>
      </c>
      <c r="C791" t="s">
        <v>2832</v>
      </c>
      <c r="D791">
        <v>1011092002801220</v>
      </c>
      <c r="F791" t="s">
        <v>2831</v>
      </c>
      <c r="G791" t="s">
        <v>5</v>
      </c>
      <c r="H791" t="s">
        <v>4</v>
      </c>
      <c r="I791" t="s">
        <v>2830</v>
      </c>
      <c r="J791" t="s">
        <v>947</v>
      </c>
      <c r="K791" t="s">
        <v>946</v>
      </c>
      <c r="L791" t="s">
        <v>945</v>
      </c>
      <c r="M791" t="s">
        <v>944</v>
      </c>
      <c r="N791">
        <v>5</v>
      </c>
      <c r="O791" t="s">
        <v>2829</v>
      </c>
      <c r="P791" t="s">
        <v>2828</v>
      </c>
      <c r="Q791" t="s">
        <v>2827</v>
      </c>
      <c r="R791" s="7">
        <v>37469</v>
      </c>
      <c r="S791" s="8">
        <f t="shared" si="96"/>
        <v>2002</v>
      </c>
      <c r="T791" s="8">
        <v>2002</v>
      </c>
      <c r="U791" s="8">
        <f t="shared" si="97"/>
        <v>20</v>
      </c>
      <c r="V791" s="7">
        <v>37469</v>
      </c>
      <c r="W791" t="s">
        <v>857</v>
      </c>
      <c r="X791" s="2">
        <v>2.9860000000000002</v>
      </c>
      <c r="Y791" s="6">
        <f t="shared" si="102"/>
        <v>7.9709564613865094E-2</v>
      </c>
      <c r="AA791">
        <v>7338716</v>
      </c>
      <c r="AB791">
        <v>18902</v>
      </c>
      <c r="AD791" t="s">
        <v>2</v>
      </c>
      <c r="AE791">
        <v>20</v>
      </c>
      <c r="AF791">
        <v>6</v>
      </c>
      <c r="AH791" t="s">
        <v>2826</v>
      </c>
      <c r="AI791" t="s">
        <v>2825</v>
      </c>
      <c r="AJ791" t="s">
        <v>2824</v>
      </c>
      <c r="AK791" t="s">
        <v>2823</v>
      </c>
      <c r="AL791">
        <v>1070</v>
      </c>
      <c r="AM791" s="5">
        <f t="shared" si="98"/>
        <v>53.5</v>
      </c>
      <c r="AN791" s="4">
        <f t="shared" si="103"/>
        <v>8.1029912911775845E-2</v>
      </c>
      <c r="AO791" s="3"/>
      <c r="AP791">
        <v>0</v>
      </c>
      <c r="AQ791" t="s">
        <v>935</v>
      </c>
      <c r="AR791" t="s">
        <v>1</v>
      </c>
      <c r="AS791" t="s">
        <v>934</v>
      </c>
      <c r="AT791" s="2" t="s">
        <v>0</v>
      </c>
      <c r="AU791" s="1">
        <f t="shared" si="99"/>
        <v>8.0105669103238313</v>
      </c>
      <c r="AV791" s="1">
        <f t="shared" si="100"/>
        <v>8.0369738762820475</v>
      </c>
      <c r="AW791" s="1">
        <f t="shared" si="101"/>
        <v>8.063380842240262</v>
      </c>
    </row>
    <row r="792" spans="1:49" x14ac:dyDescent="0.2">
      <c r="A792">
        <v>790</v>
      </c>
      <c r="B792" t="s">
        <v>2822</v>
      </c>
      <c r="C792" t="s">
        <v>2821</v>
      </c>
      <c r="F792" t="s">
        <v>2820</v>
      </c>
      <c r="G792" t="s">
        <v>5</v>
      </c>
      <c r="H792" t="s">
        <v>4</v>
      </c>
      <c r="I792" t="s">
        <v>2819</v>
      </c>
      <c r="J792">
        <v>60025858</v>
      </c>
      <c r="K792" t="s">
        <v>1050</v>
      </c>
      <c r="L792" t="s">
        <v>1049</v>
      </c>
      <c r="M792" t="s">
        <v>223</v>
      </c>
      <c r="N792">
        <v>2</v>
      </c>
      <c r="O792" t="s">
        <v>2818</v>
      </c>
      <c r="P792" t="s">
        <v>2817</v>
      </c>
      <c r="Q792" t="s">
        <v>2816</v>
      </c>
      <c r="R792" s="7">
        <v>37469</v>
      </c>
      <c r="S792" s="8">
        <f t="shared" si="96"/>
        <v>2002</v>
      </c>
      <c r="T792" s="8">
        <v>2002</v>
      </c>
      <c r="U792" s="8">
        <f t="shared" si="97"/>
        <v>20</v>
      </c>
      <c r="V792" s="7">
        <v>37469</v>
      </c>
      <c r="W792" t="s">
        <v>2815</v>
      </c>
      <c r="X792" s="2">
        <v>0.625</v>
      </c>
      <c r="Y792" s="6">
        <f t="shared" si="102"/>
        <v>1.6684018045433919E-2</v>
      </c>
      <c r="AA792">
        <v>2955075</v>
      </c>
      <c r="AB792">
        <v>27551</v>
      </c>
      <c r="AD792" t="s">
        <v>2</v>
      </c>
      <c r="AE792">
        <v>59</v>
      </c>
      <c r="AF792">
        <v>4</v>
      </c>
      <c r="AH792" t="s">
        <v>2814</v>
      </c>
      <c r="AI792" t="s">
        <v>2813</v>
      </c>
      <c r="AK792" t="s">
        <v>2812</v>
      </c>
      <c r="AL792">
        <v>26</v>
      </c>
      <c r="AM792" s="5">
        <f t="shared" si="98"/>
        <v>1.3</v>
      </c>
      <c r="AN792" s="4">
        <f t="shared" si="103"/>
        <v>1.9689511548655813E-3</v>
      </c>
      <c r="AO792" s="3"/>
      <c r="AP792">
        <v>0</v>
      </c>
      <c r="AR792" t="s">
        <v>1</v>
      </c>
      <c r="AT792" s="2" t="s">
        <v>0</v>
      </c>
      <c r="AU792" s="1">
        <f t="shared" si="99"/>
        <v>1.2269497978263417</v>
      </c>
      <c r="AV792" s="1">
        <f t="shared" si="100"/>
        <v>0.93264846001497503</v>
      </c>
      <c r="AW792" s="1">
        <f t="shared" si="101"/>
        <v>0.63834712220360823</v>
      </c>
    </row>
    <row r="793" spans="1:49" x14ac:dyDescent="0.2">
      <c r="A793">
        <v>791</v>
      </c>
      <c r="B793" t="s">
        <v>2811</v>
      </c>
      <c r="C793" t="s">
        <v>2810</v>
      </c>
      <c r="D793">
        <v>1011092002801210</v>
      </c>
      <c r="F793" t="s">
        <v>2809</v>
      </c>
      <c r="G793" t="s">
        <v>5</v>
      </c>
      <c r="H793" t="s">
        <v>4</v>
      </c>
      <c r="I793" t="s">
        <v>2808</v>
      </c>
      <c r="J793" t="s">
        <v>2807</v>
      </c>
      <c r="K793" t="s">
        <v>2806</v>
      </c>
      <c r="L793" t="s">
        <v>2805</v>
      </c>
      <c r="M793" t="s">
        <v>2804</v>
      </c>
      <c r="N793">
        <v>2</v>
      </c>
      <c r="O793" t="s">
        <v>2803</v>
      </c>
      <c r="P793" t="s">
        <v>2802</v>
      </c>
      <c r="Q793" t="s">
        <v>2801</v>
      </c>
      <c r="R793" s="7">
        <v>37469</v>
      </c>
      <c r="S793" s="8">
        <f t="shared" si="96"/>
        <v>2002</v>
      </c>
      <c r="T793" s="8">
        <v>2002</v>
      </c>
      <c r="U793" s="8">
        <f t="shared" si="97"/>
        <v>20</v>
      </c>
      <c r="V793" s="7">
        <v>37469</v>
      </c>
      <c r="W793" t="s">
        <v>857</v>
      </c>
      <c r="X793" s="2">
        <v>2.9860000000000002</v>
      </c>
      <c r="Y793" s="6">
        <f t="shared" si="102"/>
        <v>7.9709564613865094E-2</v>
      </c>
      <c r="AA793">
        <v>7338716</v>
      </c>
      <c r="AB793">
        <v>18902</v>
      </c>
      <c r="AD793" t="s">
        <v>2</v>
      </c>
      <c r="AE793">
        <v>20</v>
      </c>
      <c r="AF793">
        <v>6</v>
      </c>
      <c r="AH793" t="s">
        <v>2800</v>
      </c>
      <c r="AI793" t="s">
        <v>2799</v>
      </c>
      <c r="AJ793" t="s">
        <v>2798</v>
      </c>
      <c r="AK793" t="s">
        <v>2797</v>
      </c>
      <c r="AL793">
        <v>79</v>
      </c>
      <c r="AM793" s="5">
        <f t="shared" si="98"/>
        <v>3.95</v>
      </c>
      <c r="AN793" s="4">
        <f t="shared" si="103"/>
        <v>5.9825823551684972E-3</v>
      </c>
      <c r="AO793" s="3"/>
      <c r="AP793">
        <v>0</v>
      </c>
      <c r="AR793" t="s">
        <v>1</v>
      </c>
      <c r="AT793" s="2" t="s">
        <v>0</v>
      </c>
      <c r="AU793" s="1">
        <f t="shared" si="99"/>
        <v>5.7591469936256106</v>
      </c>
      <c r="AV793" s="1">
        <f t="shared" si="100"/>
        <v>4.2846073484516793</v>
      </c>
      <c r="AW793" s="1">
        <f t="shared" si="101"/>
        <v>2.8100677032777472</v>
      </c>
    </row>
    <row r="794" spans="1:49" x14ac:dyDescent="0.2">
      <c r="A794">
        <v>792</v>
      </c>
      <c r="B794" t="s">
        <v>2796</v>
      </c>
      <c r="C794" t="s">
        <v>2795</v>
      </c>
      <c r="D794">
        <v>1011092002801310</v>
      </c>
      <c r="F794" t="s">
        <v>2794</v>
      </c>
      <c r="G794" t="s">
        <v>5</v>
      </c>
      <c r="H794" t="s">
        <v>4</v>
      </c>
      <c r="I794" t="s">
        <v>2793</v>
      </c>
      <c r="J794" t="s">
        <v>2792</v>
      </c>
      <c r="K794" t="s">
        <v>2791</v>
      </c>
      <c r="L794" t="s">
        <v>2790</v>
      </c>
      <c r="M794" t="s">
        <v>2789</v>
      </c>
      <c r="N794">
        <v>3</v>
      </c>
      <c r="O794" t="s">
        <v>2788</v>
      </c>
      <c r="P794" t="s">
        <v>2787</v>
      </c>
      <c r="Q794" t="s">
        <v>2786</v>
      </c>
      <c r="R794" s="7">
        <v>37469</v>
      </c>
      <c r="S794" s="8">
        <f t="shared" si="96"/>
        <v>2002</v>
      </c>
      <c r="T794" s="8">
        <v>2002</v>
      </c>
      <c r="U794" s="8">
        <f t="shared" si="97"/>
        <v>20</v>
      </c>
      <c r="V794" s="7">
        <v>37469</v>
      </c>
      <c r="W794" t="s">
        <v>352</v>
      </c>
      <c r="X794" s="2">
        <v>1.3720000000000001</v>
      </c>
      <c r="Y794" s="6">
        <f t="shared" si="102"/>
        <v>3.662475641333654E-2</v>
      </c>
      <c r="AA794">
        <v>189480</v>
      </c>
      <c r="AB794">
        <v>17366</v>
      </c>
      <c r="AD794" t="s">
        <v>2</v>
      </c>
      <c r="AE794">
        <v>50</v>
      </c>
      <c r="AF794">
        <v>8</v>
      </c>
      <c r="AH794" t="s">
        <v>2785</v>
      </c>
      <c r="AI794" t="s">
        <v>2784</v>
      </c>
      <c r="AJ794" t="s">
        <v>2783</v>
      </c>
      <c r="AK794" t="s">
        <v>2782</v>
      </c>
      <c r="AL794">
        <v>29</v>
      </c>
      <c r="AM794" s="5">
        <f t="shared" si="98"/>
        <v>1.45</v>
      </c>
      <c r="AN794" s="4">
        <f t="shared" si="103"/>
        <v>2.1961378265808406E-3</v>
      </c>
      <c r="AO794" s="3"/>
      <c r="AP794">
        <v>0</v>
      </c>
      <c r="AQ794" t="s">
        <v>1133</v>
      </c>
      <c r="AR794" t="s">
        <v>2781</v>
      </c>
      <c r="AS794" t="s">
        <v>1132</v>
      </c>
      <c r="AT794" s="2" t="s">
        <v>0</v>
      </c>
      <c r="AU794" s="1">
        <f t="shared" si="99"/>
        <v>2.6296170837309827</v>
      </c>
      <c r="AV794" s="1">
        <f t="shared" si="100"/>
        <v>1.9410447119958689</v>
      </c>
      <c r="AW794" s="1">
        <f t="shared" si="101"/>
        <v>1.2524723402607552</v>
      </c>
    </row>
    <row r="795" spans="1:49" x14ac:dyDescent="0.2">
      <c r="A795">
        <v>793</v>
      </c>
      <c r="B795" t="s">
        <v>2780</v>
      </c>
      <c r="C795" t="s">
        <v>2779</v>
      </c>
      <c r="D795">
        <v>1011092002801310</v>
      </c>
      <c r="F795" t="s">
        <v>2778</v>
      </c>
      <c r="G795" t="s">
        <v>5</v>
      </c>
      <c r="H795" t="s">
        <v>4</v>
      </c>
      <c r="I795" t="s">
        <v>2777</v>
      </c>
      <c r="J795" t="s">
        <v>387</v>
      </c>
      <c r="K795" t="s">
        <v>386</v>
      </c>
      <c r="L795" t="s">
        <v>385</v>
      </c>
      <c r="M795" t="s">
        <v>74</v>
      </c>
      <c r="N795">
        <v>4</v>
      </c>
      <c r="O795" t="s">
        <v>2776</v>
      </c>
      <c r="P795" t="s">
        <v>2775</v>
      </c>
      <c r="Q795" t="s">
        <v>2774</v>
      </c>
      <c r="R795" s="7">
        <v>37469</v>
      </c>
      <c r="S795" s="8">
        <f t="shared" si="96"/>
        <v>2002</v>
      </c>
      <c r="T795" s="8">
        <v>2002</v>
      </c>
      <c r="U795" s="8">
        <f t="shared" si="97"/>
        <v>20</v>
      </c>
      <c r="V795" s="7">
        <v>37469</v>
      </c>
      <c r="W795" t="s">
        <v>352</v>
      </c>
      <c r="X795" s="2">
        <v>1.3720000000000001</v>
      </c>
      <c r="Y795" s="6">
        <f t="shared" si="102"/>
        <v>3.662475641333654E-2</v>
      </c>
      <c r="AA795">
        <v>189480</v>
      </c>
      <c r="AB795">
        <v>17366</v>
      </c>
      <c r="AD795" t="s">
        <v>2</v>
      </c>
      <c r="AE795">
        <v>50</v>
      </c>
      <c r="AF795">
        <v>8</v>
      </c>
      <c r="AH795" t="s">
        <v>2773</v>
      </c>
      <c r="AI795" t="s">
        <v>2772</v>
      </c>
      <c r="AJ795" t="s">
        <v>2771</v>
      </c>
      <c r="AK795" t="s">
        <v>2770</v>
      </c>
      <c r="AL795">
        <v>13</v>
      </c>
      <c r="AM795" s="5">
        <f t="shared" si="98"/>
        <v>0.65</v>
      </c>
      <c r="AN795" s="4">
        <f t="shared" si="103"/>
        <v>9.8447557743279067E-4</v>
      </c>
      <c r="AO795" s="3"/>
      <c r="AP795">
        <v>0</v>
      </c>
      <c r="AQ795" t="s">
        <v>799</v>
      </c>
      <c r="AR795" t="s">
        <v>2769</v>
      </c>
      <c r="AS795" t="s">
        <v>798</v>
      </c>
      <c r="AT795" s="2" t="s">
        <v>0</v>
      </c>
      <c r="AU795" s="1">
        <f t="shared" si="99"/>
        <v>2.5932672162565411</v>
      </c>
      <c r="AV795" s="1">
        <f t="shared" si="100"/>
        <v>1.8804615995384664</v>
      </c>
      <c r="AW795" s="1">
        <f t="shared" si="101"/>
        <v>1.1676559828203916</v>
      </c>
    </row>
    <row r="796" spans="1:49" x14ac:dyDescent="0.2">
      <c r="A796">
        <v>794</v>
      </c>
      <c r="B796" t="s">
        <v>2768</v>
      </c>
      <c r="C796" t="s">
        <v>2767</v>
      </c>
      <c r="D796">
        <v>1011092002801360</v>
      </c>
      <c r="F796" t="s">
        <v>2766</v>
      </c>
      <c r="G796" t="s">
        <v>5</v>
      </c>
      <c r="H796" t="s">
        <v>4</v>
      </c>
      <c r="I796" t="s">
        <v>2765</v>
      </c>
      <c r="J796" t="s">
        <v>2764</v>
      </c>
      <c r="K796" t="s">
        <v>2763</v>
      </c>
      <c r="L796" t="s">
        <v>2762</v>
      </c>
      <c r="M796" t="s">
        <v>422</v>
      </c>
      <c r="N796">
        <v>3</v>
      </c>
      <c r="O796" t="s">
        <v>2761</v>
      </c>
      <c r="P796" t="s">
        <v>2760</v>
      </c>
      <c r="Q796" t="s">
        <v>2759</v>
      </c>
      <c r="R796" s="7">
        <v>37469</v>
      </c>
      <c r="S796" s="8">
        <f t="shared" si="96"/>
        <v>2002</v>
      </c>
      <c r="T796" s="8">
        <v>2002</v>
      </c>
      <c r="U796" s="8">
        <f t="shared" si="97"/>
        <v>20</v>
      </c>
      <c r="V796" s="7">
        <v>37469</v>
      </c>
      <c r="W796" t="s">
        <v>352</v>
      </c>
      <c r="X796" s="2">
        <v>1.3720000000000001</v>
      </c>
      <c r="Y796" s="6">
        <f t="shared" si="102"/>
        <v>3.662475641333654E-2</v>
      </c>
      <c r="AA796">
        <v>189480</v>
      </c>
      <c r="AB796">
        <v>17366</v>
      </c>
      <c r="AD796" t="s">
        <v>2</v>
      </c>
      <c r="AE796">
        <v>50</v>
      </c>
      <c r="AF796">
        <v>8</v>
      </c>
      <c r="AH796" t="s">
        <v>2758</v>
      </c>
      <c r="AI796" t="s">
        <v>2757</v>
      </c>
      <c r="AJ796" t="s">
        <v>2756</v>
      </c>
      <c r="AK796" t="s">
        <v>2755</v>
      </c>
      <c r="AL796">
        <v>23</v>
      </c>
      <c r="AM796" s="5">
        <f t="shared" si="98"/>
        <v>1.1499999999999999</v>
      </c>
      <c r="AN796" s="4">
        <f t="shared" si="103"/>
        <v>1.7417644831503216E-3</v>
      </c>
      <c r="AO796" s="3"/>
      <c r="AP796">
        <v>0</v>
      </c>
      <c r="AR796" t="s">
        <v>1</v>
      </c>
      <c r="AT796" s="2" t="s">
        <v>0</v>
      </c>
      <c r="AU796" s="1">
        <f t="shared" si="99"/>
        <v>2.6159858834280674</v>
      </c>
      <c r="AV796" s="1">
        <f t="shared" si="100"/>
        <v>1.9183260448243429</v>
      </c>
      <c r="AW796" s="1">
        <f t="shared" si="101"/>
        <v>1.2206662062206188</v>
      </c>
    </row>
    <row r="797" spans="1:49" x14ac:dyDescent="0.2">
      <c r="A797">
        <v>795</v>
      </c>
      <c r="B797" t="s">
        <v>2754</v>
      </c>
      <c r="C797" t="s">
        <v>2753</v>
      </c>
      <c r="D797" t="s">
        <v>2752</v>
      </c>
      <c r="F797" t="s">
        <v>2751</v>
      </c>
      <c r="G797" t="s">
        <v>5</v>
      </c>
      <c r="H797" t="s">
        <v>4</v>
      </c>
      <c r="I797" t="s">
        <v>340</v>
      </c>
      <c r="J797" t="s">
        <v>2750</v>
      </c>
      <c r="K797" t="s">
        <v>2749</v>
      </c>
      <c r="L797" t="s">
        <v>2748</v>
      </c>
      <c r="M797" t="s">
        <v>3</v>
      </c>
      <c r="N797">
        <v>2</v>
      </c>
      <c r="O797" t="s">
        <v>2747</v>
      </c>
      <c r="P797" t="s">
        <v>2746</v>
      </c>
      <c r="Q797" t="s">
        <v>2745</v>
      </c>
      <c r="R797" s="7">
        <v>37469</v>
      </c>
      <c r="S797" s="8">
        <f t="shared" si="96"/>
        <v>2002</v>
      </c>
      <c r="T797" s="8">
        <v>2002</v>
      </c>
      <c r="U797" s="8">
        <f t="shared" si="97"/>
        <v>20</v>
      </c>
      <c r="V797" s="7">
        <v>37469</v>
      </c>
      <c r="W797" t="s">
        <v>1072</v>
      </c>
      <c r="X797" s="2">
        <v>0.81</v>
      </c>
      <c r="Y797" s="6">
        <f t="shared" si="102"/>
        <v>2.1622487386882359E-2</v>
      </c>
      <c r="AA797">
        <v>10411135</v>
      </c>
      <c r="AB797">
        <v>12116</v>
      </c>
      <c r="AD797" t="s">
        <v>2</v>
      </c>
      <c r="AE797">
        <v>14</v>
      </c>
      <c r="AF797">
        <v>8</v>
      </c>
      <c r="AH797" t="s">
        <v>2744</v>
      </c>
      <c r="AI797" t="s">
        <v>2743</v>
      </c>
      <c r="AJ797" t="s">
        <v>2742</v>
      </c>
      <c r="AK797" t="s">
        <v>2741</v>
      </c>
      <c r="AL797">
        <v>69</v>
      </c>
      <c r="AM797" s="5">
        <f t="shared" si="98"/>
        <v>3.45</v>
      </c>
      <c r="AN797" s="4">
        <f t="shared" si="103"/>
        <v>5.2252934494509658E-3</v>
      </c>
      <c r="AO797" s="3"/>
      <c r="AP797">
        <v>0</v>
      </c>
      <c r="AR797" t="s">
        <v>1</v>
      </c>
      <c r="AT797" s="2">
        <v>2.468</v>
      </c>
      <c r="AU797" s="1">
        <f t="shared" si="99"/>
        <v>1.6703329205652939</v>
      </c>
      <c r="AV797" s="1">
        <f t="shared" si="100"/>
        <v>1.3423890418166662</v>
      </c>
      <c r="AW797" s="1">
        <f t="shared" si="101"/>
        <v>1.0144451630680384</v>
      </c>
    </row>
    <row r="798" spans="1:49" x14ac:dyDescent="0.2">
      <c r="A798">
        <v>796</v>
      </c>
      <c r="B798" t="s">
        <v>2740</v>
      </c>
      <c r="C798" t="s">
        <v>2739</v>
      </c>
      <c r="D798">
        <v>1011092002801210</v>
      </c>
      <c r="F798" t="s">
        <v>2738</v>
      </c>
      <c r="G798" t="s">
        <v>5</v>
      </c>
      <c r="H798" t="s">
        <v>4</v>
      </c>
      <c r="I798" t="s">
        <v>2737</v>
      </c>
      <c r="J798" t="s">
        <v>2736</v>
      </c>
      <c r="K798" t="s">
        <v>2735</v>
      </c>
      <c r="L798" t="s">
        <v>2734</v>
      </c>
      <c r="M798" t="s">
        <v>2733</v>
      </c>
      <c r="N798">
        <v>3</v>
      </c>
      <c r="O798" t="s">
        <v>2732</v>
      </c>
      <c r="P798" t="s">
        <v>2731</v>
      </c>
      <c r="Q798" t="s">
        <v>2730</v>
      </c>
      <c r="R798" s="7">
        <v>37469</v>
      </c>
      <c r="S798" s="8">
        <f t="shared" si="96"/>
        <v>2002</v>
      </c>
      <c r="T798" s="8">
        <v>2002</v>
      </c>
      <c r="U798" s="8">
        <f t="shared" si="97"/>
        <v>20</v>
      </c>
      <c r="V798" s="7">
        <v>37469</v>
      </c>
      <c r="W798" t="s">
        <v>857</v>
      </c>
      <c r="X798" s="2">
        <v>2.9860000000000002</v>
      </c>
      <c r="Y798" s="6">
        <f t="shared" si="102"/>
        <v>7.9709564613865094E-2</v>
      </c>
      <c r="AA798">
        <v>7338716</v>
      </c>
      <c r="AB798">
        <v>18902</v>
      </c>
      <c r="AD798" t="s">
        <v>2</v>
      </c>
      <c r="AE798">
        <v>20</v>
      </c>
      <c r="AF798">
        <v>6</v>
      </c>
      <c r="AH798" t="s">
        <v>2729</v>
      </c>
      <c r="AI798" t="s">
        <v>2728</v>
      </c>
      <c r="AJ798" t="s">
        <v>2727</v>
      </c>
      <c r="AK798" t="s">
        <v>2726</v>
      </c>
      <c r="AL798">
        <v>50</v>
      </c>
      <c r="AM798" s="5">
        <f t="shared" si="98"/>
        <v>2.5</v>
      </c>
      <c r="AN798" s="4">
        <f t="shared" si="103"/>
        <v>3.7864445285876562E-3</v>
      </c>
      <c r="AO798" s="3"/>
      <c r="AP798">
        <v>0</v>
      </c>
      <c r="AR798" t="s">
        <v>1</v>
      </c>
      <c r="AT798" s="2" t="s">
        <v>0</v>
      </c>
      <c r="AU798" s="1">
        <f t="shared" si="99"/>
        <v>5.6932628588281862</v>
      </c>
      <c r="AV798" s="1">
        <f t="shared" si="100"/>
        <v>4.1748004571226378</v>
      </c>
      <c r="AW798" s="1">
        <f t="shared" si="101"/>
        <v>2.6563380554170886</v>
      </c>
    </row>
    <row r="799" spans="1:49" x14ac:dyDescent="0.2">
      <c r="A799">
        <v>797</v>
      </c>
      <c r="B799" t="s">
        <v>2725</v>
      </c>
      <c r="C799" t="s">
        <v>2724</v>
      </c>
      <c r="D799">
        <v>1011092002801220</v>
      </c>
      <c r="F799" t="s">
        <v>2723</v>
      </c>
      <c r="G799" t="s">
        <v>5</v>
      </c>
      <c r="H799" t="s">
        <v>4</v>
      </c>
      <c r="I799" t="s">
        <v>2437</v>
      </c>
      <c r="J799" t="s">
        <v>2722</v>
      </c>
      <c r="K799" t="s">
        <v>2721</v>
      </c>
      <c r="L799" t="s">
        <v>2720</v>
      </c>
      <c r="M799" t="s">
        <v>2719</v>
      </c>
      <c r="N799">
        <v>4</v>
      </c>
      <c r="O799" t="s">
        <v>2718</v>
      </c>
      <c r="P799" t="s">
        <v>2717</v>
      </c>
      <c r="Q799" t="s">
        <v>2716</v>
      </c>
      <c r="R799" s="7">
        <v>37469</v>
      </c>
      <c r="S799" s="8">
        <f t="shared" si="96"/>
        <v>2002</v>
      </c>
      <c r="T799" s="8">
        <v>2002</v>
      </c>
      <c r="U799" s="8">
        <f t="shared" si="97"/>
        <v>20</v>
      </c>
      <c r="V799" s="7">
        <v>37469</v>
      </c>
      <c r="W799" t="s">
        <v>857</v>
      </c>
      <c r="X799" s="2">
        <v>2.9860000000000002</v>
      </c>
      <c r="Y799" s="6">
        <f t="shared" si="102"/>
        <v>7.9709564613865094E-2</v>
      </c>
      <c r="AA799">
        <v>7338716</v>
      </c>
      <c r="AB799">
        <v>18902</v>
      </c>
      <c r="AD799" t="s">
        <v>2</v>
      </c>
      <c r="AE799">
        <v>20</v>
      </c>
      <c r="AF799">
        <v>6</v>
      </c>
      <c r="AH799" t="s">
        <v>2715</v>
      </c>
      <c r="AI799" t="s">
        <v>2714</v>
      </c>
      <c r="AJ799" t="s">
        <v>2713</v>
      </c>
      <c r="AK799" t="s">
        <v>2712</v>
      </c>
      <c r="AL799">
        <v>149</v>
      </c>
      <c r="AM799" s="5">
        <f t="shared" si="98"/>
        <v>7.45</v>
      </c>
      <c r="AN799" s="4">
        <f t="shared" si="103"/>
        <v>1.1283604695191216E-2</v>
      </c>
      <c r="AO799" s="3"/>
      <c r="AP799">
        <v>0</v>
      </c>
      <c r="AR799" t="s">
        <v>1</v>
      </c>
      <c r="AT799" s="2" t="s">
        <v>0</v>
      </c>
      <c r="AU799" s="1">
        <f t="shared" si="99"/>
        <v>5.9181776638262926</v>
      </c>
      <c r="AV799" s="1">
        <f t="shared" si="100"/>
        <v>4.5496584654528149</v>
      </c>
      <c r="AW799" s="1">
        <f t="shared" si="101"/>
        <v>3.1811392670793381</v>
      </c>
    </row>
    <row r="800" spans="1:49" x14ac:dyDescent="0.2">
      <c r="A800">
        <v>798</v>
      </c>
      <c r="B800" t="s">
        <v>2711</v>
      </c>
      <c r="C800" t="s">
        <v>2710</v>
      </c>
      <c r="D800">
        <v>1011092002800930</v>
      </c>
      <c r="F800" t="s">
        <v>2709</v>
      </c>
      <c r="G800" t="s">
        <v>5</v>
      </c>
      <c r="H800" t="s">
        <v>4</v>
      </c>
      <c r="I800" t="s">
        <v>2708</v>
      </c>
      <c r="J800" t="s">
        <v>836</v>
      </c>
      <c r="K800" t="s">
        <v>835</v>
      </c>
      <c r="L800" t="s">
        <v>834</v>
      </c>
      <c r="M800" t="s">
        <v>3</v>
      </c>
      <c r="N800">
        <v>4</v>
      </c>
      <c r="O800" t="s">
        <v>2707</v>
      </c>
      <c r="P800" t="s">
        <v>2706</v>
      </c>
      <c r="Q800" t="s">
        <v>2705</v>
      </c>
      <c r="R800" s="7">
        <v>37469</v>
      </c>
      <c r="S800" s="8">
        <f t="shared" si="96"/>
        <v>2002</v>
      </c>
      <c r="T800" s="8">
        <v>2002</v>
      </c>
      <c r="U800" s="8">
        <f t="shared" si="97"/>
        <v>20</v>
      </c>
      <c r="V800" s="7">
        <v>37469</v>
      </c>
      <c r="W800" t="s">
        <v>2704</v>
      </c>
      <c r="X800" s="2">
        <v>0.59599999999999997</v>
      </c>
      <c r="Y800" s="6">
        <f t="shared" si="102"/>
        <v>1.5909879608125784E-2</v>
      </c>
      <c r="AA800">
        <v>10577157</v>
      </c>
      <c r="AB800">
        <v>17276</v>
      </c>
      <c r="AD800" t="s">
        <v>2</v>
      </c>
      <c r="AE800">
        <v>11</v>
      </c>
      <c r="AF800">
        <v>4</v>
      </c>
      <c r="AH800" t="s">
        <v>2703</v>
      </c>
      <c r="AI800" t="s">
        <v>2702</v>
      </c>
      <c r="AJ800" t="s">
        <v>2701</v>
      </c>
      <c r="AK800" t="s">
        <v>2700</v>
      </c>
      <c r="AL800">
        <v>267</v>
      </c>
      <c r="AM800" s="5">
        <f t="shared" si="98"/>
        <v>13.35</v>
      </c>
      <c r="AN800" s="4">
        <f t="shared" si="103"/>
        <v>2.0219613782658085E-2</v>
      </c>
      <c r="AO800" s="3"/>
      <c r="AP800">
        <v>0</v>
      </c>
      <c r="AQ800" t="s">
        <v>831</v>
      </c>
      <c r="AR800" t="s">
        <v>2699</v>
      </c>
      <c r="AS800" t="s">
        <v>829</v>
      </c>
      <c r="AT800" s="2" t="s">
        <v>0</v>
      </c>
      <c r="AU800" s="1">
        <f t="shared" si="99"/>
        <v>1.7202799860485471</v>
      </c>
      <c r="AV800" s="1">
        <f t="shared" si="100"/>
        <v>1.8064746695391936</v>
      </c>
      <c r="AW800" s="1">
        <f t="shared" si="101"/>
        <v>1.8926693530298393</v>
      </c>
    </row>
    <row r="801" spans="1:49" x14ac:dyDescent="0.2">
      <c r="A801">
        <v>799</v>
      </c>
      <c r="B801" t="s">
        <v>2698</v>
      </c>
      <c r="C801" t="s">
        <v>2697</v>
      </c>
      <c r="D801">
        <v>1011092002801210</v>
      </c>
      <c r="F801" t="s">
        <v>2696</v>
      </c>
      <c r="G801" t="s">
        <v>5</v>
      </c>
      <c r="H801" t="s">
        <v>4</v>
      </c>
      <c r="I801" t="s">
        <v>2695</v>
      </c>
      <c r="J801" t="s">
        <v>2694</v>
      </c>
      <c r="K801" t="s">
        <v>2693</v>
      </c>
      <c r="L801" t="s">
        <v>2692</v>
      </c>
      <c r="M801" t="s">
        <v>2691</v>
      </c>
      <c r="N801">
        <v>3</v>
      </c>
      <c r="O801" t="s">
        <v>2690</v>
      </c>
      <c r="P801" t="s">
        <v>2689</v>
      </c>
      <c r="Q801" t="s">
        <v>2688</v>
      </c>
      <c r="R801" s="7">
        <v>37469</v>
      </c>
      <c r="S801" s="8">
        <f t="shared" si="96"/>
        <v>2002</v>
      </c>
      <c r="T801" s="8">
        <v>2002</v>
      </c>
      <c r="U801" s="8">
        <f t="shared" si="97"/>
        <v>20</v>
      </c>
      <c r="V801" s="7">
        <v>37469</v>
      </c>
      <c r="W801" t="s">
        <v>857</v>
      </c>
      <c r="X801" s="2">
        <v>2.9860000000000002</v>
      </c>
      <c r="Y801" s="6">
        <f t="shared" si="102"/>
        <v>7.9709564613865094E-2</v>
      </c>
      <c r="AA801">
        <v>7338716</v>
      </c>
      <c r="AB801">
        <v>18902</v>
      </c>
      <c r="AD801" t="s">
        <v>2</v>
      </c>
      <c r="AE801">
        <v>20</v>
      </c>
      <c r="AF801">
        <v>6</v>
      </c>
      <c r="AH801" t="s">
        <v>2687</v>
      </c>
      <c r="AI801" t="s">
        <v>2686</v>
      </c>
      <c r="AJ801" t="s">
        <v>2685</v>
      </c>
      <c r="AK801" t="s">
        <v>2684</v>
      </c>
      <c r="AL801">
        <v>147</v>
      </c>
      <c r="AM801" s="5">
        <f t="shared" si="98"/>
        <v>7.35</v>
      </c>
      <c r="AN801" s="4">
        <f t="shared" si="103"/>
        <v>1.1132146914047708E-2</v>
      </c>
      <c r="AO801" s="3"/>
      <c r="AP801">
        <v>0</v>
      </c>
      <c r="AR801" t="s">
        <v>1</v>
      </c>
      <c r="AT801" s="2" t="s">
        <v>0</v>
      </c>
      <c r="AU801" s="1">
        <f t="shared" si="99"/>
        <v>5.9136339303919874</v>
      </c>
      <c r="AV801" s="1">
        <f t="shared" si="100"/>
        <v>4.5420855763956398</v>
      </c>
      <c r="AW801" s="1">
        <f t="shared" si="101"/>
        <v>3.1705372223992923</v>
      </c>
    </row>
    <row r="802" spans="1:49" x14ac:dyDescent="0.2">
      <c r="A802">
        <v>800</v>
      </c>
      <c r="B802" t="s">
        <v>2683</v>
      </c>
      <c r="C802" t="s">
        <v>2682</v>
      </c>
      <c r="D802">
        <v>1011092002801310</v>
      </c>
      <c r="F802" t="s">
        <v>2681</v>
      </c>
      <c r="G802" t="s">
        <v>5</v>
      </c>
      <c r="H802" t="s">
        <v>4</v>
      </c>
      <c r="I802" t="s">
        <v>2680</v>
      </c>
      <c r="J802" t="s">
        <v>356</v>
      </c>
      <c r="K802" t="s">
        <v>355</v>
      </c>
      <c r="L802" t="s">
        <v>354</v>
      </c>
      <c r="M802" t="s">
        <v>3</v>
      </c>
      <c r="N802">
        <v>2</v>
      </c>
      <c r="O802" t="s">
        <v>2679</v>
      </c>
      <c r="P802" t="s">
        <v>2678</v>
      </c>
      <c r="Q802" t="s">
        <v>353</v>
      </c>
      <c r="R802" s="7">
        <v>37469</v>
      </c>
      <c r="S802" s="8">
        <f t="shared" si="96"/>
        <v>2002</v>
      </c>
      <c r="T802" s="8">
        <v>2002</v>
      </c>
      <c r="U802" s="8">
        <f t="shared" si="97"/>
        <v>20</v>
      </c>
      <c r="V802" s="7">
        <v>37469</v>
      </c>
      <c r="W802" t="s">
        <v>352</v>
      </c>
      <c r="X802" s="2">
        <v>1.3720000000000001</v>
      </c>
      <c r="Y802" s="6">
        <f t="shared" si="102"/>
        <v>3.662475641333654E-2</v>
      </c>
      <c r="AA802">
        <v>189480</v>
      </c>
      <c r="AB802">
        <v>17366</v>
      </c>
      <c r="AD802" t="s">
        <v>2</v>
      </c>
      <c r="AE802">
        <v>50</v>
      </c>
      <c r="AF802">
        <v>8</v>
      </c>
      <c r="AH802" t="s">
        <v>2677</v>
      </c>
      <c r="AI802" t="s">
        <v>2676</v>
      </c>
      <c r="AJ802" t="s">
        <v>2675</v>
      </c>
      <c r="AK802" t="s">
        <v>2674</v>
      </c>
      <c r="AL802">
        <v>85</v>
      </c>
      <c r="AM802" s="5">
        <f t="shared" si="98"/>
        <v>4.25</v>
      </c>
      <c r="AN802" s="4">
        <f t="shared" si="103"/>
        <v>6.4369556985990157E-3</v>
      </c>
      <c r="AO802" s="3"/>
      <c r="AP802">
        <v>0</v>
      </c>
      <c r="AR802" t="s">
        <v>1</v>
      </c>
      <c r="AT802" s="2" t="s">
        <v>0</v>
      </c>
      <c r="AU802" s="1">
        <f t="shared" si="99"/>
        <v>2.756841619891528</v>
      </c>
      <c r="AV802" s="1">
        <f t="shared" si="100"/>
        <v>2.1530856055967775</v>
      </c>
      <c r="AW802" s="1">
        <f t="shared" si="101"/>
        <v>1.5493295913020273</v>
      </c>
    </row>
    <row r="803" spans="1:49" x14ac:dyDescent="0.2">
      <c r="A803">
        <v>801</v>
      </c>
      <c r="B803" t="s">
        <v>2673</v>
      </c>
      <c r="F803" t="s">
        <v>2672</v>
      </c>
      <c r="G803" t="s">
        <v>5</v>
      </c>
      <c r="H803" t="s">
        <v>4</v>
      </c>
      <c r="I803" t="s">
        <v>2671</v>
      </c>
      <c r="J803">
        <v>60014982</v>
      </c>
      <c r="K803" t="s">
        <v>2670</v>
      </c>
      <c r="L803" t="s">
        <v>2669</v>
      </c>
      <c r="M803" t="s">
        <v>135</v>
      </c>
      <c r="N803">
        <v>3</v>
      </c>
      <c r="O803" t="s">
        <v>2668</v>
      </c>
      <c r="P803" t="s">
        <v>2667</v>
      </c>
      <c r="Q803" t="s">
        <v>2666</v>
      </c>
      <c r="R803" s="7">
        <v>37469</v>
      </c>
      <c r="S803" s="8">
        <f t="shared" si="96"/>
        <v>2002</v>
      </c>
      <c r="T803" s="8">
        <v>2002</v>
      </c>
      <c r="U803" s="8">
        <f t="shared" si="97"/>
        <v>20</v>
      </c>
      <c r="V803" s="7">
        <v>37469</v>
      </c>
      <c r="W803" t="s">
        <v>849</v>
      </c>
      <c r="X803" s="2" t="s">
        <v>0</v>
      </c>
      <c r="Y803" s="6" t="e">
        <f t="shared" si="102"/>
        <v>#VALUE!</v>
      </c>
      <c r="AA803">
        <v>10234462</v>
      </c>
      <c r="AB803">
        <v>19855</v>
      </c>
      <c r="AD803" t="s">
        <v>2</v>
      </c>
      <c r="AE803">
        <v>9</v>
      </c>
      <c r="AF803">
        <v>3</v>
      </c>
      <c r="AH803" t="s">
        <v>2665</v>
      </c>
      <c r="AI803" t="s">
        <v>2664</v>
      </c>
      <c r="AJ803" t="s">
        <v>2663</v>
      </c>
      <c r="AK803" t="s">
        <v>2662</v>
      </c>
      <c r="AL803">
        <v>0</v>
      </c>
      <c r="AM803" s="5">
        <f t="shared" si="98"/>
        <v>0</v>
      </c>
      <c r="AN803" s="4">
        <f t="shared" si="103"/>
        <v>0</v>
      </c>
      <c r="AO803" s="3"/>
      <c r="AP803">
        <v>0</v>
      </c>
      <c r="AR803" t="s">
        <v>1</v>
      </c>
      <c r="AT803" s="2" t="s">
        <v>0</v>
      </c>
      <c r="AU803" s="1" t="e">
        <f t="shared" si="99"/>
        <v>#VALUE!</v>
      </c>
      <c r="AV803" s="1" t="e">
        <f t="shared" si="100"/>
        <v>#VALUE!</v>
      </c>
      <c r="AW803" s="1" t="e">
        <f t="shared" si="101"/>
        <v>#VALUE!</v>
      </c>
    </row>
    <row r="804" spans="1:49" x14ac:dyDescent="0.2">
      <c r="A804">
        <v>802</v>
      </c>
      <c r="B804" t="s">
        <v>2661</v>
      </c>
      <c r="C804" t="s">
        <v>2660</v>
      </c>
      <c r="F804" t="s">
        <v>2659</v>
      </c>
      <c r="G804" t="s">
        <v>5</v>
      </c>
      <c r="H804" t="s">
        <v>4</v>
      </c>
      <c r="I804" t="s">
        <v>2658</v>
      </c>
      <c r="J804">
        <v>60004636</v>
      </c>
      <c r="K804" t="s">
        <v>753</v>
      </c>
      <c r="L804" t="s">
        <v>752</v>
      </c>
      <c r="M804" t="s">
        <v>41</v>
      </c>
      <c r="N804">
        <v>3</v>
      </c>
      <c r="O804" t="s">
        <v>2657</v>
      </c>
      <c r="P804" t="s">
        <v>2656</v>
      </c>
      <c r="Q804" t="s">
        <v>2655</v>
      </c>
      <c r="R804" s="7">
        <v>37469</v>
      </c>
      <c r="S804" s="8">
        <f t="shared" si="96"/>
        <v>2002</v>
      </c>
      <c r="T804" s="8">
        <v>2002</v>
      </c>
      <c r="U804" s="8">
        <f t="shared" si="97"/>
        <v>20</v>
      </c>
      <c r="V804" s="7">
        <v>37469</v>
      </c>
      <c r="W804" t="s">
        <v>786</v>
      </c>
      <c r="X804" s="2">
        <v>0.375</v>
      </c>
      <c r="Y804" s="6">
        <f t="shared" si="102"/>
        <v>1.0010410827260351E-2</v>
      </c>
      <c r="AA804">
        <v>135194</v>
      </c>
      <c r="AB804">
        <v>24918</v>
      </c>
      <c r="AD804" t="s">
        <v>2</v>
      </c>
      <c r="AE804">
        <v>38</v>
      </c>
      <c r="AF804">
        <v>16</v>
      </c>
      <c r="AH804" t="s">
        <v>2654</v>
      </c>
      <c r="AI804" t="s">
        <v>2653</v>
      </c>
      <c r="AK804" t="s">
        <v>2652</v>
      </c>
      <c r="AL804">
        <v>0</v>
      </c>
      <c r="AM804" s="5">
        <f t="shared" si="98"/>
        <v>0</v>
      </c>
      <c r="AN804" s="4">
        <f t="shared" si="103"/>
        <v>0</v>
      </c>
      <c r="AO804" s="3"/>
      <c r="AP804">
        <v>0</v>
      </c>
      <c r="AR804" t="s">
        <v>1</v>
      </c>
      <c r="AT804" s="2">
        <v>1.3140000000000001</v>
      </c>
      <c r="AU804" s="1">
        <f t="shared" si="99"/>
        <v>0.70072875790822453</v>
      </c>
      <c r="AV804" s="1">
        <f t="shared" si="100"/>
        <v>0.5005205413630176</v>
      </c>
      <c r="AW804" s="1">
        <f t="shared" si="101"/>
        <v>0.30031232481781051</v>
      </c>
    </row>
    <row r="805" spans="1:49" x14ac:dyDescent="0.2">
      <c r="A805">
        <v>803</v>
      </c>
      <c r="B805" t="s">
        <v>2651</v>
      </c>
      <c r="C805" t="s">
        <v>2650</v>
      </c>
      <c r="F805" t="s">
        <v>2649</v>
      </c>
      <c r="G805" t="s">
        <v>5</v>
      </c>
      <c r="H805" t="s">
        <v>4</v>
      </c>
      <c r="I805" t="s">
        <v>2648</v>
      </c>
      <c r="J805" t="s">
        <v>2647</v>
      </c>
      <c r="K805" t="s">
        <v>2646</v>
      </c>
      <c r="L805" t="s">
        <v>2645</v>
      </c>
      <c r="M805" t="s">
        <v>486</v>
      </c>
      <c r="N805">
        <v>4</v>
      </c>
      <c r="O805" t="s">
        <v>2644</v>
      </c>
      <c r="P805" t="s">
        <v>2643</v>
      </c>
      <c r="Q805" t="s">
        <v>2642</v>
      </c>
      <c r="R805" s="7">
        <v>37469</v>
      </c>
      <c r="S805" s="8">
        <f t="shared" si="96"/>
        <v>2002</v>
      </c>
      <c r="T805" s="8">
        <v>2002</v>
      </c>
      <c r="U805" s="8">
        <f t="shared" si="97"/>
        <v>20</v>
      </c>
      <c r="V805" s="7">
        <v>37469</v>
      </c>
      <c r="W805" t="s">
        <v>786</v>
      </c>
      <c r="X805" s="2">
        <v>0.375</v>
      </c>
      <c r="Y805" s="6">
        <f t="shared" si="102"/>
        <v>1.0010410827260351E-2</v>
      </c>
      <c r="AA805">
        <v>135194</v>
      </c>
      <c r="AB805">
        <v>24918</v>
      </c>
      <c r="AD805" t="s">
        <v>2</v>
      </c>
      <c r="AE805">
        <v>38</v>
      </c>
      <c r="AF805">
        <v>16</v>
      </c>
      <c r="AH805" t="s">
        <v>2641</v>
      </c>
      <c r="AI805" t="s">
        <v>2640</v>
      </c>
      <c r="AK805" t="s">
        <v>2639</v>
      </c>
      <c r="AL805">
        <v>2</v>
      </c>
      <c r="AM805" s="5">
        <f t="shared" si="98"/>
        <v>0.1</v>
      </c>
      <c r="AN805" s="4">
        <f t="shared" si="103"/>
        <v>1.5145778114350627E-4</v>
      </c>
      <c r="AO805" s="3"/>
      <c r="AP805">
        <v>0</v>
      </c>
      <c r="AR805" t="s">
        <v>1</v>
      </c>
      <c r="AT805" s="2">
        <v>1.3140000000000001</v>
      </c>
      <c r="AU805" s="1">
        <f t="shared" si="99"/>
        <v>0.70527249134252978</v>
      </c>
      <c r="AV805" s="1">
        <f t="shared" si="100"/>
        <v>0.50809343042019284</v>
      </c>
      <c r="AW805" s="1">
        <f t="shared" si="101"/>
        <v>0.31091436949785595</v>
      </c>
    </row>
    <row r="806" spans="1:49" x14ac:dyDescent="0.2">
      <c r="A806">
        <v>804</v>
      </c>
      <c r="B806" t="s">
        <v>2638</v>
      </c>
      <c r="C806" t="s">
        <v>2637</v>
      </c>
      <c r="F806" t="s">
        <v>2636</v>
      </c>
      <c r="G806" t="s">
        <v>5</v>
      </c>
      <c r="H806" t="s">
        <v>4</v>
      </c>
      <c r="I806" t="s">
        <v>2635</v>
      </c>
      <c r="J806">
        <v>60007087</v>
      </c>
      <c r="K806" t="s">
        <v>2634</v>
      </c>
      <c r="L806" t="s">
        <v>2633</v>
      </c>
      <c r="M806" t="s">
        <v>2632</v>
      </c>
      <c r="N806">
        <v>3</v>
      </c>
      <c r="O806" t="s">
        <v>2631</v>
      </c>
      <c r="P806" t="s">
        <v>2630</v>
      </c>
      <c r="Q806" t="s">
        <v>2629</v>
      </c>
      <c r="R806" s="7">
        <v>37469</v>
      </c>
      <c r="S806" s="8">
        <f t="shared" si="96"/>
        <v>2002</v>
      </c>
      <c r="T806" s="8">
        <v>2002</v>
      </c>
      <c r="U806" s="8">
        <f t="shared" si="97"/>
        <v>20</v>
      </c>
      <c r="V806" s="7">
        <v>37469</v>
      </c>
      <c r="W806" t="s">
        <v>786</v>
      </c>
      <c r="X806" s="2">
        <v>0.375</v>
      </c>
      <c r="Y806" s="6">
        <f t="shared" si="102"/>
        <v>1.0010410827260351E-2</v>
      </c>
      <c r="AA806">
        <v>135194</v>
      </c>
      <c r="AB806">
        <v>24918</v>
      </c>
      <c r="AD806" t="s">
        <v>2</v>
      </c>
      <c r="AE806">
        <v>38</v>
      </c>
      <c r="AF806">
        <v>16</v>
      </c>
      <c r="AH806" t="s">
        <v>2628</v>
      </c>
      <c r="AI806" t="s">
        <v>2627</v>
      </c>
      <c r="AK806" t="s">
        <v>2626</v>
      </c>
      <c r="AL806">
        <v>9</v>
      </c>
      <c r="AM806" s="5">
        <f t="shared" si="98"/>
        <v>0.45</v>
      </c>
      <c r="AN806" s="4">
        <f t="shared" si="103"/>
        <v>6.8156001514577808E-4</v>
      </c>
      <c r="AO806" s="3"/>
      <c r="AP806">
        <v>0</v>
      </c>
      <c r="AR806" t="s">
        <v>1</v>
      </c>
      <c r="AT806" s="2">
        <v>1.3140000000000001</v>
      </c>
      <c r="AU806" s="1">
        <f t="shared" si="99"/>
        <v>0.72117555836259795</v>
      </c>
      <c r="AV806" s="1">
        <f t="shared" si="100"/>
        <v>0.53459854212030644</v>
      </c>
      <c r="AW806" s="1">
        <f t="shared" si="101"/>
        <v>0.34802152587801499</v>
      </c>
    </row>
    <row r="807" spans="1:49" x14ac:dyDescent="0.2">
      <c r="A807">
        <v>805</v>
      </c>
      <c r="B807" t="s">
        <v>2625</v>
      </c>
      <c r="C807" t="s">
        <v>2624</v>
      </c>
      <c r="F807" t="s">
        <v>2623</v>
      </c>
      <c r="G807" t="s">
        <v>5</v>
      </c>
      <c r="H807" t="s">
        <v>4</v>
      </c>
      <c r="I807" t="s">
        <v>2622</v>
      </c>
      <c r="J807" t="s">
        <v>2621</v>
      </c>
      <c r="K807" t="s">
        <v>2620</v>
      </c>
      <c r="L807" t="s">
        <v>2619</v>
      </c>
      <c r="M807" t="s">
        <v>2618</v>
      </c>
      <c r="N807">
        <v>5</v>
      </c>
      <c r="O807" t="s">
        <v>2617</v>
      </c>
      <c r="P807" t="s">
        <v>2616</v>
      </c>
      <c r="Q807" t="s">
        <v>2615</v>
      </c>
      <c r="R807" s="7">
        <v>37469</v>
      </c>
      <c r="S807" s="8">
        <f t="shared" si="96"/>
        <v>2002</v>
      </c>
      <c r="T807" s="8">
        <v>2002</v>
      </c>
      <c r="U807" s="8">
        <f t="shared" si="97"/>
        <v>20</v>
      </c>
      <c r="V807" s="7">
        <v>37469</v>
      </c>
      <c r="W807" t="s">
        <v>786</v>
      </c>
      <c r="X807" s="2">
        <v>0.375</v>
      </c>
      <c r="Y807" s="6">
        <f t="shared" si="102"/>
        <v>1.0010410827260351E-2</v>
      </c>
      <c r="AA807">
        <v>135194</v>
      </c>
      <c r="AB807">
        <v>24918</v>
      </c>
      <c r="AD807" t="s">
        <v>2</v>
      </c>
      <c r="AE807">
        <v>38</v>
      </c>
      <c r="AF807">
        <v>16</v>
      </c>
      <c r="AH807" t="s">
        <v>2614</v>
      </c>
      <c r="AI807" t="s">
        <v>2613</v>
      </c>
      <c r="AK807" t="s">
        <v>2612</v>
      </c>
      <c r="AL807">
        <v>5</v>
      </c>
      <c r="AM807" s="5">
        <f t="shared" si="98"/>
        <v>0.25</v>
      </c>
      <c r="AN807" s="4">
        <f t="shared" si="103"/>
        <v>3.786444528587656E-4</v>
      </c>
      <c r="AO807" s="3"/>
      <c r="AP807">
        <v>0</v>
      </c>
      <c r="AR807" t="s">
        <v>1</v>
      </c>
      <c r="AT807" s="2">
        <v>1.3140000000000001</v>
      </c>
      <c r="AU807" s="1">
        <f t="shared" si="99"/>
        <v>0.71208809149398755</v>
      </c>
      <c r="AV807" s="1">
        <f t="shared" si="100"/>
        <v>0.51945276400595586</v>
      </c>
      <c r="AW807" s="1">
        <f t="shared" si="101"/>
        <v>0.32681743651792411</v>
      </c>
    </row>
    <row r="808" spans="1:49" x14ac:dyDescent="0.2">
      <c r="A808">
        <v>806</v>
      </c>
      <c r="B808" t="s">
        <v>2611</v>
      </c>
      <c r="C808" t="s">
        <v>2610</v>
      </c>
      <c r="D808" t="s">
        <v>2609</v>
      </c>
      <c r="F808" t="s">
        <v>2608</v>
      </c>
      <c r="G808" t="s">
        <v>5</v>
      </c>
      <c r="H808" t="s">
        <v>4</v>
      </c>
      <c r="I808" t="s">
        <v>2607</v>
      </c>
      <c r="J808">
        <v>60011055</v>
      </c>
      <c r="K808" t="s">
        <v>536</v>
      </c>
      <c r="L808" t="s">
        <v>137</v>
      </c>
      <c r="M808" t="s">
        <v>112</v>
      </c>
      <c r="N808">
        <v>8</v>
      </c>
      <c r="O808" t="s">
        <v>2606</v>
      </c>
      <c r="P808" t="s">
        <v>2605</v>
      </c>
      <c r="Q808" t="s">
        <v>2604</v>
      </c>
      <c r="R808" s="7">
        <v>37469</v>
      </c>
      <c r="S808" s="8">
        <f t="shared" si="96"/>
        <v>2002</v>
      </c>
      <c r="T808" s="8">
        <v>2002</v>
      </c>
      <c r="U808" s="8">
        <f t="shared" si="97"/>
        <v>20</v>
      </c>
      <c r="V808" s="7">
        <v>37469</v>
      </c>
      <c r="W808" t="s">
        <v>1072</v>
      </c>
      <c r="X808" s="2">
        <v>0.81</v>
      </c>
      <c r="Y808" s="6">
        <f t="shared" si="102"/>
        <v>2.1622487386882359E-2</v>
      </c>
      <c r="AA808">
        <v>10411135</v>
      </c>
      <c r="AB808">
        <v>12116</v>
      </c>
      <c r="AD808" t="s">
        <v>2</v>
      </c>
      <c r="AE808">
        <v>14</v>
      </c>
      <c r="AF808">
        <v>8</v>
      </c>
      <c r="AH808" t="s">
        <v>2603</v>
      </c>
      <c r="AI808" t="s">
        <v>2602</v>
      </c>
      <c r="AJ808" t="s">
        <v>2601</v>
      </c>
      <c r="AK808" t="s">
        <v>2600</v>
      </c>
      <c r="AL808">
        <v>23</v>
      </c>
      <c r="AM808" s="5">
        <f t="shared" si="98"/>
        <v>1.1499999999999999</v>
      </c>
      <c r="AN808" s="4">
        <f t="shared" si="103"/>
        <v>1.7417644831503216E-3</v>
      </c>
      <c r="AO808" s="3"/>
      <c r="AP808">
        <v>0</v>
      </c>
      <c r="AQ808" t="s">
        <v>2599</v>
      </c>
      <c r="AR808" t="s">
        <v>1</v>
      </c>
      <c r="AS808" t="s">
        <v>2598</v>
      </c>
      <c r="AT808" s="2">
        <v>2.468</v>
      </c>
      <c r="AU808" s="1">
        <f t="shared" si="99"/>
        <v>1.5658270515762747</v>
      </c>
      <c r="AV808" s="1">
        <f t="shared" si="100"/>
        <v>1.1682125935016341</v>
      </c>
      <c r="AW808" s="1">
        <f t="shared" si="101"/>
        <v>0.77059813542699329</v>
      </c>
    </row>
    <row r="809" spans="1:49" x14ac:dyDescent="0.2">
      <c r="A809">
        <v>807</v>
      </c>
      <c r="B809" t="s">
        <v>2597</v>
      </c>
      <c r="C809" t="s">
        <v>2596</v>
      </c>
      <c r="F809" t="s">
        <v>2595</v>
      </c>
      <c r="G809" t="s">
        <v>5</v>
      </c>
      <c r="H809" t="s">
        <v>4</v>
      </c>
      <c r="I809" t="s">
        <v>2594</v>
      </c>
      <c r="J809" t="s">
        <v>2593</v>
      </c>
      <c r="K809" t="s">
        <v>2592</v>
      </c>
      <c r="L809" t="s">
        <v>2591</v>
      </c>
      <c r="M809" t="s">
        <v>2590</v>
      </c>
      <c r="N809">
        <v>7</v>
      </c>
      <c r="O809" t="s">
        <v>2589</v>
      </c>
      <c r="P809" t="s">
        <v>2588</v>
      </c>
      <c r="Q809" t="s">
        <v>2587</v>
      </c>
      <c r="R809" s="7">
        <v>37469</v>
      </c>
      <c r="S809" s="8">
        <f t="shared" si="96"/>
        <v>2002</v>
      </c>
      <c r="T809" s="8">
        <v>2002</v>
      </c>
      <c r="U809" s="8">
        <f t="shared" si="97"/>
        <v>20</v>
      </c>
      <c r="V809" s="7">
        <v>37469</v>
      </c>
      <c r="W809" t="s">
        <v>786</v>
      </c>
      <c r="X809" s="2">
        <v>0.375</v>
      </c>
      <c r="Y809" s="6">
        <f t="shared" si="102"/>
        <v>1.0010410827260351E-2</v>
      </c>
      <c r="AA809">
        <v>135194</v>
      </c>
      <c r="AB809">
        <v>24918</v>
      </c>
      <c r="AD809" t="s">
        <v>2</v>
      </c>
      <c r="AE809">
        <v>38</v>
      </c>
      <c r="AF809">
        <v>16</v>
      </c>
      <c r="AH809" t="s">
        <v>2586</v>
      </c>
      <c r="AI809" t="s">
        <v>2585</v>
      </c>
      <c r="AK809" t="s">
        <v>2584</v>
      </c>
      <c r="AL809">
        <v>25</v>
      </c>
      <c r="AM809" s="5">
        <f t="shared" si="98"/>
        <v>1.25</v>
      </c>
      <c r="AN809" s="4">
        <f t="shared" si="103"/>
        <v>1.8932222642938281E-3</v>
      </c>
      <c r="AO809" s="3"/>
      <c r="AP809">
        <v>0</v>
      </c>
      <c r="AR809" t="s">
        <v>1</v>
      </c>
      <c r="AT809" s="2">
        <v>1.3140000000000001</v>
      </c>
      <c r="AU809" s="1">
        <f t="shared" si="99"/>
        <v>0.75752542583703941</v>
      </c>
      <c r="AV809" s="1">
        <f t="shared" si="100"/>
        <v>0.595181654577709</v>
      </c>
      <c r="AW809" s="1">
        <f t="shared" si="101"/>
        <v>0.43283788331837847</v>
      </c>
    </row>
    <row r="810" spans="1:49" x14ac:dyDescent="0.2">
      <c r="A810">
        <v>808</v>
      </c>
      <c r="B810" t="s">
        <v>2583</v>
      </c>
      <c r="C810" t="s">
        <v>2582</v>
      </c>
      <c r="D810">
        <v>1011092002800400</v>
      </c>
      <c r="F810" t="s">
        <v>2581</v>
      </c>
      <c r="G810" t="s">
        <v>5</v>
      </c>
      <c r="H810" t="s">
        <v>4</v>
      </c>
      <c r="I810" t="s">
        <v>2580</v>
      </c>
      <c r="J810" t="s">
        <v>924</v>
      </c>
      <c r="K810" t="s">
        <v>923</v>
      </c>
      <c r="L810" t="s">
        <v>843</v>
      </c>
      <c r="M810" t="s">
        <v>842</v>
      </c>
      <c r="N810">
        <v>2</v>
      </c>
      <c r="O810" t="s">
        <v>2579</v>
      </c>
      <c r="P810" t="s">
        <v>2578</v>
      </c>
      <c r="Q810" t="s">
        <v>2577</v>
      </c>
      <c r="R810" s="7">
        <v>37469</v>
      </c>
      <c r="S810" s="8">
        <f t="shared" si="96"/>
        <v>2002</v>
      </c>
      <c r="T810" s="8">
        <v>2002</v>
      </c>
      <c r="U810" s="8">
        <f t="shared" si="97"/>
        <v>20</v>
      </c>
      <c r="V810" s="7">
        <v>37469</v>
      </c>
      <c r="W810" t="s">
        <v>322</v>
      </c>
      <c r="X810" s="2">
        <v>1.6379999999999999</v>
      </c>
      <c r="Y810" s="6">
        <f t="shared" si="102"/>
        <v>4.3725474493473214E-2</v>
      </c>
      <c r="AA810" t="s">
        <v>321</v>
      </c>
      <c r="AB810">
        <v>17391</v>
      </c>
      <c r="AD810" t="s">
        <v>2</v>
      </c>
      <c r="AE810">
        <v>50</v>
      </c>
      <c r="AF810">
        <v>8</v>
      </c>
      <c r="AH810" t="s">
        <v>2576</v>
      </c>
      <c r="AI810" t="s">
        <v>2575</v>
      </c>
      <c r="AJ810" t="s">
        <v>2574</v>
      </c>
      <c r="AK810" t="s">
        <v>2573</v>
      </c>
      <c r="AL810">
        <v>6</v>
      </c>
      <c r="AM810" s="5">
        <f t="shared" si="98"/>
        <v>0.3</v>
      </c>
      <c r="AN810" s="4">
        <f t="shared" si="103"/>
        <v>4.5437334343051872E-4</v>
      </c>
      <c r="AO810" s="3"/>
      <c r="AP810">
        <v>0</v>
      </c>
      <c r="AR810" t="s">
        <v>1</v>
      </c>
      <c r="AT810" s="2">
        <v>4.931</v>
      </c>
      <c r="AU810" s="1">
        <f t="shared" si="99"/>
        <v>3.0744144148460406</v>
      </c>
      <c r="AV810" s="1">
        <f t="shared" si="100"/>
        <v>2.2089923918451868</v>
      </c>
      <c r="AW810" s="1">
        <f t="shared" si="101"/>
        <v>1.3435703688443328</v>
      </c>
    </row>
    <row r="811" spans="1:49" x14ac:dyDescent="0.2">
      <c r="A811">
        <v>809</v>
      </c>
      <c r="B811" t="s">
        <v>2572</v>
      </c>
      <c r="C811" t="s">
        <v>2571</v>
      </c>
      <c r="E811">
        <v>12145194</v>
      </c>
      <c r="F811" t="s">
        <v>2570</v>
      </c>
      <c r="G811" t="s">
        <v>5</v>
      </c>
      <c r="H811" t="s">
        <v>4</v>
      </c>
      <c r="I811" t="s">
        <v>2569</v>
      </c>
      <c r="J811">
        <v>60001881</v>
      </c>
      <c r="K811" t="s">
        <v>2568</v>
      </c>
      <c r="L811" t="s">
        <v>2567</v>
      </c>
      <c r="M811" t="s">
        <v>41</v>
      </c>
      <c r="N811">
        <v>7</v>
      </c>
      <c r="O811" t="s">
        <v>2566</v>
      </c>
      <c r="P811" t="s">
        <v>2565</v>
      </c>
      <c r="Q811" t="s">
        <v>2564</v>
      </c>
      <c r="R811" s="7">
        <v>37469</v>
      </c>
      <c r="S811" s="8">
        <f t="shared" si="96"/>
        <v>2002</v>
      </c>
      <c r="T811" s="8">
        <v>2002</v>
      </c>
      <c r="U811" s="8">
        <f t="shared" si="97"/>
        <v>20</v>
      </c>
      <c r="V811" s="7">
        <v>37469</v>
      </c>
      <c r="W811" t="s">
        <v>2563</v>
      </c>
      <c r="X811" s="2">
        <v>7.484</v>
      </c>
      <c r="Y811" s="6">
        <f t="shared" si="102"/>
        <v>0.19978110568324392</v>
      </c>
      <c r="AA811">
        <v>2614189</v>
      </c>
      <c r="AB811">
        <v>17435</v>
      </c>
      <c r="AD811" t="s">
        <v>2</v>
      </c>
      <c r="AE811">
        <v>21</v>
      </c>
      <c r="AF811">
        <v>15</v>
      </c>
      <c r="AH811" t="s">
        <v>2562</v>
      </c>
      <c r="AI811" t="s">
        <v>2561</v>
      </c>
      <c r="AJ811" t="s">
        <v>2560</v>
      </c>
      <c r="AK811" t="s">
        <v>2559</v>
      </c>
      <c r="AL811">
        <v>126</v>
      </c>
      <c r="AM811" s="5">
        <f t="shared" si="98"/>
        <v>6.3</v>
      </c>
      <c r="AN811" s="4">
        <f t="shared" si="103"/>
        <v>9.5418402120408929E-3</v>
      </c>
      <c r="AO811" s="3"/>
      <c r="AP811">
        <v>0</v>
      </c>
      <c r="AR811" t="s">
        <v>1</v>
      </c>
      <c r="AT811" s="2">
        <v>11.598000000000001</v>
      </c>
      <c r="AU811" s="1">
        <f t="shared" si="99"/>
        <v>14.2709326041883</v>
      </c>
      <c r="AV811" s="1">
        <f t="shared" si="100"/>
        <v>10.466147294764241</v>
      </c>
      <c r="AW811" s="1">
        <f t="shared" si="101"/>
        <v>6.6613619853401795</v>
      </c>
    </row>
    <row r="812" spans="1:49" x14ac:dyDescent="0.2">
      <c r="A812">
        <v>810</v>
      </c>
      <c r="B812" t="s">
        <v>2558</v>
      </c>
      <c r="C812" t="s">
        <v>2557</v>
      </c>
      <c r="D812" t="s">
        <v>2556</v>
      </c>
      <c r="F812" t="s">
        <v>2555</v>
      </c>
      <c r="G812" t="s">
        <v>5</v>
      </c>
      <c r="H812" t="s">
        <v>4</v>
      </c>
      <c r="I812" t="s">
        <v>2554</v>
      </c>
      <c r="J812" t="s">
        <v>2549</v>
      </c>
      <c r="K812" t="s">
        <v>2553</v>
      </c>
      <c r="L812" t="s">
        <v>2552</v>
      </c>
      <c r="M812" t="s">
        <v>59</v>
      </c>
      <c r="N812">
        <v>2</v>
      </c>
      <c r="O812" t="s">
        <v>2551</v>
      </c>
      <c r="P812" t="s">
        <v>2550</v>
      </c>
      <c r="Q812" t="s">
        <v>2549</v>
      </c>
      <c r="R812" s="7">
        <v>37469</v>
      </c>
      <c r="S812" s="8">
        <f t="shared" si="96"/>
        <v>2002</v>
      </c>
      <c r="T812" s="8">
        <v>2002</v>
      </c>
      <c r="U812" s="8">
        <f t="shared" si="97"/>
        <v>20</v>
      </c>
      <c r="V812" s="7">
        <v>37469</v>
      </c>
      <c r="W812" t="s">
        <v>320</v>
      </c>
      <c r="X812" s="2">
        <v>0.90700000000000003</v>
      </c>
      <c r="Y812" s="6">
        <f t="shared" si="102"/>
        <v>2.4211846987533703E-2</v>
      </c>
      <c r="AA812">
        <v>1651684</v>
      </c>
      <c r="AB812">
        <v>25548</v>
      </c>
      <c r="AD812" t="s">
        <v>2</v>
      </c>
      <c r="AE812">
        <v>82</v>
      </c>
      <c r="AF812">
        <v>8</v>
      </c>
      <c r="AH812" t="s">
        <v>2548</v>
      </c>
      <c r="AI812" t="s">
        <v>2547</v>
      </c>
      <c r="AJ812" t="s">
        <v>2546</v>
      </c>
      <c r="AK812" t="s">
        <v>2545</v>
      </c>
      <c r="AL812">
        <v>5</v>
      </c>
      <c r="AM812" s="5">
        <f t="shared" si="98"/>
        <v>0.25</v>
      </c>
      <c r="AN812" s="4">
        <f t="shared" si="103"/>
        <v>3.786444528587656E-4</v>
      </c>
      <c r="AO812" s="3"/>
      <c r="AP812">
        <v>0</v>
      </c>
      <c r="AR812" t="s">
        <v>1</v>
      </c>
      <c r="AT812" s="2">
        <v>4.6619999999999999</v>
      </c>
      <c r="AU812" s="1">
        <f t="shared" si="99"/>
        <v>1.7061886227131218</v>
      </c>
      <c r="AV812" s="1">
        <f t="shared" si="100"/>
        <v>1.2295245720196235</v>
      </c>
      <c r="AW812" s="1">
        <f t="shared" si="101"/>
        <v>0.75286052132612458</v>
      </c>
    </row>
    <row r="813" spans="1:49" x14ac:dyDescent="0.2">
      <c r="A813">
        <v>811</v>
      </c>
      <c r="B813" t="s">
        <v>2544</v>
      </c>
      <c r="C813" t="s">
        <v>2543</v>
      </c>
      <c r="D813" t="s">
        <v>2542</v>
      </c>
      <c r="F813" t="s">
        <v>2541</v>
      </c>
      <c r="G813" t="s">
        <v>5</v>
      </c>
      <c r="H813" t="s">
        <v>4</v>
      </c>
      <c r="I813" t="s">
        <v>684</v>
      </c>
      <c r="J813" t="s">
        <v>2536</v>
      </c>
      <c r="K813" t="s">
        <v>2540</v>
      </c>
      <c r="L813" t="s">
        <v>2539</v>
      </c>
      <c r="M813" t="s">
        <v>88</v>
      </c>
      <c r="N813">
        <v>2</v>
      </c>
      <c r="O813" t="s">
        <v>2538</v>
      </c>
      <c r="P813" t="s">
        <v>2537</v>
      </c>
      <c r="Q813" t="s">
        <v>2536</v>
      </c>
      <c r="R813" s="7">
        <v>37469</v>
      </c>
      <c r="S813" s="8">
        <f t="shared" si="96"/>
        <v>2002</v>
      </c>
      <c r="T813" s="8">
        <v>2002</v>
      </c>
      <c r="U813" s="8">
        <f t="shared" si="97"/>
        <v>20</v>
      </c>
      <c r="V813" s="7">
        <v>37469</v>
      </c>
      <c r="W813" t="s">
        <v>320</v>
      </c>
      <c r="X813" s="2">
        <v>0.90700000000000003</v>
      </c>
      <c r="Y813" s="6">
        <f t="shared" si="102"/>
        <v>2.4211846987533703E-2</v>
      </c>
      <c r="AA813">
        <v>1651684</v>
      </c>
      <c r="AB813">
        <v>25548</v>
      </c>
      <c r="AD813" t="s">
        <v>2</v>
      </c>
      <c r="AE813">
        <v>82</v>
      </c>
      <c r="AF813">
        <v>8</v>
      </c>
      <c r="AH813" t="s">
        <v>2535</v>
      </c>
      <c r="AI813" t="s">
        <v>2534</v>
      </c>
      <c r="AJ813" t="s">
        <v>2533</v>
      </c>
      <c r="AK813" t="s">
        <v>2532</v>
      </c>
      <c r="AL813">
        <v>5</v>
      </c>
      <c r="AM813" s="5">
        <f t="shared" si="98"/>
        <v>0.25</v>
      </c>
      <c r="AN813" s="4">
        <f t="shared" si="103"/>
        <v>3.786444528587656E-4</v>
      </c>
      <c r="AO813" s="3"/>
      <c r="AP813">
        <v>0</v>
      </c>
      <c r="AR813" t="s">
        <v>1</v>
      </c>
      <c r="AT813" s="2">
        <v>4.6619999999999999</v>
      </c>
      <c r="AU813" s="1">
        <f t="shared" si="99"/>
        <v>1.7061886227131218</v>
      </c>
      <c r="AV813" s="1">
        <f t="shared" si="100"/>
        <v>1.2295245720196235</v>
      </c>
      <c r="AW813" s="1">
        <f t="shared" si="101"/>
        <v>0.75286052132612458</v>
      </c>
    </row>
    <row r="814" spans="1:49" x14ac:dyDescent="0.2">
      <c r="A814">
        <v>812</v>
      </c>
      <c r="B814" t="s">
        <v>2531</v>
      </c>
      <c r="C814" t="s">
        <v>2530</v>
      </c>
      <c r="F814" t="s">
        <v>2529</v>
      </c>
      <c r="G814" t="s">
        <v>5</v>
      </c>
      <c r="H814" t="s">
        <v>4</v>
      </c>
      <c r="I814" t="s">
        <v>2528</v>
      </c>
      <c r="J814">
        <v>60109826</v>
      </c>
      <c r="K814" t="s">
        <v>646</v>
      </c>
      <c r="L814" t="s">
        <v>645</v>
      </c>
      <c r="M814" t="s">
        <v>112</v>
      </c>
      <c r="N814">
        <v>1</v>
      </c>
      <c r="O814" t="s">
        <v>2527</v>
      </c>
      <c r="P814">
        <v>7004196658</v>
      </c>
      <c r="Q814">
        <v>60109826</v>
      </c>
      <c r="R814" s="7">
        <v>37469</v>
      </c>
      <c r="S814" s="8">
        <f t="shared" si="96"/>
        <v>2002</v>
      </c>
      <c r="T814" s="8">
        <v>2002</v>
      </c>
      <c r="U814" s="8">
        <f t="shared" si="97"/>
        <v>20</v>
      </c>
      <c r="V814" s="7">
        <v>37469</v>
      </c>
      <c r="W814" s="11" t="s">
        <v>2498</v>
      </c>
      <c r="X814" s="2">
        <v>2.383</v>
      </c>
      <c r="Y814" s="6">
        <f t="shared" si="102"/>
        <v>6.3612824003630442E-2</v>
      </c>
      <c r="AA814">
        <v>13502395</v>
      </c>
      <c r="AB814">
        <v>17418</v>
      </c>
      <c r="AD814" t="s">
        <v>2</v>
      </c>
      <c r="AE814">
        <v>149</v>
      </c>
      <c r="AF814">
        <v>4</v>
      </c>
      <c r="AH814" t="s">
        <v>2526</v>
      </c>
      <c r="AI814" t="s">
        <v>2525</v>
      </c>
      <c r="AK814" t="s">
        <v>2524</v>
      </c>
      <c r="AL814">
        <v>34</v>
      </c>
      <c r="AM814" s="5">
        <f t="shared" si="98"/>
        <v>1.7</v>
      </c>
      <c r="AN814" s="4">
        <f t="shared" si="103"/>
        <v>2.5747822794396063E-3</v>
      </c>
      <c r="AO814" s="3"/>
      <c r="AP814">
        <v>0</v>
      </c>
      <c r="AR814" t="s">
        <v>1</v>
      </c>
      <c r="AT814" s="2" t="s">
        <v>0</v>
      </c>
      <c r="AU814" s="1">
        <f t="shared" si="99"/>
        <v>4.5301411486373189</v>
      </c>
      <c r="AV814" s="1">
        <f t="shared" si="100"/>
        <v>3.3093803141535023</v>
      </c>
      <c r="AW814" s="1">
        <f t="shared" si="101"/>
        <v>2.0886194796696858</v>
      </c>
    </row>
    <row r="815" spans="1:49" x14ac:dyDescent="0.2">
      <c r="A815">
        <v>813</v>
      </c>
      <c r="B815" t="s">
        <v>2523</v>
      </c>
      <c r="C815" t="s">
        <v>2522</v>
      </c>
      <c r="D815" t="s">
        <v>2521</v>
      </c>
      <c r="F815" t="s">
        <v>2520</v>
      </c>
      <c r="G815" t="s">
        <v>5</v>
      </c>
      <c r="H815" t="s">
        <v>4</v>
      </c>
      <c r="I815" t="s">
        <v>2519</v>
      </c>
      <c r="J815">
        <v>60018641</v>
      </c>
      <c r="K815" t="s">
        <v>2518</v>
      </c>
      <c r="L815" t="s">
        <v>226</v>
      </c>
      <c r="M815" t="s">
        <v>125</v>
      </c>
      <c r="N815">
        <v>3</v>
      </c>
      <c r="O815" t="s">
        <v>2517</v>
      </c>
      <c r="P815" t="s">
        <v>2516</v>
      </c>
      <c r="Q815" t="s">
        <v>2515</v>
      </c>
      <c r="R815" s="7">
        <v>37469</v>
      </c>
      <c r="S815" s="8">
        <f t="shared" si="96"/>
        <v>2002</v>
      </c>
      <c r="T815" s="8">
        <v>2002</v>
      </c>
      <c r="U815" s="8">
        <f t="shared" si="97"/>
        <v>20</v>
      </c>
      <c r="V815" s="7">
        <v>37469</v>
      </c>
      <c r="W815" t="s">
        <v>2514</v>
      </c>
      <c r="X815" s="2">
        <v>0.51500000000000001</v>
      </c>
      <c r="Y815" s="6">
        <f t="shared" si="102"/>
        <v>1.374763086943755E-2</v>
      </c>
      <c r="AA815">
        <v>13646826</v>
      </c>
      <c r="AB815">
        <v>28436</v>
      </c>
      <c r="AD815" t="s">
        <v>2</v>
      </c>
      <c r="AE815">
        <v>64</v>
      </c>
      <c r="AF815" s="10">
        <v>41974</v>
      </c>
      <c r="AH815" t="s">
        <v>2513</v>
      </c>
      <c r="AI815" t="s">
        <v>2512</v>
      </c>
      <c r="AJ815" t="s">
        <v>2511</v>
      </c>
      <c r="AK815" t="s">
        <v>2510</v>
      </c>
      <c r="AL815">
        <v>9</v>
      </c>
      <c r="AM815" s="5">
        <f t="shared" si="98"/>
        <v>0.45</v>
      </c>
      <c r="AN815" s="4">
        <f t="shared" si="103"/>
        <v>6.8156001514577808E-4</v>
      </c>
      <c r="AO815" s="3"/>
      <c r="AP815">
        <v>0</v>
      </c>
      <c r="AQ815" t="s">
        <v>2509</v>
      </c>
      <c r="AR815" t="s">
        <v>1</v>
      </c>
      <c r="AS815" t="s">
        <v>2508</v>
      </c>
      <c r="AT815" s="2" t="s">
        <v>0</v>
      </c>
      <c r="AU815" s="1">
        <f t="shared" si="99"/>
        <v>0.9827809613150017</v>
      </c>
      <c r="AV815" s="1">
        <f t="shared" si="100"/>
        <v>0.72145954422916636</v>
      </c>
      <c r="AW815" s="1">
        <f t="shared" si="101"/>
        <v>0.46013812714333097</v>
      </c>
    </row>
    <row r="816" spans="1:49" x14ac:dyDescent="0.2">
      <c r="A816">
        <v>814</v>
      </c>
      <c r="B816" t="s">
        <v>2507</v>
      </c>
      <c r="C816" t="s">
        <v>2506</v>
      </c>
      <c r="F816" t="s">
        <v>2505</v>
      </c>
      <c r="G816" t="s">
        <v>5</v>
      </c>
      <c r="H816" t="s">
        <v>4</v>
      </c>
      <c r="I816" t="s">
        <v>2504</v>
      </c>
      <c r="J816">
        <v>60024350</v>
      </c>
      <c r="K816" t="s">
        <v>2503</v>
      </c>
      <c r="L816" t="s">
        <v>2502</v>
      </c>
      <c r="M816" t="s">
        <v>21</v>
      </c>
      <c r="N816">
        <v>4</v>
      </c>
      <c r="O816" t="s">
        <v>2501</v>
      </c>
      <c r="P816" t="s">
        <v>2500</v>
      </c>
      <c r="Q816" t="s">
        <v>2499</v>
      </c>
      <c r="R816" s="7">
        <v>37469</v>
      </c>
      <c r="S816" s="8">
        <f t="shared" si="96"/>
        <v>2002</v>
      </c>
      <c r="T816" s="8">
        <v>2002</v>
      </c>
      <c r="U816" s="8">
        <f t="shared" si="97"/>
        <v>20</v>
      </c>
      <c r="V816" s="7">
        <v>37469</v>
      </c>
      <c r="W816" s="11" t="s">
        <v>2498</v>
      </c>
      <c r="X816" s="2">
        <v>2.383</v>
      </c>
      <c r="Y816" s="6">
        <f t="shared" si="102"/>
        <v>6.3612824003630442E-2</v>
      </c>
      <c r="AA816">
        <v>13502395</v>
      </c>
      <c r="AB816">
        <v>17418</v>
      </c>
      <c r="AD816" t="s">
        <v>2</v>
      </c>
      <c r="AE816">
        <v>149</v>
      </c>
      <c r="AF816">
        <v>4</v>
      </c>
      <c r="AH816" t="s">
        <v>2497</v>
      </c>
      <c r="AI816" t="s">
        <v>2496</v>
      </c>
      <c r="AK816" t="s">
        <v>2495</v>
      </c>
      <c r="AL816">
        <v>25</v>
      </c>
      <c r="AM816" s="5">
        <f t="shared" si="98"/>
        <v>1.25</v>
      </c>
      <c r="AN816" s="4">
        <f t="shared" si="103"/>
        <v>1.8932222642938281E-3</v>
      </c>
      <c r="AO816" s="3"/>
      <c r="AP816">
        <v>0</v>
      </c>
      <c r="AR816" t="s">
        <v>1</v>
      </c>
      <c r="AT816" s="2" t="s">
        <v>0</v>
      </c>
      <c r="AU816" s="1">
        <f t="shared" si="99"/>
        <v>4.5096943481829461</v>
      </c>
      <c r="AV816" s="1">
        <f t="shared" si="100"/>
        <v>3.2753023133962134</v>
      </c>
      <c r="AW816" s="1">
        <f t="shared" si="101"/>
        <v>2.0409102786094815</v>
      </c>
    </row>
    <row r="817" spans="1:49" x14ac:dyDescent="0.2">
      <c r="A817">
        <v>815</v>
      </c>
      <c r="B817" t="s">
        <v>2494</v>
      </c>
      <c r="E817">
        <v>12196396</v>
      </c>
      <c r="F817" t="s">
        <v>2493</v>
      </c>
      <c r="G817" t="s">
        <v>5</v>
      </c>
      <c r="H817" t="s">
        <v>4</v>
      </c>
      <c r="I817" t="s">
        <v>2492</v>
      </c>
      <c r="J817">
        <v>60004923</v>
      </c>
      <c r="K817" t="s">
        <v>718</v>
      </c>
      <c r="L817" t="s">
        <v>717</v>
      </c>
      <c r="M817" t="s">
        <v>7</v>
      </c>
      <c r="N817">
        <v>5</v>
      </c>
      <c r="O817" t="s">
        <v>2491</v>
      </c>
      <c r="P817" t="s">
        <v>2490</v>
      </c>
      <c r="Q817" t="s">
        <v>2489</v>
      </c>
      <c r="R817" s="7">
        <v>37469</v>
      </c>
      <c r="S817" s="8">
        <f t="shared" si="96"/>
        <v>2002</v>
      </c>
      <c r="T817" s="8">
        <v>2002</v>
      </c>
      <c r="U817" s="8">
        <f t="shared" si="97"/>
        <v>20</v>
      </c>
      <c r="V817" s="7">
        <v>37469</v>
      </c>
      <c r="W817" t="s">
        <v>1021</v>
      </c>
      <c r="X817" s="2">
        <v>2.7919999999999998</v>
      </c>
      <c r="Y817" s="6">
        <f t="shared" si="102"/>
        <v>7.4530845412562399E-2</v>
      </c>
      <c r="AA817">
        <v>166731</v>
      </c>
      <c r="AB817">
        <v>22173</v>
      </c>
      <c r="AD817" t="s">
        <v>2</v>
      </c>
      <c r="AE817">
        <v>161</v>
      </c>
      <c r="AF817">
        <v>4</v>
      </c>
      <c r="AH817" t="s">
        <v>2488</v>
      </c>
      <c r="AI817" t="s">
        <v>2487</v>
      </c>
      <c r="AK817" t="s">
        <v>2486</v>
      </c>
      <c r="AL817">
        <v>41</v>
      </c>
      <c r="AM817" s="5">
        <f t="shared" si="98"/>
        <v>2.0499999999999998</v>
      </c>
      <c r="AN817" s="4">
        <f t="shared" si="103"/>
        <v>3.104884513441878E-3</v>
      </c>
      <c r="AO817" s="3"/>
      <c r="AP817">
        <v>0</v>
      </c>
      <c r="AQ817" t="s">
        <v>796</v>
      </c>
      <c r="AR817" t="s">
        <v>2485</v>
      </c>
      <c r="AS817" t="s">
        <v>795</v>
      </c>
      <c r="AT817" s="2">
        <v>4.5620000000000003</v>
      </c>
      <c r="AU817" s="1">
        <f t="shared" si="99"/>
        <v>5.3103057142826247</v>
      </c>
      <c r="AV817" s="1">
        <f t="shared" si="100"/>
        <v>3.8817864963002138</v>
      </c>
      <c r="AW817" s="1">
        <f t="shared" si="101"/>
        <v>2.4532672783178033</v>
      </c>
    </row>
    <row r="818" spans="1:49" x14ac:dyDescent="0.2">
      <c r="A818">
        <v>816</v>
      </c>
      <c r="B818" t="s">
        <v>2484</v>
      </c>
      <c r="C818" t="s">
        <v>2483</v>
      </c>
      <c r="E818">
        <v>12172023</v>
      </c>
      <c r="F818" t="s">
        <v>2482</v>
      </c>
      <c r="G818" t="s">
        <v>5</v>
      </c>
      <c r="H818" t="s">
        <v>4</v>
      </c>
      <c r="I818" t="s">
        <v>2481</v>
      </c>
      <c r="J818">
        <v>60012708</v>
      </c>
      <c r="K818" t="s">
        <v>338</v>
      </c>
      <c r="L818" t="s">
        <v>440</v>
      </c>
      <c r="M818" t="s">
        <v>7</v>
      </c>
      <c r="N818">
        <v>3</v>
      </c>
      <c r="O818" t="s">
        <v>2480</v>
      </c>
      <c r="P818" t="s">
        <v>2479</v>
      </c>
      <c r="Q818" t="s">
        <v>439</v>
      </c>
      <c r="R818" s="7">
        <v>37469</v>
      </c>
      <c r="S818" s="8">
        <f t="shared" si="96"/>
        <v>2002</v>
      </c>
      <c r="T818" s="8">
        <v>2002</v>
      </c>
      <c r="U818" s="8">
        <f t="shared" si="97"/>
        <v>20</v>
      </c>
      <c r="V818" s="7">
        <v>37469</v>
      </c>
      <c r="W818" t="s">
        <v>2478</v>
      </c>
      <c r="X818" s="2">
        <v>5.3239999999999998</v>
      </c>
      <c r="Y818" s="6">
        <f t="shared" si="102"/>
        <v>0.14212113931822429</v>
      </c>
      <c r="AA818">
        <v>10404651</v>
      </c>
      <c r="AB818">
        <v>16594</v>
      </c>
      <c r="AD818" t="s">
        <v>2</v>
      </c>
      <c r="AE818">
        <v>14</v>
      </c>
      <c r="AF818">
        <v>8</v>
      </c>
      <c r="AH818" t="s">
        <v>2477</v>
      </c>
      <c r="AI818" t="s">
        <v>2476</v>
      </c>
      <c r="AK818" t="s">
        <v>2475</v>
      </c>
      <c r="AL818">
        <v>158</v>
      </c>
      <c r="AM818" s="5">
        <f t="shared" si="98"/>
        <v>7.9</v>
      </c>
      <c r="AN818" s="4">
        <f t="shared" si="103"/>
        <v>1.1965164710336994E-2</v>
      </c>
      <c r="AO818" s="3"/>
      <c r="AP818">
        <v>1</v>
      </c>
      <c r="AR818" t="s">
        <v>1</v>
      </c>
      <c r="AT818" s="2">
        <v>11.276999999999999</v>
      </c>
      <c r="AU818" s="1">
        <f t="shared" si="99"/>
        <v>10.307434693585808</v>
      </c>
      <c r="AV818" s="1">
        <f t="shared" si="100"/>
        <v>7.7043152014280638</v>
      </c>
      <c r="AW818" s="1">
        <f t="shared" si="101"/>
        <v>5.1011957092703177</v>
      </c>
    </row>
    <row r="819" spans="1:49" x14ac:dyDescent="0.2">
      <c r="A819">
        <v>817</v>
      </c>
      <c r="B819" t="s">
        <v>2474</v>
      </c>
      <c r="E819">
        <v>12124363</v>
      </c>
      <c r="F819" t="s">
        <v>2473</v>
      </c>
      <c r="G819" t="s">
        <v>5</v>
      </c>
      <c r="H819" t="s">
        <v>4</v>
      </c>
      <c r="I819" t="s">
        <v>2472</v>
      </c>
      <c r="J819">
        <v>60025038</v>
      </c>
      <c r="K819" t="s">
        <v>505</v>
      </c>
      <c r="L819" t="s">
        <v>504</v>
      </c>
      <c r="M819" t="s">
        <v>7</v>
      </c>
      <c r="N819">
        <v>1</v>
      </c>
      <c r="O819" t="s">
        <v>2471</v>
      </c>
      <c r="P819">
        <v>7004037675</v>
      </c>
      <c r="Q819">
        <v>60025038</v>
      </c>
      <c r="R819" s="7">
        <v>37469</v>
      </c>
      <c r="S819" s="8">
        <f t="shared" si="96"/>
        <v>2002</v>
      </c>
      <c r="T819" s="8">
        <v>2002</v>
      </c>
      <c r="U819" s="8">
        <f t="shared" si="97"/>
        <v>20</v>
      </c>
      <c r="V819" s="7">
        <v>37469</v>
      </c>
      <c r="W819" t="s">
        <v>40</v>
      </c>
      <c r="X819" s="2">
        <v>1.367</v>
      </c>
      <c r="Y819" s="6">
        <f t="shared" si="102"/>
        <v>3.6491284268973065E-2</v>
      </c>
      <c r="AA819">
        <v>220949</v>
      </c>
      <c r="AB819">
        <v>29605</v>
      </c>
      <c r="AD819" t="s">
        <v>2</v>
      </c>
      <c r="AE819">
        <v>205</v>
      </c>
      <c r="AF819">
        <v>16</v>
      </c>
      <c r="AH819" t="s">
        <v>2470</v>
      </c>
      <c r="AI819" t="s">
        <v>2469</v>
      </c>
      <c r="AJ819" t="s">
        <v>2468</v>
      </c>
      <c r="AK819" t="s">
        <v>2467</v>
      </c>
      <c r="AL819">
        <v>34</v>
      </c>
      <c r="AM819" s="5">
        <f t="shared" si="98"/>
        <v>1.7</v>
      </c>
      <c r="AN819" s="4">
        <f t="shared" si="103"/>
        <v>2.5747822794396063E-3</v>
      </c>
      <c r="AO819" s="3"/>
      <c r="AP819">
        <v>0</v>
      </c>
      <c r="AR819" t="s">
        <v>1</v>
      </c>
      <c r="AT819" s="2">
        <v>3.3119999999999998</v>
      </c>
      <c r="AU819" s="1">
        <f t="shared" si="99"/>
        <v>2.6316333672113026</v>
      </c>
      <c r="AV819" s="1">
        <f t="shared" si="100"/>
        <v>1.9533033274206337</v>
      </c>
      <c r="AW819" s="1">
        <f t="shared" si="101"/>
        <v>1.2749732876299644</v>
      </c>
    </row>
    <row r="820" spans="1:49" x14ac:dyDescent="0.2">
      <c r="A820">
        <v>818</v>
      </c>
      <c r="B820" t="s">
        <v>2466</v>
      </c>
      <c r="C820" t="s">
        <v>2465</v>
      </c>
      <c r="D820">
        <v>1011092002800490</v>
      </c>
      <c r="F820" t="s">
        <v>2464</v>
      </c>
      <c r="G820" t="s">
        <v>5</v>
      </c>
      <c r="H820" t="s">
        <v>4</v>
      </c>
      <c r="I820" t="s">
        <v>2463</v>
      </c>
      <c r="J820" t="s">
        <v>2462</v>
      </c>
      <c r="K820" t="s">
        <v>2461</v>
      </c>
      <c r="L820" t="s">
        <v>2460</v>
      </c>
      <c r="M820" t="s">
        <v>74</v>
      </c>
      <c r="N820">
        <v>2</v>
      </c>
      <c r="O820" t="s">
        <v>2459</v>
      </c>
      <c r="P820" t="s">
        <v>2458</v>
      </c>
      <c r="Q820" t="s">
        <v>2457</v>
      </c>
      <c r="R820" s="7">
        <v>37469</v>
      </c>
      <c r="S820" s="8">
        <f t="shared" si="96"/>
        <v>2002</v>
      </c>
      <c r="T820" s="8">
        <v>2002</v>
      </c>
      <c r="U820" s="8">
        <f t="shared" si="97"/>
        <v>20</v>
      </c>
      <c r="V820" s="7">
        <v>37469</v>
      </c>
      <c r="W820" t="s">
        <v>870</v>
      </c>
      <c r="X820" s="2">
        <v>1.218</v>
      </c>
      <c r="Y820" s="6">
        <f t="shared" si="102"/>
        <v>3.2513814366941618E-2</v>
      </c>
      <c r="AA820">
        <v>189448</v>
      </c>
      <c r="AB820">
        <v>15107</v>
      </c>
      <c r="AD820" t="s">
        <v>2</v>
      </c>
      <c r="AE820">
        <v>48</v>
      </c>
      <c r="AF820">
        <v>8</v>
      </c>
      <c r="AH820" t="s">
        <v>2456</v>
      </c>
      <c r="AI820" t="s">
        <v>2455</v>
      </c>
      <c r="AJ820" t="s">
        <v>2454</v>
      </c>
      <c r="AK820" t="s">
        <v>2453</v>
      </c>
      <c r="AL820">
        <v>118</v>
      </c>
      <c r="AM820" s="5">
        <f t="shared" si="98"/>
        <v>5.9</v>
      </c>
      <c r="AN820" s="4">
        <f t="shared" si="103"/>
        <v>8.9360090874668688E-3</v>
      </c>
      <c r="AO820" s="3"/>
      <c r="AP820">
        <v>0</v>
      </c>
      <c r="AQ820" t="s">
        <v>290</v>
      </c>
      <c r="AR820" t="s">
        <v>978</v>
      </c>
      <c r="AS820" t="s">
        <v>289</v>
      </c>
      <c r="AT820" s="2" t="s">
        <v>0</v>
      </c>
      <c r="AU820" s="1">
        <f t="shared" si="99"/>
        <v>2.5440472783099191</v>
      </c>
      <c r="AV820" s="1">
        <f t="shared" si="100"/>
        <v>2.0724911727204245</v>
      </c>
      <c r="AW820" s="1">
        <f t="shared" si="101"/>
        <v>1.600935067130929</v>
      </c>
    </row>
    <row r="821" spans="1:49" x14ac:dyDescent="0.2">
      <c r="A821">
        <v>819</v>
      </c>
      <c r="B821" t="s">
        <v>2452</v>
      </c>
      <c r="C821" t="s">
        <v>2451</v>
      </c>
      <c r="F821" t="s">
        <v>2450</v>
      </c>
      <c r="G821" t="s">
        <v>5</v>
      </c>
      <c r="H821" t="s">
        <v>4</v>
      </c>
      <c r="I821" t="s">
        <v>2449</v>
      </c>
      <c r="J821">
        <v>60009524</v>
      </c>
      <c r="K821" t="s">
        <v>2448</v>
      </c>
      <c r="L821" t="s">
        <v>2447</v>
      </c>
      <c r="M821" t="s">
        <v>463</v>
      </c>
      <c r="N821">
        <v>4</v>
      </c>
      <c r="O821" t="s">
        <v>2446</v>
      </c>
      <c r="P821" t="s">
        <v>2445</v>
      </c>
      <c r="Q821" t="s">
        <v>2444</v>
      </c>
      <c r="R821" s="7">
        <v>37469</v>
      </c>
      <c r="S821" s="8">
        <f t="shared" si="96"/>
        <v>2002</v>
      </c>
      <c r="T821" s="8">
        <v>2002</v>
      </c>
      <c r="U821" s="8">
        <f t="shared" si="97"/>
        <v>20</v>
      </c>
      <c r="V821" s="7">
        <v>37469</v>
      </c>
      <c r="W821" t="s">
        <v>2443</v>
      </c>
      <c r="X821" s="2" t="s">
        <v>0</v>
      </c>
      <c r="Y821" s="6" t="e">
        <f t="shared" si="102"/>
        <v>#VALUE!</v>
      </c>
      <c r="AA821">
        <v>14365693</v>
      </c>
      <c r="AB821">
        <v>19135</v>
      </c>
      <c r="AD821" t="s">
        <v>2</v>
      </c>
      <c r="AE821">
        <v>75</v>
      </c>
      <c r="AF821">
        <v>4</v>
      </c>
      <c r="AH821" t="s">
        <v>1155</v>
      </c>
      <c r="AI821" t="s">
        <v>2442</v>
      </c>
      <c r="AK821" t="s">
        <v>2441</v>
      </c>
      <c r="AL821">
        <v>14</v>
      </c>
      <c r="AM821" s="5">
        <f t="shared" si="98"/>
        <v>0.7</v>
      </c>
      <c r="AN821" s="4">
        <f t="shared" si="103"/>
        <v>1.0602044680045437E-3</v>
      </c>
      <c r="AO821" s="3"/>
      <c r="AP821">
        <v>0</v>
      </c>
      <c r="AR821" t="s">
        <v>1</v>
      </c>
      <c r="AT821" s="2" t="s">
        <v>0</v>
      </c>
      <c r="AU821" s="1" t="e">
        <f t="shared" si="99"/>
        <v>#VALUE!</v>
      </c>
      <c r="AV821" s="1" t="e">
        <f t="shared" si="100"/>
        <v>#VALUE!</v>
      </c>
      <c r="AW821" s="1" t="e">
        <f t="shared" si="101"/>
        <v>#VALUE!</v>
      </c>
    </row>
    <row r="822" spans="1:49" x14ac:dyDescent="0.2">
      <c r="A822">
        <v>820</v>
      </c>
      <c r="B822" t="s">
        <v>2440</v>
      </c>
      <c r="C822" t="s">
        <v>2439</v>
      </c>
      <c r="D822">
        <v>1011092002802040</v>
      </c>
      <c r="F822" t="s">
        <v>2438</v>
      </c>
      <c r="G822" t="s">
        <v>5</v>
      </c>
      <c r="H822" t="s">
        <v>4</v>
      </c>
      <c r="I822" t="s">
        <v>2437</v>
      </c>
      <c r="J822" t="s">
        <v>2436</v>
      </c>
      <c r="K822" t="s">
        <v>2435</v>
      </c>
      <c r="L822" t="s">
        <v>2434</v>
      </c>
      <c r="M822" t="s">
        <v>2433</v>
      </c>
      <c r="N822">
        <v>2</v>
      </c>
      <c r="O822" t="s">
        <v>2432</v>
      </c>
      <c r="P822" t="s">
        <v>2431</v>
      </c>
      <c r="Q822" t="s">
        <v>2430</v>
      </c>
      <c r="R822" s="7">
        <v>37469</v>
      </c>
      <c r="S822" s="8">
        <f t="shared" si="96"/>
        <v>2002</v>
      </c>
      <c r="T822" s="8">
        <v>2002</v>
      </c>
      <c r="U822" s="8">
        <f t="shared" si="97"/>
        <v>20</v>
      </c>
      <c r="V822" s="7">
        <v>37469</v>
      </c>
      <c r="W822" t="s">
        <v>549</v>
      </c>
      <c r="X822" s="2">
        <v>0.92900000000000005</v>
      </c>
      <c r="Y822" s="6">
        <f t="shared" si="102"/>
        <v>2.4799124422732979E-2</v>
      </c>
      <c r="AA822">
        <v>10897798</v>
      </c>
      <c r="AB822">
        <v>18896</v>
      </c>
      <c r="AD822" t="s">
        <v>2</v>
      </c>
      <c r="AE822">
        <v>6</v>
      </c>
      <c r="AF822">
        <v>8</v>
      </c>
      <c r="AH822" t="s">
        <v>2429</v>
      </c>
      <c r="AI822" t="s">
        <v>2428</v>
      </c>
      <c r="AJ822" t="s">
        <v>2427</v>
      </c>
      <c r="AK822" t="s">
        <v>2426</v>
      </c>
      <c r="AL822">
        <v>10</v>
      </c>
      <c r="AM822" s="5">
        <f t="shared" si="98"/>
        <v>0.5</v>
      </c>
      <c r="AN822" s="4">
        <f t="shared" si="103"/>
        <v>7.572889057175312E-4</v>
      </c>
      <c r="AO822" s="3"/>
      <c r="AP822">
        <v>0</v>
      </c>
      <c r="AR822" t="s">
        <v>1</v>
      </c>
      <c r="AT822" s="2">
        <v>3.4359999999999999</v>
      </c>
      <c r="AU822" s="1">
        <f t="shared" si="99"/>
        <v>1.7586573767628344</v>
      </c>
      <c r="AV822" s="1">
        <f t="shared" si="100"/>
        <v>1.2778206664225256</v>
      </c>
      <c r="AW822" s="1">
        <f t="shared" si="101"/>
        <v>0.79698395608221662</v>
      </c>
    </row>
    <row r="823" spans="1:49" x14ac:dyDescent="0.2">
      <c r="A823">
        <v>821</v>
      </c>
      <c r="B823" t="s">
        <v>2425</v>
      </c>
      <c r="C823" t="s">
        <v>2424</v>
      </c>
      <c r="D823">
        <v>1011092002802050</v>
      </c>
      <c r="F823" t="s">
        <v>2423</v>
      </c>
      <c r="G823" t="s">
        <v>5</v>
      </c>
      <c r="H823" t="s">
        <v>4</v>
      </c>
      <c r="I823" t="s">
        <v>1144</v>
      </c>
      <c r="J823" t="s">
        <v>2422</v>
      </c>
      <c r="K823" t="s">
        <v>2421</v>
      </c>
      <c r="L823" t="s">
        <v>2420</v>
      </c>
      <c r="M823" t="s">
        <v>74</v>
      </c>
      <c r="N823">
        <v>2</v>
      </c>
      <c r="O823" t="s">
        <v>2419</v>
      </c>
      <c r="P823" t="s">
        <v>2418</v>
      </c>
      <c r="Q823" t="s">
        <v>2417</v>
      </c>
      <c r="R823" s="7">
        <v>37469</v>
      </c>
      <c r="S823" s="8">
        <f t="shared" si="96"/>
        <v>2002</v>
      </c>
      <c r="T823" s="8">
        <v>2002</v>
      </c>
      <c r="U823" s="8">
        <f t="shared" si="97"/>
        <v>20</v>
      </c>
      <c r="V823" s="7">
        <v>37469</v>
      </c>
      <c r="W823" t="s">
        <v>549</v>
      </c>
      <c r="X823" s="2">
        <v>0.92900000000000005</v>
      </c>
      <c r="Y823" s="6">
        <f t="shared" si="102"/>
        <v>2.4799124422732979E-2</v>
      </c>
      <c r="AA823">
        <v>10897798</v>
      </c>
      <c r="AB823">
        <v>18896</v>
      </c>
      <c r="AD823" t="s">
        <v>2</v>
      </c>
      <c r="AE823">
        <v>6</v>
      </c>
      <c r="AF823">
        <v>8</v>
      </c>
      <c r="AH823" t="s">
        <v>2416</v>
      </c>
      <c r="AI823" t="s">
        <v>2415</v>
      </c>
      <c r="AJ823" t="s">
        <v>2414</v>
      </c>
      <c r="AK823" t="s">
        <v>2413</v>
      </c>
      <c r="AL823">
        <v>99</v>
      </c>
      <c r="AM823" s="5">
        <f t="shared" si="98"/>
        <v>4.95</v>
      </c>
      <c r="AN823" s="4">
        <f t="shared" si="103"/>
        <v>7.4971601666035592E-3</v>
      </c>
      <c r="AO823" s="3"/>
      <c r="AP823">
        <v>0</v>
      </c>
      <c r="AQ823" t="s">
        <v>290</v>
      </c>
      <c r="AR823" t="s">
        <v>1143</v>
      </c>
      <c r="AS823" t="s">
        <v>289</v>
      </c>
      <c r="AT823" s="2">
        <v>3.4359999999999999</v>
      </c>
      <c r="AU823" s="1">
        <f t="shared" si="99"/>
        <v>1.960853514589415</v>
      </c>
      <c r="AV823" s="1">
        <f t="shared" si="100"/>
        <v>1.6148142294668271</v>
      </c>
      <c r="AW823" s="1">
        <f t="shared" si="101"/>
        <v>1.2687749443442384</v>
      </c>
    </row>
    <row r="824" spans="1:49" x14ac:dyDescent="0.2">
      <c r="A824">
        <v>822</v>
      </c>
      <c r="B824" t="s">
        <v>2412</v>
      </c>
      <c r="C824" t="s">
        <v>2411</v>
      </c>
      <c r="F824" t="s">
        <v>2410</v>
      </c>
      <c r="G824" t="s">
        <v>5</v>
      </c>
      <c r="H824" t="s">
        <v>4</v>
      </c>
      <c r="I824" t="s">
        <v>2409</v>
      </c>
      <c r="J824">
        <v>60068535</v>
      </c>
      <c r="K824" t="s">
        <v>746</v>
      </c>
      <c r="L824" t="s">
        <v>740</v>
      </c>
      <c r="M824" t="s">
        <v>739</v>
      </c>
      <c r="N824">
        <v>5</v>
      </c>
      <c r="O824" t="s">
        <v>2408</v>
      </c>
      <c r="P824" t="s">
        <v>2407</v>
      </c>
      <c r="Q824" t="s">
        <v>2406</v>
      </c>
      <c r="R824" s="7">
        <v>37469</v>
      </c>
      <c r="S824" s="8">
        <f t="shared" si="96"/>
        <v>2002</v>
      </c>
      <c r="T824" s="8">
        <v>2002</v>
      </c>
      <c r="U824" s="8">
        <f t="shared" si="97"/>
        <v>20</v>
      </c>
      <c r="V824" s="7">
        <v>37469</v>
      </c>
      <c r="W824" t="s">
        <v>911</v>
      </c>
      <c r="X824" s="2">
        <v>0.33800000000000002</v>
      </c>
      <c r="Y824" s="6">
        <f t="shared" si="102"/>
        <v>9.0227169589706634E-3</v>
      </c>
      <c r="AA824">
        <v>10637850</v>
      </c>
      <c r="AB824">
        <v>12311</v>
      </c>
      <c r="AD824" t="s">
        <v>2</v>
      </c>
      <c r="AE824">
        <v>28</v>
      </c>
      <c r="AF824">
        <v>8</v>
      </c>
      <c r="AH824" t="s">
        <v>2405</v>
      </c>
      <c r="AI824" t="s">
        <v>2404</v>
      </c>
      <c r="AK824" t="s">
        <v>2403</v>
      </c>
      <c r="AL824">
        <v>2</v>
      </c>
      <c r="AM824" s="5">
        <f t="shared" si="98"/>
        <v>0.1</v>
      </c>
      <c r="AN824" s="4">
        <f t="shared" si="103"/>
        <v>1.5145778114350627E-4</v>
      </c>
      <c r="AO824" s="3"/>
      <c r="AP824">
        <v>0</v>
      </c>
      <c r="AR824" t="s">
        <v>1</v>
      </c>
      <c r="AT824" s="2">
        <v>0.71399999999999997</v>
      </c>
      <c r="AU824" s="1">
        <f t="shared" si="99"/>
        <v>0.6361339205622516</v>
      </c>
      <c r="AV824" s="1">
        <f t="shared" si="100"/>
        <v>0.45870873700570847</v>
      </c>
      <c r="AW824" s="1">
        <f t="shared" si="101"/>
        <v>0.28128355344916534</v>
      </c>
    </row>
    <row r="825" spans="1:49" x14ac:dyDescent="0.2">
      <c r="A825">
        <v>823</v>
      </c>
      <c r="B825" t="s">
        <v>2402</v>
      </c>
      <c r="C825" t="s">
        <v>2401</v>
      </c>
      <c r="E825">
        <v>12148820</v>
      </c>
      <c r="F825" t="s">
        <v>2400</v>
      </c>
      <c r="G825" t="s">
        <v>5</v>
      </c>
      <c r="H825" t="s">
        <v>4</v>
      </c>
      <c r="I825" t="s">
        <v>2399</v>
      </c>
      <c r="J825" t="s">
        <v>2398</v>
      </c>
      <c r="K825" t="s">
        <v>2397</v>
      </c>
      <c r="L825" t="s">
        <v>2396</v>
      </c>
      <c r="M825" t="s">
        <v>2395</v>
      </c>
      <c r="N825">
        <v>4</v>
      </c>
      <c r="O825" t="s">
        <v>2394</v>
      </c>
      <c r="P825" t="s">
        <v>2393</v>
      </c>
      <c r="Q825" t="s">
        <v>2392</v>
      </c>
      <c r="R825" s="7">
        <v>37467</v>
      </c>
      <c r="S825" s="8">
        <f t="shared" si="96"/>
        <v>2002</v>
      </c>
      <c r="T825" s="8">
        <v>2002</v>
      </c>
      <c r="U825" s="8">
        <f t="shared" si="97"/>
        <v>20</v>
      </c>
      <c r="V825" s="7">
        <v>2002</v>
      </c>
      <c r="W825" t="s">
        <v>2391</v>
      </c>
      <c r="X825" s="2">
        <v>1.1479999999999999</v>
      </c>
      <c r="Y825" s="6">
        <f t="shared" si="102"/>
        <v>3.0645204345853019E-2</v>
      </c>
      <c r="AA825">
        <v>189294</v>
      </c>
      <c r="AB825">
        <v>16318</v>
      </c>
      <c r="AD825" t="s">
        <v>2</v>
      </c>
      <c r="AE825">
        <v>49</v>
      </c>
      <c r="AF825">
        <v>8</v>
      </c>
      <c r="AH825" t="s">
        <v>2390</v>
      </c>
      <c r="AI825" t="s">
        <v>2389</v>
      </c>
      <c r="AJ825" t="s">
        <v>2388</v>
      </c>
      <c r="AK825" t="s">
        <v>2387</v>
      </c>
      <c r="AL825">
        <v>671</v>
      </c>
      <c r="AM825" s="5">
        <f t="shared" si="98"/>
        <v>33.549999999999997</v>
      </c>
      <c r="AN825" s="4">
        <f t="shared" si="103"/>
        <v>5.0814085573646341E-2</v>
      </c>
      <c r="AO825" s="3"/>
      <c r="AP825">
        <v>0</v>
      </c>
      <c r="AQ825" t="s">
        <v>2386</v>
      </c>
      <c r="AR825" t="s">
        <v>2385</v>
      </c>
      <c r="AS825" t="s">
        <v>2384</v>
      </c>
      <c r="AT825" s="2" t="s">
        <v>0</v>
      </c>
      <c r="AU825" s="1">
        <f t="shared" si="99"/>
        <v>3.669586871419102</v>
      </c>
      <c r="AV825" s="1">
        <f t="shared" si="100"/>
        <v>4.0729644959749676</v>
      </c>
      <c r="AW825" s="1">
        <f t="shared" si="101"/>
        <v>4.476342120530834</v>
      </c>
    </row>
    <row r="826" spans="1:49" x14ac:dyDescent="0.2">
      <c r="A826">
        <v>824</v>
      </c>
      <c r="B826" t="s">
        <v>2383</v>
      </c>
      <c r="C826" t="s">
        <v>2382</v>
      </c>
      <c r="D826" t="s">
        <v>2381</v>
      </c>
      <c r="F826" t="s">
        <v>2380</v>
      </c>
      <c r="G826" t="s">
        <v>5</v>
      </c>
      <c r="H826" t="s">
        <v>4</v>
      </c>
      <c r="I826" t="s">
        <v>2379</v>
      </c>
      <c r="J826" t="s">
        <v>2378</v>
      </c>
      <c r="K826" t="s">
        <v>2377</v>
      </c>
      <c r="L826" t="s">
        <v>2376</v>
      </c>
      <c r="M826" t="s">
        <v>76</v>
      </c>
      <c r="N826">
        <v>5</v>
      </c>
      <c r="O826" t="s">
        <v>2375</v>
      </c>
      <c r="P826" t="s">
        <v>2374</v>
      </c>
      <c r="Q826" t="s">
        <v>2373</v>
      </c>
      <c r="R826" s="7">
        <v>37466</v>
      </c>
      <c r="S826" s="8">
        <f t="shared" si="96"/>
        <v>2002</v>
      </c>
      <c r="T826" s="8">
        <v>2002</v>
      </c>
      <c r="U826" s="8">
        <f t="shared" si="97"/>
        <v>20</v>
      </c>
      <c r="V826" s="7">
        <v>37466</v>
      </c>
      <c r="W826" t="s">
        <v>1043</v>
      </c>
      <c r="X826" s="2">
        <v>1.403</v>
      </c>
      <c r="Y826" s="6">
        <f t="shared" si="102"/>
        <v>3.7452283708390058E-2</v>
      </c>
      <c r="AA826">
        <v>32670</v>
      </c>
      <c r="AB826">
        <v>23911</v>
      </c>
      <c r="AD826" t="s">
        <v>2</v>
      </c>
      <c r="AE826">
        <v>464</v>
      </c>
      <c r="AF826">
        <v>1</v>
      </c>
      <c r="AH826" t="s">
        <v>2372</v>
      </c>
      <c r="AI826" t="s">
        <v>2371</v>
      </c>
      <c r="AJ826" t="s">
        <v>2370</v>
      </c>
      <c r="AK826" t="s">
        <v>2369</v>
      </c>
      <c r="AL826">
        <v>124</v>
      </c>
      <c r="AM826" s="5">
        <f t="shared" si="98"/>
        <v>6.2</v>
      </c>
      <c r="AN826" s="4">
        <f t="shared" si="103"/>
        <v>9.3903824308973882E-3</v>
      </c>
      <c r="AO826" s="3"/>
      <c r="AP826">
        <v>0</v>
      </c>
      <c r="AR826" t="s">
        <v>1</v>
      </c>
      <c r="AT826" s="2">
        <v>6.5579999999999998</v>
      </c>
      <c r="AU826" s="1">
        <f t="shared" si="99"/>
        <v>2.9033713325142254</v>
      </c>
      <c r="AV826" s="1">
        <f t="shared" si="100"/>
        <v>2.3421333069643726</v>
      </c>
      <c r="AW826" s="1">
        <f t="shared" si="101"/>
        <v>1.7808952814145189</v>
      </c>
    </row>
    <row r="827" spans="1:49" x14ac:dyDescent="0.2">
      <c r="A827">
        <v>825</v>
      </c>
      <c r="B827" t="s">
        <v>2368</v>
      </c>
      <c r="C827" t="s">
        <v>2367</v>
      </c>
      <c r="F827" t="s">
        <v>2366</v>
      </c>
      <c r="G827" t="s">
        <v>5</v>
      </c>
      <c r="H827" t="s">
        <v>4</v>
      </c>
      <c r="I827" t="s">
        <v>2365</v>
      </c>
      <c r="J827" t="s">
        <v>2364</v>
      </c>
      <c r="K827" t="s">
        <v>2363</v>
      </c>
      <c r="L827" t="s">
        <v>2362</v>
      </c>
      <c r="M827" t="s">
        <v>2361</v>
      </c>
      <c r="N827">
        <v>9</v>
      </c>
      <c r="O827" t="s">
        <v>2360</v>
      </c>
      <c r="P827" t="s">
        <v>2359</v>
      </c>
      <c r="Q827" t="s">
        <v>2358</v>
      </c>
      <c r="R827" s="7">
        <v>37464</v>
      </c>
      <c r="S827" s="8">
        <f t="shared" si="96"/>
        <v>2002</v>
      </c>
      <c r="T827" s="8">
        <v>2002</v>
      </c>
      <c r="U827" s="8">
        <f t="shared" si="97"/>
        <v>20</v>
      </c>
      <c r="V827" s="7">
        <v>2002</v>
      </c>
      <c r="W827" t="s">
        <v>2343</v>
      </c>
      <c r="X827" s="2">
        <v>2.6459999999999999</v>
      </c>
      <c r="Y827" s="6">
        <f t="shared" si="102"/>
        <v>7.0633458797149037E-2</v>
      </c>
      <c r="AA827">
        <v>1407791</v>
      </c>
      <c r="AB827">
        <v>13041</v>
      </c>
      <c r="AD827" t="s">
        <v>2</v>
      </c>
      <c r="AE827">
        <v>25</v>
      </c>
      <c r="AF827">
        <v>7</v>
      </c>
      <c r="AH827" t="s">
        <v>2357</v>
      </c>
      <c r="AI827" t="s">
        <v>2356</v>
      </c>
      <c r="AJ827" t="s">
        <v>2355</v>
      </c>
      <c r="AK827" t="s">
        <v>2354</v>
      </c>
      <c r="AL827">
        <v>78</v>
      </c>
      <c r="AM827" s="5">
        <f t="shared" si="98"/>
        <v>3.9</v>
      </c>
      <c r="AN827" s="4">
        <f t="shared" si="103"/>
        <v>5.9068534645967431E-3</v>
      </c>
      <c r="AO827" s="3"/>
      <c r="AP827">
        <v>0</v>
      </c>
      <c r="AR827" t="s">
        <v>1</v>
      </c>
      <c r="AT827" s="2" t="s">
        <v>0</v>
      </c>
      <c r="AU827" s="1">
        <f t="shared" si="99"/>
        <v>5.1215477197383352</v>
      </c>
      <c r="AV827" s="1">
        <f t="shared" si="100"/>
        <v>3.8270156130872888</v>
      </c>
      <c r="AW827" s="1">
        <f t="shared" si="101"/>
        <v>2.5324835064362428</v>
      </c>
    </row>
    <row r="828" spans="1:49" x14ac:dyDescent="0.2">
      <c r="A828">
        <v>826</v>
      </c>
      <c r="B828" t="s">
        <v>2353</v>
      </c>
      <c r="C828" t="s">
        <v>2352</v>
      </c>
      <c r="F828" t="s">
        <v>2351</v>
      </c>
      <c r="G828" t="s">
        <v>5</v>
      </c>
      <c r="H828" t="s">
        <v>4</v>
      </c>
      <c r="I828" t="s">
        <v>2350</v>
      </c>
      <c r="J828" t="s">
        <v>2349</v>
      </c>
      <c r="K828" t="s">
        <v>2348</v>
      </c>
      <c r="L828" t="s">
        <v>2347</v>
      </c>
      <c r="M828" t="s">
        <v>195</v>
      </c>
      <c r="N828">
        <v>6</v>
      </c>
      <c r="O828" t="s">
        <v>2346</v>
      </c>
      <c r="P828" t="s">
        <v>2345</v>
      </c>
      <c r="Q828" t="s">
        <v>2344</v>
      </c>
      <c r="R828" s="7">
        <v>37464</v>
      </c>
      <c r="S828" s="8">
        <f t="shared" si="96"/>
        <v>2002</v>
      </c>
      <c r="T828" s="8">
        <v>2002</v>
      </c>
      <c r="U828" s="8">
        <f t="shared" si="97"/>
        <v>20</v>
      </c>
      <c r="V828" s="7">
        <v>2002</v>
      </c>
      <c r="W828" t="s">
        <v>2343</v>
      </c>
      <c r="X828" s="2">
        <v>2.6459999999999999</v>
      </c>
      <c r="Y828" s="6">
        <f t="shared" si="102"/>
        <v>7.0633458797149037E-2</v>
      </c>
      <c r="AA828">
        <v>1407791</v>
      </c>
      <c r="AB828">
        <v>13041</v>
      </c>
      <c r="AD828" t="s">
        <v>2</v>
      </c>
      <c r="AE828">
        <v>25</v>
      </c>
      <c r="AF828">
        <v>7</v>
      </c>
      <c r="AH828" t="s">
        <v>2342</v>
      </c>
      <c r="AI828" t="s">
        <v>2341</v>
      </c>
      <c r="AJ828" t="s">
        <v>2340</v>
      </c>
      <c r="AK828" t="s">
        <v>2339</v>
      </c>
      <c r="AL828">
        <v>66</v>
      </c>
      <c r="AM828" s="5">
        <f t="shared" si="98"/>
        <v>3.3</v>
      </c>
      <c r="AN828" s="4">
        <f t="shared" si="103"/>
        <v>4.9981067777357061E-3</v>
      </c>
      <c r="AO828" s="3"/>
      <c r="AP828">
        <v>0</v>
      </c>
      <c r="AR828" t="s">
        <v>1</v>
      </c>
      <c r="AT828" s="2" t="s">
        <v>0</v>
      </c>
      <c r="AU828" s="1">
        <f t="shared" si="99"/>
        <v>5.0942853191325037</v>
      </c>
      <c r="AV828" s="1">
        <f t="shared" si="100"/>
        <v>3.7815782787442376</v>
      </c>
      <c r="AW828" s="1">
        <f t="shared" si="101"/>
        <v>2.4688712383559706</v>
      </c>
    </row>
    <row r="829" spans="1:49" x14ac:dyDescent="0.2">
      <c r="A829">
        <v>827</v>
      </c>
      <c r="B829" t="s">
        <v>2338</v>
      </c>
      <c r="C829" t="s">
        <v>2337</v>
      </c>
      <c r="D829" t="s">
        <v>2336</v>
      </c>
      <c r="E829">
        <v>12363271</v>
      </c>
      <c r="F829" t="s">
        <v>2335</v>
      </c>
      <c r="G829" t="s">
        <v>5</v>
      </c>
      <c r="H829" t="s">
        <v>4</v>
      </c>
      <c r="I829" t="s">
        <v>2334</v>
      </c>
      <c r="J829" t="s">
        <v>2333</v>
      </c>
      <c r="K829" t="s">
        <v>2332</v>
      </c>
      <c r="L829" t="s">
        <v>2331</v>
      </c>
      <c r="M829" t="s">
        <v>22</v>
      </c>
      <c r="N829">
        <v>3</v>
      </c>
      <c r="O829" t="s">
        <v>2330</v>
      </c>
      <c r="P829" t="s">
        <v>2329</v>
      </c>
      <c r="Q829" t="s">
        <v>2328</v>
      </c>
      <c r="R829" s="7">
        <v>37464</v>
      </c>
      <c r="S829" s="8">
        <f t="shared" si="96"/>
        <v>2002</v>
      </c>
      <c r="T829" s="8">
        <v>2002</v>
      </c>
      <c r="U829" s="8">
        <f t="shared" si="97"/>
        <v>20</v>
      </c>
      <c r="V829" s="7">
        <v>2002</v>
      </c>
      <c r="W829" t="s">
        <v>2327</v>
      </c>
      <c r="X829" s="2">
        <v>0.81799999999999995</v>
      </c>
      <c r="Y829" s="6">
        <f t="shared" si="102"/>
        <v>2.1836042817863912E-2</v>
      </c>
      <c r="AA829" t="s">
        <v>2326</v>
      </c>
      <c r="AB829">
        <v>23388</v>
      </c>
      <c r="AD829" t="s">
        <v>2</v>
      </c>
      <c r="AE829">
        <v>63</v>
      </c>
      <c r="AF829">
        <v>2</v>
      </c>
      <c r="AH829" t="s">
        <v>20</v>
      </c>
      <c r="AI829" t="s">
        <v>2325</v>
      </c>
      <c r="AJ829" t="s">
        <v>2324</v>
      </c>
      <c r="AK829" t="s">
        <v>2323</v>
      </c>
      <c r="AL829">
        <v>2</v>
      </c>
      <c r="AM829" s="5">
        <f t="shared" si="98"/>
        <v>0.1</v>
      </c>
      <c r="AN829" s="4">
        <f t="shared" si="103"/>
        <v>1.5145778114350627E-4</v>
      </c>
      <c r="AO829" s="3"/>
      <c r="AP829">
        <v>0</v>
      </c>
      <c r="AQ829" t="s">
        <v>2322</v>
      </c>
      <c r="AR829" t="s">
        <v>1</v>
      </c>
      <c r="AS829" t="s">
        <v>2321</v>
      </c>
      <c r="AT829" s="2" t="s">
        <v>0</v>
      </c>
      <c r="AU829" s="1">
        <f t="shared" si="99"/>
        <v>1.5330667306847789</v>
      </c>
      <c r="AV829" s="1">
        <f t="shared" si="100"/>
        <v>1.0993750299503708</v>
      </c>
      <c r="AW829" s="1">
        <f t="shared" si="101"/>
        <v>0.66568332921596285</v>
      </c>
    </row>
    <row r="830" spans="1:49" x14ac:dyDescent="0.2">
      <c r="A830">
        <v>828</v>
      </c>
      <c r="B830" t="s">
        <v>2320</v>
      </c>
      <c r="C830" t="s">
        <v>2319</v>
      </c>
      <c r="F830" t="s">
        <v>2318</v>
      </c>
      <c r="G830" t="s">
        <v>5</v>
      </c>
      <c r="H830" t="s">
        <v>4</v>
      </c>
      <c r="I830" t="s">
        <v>2317</v>
      </c>
      <c r="J830">
        <v>60023053</v>
      </c>
      <c r="K830" t="s">
        <v>2316</v>
      </c>
      <c r="L830" t="s">
        <v>2315</v>
      </c>
      <c r="M830" t="s">
        <v>7</v>
      </c>
      <c r="N830">
        <v>4</v>
      </c>
      <c r="O830" t="s">
        <v>2314</v>
      </c>
      <c r="P830" t="s">
        <v>2313</v>
      </c>
      <c r="Q830" t="s">
        <v>2312</v>
      </c>
      <c r="R830" s="7">
        <v>37462</v>
      </c>
      <c r="S830" s="8">
        <f t="shared" si="96"/>
        <v>2002</v>
      </c>
      <c r="T830" s="8">
        <v>2002</v>
      </c>
      <c r="U830" s="8">
        <f t="shared" si="97"/>
        <v>20</v>
      </c>
      <c r="V830" s="7">
        <v>37462</v>
      </c>
      <c r="W830" t="s">
        <v>51</v>
      </c>
      <c r="X830" s="2">
        <v>0.192</v>
      </c>
      <c r="Y830" s="6">
        <f t="shared" si="102"/>
        <v>5.1253303435572998E-3</v>
      </c>
      <c r="AA830" t="s">
        <v>50</v>
      </c>
      <c r="AB830">
        <v>40067</v>
      </c>
      <c r="AD830" t="s">
        <v>2</v>
      </c>
      <c r="AE830">
        <v>4719</v>
      </c>
      <c r="AF830">
        <v>1</v>
      </c>
      <c r="AH830" t="s">
        <v>2311</v>
      </c>
      <c r="AI830" t="s">
        <v>2310</v>
      </c>
      <c r="AJ830" t="s">
        <v>2309</v>
      </c>
      <c r="AK830" t="s">
        <v>2308</v>
      </c>
      <c r="AL830">
        <v>15</v>
      </c>
      <c r="AM830" s="5">
        <f t="shared" si="98"/>
        <v>0.75</v>
      </c>
      <c r="AN830" s="4">
        <f t="shared" si="103"/>
        <v>1.1359333585762969E-3</v>
      </c>
      <c r="AO830" s="3"/>
      <c r="AP830">
        <v>0</v>
      </c>
      <c r="AR830" t="s">
        <v>1</v>
      </c>
      <c r="AT830" s="2" t="s">
        <v>0</v>
      </c>
      <c r="AU830" s="1">
        <f t="shared" si="99"/>
        <v>0.3928511248062998</v>
      </c>
      <c r="AV830" s="1">
        <f t="shared" si="100"/>
        <v>0.3130631851066798</v>
      </c>
      <c r="AW830" s="1">
        <f t="shared" si="101"/>
        <v>0.23327524540705974</v>
      </c>
    </row>
    <row r="831" spans="1:49" x14ac:dyDescent="0.2">
      <c r="A831">
        <v>829</v>
      </c>
      <c r="B831" t="s">
        <v>2307</v>
      </c>
      <c r="C831" t="s">
        <v>2306</v>
      </c>
      <c r="D831" t="s">
        <v>2305</v>
      </c>
      <c r="F831" t="s">
        <v>2304</v>
      </c>
      <c r="G831" t="s">
        <v>5</v>
      </c>
      <c r="H831" t="s">
        <v>4</v>
      </c>
      <c r="I831" t="s">
        <v>2303</v>
      </c>
      <c r="J831">
        <v>60024322</v>
      </c>
      <c r="K831" t="s">
        <v>930</v>
      </c>
      <c r="L831" t="s">
        <v>929</v>
      </c>
      <c r="M831" t="s">
        <v>36</v>
      </c>
      <c r="N831">
        <v>4</v>
      </c>
      <c r="O831" t="s">
        <v>2302</v>
      </c>
      <c r="P831" t="s">
        <v>2301</v>
      </c>
      <c r="Q831" t="s">
        <v>2300</v>
      </c>
      <c r="R831" s="7">
        <v>37461</v>
      </c>
      <c r="S831" s="8">
        <f t="shared" si="96"/>
        <v>2002</v>
      </c>
      <c r="T831" s="8">
        <v>2002</v>
      </c>
      <c r="U831" s="8">
        <f t="shared" si="97"/>
        <v>20</v>
      </c>
      <c r="V831" s="7">
        <v>2002</v>
      </c>
      <c r="W831" t="s">
        <v>2299</v>
      </c>
      <c r="X831" s="2">
        <v>0.82299999999999995</v>
      </c>
      <c r="Y831" s="6">
        <f t="shared" si="102"/>
        <v>2.1969514962227384E-2</v>
      </c>
      <c r="AA831">
        <v>2643707</v>
      </c>
      <c r="AB831">
        <v>28441</v>
      </c>
      <c r="AD831" t="s">
        <v>2</v>
      </c>
      <c r="AE831">
        <v>33</v>
      </c>
      <c r="AF831" s="9">
        <v>44320</v>
      </c>
      <c r="AH831" t="s">
        <v>2298</v>
      </c>
      <c r="AI831" t="s">
        <v>2297</v>
      </c>
      <c r="AK831" t="s">
        <v>2296</v>
      </c>
      <c r="AL831">
        <v>1</v>
      </c>
      <c r="AM831" s="5">
        <f t="shared" si="98"/>
        <v>0.05</v>
      </c>
      <c r="AN831" s="4">
        <f t="shared" si="103"/>
        <v>7.5728890571753133E-5</v>
      </c>
      <c r="AO831" s="3"/>
      <c r="AP831">
        <v>0</v>
      </c>
      <c r="AR831" t="s">
        <v>1</v>
      </c>
      <c r="AT831" s="2">
        <v>2.3450000000000002</v>
      </c>
      <c r="AU831" s="1">
        <f t="shared" si="99"/>
        <v>1.5401379140730693</v>
      </c>
      <c r="AV831" s="1">
        <f t="shared" si="100"/>
        <v>1.1022621926399567</v>
      </c>
      <c r="AW831" s="1">
        <f t="shared" si="101"/>
        <v>0.66438647120684413</v>
      </c>
    </row>
    <row r="832" spans="1:49" x14ac:dyDescent="0.2">
      <c r="A832">
        <v>830</v>
      </c>
      <c r="B832" t="s">
        <v>2295</v>
      </c>
      <c r="C832" t="s">
        <v>2294</v>
      </c>
      <c r="E832">
        <v>12119027</v>
      </c>
      <c r="F832" t="s">
        <v>2293</v>
      </c>
      <c r="G832" t="s">
        <v>5</v>
      </c>
      <c r="H832" t="s">
        <v>4</v>
      </c>
      <c r="I832" t="s">
        <v>2292</v>
      </c>
      <c r="J832">
        <v>60031216</v>
      </c>
      <c r="K832" t="s">
        <v>2291</v>
      </c>
      <c r="L832" t="s">
        <v>2290</v>
      </c>
      <c r="M832" t="s">
        <v>112</v>
      </c>
      <c r="N832">
        <v>3</v>
      </c>
      <c r="O832" t="s">
        <v>2289</v>
      </c>
      <c r="P832" t="s">
        <v>2288</v>
      </c>
      <c r="Q832" t="s">
        <v>2287</v>
      </c>
      <c r="R832" s="7">
        <v>37460</v>
      </c>
      <c r="S832" s="8">
        <f t="shared" si="96"/>
        <v>2002</v>
      </c>
      <c r="T832" s="8">
        <v>2002</v>
      </c>
      <c r="U832" s="8">
        <f t="shared" si="97"/>
        <v>20</v>
      </c>
      <c r="V832" s="7">
        <v>37460</v>
      </c>
      <c r="W832" t="s">
        <v>797</v>
      </c>
      <c r="X832" s="2">
        <v>1.43</v>
      </c>
      <c r="Y832" s="6">
        <f t="shared" si="102"/>
        <v>3.8173033287952803E-2</v>
      </c>
      <c r="AA832">
        <v>62960</v>
      </c>
      <c r="AB832">
        <v>16867</v>
      </c>
      <c r="AD832" t="s">
        <v>2</v>
      </c>
      <c r="AE832">
        <v>41</v>
      </c>
      <c r="AF832">
        <v>29</v>
      </c>
      <c r="AH832" t="s">
        <v>2286</v>
      </c>
      <c r="AI832" t="s">
        <v>2285</v>
      </c>
      <c r="AK832" t="s">
        <v>2284</v>
      </c>
      <c r="AL832">
        <v>21</v>
      </c>
      <c r="AM832" s="5">
        <f t="shared" si="98"/>
        <v>1.05</v>
      </c>
      <c r="AN832" s="4">
        <f t="shared" si="103"/>
        <v>1.5903067020068156E-3</v>
      </c>
      <c r="AO832" s="3"/>
      <c r="AP832">
        <v>0</v>
      </c>
      <c r="AR832" t="s">
        <v>1</v>
      </c>
      <c r="AT832" s="2">
        <v>3.1619999999999999</v>
      </c>
      <c r="AU832" s="1">
        <f t="shared" si="99"/>
        <v>2.7198215312169007</v>
      </c>
      <c r="AV832" s="1">
        <f t="shared" si="100"/>
        <v>1.9881669994979807</v>
      </c>
      <c r="AW832" s="1">
        <f t="shared" si="101"/>
        <v>1.2565124677790611</v>
      </c>
    </row>
    <row r="833" spans="1:49" x14ac:dyDescent="0.2">
      <c r="A833">
        <v>831</v>
      </c>
      <c r="B833" t="s">
        <v>2283</v>
      </c>
      <c r="C833" t="s">
        <v>2282</v>
      </c>
      <c r="F833" t="s">
        <v>2281</v>
      </c>
      <c r="G833" t="s">
        <v>5</v>
      </c>
      <c r="H833" t="s">
        <v>4</v>
      </c>
      <c r="I833" t="s">
        <v>2280</v>
      </c>
      <c r="J833" t="s">
        <v>2279</v>
      </c>
      <c r="K833" t="s">
        <v>2278</v>
      </c>
      <c r="L833" t="s">
        <v>2277</v>
      </c>
      <c r="M833" t="s">
        <v>22</v>
      </c>
      <c r="N833">
        <v>4</v>
      </c>
      <c r="O833" t="s">
        <v>2276</v>
      </c>
      <c r="P833" t="s">
        <v>2275</v>
      </c>
      <c r="Q833" t="s">
        <v>2274</v>
      </c>
      <c r="R833" s="7">
        <v>37459</v>
      </c>
      <c r="S833" s="8">
        <f t="shared" si="96"/>
        <v>2002</v>
      </c>
      <c r="T833" s="8">
        <v>2002</v>
      </c>
      <c r="U833" s="8">
        <f t="shared" si="97"/>
        <v>20</v>
      </c>
      <c r="V833" s="7">
        <v>2002</v>
      </c>
      <c r="W833" t="s">
        <v>335</v>
      </c>
      <c r="X833" s="2">
        <v>0.111</v>
      </c>
      <c r="Y833" s="6">
        <f t="shared" si="102"/>
        <v>2.9630816048690639E-3</v>
      </c>
      <c r="AA833">
        <v>87566621</v>
      </c>
      <c r="AB833">
        <v>24890</v>
      </c>
      <c r="AD833" t="s">
        <v>2</v>
      </c>
      <c r="AE833">
        <v>85</v>
      </c>
      <c r="AF833">
        <v>6</v>
      </c>
      <c r="AH833" s="9">
        <v>44470</v>
      </c>
      <c r="AI833" t="s">
        <v>2273</v>
      </c>
      <c r="AJ833" t="s">
        <v>2272</v>
      </c>
      <c r="AK833" t="s">
        <v>2271</v>
      </c>
      <c r="AL833">
        <v>0</v>
      </c>
      <c r="AM833" s="5">
        <f t="shared" si="98"/>
        <v>0</v>
      </c>
      <c r="AN833" s="4">
        <f t="shared" si="103"/>
        <v>0</v>
      </c>
      <c r="AO833" s="3"/>
      <c r="AP833">
        <v>0</v>
      </c>
      <c r="AR833" t="s">
        <v>1</v>
      </c>
      <c r="AT833" s="2" t="s">
        <v>0</v>
      </c>
      <c r="AU833" s="1">
        <f t="shared" si="99"/>
        <v>0.20741571234083445</v>
      </c>
      <c r="AV833" s="1">
        <f t="shared" si="100"/>
        <v>0.1481540802434532</v>
      </c>
      <c r="AW833" s="1">
        <f t="shared" si="101"/>
        <v>8.8892448146071903E-2</v>
      </c>
    </row>
    <row r="834" spans="1:49" x14ac:dyDescent="0.2">
      <c r="A834">
        <v>832</v>
      </c>
      <c r="B834" t="s">
        <v>2270</v>
      </c>
      <c r="C834" t="s">
        <v>2269</v>
      </c>
      <c r="F834" t="s">
        <v>2268</v>
      </c>
      <c r="G834" t="s">
        <v>5</v>
      </c>
      <c r="H834" t="s">
        <v>4</v>
      </c>
      <c r="I834" t="s">
        <v>1200</v>
      </c>
      <c r="J834">
        <v>60032398</v>
      </c>
      <c r="K834" t="s">
        <v>1199</v>
      </c>
      <c r="L834" t="s">
        <v>1198</v>
      </c>
      <c r="M834" t="s">
        <v>297</v>
      </c>
      <c r="N834">
        <v>2</v>
      </c>
      <c r="O834" t="s">
        <v>2267</v>
      </c>
      <c r="P834" t="s">
        <v>2266</v>
      </c>
      <c r="Q834" t="s">
        <v>2265</v>
      </c>
      <c r="R834" s="7">
        <v>37457</v>
      </c>
      <c r="S834" s="8">
        <f t="shared" ref="S834:S897" si="104">YEAR(R834)</f>
        <v>2002</v>
      </c>
      <c r="T834" s="8">
        <v>2002</v>
      </c>
      <c r="U834" s="8">
        <f t="shared" ref="U834:U897" si="105">2022-T834</f>
        <v>20</v>
      </c>
      <c r="V834" s="7">
        <v>2002</v>
      </c>
      <c r="W834" t="s">
        <v>1197</v>
      </c>
      <c r="X834" s="2">
        <v>1.0529999999999999</v>
      </c>
      <c r="Y834" s="6">
        <f t="shared" si="102"/>
        <v>2.8109233602947065E-2</v>
      </c>
      <c r="AA834">
        <v>14639076</v>
      </c>
      <c r="AB834">
        <v>27011</v>
      </c>
      <c r="AD834" t="s">
        <v>2</v>
      </c>
      <c r="AE834">
        <v>4</v>
      </c>
      <c r="AF834">
        <v>14</v>
      </c>
      <c r="AH834" t="s">
        <v>2264</v>
      </c>
      <c r="AI834" t="s">
        <v>2263</v>
      </c>
      <c r="AK834" t="s">
        <v>2262</v>
      </c>
      <c r="AL834">
        <v>29</v>
      </c>
      <c r="AM834" s="5">
        <f t="shared" ref="AM834:AM897" si="106">AL834/U834</f>
        <v>1.45</v>
      </c>
      <c r="AN834" s="4">
        <f t="shared" si="103"/>
        <v>2.1961378265808406E-3</v>
      </c>
      <c r="AO834" s="3"/>
      <c r="AP834">
        <v>0</v>
      </c>
      <c r="AR834" t="s">
        <v>1</v>
      </c>
      <c r="AT834" s="2">
        <v>3.6760000000000002</v>
      </c>
      <c r="AU834" s="1">
        <f t="shared" ref="AU834:AU897" si="107">(Y834*0.7+AN834*0.3)*100</f>
        <v>2.0335304870037194</v>
      </c>
      <c r="AV834" s="1">
        <f t="shared" ref="AV834:AV897" si="108">(Y834*0.5+AN834*0.5)*100</f>
        <v>1.5152685714763952</v>
      </c>
      <c r="AW834" s="1">
        <f t="shared" ref="AW834:AW897" si="109">(Y834*0.3+AN834*0.7)*100</f>
        <v>0.9970066559490709</v>
      </c>
    </row>
    <row r="835" spans="1:49" x14ac:dyDescent="0.2">
      <c r="A835">
        <v>833</v>
      </c>
      <c r="B835" t="s">
        <v>2261</v>
      </c>
      <c r="C835" t="s">
        <v>2260</v>
      </c>
      <c r="F835" t="s">
        <v>2259</v>
      </c>
      <c r="G835" t="s">
        <v>5</v>
      </c>
      <c r="H835" t="s">
        <v>4</v>
      </c>
      <c r="I835" t="s">
        <v>2258</v>
      </c>
      <c r="J835" t="s">
        <v>2257</v>
      </c>
      <c r="K835" t="s">
        <v>2256</v>
      </c>
      <c r="L835" t="s">
        <v>2255</v>
      </c>
      <c r="M835" t="s">
        <v>39</v>
      </c>
      <c r="N835">
        <v>2</v>
      </c>
      <c r="O835" t="s">
        <v>2254</v>
      </c>
      <c r="P835" t="s">
        <v>2253</v>
      </c>
      <c r="Q835" t="s">
        <v>2252</v>
      </c>
      <c r="R835" s="7">
        <v>37455</v>
      </c>
      <c r="S835" s="8">
        <f t="shared" si="104"/>
        <v>2002</v>
      </c>
      <c r="T835" s="8">
        <v>2002</v>
      </c>
      <c r="U835" s="8">
        <f t="shared" si="105"/>
        <v>20</v>
      </c>
      <c r="V835" s="7">
        <v>37455</v>
      </c>
      <c r="W835" t="s">
        <v>786</v>
      </c>
      <c r="X835" s="2">
        <v>0.375</v>
      </c>
      <c r="Y835" s="6">
        <f t="shared" ref="Y835:Y898" si="110">(X835-$Z$3)/($Z$2-$Z$3)</f>
        <v>1.0010410827260351E-2</v>
      </c>
      <c r="AA835">
        <v>135194</v>
      </c>
      <c r="AB835">
        <v>24918</v>
      </c>
      <c r="AD835" t="s">
        <v>2</v>
      </c>
      <c r="AE835">
        <v>38</v>
      </c>
      <c r="AF835">
        <v>15</v>
      </c>
      <c r="AH835" t="s">
        <v>2251</v>
      </c>
      <c r="AI835" t="s">
        <v>2250</v>
      </c>
      <c r="AK835" t="s">
        <v>2249</v>
      </c>
      <c r="AL835">
        <v>4</v>
      </c>
      <c r="AM835" s="5">
        <f t="shared" si="106"/>
        <v>0.2</v>
      </c>
      <c r="AN835" s="4">
        <f t="shared" ref="AN835:AN898" si="111">(AM835-$AO$3)/($AO$2-$AO$3)</f>
        <v>3.0291556228701253E-4</v>
      </c>
      <c r="AO835" s="3"/>
      <c r="AP835">
        <v>0</v>
      </c>
      <c r="AR835" t="s">
        <v>1</v>
      </c>
      <c r="AT835" s="2">
        <v>1.3140000000000001</v>
      </c>
      <c r="AU835" s="1">
        <f t="shared" si="107"/>
        <v>0.70981622477683493</v>
      </c>
      <c r="AV835" s="1">
        <f t="shared" si="108"/>
        <v>0.51566631947736818</v>
      </c>
      <c r="AW835" s="1">
        <f t="shared" si="109"/>
        <v>0.32151641417790139</v>
      </c>
    </row>
    <row r="836" spans="1:49" x14ac:dyDescent="0.2">
      <c r="A836">
        <v>834</v>
      </c>
      <c r="B836" t="s">
        <v>2248</v>
      </c>
      <c r="C836" t="s">
        <v>2247</v>
      </c>
      <c r="F836" t="s">
        <v>2246</v>
      </c>
      <c r="G836" t="s">
        <v>5</v>
      </c>
      <c r="H836" t="s">
        <v>4</v>
      </c>
      <c r="I836" t="s">
        <v>2245</v>
      </c>
      <c r="J836">
        <v>60002731</v>
      </c>
      <c r="K836" t="s">
        <v>525</v>
      </c>
      <c r="L836" t="s">
        <v>484</v>
      </c>
      <c r="M836" t="s">
        <v>41</v>
      </c>
      <c r="N836">
        <v>2</v>
      </c>
      <c r="O836" t="s">
        <v>2244</v>
      </c>
      <c r="P836" t="s">
        <v>2243</v>
      </c>
      <c r="Q836" t="s">
        <v>524</v>
      </c>
      <c r="R836" s="7">
        <v>37455</v>
      </c>
      <c r="S836" s="8">
        <f t="shared" si="104"/>
        <v>2002</v>
      </c>
      <c r="T836" s="8">
        <v>2002</v>
      </c>
      <c r="U836" s="8">
        <f t="shared" si="105"/>
        <v>20</v>
      </c>
      <c r="V836" s="7">
        <v>37455</v>
      </c>
      <c r="W836" t="s">
        <v>786</v>
      </c>
      <c r="X836" s="2">
        <v>0.375</v>
      </c>
      <c r="Y836" s="6">
        <f t="shared" si="110"/>
        <v>1.0010410827260351E-2</v>
      </c>
      <c r="AA836">
        <v>135194</v>
      </c>
      <c r="AB836">
        <v>24918</v>
      </c>
      <c r="AD836" t="s">
        <v>2</v>
      </c>
      <c r="AE836">
        <v>38</v>
      </c>
      <c r="AF836">
        <v>15</v>
      </c>
      <c r="AH836" t="s">
        <v>2242</v>
      </c>
      <c r="AI836" t="s">
        <v>2241</v>
      </c>
      <c r="AK836" t="s">
        <v>2240</v>
      </c>
      <c r="AL836">
        <v>8</v>
      </c>
      <c r="AM836" s="5">
        <f t="shared" si="106"/>
        <v>0.4</v>
      </c>
      <c r="AN836" s="4">
        <f t="shared" si="111"/>
        <v>6.0583112457402507E-4</v>
      </c>
      <c r="AO836" s="3"/>
      <c r="AP836">
        <v>0</v>
      </c>
      <c r="AR836" t="s">
        <v>1</v>
      </c>
      <c r="AT836" s="2">
        <v>1.3140000000000001</v>
      </c>
      <c r="AU836" s="1">
        <f t="shared" si="107"/>
        <v>0.71890369164544532</v>
      </c>
      <c r="AV836" s="1">
        <f t="shared" si="108"/>
        <v>0.53081209759171888</v>
      </c>
      <c r="AW836" s="1">
        <f t="shared" si="109"/>
        <v>0.34272050353799227</v>
      </c>
    </row>
    <row r="837" spans="1:49" x14ac:dyDescent="0.2">
      <c r="A837">
        <v>835</v>
      </c>
      <c r="B837" t="s">
        <v>2239</v>
      </c>
      <c r="C837" t="s">
        <v>2238</v>
      </c>
      <c r="F837" t="s">
        <v>2237</v>
      </c>
      <c r="G837" t="s">
        <v>5</v>
      </c>
      <c r="H837" t="s">
        <v>4</v>
      </c>
      <c r="I837" t="s">
        <v>2236</v>
      </c>
      <c r="J837">
        <v>60029049</v>
      </c>
      <c r="K837" t="s">
        <v>2235</v>
      </c>
      <c r="L837" t="s">
        <v>2234</v>
      </c>
      <c r="M837" t="s">
        <v>14</v>
      </c>
      <c r="N837">
        <v>2</v>
      </c>
      <c r="O837" t="s">
        <v>2233</v>
      </c>
      <c r="P837" t="s">
        <v>2232</v>
      </c>
      <c r="Q837" t="s">
        <v>2231</v>
      </c>
      <c r="R837" s="7">
        <v>37455</v>
      </c>
      <c r="S837" s="8">
        <f t="shared" si="104"/>
        <v>2002</v>
      </c>
      <c r="T837" s="8">
        <v>2002</v>
      </c>
      <c r="U837" s="8">
        <f t="shared" si="105"/>
        <v>20</v>
      </c>
      <c r="V837" s="7">
        <v>37455</v>
      </c>
      <c r="W837" t="s">
        <v>786</v>
      </c>
      <c r="X837" s="2">
        <v>0.375</v>
      </c>
      <c r="Y837" s="6">
        <f t="shared" si="110"/>
        <v>1.0010410827260351E-2</v>
      </c>
      <c r="AA837">
        <v>135194</v>
      </c>
      <c r="AB837">
        <v>24918</v>
      </c>
      <c r="AD837" t="s">
        <v>2</v>
      </c>
      <c r="AE837">
        <v>38</v>
      </c>
      <c r="AF837">
        <v>15</v>
      </c>
      <c r="AH837" t="s">
        <v>2230</v>
      </c>
      <c r="AI837" t="s">
        <v>2229</v>
      </c>
      <c r="AK837" t="s">
        <v>2228</v>
      </c>
      <c r="AL837">
        <v>1</v>
      </c>
      <c r="AM837" s="5">
        <f t="shared" si="106"/>
        <v>0.05</v>
      </c>
      <c r="AN837" s="4">
        <f t="shared" si="111"/>
        <v>7.5728890571753133E-5</v>
      </c>
      <c r="AO837" s="3"/>
      <c r="AP837">
        <v>0</v>
      </c>
      <c r="AR837" t="s">
        <v>1</v>
      </c>
      <c r="AT837" s="2">
        <v>1.3140000000000001</v>
      </c>
      <c r="AU837" s="1">
        <f t="shared" si="107"/>
        <v>0.70300062462537716</v>
      </c>
      <c r="AV837" s="1">
        <f t="shared" si="108"/>
        <v>0.50430698589160516</v>
      </c>
      <c r="AW837" s="1">
        <f t="shared" si="109"/>
        <v>0.30561334715783323</v>
      </c>
    </row>
    <row r="838" spans="1:49" x14ac:dyDescent="0.2">
      <c r="A838">
        <v>836</v>
      </c>
      <c r="B838" t="s">
        <v>2227</v>
      </c>
      <c r="C838" t="s">
        <v>2226</v>
      </c>
      <c r="F838" t="s">
        <v>2225</v>
      </c>
      <c r="G838" t="s">
        <v>5</v>
      </c>
      <c r="H838" t="s">
        <v>4</v>
      </c>
      <c r="I838" t="s">
        <v>2224</v>
      </c>
      <c r="J838">
        <v>60001558</v>
      </c>
      <c r="K838" t="s">
        <v>672</v>
      </c>
      <c r="L838" t="s">
        <v>209</v>
      </c>
      <c r="M838" t="s">
        <v>152</v>
      </c>
      <c r="N838">
        <v>4</v>
      </c>
      <c r="O838" t="s">
        <v>2223</v>
      </c>
      <c r="P838" t="s">
        <v>2222</v>
      </c>
      <c r="Q838" t="s">
        <v>671</v>
      </c>
      <c r="R838" s="7">
        <v>37455</v>
      </c>
      <c r="S838" s="8">
        <f t="shared" si="104"/>
        <v>2002</v>
      </c>
      <c r="T838" s="8">
        <v>2002</v>
      </c>
      <c r="U838" s="8">
        <f t="shared" si="105"/>
        <v>20</v>
      </c>
      <c r="V838" s="7">
        <v>37455</v>
      </c>
      <c r="W838" t="s">
        <v>786</v>
      </c>
      <c r="X838" s="2">
        <v>0.375</v>
      </c>
      <c r="Y838" s="6">
        <f t="shared" si="110"/>
        <v>1.0010410827260351E-2</v>
      </c>
      <c r="AA838">
        <v>135194</v>
      </c>
      <c r="AB838">
        <v>24918</v>
      </c>
      <c r="AD838" t="s">
        <v>2</v>
      </c>
      <c r="AE838">
        <v>38</v>
      </c>
      <c r="AF838">
        <v>15</v>
      </c>
      <c r="AH838" t="s">
        <v>2221</v>
      </c>
      <c r="AI838" t="s">
        <v>2220</v>
      </c>
      <c r="AK838" t="s">
        <v>2219</v>
      </c>
      <c r="AL838">
        <v>3</v>
      </c>
      <c r="AM838" s="5">
        <f t="shared" si="106"/>
        <v>0.15</v>
      </c>
      <c r="AN838" s="4">
        <f t="shared" si="111"/>
        <v>2.2718667171525936E-4</v>
      </c>
      <c r="AO838" s="3"/>
      <c r="AP838">
        <v>0</v>
      </c>
      <c r="AR838" t="s">
        <v>1</v>
      </c>
      <c r="AT838" s="2">
        <v>1.3140000000000001</v>
      </c>
      <c r="AU838" s="1">
        <f t="shared" si="107"/>
        <v>0.70754435805968241</v>
      </c>
      <c r="AV838" s="1">
        <f t="shared" si="108"/>
        <v>0.51187987494878051</v>
      </c>
      <c r="AW838" s="1">
        <f t="shared" si="109"/>
        <v>0.31621539183787867</v>
      </c>
    </row>
    <row r="839" spans="1:49" x14ac:dyDescent="0.2">
      <c r="A839">
        <v>837</v>
      </c>
      <c r="B839" t="s">
        <v>2218</v>
      </c>
      <c r="C839" t="s">
        <v>2217</v>
      </c>
      <c r="F839" t="s">
        <v>2216</v>
      </c>
      <c r="G839" t="s">
        <v>5</v>
      </c>
      <c r="H839" t="s">
        <v>4</v>
      </c>
      <c r="I839" t="s">
        <v>565</v>
      </c>
      <c r="J839" t="s">
        <v>2215</v>
      </c>
      <c r="K839" t="s">
        <v>2214</v>
      </c>
      <c r="L839" t="s">
        <v>2213</v>
      </c>
      <c r="M839" t="s">
        <v>567</v>
      </c>
      <c r="N839">
        <v>13</v>
      </c>
      <c r="O839" t="s">
        <v>2212</v>
      </c>
      <c r="P839" t="s">
        <v>2211</v>
      </c>
      <c r="Q839" t="s">
        <v>2210</v>
      </c>
      <c r="R839" s="7">
        <v>37455</v>
      </c>
      <c r="S839" s="8">
        <f t="shared" si="104"/>
        <v>2002</v>
      </c>
      <c r="T839" s="8">
        <v>2002</v>
      </c>
      <c r="U839" s="8">
        <f t="shared" si="105"/>
        <v>20</v>
      </c>
      <c r="V839" s="7">
        <v>37455</v>
      </c>
      <c r="W839" t="s">
        <v>786</v>
      </c>
      <c r="X839" s="2">
        <v>0.375</v>
      </c>
      <c r="Y839" s="6">
        <f t="shared" si="110"/>
        <v>1.0010410827260351E-2</v>
      </c>
      <c r="AA839">
        <v>135194</v>
      </c>
      <c r="AB839">
        <v>24918</v>
      </c>
      <c r="AD839" t="s">
        <v>2</v>
      </c>
      <c r="AE839">
        <v>38</v>
      </c>
      <c r="AF839">
        <v>15</v>
      </c>
      <c r="AH839" t="s">
        <v>2209</v>
      </c>
      <c r="AI839" t="s">
        <v>2208</v>
      </c>
      <c r="AK839" t="s">
        <v>2207</v>
      </c>
      <c r="AL839">
        <v>33</v>
      </c>
      <c r="AM839" s="5">
        <f t="shared" si="106"/>
        <v>1.65</v>
      </c>
      <c r="AN839" s="4">
        <f t="shared" si="111"/>
        <v>2.4990533888678531E-3</v>
      </c>
      <c r="AO839" s="3"/>
      <c r="AP839">
        <v>0</v>
      </c>
      <c r="AR839" t="s">
        <v>1</v>
      </c>
      <c r="AT839" s="2">
        <v>1.3140000000000001</v>
      </c>
      <c r="AU839" s="1">
        <f t="shared" si="107"/>
        <v>0.77570035957426009</v>
      </c>
      <c r="AV839" s="1">
        <f t="shared" si="108"/>
        <v>0.62547321080641016</v>
      </c>
      <c r="AW839" s="1">
        <f t="shared" si="109"/>
        <v>0.47524606203856024</v>
      </c>
    </row>
    <row r="840" spans="1:49" x14ac:dyDescent="0.2">
      <c r="A840">
        <v>838</v>
      </c>
      <c r="B840" t="s">
        <v>2206</v>
      </c>
      <c r="C840" t="s">
        <v>2205</v>
      </c>
      <c r="E840">
        <v>12105908</v>
      </c>
      <c r="F840" t="s">
        <v>2204</v>
      </c>
      <c r="G840" t="s">
        <v>5</v>
      </c>
      <c r="H840" t="s">
        <v>4</v>
      </c>
      <c r="I840" t="s">
        <v>2203</v>
      </c>
      <c r="J840" t="s">
        <v>2202</v>
      </c>
      <c r="K840" t="s">
        <v>2201</v>
      </c>
      <c r="L840" t="s">
        <v>2200</v>
      </c>
      <c r="M840" t="s">
        <v>1005</v>
      </c>
      <c r="N840">
        <v>5</v>
      </c>
      <c r="O840" t="s">
        <v>2199</v>
      </c>
      <c r="P840" t="s">
        <v>2198</v>
      </c>
      <c r="Q840" t="s">
        <v>2197</v>
      </c>
      <c r="R840" s="7">
        <v>37454</v>
      </c>
      <c r="S840" s="8">
        <f t="shared" si="104"/>
        <v>2002</v>
      </c>
      <c r="T840" s="8">
        <v>2002</v>
      </c>
      <c r="U840" s="8">
        <f t="shared" si="105"/>
        <v>20</v>
      </c>
      <c r="V840" s="7">
        <v>37454</v>
      </c>
      <c r="W840" t="s">
        <v>907</v>
      </c>
      <c r="X840" s="2">
        <v>7.1150000000000002</v>
      </c>
      <c r="Y840" s="6">
        <f t="shared" si="110"/>
        <v>0.18993086142921972</v>
      </c>
      <c r="AA840">
        <v>27863</v>
      </c>
      <c r="AB840">
        <v>22680</v>
      </c>
      <c r="AD840" t="s">
        <v>2</v>
      </c>
      <c r="AE840">
        <v>124</v>
      </c>
      <c r="AF840">
        <v>28</v>
      </c>
      <c r="AH840" t="s">
        <v>2196</v>
      </c>
      <c r="AI840" t="s">
        <v>2195</v>
      </c>
      <c r="AK840" t="s">
        <v>2194</v>
      </c>
      <c r="AL840">
        <v>86</v>
      </c>
      <c r="AM840" s="5">
        <f t="shared" si="106"/>
        <v>4.3</v>
      </c>
      <c r="AN840" s="4">
        <f t="shared" si="111"/>
        <v>6.5126845891707681E-3</v>
      </c>
      <c r="AO840" s="3"/>
      <c r="AP840">
        <v>0</v>
      </c>
      <c r="AR840" t="s">
        <v>1</v>
      </c>
      <c r="AT840" s="2" t="s">
        <v>0</v>
      </c>
      <c r="AU840" s="1">
        <f t="shared" si="107"/>
        <v>13.490540837720506</v>
      </c>
      <c r="AV840" s="1">
        <f t="shared" si="108"/>
        <v>9.8221773009195239</v>
      </c>
      <c r="AW840" s="1">
        <f t="shared" si="109"/>
        <v>6.1538137641185449</v>
      </c>
    </row>
    <row r="841" spans="1:49" x14ac:dyDescent="0.2">
      <c r="A841">
        <v>839</v>
      </c>
      <c r="B841" t="s">
        <v>2193</v>
      </c>
      <c r="C841" t="s">
        <v>2192</v>
      </c>
      <c r="D841" t="s">
        <v>2191</v>
      </c>
      <c r="E841">
        <v>12123825</v>
      </c>
      <c r="F841" t="s">
        <v>2190</v>
      </c>
      <c r="G841" t="s">
        <v>5</v>
      </c>
      <c r="H841" t="s">
        <v>4</v>
      </c>
      <c r="I841" t="s">
        <v>17</v>
      </c>
      <c r="J841">
        <v>60000179</v>
      </c>
      <c r="K841" t="s">
        <v>16</v>
      </c>
      <c r="L841" t="s">
        <v>15</v>
      </c>
      <c r="M841" t="s">
        <v>14</v>
      </c>
      <c r="N841">
        <v>3</v>
      </c>
      <c r="O841" t="s">
        <v>2189</v>
      </c>
      <c r="P841" t="s">
        <v>2188</v>
      </c>
      <c r="Q841" t="s">
        <v>655</v>
      </c>
      <c r="R841" s="7">
        <v>37454</v>
      </c>
      <c r="S841" s="8">
        <f t="shared" si="104"/>
        <v>2002</v>
      </c>
      <c r="T841" s="8">
        <v>2002</v>
      </c>
      <c r="U841" s="8">
        <f t="shared" si="105"/>
        <v>20</v>
      </c>
      <c r="V841" s="7">
        <v>37454</v>
      </c>
      <c r="W841" t="s">
        <v>885</v>
      </c>
      <c r="X841" s="2">
        <v>1.593</v>
      </c>
      <c r="Y841" s="6">
        <f t="shared" si="110"/>
        <v>4.2524225194201973E-2</v>
      </c>
      <c r="AA841">
        <v>145793</v>
      </c>
      <c r="AB841">
        <v>17481</v>
      </c>
      <c r="AD841" t="s">
        <v>2</v>
      </c>
      <c r="AE841">
        <v>523</v>
      </c>
      <c r="AF841" s="9">
        <v>44256</v>
      </c>
      <c r="AH841" t="s">
        <v>2187</v>
      </c>
      <c r="AI841" t="s">
        <v>2186</v>
      </c>
      <c r="AJ841" t="s">
        <v>2185</v>
      </c>
      <c r="AK841" t="s">
        <v>2184</v>
      </c>
      <c r="AL841">
        <v>88</v>
      </c>
      <c r="AM841" s="5">
        <f t="shared" si="106"/>
        <v>4.4000000000000004</v>
      </c>
      <c r="AN841" s="4">
        <f t="shared" si="111"/>
        <v>6.6641423703142754E-3</v>
      </c>
      <c r="AO841" s="3"/>
      <c r="AP841">
        <v>1</v>
      </c>
      <c r="AR841" t="s">
        <v>1</v>
      </c>
      <c r="AT841" s="2">
        <v>4.1239999999999997</v>
      </c>
      <c r="AU841" s="1">
        <f t="shared" si="107"/>
        <v>3.176620034703566</v>
      </c>
      <c r="AV841" s="1">
        <f t="shared" si="108"/>
        <v>2.4594183782258123</v>
      </c>
      <c r="AW841" s="1">
        <f t="shared" si="109"/>
        <v>1.7422167217480584</v>
      </c>
    </row>
    <row r="842" spans="1:49" x14ac:dyDescent="0.2">
      <c r="A842">
        <v>840</v>
      </c>
      <c r="B842" t="s">
        <v>2183</v>
      </c>
      <c r="C842" t="s">
        <v>2182</v>
      </c>
      <c r="D842" t="s">
        <v>2181</v>
      </c>
      <c r="F842" t="s">
        <v>2180</v>
      </c>
      <c r="G842" t="s">
        <v>5</v>
      </c>
      <c r="H842" t="s">
        <v>4</v>
      </c>
      <c r="I842" t="s">
        <v>2179</v>
      </c>
      <c r="J842">
        <v>60015150</v>
      </c>
      <c r="K842" t="s">
        <v>1172</v>
      </c>
      <c r="L842" t="s">
        <v>484</v>
      </c>
      <c r="M842" t="s">
        <v>41</v>
      </c>
      <c r="N842">
        <v>2</v>
      </c>
      <c r="O842" t="s">
        <v>2178</v>
      </c>
      <c r="P842" t="s">
        <v>2177</v>
      </c>
      <c r="Q842" t="s">
        <v>2176</v>
      </c>
      <c r="R842" s="7">
        <v>37454</v>
      </c>
      <c r="S842" s="8">
        <f t="shared" si="104"/>
        <v>2002</v>
      </c>
      <c r="T842" s="8">
        <v>2002</v>
      </c>
      <c r="U842" s="8">
        <f t="shared" si="105"/>
        <v>20</v>
      </c>
      <c r="V842" s="7">
        <v>2002</v>
      </c>
      <c r="W842" t="s">
        <v>628</v>
      </c>
      <c r="X842" s="2">
        <v>0.89900000000000002</v>
      </c>
      <c r="Y842" s="6">
        <f t="shared" si="110"/>
        <v>2.399829155655215E-2</v>
      </c>
      <c r="AA842">
        <v>221910</v>
      </c>
      <c r="AB842">
        <v>20487</v>
      </c>
      <c r="AD842" t="s">
        <v>2</v>
      </c>
      <c r="AE842">
        <v>48</v>
      </c>
      <c r="AF842">
        <v>5</v>
      </c>
      <c r="AH842" t="s">
        <v>2175</v>
      </c>
      <c r="AI842" t="s">
        <v>2174</v>
      </c>
      <c r="AJ842" t="s">
        <v>2173</v>
      </c>
      <c r="AK842" t="s">
        <v>2172</v>
      </c>
      <c r="AL842">
        <v>27</v>
      </c>
      <c r="AM842" s="5">
        <f t="shared" si="106"/>
        <v>1.35</v>
      </c>
      <c r="AN842" s="4">
        <f t="shared" si="111"/>
        <v>2.0446800454373346E-3</v>
      </c>
      <c r="AO842" s="3"/>
      <c r="AP842">
        <v>0</v>
      </c>
      <c r="AR842" t="s">
        <v>1</v>
      </c>
      <c r="AT842" s="2">
        <v>2.3540000000000001</v>
      </c>
      <c r="AU842" s="1">
        <f t="shared" si="107"/>
        <v>1.7412208103217703</v>
      </c>
      <c r="AV842" s="1">
        <f t="shared" si="108"/>
        <v>1.3021485800994741</v>
      </c>
      <c r="AW842" s="1">
        <f t="shared" si="109"/>
        <v>0.86307634987717785</v>
      </c>
    </row>
    <row r="843" spans="1:49" x14ac:dyDescent="0.2">
      <c r="A843">
        <v>841</v>
      </c>
      <c r="B843" t="s">
        <v>2171</v>
      </c>
      <c r="C843" t="s">
        <v>2170</v>
      </c>
      <c r="D843" t="s">
        <v>2169</v>
      </c>
      <c r="E843">
        <v>12127497</v>
      </c>
      <c r="F843" t="s">
        <v>2168</v>
      </c>
      <c r="G843" t="s">
        <v>5</v>
      </c>
      <c r="H843" t="s">
        <v>4</v>
      </c>
      <c r="I843" t="s">
        <v>2167</v>
      </c>
      <c r="J843" t="s">
        <v>2166</v>
      </c>
      <c r="K843" t="s">
        <v>2165</v>
      </c>
      <c r="L843" t="s">
        <v>2164</v>
      </c>
      <c r="M843" t="s">
        <v>2163</v>
      </c>
      <c r="N843">
        <v>5</v>
      </c>
      <c r="O843" t="s">
        <v>2162</v>
      </c>
      <c r="P843" t="s">
        <v>2161</v>
      </c>
      <c r="Q843" t="s">
        <v>2160</v>
      </c>
      <c r="R843" s="7">
        <v>37453</v>
      </c>
      <c r="S843" s="8">
        <f t="shared" si="104"/>
        <v>2002</v>
      </c>
      <c r="T843" s="8">
        <v>2002</v>
      </c>
      <c r="U843" s="8">
        <f t="shared" si="105"/>
        <v>20</v>
      </c>
      <c r="V843" s="7">
        <v>37453</v>
      </c>
      <c r="W843" t="s">
        <v>2159</v>
      </c>
      <c r="X843" s="2">
        <v>0.89900000000000002</v>
      </c>
      <c r="Y843" s="6">
        <f t="shared" si="110"/>
        <v>2.399829155655215E-2</v>
      </c>
      <c r="AA843">
        <v>3781097</v>
      </c>
      <c r="AB843">
        <v>19706</v>
      </c>
      <c r="AD843" t="s">
        <v>2</v>
      </c>
      <c r="AE843">
        <v>213</v>
      </c>
      <c r="AF843">
        <v>1</v>
      </c>
      <c r="AH843" t="s">
        <v>2158</v>
      </c>
      <c r="AI843" t="s">
        <v>2157</v>
      </c>
      <c r="AJ843" t="s">
        <v>2156</v>
      </c>
      <c r="AK843" t="s">
        <v>2155</v>
      </c>
      <c r="AL843">
        <v>24</v>
      </c>
      <c r="AM843" s="5">
        <f t="shared" si="106"/>
        <v>1.2</v>
      </c>
      <c r="AN843" s="4">
        <f t="shared" si="111"/>
        <v>1.8174933737220749E-3</v>
      </c>
      <c r="AO843" s="3"/>
      <c r="AP843">
        <v>0</v>
      </c>
      <c r="AQ843" t="s">
        <v>1693</v>
      </c>
      <c r="AR843" t="s">
        <v>1</v>
      </c>
      <c r="AS843" t="s">
        <v>1691</v>
      </c>
      <c r="AT843" s="2">
        <v>2.742</v>
      </c>
      <c r="AU843" s="1">
        <f t="shared" si="107"/>
        <v>1.7344052101703125</v>
      </c>
      <c r="AV843" s="1">
        <f t="shared" si="108"/>
        <v>1.2907892465137112</v>
      </c>
      <c r="AW843" s="1">
        <f t="shared" si="109"/>
        <v>0.84717328285710969</v>
      </c>
    </row>
    <row r="844" spans="1:49" x14ac:dyDescent="0.2">
      <c r="A844">
        <v>842</v>
      </c>
      <c r="B844" t="s">
        <v>2154</v>
      </c>
      <c r="C844" t="s">
        <v>2153</v>
      </c>
      <c r="F844" t="s">
        <v>2152</v>
      </c>
      <c r="G844" t="s">
        <v>5</v>
      </c>
      <c r="H844" t="s">
        <v>4</v>
      </c>
      <c r="I844" t="s">
        <v>469</v>
      </c>
      <c r="J844">
        <v>60026796</v>
      </c>
      <c r="K844" t="s">
        <v>2151</v>
      </c>
      <c r="L844" t="s">
        <v>597</v>
      </c>
      <c r="M844" t="s">
        <v>182</v>
      </c>
      <c r="N844">
        <v>2</v>
      </c>
      <c r="O844" t="s">
        <v>2150</v>
      </c>
      <c r="P844" t="s">
        <v>2149</v>
      </c>
      <c r="Q844" t="s">
        <v>2148</v>
      </c>
      <c r="R844" s="7">
        <v>37452</v>
      </c>
      <c r="S844" s="8">
        <f t="shared" si="104"/>
        <v>2002</v>
      </c>
      <c r="T844" s="8">
        <v>2002</v>
      </c>
      <c r="U844" s="8">
        <f t="shared" si="105"/>
        <v>20</v>
      </c>
      <c r="V844" s="7">
        <v>37452</v>
      </c>
      <c r="W844" t="s">
        <v>2147</v>
      </c>
      <c r="X844" s="2" t="s">
        <v>0</v>
      </c>
      <c r="Y844" s="6" t="e">
        <f t="shared" si="110"/>
        <v>#VALUE!</v>
      </c>
      <c r="AA844">
        <v>364827</v>
      </c>
      <c r="AB844">
        <v>13626</v>
      </c>
      <c r="AD844" t="s">
        <v>2</v>
      </c>
      <c r="AE844">
        <v>87</v>
      </c>
      <c r="AF844">
        <v>2</v>
      </c>
      <c r="AH844" t="s">
        <v>2146</v>
      </c>
      <c r="AI844" t="s">
        <v>2145</v>
      </c>
      <c r="AJ844" t="s">
        <v>2144</v>
      </c>
      <c r="AK844" t="s">
        <v>2143</v>
      </c>
      <c r="AL844">
        <v>11</v>
      </c>
      <c r="AM844" s="5">
        <f t="shared" si="106"/>
        <v>0.55000000000000004</v>
      </c>
      <c r="AN844" s="4">
        <f t="shared" si="111"/>
        <v>8.3301779628928443E-4</v>
      </c>
      <c r="AO844" s="3"/>
      <c r="AP844">
        <v>0</v>
      </c>
      <c r="AR844" t="s">
        <v>1</v>
      </c>
      <c r="AT844" s="2" t="s">
        <v>0</v>
      </c>
      <c r="AU844" s="1" t="e">
        <f t="shared" si="107"/>
        <v>#VALUE!</v>
      </c>
      <c r="AV844" s="1" t="e">
        <f t="shared" si="108"/>
        <v>#VALUE!</v>
      </c>
      <c r="AW844" s="1" t="e">
        <f t="shared" si="109"/>
        <v>#VALUE!</v>
      </c>
    </row>
    <row r="845" spans="1:49" x14ac:dyDescent="0.2">
      <c r="A845">
        <v>843</v>
      </c>
      <c r="B845" t="s">
        <v>2142</v>
      </c>
      <c r="C845" t="s">
        <v>2141</v>
      </c>
      <c r="F845" t="s">
        <v>2140</v>
      </c>
      <c r="G845" t="s">
        <v>5</v>
      </c>
      <c r="H845" t="s">
        <v>4</v>
      </c>
      <c r="I845" t="s">
        <v>2139</v>
      </c>
      <c r="J845">
        <v>60032179</v>
      </c>
      <c r="K845" t="s">
        <v>503</v>
      </c>
      <c r="L845" t="s">
        <v>502</v>
      </c>
      <c r="M845" t="s">
        <v>7</v>
      </c>
      <c r="N845">
        <v>4</v>
      </c>
      <c r="O845" t="s">
        <v>2138</v>
      </c>
      <c r="P845" t="s">
        <v>2137</v>
      </c>
      <c r="Q845" t="s">
        <v>2136</v>
      </c>
      <c r="R845" s="7">
        <v>37452</v>
      </c>
      <c r="S845" s="8">
        <f t="shared" si="104"/>
        <v>2002</v>
      </c>
      <c r="T845" s="8">
        <v>2002</v>
      </c>
      <c r="U845" s="8">
        <f t="shared" si="105"/>
        <v>20</v>
      </c>
      <c r="V845" s="7">
        <v>37452</v>
      </c>
      <c r="W845" t="s">
        <v>848</v>
      </c>
      <c r="X845" s="2">
        <v>0.69899999999999995</v>
      </c>
      <c r="Y845" s="6">
        <f t="shared" si="110"/>
        <v>1.8659405782013295E-2</v>
      </c>
      <c r="AA845">
        <v>218979</v>
      </c>
      <c r="AB845">
        <v>28132</v>
      </c>
      <c r="AD845" t="s">
        <v>2</v>
      </c>
      <c r="AE845">
        <v>92</v>
      </c>
      <c r="AF845">
        <v>2</v>
      </c>
      <c r="AH845" t="s">
        <v>2135</v>
      </c>
      <c r="AI845" t="s">
        <v>2134</v>
      </c>
      <c r="AK845" t="s">
        <v>2133</v>
      </c>
      <c r="AL845">
        <v>16</v>
      </c>
      <c r="AM845" s="5">
        <f t="shared" si="106"/>
        <v>0.8</v>
      </c>
      <c r="AN845" s="4">
        <f t="shared" si="111"/>
        <v>1.2116622491480501E-3</v>
      </c>
      <c r="AO845" s="3"/>
      <c r="AP845">
        <v>0</v>
      </c>
      <c r="AR845" t="s">
        <v>1</v>
      </c>
      <c r="AT845" s="2">
        <v>2.5459999999999998</v>
      </c>
      <c r="AU845" s="1">
        <f t="shared" si="107"/>
        <v>1.3425082722153721</v>
      </c>
      <c r="AV845" s="1">
        <f t="shared" si="108"/>
        <v>0.99355340155806737</v>
      </c>
      <c r="AW845" s="1">
        <f t="shared" si="109"/>
        <v>0.64459853090076225</v>
      </c>
    </row>
    <row r="846" spans="1:49" x14ac:dyDescent="0.2">
      <c r="A846">
        <v>844</v>
      </c>
      <c r="B846" t="s">
        <v>2132</v>
      </c>
      <c r="C846" t="s">
        <v>2131</v>
      </c>
      <c r="F846" t="s">
        <v>2130</v>
      </c>
      <c r="G846" t="s">
        <v>5</v>
      </c>
      <c r="H846" t="s">
        <v>4</v>
      </c>
      <c r="I846" t="s">
        <v>2129</v>
      </c>
      <c r="J846" t="s">
        <v>2128</v>
      </c>
      <c r="K846" t="s">
        <v>2127</v>
      </c>
      <c r="L846" t="s">
        <v>2126</v>
      </c>
      <c r="M846" t="s">
        <v>2125</v>
      </c>
      <c r="N846">
        <v>8</v>
      </c>
      <c r="O846" t="s">
        <v>2124</v>
      </c>
      <c r="P846" t="s">
        <v>2123</v>
      </c>
      <c r="Q846" t="s">
        <v>2122</v>
      </c>
      <c r="R846" s="7">
        <v>37451</v>
      </c>
      <c r="S846" s="8">
        <f t="shared" si="104"/>
        <v>2002</v>
      </c>
      <c r="T846" s="8">
        <v>2002</v>
      </c>
      <c r="U846" s="8">
        <f t="shared" si="105"/>
        <v>20</v>
      </c>
      <c r="V846" s="7">
        <v>2002</v>
      </c>
      <c r="W846" t="s">
        <v>2121</v>
      </c>
      <c r="X846" s="2">
        <v>0.74</v>
      </c>
      <c r="Y846" s="6">
        <f t="shared" si="110"/>
        <v>1.9753877365793759E-2</v>
      </c>
      <c r="AA846" t="s">
        <v>2120</v>
      </c>
      <c r="AB846">
        <v>24074</v>
      </c>
      <c r="AD846" t="s">
        <v>2</v>
      </c>
      <c r="AE846">
        <v>85</v>
      </c>
      <c r="AF846">
        <v>6</v>
      </c>
      <c r="AH846" t="s">
        <v>2119</v>
      </c>
      <c r="AI846" t="s">
        <v>2118</v>
      </c>
      <c r="AK846" t="s">
        <v>2117</v>
      </c>
      <c r="AL846">
        <v>31</v>
      </c>
      <c r="AM846" s="5">
        <f t="shared" si="106"/>
        <v>1.55</v>
      </c>
      <c r="AN846" s="4">
        <f t="shared" si="111"/>
        <v>2.347595607724347E-3</v>
      </c>
      <c r="AO846" s="3"/>
      <c r="AP846">
        <v>0</v>
      </c>
      <c r="AR846" t="s">
        <v>1</v>
      </c>
      <c r="AT846" s="2">
        <v>2.1640000000000001</v>
      </c>
      <c r="AU846" s="1">
        <f t="shared" si="107"/>
        <v>1.4531992838372934</v>
      </c>
      <c r="AV846" s="1">
        <f t="shared" si="108"/>
        <v>1.1050736486759054</v>
      </c>
      <c r="AW846" s="1">
        <f t="shared" si="109"/>
        <v>0.75694801351451713</v>
      </c>
    </row>
    <row r="847" spans="1:49" x14ac:dyDescent="0.2">
      <c r="A847">
        <v>845</v>
      </c>
      <c r="B847" t="s">
        <v>2116</v>
      </c>
      <c r="C847" t="s">
        <v>2115</v>
      </c>
      <c r="F847" t="s">
        <v>2114</v>
      </c>
      <c r="G847" t="s">
        <v>5</v>
      </c>
      <c r="H847" t="s">
        <v>4</v>
      </c>
      <c r="I847" t="s">
        <v>2113</v>
      </c>
      <c r="J847">
        <v>101893337</v>
      </c>
      <c r="K847" t="s">
        <v>2112</v>
      </c>
      <c r="M847" t="s">
        <v>2111</v>
      </c>
      <c r="N847">
        <v>2</v>
      </c>
      <c r="O847" t="s">
        <v>2110</v>
      </c>
      <c r="P847" t="s">
        <v>2109</v>
      </c>
      <c r="Q847" t="s">
        <v>2108</v>
      </c>
      <c r="R847" s="7">
        <v>37447</v>
      </c>
      <c r="S847" s="8">
        <f t="shared" si="104"/>
        <v>2002</v>
      </c>
      <c r="T847" s="8">
        <v>2002</v>
      </c>
      <c r="U847" s="8">
        <f t="shared" si="105"/>
        <v>20</v>
      </c>
      <c r="V847" s="7">
        <v>2002</v>
      </c>
      <c r="W847" t="s">
        <v>2107</v>
      </c>
      <c r="X847" s="2">
        <v>0.91</v>
      </c>
      <c r="Y847" s="6">
        <f t="shared" si="110"/>
        <v>2.4291930274151788E-2</v>
      </c>
      <c r="AA847">
        <v>9592709</v>
      </c>
      <c r="AB847">
        <v>21017</v>
      </c>
      <c r="AD847" t="s">
        <v>2</v>
      </c>
      <c r="AE847">
        <v>12</v>
      </c>
      <c r="AF847">
        <v>1</v>
      </c>
      <c r="AH847" t="s">
        <v>2106</v>
      </c>
      <c r="AI847" t="s">
        <v>2105</v>
      </c>
      <c r="AK847" t="s">
        <v>2104</v>
      </c>
      <c r="AL847">
        <v>8</v>
      </c>
      <c r="AM847" s="5">
        <f t="shared" si="106"/>
        <v>0.4</v>
      </c>
      <c r="AN847" s="4">
        <f t="shared" si="111"/>
        <v>6.0583112457402507E-4</v>
      </c>
      <c r="AO847" s="3"/>
      <c r="AP847">
        <v>1</v>
      </c>
      <c r="AR847" t="s">
        <v>1</v>
      </c>
      <c r="AT847" s="2">
        <v>2.2869999999999999</v>
      </c>
      <c r="AU847" s="1">
        <f t="shared" si="107"/>
        <v>1.7186100529278456</v>
      </c>
      <c r="AV847" s="1">
        <f t="shared" si="108"/>
        <v>1.2448880699362908</v>
      </c>
      <c r="AW847" s="1">
        <f t="shared" si="109"/>
        <v>0.77116608694473532</v>
      </c>
    </row>
    <row r="848" spans="1:49" x14ac:dyDescent="0.2">
      <c r="A848">
        <v>846</v>
      </c>
      <c r="B848" t="s">
        <v>2103</v>
      </c>
      <c r="C848" t="s">
        <v>2102</v>
      </c>
      <c r="E848">
        <v>11948677</v>
      </c>
      <c r="F848" t="s">
        <v>2101</v>
      </c>
      <c r="G848" t="s">
        <v>5</v>
      </c>
      <c r="H848" t="s">
        <v>4</v>
      </c>
      <c r="I848" t="s">
        <v>2100</v>
      </c>
      <c r="J848" t="s">
        <v>2099</v>
      </c>
      <c r="K848" t="s">
        <v>2098</v>
      </c>
      <c r="L848" t="s">
        <v>2097</v>
      </c>
      <c r="M848" t="s">
        <v>2096</v>
      </c>
      <c r="N848">
        <v>3</v>
      </c>
      <c r="O848" t="s">
        <v>2095</v>
      </c>
      <c r="P848" t="s">
        <v>2094</v>
      </c>
      <c r="Q848" t="s">
        <v>2093</v>
      </c>
      <c r="R848" s="7">
        <v>37447</v>
      </c>
      <c r="S848" s="8">
        <f t="shared" si="104"/>
        <v>2002</v>
      </c>
      <c r="T848" s="8">
        <v>2002</v>
      </c>
      <c r="U848" s="8">
        <f t="shared" si="105"/>
        <v>20</v>
      </c>
      <c r="V848" s="7">
        <v>2002</v>
      </c>
      <c r="W848" t="s">
        <v>2092</v>
      </c>
      <c r="X848" s="2">
        <v>0.65200000000000002</v>
      </c>
      <c r="Y848" s="6">
        <f t="shared" si="110"/>
        <v>1.7404767624996664E-2</v>
      </c>
      <c r="AA848">
        <v>3622525</v>
      </c>
      <c r="AB848">
        <v>29629</v>
      </c>
      <c r="AD848" t="s">
        <v>2</v>
      </c>
      <c r="AE848">
        <v>252</v>
      </c>
      <c r="AF848">
        <v>3</v>
      </c>
      <c r="AH848" t="s">
        <v>2091</v>
      </c>
      <c r="AI848" t="s">
        <v>2090</v>
      </c>
      <c r="AJ848" t="s">
        <v>2089</v>
      </c>
      <c r="AK848" t="s">
        <v>2088</v>
      </c>
      <c r="AL848">
        <v>93</v>
      </c>
      <c r="AM848" s="5">
        <f t="shared" si="106"/>
        <v>4.6500000000000004</v>
      </c>
      <c r="AN848" s="4">
        <f t="shared" si="111"/>
        <v>7.0427868231730407E-3</v>
      </c>
      <c r="AO848" s="3"/>
      <c r="AP848">
        <v>0</v>
      </c>
      <c r="AR848" t="s">
        <v>1</v>
      </c>
      <c r="AT848" s="2">
        <v>1.804</v>
      </c>
      <c r="AU848" s="1">
        <f t="shared" si="107"/>
        <v>1.4296173384449578</v>
      </c>
      <c r="AV848" s="1">
        <f t="shared" si="108"/>
        <v>1.2223777224084853</v>
      </c>
      <c r="AW848" s="1">
        <f t="shared" si="109"/>
        <v>1.0151381063720128</v>
      </c>
    </row>
    <row r="849" spans="1:49" x14ac:dyDescent="0.2">
      <c r="A849">
        <v>847</v>
      </c>
      <c r="B849" t="s">
        <v>2087</v>
      </c>
      <c r="C849" t="s">
        <v>2086</v>
      </c>
      <c r="D849" t="s">
        <v>2085</v>
      </c>
      <c r="F849" t="s">
        <v>2084</v>
      </c>
      <c r="G849" t="s">
        <v>5</v>
      </c>
      <c r="H849" t="s">
        <v>4</v>
      </c>
      <c r="I849" t="s">
        <v>2083</v>
      </c>
      <c r="J849">
        <v>60031581</v>
      </c>
      <c r="K849" t="s">
        <v>2082</v>
      </c>
      <c r="L849" t="s">
        <v>650</v>
      </c>
      <c r="M849" t="s">
        <v>7</v>
      </c>
      <c r="N849">
        <v>2</v>
      </c>
      <c r="O849" t="s">
        <v>2081</v>
      </c>
      <c r="P849" t="s">
        <v>2080</v>
      </c>
      <c r="Q849" t="s">
        <v>2079</v>
      </c>
      <c r="R849" s="7">
        <v>37445</v>
      </c>
      <c r="S849" s="8">
        <f t="shared" si="104"/>
        <v>2002</v>
      </c>
      <c r="T849" s="8">
        <v>2002</v>
      </c>
      <c r="U849" s="8">
        <f t="shared" si="105"/>
        <v>20</v>
      </c>
      <c r="V849" s="7">
        <v>37445</v>
      </c>
      <c r="W849" t="s">
        <v>878</v>
      </c>
      <c r="X849" s="2">
        <v>0.499</v>
      </c>
      <c r="Y849" s="6">
        <f t="shared" si="110"/>
        <v>1.332052000747444E-2</v>
      </c>
      <c r="AA849">
        <v>3759601</v>
      </c>
      <c r="AB849">
        <v>29464</v>
      </c>
      <c r="AD849" t="s">
        <v>2</v>
      </c>
      <c r="AE849">
        <v>299</v>
      </c>
      <c r="AF849">
        <v>4</v>
      </c>
      <c r="AH849" t="s">
        <v>2078</v>
      </c>
      <c r="AI849" t="s">
        <v>2077</v>
      </c>
      <c r="AK849" t="s">
        <v>2076</v>
      </c>
      <c r="AL849">
        <v>48</v>
      </c>
      <c r="AM849" s="5">
        <f t="shared" si="106"/>
        <v>2.4</v>
      </c>
      <c r="AN849" s="4">
        <f t="shared" si="111"/>
        <v>3.6349867474441497E-3</v>
      </c>
      <c r="AO849" s="3"/>
      <c r="AP849">
        <v>0</v>
      </c>
      <c r="AQ849" t="s">
        <v>290</v>
      </c>
      <c r="AR849" t="s">
        <v>2075</v>
      </c>
      <c r="AS849" t="s">
        <v>289</v>
      </c>
      <c r="AT849" s="2" t="s">
        <v>0</v>
      </c>
      <c r="AU849" s="1">
        <f t="shared" si="107"/>
        <v>1.0414860029465354</v>
      </c>
      <c r="AV849" s="1">
        <f t="shared" si="108"/>
        <v>0.84777533774592939</v>
      </c>
      <c r="AW849" s="1">
        <f t="shared" si="109"/>
        <v>0.65406467254532363</v>
      </c>
    </row>
    <row r="850" spans="1:49" x14ac:dyDescent="0.2">
      <c r="A850">
        <v>848</v>
      </c>
      <c r="B850" t="s">
        <v>2074</v>
      </c>
      <c r="C850" t="s">
        <v>2073</v>
      </c>
      <c r="E850">
        <v>12115701</v>
      </c>
      <c r="F850" t="s">
        <v>2072</v>
      </c>
      <c r="G850" t="s">
        <v>5</v>
      </c>
      <c r="H850" t="s">
        <v>4</v>
      </c>
      <c r="I850" t="s">
        <v>2071</v>
      </c>
      <c r="J850">
        <v>60029526</v>
      </c>
      <c r="K850" t="s">
        <v>1182</v>
      </c>
      <c r="L850" t="s">
        <v>1181</v>
      </c>
      <c r="M850" t="s">
        <v>7</v>
      </c>
      <c r="N850">
        <v>2</v>
      </c>
      <c r="O850" t="s">
        <v>2070</v>
      </c>
      <c r="P850" t="s">
        <v>2069</v>
      </c>
      <c r="Q850" t="s">
        <v>2068</v>
      </c>
      <c r="R850" s="7">
        <v>37445</v>
      </c>
      <c r="S850" s="8">
        <f t="shared" si="104"/>
        <v>2002</v>
      </c>
      <c r="T850" s="8">
        <v>2002</v>
      </c>
      <c r="U850" s="8">
        <f t="shared" si="105"/>
        <v>20</v>
      </c>
      <c r="V850" s="7">
        <v>37445</v>
      </c>
      <c r="W850" t="s">
        <v>1035</v>
      </c>
      <c r="X850" s="2">
        <v>1.855</v>
      </c>
      <c r="Y850" s="6">
        <f t="shared" si="110"/>
        <v>4.9518165558847867E-2</v>
      </c>
      <c r="AA850">
        <v>219967</v>
      </c>
      <c r="AB850">
        <v>16689</v>
      </c>
      <c r="AD850" t="s">
        <v>2</v>
      </c>
      <c r="AE850">
        <v>448</v>
      </c>
      <c r="AF850">
        <v>4</v>
      </c>
      <c r="AH850" t="s">
        <v>2067</v>
      </c>
      <c r="AI850" t="s">
        <v>2066</v>
      </c>
      <c r="AJ850" t="s">
        <v>2065</v>
      </c>
      <c r="AK850" t="s">
        <v>2064</v>
      </c>
      <c r="AL850">
        <v>10</v>
      </c>
      <c r="AM850" s="5">
        <f t="shared" si="106"/>
        <v>0.5</v>
      </c>
      <c r="AN850" s="4">
        <f t="shared" si="111"/>
        <v>7.572889057175312E-4</v>
      </c>
      <c r="AO850" s="3"/>
      <c r="AP850">
        <v>0</v>
      </c>
      <c r="AQ850" t="s">
        <v>269</v>
      </c>
      <c r="AR850" t="s">
        <v>2063</v>
      </c>
      <c r="AS850" t="s">
        <v>268</v>
      </c>
      <c r="AT850" s="2">
        <v>3.2149999999999999</v>
      </c>
      <c r="AU850" s="1">
        <f t="shared" si="107"/>
        <v>3.4889902562908763</v>
      </c>
      <c r="AV850" s="1">
        <f t="shared" si="108"/>
        <v>2.5137727232282701</v>
      </c>
      <c r="AW850" s="1">
        <f t="shared" si="109"/>
        <v>1.5385551901656631</v>
      </c>
    </row>
    <row r="851" spans="1:49" x14ac:dyDescent="0.2">
      <c r="A851">
        <v>849</v>
      </c>
      <c r="B851" t="s">
        <v>2062</v>
      </c>
      <c r="C851" t="s">
        <v>2061</v>
      </c>
      <c r="E851">
        <v>12109710</v>
      </c>
      <c r="F851" t="s">
        <v>2060</v>
      </c>
      <c r="G851" t="s">
        <v>5</v>
      </c>
      <c r="H851" t="s">
        <v>4</v>
      </c>
      <c r="I851" t="s">
        <v>2059</v>
      </c>
      <c r="J851">
        <v>60010023</v>
      </c>
      <c r="K851" t="s">
        <v>2058</v>
      </c>
      <c r="L851" t="s">
        <v>2057</v>
      </c>
      <c r="M851" t="s">
        <v>45</v>
      </c>
      <c r="N851">
        <v>3</v>
      </c>
      <c r="O851" t="s">
        <v>2056</v>
      </c>
      <c r="P851" t="s">
        <v>2055</v>
      </c>
      <c r="Q851" t="s">
        <v>2054</v>
      </c>
      <c r="R851" s="7">
        <v>37445</v>
      </c>
      <c r="S851" s="8">
        <f t="shared" si="104"/>
        <v>2002</v>
      </c>
      <c r="T851" s="8">
        <v>2002</v>
      </c>
      <c r="U851" s="8">
        <f t="shared" si="105"/>
        <v>20</v>
      </c>
      <c r="V851" s="7">
        <v>2002</v>
      </c>
      <c r="W851" t="s">
        <v>2053</v>
      </c>
      <c r="X851" s="2">
        <v>1.028</v>
      </c>
      <c r="Y851" s="6">
        <f t="shared" si="110"/>
        <v>2.744187288112971E-2</v>
      </c>
      <c r="AA851" t="s">
        <v>2052</v>
      </c>
      <c r="AB851">
        <v>17778</v>
      </c>
      <c r="AD851" t="s">
        <v>2</v>
      </c>
      <c r="AE851">
        <v>16</v>
      </c>
      <c r="AF851">
        <v>2</v>
      </c>
      <c r="AH851" t="s">
        <v>2051</v>
      </c>
      <c r="AI851" t="s">
        <v>2050</v>
      </c>
      <c r="AJ851" t="s">
        <v>2049</v>
      </c>
      <c r="AK851" t="s">
        <v>2048</v>
      </c>
      <c r="AL851">
        <v>23</v>
      </c>
      <c r="AM851" s="5">
        <f t="shared" si="106"/>
        <v>1.1499999999999999</v>
      </c>
      <c r="AN851" s="4">
        <f t="shared" si="111"/>
        <v>1.7417644831503216E-3</v>
      </c>
      <c r="AO851" s="3"/>
      <c r="AP851">
        <v>1</v>
      </c>
      <c r="AR851" t="s">
        <v>1</v>
      </c>
      <c r="AT851" s="2">
        <v>2.7389999999999999</v>
      </c>
      <c r="AU851" s="1">
        <f t="shared" si="107"/>
        <v>1.9731840361735893</v>
      </c>
      <c r="AV851" s="1">
        <f t="shared" si="108"/>
        <v>1.4591818682140016</v>
      </c>
      <c r="AW851" s="1">
        <f t="shared" si="109"/>
        <v>0.94517970025441367</v>
      </c>
    </row>
    <row r="852" spans="1:49" x14ac:dyDescent="0.2">
      <c r="A852">
        <v>850</v>
      </c>
      <c r="B852" t="s">
        <v>2047</v>
      </c>
      <c r="C852" t="s">
        <v>2046</v>
      </c>
      <c r="F852" t="s">
        <v>2045</v>
      </c>
      <c r="G852" t="s">
        <v>5</v>
      </c>
      <c r="H852" t="s">
        <v>4</v>
      </c>
      <c r="I852" t="s">
        <v>1064</v>
      </c>
      <c r="J852">
        <v>60030000</v>
      </c>
      <c r="K852" t="s">
        <v>1135</v>
      </c>
      <c r="L852" t="s">
        <v>309</v>
      </c>
      <c r="M852" t="s">
        <v>308</v>
      </c>
      <c r="N852">
        <v>3</v>
      </c>
      <c r="O852" t="s">
        <v>2044</v>
      </c>
      <c r="P852" t="s">
        <v>2043</v>
      </c>
      <c r="Q852" t="s">
        <v>2042</v>
      </c>
      <c r="R852" s="7">
        <v>37442</v>
      </c>
      <c r="S852" s="8">
        <f t="shared" si="104"/>
        <v>2002</v>
      </c>
      <c r="T852" s="8">
        <v>2002</v>
      </c>
      <c r="U852" s="8">
        <f t="shared" si="105"/>
        <v>20</v>
      </c>
      <c r="V852" s="7">
        <v>37442</v>
      </c>
      <c r="W852" t="s">
        <v>789</v>
      </c>
      <c r="X852" s="2">
        <v>0.30399999999999999</v>
      </c>
      <c r="Y852" s="6">
        <f t="shared" si="110"/>
        <v>8.115106377299057E-3</v>
      </c>
      <c r="AA852">
        <v>8952477</v>
      </c>
      <c r="AB852">
        <v>12250</v>
      </c>
      <c r="AD852" t="s">
        <v>2</v>
      </c>
      <c r="AE852">
        <v>34</v>
      </c>
      <c r="AF852">
        <v>1</v>
      </c>
      <c r="AH852" s="10">
        <v>41518</v>
      </c>
      <c r="AI852" t="s">
        <v>2041</v>
      </c>
      <c r="AJ852" t="s">
        <v>2040</v>
      </c>
      <c r="AK852" t="s">
        <v>2039</v>
      </c>
      <c r="AL852">
        <v>6</v>
      </c>
      <c r="AM852" s="5">
        <f t="shared" si="106"/>
        <v>0.3</v>
      </c>
      <c r="AN852" s="4">
        <f t="shared" si="111"/>
        <v>4.5437334343051872E-4</v>
      </c>
      <c r="AO852" s="3"/>
      <c r="AP852">
        <v>0</v>
      </c>
      <c r="AR852" t="s">
        <v>1</v>
      </c>
      <c r="AT852" s="2" t="s">
        <v>0</v>
      </c>
      <c r="AU852" s="1">
        <f t="shared" si="107"/>
        <v>0.58168864671384946</v>
      </c>
      <c r="AV852" s="1">
        <f t="shared" si="108"/>
        <v>0.42847398603647879</v>
      </c>
      <c r="AW852" s="1">
        <f t="shared" si="109"/>
        <v>0.27525932535910802</v>
      </c>
    </row>
    <row r="853" spans="1:49" x14ac:dyDescent="0.2">
      <c r="A853">
        <v>851</v>
      </c>
      <c r="B853" t="s">
        <v>2038</v>
      </c>
      <c r="C853" t="s">
        <v>2037</v>
      </c>
      <c r="F853" t="s">
        <v>2036</v>
      </c>
      <c r="G853" t="s">
        <v>5</v>
      </c>
      <c r="H853" t="s">
        <v>4</v>
      </c>
      <c r="I853" t="s">
        <v>595</v>
      </c>
      <c r="J853">
        <v>60070262</v>
      </c>
      <c r="K853" t="s">
        <v>594</v>
      </c>
      <c r="L853" t="s">
        <v>593</v>
      </c>
      <c r="M853" t="s">
        <v>125</v>
      </c>
      <c r="N853">
        <v>3</v>
      </c>
      <c r="O853" t="s">
        <v>592</v>
      </c>
      <c r="P853" t="s">
        <v>591</v>
      </c>
      <c r="Q853" t="s">
        <v>590</v>
      </c>
      <c r="R853" s="7">
        <v>37442</v>
      </c>
      <c r="S853" s="8">
        <f t="shared" si="104"/>
        <v>2002</v>
      </c>
      <c r="T853" s="8">
        <v>2002</v>
      </c>
      <c r="U853" s="8">
        <f t="shared" si="105"/>
        <v>20</v>
      </c>
      <c r="V853" s="7">
        <v>37442</v>
      </c>
      <c r="W853" t="s">
        <v>789</v>
      </c>
      <c r="X853" s="2">
        <v>0.30399999999999999</v>
      </c>
      <c r="Y853" s="6">
        <f t="shared" si="110"/>
        <v>8.115106377299057E-3</v>
      </c>
      <c r="AA853">
        <v>8952477</v>
      </c>
      <c r="AB853">
        <v>12250</v>
      </c>
      <c r="AD853" t="s">
        <v>2</v>
      </c>
      <c r="AE853">
        <v>34</v>
      </c>
      <c r="AF853">
        <v>1</v>
      </c>
      <c r="AH853" t="s">
        <v>2035</v>
      </c>
      <c r="AI853" t="s">
        <v>2034</v>
      </c>
      <c r="AJ853" t="s">
        <v>2033</v>
      </c>
      <c r="AK853" t="s">
        <v>2032</v>
      </c>
      <c r="AL853">
        <v>17</v>
      </c>
      <c r="AM853" s="5">
        <f t="shared" si="106"/>
        <v>0.85</v>
      </c>
      <c r="AN853" s="4">
        <f t="shared" si="111"/>
        <v>1.2873911397198031E-3</v>
      </c>
      <c r="AO853" s="3"/>
      <c r="AP853">
        <v>0</v>
      </c>
      <c r="AR853" t="s">
        <v>1</v>
      </c>
      <c r="AT853" s="2" t="s">
        <v>0</v>
      </c>
      <c r="AU853" s="1">
        <f t="shared" si="107"/>
        <v>0.60667918060252801</v>
      </c>
      <c r="AV853" s="1">
        <f t="shared" si="108"/>
        <v>0.47012487585094304</v>
      </c>
      <c r="AW853" s="1">
        <f t="shared" si="109"/>
        <v>0.33357057109935795</v>
      </c>
    </row>
    <row r="854" spans="1:49" x14ac:dyDescent="0.2">
      <c r="A854">
        <v>852</v>
      </c>
      <c r="B854" t="s">
        <v>2031</v>
      </c>
      <c r="C854" t="s">
        <v>2030</v>
      </c>
      <c r="F854" t="s">
        <v>2029</v>
      </c>
      <c r="G854" t="s">
        <v>5</v>
      </c>
      <c r="H854" t="s">
        <v>4</v>
      </c>
      <c r="I854" t="s">
        <v>2028</v>
      </c>
      <c r="J854">
        <v>60103653</v>
      </c>
      <c r="K854" t="s">
        <v>365</v>
      </c>
      <c r="L854" t="s">
        <v>298</v>
      </c>
      <c r="M854" t="s">
        <v>297</v>
      </c>
      <c r="N854">
        <v>2</v>
      </c>
      <c r="O854" t="s">
        <v>2027</v>
      </c>
      <c r="P854" t="s">
        <v>2026</v>
      </c>
      <c r="Q854" t="s">
        <v>364</v>
      </c>
      <c r="R854" s="7">
        <v>37442</v>
      </c>
      <c r="S854" s="8">
        <f t="shared" si="104"/>
        <v>2002</v>
      </c>
      <c r="T854" s="8">
        <v>2002</v>
      </c>
      <c r="U854" s="8">
        <f t="shared" si="105"/>
        <v>20</v>
      </c>
      <c r="V854" s="7">
        <v>37442</v>
      </c>
      <c r="W854" t="s">
        <v>789</v>
      </c>
      <c r="X854" s="2">
        <v>0.30399999999999999</v>
      </c>
      <c r="Y854" s="6">
        <f t="shared" si="110"/>
        <v>8.115106377299057E-3</v>
      </c>
      <c r="AA854">
        <v>8952477</v>
      </c>
      <c r="AB854">
        <v>12250</v>
      </c>
      <c r="AD854" t="s">
        <v>2</v>
      </c>
      <c r="AE854">
        <v>34</v>
      </c>
      <c r="AF854">
        <v>1</v>
      </c>
      <c r="AH854" t="s">
        <v>2025</v>
      </c>
      <c r="AI854" t="s">
        <v>2024</v>
      </c>
      <c r="AJ854" t="s">
        <v>2023</v>
      </c>
      <c r="AK854" t="s">
        <v>2022</v>
      </c>
      <c r="AL854">
        <v>0</v>
      </c>
      <c r="AM854" s="5">
        <f t="shared" si="106"/>
        <v>0</v>
      </c>
      <c r="AN854" s="4">
        <f t="shared" si="111"/>
        <v>0</v>
      </c>
      <c r="AO854" s="3"/>
      <c r="AP854">
        <v>0</v>
      </c>
      <c r="AR854" t="s">
        <v>1</v>
      </c>
      <c r="AT854" s="2" t="s">
        <v>0</v>
      </c>
      <c r="AU854" s="1">
        <f t="shared" si="107"/>
        <v>0.56805744641093392</v>
      </c>
      <c r="AV854" s="1">
        <f t="shared" si="108"/>
        <v>0.40575531886495286</v>
      </c>
      <c r="AW854" s="1">
        <f t="shared" si="109"/>
        <v>0.24345319131897172</v>
      </c>
    </row>
    <row r="855" spans="1:49" x14ac:dyDescent="0.2">
      <c r="A855">
        <v>853</v>
      </c>
      <c r="B855" t="s">
        <v>2021</v>
      </c>
      <c r="C855" t="s">
        <v>2020</v>
      </c>
      <c r="F855" t="s">
        <v>2019</v>
      </c>
      <c r="G855" t="s">
        <v>5</v>
      </c>
      <c r="H855" t="s">
        <v>4</v>
      </c>
      <c r="I855" t="s">
        <v>792</v>
      </c>
      <c r="J855">
        <v>60011357</v>
      </c>
      <c r="K855" t="s">
        <v>217</v>
      </c>
      <c r="L855" t="s">
        <v>216</v>
      </c>
      <c r="M855" t="s">
        <v>135</v>
      </c>
      <c r="N855">
        <v>2</v>
      </c>
      <c r="O855" t="s">
        <v>884</v>
      </c>
      <c r="P855" t="s">
        <v>883</v>
      </c>
      <c r="Q855" t="s">
        <v>235</v>
      </c>
      <c r="R855" s="7">
        <v>37442</v>
      </c>
      <c r="S855" s="8">
        <f t="shared" si="104"/>
        <v>2002</v>
      </c>
      <c r="T855" s="8">
        <v>2002</v>
      </c>
      <c r="U855" s="8">
        <f t="shared" si="105"/>
        <v>20</v>
      </c>
      <c r="V855" s="7">
        <v>37442</v>
      </c>
      <c r="W855" t="s">
        <v>789</v>
      </c>
      <c r="X855" s="2">
        <v>0.30399999999999999</v>
      </c>
      <c r="Y855" s="6">
        <f t="shared" si="110"/>
        <v>8.115106377299057E-3</v>
      </c>
      <c r="AA855">
        <v>8952477</v>
      </c>
      <c r="AB855">
        <v>12250</v>
      </c>
      <c r="AD855" t="s">
        <v>2</v>
      </c>
      <c r="AE855">
        <v>34</v>
      </c>
      <c r="AF855">
        <v>1</v>
      </c>
      <c r="AH855" t="s">
        <v>2018</v>
      </c>
      <c r="AI855" t="s">
        <v>2017</v>
      </c>
      <c r="AJ855" t="s">
        <v>2016</v>
      </c>
      <c r="AK855" t="s">
        <v>2015</v>
      </c>
      <c r="AL855">
        <v>39</v>
      </c>
      <c r="AM855" s="5">
        <f t="shared" si="106"/>
        <v>1.95</v>
      </c>
      <c r="AN855" s="4">
        <f t="shared" si="111"/>
        <v>2.9534267322983716E-3</v>
      </c>
      <c r="AO855" s="3"/>
      <c r="AP855">
        <v>0</v>
      </c>
      <c r="AR855" t="s">
        <v>1</v>
      </c>
      <c r="AT855" s="2" t="s">
        <v>0</v>
      </c>
      <c r="AU855" s="1">
        <f t="shared" si="107"/>
        <v>0.65666024837988513</v>
      </c>
      <c r="AV855" s="1">
        <f t="shared" si="108"/>
        <v>0.55342665547987147</v>
      </c>
      <c r="AW855" s="1">
        <f t="shared" si="109"/>
        <v>0.45019306257985775</v>
      </c>
    </row>
    <row r="856" spans="1:49" x14ac:dyDescent="0.2">
      <c r="A856">
        <v>854</v>
      </c>
      <c r="B856" t="s">
        <v>2014</v>
      </c>
      <c r="C856" t="s">
        <v>2013</v>
      </c>
      <c r="F856" t="s">
        <v>2012</v>
      </c>
      <c r="G856" t="s">
        <v>5</v>
      </c>
      <c r="H856" t="s">
        <v>4</v>
      </c>
      <c r="I856" t="s">
        <v>118</v>
      </c>
      <c r="J856" t="s">
        <v>2011</v>
      </c>
      <c r="K856" t="s">
        <v>2010</v>
      </c>
      <c r="L856" t="s">
        <v>2009</v>
      </c>
      <c r="M856" t="s">
        <v>2008</v>
      </c>
      <c r="N856">
        <v>4</v>
      </c>
      <c r="O856" t="s">
        <v>2007</v>
      </c>
      <c r="P856" t="s">
        <v>2006</v>
      </c>
      <c r="Q856" t="s">
        <v>2005</v>
      </c>
      <c r="R856" s="7">
        <v>37442</v>
      </c>
      <c r="S856" s="8">
        <f t="shared" si="104"/>
        <v>2002</v>
      </c>
      <c r="T856" s="8">
        <v>2002</v>
      </c>
      <c r="U856" s="8">
        <f t="shared" si="105"/>
        <v>20</v>
      </c>
      <c r="V856" s="7">
        <v>37442</v>
      </c>
      <c r="W856" t="s">
        <v>789</v>
      </c>
      <c r="X856" s="2">
        <v>0.30399999999999999</v>
      </c>
      <c r="Y856" s="6">
        <f t="shared" si="110"/>
        <v>8.115106377299057E-3</v>
      </c>
      <c r="AA856">
        <v>8952477</v>
      </c>
      <c r="AB856">
        <v>12250</v>
      </c>
      <c r="AD856" t="s">
        <v>2</v>
      </c>
      <c r="AE856">
        <v>34</v>
      </c>
      <c r="AF856">
        <v>1</v>
      </c>
      <c r="AH856" t="s">
        <v>255</v>
      </c>
      <c r="AI856" t="s">
        <v>2004</v>
      </c>
      <c r="AJ856" t="s">
        <v>2003</v>
      </c>
      <c r="AK856" t="s">
        <v>2002</v>
      </c>
      <c r="AL856">
        <v>130</v>
      </c>
      <c r="AM856" s="5">
        <f t="shared" si="106"/>
        <v>6.5</v>
      </c>
      <c r="AN856" s="4">
        <f t="shared" si="111"/>
        <v>9.8447557743279058E-3</v>
      </c>
      <c r="AO856" s="3"/>
      <c r="AP856">
        <v>0</v>
      </c>
      <c r="AR856" t="s">
        <v>1</v>
      </c>
      <c r="AT856" s="2" t="s">
        <v>0</v>
      </c>
      <c r="AU856" s="1">
        <f t="shared" si="107"/>
        <v>0.86340011964077124</v>
      </c>
      <c r="AV856" s="1">
        <f t="shared" si="108"/>
        <v>0.89799310758134809</v>
      </c>
      <c r="AW856" s="1">
        <f t="shared" si="109"/>
        <v>0.93258609552192506</v>
      </c>
    </row>
    <row r="857" spans="1:49" x14ac:dyDescent="0.2">
      <c r="A857">
        <v>855</v>
      </c>
      <c r="B857" t="s">
        <v>2001</v>
      </c>
      <c r="C857" t="s">
        <v>2000</v>
      </c>
      <c r="F857" t="s">
        <v>1999</v>
      </c>
      <c r="G857" t="s">
        <v>5</v>
      </c>
      <c r="H857" t="s">
        <v>4</v>
      </c>
      <c r="I857" t="s">
        <v>1998</v>
      </c>
      <c r="J857">
        <v>60016912</v>
      </c>
      <c r="K857" t="s">
        <v>154</v>
      </c>
      <c r="L857" t="s">
        <v>153</v>
      </c>
      <c r="M857" t="s">
        <v>152</v>
      </c>
      <c r="N857">
        <v>3</v>
      </c>
      <c r="O857" t="s">
        <v>1997</v>
      </c>
      <c r="P857" t="s">
        <v>1996</v>
      </c>
      <c r="Q857" t="s">
        <v>550</v>
      </c>
      <c r="R857" s="7">
        <v>37442</v>
      </c>
      <c r="S857" s="8">
        <f t="shared" si="104"/>
        <v>2002</v>
      </c>
      <c r="T857" s="8">
        <v>2002</v>
      </c>
      <c r="U857" s="8">
        <f t="shared" si="105"/>
        <v>20</v>
      </c>
      <c r="V857" s="7">
        <v>37442</v>
      </c>
      <c r="W857" t="s">
        <v>789</v>
      </c>
      <c r="X857" s="2">
        <v>0.30399999999999999</v>
      </c>
      <c r="Y857" s="6">
        <f t="shared" si="110"/>
        <v>8.115106377299057E-3</v>
      </c>
      <c r="AA857">
        <v>8952477</v>
      </c>
      <c r="AB857">
        <v>12250</v>
      </c>
      <c r="AD857" t="s">
        <v>2</v>
      </c>
      <c r="AE857">
        <v>34</v>
      </c>
      <c r="AF857">
        <v>1</v>
      </c>
      <c r="AH857" t="s">
        <v>388</v>
      </c>
      <c r="AI857" t="s">
        <v>1995</v>
      </c>
      <c r="AJ857" t="s">
        <v>1994</v>
      </c>
      <c r="AK857" t="s">
        <v>1993</v>
      </c>
      <c r="AL857">
        <v>69</v>
      </c>
      <c r="AM857" s="5">
        <f t="shared" si="106"/>
        <v>3.45</v>
      </c>
      <c r="AN857" s="4">
        <f t="shared" si="111"/>
        <v>5.2252934494509658E-3</v>
      </c>
      <c r="AO857" s="3"/>
      <c r="AP857">
        <v>0</v>
      </c>
      <c r="AR857" t="s">
        <v>1</v>
      </c>
      <c r="AT857" s="2" t="s">
        <v>0</v>
      </c>
      <c r="AU857" s="1">
        <f t="shared" si="107"/>
        <v>0.72481624989446292</v>
      </c>
      <c r="AV857" s="1">
        <f t="shared" si="108"/>
        <v>0.66701999133750112</v>
      </c>
      <c r="AW857" s="1">
        <f t="shared" si="109"/>
        <v>0.60922373278053921</v>
      </c>
    </row>
    <row r="858" spans="1:49" x14ac:dyDescent="0.2">
      <c r="A858">
        <v>856</v>
      </c>
      <c r="B858" t="s">
        <v>1992</v>
      </c>
      <c r="C858" t="s">
        <v>1991</v>
      </c>
      <c r="F858" t="s">
        <v>1990</v>
      </c>
      <c r="G858" t="s">
        <v>5</v>
      </c>
      <c r="H858" t="s">
        <v>4</v>
      </c>
      <c r="I858" t="s">
        <v>1989</v>
      </c>
      <c r="J858" t="s">
        <v>1988</v>
      </c>
      <c r="K858" t="s">
        <v>1987</v>
      </c>
      <c r="L858" t="s">
        <v>1986</v>
      </c>
      <c r="M858" t="s">
        <v>926</v>
      </c>
      <c r="N858">
        <v>5</v>
      </c>
      <c r="O858" t="s">
        <v>1985</v>
      </c>
      <c r="P858" t="s">
        <v>1984</v>
      </c>
      <c r="Q858" t="s">
        <v>1983</v>
      </c>
      <c r="R858" s="7">
        <v>37442</v>
      </c>
      <c r="S858" s="8">
        <f t="shared" si="104"/>
        <v>2002</v>
      </c>
      <c r="T858" s="8">
        <v>2002</v>
      </c>
      <c r="U858" s="8">
        <f t="shared" si="105"/>
        <v>20</v>
      </c>
      <c r="V858" s="7">
        <v>37442</v>
      </c>
      <c r="W858" t="s">
        <v>789</v>
      </c>
      <c r="X858" s="2">
        <v>0.30399999999999999</v>
      </c>
      <c r="Y858" s="6">
        <f t="shared" si="110"/>
        <v>8.115106377299057E-3</v>
      </c>
      <c r="AA858">
        <v>8952477</v>
      </c>
      <c r="AB858">
        <v>12250</v>
      </c>
      <c r="AD858" t="s">
        <v>2</v>
      </c>
      <c r="AE858">
        <v>34</v>
      </c>
      <c r="AF858">
        <v>1</v>
      </c>
      <c r="AH858" t="s">
        <v>1982</v>
      </c>
      <c r="AI858" t="s">
        <v>1981</v>
      </c>
      <c r="AJ858" t="s">
        <v>1980</v>
      </c>
      <c r="AK858" t="s">
        <v>1979</v>
      </c>
      <c r="AL858">
        <v>1</v>
      </c>
      <c r="AM858" s="5">
        <f t="shared" si="106"/>
        <v>0.05</v>
      </c>
      <c r="AN858" s="4">
        <f t="shared" si="111"/>
        <v>7.5728890571753133E-5</v>
      </c>
      <c r="AO858" s="3"/>
      <c r="AP858">
        <v>0</v>
      </c>
      <c r="AR858" t="s">
        <v>1</v>
      </c>
      <c r="AT858" s="2" t="s">
        <v>0</v>
      </c>
      <c r="AU858" s="1">
        <f t="shared" si="107"/>
        <v>0.57032931312808655</v>
      </c>
      <c r="AV858" s="1">
        <f t="shared" si="108"/>
        <v>0.40954176339354048</v>
      </c>
      <c r="AW858" s="1">
        <f t="shared" si="109"/>
        <v>0.24875421365899444</v>
      </c>
    </row>
    <row r="859" spans="1:49" x14ac:dyDescent="0.2">
      <c r="A859">
        <v>857</v>
      </c>
      <c r="B859" t="s">
        <v>1978</v>
      </c>
      <c r="C859" t="s">
        <v>1977</v>
      </c>
      <c r="F859" t="s">
        <v>1976</v>
      </c>
      <c r="G859" t="s">
        <v>5</v>
      </c>
      <c r="H859" t="s">
        <v>4</v>
      </c>
      <c r="I859" t="s">
        <v>1098</v>
      </c>
      <c r="J859" t="s">
        <v>1975</v>
      </c>
      <c r="K859" t="s">
        <v>1974</v>
      </c>
      <c r="L859" t="s">
        <v>1973</v>
      </c>
      <c r="M859" t="s">
        <v>3</v>
      </c>
      <c r="N859">
        <v>3</v>
      </c>
      <c r="O859" t="s">
        <v>1972</v>
      </c>
      <c r="P859" t="s">
        <v>1971</v>
      </c>
      <c r="Q859" t="s">
        <v>1970</v>
      </c>
      <c r="R859" s="7">
        <v>37442</v>
      </c>
      <c r="S859" s="8">
        <f t="shared" si="104"/>
        <v>2002</v>
      </c>
      <c r="T859" s="8">
        <v>2002</v>
      </c>
      <c r="U859" s="8">
        <f t="shared" si="105"/>
        <v>20</v>
      </c>
      <c r="V859" s="7">
        <v>37442</v>
      </c>
      <c r="W859" t="s">
        <v>789</v>
      </c>
      <c r="X859" s="2">
        <v>0.30399999999999999</v>
      </c>
      <c r="Y859" s="6">
        <f t="shared" si="110"/>
        <v>8.115106377299057E-3</v>
      </c>
      <c r="AA859">
        <v>8952477</v>
      </c>
      <c r="AB859">
        <v>12250</v>
      </c>
      <c r="AD859" t="s">
        <v>2</v>
      </c>
      <c r="AE859">
        <v>34</v>
      </c>
      <c r="AF859">
        <v>1</v>
      </c>
      <c r="AH859" t="s">
        <v>743</v>
      </c>
      <c r="AI859" t="s">
        <v>1969</v>
      </c>
      <c r="AJ859" t="s">
        <v>1968</v>
      </c>
      <c r="AK859" t="s">
        <v>1967</v>
      </c>
      <c r="AL859">
        <v>2</v>
      </c>
      <c r="AM859" s="5">
        <f t="shared" si="106"/>
        <v>0.1</v>
      </c>
      <c r="AN859" s="4">
        <f t="shared" si="111"/>
        <v>1.5145778114350627E-4</v>
      </c>
      <c r="AO859" s="3"/>
      <c r="AP859">
        <v>0</v>
      </c>
      <c r="AR859" t="s">
        <v>1</v>
      </c>
      <c r="AT859" s="2" t="s">
        <v>0</v>
      </c>
      <c r="AU859" s="1">
        <f t="shared" si="107"/>
        <v>0.57260117984523917</v>
      </c>
      <c r="AV859" s="1">
        <f t="shared" si="108"/>
        <v>0.41332820792212815</v>
      </c>
      <c r="AW859" s="1">
        <f t="shared" si="109"/>
        <v>0.25405523599901714</v>
      </c>
    </row>
    <row r="860" spans="1:49" x14ac:dyDescent="0.2">
      <c r="A860">
        <v>858</v>
      </c>
      <c r="B860" t="s">
        <v>1966</v>
      </c>
      <c r="C860" t="s">
        <v>1965</v>
      </c>
      <c r="F860" t="s">
        <v>1964</v>
      </c>
      <c r="G860" t="s">
        <v>5</v>
      </c>
      <c r="H860" t="s">
        <v>4</v>
      </c>
      <c r="I860" t="s">
        <v>1963</v>
      </c>
      <c r="J860">
        <v>60029738</v>
      </c>
      <c r="K860" t="s">
        <v>1027</v>
      </c>
      <c r="L860" t="s">
        <v>1026</v>
      </c>
      <c r="M860" t="s">
        <v>41</v>
      </c>
      <c r="N860">
        <v>2</v>
      </c>
      <c r="O860" t="s">
        <v>1962</v>
      </c>
      <c r="P860" t="s">
        <v>1961</v>
      </c>
      <c r="Q860" t="s">
        <v>1960</v>
      </c>
      <c r="R860" s="7">
        <v>37442</v>
      </c>
      <c r="S860" s="8">
        <f t="shared" si="104"/>
        <v>2002</v>
      </c>
      <c r="T860" s="8">
        <v>2002</v>
      </c>
      <c r="U860" s="8">
        <f t="shared" si="105"/>
        <v>20</v>
      </c>
      <c r="V860" s="7">
        <v>37442</v>
      </c>
      <c r="W860" t="s">
        <v>789</v>
      </c>
      <c r="X860" s="2">
        <v>0.30399999999999999</v>
      </c>
      <c r="Y860" s="6">
        <f t="shared" si="110"/>
        <v>8.115106377299057E-3</v>
      </c>
      <c r="AA860">
        <v>8952477</v>
      </c>
      <c r="AB860">
        <v>12250</v>
      </c>
      <c r="AD860" t="s">
        <v>2</v>
      </c>
      <c r="AE860">
        <v>34</v>
      </c>
      <c r="AF860">
        <v>1</v>
      </c>
      <c r="AH860" t="s">
        <v>1959</v>
      </c>
      <c r="AI860" t="s">
        <v>1958</v>
      </c>
      <c r="AJ860" t="s">
        <v>1957</v>
      </c>
      <c r="AK860" t="s">
        <v>1956</v>
      </c>
      <c r="AL860">
        <v>2</v>
      </c>
      <c r="AM860" s="5">
        <f t="shared" si="106"/>
        <v>0.1</v>
      </c>
      <c r="AN860" s="4">
        <f t="shared" si="111"/>
        <v>1.5145778114350627E-4</v>
      </c>
      <c r="AO860" s="3"/>
      <c r="AP860">
        <v>0</v>
      </c>
      <c r="AR860" t="s">
        <v>1</v>
      </c>
      <c r="AT860" s="2" t="s">
        <v>0</v>
      </c>
      <c r="AU860" s="1">
        <f t="shared" si="107"/>
        <v>0.57260117984523917</v>
      </c>
      <c r="AV860" s="1">
        <f t="shared" si="108"/>
        <v>0.41332820792212815</v>
      </c>
      <c r="AW860" s="1">
        <f t="shared" si="109"/>
        <v>0.25405523599901714</v>
      </c>
    </row>
    <row r="861" spans="1:49" x14ac:dyDescent="0.2">
      <c r="A861">
        <v>859</v>
      </c>
      <c r="B861" t="s">
        <v>1955</v>
      </c>
      <c r="C861" t="s">
        <v>1954</v>
      </c>
      <c r="F861" t="s">
        <v>1953</v>
      </c>
      <c r="G861" t="s">
        <v>5</v>
      </c>
      <c r="H861" t="s">
        <v>4</v>
      </c>
      <c r="I861" t="s">
        <v>1952</v>
      </c>
      <c r="J861">
        <v>60115295</v>
      </c>
      <c r="K861" t="s">
        <v>1951</v>
      </c>
      <c r="L861" t="s">
        <v>1950</v>
      </c>
      <c r="M861" t="s">
        <v>112</v>
      </c>
      <c r="N861">
        <v>2</v>
      </c>
      <c r="O861" t="s">
        <v>1949</v>
      </c>
      <c r="P861" t="s">
        <v>1948</v>
      </c>
      <c r="Q861" t="s">
        <v>1947</v>
      </c>
      <c r="R861" s="7">
        <v>37441</v>
      </c>
      <c r="S861" s="8">
        <f t="shared" si="104"/>
        <v>2002</v>
      </c>
      <c r="T861" s="8">
        <v>2002</v>
      </c>
      <c r="U861" s="8">
        <f t="shared" si="105"/>
        <v>20</v>
      </c>
      <c r="V861" s="7">
        <v>37441</v>
      </c>
      <c r="W861" t="s">
        <v>786</v>
      </c>
      <c r="X861" s="2">
        <v>0.375</v>
      </c>
      <c r="Y861" s="6">
        <f t="shared" si="110"/>
        <v>1.0010410827260351E-2</v>
      </c>
      <c r="AA861">
        <v>135194</v>
      </c>
      <c r="AB861">
        <v>24918</v>
      </c>
      <c r="AD861" t="s">
        <v>2</v>
      </c>
      <c r="AE861">
        <v>38</v>
      </c>
      <c r="AF861">
        <v>14</v>
      </c>
      <c r="AH861" t="s">
        <v>1946</v>
      </c>
      <c r="AI861" t="s">
        <v>1945</v>
      </c>
      <c r="AK861" t="s">
        <v>1944</v>
      </c>
      <c r="AL861">
        <v>6</v>
      </c>
      <c r="AM861" s="5">
        <f t="shared" si="106"/>
        <v>0.3</v>
      </c>
      <c r="AN861" s="4">
        <f t="shared" si="111"/>
        <v>4.5437334343051872E-4</v>
      </c>
      <c r="AO861" s="3"/>
      <c r="AP861">
        <v>0</v>
      </c>
      <c r="AR861" t="s">
        <v>1</v>
      </c>
      <c r="AT861" s="2">
        <v>1.3140000000000001</v>
      </c>
      <c r="AU861" s="1">
        <f t="shared" si="107"/>
        <v>0.71435995821114018</v>
      </c>
      <c r="AV861" s="1">
        <f t="shared" si="108"/>
        <v>0.52323920853454353</v>
      </c>
      <c r="AW861" s="1">
        <f t="shared" si="109"/>
        <v>0.33211845885794683</v>
      </c>
    </row>
    <row r="862" spans="1:49" x14ac:dyDescent="0.2">
      <c r="A862">
        <v>860</v>
      </c>
      <c r="B862" t="s">
        <v>1943</v>
      </c>
      <c r="C862" t="s">
        <v>1942</v>
      </c>
      <c r="F862" t="s">
        <v>1941</v>
      </c>
      <c r="G862" t="s">
        <v>5</v>
      </c>
      <c r="H862" t="s">
        <v>4</v>
      </c>
      <c r="I862" t="s">
        <v>1940</v>
      </c>
      <c r="J862">
        <v>60031624</v>
      </c>
      <c r="K862" t="s">
        <v>1939</v>
      </c>
      <c r="L862" t="s">
        <v>1938</v>
      </c>
      <c r="M862" t="s">
        <v>19</v>
      </c>
      <c r="N862">
        <v>3</v>
      </c>
      <c r="O862" t="s">
        <v>1937</v>
      </c>
      <c r="P862" t="s">
        <v>1936</v>
      </c>
      <c r="Q862" t="s">
        <v>1935</v>
      </c>
      <c r="R862" s="7">
        <v>37441</v>
      </c>
      <c r="S862" s="8">
        <f t="shared" si="104"/>
        <v>2002</v>
      </c>
      <c r="T862" s="8">
        <v>2002</v>
      </c>
      <c r="U862" s="8">
        <f t="shared" si="105"/>
        <v>20</v>
      </c>
      <c r="V862" s="7">
        <v>37441</v>
      </c>
      <c r="W862" t="s">
        <v>786</v>
      </c>
      <c r="X862" s="2">
        <v>0.375</v>
      </c>
      <c r="Y862" s="6">
        <f t="shared" si="110"/>
        <v>1.0010410827260351E-2</v>
      </c>
      <c r="AA862">
        <v>135194</v>
      </c>
      <c r="AB862">
        <v>24918</v>
      </c>
      <c r="AD862" t="s">
        <v>2</v>
      </c>
      <c r="AE862">
        <v>38</v>
      </c>
      <c r="AF862">
        <v>14</v>
      </c>
      <c r="AH862" t="s">
        <v>1934</v>
      </c>
      <c r="AI862" t="s">
        <v>1933</v>
      </c>
      <c r="AK862" t="s">
        <v>1932</v>
      </c>
      <c r="AL862">
        <v>0</v>
      </c>
      <c r="AM862" s="5">
        <f t="shared" si="106"/>
        <v>0</v>
      </c>
      <c r="AN862" s="4">
        <f t="shared" si="111"/>
        <v>0</v>
      </c>
      <c r="AO862" s="3"/>
      <c r="AP862">
        <v>0</v>
      </c>
      <c r="AR862" t="s">
        <v>1</v>
      </c>
      <c r="AT862" s="2">
        <v>1.3140000000000001</v>
      </c>
      <c r="AU862" s="1">
        <f t="shared" si="107"/>
        <v>0.70072875790822453</v>
      </c>
      <c r="AV862" s="1">
        <f t="shared" si="108"/>
        <v>0.5005205413630176</v>
      </c>
      <c r="AW862" s="1">
        <f t="shared" si="109"/>
        <v>0.30031232481781051</v>
      </c>
    </row>
    <row r="863" spans="1:49" x14ac:dyDescent="0.2">
      <c r="A863">
        <v>861</v>
      </c>
      <c r="B863" t="s">
        <v>1931</v>
      </c>
      <c r="C863" t="s">
        <v>1930</v>
      </c>
      <c r="F863" t="s">
        <v>1929</v>
      </c>
      <c r="G863" t="s">
        <v>5</v>
      </c>
      <c r="H863" t="s">
        <v>4</v>
      </c>
      <c r="I863" t="s">
        <v>1928</v>
      </c>
      <c r="J863">
        <v>60001247</v>
      </c>
      <c r="K863" t="s">
        <v>1028</v>
      </c>
      <c r="M863" t="s">
        <v>7</v>
      </c>
      <c r="N863">
        <v>1</v>
      </c>
      <c r="O863" t="s">
        <v>1927</v>
      </c>
      <c r="P863">
        <v>57197992938</v>
      </c>
      <c r="Q863">
        <v>60001247</v>
      </c>
      <c r="R863" s="7">
        <v>37441</v>
      </c>
      <c r="S863" s="8">
        <f t="shared" si="104"/>
        <v>2002</v>
      </c>
      <c r="T863" s="8">
        <v>2002</v>
      </c>
      <c r="U863" s="8">
        <f t="shared" si="105"/>
        <v>20</v>
      </c>
      <c r="V863" s="7">
        <v>37441</v>
      </c>
      <c r="W863" t="s">
        <v>786</v>
      </c>
      <c r="X863" s="2">
        <v>0.375</v>
      </c>
      <c r="Y863" s="6">
        <f t="shared" si="110"/>
        <v>1.0010410827260351E-2</v>
      </c>
      <c r="AA863">
        <v>135194</v>
      </c>
      <c r="AB863">
        <v>24918</v>
      </c>
      <c r="AD863" t="s">
        <v>2</v>
      </c>
      <c r="AE863">
        <v>38</v>
      </c>
      <c r="AF863">
        <v>14</v>
      </c>
      <c r="AH863" t="s">
        <v>1926</v>
      </c>
      <c r="AI863" t="s">
        <v>1925</v>
      </c>
      <c r="AK863" t="s">
        <v>1924</v>
      </c>
      <c r="AL863">
        <v>11</v>
      </c>
      <c r="AM863" s="5">
        <f t="shared" si="106"/>
        <v>0.55000000000000004</v>
      </c>
      <c r="AN863" s="4">
        <f t="shared" si="111"/>
        <v>8.3301779628928443E-4</v>
      </c>
      <c r="AO863" s="3"/>
      <c r="AP863">
        <v>0</v>
      </c>
      <c r="AR863" t="s">
        <v>1</v>
      </c>
      <c r="AT863" s="2">
        <v>1.3140000000000001</v>
      </c>
      <c r="AU863" s="1">
        <f t="shared" si="107"/>
        <v>0.7257192917969032</v>
      </c>
      <c r="AV863" s="1">
        <f t="shared" si="108"/>
        <v>0.54217143117748179</v>
      </c>
      <c r="AW863" s="1">
        <f t="shared" si="109"/>
        <v>0.35862357055806038</v>
      </c>
    </row>
    <row r="864" spans="1:49" x14ac:dyDescent="0.2">
      <c r="A864">
        <v>862</v>
      </c>
      <c r="B864" t="s">
        <v>1923</v>
      </c>
      <c r="C864" t="s">
        <v>1922</v>
      </c>
      <c r="F864" t="s">
        <v>1921</v>
      </c>
      <c r="G864" t="s">
        <v>5</v>
      </c>
      <c r="H864" t="s">
        <v>4</v>
      </c>
      <c r="I864" t="s">
        <v>1920</v>
      </c>
      <c r="J864">
        <v>60026338</v>
      </c>
      <c r="K864" t="s">
        <v>1919</v>
      </c>
      <c r="L864" t="s">
        <v>403</v>
      </c>
      <c r="M864" t="s">
        <v>121</v>
      </c>
      <c r="N864">
        <v>2</v>
      </c>
      <c r="O864" t="s">
        <v>1918</v>
      </c>
      <c r="P864" t="s">
        <v>1917</v>
      </c>
      <c r="Q864" t="s">
        <v>1916</v>
      </c>
      <c r="R864" s="7">
        <v>37441</v>
      </c>
      <c r="S864" s="8">
        <f t="shared" si="104"/>
        <v>2002</v>
      </c>
      <c r="T864" s="8">
        <v>2002</v>
      </c>
      <c r="U864" s="8">
        <f t="shared" si="105"/>
        <v>20</v>
      </c>
      <c r="V864" s="7">
        <v>37441</v>
      </c>
      <c r="W864" t="s">
        <v>786</v>
      </c>
      <c r="X864" s="2">
        <v>0.375</v>
      </c>
      <c r="Y864" s="6">
        <f t="shared" si="110"/>
        <v>1.0010410827260351E-2</v>
      </c>
      <c r="AA864">
        <v>135194</v>
      </c>
      <c r="AB864">
        <v>24918</v>
      </c>
      <c r="AD864" t="s">
        <v>2</v>
      </c>
      <c r="AE864">
        <v>38</v>
      </c>
      <c r="AF864">
        <v>14</v>
      </c>
      <c r="AH864" t="s">
        <v>642</v>
      </c>
      <c r="AI864" t="s">
        <v>1915</v>
      </c>
      <c r="AK864" t="s">
        <v>1914</v>
      </c>
      <c r="AL864">
        <v>2</v>
      </c>
      <c r="AM864" s="5">
        <f t="shared" si="106"/>
        <v>0.1</v>
      </c>
      <c r="AN864" s="4">
        <f t="shared" si="111"/>
        <v>1.5145778114350627E-4</v>
      </c>
      <c r="AO864" s="3"/>
      <c r="AP864">
        <v>0</v>
      </c>
      <c r="AR864" t="s">
        <v>1</v>
      </c>
      <c r="AT864" s="2">
        <v>1.3140000000000001</v>
      </c>
      <c r="AU864" s="1">
        <f t="shared" si="107"/>
        <v>0.70527249134252978</v>
      </c>
      <c r="AV864" s="1">
        <f t="shared" si="108"/>
        <v>0.50809343042019284</v>
      </c>
      <c r="AW864" s="1">
        <f t="shared" si="109"/>
        <v>0.31091436949785595</v>
      </c>
    </row>
    <row r="865" spans="1:49" x14ac:dyDescent="0.2">
      <c r="A865">
        <v>863</v>
      </c>
      <c r="B865" t="s">
        <v>1913</v>
      </c>
      <c r="C865" t="s">
        <v>1912</v>
      </c>
      <c r="F865" t="s">
        <v>1911</v>
      </c>
      <c r="G865" t="s">
        <v>5</v>
      </c>
      <c r="H865" t="s">
        <v>4</v>
      </c>
      <c r="I865" t="s">
        <v>1910</v>
      </c>
      <c r="J865">
        <v>60027950</v>
      </c>
      <c r="K865" t="s">
        <v>1909</v>
      </c>
      <c r="L865" t="s">
        <v>1908</v>
      </c>
      <c r="M865" t="s">
        <v>7</v>
      </c>
      <c r="N865">
        <v>6</v>
      </c>
      <c r="O865" t="s">
        <v>1907</v>
      </c>
      <c r="P865" t="s">
        <v>1906</v>
      </c>
      <c r="Q865" t="s">
        <v>1905</v>
      </c>
      <c r="R865" s="7">
        <v>37441</v>
      </c>
      <c r="S865" s="8">
        <f t="shared" si="104"/>
        <v>2002</v>
      </c>
      <c r="T865" s="8">
        <v>2002</v>
      </c>
      <c r="U865" s="8">
        <f t="shared" si="105"/>
        <v>20</v>
      </c>
      <c r="V865" s="7">
        <v>37441</v>
      </c>
      <c r="W865" t="s">
        <v>786</v>
      </c>
      <c r="X865" s="2">
        <v>0.375</v>
      </c>
      <c r="Y865" s="6">
        <f t="shared" si="110"/>
        <v>1.0010410827260351E-2</v>
      </c>
      <c r="AA865">
        <v>135194</v>
      </c>
      <c r="AB865">
        <v>24918</v>
      </c>
      <c r="AD865" t="s">
        <v>2</v>
      </c>
      <c r="AE865">
        <v>38</v>
      </c>
      <c r="AF865">
        <v>14</v>
      </c>
      <c r="AH865" t="s">
        <v>1904</v>
      </c>
      <c r="AI865" t="s">
        <v>1903</v>
      </c>
      <c r="AK865" t="s">
        <v>1902</v>
      </c>
      <c r="AL865">
        <v>40</v>
      </c>
      <c r="AM865" s="5">
        <f t="shared" si="106"/>
        <v>2</v>
      </c>
      <c r="AN865" s="4">
        <f t="shared" si="111"/>
        <v>3.0291556228701248E-3</v>
      </c>
      <c r="AO865" s="3"/>
      <c r="AP865">
        <v>0</v>
      </c>
      <c r="AR865" t="s">
        <v>1</v>
      </c>
      <c r="AT865" s="2">
        <v>1.3140000000000001</v>
      </c>
      <c r="AU865" s="1">
        <f t="shared" si="107"/>
        <v>0.79160342659432836</v>
      </c>
      <c r="AV865" s="1">
        <f t="shared" si="108"/>
        <v>0.65197832250652388</v>
      </c>
      <c r="AW865" s="1">
        <f t="shared" si="109"/>
        <v>0.51235321841871928</v>
      </c>
    </row>
    <row r="866" spans="1:49" x14ac:dyDescent="0.2">
      <c r="A866">
        <v>864</v>
      </c>
      <c r="B866" t="s">
        <v>1901</v>
      </c>
      <c r="C866" t="s">
        <v>1900</v>
      </c>
      <c r="F866" t="s">
        <v>1899</v>
      </c>
      <c r="G866" t="s">
        <v>5</v>
      </c>
      <c r="H866" t="s">
        <v>4</v>
      </c>
      <c r="I866" t="s">
        <v>1898</v>
      </c>
      <c r="N866">
        <v>2</v>
      </c>
      <c r="O866" t="s">
        <v>1897</v>
      </c>
      <c r="P866" t="s">
        <v>1896</v>
      </c>
      <c r="Q866" t="s">
        <v>295</v>
      </c>
      <c r="R866" s="7">
        <v>37440</v>
      </c>
      <c r="S866" s="8">
        <f t="shared" si="104"/>
        <v>2002</v>
      </c>
      <c r="T866" s="8">
        <v>2002</v>
      </c>
      <c r="U866" s="8">
        <f t="shared" si="105"/>
        <v>20</v>
      </c>
      <c r="V866" s="7">
        <v>37440</v>
      </c>
      <c r="W866" t="s">
        <v>1895</v>
      </c>
      <c r="X866" s="2">
        <v>0.17299999999999999</v>
      </c>
      <c r="Y866" s="6">
        <f t="shared" si="110"/>
        <v>4.6181361949761083E-3</v>
      </c>
      <c r="AA866">
        <v>7858760</v>
      </c>
      <c r="AB866">
        <v>19797</v>
      </c>
      <c r="AD866" t="s">
        <v>2</v>
      </c>
      <c r="AE866">
        <v>13</v>
      </c>
      <c r="AF866">
        <v>2</v>
      </c>
      <c r="AH866" t="s">
        <v>534</v>
      </c>
      <c r="AI866" t="s">
        <v>1894</v>
      </c>
      <c r="AK866" t="s">
        <v>1893</v>
      </c>
      <c r="AL866">
        <v>3</v>
      </c>
      <c r="AM866" s="5">
        <f t="shared" si="106"/>
        <v>0.15</v>
      </c>
      <c r="AN866" s="4">
        <f t="shared" si="111"/>
        <v>2.2718667171525936E-4</v>
      </c>
      <c r="AO866" s="3"/>
      <c r="AP866">
        <v>1</v>
      </c>
      <c r="AR866" t="s">
        <v>1</v>
      </c>
      <c r="AT866" s="2">
        <v>0.76700000000000002</v>
      </c>
      <c r="AU866" s="1">
        <f t="shared" si="107"/>
        <v>0.33008513379978532</v>
      </c>
      <c r="AV866" s="1">
        <f t="shared" si="108"/>
        <v>0.24226614333456839</v>
      </c>
      <c r="AW866" s="1">
        <f t="shared" si="109"/>
        <v>0.1544471528693514</v>
      </c>
    </row>
    <row r="867" spans="1:49" x14ac:dyDescent="0.2">
      <c r="A867">
        <v>865</v>
      </c>
      <c r="B867" t="s">
        <v>1892</v>
      </c>
      <c r="C867" t="s">
        <v>1891</v>
      </c>
      <c r="E867">
        <v>12203567</v>
      </c>
      <c r="F867" t="s">
        <v>1890</v>
      </c>
      <c r="G867" t="s">
        <v>5</v>
      </c>
      <c r="H867" t="s">
        <v>4</v>
      </c>
      <c r="I867" t="s">
        <v>1889</v>
      </c>
      <c r="J867">
        <v>60020486</v>
      </c>
      <c r="K867" t="s">
        <v>1888</v>
      </c>
      <c r="L867" t="s">
        <v>1887</v>
      </c>
      <c r="M867" t="s">
        <v>223</v>
      </c>
      <c r="N867">
        <v>2</v>
      </c>
      <c r="O867" t="s">
        <v>1886</v>
      </c>
      <c r="P867" t="s">
        <v>1885</v>
      </c>
      <c r="Q867" t="s">
        <v>1884</v>
      </c>
      <c r="R867" s="7">
        <v>37439</v>
      </c>
      <c r="S867" s="8">
        <f t="shared" si="104"/>
        <v>2002</v>
      </c>
      <c r="T867" s="8">
        <v>2002</v>
      </c>
      <c r="U867" s="8">
        <f t="shared" si="105"/>
        <v>20</v>
      </c>
      <c r="V867" s="7">
        <v>37439</v>
      </c>
      <c r="W867" t="s">
        <v>1170</v>
      </c>
      <c r="X867" s="2">
        <v>5.8310000000000004</v>
      </c>
      <c r="Y867" s="6">
        <f t="shared" si="110"/>
        <v>0.15565521475668029</v>
      </c>
      <c r="AA867">
        <v>14337851</v>
      </c>
      <c r="AB867">
        <v>22687</v>
      </c>
      <c r="AD867" t="s">
        <v>2</v>
      </c>
      <c r="AE867">
        <v>41</v>
      </c>
      <c r="AF867">
        <v>13</v>
      </c>
      <c r="AH867" t="s">
        <v>1883</v>
      </c>
      <c r="AI867" t="s">
        <v>1882</v>
      </c>
      <c r="AJ867" t="s">
        <v>1881</v>
      </c>
      <c r="AK867" t="s">
        <v>1880</v>
      </c>
      <c r="AL867">
        <v>88</v>
      </c>
      <c r="AM867" s="5">
        <f t="shared" si="106"/>
        <v>4.4000000000000004</v>
      </c>
      <c r="AN867" s="4">
        <f t="shared" si="111"/>
        <v>6.6641423703142754E-3</v>
      </c>
      <c r="AO867" s="3"/>
      <c r="AP867">
        <v>0</v>
      </c>
      <c r="AR867" t="s">
        <v>1</v>
      </c>
      <c r="AT867" s="2" t="s">
        <v>0</v>
      </c>
      <c r="AU867" s="1">
        <f t="shared" si="107"/>
        <v>11.095789304077048</v>
      </c>
      <c r="AV867" s="1">
        <f t="shared" si="108"/>
        <v>8.1159678563497284</v>
      </c>
      <c r="AW867" s="1">
        <f t="shared" si="109"/>
        <v>5.136146408622408</v>
      </c>
    </row>
    <row r="868" spans="1:49" x14ac:dyDescent="0.2">
      <c r="A868">
        <v>866</v>
      </c>
      <c r="B868" t="s">
        <v>1879</v>
      </c>
      <c r="F868" t="s">
        <v>1878</v>
      </c>
      <c r="G868" t="s">
        <v>5</v>
      </c>
      <c r="H868" t="s">
        <v>4</v>
      </c>
      <c r="I868" t="s">
        <v>1877</v>
      </c>
      <c r="N868">
        <v>1</v>
      </c>
      <c r="O868" t="s">
        <v>1876</v>
      </c>
      <c r="P868">
        <v>7003513371</v>
      </c>
      <c r="R868" s="7">
        <v>37438</v>
      </c>
      <c r="S868" s="8">
        <f t="shared" si="104"/>
        <v>2002</v>
      </c>
      <c r="T868" s="8">
        <v>2002</v>
      </c>
      <c r="U868" s="8">
        <f t="shared" si="105"/>
        <v>20</v>
      </c>
      <c r="V868" s="7">
        <v>37438</v>
      </c>
      <c r="W868" t="s">
        <v>785</v>
      </c>
      <c r="X868" s="2">
        <v>0.29499999999999998</v>
      </c>
      <c r="Y868" s="6">
        <f t="shared" si="110"/>
        <v>7.8748565174448087E-3</v>
      </c>
      <c r="AA868">
        <v>10642269</v>
      </c>
      <c r="AB868">
        <v>19554</v>
      </c>
      <c r="AD868" t="s">
        <v>2</v>
      </c>
      <c r="AE868">
        <v>47</v>
      </c>
      <c r="AF868">
        <v>7</v>
      </c>
      <c r="AH868" t="s">
        <v>1875</v>
      </c>
      <c r="AI868" t="s">
        <v>1874</v>
      </c>
      <c r="AK868" t="s">
        <v>1873</v>
      </c>
      <c r="AL868">
        <v>1</v>
      </c>
      <c r="AM868" s="5">
        <f t="shared" si="106"/>
        <v>0.05</v>
      </c>
      <c r="AN868" s="4">
        <f t="shared" si="111"/>
        <v>7.5728890571753133E-5</v>
      </c>
      <c r="AO868" s="3"/>
      <c r="AP868">
        <v>0</v>
      </c>
      <c r="AR868" t="s">
        <v>1</v>
      </c>
      <c r="AT868" s="2" t="s">
        <v>0</v>
      </c>
      <c r="AU868" s="1">
        <f t="shared" si="107"/>
        <v>0.55351182293828916</v>
      </c>
      <c r="AV868" s="1">
        <f t="shared" si="108"/>
        <v>0.39752927040082808</v>
      </c>
      <c r="AW868" s="1">
        <f t="shared" si="109"/>
        <v>0.24154671786336696</v>
      </c>
    </row>
    <row r="869" spans="1:49" x14ac:dyDescent="0.2">
      <c r="A869">
        <v>867</v>
      </c>
      <c r="B869" t="s">
        <v>1872</v>
      </c>
      <c r="F869" t="s">
        <v>1871</v>
      </c>
      <c r="G869" t="s">
        <v>5</v>
      </c>
      <c r="H869" t="s">
        <v>4</v>
      </c>
      <c r="I869" t="s">
        <v>1870</v>
      </c>
      <c r="N869">
        <v>1</v>
      </c>
      <c r="O869" t="s">
        <v>1869</v>
      </c>
      <c r="P869">
        <v>18038439600</v>
      </c>
      <c r="R869" s="7">
        <v>37438</v>
      </c>
      <c r="S869" s="8">
        <f t="shared" si="104"/>
        <v>2002</v>
      </c>
      <c r="T869" s="8">
        <v>2002</v>
      </c>
      <c r="U869" s="8">
        <f t="shared" si="105"/>
        <v>20</v>
      </c>
      <c r="V869" s="7">
        <v>37438</v>
      </c>
      <c r="W869" t="s">
        <v>956</v>
      </c>
      <c r="X869" s="2" t="s">
        <v>0</v>
      </c>
      <c r="Y869" s="6" t="e">
        <f t="shared" si="110"/>
        <v>#VALUE!</v>
      </c>
      <c r="AA869">
        <v>300608</v>
      </c>
      <c r="AB869">
        <v>18191</v>
      </c>
      <c r="AD869" t="s">
        <v>2</v>
      </c>
      <c r="AE869">
        <v>62</v>
      </c>
      <c r="AF869">
        <v>7</v>
      </c>
      <c r="AL869">
        <v>0</v>
      </c>
      <c r="AM869" s="5">
        <f t="shared" si="106"/>
        <v>0</v>
      </c>
      <c r="AN869" s="4">
        <f t="shared" si="111"/>
        <v>0</v>
      </c>
      <c r="AO869" s="3"/>
      <c r="AP869">
        <v>0</v>
      </c>
      <c r="AR869" t="s">
        <v>1</v>
      </c>
      <c r="AT869" s="2" t="s">
        <v>0</v>
      </c>
      <c r="AU869" s="1" t="e">
        <f t="shared" si="107"/>
        <v>#VALUE!</v>
      </c>
      <c r="AV869" s="1" t="e">
        <f t="shared" si="108"/>
        <v>#VALUE!</v>
      </c>
      <c r="AW869" s="1" t="e">
        <f t="shared" si="109"/>
        <v>#VALUE!</v>
      </c>
    </row>
    <row r="870" spans="1:49" x14ac:dyDescent="0.2">
      <c r="A870">
        <v>868</v>
      </c>
      <c r="B870" t="s">
        <v>1868</v>
      </c>
      <c r="C870" t="s">
        <v>1867</v>
      </c>
      <c r="F870" t="s">
        <v>1866</v>
      </c>
      <c r="G870" t="s">
        <v>5</v>
      </c>
      <c r="H870" t="s">
        <v>4</v>
      </c>
      <c r="I870" t="s">
        <v>1865</v>
      </c>
      <c r="J870" t="s">
        <v>1864</v>
      </c>
      <c r="K870" t="s">
        <v>1863</v>
      </c>
      <c r="L870" t="s">
        <v>1862</v>
      </c>
      <c r="M870" t="s">
        <v>1861</v>
      </c>
      <c r="N870">
        <v>7</v>
      </c>
      <c r="O870" t="s">
        <v>1860</v>
      </c>
      <c r="P870" t="s">
        <v>1859</v>
      </c>
      <c r="Q870" t="s">
        <v>1858</v>
      </c>
      <c r="R870" s="7">
        <v>37438</v>
      </c>
      <c r="S870" s="8">
        <f t="shared" si="104"/>
        <v>2002</v>
      </c>
      <c r="T870" s="8">
        <v>2002</v>
      </c>
      <c r="U870" s="8">
        <f t="shared" si="105"/>
        <v>20</v>
      </c>
      <c r="V870" s="7">
        <v>37438</v>
      </c>
      <c r="W870" t="s">
        <v>706</v>
      </c>
      <c r="X870" s="2">
        <v>0.61499999999999999</v>
      </c>
      <c r="Y870" s="6">
        <f t="shared" si="110"/>
        <v>1.6417073756706976E-2</v>
      </c>
      <c r="AA870">
        <v>1959271</v>
      </c>
      <c r="AB870">
        <v>12141</v>
      </c>
      <c r="AD870" t="s">
        <v>2</v>
      </c>
      <c r="AE870">
        <v>23</v>
      </c>
      <c r="AF870">
        <v>7</v>
      </c>
      <c r="AH870" t="s">
        <v>1857</v>
      </c>
      <c r="AI870" t="s">
        <v>1856</v>
      </c>
      <c r="AJ870" t="s">
        <v>1855</v>
      </c>
      <c r="AK870" t="s">
        <v>1854</v>
      </c>
      <c r="AL870">
        <v>4</v>
      </c>
      <c r="AM870" s="5">
        <f t="shared" si="106"/>
        <v>0.2</v>
      </c>
      <c r="AN870" s="4">
        <f t="shared" si="111"/>
        <v>3.0291556228701253E-4</v>
      </c>
      <c r="AO870" s="3"/>
      <c r="AP870">
        <v>0</v>
      </c>
      <c r="AR870" t="s">
        <v>1</v>
      </c>
      <c r="AT870" s="2" t="s">
        <v>0</v>
      </c>
      <c r="AU870" s="1">
        <f t="shared" si="107"/>
        <v>1.1582826298380986</v>
      </c>
      <c r="AV870" s="1">
        <f t="shared" si="108"/>
        <v>0.83599946594969943</v>
      </c>
      <c r="AW870" s="1">
        <f t="shared" si="109"/>
        <v>0.51371630206130015</v>
      </c>
    </row>
    <row r="871" spans="1:49" x14ac:dyDescent="0.2">
      <c r="A871">
        <v>869</v>
      </c>
      <c r="B871" t="s">
        <v>1853</v>
      </c>
      <c r="C871" t="s">
        <v>1852</v>
      </c>
      <c r="F871" t="s">
        <v>1851</v>
      </c>
      <c r="G871" t="s">
        <v>5</v>
      </c>
      <c r="H871" t="s">
        <v>4</v>
      </c>
      <c r="I871" t="s">
        <v>1095</v>
      </c>
      <c r="J871">
        <v>60019118</v>
      </c>
      <c r="K871" t="s">
        <v>147</v>
      </c>
      <c r="L871" t="s">
        <v>146</v>
      </c>
      <c r="M871" t="s">
        <v>21</v>
      </c>
      <c r="N871">
        <v>2</v>
      </c>
      <c r="O871" t="s">
        <v>1094</v>
      </c>
      <c r="P871" t="s">
        <v>1093</v>
      </c>
      <c r="Q871" t="s">
        <v>145</v>
      </c>
      <c r="R871" s="7">
        <v>37438</v>
      </c>
      <c r="S871" s="8">
        <f t="shared" si="104"/>
        <v>2002</v>
      </c>
      <c r="T871" s="8">
        <v>2002</v>
      </c>
      <c r="U871" s="8">
        <f t="shared" si="105"/>
        <v>20</v>
      </c>
      <c r="V871" s="7">
        <v>37438</v>
      </c>
      <c r="W871" t="s">
        <v>706</v>
      </c>
      <c r="X871" s="2">
        <v>0.61499999999999999</v>
      </c>
      <c r="Y871" s="6">
        <f t="shared" si="110"/>
        <v>1.6417073756706976E-2</v>
      </c>
      <c r="AA871">
        <v>1959271</v>
      </c>
      <c r="AB871">
        <v>12141</v>
      </c>
      <c r="AD871" t="s">
        <v>2</v>
      </c>
      <c r="AE871">
        <v>23</v>
      </c>
      <c r="AF871">
        <v>7</v>
      </c>
      <c r="AH871" t="s">
        <v>1850</v>
      </c>
      <c r="AI871" t="s">
        <v>1849</v>
      </c>
      <c r="AK871" t="s">
        <v>1848</v>
      </c>
      <c r="AL871">
        <v>0</v>
      </c>
      <c r="AM871" s="5">
        <f t="shared" si="106"/>
        <v>0</v>
      </c>
      <c r="AN871" s="4">
        <f t="shared" si="111"/>
        <v>0</v>
      </c>
      <c r="AO871" s="3"/>
      <c r="AP871">
        <v>0</v>
      </c>
      <c r="AR871" t="s">
        <v>1</v>
      </c>
      <c r="AT871" s="2" t="s">
        <v>0</v>
      </c>
      <c r="AU871" s="1">
        <f t="shared" si="107"/>
        <v>1.1491951629694881</v>
      </c>
      <c r="AV871" s="1">
        <f t="shared" si="108"/>
        <v>0.82085368783534873</v>
      </c>
      <c r="AW871" s="1">
        <f t="shared" si="109"/>
        <v>0.49251221270120926</v>
      </c>
    </row>
    <row r="872" spans="1:49" x14ac:dyDescent="0.2">
      <c r="A872">
        <v>870</v>
      </c>
      <c r="B872" t="s">
        <v>1847</v>
      </c>
      <c r="C872" t="s">
        <v>1846</v>
      </c>
      <c r="F872" t="s">
        <v>1845</v>
      </c>
      <c r="G872" t="s">
        <v>5</v>
      </c>
      <c r="H872" t="s">
        <v>4</v>
      </c>
      <c r="I872" t="s">
        <v>1844</v>
      </c>
      <c r="J872" t="s">
        <v>1843</v>
      </c>
      <c r="K872" t="s">
        <v>1842</v>
      </c>
      <c r="L872" t="s">
        <v>1841</v>
      </c>
      <c r="M872" t="s">
        <v>80</v>
      </c>
      <c r="N872">
        <v>3</v>
      </c>
      <c r="O872" t="s">
        <v>1840</v>
      </c>
      <c r="P872" t="s">
        <v>1839</v>
      </c>
      <c r="Q872" t="s">
        <v>1838</v>
      </c>
      <c r="R872" s="7">
        <v>37438</v>
      </c>
      <c r="S872" s="8">
        <f t="shared" si="104"/>
        <v>2002</v>
      </c>
      <c r="T872" s="8">
        <v>2002</v>
      </c>
      <c r="U872" s="8">
        <f t="shared" si="105"/>
        <v>20</v>
      </c>
      <c r="V872" s="7">
        <v>37438</v>
      </c>
      <c r="W872" t="s">
        <v>706</v>
      </c>
      <c r="X872" s="2">
        <v>0.61499999999999999</v>
      </c>
      <c r="Y872" s="6">
        <f t="shared" si="110"/>
        <v>1.6417073756706976E-2</v>
      </c>
      <c r="AA872">
        <v>1959271</v>
      </c>
      <c r="AB872">
        <v>12141</v>
      </c>
      <c r="AD872" t="s">
        <v>2</v>
      </c>
      <c r="AE872">
        <v>23</v>
      </c>
      <c r="AF872">
        <v>7</v>
      </c>
      <c r="AH872" t="s">
        <v>1837</v>
      </c>
      <c r="AI872" t="s">
        <v>1836</v>
      </c>
      <c r="AJ872" t="s">
        <v>1835</v>
      </c>
      <c r="AK872" t="s">
        <v>1834</v>
      </c>
      <c r="AL872">
        <v>8</v>
      </c>
      <c r="AM872" s="5">
        <f t="shared" si="106"/>
        <v>0.4</v>
      </c>
      <c r="AN872" s="4">
        <f t="shared" si="111"/>
        <v>6.0583112457402507E-4</v>
      </c>
      <c r="AO872" s="3"/>
      <c r="AP872">
        <v>0</v>
      </c>
      <c r="AR872" t="s">
        <v>1</v>
      </c>
      <c r="AT872" s="2" t="s">
        <v>0</v>
      </c>
      <c r="AU872" s="1">
        <f t="shared" si="107"/>
        <v>1.1673700967067089</v>
      </c>
      <c r="AV872" s="1">
        <f t="shared" si="108"/>
        <v>0.85114524406405012</v>
      </c>
      <c r="AW872" s="1">
        <f t="shared" si="109"/>
        <v>0.53492039142139092</v>
      </c>
    </row>
    <row r="873" spans="1:49" x14ac:dyDescent="0.2">
      <c r="A873">
        <v>871</v>
      </c>
      <c r="B873" t="s">
        <v>1833</v>
      </c>
      <c r="F873" t="s">
        <v>1832</v>
      </c>
      <c r="G873" t="s">
        <v>5</v>
      </c>
      <c r="H873" t="s">
        <v>4</v>
      </c>
      <c r="I873" t="s">
        <v>1831</v>
      </c>
      <c r="J873" t="s">
        <v>1830</v>
      </c>
      <c r="K873" t="s">
        <v>1829</v>
      </c>
      <c r="L873" t="s">
        <v>1828</v>
      </c>
      <c r="M873" t="s">
        <v>1827</v>
      </c>
      <c r="N873">
        <v>2</v>
      </c>
      <c r="O873" t="s">
        <v>1826</v>
      </c>
      <c r="P873" t="s">
        <v>1825</v>
      </c>
      <c r="Q873" t="s">
        <v>1824</v>
      </c>
      <c r="R873" s="7">
        <v>37438</v>
      </c>
      <c r="S873" s="8">
        <f t="shared" si="104"/>
        <v>2002</v>
      </c>
      <c r="T873" s="8">
        <v>2002</v>
      </c>
      <c r="U873" s="8">
        <f t="shared" si="105"/>
        <v>20</v>
      </c>
      <c r="V873" s="7">
        <v>37438</v>
      </c>
      <c r="W873" t="s">
        <v>1823</v>
      </c>
      <c r="X873" s="2">
        <v>0.64200000000000002</v>
      </c>
      <c r="Y873" s="6">
        <f t="shared" si="110"/>
        <v>1.713782333626972E-2</v>
      </c>
      <c r="AA873">
        <v>10215506</v>
      </c>
      <c r="AB873">
        <v>24565</v>
      </c>
      <c r="AC873" t="s">
        <v>1822</v>
      </c>
      <c r="AD873" t="s">
        <v>2</v>
      </c>
      <c r="AE873">
        <v>41</v>
      </c>
      <c r="AF873">
        <v>3</v>
      </c>
      <c r="AH873" t="s">
        <v>1821</v>
      </c>
      <c r="AI873" t="s">
        <v>1820</v>
      </c>
      <c r="AJ873" t="s">
        <v>1819</v>
      </c>
      <c r="AK873" t="s">
        <v>1818</v>
      </c>
      <c r="AL873">
        <v>41</v>
      </c>
      <c r="AM873" s="5">
        <f t="shared" si="106"/>
        <v>2.0499999999999998</v>
      </c>
      <c r="AN873" s="4">
        <f t="shared" si="111"/>
        <v>3.104884513441878E-3</v>
      </c>
      <c r="AO873" s="3"/>
      <c r="AP873">
        <v>0</v>
      </c>
      <c r="AR873" t="s">
        <v>1</v>
      </c>
      <c r="AT873" s="2">
        <v>2.0579999999999998</v>
      </c>
      <c r="AU873" s="1">
        <f t="shared" si="107"/>
        <v>1.2927941689421367</v>
      </c>
      <c r="AV873" s="1">
        <f t="shared" si="108"/>
        <v>1.0121353924855798</v>
      </c>
      <c r="AW873" s="1">
        <f t="shared" si="109"/>
        <v>0.73147661602902314</v>
      </c>
    </row>
    <row r="874" spans="1:49" x14ac:dyDescent="0.2">
      <c r="A874">
        <v>872</v>
      </c>
      <c r="B874" t="s">
        <v>1817</v>
      </c>
      <c r="C874" t="s">
        <v>1816</v>
      </c>
      <c r="E874">
        <v>12126301</v>
      </c>
      <c r="F874" t="s">
        <v>1815</v>
      </c>
      <c r="G874" t="s">
        <v>5</v>
      </c>
      <c r="H874" t="s">
        <v>4</v>
      </c>
      <c r="I874" t="s">
        <v>1814</v>
      </c>
      <c r="J874" t="s">
        <v>1813</v>
      </c>
      <c r="K874" t="s">
        <v>1812</v>
      </c>
      <c r="L874" t="s">
        <v>1811</v>
      </c>
      <c r="M874" t="s">
        <v>1810</v>
      </c>
      <c r="N874">
        <v>8</v>
      </c>
      <c r="O874" t="s">
        <v>1809</v>
      </c>
      <c r="P874" t="s">
        <v>1808</v>
      </c>
      <c r="Q874" t="s">
        <v>1807</v>
      </c>
      <c r="R874" s="7">
        <v>37438</v>
      </c>
      <c r="S874" s="8">
        <f t="shared" si="104"/>
        <v>2002</v>
      </c>
      <c r="T874" s="8">
        <v>2002</v>
      </c>
      <c r="U874" s="8">
        <f t="shared" si="105"/>
        <v>20</v>
      </c>
      <c r="V874" s="7">
        <v>37438</v>
      </c>
      <c r="W874" t="s">
        <v>1137</v>
      </c>
      <c r="X874" s="2">
        <v>0.81799999999999995</v>
      </c>
      <c r="Y874" s="6">
        <f t="shared" si="110"/>
        <v>2.1836042817863912E-2</v>
      </c>
      <c r="AA874">
        <v>318655</v>
      </c>
      <c r="AB874">
        <v>27010</v>
      </c>
      <c r="AD874" t="s">
        <v>2</v>
      </c>
      <c r="AE874">
        <v>76</v>
      </c>
      <c r="AF874">
        <v>1</v>
      </c>
      <c r="AH874" t="s">
        <v>1806</v>
      </c>
      <c r="AI874" t="s">
        <v>1805</v>
      </c>
      <c r="AK874" t="s">
        <v>1804</v>
      </c>
      <c r="AL874">
        <v>27</v>
      </c>
      <c r="AM874" s="5">
        <f t="shared" si="106"/>
        <v>1.35</v>
      </c>
      <c r="AN874" s="4">
        <f t="shared" si="111"/>
        <v>2.0446800454373346E-3</v>
      </c>
      <c r="AO874" s="3"/>
      <c r="AP874">
        <v>0</v>
      </c>
      <c r="AR874" t="s">
        <v>1</v>
      </c>
      <c r="AT874" s="2">
        <v>3.4209999999999998</v>
      </c>
      <c r="AU874" s="1">
        <f t="shared" si="107"/>
        <v>1.5898633986135939</v>
      </c>
      <c r="AV874" s="1">
        <f t="shared" si="108"/>
        <v>1.1940361431650623</v>
      </c>
      <c r="AW874" s="1">
        <f t="shared" si="109"/>
        <v>0.79820888771653076</v>
      </c>
    </row>
    <row r="875" spans="1:49" x14ac:dyDescent="0.2">
      <c r="A875">
        <v>873</v>
      </c>
      <c r="B875" t="s">
        <v>1803</v>
      </c>
      <c r="C875" t="s">
        <v>1802</v>
      </c>
      <c r="F875" t="s">
        <v>1801</v>
      </c>
      <c r="G875" t="s">
        <v>5</v>
      </c>
      <c r="H875" t="s">
        <v>4</v>
      </c>
      <c r="I875" t="s">
        <v>1800</v>
      </c>
      <c r="J875" t="s">
        <v>1799</v>
      </c>
      <c r="K875" t="s">
        <v>1798</v>
      </c>
      <c r="L875" t="s">
        <v>1797</v>
      </c>
      <c r="M875" t="s">
        <v>437</v>
      </c>
      <c r="N875">
        <v>3</v>
      </c>
      <c r="O875" t="s">
        <v>1796</v>
      </c>
      <c r="P875" t="s">
        <v>1795</v>
      </c>
      <c r="Q875" t="s">
        <v>1794</v>
      </c>
      <c r="R875" s="7">
        <v>37438</v>
      </c>
      <c r="S875" s="8">
        <f t="shared" si="104"/>
        <v>2002</v>
      </c>
      <c r="T875" s="8">
        <v>2002</v>
      </c>
      <c r="U875" s="8">
        <f t="shared" si="105"/>
        <v>20</v>
      </c>
      <c r="V875" s="7">
        <v>37438</v>
      </c>
      <c r="W875" t="s">
        <v>706</v>
      </c>
      <c r="X875" s="2">
        <v>0.61499999999999999</v>
      </c>
      <c r="Y875" s="6">
        <f t="shared" si="110"/>
        <v>1.6417073756706976E-2</v>
      </c>
      <c r="AA875">
        <v>1959271</v>
      </c>
      <c r="AB875">
        <v>12141</v>
      </c>
      <c r="AD875" t="s">
        <v>2</v>
      </c>
      <c r="AE875">
        <v>23</v>
      </c>
      <c r="AF875">
        <v>7</v>
      </c>
      <c r="AH875" t="s">
        <v>1793</v>
      </c>
      <c r="AI875" t="s">
        <v>1792</v>
      </c>
      <c r="AJ875" t="s">
        <v>1791</v>
      </c>
      <c r="AK875" t="s">
        <v>1790</v>
      </c>
      <c r="AL875">
        <v>5</v>
      </c>
      <c r="AM875" s="5">
        <f t="shared" si="106"/>
        <v>0.25</v>
      </c>
      <c r="AN875" s="4">
        <f t="shared" si="111"/>
        <v>3.786444528587656E-4</v>
      </c>
      <c r="AO875" s="3"/>
      <c r="AP875">
        <v>0</v>
      </c>
      <c r="AR875" t="s">
        <v>1</v>
      </c>
      <c r="AT875" s="2" t="s">
        <v>0</v>
      </c>
      <c r="AU875" s="1">
        <f t="shared" si="107"/>
        <v>1.1605544965552512</v>
      </c>
      <c r="AV875" s="1">
        <f t="shared" si="108"/>
        <v>0.83978591047828699</v>
      </c>
      <c r="AW875" s="1">
        <f t="shared" si="109"/>
        <v>0.51901732440132287</v>
      </c>
    </row>
    <row r="876" spans="1:49" x14ac:dyDescent="0.2">
      <c r="A876">
        <v>874</v>
      </c>
      <c r="B876" t="s">
        <v>1789</v>
      </c>
      <c r="F876" t="s">
        <v>1788</v>
      </c>
      <c r="G876" t="s">
        <v>5</v>
      </c>
      <c r="H876" t="s">
        <v>4</v>
      </c>
      <c r="I876" t="s">
        <v>1787</v>
      </c>
      <c r="J876" t="s">
        <v>1786</v>
      </c>
      <c r="K876" t="s">
        <v>1785</v>
      </c>
      <c r="L876" t="s">
        <v>1784</v>
      </c>
      <c r="M876" t="s">
        <v>1783</v>
      </c>
      <c r="N876">
        <v>3</v>
      </c>
      <c r="O876" t="s">
        <v>1782</v>
      </c>
      <c r="P876" t="s">
        <v>1781</v>
      </c>
      <c r="Q876" t="s">
        <v>1780</v>
      </c>
      <c r="R876" s="7">
        <v>37438</v>
      </c>
      <c r="S876" s="8">
        <f t="shared" si="104"/>
        <v>2002</v>
      </c>
      <c r="T876" s="8">
        <v>2002</v>
      </c>
      <c r="U876" s="8">
        <f t="shared" si="105"/>
        <v>20</v>
      </c>
      <c r="V876" s="7">
        <v>37438</v>
      </c>
      <c r="W876" t="s">
        <v>398</v>
      </c>
      <c r="X876" s="2">
        <v>0.371</v>
      </c>
      <c r="Y876" s="6">
        <f t="shared" si="110"/>
        <v>9.9036331117695747E-3</v>
      </c>
      <c r="AA876">
        <v>486604</v>
      </c>
      <c r="AB876">
        <v>28580</v>
      </c>
      <c r="AD876" t="s">
        <v>2</v>
      </c>
      <c r="AE876">
        <v>37</v>
      </c>
      <c r="AF876">
        <v>4</v>
      </c>
      <c r="AI876" t="s">
        <v>1779</v>
      </c>
      <c r="AJ876" t="s">
        <v>1778</v>
      </c>
      <c r="AK876" t="s">
        <v>1777</v>
      </c>
      <c r="AL876">
        <v>3</v>
      </c>
      <c r="AM876" s="5">
        <f t="shared" si="106"/>
        <v>0.15</v>
      </c>
      <c r="AN876" s="4">
        <f t="shared" si="111"/>
        <v>2.2718667171525936E-4</v>
      </c>
      <c r="AO876" s="3"/>
      <c r="AP876">
        <v>0</v>
      </c>
      <c r="AR876" t="s">
        <v>1</v>
      </c>
      <c r="AT876" s="2">
        <v>1.431</v>
      </c>
      <c r="AU876" s="1">
        <f t="shared" si="107"/>
        <v>0.70006991797532803</v>
      </c>
      <c r="AV876" s="1">
        <f t="shared" si="108"/>
        <v>0.50654098917424173</v>
      </c>
      <c r="AW876" s="1">
        <f t="shared" si="109"/>
        <v>0.31301206037315538</v>
      </c>
    </row>
    <row r="877" spans="1:49" x14ac:dyDescent="0.2">
      <c r="A877">
        <v>875</v>
      </c>
      <c r="B877" t="s">
        <v>1776</v>
      </c>
      <c r="C877" t="s">
        <v>1775</v>
      </c>
      <c r="F877" t="s">
        <v>1774</v>
      </c>
      <c r="G877" t="s">
        <v>5</v>
      </c>
      <c r="H877" t="s">
        <v>4</v>
      </c>
      <c r="I877" t="s">
        <v>1773</v>
      </c>
      <c r="J877" t="s">
        <v>1772</v>
      </c>
      <c r="K877" t="s">
        <v>1771</v>
      </c>
      <c r="L877" t="s">
        <v>1770</v>
      </c>
      <c r="M877" t="s">
        <v>3</v>
      </c>
      <c r="N877">
        <v>2</v>
      </c>
      <c r="O877" t="s">
        <v>1769</v>
      </c>
      <c r="P877" t="s">
        <v>1768</v>
      </c>
      <c r="Q877" t="s">
        <v>1767</v>
      </c>
      <c r="R877" s="7">
        <v>37438</v>
      </c>
      <c r="S877" s="8">
        <f t="shared" si="104"/>
        <v>2002</v>
      </c>
      <c r="T877" s="8">
        <v>2002</v>
      </c>
      <c r="U877" s="8">
        <f t="shared" si="105"/>
        <v>20</v>
      </c>
      <c r="V877" s="7">
        <v>37438</v>
      </c>
      <c r="W877" t="s">
        <v>411</v>
      </c>
      <c r="X877" s="2">
        <v>1.137</v>
      </c>
      <c r="Y877" s="6">
        <f t="shared" si="110"/>
        <v>3.0351565628253384E-2</v>
      </c>
      <c r="AA877">
        <v>189251</v>
      </c>
      <c r="AB877">
        <v>17336</v>
      </c>
      <c r="AD877" t="s">
        <v>2</v>
      </c>
      <c r="AE877">
        <v>38</v>
      </c>
      <c r="AF877">
        <v>3</v>
      </c>
      <c r="AH877" t="s">
        <v>1766</v>
      </c>
      <c r="AI877" t="s">
        <v>1765</v>
      </c>
      <c r="AK877" t="s">
        <v>1764</v>
      </c>
      <c r="AL877">
        <v>29</v>
      </c>
      <c r="AM877" s="5">
        <f t="shared" si="106"/>
        <v>1.45</v>
      </c>
      <c r="AN877" s="4">
        <f t="shared" si="111"/>
        <v>2.1961378265808406E-3</v>
      </c>
      <c r="AO877" s="3"/>
      <c r="AP877">
        <v>0</v>
      </c>
      <c r="AR877" t="s">
        <v>1</v>
      </c>
      <c r="AT877" s="2" t="s">
        <v>0</v>
      </c>
      <c r="AU877" s="1">
        <f t="shared" si="107"/>
        <v>2.190493728775162</v>
      </c>
      <c r="AV877" s="1">
        <f t="shared" si="108"/>
        <v>1.6273851727417112</v>
      </c>
      <c r="AW877" s="1">
        <f t="shared" si="109"/>
        <v>1.0642766167082605</v>
      </c>
    </row>
    <row r="878" spans="1:49" x14ac:dyDescent="0.2">
      <c r="A878">
        <v>876</v>
      </c>
      <c r="B878" t="s">
        <v>1763</v>
      </c>
      <c r="C878" t="s">
        <v>1762</v>
      </c>
      <c r="F878" t="s">
        <v>1761</v>
      </c>
      <c r="G878" t="s">
        <v>5</v>
      </c>
      <c r="H878" t="s">
        <v>4</v>
      </c>
      <c r="I878" t="s">
        <v>1760</v>
      </c>
      <c r="J878">
        <v>60009658</v>
      </c>
      <c r="K878" t="s">
        <v>1759</v>
      </c>
      <c r="L878" t="s">
        <v>1758</v>
      </c>
      <c r="M878" t="s">
        <v>41</v>
      </c>
      <c r="N878">
        <v>2</v>
      </c>
      <c r="O878" t="s">
        <v>1757</v>
      </c>
      <c r="P878" t="s">
        <v>1756</v>
      </c>
      <c r="Q878" t="s">
        <v>1755</v>
      </c>
      <c r="R878" s="7">
        <v>37438</v>
      </c>
      <c r="S878" s="8">
        <f t="shared" si="104"/>
        <v>2002</v>
      </c>
      <c r="T878" s="8">
        <v>2002</v>
      </c>
      <c r="U878" s="8">
        <f t="shared" si="105"/>
        <v>20</v>
      </c>
      <c r="V878" s="7">
        <v>37438</v>
      </c>
      <c r="W878" t="s">
        <v>411</v>
      </c>
      <c r="X878" s="2">
        <v>1.137</v>
      </c>
      <c r="Y878" s="6">
        <f t="shared" si="110"/>
        <v>3.0351565628253384E-2</v>
      </c>
      <c r="AA878">
        <v>189251</v>
      </c>
      <c r="AB878">
        <v>17336</v>
      </c>
      <c r="AD878" t="s">
        <v>2</v>
      </c>
      <c r="AE878">
        <v>38</v>
      </c>
      <c r="AF878">
        <v>3</v>
      </c>
      <c r="AH878" t="s">
        <v>1754</v>
      </c>
      <c r="AI878" t="s">
        <v>1753</v>
      </c>
      <c r="AK878" t="s">
        <v>1752</v>
      </c>
      <c r="AL878">
        <v>26</v>
      </c>
      <c r="AM878" s="5">
        <f t="shared" si="106"/>
        <v>1.3</v>
      </c>
      <c r="AN878" s="4">
        <f t="shared" si="111"/>
        <v>1.9689511548655813E-3</v>
      </c>
      <c r="AO878" s="3"/>
      <c r="AP878">
        <v>0</v>
      </c>
      <c r="AR878" t="s">
        <v>1</v>
      </c>
      <c r="AT878" s="2" t="s">
        <v>0</v>
      </c>
      <c r="AU878" s="1">
        <f t="shared" si="107"/>
        <v>2.1836781286237041</v>
      </c>
      <c r="AV878" s="1">
        <f t="shared" si="108"/>
        <v>1.6160258391559483</v>
      </c>
      <c r="AW878" s="1">
        <f t="shared" si="109"/>
        <v>1.0483735496881923</v>
      </c>
    </row>
    <row r="879" spans="1:49" x14ac:dyDescent="0.2">
      <c r="A879">
        <v>877</v>
      </c>
      <c r="B879" t="s">
        <v>1751</v>
      </c>
      <c r="F879" t="s">
        <v>1750</v>
      </c>
      <c r="G879" t="s">
        <v>5</v>
      </c>
      <c r="H879" t="s">
        <v>4</v>
      </c>
      <c r="I879" t="s">
        <v>1749</v>
      </c>
      <c r="N879">
        <v>1</v>
      </c>
      <c r="O879" t="s">
        <v>1748</v>
      </c>
      <c r="P879">
        <v>7103009516</v>
      </c>
      <c r="R879" s="7">
        <v>37438</v>
      </c>
      <c r="S879" s="8">
        <f t="shared" si="104"/>
        <v>2002</v>
      </c>
      <c r="T879" s="8">
        <v>2002</v>
      </c>
      <c r="U879" s="8">
        <f t="shared" si="105"/>
        <v>20</v>
      </c>
      <c r="V879" s="7">
        <v>37438</v>
      </c>
      <c r="W879" t="s">
        <v>1747</v>
      </c>
      <c r="X879" s="2" t="s">
        <v>0</v>
      </c>
      <c r="Y879" s="6" t="e">
        <f t="shared" si="110"/>
        <v>#VALUE!</v>
      </c>
      <c r="AA879" t="s">
        <v>1746</v>
      </c>
      <c r="AB879">
        <v>18614</v>
      </c>
      <c r="AD879" t="s">
        <v>2</v>
      </c>
      <c r="AE879">
        <v>43</v>
      </c>
      <c r="AF879">
        <v>3</v>
      </c>
      <c r="AH879" t="s">
        <v>647</v>
      </c>
      <c r="AI879" t="s">
        <v>1745</v>
      </c>
      <c r="AJ879" t="s">
        <v>1744</v>
      </c>
      <c r="AK879" t="s">
        <v>1743</v>
      </c>
      <c r="AL879">
        <v>0</v>
      </c>
      <c r="AM879" s="5">
        <f t="shared" si="106"/>
        <v>0</v>
      </c>
      <c r="AN879" s="4">
        <f t="shared" si="111"/>
        <v>0</v>
      </c>
      <c r="AO879" s="3"/>
      <c r="AP879">
        <v>0</v>
      </c>
      <c r="AR879" t="s">
        <v>1</v>
      </c>
      <c r="AT879" s="2" t="s">
        <v>0</v>
      </c>
      <c r="AU879" s="1" t="e">
        <f t="shared" si="107"/>
        <v>#VALUE!</v>
      </c>
      <c r="AV879" s="1" t="e">
        <f t="shared" si="108"/>
        <v>#VALUE!</v>
      </c>
      <c r="AW879" s="1" t="e">
        <f t="shared" si="109"/>
        <v>#VALUE!</v>
      </c>
    </row>
    <row r="880" spans="1:49" x14ac:dyDescent="0.2">
      <c r="A880">
        <v>878</v>
      </c>
      <c r="B880" t="s">
        <v>1742</v>
      </c>
      <c r="C880" t="s">
        <v>1741</v>
      </c>
      <c r="F880" t="s">
        <v>1740</v>
      </c>
      <c r="G880" t="s">
        <v>5</v>
      </c>
      <c r="H880" t="s">
        <v>4</v>
      </c>
      <c r="I880" t="s">
        <v>1739</v>
      </c>
      <c r="J880">
        <v>60029012</v>
      </c>
      <c r="K880" t="s">
        <v>1738</v>
      </c>
      <c r="L880" t="s">
        <v>1737</v>
      </c>
      <c r="M880" t="s">
        <v>26</v>
      </c>
      <c r="N880">
        <v>1</v>
      </c>
      <c r="O880" t="s">
        <v>1736</v>
      </c>
      <c r="P880">
        <v>7202853994</v>
      </c>
      <c r="Q880">
        <v>60029012</v>
      </c>
      <c r="R880" s="7">
        <v>37438</v>
      </c>
      <c r="S880" s="8">
        <f t="shared" si="104"/>
        <v>2002</v>
      </c>
      <c r="T880" s="8">
        <v>2002</v>
      </c>
      <c r="U880" s="8">
        <f t="shared" si="105"/>
        <v>20</v>
      </c>
      <c r="V880" s="7">
        <v>37438</v>
      </c>
      <c r="W880" t="s">
        <v>912</v>
      </c>
      <c r="X880" s="2">
        <v>0.32500000000000001</v>
      </c>
      <c r="Y880" s="6">
        <f t="shared" si="110"/>
        <v>8.6756893836256385E-3</v>
      </c>
      <c r="AA880">
        <v>10637710</v>
      </c>
      <c r="AB880">
        <v>12922</v>
      </c>
      <c r="AD880" t="s">
        <v>2</v>
      </c>
      <c r="AE880">
        <v>48</v>
      </c>
      <c r="AF880">
        <v>4</v>
      </c>
      <c r="AH880" t="s">
        <v>1735</v>
      </c>
      <c r="AI880" t="s">
        <v>1734</v>
      </c>
      <c r="AK880" t="s">
        <v>1733</v>
      </c>
      <c r="AL880">
        <v>0</v>
      </c>
      <c r="AM880" s="5">
        <f t="shared" si="106"/>
        <v>0</v>
      </c>
      <c r="AN880" s="4">
        <f t="shared" si="111"/>
        <v>0</v>
      </c>
      <c r="AO880" s="3"/>
      <c r="AP880">
        <v>0</v>
      </c>
      <c r="AR880" t="s">
        <v>1</v>
      </c>
      <c r="AT880" s="2">
        <v>0.85599999999999998</v>
      </c>
      <c r="AU880" s="1">
        <f t="shared" si="107"/>
        <v>0.60729825685379468</v>
      </c>
      <c r="AV880" s="1">
        <f t="shared" si="108"/>
        <v>0.43378446918128194</v>
      </c>
      <c r="AW880" s="1">
        <f t="shared" si="109"/>
        <v>0.26027068150876914</v>
      </c>
    </row>
    <row r="881" spans="1:49" x14ac:dyDescent="0.2">
      <c r="A881">
        <v>879</v>
      </c>
      <c r="B881" t="s">
        <v>1732</v>
      </c>
      <c r="C881" t="s">
        <v>1731</v>
      </c>
      <c r="F881" t="s">
        <v>1730</v>
      </c>
      <c r="G881" t="s">
        <v>5</v>
      </c>
      <c r="H881" t="s">
        <v>4</v>
      </c>
      <c r="I881" t="s">
        <v>1729</v>
      </c>
      <c r="J881">
        <v>60027509</v>
      </c>
      <c r="K881" t="s">
        <v>470</v>
      </c>
      <c r="L881" t="s">
        <v>99</v>
      </c>
      <c r="M881" t="s">
        <v>19</v>
      </c>
      <c r="N881">
        <v>2</v>
      </c>
      <c r="O881" t="s">
        <v>1728</v>
      </c>
      <c r="P881" t="s">
        <v>1727</v>
      </c>
      <c r="Q881" t="s">
        <v>640</v>
      </c>
      <c r="R881" s="7">
        <v>37438</v>
      </c>
      <c r="S881" s="8">
        <f t="shared" si="104"/>
        <v>2002</v>
      </c>
      <c r="T881" s="8">
        <v>2002</v>
      </c>
      <c r="U881" s="8">
        <f t="shared" si="105"/>
        <v>20</v>
      </c>
      <c r="V881" s="7">
        <v>37438</v>
      </c>
      <c r="W881" t="s">
        <v>316</v>
      </c>
      <c r="X881" s="2">
        <v>0.33800000000000002</v>
      </c>
      <c r="Y881" s="6">
        <f t="shared" si="110"/>
        <v>9.0227169589706634E-3</v>
      </c>
      <c r="AA881">
        <v>7372884</v>
      </c>
      <c r="AB881">
        <v>70506</v>
      </c>
      <c r="AD881" t="s">
        <v>2</v>
      </c>
      <c r="AE881">
        <v>20</v>
      </c>
      <c r="AF881">
        <v>4</v>
      </c>
      <c r="AH881" t="s">
        <v>1726</v>
      </c>
      <c r="AI881" t="s">
        <v>1725</v>
      </c>
      <c r="AK881" t="s">
        <v>1724</v>
      </c>
      <c r="AL881">
        <v>14</v>
      </c>
      <c r="AM881" s="5">
        <f t="shared" si="106"/>
        <v>0.7</v>
      </c>
      <c r="AN881" s="4">
        <f t="shared" si="111"/>
        <v>1.0602044680045437E-3</v>
      </c>
      <c r="AO881" s="3"/>
      <c r="AP881">
        <v>0</v>
      </c>
      <c r="AR881" t="s">
        <v>1</v>
      </c>
      <c r="AT881" s="2" t="s">
        <v>0</v>
      </c>
      <c r="AU881" s="1">
        <f t="shared" si="107"/>
        <v>0.66339632116808267</v>
      </c>
      <c r="AV881" s="1">
        <f t="shared" si="108"/>
        <v>0.50414607134876033</v>
      </c>
      <c r="AW881" s="1">
        <f t="shared" si="109"/>
        <v>0.34489582152943793</v>
      </c>
    </row>
    <row r="882" spans="1:49" x14ac:dyDescent="0.2">
      <c r="A882">
        <v>880</v>
      </c>
      <c r="B882" t="s">
        <v>1723</v>
      </c>
      <c r="C882" t="s">
        <v>1722</v>
      </c>
      <c r="F882" t="s">
        <v>1721</v>
      </c>
      <c r="G882" t="s">
        <v>5</v>
      </c>
      <c r="H882" t="s">
        <v>4</v>
      </c>
      <c r="I882" t="s">
        <v>1720</v>
      </c>
      <c r="J882" t="s">
        <v>1719</v>
      </c>
      <c r="K882" t="s">
        <v>1718</v>
      </c>
      <c r="L882" t="s">
        <v>1717</v>
      </c>
      <c r="M882" t="s">
        <v>1716</v>
      </c>
      <c r="N882">
        <v>5</v>
      </c>
      <c r="O882" t="s">
        <v>1715</v>
      </c>
      <c r="P882" t="s">
        <v>1714</v>
      </c>
      <c r="Q882" t="s">
        <v>1713</v>
      </c>
      <c r="R882" s="7">
        <v>37438</v>
      </c>
      <c r="S882" s="8">
        <f t="shared" si="104"/>
        <v>2002</v>
      </c>
      <c r="T882" s="8">
        <v>2002</v>
      </c>
      <c r="U882" s="8">
        <f t="shared" si="105"/>
        <v>20</v>
      </c>
      <c r="V882" s="7">
        <v>37438</v>
      </c>
      <c r="W882" t="s">
        <v>316</v>
      </c>
      <c r="X882" s="2">
        <v>0.33800000000000002</v>
      </c>
      <c r="Y882" s="6">
        <f t="shared" si="110"/>
        <v>9.0227169589706634E-3</v>
      </c>
      <c r="AA882">
        <v>7372884</v>
      </c>
      <c r="AB882">
        <v>70506</v>
      </c>
      <c r="AD882" t="s">
        <v>2</v>
      </c>
      <c r="AE882">
        <v>20</v>
      </c>
      <c r="AF882">
        <v>4</v>
      </c>
      <c r="AH882" t="s">
        <v>1712</v>
      </c>
      <c r="AI882" t="s">
        <v>1711</v>
      </c>
      <c r="AK882" t="s">
        <v>1710</v>
      </c>
      <c r="AL882">
        <v>5</v>
      </c>
      <c r="AM882" s="5">
        <f t="shared" si="106"/>
        <v>0.25</v>
      </c>
      <c r="AN882" s="4">
        <f t="shared" si="111"/>
        <v>3.786444528587656E-4</v>
      </c>
      <c r="AO882" s="3"/>
      <c r="AP882">
        <v>0</v>
      </c>
      <c r="AR882" t="s">
        <v>1</v>
      </c>
      <c r="AT882" s="2" t="s">
        <v>0</v>
      </c>
      <c r="AU882" s="1">
        <f t="shared" si="107"/>
        <v>0.64294952071370937</v>
      </c>
      <c r="AV882" s="1">
        <f t="shared" si="108"/>
        <v>0.47006807059147143</v>
      </c>
      <c r="AW882" s="1">
        <f t="shared" si="109"/>
        <v>0.2971866204692335</v>
      </c>
    </row>
    <row r="883" spans="1:49" x14ac:dyDescent="0.2">
      <c r="A883">
        <v>881</v>
      </c>
      <c r="B883" t="s">
        <v>1709</v>
      </c>
      <c r="C883" t="s">
        <v>1708</v>
      </c>
      <c r="D883" t="s">
        <v>1707</v>
      </c>
      <c r="E883">
        <v>12160991</v>
      </c>
      <c r="F883" t="s">
        <v>1706</v>
      </c>
      <c r="G883" t="s">
        <v>5</v>
      </c>
      <c r="H883" t="s">
        <v>4</v>
      </c>
      <c r="I883" t="s">
        <v>1705</v>
      </c>
      <c r="J883" t="s">
        <v>1704</v>
      </c>
      <c r="K883" t="s">
        <v>1703</v>
      </c>
      <c r="L883" t="s">
        <v>1702</v>
      </c>
      <c r="M883" t="s">
        <v>1701</v>
      </c>
      <c r="N883">
        <v>10</v>
      </c>
      <c r="O883" t="s">
        <v>1700</v>
      </c>
      <c r="P883" t="s">
        <v>1699</v>
      </c>
      <c r="Q883" t="s">
        <v>1698</v>
      </c>
      <c r="R883" s="7">
        <v>37438</v>
      </c>
      <c r="S883" s="8">
        <f t="shared" si="104"/>
        <v>2002</v>
      </c>
      <c r="T883" s="8">
        <v>2002</v>
      </c>
      <c r="U883" s="8">
        <f t="shared" si="105"/>
        <v>20</v>
      </c>
      <c r="V883" s="7">
        <v>37438</v>
      </c>
      <c r="W883" t="s">
        <v>893</v>
      </c>
      <c r="X883" s="2">
        <v>1.59</v>
      </c>
      <c r="Y883" s="6">
        <f t="shared" si="110"/>
        <v>4.2444141907583888E-2</v>
      </c>
      <c r="AA883">
        <v>52728</v>
      </c>
      <c r="AB883">
        <v>16791</v>
      </c>
      <c r="AD883" t="s">
        <v>2</v>
      </c>
      <c r="AE883">
        <v>1554</v>
      </c>
      <c r="AF883">
        <v>3</v>
      </c>
      <c r="AH883" t="s">
        <v>1697</v>
      </c>
      <c r="AI883" t="s">
        <v>1696</v>
      </c>
      <c r="AJ883" t="s">
        <v>1695</v>
      </c>
      <c r="AK883" t="s">
        <v>1694</v>
      </c>
      <c r="AL883">
        <v>52</v>
      </c>
      <c r="AM883" s="5">
        <f t="shared" si="106"/>
        <v>2.6</v>
      </c>
      <c r="AN883" s="4">
        <f t="shared" si="111"/>
        <v>3.9379023097311627E-3</v>
      </c>
      <c r="AO883" s="3"/>
      <c r="AP883">
        <v>1</v>
      </c>
      <c r="AQ883" t="s">
        <v>1693</v>
      </c>
      <c r="AR883" t="s">
        <v>1692</v>
      </c>
      <c r="AS883" t="s">
        <v>1691</v>
      </c>
      <c r="AT883" s="2" t="s">
        <v>0</v>
      </c>
      <c r="AU883" s="1">
        <f t="shared" si="107"/>
        <v>3.089227002822807</v>
      </c>
      <c r="AV883" s="1">
        <f t="shared" si="108"/>
        <v>2.3191022108657524</v>
      </c>
      <c r="AW883" s="1">
        <f t="shared" si="109"/>
        <v>1.548977418908698</v>
      </c>
    </row>
    <row r="884" spans="1:49" x14ac:dyDescent="0.2">
      <c r="A884">
        <v>882</v>
      </c>
      <c r="B884" t="s">
        <v>1690</v>
      </c>
      <c r="C884" t="s">
        <v>1689</v>
      </c>
      <c r="D884" t="s">
        <v>1688</v>
      </c>
      <c r="F884" t="s">
        <v>1687</v>
      </c>
      <c r="G884" t="s">
        <v>5</v>
      </c>
      <c r="H884" t="s">
        <v>4</v>
      </c>
      <c r="I884" t="s">
        <v>461</v>
      </c>
      <c r="J884" t="s">
        <v>456</v>
      </c>
      <c r="K884" t="s">
        <v>460</v>
      </c>
      <c r="L884" t="s">
        <v>459</v>
      </c>
      <c r="M884" t="s">
        <v>3</v>
      </c>
      <c r="N884">
        <v>2</v>
      </c>
      <c r="O884" t="s">
        <v>458</v>
      </c>
      <c r="P884" t="s">
        <v>457</v>
      </c>
      <c r="Q884" t="s">
        <v>456</v>
      </c>
      <c r="R884" s="7">
        <v>37438</v>
      </c>
      <c r="S884" s="8">
        <f t="shared" si="104"/>
        <v>2002</v>
      </c>
      <c r="T884" s="8">
        <v>2002</v>
      </c>
      <c r="U884" s="8">
        <f t="shared" si="105"/>
        <v>20</v>
      </c>
      <c r="V884" s="7">
        <v>37438</v>
      </c>
      <c r="W884" t="s">
        <v>870</v>
      </c>
      <c r="X884" s="2">
        <v>1.218</v>
      </c>
      <c r="Y884" s="6">
        <f t="shared" si="110"/>
        <v>3.2513814366941618E-2</v>
      </c>
      <c r="AA884">
        <v>189448</v>
      </c>
      <c r="AB884">
        <v>15107</v>
      </c>
      <c r="AD884" t="s">
        <v>2</v>
      </c>
      <c r="AE884">
        <v>48</v>
      </c>
      <c r="AF884">
        <v>7</v>
      </c>
      <c r="AH884" t="s">
        <v>1686</v>
      </c>
      <c r="AI884" t="s">
        <v>1685</v>
      </c>
      <c r="AJ884" t="s">
        <v>1684</v>
      </c>
      <c r="AK884" t="s">
        <v>1683</v>
      </c>
      <c r="AL884">
        <v>1023</v>
      </c>
      <c r="AM884" s="5">
        <f t="shared" si="106"/>
        <v>51.15</v>
      </c>
      <c r="AN884" s="4">
        <f t="shared" si="111"/>
        <v>7.7470655054903442E-2</v>
      </c>
      <c r="AO884" s="3"/>
      <c r="AP884">
        <v>0</v>
      </c>
      <c r="AR884" t="s">
        <v>1</v>
      </c>
      <c r="AT884" s="2" t="s">
        <v>0</v>
      </c>
      <c r="AU884" s="1">
        <f t="shared" si="107"/>
        <v>4.6000866573330166</v>
      </c>
      <c r="AV884" s="1">
        <f t="shared" si="108"/>
        <v>5.499223471092253</v>
      </c>
      <c r="AW884" s="1">
        <f t="shared" si="109"/>
        <v>6.3983602848514884</v>
      </c>
    </row>
    <row r="885" spans="1:49" x14ac:dyDescent="0.2">
      <c r="A885">
        <v>883</v>
      </c>
      <c r="B885" t="s">
        <v>1682</v>
      </c>
      <c r="C885" t="s">
        <v>1681</v>
      </c>
      <c r="D885">
        <v>1011092002801320</v>
      </c>
      <c r="F885" t="s">
        <v>1680</v>
      </c>
      <c r="G885" t="s">
        <v>5</v>
      </c>
      <c r="H885" t="s">
        <v>4</v>
      </c>
      <c r="I885" t="s">
        <v>704</v>
      </c>
      <c r="J885" t="s">
        <v>1059</v>
      </c>
      <c r="K885" t="s">
        <v>1058</v>
      </c>
      <c r="L885" t="s">
        <v>1057</v>
      </c>
      <c r="M885" t="s">
        <v>3</v>
      </c>
      <c r="N885">
        <v>2</v>
      </c>
      <c r="O885" t="s">
        <v>1679</v>
      </c>
      <c r="P885" t="s">
        <v>1678</v>
      </c>
      <c r="Q885" t="s">
        <v>1677</v>
      </c>
      <c r="R885" s="7">
        <v>37438</v>
      </c>
      <c r="S885" s="8">
        <f t="shared" si="104"/>
        <v>2002</v>
      </c>
      <c r="T885" s="8">
        <v>2002</v>
      </c>
      <c r="U885" s="8">
        <f t="shared" si="105"/>
        <v>20</v>
      </c>
      <c r="V885" s="7">
        <v>37438</v>
      </c>
      <c r="W885" t="s">
        <v>549</v>
      </c>
      <c r="X885" s="2">
        <v>0.92900000000000005</v>
      </c>
      <c r="Y885" s="6">
        <f t="shared" si="110"/>
        <v>2.4799124422732979E-2</v>
      </c>
      <c r="AA885">
        <v>10897798</v>
      </c>
      <c r="AB885">
        <v>18896</v>
      </c>
      <c r="AD885" t="s">
        <v>2</v>
      </c>
      <c r="AE885">
        <v>6</v>
      </c>
      <c r="AF885">
        <v>7</v>
      </c>
      <c r="AH885" t="s">
        <v>897</v>
      </c>
      <c r="AI885" t="s">
        <v>1676</v>
      </c>
      <c r="AJ885" t="s">
        <v>1675</v>
      </c>
      <c r="AK885" t="s">
        <v>1674</v>
      </c>
      <c r="AL885">
        <v>3</v>
      </c>
      <c r="AM885" s="5">
        <f t="shared" si="106"/>
        <v>0.15</v>
      </c>
      <c r="AN885" s="4">
        <f t="shared" si="111"/>
        <v>2.2718667171525936E-4</v>
      </c>
      <c r="AO885" s="3"/>
      <c r="AP885">
        <v>0</v>
      </c>
      <c r="AR885" t="s">
        <v>1</v>
      </c>
      <c r="AT885" s="2">
        <v>3.4359999999999999</v>
      </c>
      <c r="AU885" s="1">
        <f t="shared" si="107"/>
        <v>1.742754309742766</v>
      </c>
      <c r="AV885" s="1">
        <f t="shared" si="108"/>
        <v>1.251315554722412</v>
      </c>
      <c r="AW885" s="1">
        <f t="shared" si="109"/>
        <v>0.75987679970205746</v>
      </c>
    </row>
    <row r="886" spans="1:49" x14ac:dyDescent="0.2">
      <c r="A886">
        <v>884</v>
      </c>
      <c r="B886" t="s">
        <v>1673</v>
      </c>
      <c r="C886" t="s">
        <v>1672</v>
      </c>
      <c r="D886" t="s">
        <v>1671</v>
      </c>
      <c r="F886" t="s">
        <v>1670</v>
      </c>
      <c r="G886" t="s">
        <v>5</v>
      </c>
      <c r="H886" t="s">
        <v>4</v>
      </c>
      <c r="I886" t="s">
        <v>1669</v>
      </c>
      <c r="J886" t="s">
        <v>1668</v>
      </c>
      <c r="K886" t="s">
        <v>1667</v>
      </c>
      <c r="L886" t="s">
        <v>1666</v>
      </c>
      <c r="M886" t="s">
        <v>1665</v>
      </c>
      <c r="N886">
        <v>1</v>
      </c>
      <c r="O886" t="s">
        <v>1664</v>
      </c>
      <c r="P886">
        <v>7404245964</v>
      </c>
      <c r="Q886" t="s">
        <v>1663</v>
      </c>
      <c r="R886" s="7">
        <v>37438</v>
      </c>
      <c r="S886" s="8">
        <f t="shared" si="104"/>
        <v>2002</v>
      </c>
      <c r="T886" s="8">
        <v>2002</v>
      </c>
      <c r="U886" s="8">
        <f t="shared" si="105"/>
        <v>20</v>
      </c>
      <c r="V886" s="7">
        <v>37438</v>
      </c>
      <c r="W886" t="s">
        <v>870</v>
      </c>
      <c r="X886" s="2">
        <v>1.218</v>
      </c>
      <c r="Y886" s="6">
        <f t="shared" si="110"/>
        <v>3.2513814366941618E-2</v>
      </c>
      <c r="AA886">
        <v>189448</v>
      </c>
      <c r="AB886">
        <v>15107</v>
      </c>
      <c r="AD886" t="s">
        <v>2</v>
      </c>
      <c r="AE886">
        <v>48</v>
      </c>
      <c r="AF886">
        <v>7</v>
      </c>
      <c r="AH886" t="s">
        <v>1662</v>
      </c>
      <c r="AI886" t="s">
        <v>1661</v>
      </c>
      <c r="AJ886" t="s">
        <v>1660</v>
      </c>
      <c r="AK886" t="s">
        <v>1659</v>
      </c>
      <c r="AL886">
        <v>83</v>
      </c>
      <c r="AM886" s="5">
        <f t="shared" si="106"/>
        <v>4.1500000000000004</v>
      </c>
      <c r="AN886" s="4">
        <f t="shared" si="111"/>
        <v>6.2854979174555101E-3</v>
      </c>
      <c r="AO886" s="3"/>
      <c r="AP886">
        <v>0</v>
      </c>
      <c r="AR886" t="s">
        <v>1</v>
      </c>
      <c r="AT886" s="2" t="s">
        <v>0</v>
      </c>
      <c r="AU886" s="1">
        <f t="shared" si="107"/>
        <v>2.4645319432095785</v>
      </c>
      <c r="AV886" s="1">
        <f t="shared" si="108"/>
        <v>1.9399656142198562</v>
      </c>
      <c r="AW886" s="1">
        <f t="shared" si="109"/>
        <v>1.415399285230134</v>
      </c>
    </row>
    <row r="887" spans="1:49" x14ac:dyDescent="0.2">
      <c r="A887">
        <v>885</v>
      </c>
      <c r="B887" t="s">
        <v>1658</v>
      </c>
      <c r="C887" t="s">
        <v>1657</v>
      </c>
      <c r="D887" t="s">
        <v>1656</v>
      </c>
      <c r="F887" t="s">
        <v>1655</v>
      </c>
      <c r="G887" t="s">
        <v>5</v>
      </c>
      <c r="H887" t="s">
        <v>4</v>
      </c>
      <c r="I887" t="s">
        <v>446</v>
      </c>
      <c r="J887" t="s">
        <v>1654</v>
      </c>
      <c r="K887" t="s">
        <v>1653</v>
      </c>
      <c r="L887" t="s">
        <v>1652</v>
      </c>
      <c r="M887" t="s">
        <v>441</v>
      </c>
      <c r="N887">
        <v>3</v>
      </c>
      <c r="O887" t="s">
        <v>445</v>
      </c>
      <c r="P887" t="s">
        <v>444</v>
      </c>
      <c r="Q887" t="s">
        <v>1651</v>
      </c>
      <c r="R887" s="7">
        <v>37438</v>
      </c>
      <c r="S887" s="8">
        <f t="shared" si="104"/>
        <v>2002</v>
      </c>
      <c r="T887" s="8">
        <v>2002</v>
      </c>
      <c r="U887" s="8">
        <f t="shared" si="105"/>
        <v>20</v>
      </c>
      <c r="V887" s="7">
        <v>37438</v>
      </c>
      <c r="W887" t="s">
        <v>870</v>
      </c>
      <c r="X887" s="2">
        <v>1.218</v>
      </c>
      <c r="Y887" s="6">
        <f t="shared" si="110"/>
        <v>3.2513814366941618E-2</v>
      </c>
      <c r="AA887">
        <v>189448</v>
      </c>
      <c r="AB887">
        <v>15107</v>
      </c>
      <c r="AD887" t="s">
        <v>2</v>
      </c>
      <c r="AE887">
        <v>48</v>
      </c>
      <c r="AF887">
        <v>7</v>
      </c>
      <c r="AH887" t="s">
        <v>1650</v>
      </c>
      <c r="AI887" t="s">
        <v>1649</v>
      </c>
      <c r="AJ887" t="s">
        <v>1648</v>
      </c>
      <c r="AK887" t="s">
        <v>1647</v>
      </c>
      <c r="AL887">
        <v>132</v>
      </c>
      <c r="AM887" s="5">
        <f t="shared" si="106"/>
        <v>6.6</v>
      </c>
      <c r="AN887" s="4">
        <f t="shared" si="111"/>
        <v>9.9962135554714122E-3</v>
      </c>
      <c r="AO887" s="3"/>
      <c r="AP887">
        <v>0</v>
      </c>
      <c r="AR887" t="s">
        <v>1</v>
      </c>
      <c r="AT887" s="2" t="s">
        <v>0</v>
      </c>
      <c r="AU887" s="1">
        <f t="shared" si="107"/>
        <v>2.5758534123500558</v>
      </c>
      <c r="AV887" s="1">
        <f t="shared" si="108"/>
        <v>2.1255013961206513</v>
      </c>
      <c r="AW887" s="1">
        <f t="shared" si="109"/>
        <v>1.6751493798912473</v>
      </c>
    </row>
    <row r="888" spans="1:49" x14ac:dyDescent="0.2">
      <c r="A888">
        <v>886</v>
      </c>
      <c r="B888" t="s">
        <v>1646</v>
      </c>
      <c r="C888" t="s">
        <v>1645</v>
      </c>
      <c r="D888" t="s">
        <v>1644</v>
      </c>
      <c r="F888" t="s">
        <v>1643</v>
      </c>
      <c r="G888" t="s">
        <v>5</v>
      </c>
      <c r="H888" t="s">
        <v>4</v>
      </c>
      <c r="I888" t="s">
        <v>1642</v>
      </c>
      <c r="J888" t="s">
        <v>1641</v>
      </c>
      <c r="K888" t="s">
        <v>1640</v>
      </c>
      <c r="L888" t="s">
        <v>1639</v>
      </c>
      <c r="M888" t="s">
        <v>1638</v>
      </c>
      <c r="N888">
        <v>3</v>
      </c>
      <c r="O888" t="s">
        <v>1637</v>
      </c>
      <c r="P888" t="s">
        <v>1636</v>
      </c>
      <c r="Q888" t="s">
        <v>1635</v>
      </c>
      <c r="R888" s="7">
        <v>37438</v>
      </c>
      <c r="S888" s="8">
        <f t="shared" si="104"/>
        <v>2002</v>
      </c>
      <c r="T888" s="8">
        <v>2002</v>
      </c>
      <c r="U888" s="8">
        <f t="shared" si="105"/>
        <v>20</v>
      </c>
      <c r="V888" s="7">
        <v>37438</v>
      </c>
      <c r="W888" t="s">
        <v>322</v>
      </c>
      <c r="X888" s="2">
        <v>1.6379999999999999</v>
      </c>
      <c r="Y888" s="6">
        <f t="shared" si="110"/>
        <v>4.3725474493473214E-2</v>
      </c>
      <c r="AA888" t="s">
        <v>321</v>
      </c>
      <c r="AB888">
        <v>17391</v>
      </c>
      <c r="AD888" t="s">
        <v>2</v>
      </c>
      <c r="AE888">
        <v>50</v>
      </c>
      <c r="AF888">
        <v>7</v>
      </c>
      <c r="AH888" t="s">
        <v>1634</v>
      </c>
      <c r="AI888" t="s">
        <v>1633</v>
      </c>
      <c r="AJ888" t="s">
        <v>1632</v>
      </c>
      <c r="AK888" t="s">
        <v>1631</v>
      </c>
      <c r="AL888">
        <v>24</v>
      </c>
      <c r="AM888" s="5">
        <f t="shared" si="106"/>
        <v>1.2</v>
      </c>
      <c r="AN888" s="4">
        <f t="shared" si="111"/>
        <v>1.8174933737220749E-3</v>
      </c>
      <c r="AO888" s="3"/>
      <c r="AP888">
        <v>0</v>
      </c>
      <c r="AQ888" t="s">
        <v>716</v>
      </c>
      <c r="AR888" t="s">
        <v>1630</v>
      </c>
      <c r="AS888" t="s">
        <v>715</v>
      </c>
      <c r="AT888" s="2">
        <v>4.931</v>
      </c>
      <c r="AU888" s="1">
        <f t="shared" si="107"/>
        <v>3.115308015754787</v>
      </c>
      <c r="AV888" s="1">
        <f t="shared" si="108"/>
        <v>2.2771483933597647</v>
      </c>
      <c r="AW888" s="1">
        <f t="shared" si="109"/>
        <v>1.4389887709647415</v>
      </c>
    </row>
    <row r="889" spans="1:49" x14ac:dyDescent="0.2">
      <c r="A889">
        <v>887</v>
      </c>
      <c r="B889" t="s">
        <v>1629</v>
      </c>
      <c r="F889" t="s">
        <v>1628</v>
      </c>
      <c r="G889" t="s">
        <v>5</v>
      </c>
      <c r="H889" t="s">
        <v>4</v>
      </c>
      <c r="I889" t="s">
        <v>1627</v>
      </c>
      <c r="J889">
        <v>60025778</v>
      </c>
      <c r="K889" t="s">
        <v>116</v>
      </c>
      <c r="L889" t="s">
        <v>115</v>
      </c>
      <c r="M889" t="s">
        <v>7</v>
      </c>
      <c r="N889">
        <v>2</v>
      </c>
      <c r="O889" t="s">
        <v>1626</v>
      </c>
      <c r="P889" t="s">
        <v>1625</v>
      </c>
      <c r="Q889" t="s">
        <v>424</v>
      </c>
      <c r="R889" s="7">
        <v>37438</v>
      </c>
      <c r="S889" s="8">
        <f t="shared" si="104"/>
        <v>2002</v>
      </c>
      <c r="T889" s="8">
        <v>2002</v>
      </c>
      <c r="U889" s="8">
        <f t="shared" si="105"/>
        <v>20</v>
      </c>
      <c r="V889" s="7">
        <v>37438</v>
      </c>
      <c r="W889" t="s">
        <v>1572</v>
      </c>
      <c r="X889" s="2">
        <v>0.216</v>
      </c>
      <c r="Y889" s="6">
        <f t="shared" si="110"/>
        <v>5.765996636501962E-3</v>
      </c>
      <c r="AA889">
        <v>10544887</v>
      </c>
      <c r="AB889">
        <v>13200</v>
      </c>
      <c r="AD889" t="s">
        <v>2</v>
      </c>
      <c r="AE889">
        <v>17</v>
      </c>
      <c r="AF889">
        <v>2</v>
      </c>
      <c r="AH889" t="s">
        <v>1624</v>
      </c>
      <c r="AI889" t="s">
        <v>1623</v>
      </c>
      <c r="AJ889" t="s">
        <v>1622</v>
      </c>
      <c r="AK889" t="s">
        <v>1621</v>
      </c>
      <c r="AL889">
        <v>4</v>
      </c>
      <c r="AM889" s="5">
        <f t="shared" si="106"/>
        <v>0.2</v>
      </c>
      <c r="AN889" s="4">
        <f t="shared" si="111"/>
        <v>3.0291556228701253E-4</v>
      </c>
      <c r="AO889" s="3"/>
      <c r="AP889">
        <v>0</v>
      </c>
      <c r="AR889" t="s">
        <v>1</v>
      </c>
      <c r="AT889" s="2" t="s">
        <v>0</v>
      </c>
      <c r="AU889" s="1">
        <f t="shared" si="107"/>
        <v>0.4127072314237476</v>
      </c>
      <c r="AV889" s="1">
        <f t="shared" si="108"/>
        <v>0.30344560993944875</v>
      </c>
      <c r="AW889" s="1">
        <f t="shared" si="109"/>
        <v>0.19418398845514973</v>
      </c>
    </row>
    <row r="890" spans="1:49" x14ac:dyDescent="0.2">
      <c r="A890">
        <v>888</v>
      </c>
      <c r="B890" t="s">
        <v>1620</v>
      </c>
      <c r="F890" t="s">
        <v>1619</v>
      </c>
      <c r="G890" t="s">
        <v>5</v>
      </c>
      <c r="H890" t="s">
        <v>4</v>
      </c>
      <c r="I890" t="s">
        <v>887</v>
      </c>
      <c r="J890">
        <v>60010491</v>
      </c>
      <c r="K890" t="s">
        <v>240</v>
      </c>
      <c r="L890" t="s">
        <v>239</v>
      </c>
      <c r="M890" t="s">
        <v>7</v>
      </c>
      <c r="N890">
        <v>5</v>
      </c>
      <c r="O890" t="s">
        <v>1618</v>
      </c>
      <c r="P890" t="s">
        <v>1617</v>
      </c>
      <c r="Q890" t="s">
        <v>238</v>
      </c>
      <c r="R890" s="7">
        <v>37438</v>
      </c>
      <c r="S890" s="8">
        <f t="shared" si="104"/>
        <v>2002</v>
      </c>
      <c r="T890" s="8">
        <v>2002</v>
      </c>
      <c r="U890" s="8">
        <f t="shared" si="105"/>
        <v>20</v>
      </c>
      <c r="V890" s="7">
        <v>37438</v>
      </c>
      <c r="W890" t="s">
        <v>1572</v>
      </c>
      <c r="X890" s="2">
        <v>0.216</v>
      </c>
      <c r="Y890" s="6">
        <f t="shared" si="110"/>
        <v>5.765996636501962E-3</v>
      </c>
      <c r="AA890">
        <v>10544887</v>
      </c>
      <c r="AB890">
        <v>13200</v>
      </c>
      <c r="AD890" t="s">
        <v>2</v>
      </c>
      <c r="AE890">
        <v>17</v>
      </c>
      <c r="AF890">
        <v>2</v>
      </c>
      <c r="AH890" t="s">
        <v>1616</v>
      </c>
      <c r="AI890" t="s">
        <v>1615</v>
      </c>
      <c r="AJ890" t="s">
        <v>1614</v>
      </c>
      <c r="AK890" t="s">
        <v>1613</v>
      </c>
      <c r="AL890">
        <v>6</v>
      </c>
      <c r="AM890" s="5">
        <f t="shared" si="106"/>
        <v>0.3</v>
      </c>
      <c r="AN890" s="4">
        <f t="shared" si="111"/>
        <v>4.5437334343051872E-4</v>
      </c>
      <c r="AO890" s="3"/>
      <c r="AP890">
        <v>0</v>
      </c>
      <c r="AR890" t="s">
        <v>1</v>
      </c>
      <c r="AT890" s="2" t="s">
        <v>0</v>
      </c>
      <c r="AU890" s="1">
        <f t="shared" si="107"/>
        <v>0.41725096485805285</v>
      </c>
      <c r="AV890" s="1">
        <f t="shared" si="108"/>
        <v>0.31101849899662404</v>
      </c>
      <c r="AW890" s="1">
        <f t="shared" si="109"/>
        <v>0.20478603313519519</v>
      </c>
    </row>
    <row r="891" spans="1:49" x14ac:dyDescent="0.2">
      <c r="A891">
        <v>889</v>
      </c>
      <c r="B891" t="s">
        <v>1612</v>
      </c>
      <c r="C891" t="s">
        <v>1611</v>
      </c>
      <c r="D891">
        <v>1011092002801130</v>
      </c>
      <c r="F891" t="s">
        <v>1610</v>
      </c>
      <c r="G891" t="s">
        <v>5</v>
      </c>
      <c r="H891" t="s">
        <v>4</v>
      </c>
      <c r="I891" t="s">
        <v>1609</v>
      </c>
      <c r="J891" t="s">
        <v>1608</v>
      </c>
      <c r="K891" t="s">
        <v>1607</v>
      </c>
      <c r="L891" t="s">
        <v>1606</v>
      </c>
      <c r="M891" t="s">
        <v>1605</v>
      </c>
      <c r="N891">
        <v>2</v>
      </c>
      <c r="O891" t="s">
        <v>1604</v>
      </c>
      <c r="P891" t="s">
        <v>1603</v>
      </c>
      <c r="Q891" t="s">
        <v>1602</v>
      </c>
      <c r="R891" s="7">
        <v>37438</v>
      </c>
      <c r="S891" s="8">
        <f t="shared" si="104"/>
        <v>2002</v>
      </c>
      <c r="T891" s="8">
        <v>2002</v>
      </c>
      <c r="U891" s="8">
        <f t="shared" si="105"/>
        <v>20</v>
      </c>
      <c r="V891" s="7">
        <v>37438</v>
      </c>
      <c r="W891" t="s">
        <v>384</v>
      </c>
      <c r="X891" s="2">
        <v>0.94</v>
      </c>
      <c r="Y891" s="6">
        <f t="shared" si="110"/>
        <v>2.5092763140332611E-2</v>
      </c>
      <c r="AA891">
        <v>15311309</v>
      </c>
      <c r="AB891">
        <v>17295</v>
      </c>
      <c r="AD891" t="s">
        <v>2</v>
      </c>
      <c r="AE891">
        <v>12</v>
      </c>
      <c r="AF891">
        <v>7</v>
      </c>
      <c r="AH891" t="s">
        <v>1601</v>
      </c>
      <c r="AI891" t="s">
        <v>1600</v>
      </c>
      <c r="AJ891" t="s">
        <v>1599</v>
      </c>
      <c r="AK891" t="s">
        <v>1598</v>
      </c>
      <c r="AL891">
        <v>24</v>
      </c>
      <c r="AM891" s="5">
        <f t="shared" si="106"/>
        <v>1.2</v>
      </c>
      <c r="AN891" s="4">
        <f t="shared" si="111"/>
        <v>1.8174933737220749E-3</v>
      </c>
      <c r="AO891" s="3"/>
      <c r="AP891">
        <v>0</v>
      </c>
      <c r="AR891" t="s">
        <v>1</v>
      </c>
      <c r="AT891" s="2" t="s">
        <v>0</v>
      </c>
      <c r="AU891" s="1">
        <f t="shared" si="107"/>
        <v>1.8110182210349448</v>
      </c>
      <c r="AV891" s="1">
        <f t="shared" si="108"/>
        <v>1.3455128257027342</v>
      </c>
      <c r="AW891" s="1">
        <f t="shared" si="109"/>
        <v>0.88000743037052365</v>
      </c>
    </row>
    <row r="892" spans="1:49" x14ac:dyDescent="0.2">
      <c r="A892">
        <v>890</v>
      </c>
      <c r="B892" t="s">
        <v>1597</v>
      </c>
      <c r="C892" t="s">
        <v>1596</v>
      </c>
      <c r="D892" t="s">
        <v>1595</v>
      </c>
      <c r="F892" t="s">
        <v>1594</v>
      </c>
      <c r="G892" t="s">
        <v>5</v>
      </c>
      <c r="H892" t="s">
        <v>4</v>
      </c>
      <c r="I892" t="s">
        <v>1593</v>
      </c>
      <c r="J892" t="s">
        <v>1592</v>
      </c>
      <c r="K892" t="s">
        <v>1591</v>
      </c>
      <c r="L892" t="s">
        <v>1590</v>
      </c>
      <c r="M892" t="s">
        <v>850</v>
      </c>
      <c r="N892">
        <v>4</v>
      </c>
      <c r="O892" t="s">
        <v>1589</v>
      </c>
      <c r="P892" t="s">
        <v>1588</v>
      </c>
      <c r="Q892" t="s">
        <v>1587</v>
      </c>
      <c r="R892" s="7">
        <v>37438</v>
      </c>
      <c r="S892" s="8">
        <f t="shared" si="104"/>
        <v>2002</v>
      </c>
      <c r="T892" s="8">
        <v>2002</v>
      </c>
      <c r="U892" s="8">
        <f t="shared" si="105"/>
        <v>20</v>
      </c>
      <c r="V892" s="7">
        <v>37438</v>
      </c>
      <c r="W892" t="s">
        <v>322</v>
      </c>
      <c r="X892" s="2">
        <v>1.6379999999999999</v>
      </c>
      <c r="Y892" s="6">
        <f t="shared" si="110"/>
        <v>4.3725474493473214E-2</v>
      </c>
      <c r="AA892" t="s">
        <v>321</v>
      </c>
      <c r="AB892">
        <v>17391</v>
      </c>
      <c r="AD892" t="s">
        <v>2</v>
      </c>
      <c r="AE892">
        <v>50</v>
      </c>
      <c r="AF892">
        <v>7</v>
      </c>
      <c r="AH892" t="s">
        <v>1586</v>
      </c>
      <c r="AI892" t="s">
        <v>1585</v>
      </c>
      <c r="AJ892" t="s">
        <v>1584</v>
      </c>
      <c r="AK892" t="s">
        <v>1583</v>
      </c>
      <c r="AL892">
        <v>74</v>
      </c>
      <c r="AM892" s="5">
        <f t="shared" si="106"/>
        <v>3.7</v>
      </c>
      <c r="AN892" s="4">
        <f t="shared" si="111"/>
        <v>5.6039379023097311E-3</v>
      </c>
      <c r="AO892" s="3"/>
      <c r="AP892">
        <v>0</v>
      </c>
      <c r="AQ892" t="s">
        <v>290</v>
      </c>
      <c r="AR892" t="s">
        <v>933</v>
      </c>
      <c r="AS892" t="s">
        <v>289</v>
      </c>
      <c r="AT892" s="2">
        <v>4.931</v>
      </c>
      <c r="AU892" s="1">
        <f t="shared" si="107"/>
        <v>3.228901351612417</v>
      </c>
      <c r="AV892" s="1">
        <f t="shared" si="108"/>
        <v>2.4664706197891473</v>
      </c>
      <c r="AW892" s="1">
        <f t="shared" si="109"/>
        <v>1.7040398879658776</v>
      </c>
    </row>
    <row r="893" spans="1:49" x14ac:dyDescent="0.2">
      <c r="A893">
        <v>891</v>
      </c>
      <c r="B893" t="s">
        <v>1582</v>
      </c>
      <c r="F893" t="s">
        <v>1581</v>
      </c>
      <c r="G893" t="s">
        <v>5</v>
      </c>
      <c r="H893" t="s">
        <v>4</v>
      </c>
      <c r="I893" t="s">
        <v>1033</v>
      </c>
      <c r="J893">
        <v>60025733</v>
      </c>
      <c r="K893" t="s">
        <v>1032</v>
      </c>
      <c r="L893" t="s">
        <v>1031</v>
      </c>
      <c r="M893" t="s">
        <v>800</v>
      </c>
      <c r="N893">
        <v>1</v>
      </c>
      <c r="O893" t="s">
        <v>1030</v>
      </c>
      <c r="P893">
        <v>6603690390</v>
      </c>
      <c r="Q893">
        <v>60025733</v>
      </c>
      <c r="R893" s="7">
        <v>37438</v>
      </c>
      <c r="S893" s="8">
        <f t="shared" si="104"/>
        <v>2002</v>
      </c>
      <c r="T893" s="8">
        <v>2002</v>
      </c>
      <c r="U893" s="8">
        <f t="shared" si="105"/>
        <v>20</v>
      </c>
      <c r="V893" s="7">
        <v>37438</v>
      </c>
      <c r="W893" t="s">
        <v>1572</v>
      </c>
      <c r="X893" s="2">
        <v>0.216</v>
      </c>
      <c r="Y893" s="6">
        <f t="shared" si="110"/>
        <v>5.765996636501962E-3</v>
      </c>
      <c r="AA893">
        <v>10544887</v>
      </c>
      <c r="AB893">
        <v>13200</v>
      </c>
      <c r="AD893" t="s">
        <v>2</v>
      </c>
      <c r="AE893">
        <v>17</v>
      </c>
      <c r="AF893">
        <v>2</v>
      </c>
      <c r="AH893" t="s">
        <v>1580</v>
      </c>
      <c r="AI893" t="s">
        <v>1579</v>
      </c>
      <c r="AK893" t="s">
        <v>1578</v>
      </c>
      <c r="AL893">
        <v>1</v>
      </c>
      <c r="AM893" s="5">
        <f t="shared" si="106"/>
        <v>0.05</v>
      </c>
      <c r="AN893" s="4">
        <f t="shared" si="111"/>
        <v>7.5728890571753133E-5</v>
      </c>
      <c r="AO893" s="3"/>
      <c r="AP893">
        <v>0</v>
      </c>
      <c r="AR893" t="s">
        <v>1</v>
      </c>
      <c r="AT893" s="2" t="s">
        <v>0</v>
      </c>
      <c r="AU893" s="1">
        <f t="shared" si="107"/>
        <v>0.40589163127228989</v>
      </c>
      <c r="AV893" s="1">
        <f t="shared" si="108"/>
        <v>0.29208627635368578</v>
      </c>
      <c r="AW893" s="1">
        <f t="shared" si="109"/>
        <v>0.17828092143508156</v>
      </c>
    </row>
    <row r="894" spans="1:49" x14ac:dyDescent="0.2">
      <c r="A894">
        <v>892</v>
      </c>
      <c r="B894" t="s">
        <v>1577</v>
      </c>
      <c r="F894" t="s">
        <v>1576</v>
      </c>
      <c r="G894" t="s">
        <v>5</v>
      </c>
      <c r="H894" t="s">
        <v>4</v>
      </c>
      <c r="I894" t="s">
        <v>1575</v>
      </c>
      <c r="J894">
        <v>60033154</v>
      </c>
      <c r="K894" t="s">
        <v>1574</v>
      </c>
      <c r="L894" t="s">
        <v>983</v>
      </c>
      <c r="M894" t="s">
        <v>121</v>
      </c>
      <c r="N894">
        <v>1</v>
      </c>
      <c r="O894" t="s">
        <v>1573</v>
      </c>
      <c r="P894">
        <v>7006097946</v>
      </c>
      <c r="Q894">
        <v>60033154</v>
      </c>
      <c r="R894" s="7">
        <v>37438</v>
      </c>
      <c r="S894" s="8">
        <f t="shared" si="104"/>
        <v>2002</v>
      </c>
      <c r="T894" s="8">
        <v>2002</v>
      </c>
      <c r="U894" s="8">
        <f t="shared" si="105"/>
        <v>20</v>
      </c>
      <c r="V894" s="7">
        <v>37438</v>
      </c>
      <c r="W894" t="s">
        <v>1572</v>
      </c>
      <c r="X894" s="2">
        <v>0.216</v>
      </c>
      <c r="Y894" s="6">
        <f t="shared" si="110"/>
        <v>5.765996636501962E-3</v>
      </c>
      <c r="AA894">
        <v>10544887</v>
      </c>
      <c r="AB894">
        <v>13200</v>
      </c>
      <c r="AD894" t="s">
        <v>2</v>
      </c>
      <c r="AE894">
        <v>17</v>
      </c>
      <c r="AF894">
        <v>2</v>
      </c>
      <c r="AH894" t="s">
        <v>1571</v>
      </c>
      <c r="AI894" t="s">
        <v>1570</v>
      </c>
      <c r="AK894" t="s">
        <v>1569</v>
      </c>
      <c r="AL894">
        <v>11</v>
      </c>
      <c r="AM894" s="5">
        <f t="shared" si="106"/>
        <v>0.55000000000000004</v>
      </c>
      <c r="AN894" s="4">
        <f t="shared" si="111"/>
        <v>8.3301779628928443E-4</v>
      </c>
      <c r="AO894" s="3"/>
      <c r="AP894">
        <v>0</v>
      </c>
      <c r="AR894" t="s">
        <v>1</v>
      </c>
      <c r="AT894" s="2" t="s">
        <v>0</v>
      </c>
      <c r="AU894" s="1">
        <f t="shared" si="107"/>
        <v>0.42861029844381576</v>
      </c>
      <c r="AV894" s="1">
        <f t="shared" si="108"/>
        <v>0.32995072163956235</v>
      </c>
      <c r="AW894" s="1">
        <f t="shared" si="109"/>
        <v>0.23129114483530877</v>
      </c>
    </row>
    <row r="895" spans="1:49" x14ac:dyDescent="0.2">
      <c r="A895">
        <v>893</v>
      </c>
      <c r="B895" t="s">
        <v>1568</v>
      </c>
      <c r="C895" t="s">
        <v>1567</v>
      </c>
      <c r="D895">
        <v>1011092002800420</v>
      </c>
      <c r="F895" t="s">
        <v>1566</v>
      </c>
      <c r="G895" t="s">
        <v>5</v>
      </c>
      <c r="H895" t="s">
        <v>4</v>
      </c>
      <c r="I895" t="s">
        <v>972</v>
      </c>
      <c r="J895" t="s">
        <v>1565</v>
      </c>
      <c r="K895" t="s">
        <v>1564</v>
      </c>
      <c r="L895" t="s">
        <v>1563</v>
      </c>
      <c r="M895" t="s">
        <v>1146</v>
      </c>
      <c r="N895">
        <v>2</v>
      </c>
      <c r="O895" t="s">
        <v>1562</v>
      </c>
      <c r="P895" t="s">
        <v>974</v>
      </c>
      <c r="Q895" t="s">
        <v>1561</v>
      </c>
      <c r="R895" s="7">
        <v>37438</v>
      </c>
      <c r="S895" s="8">
        <f t="shared" si="104"/>
        <v>2002</v>
      </c>
      <c r="T895" s="8">
        <v>2002</v>
      </c>
      <c r="U895" s="8">
        <f t="shared" si="105"/>
        <v>20</v>
      </c>
      <c r="V895" s="7">
        <v>37438</v>
      </c>
      <c r="W895" t="s">
        <v>352</v>
      </c>
      <c r="X895" s="2">
        <v>1.3720000000000001</v>
      </c>
      <c r="Y895" s="6">
        <f t="shared" si="110"/>
        <v>3.662475641333654E-2</v>
      </c>
      <c r="AA895">
        <v>189480</v>
      </c>
      <c r="AB895">
        <v>17366</v>
      </c>
      <c r="AD895" t="s">
        <v>2</v>
      </c>
      <c r="AE895">
        <v>50</v>
      </c>
      <c r="AF895">
        <v>7</v>
      </c>
      <c r="AH895" t="s">
        <v>1560</v>
      </c>
      <c r="AI895" t="s">
        <v>1559</v>
      </c>
      <c r="AJ895" t="s">
        <v>1558</v>
      </c>
      <c r="AK895" t="s">
        <v>1557</v>
      </c>
      <c r="AL895">
        <v>45</v>
      </c>
      <c r="AM895" s="5">
        <f t="shared" si="106"/>
        <v>2.25</v>
      </c>
      <c r="AN895" s="4">
        <f t="shared" si="111"/>
        <v>3.4078000757288905E-3</v>
      </c>
      <c r="AO895" s="3"/>
      <c r="AP895">
        <v>0</v>
      </c>
      <c r="AR895" t="s">
        <v>1</v>
      </c>
      <c r="AT895" s="2" t="s">
        <v>0</v>
      </c>
      <c r="AU895" s="1">
        <f t="shared" si="107"/>
        <v>2.6659669512054243</v>
      </c>
      <c r="AV895" s="1">
        <f t="shared" si="108"/>
        <v>2.0016278244532715</v>
      </c>
      <c r="AW895" s="1">
        <f t="shared" si="109"/>
        <v>1.3372886977011187</v>
      </c>
    </row>
    <row r="896" spans="1:49" x14ac:dyDescent="0.2">
      <c r="A896">
        <v>894</v>
      </c>
      <c r="B896" t="s">
        <v>1556</v>
      </c>
      <c r="C896" t="s">
        <v>1555</v>
      </c>
      <c r="D896">
        <v>1011092002800420</v>
      </c>
      <c r="F896" t="s">
        <v>1554</v>
      </c>
      <c r="G896" t="s">
        <v>5</v>
      </c>
      <c r="H896" t="s">
        <v>4</v>
      </c>
      <c r="I896" t="s">
        <v>1151</v>
      </c>
      <c r="J896" t="s">
        <v>950</v>
      </c>
      <c r="K896" t="s">
        <v>949</v>
      </c>
      <c r="L896" t="s">
        <v>948</v>
      </c>
      <c r="M896" t="s">
        <v>358</v>
      </c>
      <c r="N896">
        <v>2</v>
      </c>
      <c r="O896" t="s">
        <v>1553</v>
      </c>
      <c r="P896" t="s">
        <v>1552</v>
      </c>
      <c r="Q896" t="s">
        <v>1551</v>
      </c>
      <c r="R896" s="7">
        <v>37438</v>
      </c>
      <c r="S896" s="8">
        <f t="shared" si="104"/>
        <v>2002</v>
      </c>
      <c r="T896" s="8">
        <v>2002</v>
      </c>
      <c r="U896" s="8">
        <f t="shared" si="105"/>
        <v>20</v>
      </c>
      <c r="V896" s="7">
        <v>37438</v>
      </c>
      <c r="W896" t="s">
        <v>352</v>
      </c>
      <c r="X896" s="2">
        <v>1.3720000000000001</v>
      </c>
      <c r="Y896" s="6">
        <f t="shared" si="110"/>
        <v>3.662475641333654E-2</v>
      </c>
      <c r="AA896">
        <v>189480</v>
      </c>
      <c r="AB896">
        <v>17366</v>
      </c>
      <c r="AD896" t="s">
        <v>2</v>
      </c>
      <c r="AE896">
        <v>50</v>
      </c>
      <c r="AF896">
        <v>7</v>
      </c>
      <c r="AH896" t="s">
        <v>1550</v>
      </c>
      <c r="AI896" t="s">
        <v>1549</v>
      </c>
      <c r="AJ896" t="s">
        <v>1548</v>
      </c>
      <c r="AK896" t="s">
        <v>1547</v>
      </c>
      <c r="AL896">
        <v>5</v>
      </c>
      <c r="AM896" s="5">
        <f t="shared" si="106"/>
        <v>0.25</v>
      </c>
      <c r="AN896" s="4">
        <f t="shared" si="111"/>
        <v>3.786444528587656E-4</v>
      </c>
      <c r="AO896" s="3"/>
      <c r="AP896">
        <v>0</v>
      </c>
      <c r="AQ896" t="s">
        <v>413</v>
      </c>
      <c r="AR896" t="s">
        <v>1546</v>
      </c>
      <c r="AS896" t="s">
        <v>412</v>
      </c>
      <c r="AT896" s="2" t="s">
        <v>0</v>
      </c>
      <c r="AU896" s="1">
        <f t="shared" si="107"/>
        <v>2.5750922825193205</v>
      </c>
      <c r="AV896" s="1">
        <f t="shared" si="108"/>
        <v>1.8501700433097654</v>
      </c>
      <c r="AW896" s="1">
        <f t="shared" si="109"/>
        <v>1.1252478041002099</v>
      </c>
    </row>
    <row r="897" spans="1:49" x14ac:dyDescent="0.2">
      <c r="A897">
        <v>895</v>
      </c>
      <c r="B897" t="s">
        <v>1545</v>
      </c>
      <c r="C897" t="s">
        <v>1544</v>
      </c>
      <c r="D897">
        <v>1011092002800440</v>
      </c>
      <c r="F897" t="s">
        <v>1543</v>
      </c>
      <c r="G897" t="s">
        <v>5</v>
      </c>
      <c r="H897" t="s">
        <v>4</v>
      </c>
      <c r="I897" t="s">
        <v>1542</v>
      </c>
      <c r="J897" t="s">
        <v>1541</v>
      </c>
      <c r="K897" t="s">
        <v>1540</v>
      </c>
      <c r="L897" t="s">
        <v>1539</v>
      </c>
      <c r="M897" t="s">
        <v>3</v>
      </c>
      <c r="N897">
        <v>1</v>
      </c>
      <c r="O897" t="s">
        <v>1538</v>
      </c>
      <c r="P897">
        <v>6603688573</v>
      </c>
      <c r="Q897" t="s">
        <v>1537</v>
      </c>
      <c r="R897" s="7">
        <v>37438</v>
      </c>
      <c r="S897" s="8">
        <f t="shared" si="104"/>
        <v>2002</v>
      </c>
      <c r="T897" s="8">
        <v>2002</v>
      </c>
      <c r="U897" s="8">
        <f t="shared" si="105"/>
        <v>20</v>
      </c>
      <c r="V897" s="7">
        <v>37438</v>
      </c>
      <c r="W897" t="s">
        <v>352</v>
      </c>
      <c r="X897" s="2">
        <v>1.3720000000000001</v>
      </c>
      <c r="Y897" s="6">
        <f t="shared" si="110"/>
        <v>3.662475641333654E-2</v>
      </c>
      <c r="AA897">
        <v>189480</v>
      </c>
      <c r="AB897">
        <v>17366</v>
      </c>
      <c r="AD897" t="s">
        <v>2</v>
      </c>
      <c r="AE897">
        <v>50</v>
      </c>
      <c r="AF897">
        <v>7</v>
      </c>
      <c r="AH897" t="s">
        <v>1536</v>
      </c>
      <c r="AI897" t="s">
        <v>1535</v>
      </c>
      <c r="AJ897" t="s">
        <v>1534</v>
      </c>
      <c r="AK897" t="s">
        <v>1533</v>
      </c>
      <c r="AL897">
        <v>6</v>
      </c>
      <c r="AM897" s="5">
        <f t="shared" si="106"/>
        <v>0.3</v>
      </c>
      <c r="AN897" s="4">
        <f t="shared" si="111"/>
        <v>4.5437334343051872E-4</v>
      </c>
      <c r="AO897" s="3"/>
      <c r="AP897">
        <v>0</v>
      </c>
      <c r="AR897" t="s">
        <v>1</v>
      </c>
      <c r="AT897" s="2" t="s">
        <v>0</v>
      </c>
      <c r="AU897" s="1">
        <f t="shared" si="107"/>
        <v>2.5773641492364732</v>
      </c>
      <c r="AV897" s="1">
        <f t="shared" si="108"/>
        <v>1.853956487838353</v>
      </c>
      <c r="AW897" s="1">
        <f t="shared" si="109"/>
        <v>1.1305488264402326</v>
      </c>
    </row>
    <row r="898" spans="1:49" x14ac:dyDescent="0.2">
      <c r="A898">
        <v>896</v>
      </c>
      <c r="B898" t="s">
        <v>1532</v>
      </c>
      <c r="C898" t="s">
        <v>1531</v>
      </c>
      <c r="D898">
        <v>1011092002800430</v>
      </c>
      <c r="F898" t="s">
        <v>1530</v>
      </c>
      <c r="G898" t="s">
        <v>5</v>
      </c>
      <c r="H898" t="s">
        <v>4</v>
      </c>
      <c r="I898" t="s">
        <v>1529</v>
      </c>
      <c r="J898" t="s">
        <v>356</v>
      </c>
      <c r="K898" t="s">
        <v>355</v>
      </c>
      <c r="L898" t="s">
        <v>354</v>
      </c>
      <c r="M898" t="s">
        <v>3</v>
      </c>
      <c r="N898">
        <v>2</v>
      </c>
      <c r="O898" t="s">
        <v>1528</v>
      </c>
      <c r="P898" t="s">
        <v>1527</v>
      </c>
      <c r="Q898" t="s">
        <v>353</v>
      </c>
      <c r="R898" s="7">
        <v>37438</v>
      </c>
      <c r="S898" s="8">
        <f t="shared" ref="S898:S924" si="112">YEAR(R898)</f>
        <v>2002</v>
      </c>
      <c r="T898" s="8">
        <v>2002</v>
      </c>
      <c r="U898" s="8">
        <f t="shared" ref="U898:U924" si="113">2022-T898</f>
        <v>20</v>
      </c>
      <c r="V898" s="7">
        <v>37438</v>
      </c>
      <c r="W898" t="s">
        <v>352</v>
      </c>
      <c r="X898" s="2">
        <v>1.3720000000000001</v>
      </c>
      <c r="Y898" s="6">
        <f t="shared" si="110"/>
        <v>3.662475641333654E-2</v>
      </c>
      <c r="AA898">
        <v>189480</v>
      </c>
      <c r="AB898">
        <v>17366</v>
      </c>
      <c r="AD898" t="s">
        <v>2</v>
      </c>
      <c r="AE898">
        <v>50</v>
      </c>
      <c r="AF898">
        <v>7</v>
      </c>
      <c r="AH898" t="s">
        <v>1526</v>
      </c>
      <c r="AI898" t="s">
        <v>1525</v>
      </c>
      <c r="AJ898" t="s">
        <v>1524</v>
      </c>
      <c r="AK898" t="s">
        <v>1523</v>
      </c>
      <c r="AL898">
        <v>293</v>
      </c>
      <c r="AM898" s="5">
        <f t="shared" ref="AM898:AM924" si="114">AL898/U898</f>
        <v>14.65</v>
      </c>
      <c r="AN898" s="4">
        <f t="shared" si="111"/>
        <v>2.2188564937523667E-2</v>
      </c>
      <c r="AO898" s="3"/>
      <c r="AP898">
        <v>0</v>
      </c>
      <c r="AR898" t="s">
        <v>1</v>
      </c>
      <c r="AT898" s="2" t="s">
        <v>0</v>
      </c>
      <c r="AU898" s="1">
        <f t="shared" ref="AU898:AU924" si="115">(Y898*0.7+AN898*0.3)*100</f>
        <v>3.2293898970592676</v>
      </c>
      <c r="AV898" s="1">
        <f t="shared" ref="AV898:AV924" si="116">(Y898*0.5+AN898*0.5)*100</f>
        <v>2.9406660675430101</v>
      </c>
      <c r="AW898" s="1">
        <f t="shared" ref="AW898:AW924" si="117">(Y898*0.3+AN898*0.7)*100</f>
        <v>2.6519422380267526</v>
      </c>
    </row>
    <row r="899" spans="1:49" x14ac:dyDescent="0.2">
      <c r="A899">
        <v>897</v>
      </c>
      <c r="B899" t="s">
        <v>1522</v>
      </c>
      <c r="C899" t="s">
        <v>1521</v>
      </c>
      <c r="D899" t="s">
        <v>1520</v>
      </c>
      <c r="F899" t="s">
        <v>1519</v>
      </c>
      <c r="G899" t="s">
        <v>5</v>
      </c>
      <c r="H899" t="s">
        <v>4</v>
      </c>
      <c r="I899" t="s">
        <v>1518</v>
      </c>
      <c r="J899" t="s">
        <v>1517</v>
      </c>
      <c r="K899" t="s">
        <v>1516</v>
      </c>
      <c r="L899" t="s">
        <v>1515</v>
      </c>
      <c r="M899" t="s">
        <v>184</v>
      </c>
      <c r="N899">
        <v>2</v>
      </c>
      <c r="O899" t="s">
        <v>1514</v>
      </c>
      <c r="P899" t="s">
        <v>1513</v>
      </c>
      <c r="Q899" t="s">
        <v>1512</v>
      </c>
      <c r="R899" s="7">
        <v>37438</v>
      </c>
      <c r="S899" s="8">
        <f t="shared" si="112"/>
        <v>2002</v>
      </c>
      <c r="T899" s="8">
        <v>2002</v>
      </c>
      <c r="U899" s="8">
        <f t="shared" si="113"/>
        <v>20</v>
      </c>
      <c r="V899" s="7">
        <v>37438</v>
      </c>
      <c r="W899" t="s">
        <v>1511</v>
      </c>
      <c r="X899" s="2">
        <v>0.48499999999999999</v>
      </c>
      <c r="Y899" s="6">
        <f t="shared" ref="Y899:Y924" si="118">(X899-$Z$3)/($Z$2-$Z$3)</f>
        <v>1.294679800325672E-2</v>
      </c>
      <c r="AA899">
        <v>9214526</v>
      </c>
      <c r="AB899">
        <v>29118</v>
      </c>
      <c r="AD899" t="s">
        <v>2</v>
      </c>
      <c r="AE899">
        <v>320</v>
      </c>
      <c r="AF899" s="9">
        <v>44287</v>
      </c>
      <c r="AH899" t="s">
        <v>1510</v>
      </c>
      <c r="AI899" t="s">
        <v>1509</v>
      </c>
      <c r="AJ899" t="s">
        <v>1508</v>
      </c>
      <c r="AK899" t="s">
        <v>1507</v>
      </c>
      <c r="AL899">
        <v>10</v>
      </c>
      <c r="AM899" s="5">
        <f t="shared" si="114"/>
        <v>0.5</v>
      </c>
      <c r="AN899" s="4">
        <f t="shared" ref="AN899:AN924" si="119">(AM899-$AO$3)/($AO$2-$AO$3)</f>
        <v>7.572889057175312E-4</v>
      </c>
      <c r="AO899" s="3"/>
      <c r="AP899">
        <v>0</v>
      </c>
      <c r="AR899" t="s">
        <v>1</v>
      </c>
      <c r="AT899" s="2" t="s">
        <v>0</v>
      </c>
      <c r="AU899" s="1">
        <f t="shared" si="115"/>
        <v>0.92899452739949628</v>
      </c>
      <c r="AV899" s="1">
        <f t="shared" si="116"/>
        <v>0.68520434544871256</v>
      </c>
      <c r="AW899" s="1">
        <f t="shared" si="117"/>
        <v>0.44141416349792878</v>
      </c>
    </row>
    <row r="900" spans="1:49" x14ac:dyDescent="0.2">
      <c r="A900">
        <v>898</v>
      </c>
      <c r="B900" t="s">
        <v>1506</v>
      </c>
      <c r="C900" t="s">
        <v>1505</v>
      </c>
      <c r="D900" t="s">
        <v>1504</v>
      </c>
      <c r="F900" t="s">
        <v>1503</v>
      </c>
      <c r="G900" t="s">
        <v>5</v>
      </c>
      <c r="H900" t="s">
        <v>4</v>
      </c>
      <c r="I900" t="s">
        <v>407</v>
      </c>
      <c r="J900">
        <v>60028333</v>
      </c>
      <c r="K900" t="s">
        <v>310</v>
      </c>
      <c r="L900" t="s">
        <v>309</v>
      </c>
      <c r="M900" t="s">
        <v>308</v>
      </c>
      <c r="N900">
        <v>1</v>
      </c>
      <c r="O900" t="s">
        <v>406</v>
      </c>
      <c r="P900">
        <v>7501393707</v>
      </c>
      <c r="Q900">
        <v>60028333</v>
      </c>
      <c r="R900" s="7">
        <v>37438</v>
      </c>
      <c r="S900" s="8">
        <f t="shared" si="112"/>
        <v>2002</v>
      </c>
      <c r="T900" s="8">
        <v>2002</v>
      </c>
      <c r="U900" s="8">
        <f t="shared" si="113"/>
        <v>20</v>
      </c>
      <c r="V900" s="7">
        <v>37438</v>
      </c>
      <c r="W900" t="s">
        <v>401</v>
      </c>
      <c r="X900" s="2">
        <v>1.365</v>
      </c>
      <c r="Y900" s="6">
        <f t="shared" si="118"/>
        <v>3.6437895411227675E-2</v>
      </c>
      <c r="AA900">
        <v>189545</v>
      </c>
      <c r="AB900">
        <v>17393</v>
      </c>
      <c r="AD900" t="s">
        <v>2</v>
      </c>
      <c r="AE900">
        <v>51</v>
      </c>
      <c r="AF900">
        <v>4</v>
      </c>
      <c r="AH900" t="s">
        <v>1502</v>
      </c>
      <c r="AI900" t="s">
        <v>1501</v>
      </c>
      <c r="AJ900" t="s">
        <v>1500</v>
      </c>
      <c r="AK900" t="s">
        <v>1499</v>
      </c>
      <c r="AL900">
        <v>15</v>
      </c>
      <c r="AM900" s="5">
        <f t="shared" si="114"/>
        <v>0.75</v>
      </c>
      <c r="AN900" s="4">
        <f t="shared" si="119"/>
        <v>1.1359333585762969E-3</v>
      </c>
      <c r="AO900" s="3"/>
      <c r="AP900">
        <v>0</v>
      </c>
      <c r="AR900" t="s">
        <v>1</v>
      </c>
      <c r="AT900" s="2" t="s">
        <v>0</v>
      </c>
      <c r="AU900" s="1">
        <f t="shared" si="115"/>
        <v>2.5847306795432257</v>
      </c>
      <c r="AV900" s="1">
        <f t="shared" si="116"/>
        <v>1.8786914384901987</v>
      </c>
      <c r="AW900" s="1">
        <f t="shared" si="117"/>
        <v>1.1726521974371711</v>
      </c>
    </row>
    <row r="901" spans="1:49" x14ac:dyDescent="0.2">
      <c r="A901">
        <v>899</v>
      </c>
      <c r="B901" t="s">
        <v>1498</v>
      </c>
      <c r="C901" t="s">
        <v>1497</v>
      </c>
      <c r="D901" t="s">
        <v>1496</v>
      </c>
      <c r="F901" t="s">
        <v>1495</v>
      </c>
      <c r="G901" t="s">
        <v>5</v>
      </c>
      <c r="H901" t="s">
        <v>4</v>
      </c>
      <c r="I901" t="s">
        <v>407</v>
      </c>
      <c r="J901" t="s">
        <v>1494</v>
      </c>
      <c r="K901" t="s">
        <v>1493</v>
      </c>
      <c r="L901" t="s">
        <v>1492</v>
      </c>
      <c r="M901" t="s">
        <v>1491</v>
      </c>
      <c r="N901">
        <v>3</v>
      </c>
      <c r="O901" t="s">
        <v>1490</v>
      </c>
      <c r="P901" t="s">
        <v>1489</v>
      </c>
      <c r="Q901" t="s">
        <v>1488</v>
      </c>
      <c r="R901" s="7">
        <v>37438</v>
      </c>
      <c r="S901" s="8">
        <f t="shared" si="112"/>
        <v>2002</v>
      </c>
      <c r="T901" s="8">
        <v>2002</v>
      </c>
      <c r="U901" s="8">
        <f t="shared" si="113"/>
        <v>20</v>
      </c>
      <c r="V901" s="7">
        <v>37438</v>
      </c>
      <c r="W901" t="s">
        <v>401</v>
      </c>
      <c r="X901" s="2">
        <v>1.365</v>
      </c>
      <c r="Y901" s="6">
        <f t="shared" si="118"/>
        <v>3.6437895411227675E-2</v>
      </c>
      <c r="AA901">
        <v>189545</v>
      </c>
      <c r="AB901">
        <v>17393</v>
      </c>
      <c r="AD901" t="s">
        <v>2</v>
      </c>
      <c r="AE901">
        <v>51</v>
      </c>
      <c r="AF901">
        <v>4</v>
      </c>
      <c r="AH901" t="s">
        <v>1487</v>
      </c>
      <c r="AI901" t="s">
        <v>1486</v>
      </c>
      <c r="AJ901" t="s">
        <v>1485</v>
      </c>
      <c r="AK901" t="s">
        <v>1484</v>
      </c>
      <c r="AL901">
        <v>8</v>
      </c>
      <c r="AM901" s="5">
        <f t="shared" si="114"/>
        <v>0.4</v>
      </c>
      <c r="AN901" s="4">
        <f t="shared" si="119"/>
        <v>6.0583112457402507E-4</v>
      </c>
      <c r="AO901" s="3"/>
      <c r="AP901">
        <v>0</v>
      </c>
      <c r="AR901" t="s">
        <v>1</v>
      </c>
      <c r="AT901" s="2" t="s">
        <v>0</v>
      </c>
      <c r="AU901" s="1">
        <f t="shared" si="115"/>
        <v>2.5688276125231577</v>
      </c>
      <c r="AV901" s="1">
        <f t="shared" si="116"/>
        <v>1.8521863267900851</v>
      </c>
      <c r="AW901" s="1">
        <f t="shared" si="117"/>
        <v>1.1355450410570118</v>
      </c>
    </row>
    <row r="902" spans="1:49" x14ac:dyDescent="0.2">
      <c r="A902">
        <v>900</v>
      </c>
      <c r="B902" t="s">
        <v>1483</v>
      </c>
      <c r="C902" t="s">
        <v>1482</v>
      </c>
      <c r="D902" t="s">
        <v>1481</v>
      </c>
      <c r="F902" t="s">
        <v>1480</v>
      </c>
      <c r="G902" t="s">
        <v>5</v>
      </c>
      <c r="H902" t="s">
        <v>4</v>
      </c>
      <c r="I902" t="s">
        <v>407</v>
      </c>
      <c r="J902">
        <v>60028333</v>
      </c>
      <c r="K902" t="s">
        <v>310</v>
      </c>
      <c r="L902" t="s">
        <v>309</v>
      </c>
      <c r="M902" t="s">
        <v>308</v>
      </c>
      <c r="N902">
        <v>1</v>
      </c>
      <c r="O902" t="s">
        <v>406</v>
      </c>
      <c r="P902">
        <v>7501393707</v>
      </c>
      <c r="Q902">
        <v>60028333</v>
      </c>
      <c r="R902" s="7">
        <v>37438</v>
      </c>
      <c r="S902" s="8">
        <f t="shared" si="112"/>
        <v>2002</v>
      </c>
      <c r="T902" s="8">
        <v>2002</v>
      </c>
      <c r="U902" s="8">
        <f t="shared" si="113"/>
        <v>20</v>
      </c>
      <c r="V902" s="7">
        <v>37438</v>
      </c>
      <c r="W902" t="s">
        <v>401</v>
      </c>
      <c r="X902" s="2">
        <v>1.365</v>
      </c>
      <c r="Y902" s="6">
        <f t="shared" si="118"/>
        <v>3.6437895411227675E-2</v>
      </c>
      <c r="AA902">
        <v>189545</v>
      </c>
      <c r="AB902">
        <v>17393</v>
      </c>
      <c r="AD902" t="s">
        <v>2</v>
      </c>
      <c r="AE902">
        <v>51</v>
      </c>
      <c r="AF902">
        <v>4</v>
      </c>
      <c r="AH902" t="s">
        <v>1479</v>
      </c>
      <c r="AI902" t="s">
        <v>1478</v>
      </c>
      <c r="AJ902" t="s">
        <v>1477</v>
      </c>
      <c r="AK902" t="s">
        <v>1476</v>
      </c>
      <c r="AL902">
        <v>6</v>
      </c>
      <c r="AM902" s="5">
        <f t="shared" si="114"/>
        <v>0.3</v>
      </c>
      <c r="AN902" s="4">
        <f t="shared" si="119"/>
        <v>4.5437334343051872E-4</v>
      </c>
      <c r="AO902" s="3"/>
      <c r="AP902">
        <v>0</v>
      </c>
      <c r="AR902" t="s">
        <v>1</v>
      </c>
      <c r="AT902" s="2" t="s">
        <v>0</v>
      </c>
      <c r="AU902" s="1">
        <f t="shared" si="115"/>
        <v>2.5642838790888525</v>
      </c>
      <c r="AV902" s="1">
        <f t="shared" si="116"/>
        <v>1.8446134377329098</v>
      </c>
      <c r="AW902" s="1">
        <f t="shared" si="117"/>
        <v>1.1249429963769664</v>
      </c>
    </row>
    <row r="903" spans="1:49" x14ac:dyDescent="0.2">
      <c r="A903">
        <v>901</v>
      </c>
      <c r="B903" t="s">
        <v>1475</v>
      </c>
      <c r="C903" t="s">
        <v>1474</v>
      </c>
      <c r="D903" t="s">
        <v>1473</v>
      </c>
      <c r="F903" t="s">
        <v>1472</v>
      </c>
      <c r="G903" t="s">
        <v>5</v>
      </c>
      <c r="H903" t="s">
        <v>4</v>
      </c>
      <c r="I903" t="s">
        <v>407</v>
      </c>
      <c r="J903">
        <v>60028333</v>
      </c>
      <c r="K903" t="s">
        <v>310</v>
      </c>
      <c r="L903" t="s">
        <v>309</v>
      </c>
      <c r="M903" t="s">
        <v>308</v>
      </c>
      <c r="N903">
        <v>1</v>
      </c>
      <c r="O903" t="s">
        <v>406</v>
      </c>
      <c r="P903">
        <v>7501393707</v>
      </c>
      <c r="Q903">
        <v>60028333</v>
      </c>
      <c r="R903" s="7">
        <v>37438</v>
      </c>
      <c r="S903" s="8">
        <f t="shared" si="112"/>
        <v>2002</v>
      </c>
      <c r="T903" s="8">
        <v>2002</v>
      </c>
      <c r="U903" s="8">
        <f t="shared" si="113"/>
        <v>20</v>
      </c>
      <c r="V903" s="7">
        <v>37438</v>
      </c>
      <c r="W903" t="s">
        <v>401</v>
      </c>
      <c r="X903" s="2">
        <v>1.365</v>
      </c>
      <c r="Y903" s="6">
        <f t="shared" si="118"/>
        <v>3.6437895411227675E-2</v>
      </c>
      <c r="AA903">
        <v>189545</v>
      </c>
      <c r="AB903">
        <v>17393</v>
      </c>
      <c r="AD903" t="s">
        <v>2</v>
      </c>
      <c r="AE903">
        <v>51</v>
      </c>
      <c r="AF903">
        <v>4</v>
      </c>
      <c r="AH903" t="s">
        <v>1471</v>
      </c>
      <c r="AI903" t="s">
        <v>1470</v>
      </c>
      <c r="AJ903" t="s">
        <v>1469</v>
      </c>
      <c r="AK903" t="s">
        <v>1468</v>
      </c>
      <c r="AL903">
        <v>15</v>
      </c>
      <c r="AM903" s="5">
        <f t="shared" si="114"/>
        <v>0.75</v>
      </c>
      <c r="AN903" s="4">
        <f t="shared" si="119"/>
        <v>1.1359333585762969E-3</v>
      </c>
      <c r="AO903" s="3"/>
      <c r="AP903">
        <v>0</v>
      </c>
      <c r="AR903" t="s">
        <v>1</v>
      </c>
      <c r="AT903" s="2" t="s">
        <v>0</v>
      </c>
      <c r="AU903" s="1">
        <f t="shared" si="115"/>
        <v>2.5847306795432257</v>
      </c>
      <c r="AV903" s="1">
        <f t="shared" si="116"/>
        <v>1.8786914384901987</v>
      </c>
      <c r="AW903" s="1">
        <f t="shared" si="117"/>
        <v>1.1726521974371711</v>
      </c>
    </row>
    <row r="904" spans="1:49" x14ac:dyDescent="0.2">
      <c r="A904">
        <v>902</v>
      </c>
      <c r="B904" t="s">
        <v>1467</v>
      </c>
      <c r="C904" t="s">
        <v>1466</v>
      </c>
      <c r="D904" t="s">
        <v>1465</v>
      </c>
      <c r="F904" t="s">
        <v>1464</v>
      </c>
      <c r="G904" t="s">
        <v>5</v>
      </c>
      <c r="H904" t="s">
        <v>4</v>
      </c>
      <c r="I904" t="s">
        <v>1463</v>
      </c>
      <c r="J904" t="s">
        <v>1462</v>
      </c>
      <c r="K904" t="s">
        <v>1461</v>
      </c>
      <c r="L904" t="s">
        <v>366</v>
      </c>
      <c r="M904" t="s">
        <v>92</v>
      </c>
      <c r="N904">
        <v>2</v>
      </c>
      <c r="O904" t="s">
        <v>1460</v>
      </c>
      <c r="P904" t="s">
        <v>1459</v>
      </c>
      <c r="Q904" t="s">
        <v>1458</v>
      </c>
      <c r="R904" s="7">
        <v>37438</v>
      </c>
      <c r="S904" s="8">
        <f t="shared" si="112"/>
        <v>2002</v>
      </c>
      <c r="T904" s="8">
        <v>2002</v>
      </c>
      <c r="U904" s="8">
        <f t="shared" si="113"/>
        <v>20</v>
      </c>
      <c r="V904" s="7">
        <v>37438</v>
      </c>
      <c r="W904" t="s">
        <v>401</v>
      </c>
      <c r="X904" s="2">
        <v>1.365</v>
      </c>
      <c r="Y904" s="6">
        <f t="shared" si="118"/>
        <v>3.6437895411227675E-2</v>
      </c>
      <c r="AA904">
        <v>189545</v>
      </c>
      <c r="AB904">
        <v>17393</v>
      </c>
      <c r="AD904" t="s">
        <v>2</v>
      </c>
      <c r="AE904">
        <v>51</v>
      </c>
      <c r="AF904">
        <v>4</v>
      </c>
      <c r="AH904" t="s">
        <v>1457</v>
      </c>
      <c r="AI904" t="s">
        <v>1456</v>
      </c>
      <c r="AJ904" t="s">
        <v>1455</v>
      </c>
      <c r="AK904" t="s">
        <v>1454</v>
      </c>
      <c r="AL904">
        <v>12</v>
      </c>
      <c r="AM904" s="5">
        <f t="shared" si="114"/>
        <v>0.6</v>
      </c>
      <c r="AN904" s="4">
        <f t="shared" si="119"/>
        <v>9.0874668686103744E-4</v>
      </c>
      <c r="AO904" s="3"/>
      <c r="AP904">
        <v>0</v>
      </c>
      <c r="AR904" t="s">
        <v>1</v>
      </c>
      <c r="AT904" s="2" t="s">
        <v>0</v>
      </c>
      <c r="AU904" s="1">
        <f t="shared" si="115"/>
        <v>2.5779150793917682</v>
      </c>
      <c r="AV904" s="1">
        <f t="shared" si="116"/>
        <v>1.8673321049044356</v>
      </c>
      <c r="AW904" s="1">
        <f t="shared" si="117"/>
        <v>1.1567491304171027</v>
      </c>
    </row>
    <row r="905" spans="1:49" x14ac:dyDescent="0.2">
      <c r="A905">
        <v>903</v>
      </c>
      <c r="B905" t="s">
        <v>1453</v>
      </c>
      <c r="C905" t="s">
        <v>1452</v>
      </c>
      <c r="D905" t="s">
        <v>1451</v>
      </c>
      <c r="F905" t="s">
        <v>1450</v>
      </c>
      <c r="G905" t="s">
        <v>5</v>
      </c>
      <c r="H905" t="s">
        <v>4</v>
      </c>
      <c r="I905" t="s">
        <v>407</v>
      </c>
      <c r="J905" t="s">
        <v>1449</v>
      </c>
      <c r="K905" t="s">
        <v>1448</v>
      </c>
      <c r="L905" t="s">
        <v>1447</v>
      </c>
      <c r="M905" t="s">
        <v>641</v>
      </c>
      <c r="N905">
        <v>1</v>
      </c>
      <c r="O905" t="s">
        <v>406</v>
      </c>
      <c r="P905">
        <v>7501393707</v>
      </c>
      <c r="Q905" t="s">
        <v>1446</v>
      </c>
      <c r="R905" s="7">
        <v>37438</v>
      </c>
      <c r="S905" s="8">
        <f t="shared" si="112"/>
        <v>2002</v>
      </c>
      <c r="T905" s="8">
        <v>2002</v>
      </c>
      <c r="U905" s="8">
        <f t="shared" si="113"/>
        <v>20</v>
      </c>
      <c r="V905" s="7">
        <v>37438</v>
      </c>
      <c r="W905" t="s">
        <v>401</v>
      </c>
      <c r="X905" s="2">
        <v>1.365</v>
      </c>
      <c r="Y905" s="6">
        <f t="shared" si="118"/>
        <v>3.6437895411227675E-2</v>
      </c>
      <c r="AA905">
        <v>189545</v>
      </c>
      <c r="AB905">
        <v>17393</v>
      </c>
      <c r="AD905" t="s">
        <v>2</v>
      </c>
      <c r="AE905">
        <v>51</v>
      </c>
      <c r="AF905">
        <v>4</v>
      </c>
      <c r="AH905" t="s">
        <v>1445</v>
      </c>
      <c r="AI905" t="s">
        <v>1444</v>
      </c>
      <c r="AJ905" t="s">
        <v>1443</v>
      </c>
      <c r="AK905" t="s">
        <v>1442</v>
      </c>
      <c r="AL905">
        <v>8</v>
      </c>
      <c r="AM905" s="5">
        <f t="shared" si="114"/>
        <v>0.4</v>
      </c>
      <c r="AN905" s="4">
        <f t="shared" si="119"/>
        <v>6.0583112457402507E-4</v>
      </c>
      <c r="AO905" s="3"/>
      <c r="AP905">
        <v>0</v>
      </c>
      <c r="AQ905" t="s">
        <v>1441</v>
      </c>
      <c r="AR905" t="s">
        <v>1</v>
      </c>
      <c r="AS905" t="s">
        <v>1440</v>
      </c>
      <c r="AT905" s="2" t="s">
        <v>0</v>
      </c>
      <c r="AU905" s="1">
        <f t="shared" si="115"/>
        <v>2.5688276125231577</v>
      </c>
      <c r="AV905" s="1">
        <f t="shared" si="116"/>
        <v>1.8521863267900851</v>
      </c>
      <c r="AW905" s="1">
        <f t="shared" si="117"/>
        <v>1.1355450410570118</v>
      </c>
    </row>
    <row r="906" spans="1:49" x14ac:dyDescent="0.2">
      <c r="A906">
        <v>904</v>
      </c>
      <c r="B906" t="s">
        <v>1439</v>
      </c>
      <c r="C906" t="s">
        <v>1438</v>
      </c>
      <c r="F906" t="s">
        <v>1437</v>
      </c>
      <c r="G906" t="s">
        <v>5</v>
      </c>
      <c r="H906" t="s">
        <v>4</v>
      </c>
      <c r="I906" t="s">
        <v>938</v>
      </c>
      <c r="J906" t="s">
        <v>1436</v>
      </c>
      <c r="K906" t="s">
        <v>1435</v>
      </c>
      <c r="L906" t="s">
        <v>1434</v>
      </c>
      <c r="M906" t="s">
        <v>76</v>
      </c>
      <c r="N906">
        <v>3</v>
      </c>
      <c r="O906" t="s">
        <v>1433</v>
      </c>
      <c r="P906" t="s">
        <v>937</v>
      </c>
      <c r="Q906" t="s">
        <v>1432</v>
      </c>
      <c r="R906" s="7">
        <v>37438</v>
      </c>
      <c r="S906" s="8">
        <f t="shared" si="112"/>
        <v>2002</v>
      </c>
      <c r="T906" s="8">
        <v>2002</v>
      </c>
      <c r="U906" s="8">
        <f t="shared" si="113"/>
        <v>20</v>
      </c>
      <c r="V906" s="7">
        <v>37438</v>
      </c>
      <c r="W906" t="s">
        <v>1431</v>
      </c>
      <c r="X906" s="2">
        <v>0.249</v>
      </c>
      <c r="Y906" s="6">
        <f t="shared" si="118"/>
        <v>6.6469127893008734E-3</v>
      </c>
      <c r="AA906">
        <v>8943370</v>
      </c>
      <c r="AB906">
        <v>18200</v>
      </c>
      <c r="AD906" t="s">
        <v>2</v>
      </c>
      <c r="AE906">
        <v>15</v>
      </c>
      <c r="AF906">
        <v>4</v>
      </c>
      <c r="AH906" t="s">
        <v>1430</v>
      </c>
      <c r="AI906" t="s">
        <v>1429</v>
      </c>
      <c r="AJ906" t="s">
        <v>1428</v>
      </c>
      <c r="AK906" t="s">
        <v>1427</v>
      </c>
      <c r="AL906">
        <v>2</v>
      </c>
      <c r="AM906" s="5">
        <f t="shared" si="114"/>
        <v>0.1</v>
      </c>
      <c r="AN906" s="4">
        <f t="shared" si="119"/>
        <v>1.5145778114350627E-4</v>
      </c>
      <c r="AO906" s="3"/>
      <c r="AP906">
        <v>0</v>
      </c>
      <c r="AR906" t="s">
        <v>1</v>
      </c>
      <c r="AT906" s="2" t="s">
        <v>0</v>
      </c>
      <c r="AU906" s="1">
        <f t="shared" si="115"/>
        <v>0.46982762868536637</v>
      </c>
      <c r="AV906" s="1">
        <f t="shared" si="116"/>
        <v>0.33991852852221899</v>
      </c>
      <c r="AW906" s="1">
        <f t="shared" si="117"/>
        <v>0.21000942835907163</v>
      </c>
    </row>
    <row r="907" spans="1:49" x14ac:dyDescent="0.2">
      <c r="A907">
        <v>905</v>
      </c>
      <c r="B907" t="s">
        <v>1426</v>
      </c>
      <c r="C907" t="s">
        <v>1425</v>
      </c>
      <c r="D907" t="s">
        <v>1424</v>
      </c>
      <c r="F907" t="s">
        <v>1423</v>
      </c>
      <c r="G907" t="s">
        <v>5</v>
      </c>
      <c r="H907" t="s">
        <v>4</v>
      </c>
      <c r="I907" t="s">
        <v>1422</v>
      </c>
      <c r="J907">
        <v>60110940</v>
      </c>
      <c r="K907" t="s">
        <v>1421</v>
      </c>
      <c r="L907" t="s">
        <v>1420</v>
      </c>
      <c r="M907" t="s">
        <v>14</v>
      </c>
      <c r="N907">
        <v>4</v>
      </c>
      <c r="O907" t="s">
        <v>1419</v>
      </c>
      <c r="P907" t="s">
        <v>1418</v>
      </c>
      <c r="Q907" t="s">
        <v>1417</v>
      </c>
      <c r="R907" s="7">
        <v>37438</v>
      </c>
      <c r="S907" s="8">
        <f t="shared" si="112"/>
        <v>2002</v>
      </c>
      <c r="T907" s="8">
        <v>2002</v>
      </c>
      <c r="U907" s="8">
        <f t="shared" si="113"/>
        <v>20</v>
      </c>
      <c r="V907" s="7">
        <v>37438</v>
      </c>
      <c r="W907" t="s">
        <v>1416</v>
      </c>
      <c r="X907" s="2">
        <v>1.319</v>
      </c>
      <c r="Y907" s="6">
        <f t="shared" si="118"/>
        <v>3.5209951683083739E-2</v>
      </c>
      <c r="AA907">
        <v>104655</v>
      </c>
      <c r="AB907">
        <v>13184</v>
      </c>
      <c r="AD907" t="s">
        <v>2</v>
      </c>
      <c r="AE907">
        <v>146</v>
      </c>
      <c r="AF907">
        <v>2</v>
      </c>
      <c r="AH907" t="s">
        <v>1415</v>
      </c>
      <c r="AI907" t="s">
        <v>1414</v>
      </c>
      <c r="AJ907" t="s">
        <v>1413</v>
      </c>
      <c r="AK907" t="s">
        <v>1412</v>
      </c>
      <c r="AL907">
        <v>37</v>
      </c>
      <c r="AM907" s="5">
        <f t="shared" si="114"/>
        <v>1.85</v>
      </c>
      <c r="AN907" s="4">
        <f t="shared" si="119"/>
        <v>2.8019689511548655E-3</v>
      </c>
      <c r="AO907" s="3"/>
      <c r="AP907">
        <v>0</v>
      </c>
      <c r="AR907" t="s">
        <v>1</v>
      </c>
      <c r="AT907" s="2">
        <v>4.3899999999999997</v>
      </c>
      <c r="AU907" s="1">
        <f t="shared" si="115"/>
        <v>2.5487556863505074</v>
      </c>
      <c r="AV907" s="1">
        <f t="shared" si="116"/>
        <v>1.9005960317119301</v>
      </c>
      <c r="AW907" s="1">
        <f t="shared" si="117"/>
        <v>1.2524363770733526</v>
      </c>
    </row>
    <row r="908" spans="1:49" x14ac:dyDescent="0.2">
      <c r="A908">
        <v>906</v>
      </c>
      <c r="B908" t="s">
        <v>1411</v>
      </c>
      <c r="C908" t="s">
        <v>1410</v>
      </c>
      <c r="F908" t="s">
        <v>1409</v>
      </c>
      <c r="G908" t="s">
        <v>5</v>
      </c>
      <c r="H908" t="s">
        <v>4</v>
      </c>
      <c r="I908" t="s">
        <v>1408</v>
      </c>
      <c r="J908">
        <v>60101699</v>
      </c>
      <c r="K908" t="s">
        <v>105</v>
      </c>
      <c r="L908" t="s">
        <v>104</v>
      </c>
      <c r="M908" t="s">
        <v>36</v>
      </c>
      <c r="N908">
        <v>3</v>
      </c>
      <c r="O908" t="s">
        <v>1407</v>
      </c>
      <c r="P908" t="s">
        <v>1406</v>
      </c>
      <c r="Q908" t="s">
        <v>1405</v>
      </c>
      <c r="R908" s="7">
        <v>37438</v>
      </c>
      <c r="S908" s="8">
        <f t="shared" si="112"/>
        <v>2002</v>
      </c>
      <c r="T908" s="8">
        <v>2002</v>
      </c>
      <c r="U908" s="8">
        <f t="shared" si="113"/>
        <v>20</v>
      </c>
      <c r="V908" s="7">
        <v>37438</v>
      </c>
      <c r="W908" t="s">
        <v>335</v>
      </c>
      <c r="X908" s="2">
        <v>0.111</v>
      </c>
      <c r="Y908" s="6">
        <f t="shared" si="118"/>
        <v>2.9630816048690639E-3</v>
      </c>
      <c r="AA908">
        <v>87566621</v>
      </c>
      <c r="AB908">
        <v>24890</v>
      </c>
      <c r="AD908" t="s">
        <v>2</v>
      </c>
      <c r="AE908">
        <v>85</v>
      </c>
      <c r="AF908">
        <v>7</v>
      </c>
      <c r="AH908" s="9">
        <v>44501</v>
      </c>
      <c r="AI908" t="s">
        <v>1404</v>
      </c>
      <c r="AJ908" t="s">
        <v>1403</v>
      </c>
      <c r="AK908" t="s">
        <v>1402</v>
      </c>
      <c r="AL908">
        <v>1</v>
      </c>
      <c r="AM908" s="5">
        <f t="shared" si="114"/>
        <v>0.05</v>
      </c>
      <c r="AN908" s="4">
        <f t="shared" si="119"/>
        <v>7.5728890571753133E-5</v>
      </c>
      <c r="AO908" s="3"/>
      <c r="AP908">
        <v>0</v>
      </c>
      <c r="AR908" t="s">
        <v>1</v>
      </c>
      <c r="AT908" s="2" t="s">
        <v>0</v>
      </c>
      <c r="AU908" s="1">
        <f t="shared" si="115"/>
        <v>0.20968757905798704</v>
      </c>
      <c r="AV908" s="1">
        <f t="shared" si="116"/>
        <v>0.15194052477204087</v>
      </c>
      <c r="AW908" s="1">
        <f t="shared" si="117"/>
        <v>9.4193470486094624E-2</v>
      </c>
    </row>
    <row r="909" spans="1:49" x14ac:dyDescent="0.2">
      <c r="A909">
        <v>907</v>
      </c>
      <c r="B909" t="s">
        <v>1401</v>
      </c>
      <c r="C909" t="s">
        <v>1400</v>
      </c>
      <c r="F909" t="s">
        <v>1399</v>
      </c>
      <c r="G909" t="s">
        <v>5</v>
      </c>
      <c r="H909" t="s">
        <v>4</v>
      </c>
      <c r="I909" t="s">
        <v>1398</v>
      </c>
      <c r="J909" t="s">
        <v>1397</v>
      </c>
      <c r="K909" t="s">
        <v>1396</v>
      </c>
      <c r="L909" t="s">
        <v>1395</v>
      </c>
      <c r="M909" t="s">
        <v>567</v>
      </c>
      <c r="N909">
        <v>3</v>
      </c>
      <c r="O909" t="s">
        <v>1394</v>
      </c>
      <c r="P909" t="s">
        <v>1393</v>
      </c>
      <c r="Q909" t="s">
        <v>1392</v>
      </c>
      <c r="R909" s="7">
        <v>37438</v>
      </c>
      <c r="S909" s="8">
        <f t="shared" si="112"/>
        <v>2002</v>
      </c>
      <c r="T909" s="8">
        <v>2002</v>
      </c>
      <c r="U909" s="8">
        <f t="shared" si="113"/>
        <v>20</v>
      </c>
      <c r="V909" s="7">
        <v>37438</v>
      </c>
      <c r="W909" t="s">
        <v>335</v>
      </c>
      <c r="X909" s="2">
        <v>0.111</v>
      </c>
      <c r="Y909" s="6">
        <f t="shared" si="118"/>
        <v>2.9630816048690639E-3</v>
      </c>
      <c r="AA909">
        <v>87566621</v>
      </c>
      <c r="AB909">
        <v>24890</v>
      </c>
      <c r="AD909" t="s">
        <v>2</v>
      </c>
      <c r="AE909">
        <v>85</v>
      </c>
      <c r="AF909">
        <v>7</v>
      </c>
      <c r="AH909" t="s">
        <v>1391</v>
      </c>
      <c r="AI909" t="s">
        <v>1390</v>
      </c>
      <c r="AJ909" t="s">
        <v>1389</v>
      </c>
      <c r="AK909" t="s">
        <v>1388</v>
      </c>
      <c r="AL909">
        <v>0</v>
      </c>
      <c r="AM909" s="5">
        <f t="shared" si="114"/>
        <v>0</v>
      </c>
      <c r="AN909" s="4">
        <f t="shared" si="119"/>
        <v>0</v>
      </c>
      <c r="AO909" s="3"/>
      <c r="AP909">
        <v>0</v>
      </c>
      <c r="AR909" t="s">
        <v>1</v>
      </c>
      <c r="AT909" s="2" t="s">
        <v>0</v>
      </c>
      <c r="AU909" s="1">
        <f t="shared" si="115"/>
        <v>0.20741571234083445</v>
      </c>
      <c r="AV909" s="1">
        <f t="shared" si="116"/>
        <v>0.1481540802434532</v>
      </c>
      <c r="AW909" s="1">
        <f t="shared" si="117"/>
        <v>8.8892448146071903E-2</v>
      </c>
    </row>
    <row r="910" spans="1:49" x14ac:dyDescent="0.2">
      <c r="A910">
        <v>908</v>
      </c>
      <c r="B910" t="s">
        <v>1387</v>
      </c>
      <c r="C910" t="s">
        <v>1386</v>
      </c>
      <c r="F910" t="s">
        <v>1385</v>
      </c>
      <c r="G910" t="s">
        <v>5</v>
      </c>
      <c r="H910" t="s">
        <v>4</v>
      </c>
      <c r="I910" t="s">
        <v>1156</v>
      </c>
      <c r="J910" t="s">
        <v>1384</v>
      </c>
      <c r="K910" t="s">
        <v>1383</v>
      </c>
      <c r="L910" t="s">
        <v>1382</v>
      </c>
      <c r="M910" t="s">
        <v>567</v>
      </c>
      <c r="N910">
        <v>4</v>
      </c>
      <c r="O910" t="s">
        <v>1381</v>
      </c>
      <c r="P910" t="s">
        <v>1380</v>
      </c>
      <c r="Q910" t="s">
        <v>1379</v>
      </c>
      <c r="R910" s="7">
        <v>37438</v>
      </c>
      <c r="S910" s="8">
        <f t="shared" si="112"/>
        <v>2002</v>
      </c>
      <c r="T910" s="8">
        <v>2002</v>
      </c>
      <c r="U910" s="8">
        <f t="shared" si="113"/>
        <v>20</v>
      </c>
      <c r="V910" s="7">
        <v>37438</v>
      </c>
      <c r="W910" t="s">
        <v>335</v>
      </c>
      <c r="X910" s="2">
        <v>0.111</v>
      </c>
      <c r="Y910" s="6">
        <f t="shared" si="118"/>
        <v>2.9630816048690639E-3</v>
      </c>
      <c r="AA910">
        <v>87566621</v>
      </c>
      <c r="AB910">
        <v>24890</v>
      </c>
      <c r="AD910" t="s">
        <v>2</v>
      </c>
      <c r="AE910">
        <v>85</v>
      </c>
      <c r="AF910">
        <v>7</v>
      </c>
      <c r="AH910" t="s">
        <v>1378</v>
      </c>
      <c r="AI910" t="s">
        <v>1377</v>
      </c>
      <c r="AJ910" t="s">
        <v>1376</v>
      </c>
      <c r="AK910" t="s">
        <v>1375</v>
      </c>
      <c r="AL910">
        <v>0</v>
      </c>
      <c r="AM910" s="5">
        <f t="shared" si="114"/>
        <v>0</v>
      </c>
      <c r="AN910" s="4">
        <f t="shared" si="119"/>
        <v>0</v>
      </c>
      <c r="AO910" s="3"/>
      <c r="AP910">
        <v>0</v>
      </c>
      <c r="AR910" t="s">
        <v>1</v>
      </c>
      <c r="AT910" s="2" t="s">
        <v>0</v>
      </c>
      <c r="AU910" s="1">
        <f t="shared" si="115"/>
        <v>0.20741571234083445</v>
      </c>
      <c r="AV910" s="1">
        <f t="shared" si="116"/>
        <v>0.1481540802434532</v>
      </c>
      <c r="AW910" s="1">
        <f t="shared" si="117"/>
        <v>8.8892448146071903E-2</v>
      </c>
    </row>
    <row r="911" spans="1:49" x14ac:dyDescent="0.2">
      <c r="A911">
        <v>909</v>
      </c>
      <c r="B911" t="s">
        <v>1374</v>
      </c>
      <c r="C911" t="s">
        <v>1373</v>
      </c>
      <c r="F911" t="s">
        <v>1372</v>
      </c>
      <c r="G911" t="s">
        <v>5</v>
      </c>
      <c r="H911" t="s">
        <v>4</v>
      </c>
      <c r="I911" t="s">
        <v>1371</v>
      </c>
      <c r="J911">
        <v>60010146</v>
      </c>
      <c r="K911" t="s">
        <v>1370</v>
      </c>
      <c r="L911" t="s">
        <v>1369</v>
      </c>
      <c r="M911" t="s">
        <v>19</v>
      </c>
      <c r="N911">
        <v>3</v>
      </c>
      <c r="O911" t="s">
        <v>1368</v>
      </c>
      <c r="P911" t="s">
        <v>1367</v>
      </c>
      <c r="Q911" t="s">
        <v>1366</v>
      </c>
      <c r="R911" s="7">
        <v>37438</v>
      </c>
      <c r="S911" s="8">
        <f t="shared" si="112"/>
        <v>2002</v>
      </c>
      <c r="T911" s="8">
        <v>2002</v>
      </c>
      <c r="U911" s="8">
        <f t="shared" si="113"/>
        <v>20</v>
      </c>
      <c r="V911" s="7">
        <v>37438</v>
      </c>
      <c r="W911" t="s">
        <v>874</v>
      </c>
      <c r="X911" s="2">
        <v>0.22500000000000001</v>
      </c>
      <c r="Y911" s="6">
        <f t="shared" si="118"/>
        <v>6.0062464963562111E-3</v>
      </c>
      <c r="AA911">
        <v>2726343</v>
      </c>
      <c r="AB911">
        <v>16128</v>
      </c>
      <c r="AD911" t="s">
        <v>2</v>
      </c>
      <c r="AE911">
        <v>22</v>
      </c>
      <c r="AF911">
        <v>5</v>
      </c>
      <c r="AH911" t="s">
        <v>1365</v>
      </c>
      <c r="AI911" t="s">
        <v>1364</v>
      </c>
      <c r="AJ911" t="s">
        <v>1363</v>
      </c>
      <c r="AK911" t="s">
        <v>1362</v>
      </c>
      <c r="AL911">
        <v>7</v>
      </c>
      <c r="AM911" s="5">
        <f t="shared" si="114"/>
        <v>0.35</v>
      </c>
      <c r="AN911" s="4">
        <f t="shared" si="119"/>
        <v>5.3010223400227184E-4</v>
      </c>
      <c r="AO911" s="3"/>
      <c r="AP911">
        <v>0</v>
      </c>
      <c r="AR911" t="s">
        <v>1</v>
      </c>
      <c r="AT911" s="2">
        <v>1.099</v>
      </c>
      <c r="AU911" s="1">
        <f t="shared" si="115"/>
        <v>0.43634032176500293</v>
      </c>
      <c r="AV911" s="1">
        <f t="shared" si="116"/>
        <v>0.32681743651792416</v>
      </c>
      <c r="AW911" s="1">
        <f t="shared" si="117"/>
        <v>0.21729455127084538</v>
      </c>
    </row>
    <row r="912" spans="1:49" x14ac:dyDescent="0.2">
      <c r="A912">
        <v>910</v>
      </c>
      <c r="B912" t="s">
        <v>1361</v>
      </c>
      <c r="C912" t="s">
        <v>1360</v>
      </c>
      <c r="F912" t="s">
        <v>1359</v>
      </c>
      <c r="G912" t="s">
        <v>5</v>
      </c>
      <c r="H912" t="s">
        <v>4</v>
      </c>
      <c r="I912" t="s">
        <v>1358</v>
      </c>
      <c r="J912">
        <v>60013183</v>
      </c>
      <c r="K912" t="s">
        <v>1357</v>
      </c>
      <c r="L912" t="s">
        <v>1356</v>
      </c>
      <c r="M912" t="s">
        <v>1355</v>
      </c>
      <c r="N912">
        <v>1</v>
      </c>
      <c r="O912" t="s">
        <v>1354</v>
      </c>
      <c r="P912">
        <v>6602488659</v>
      </c>
      <c r="Q912">
        <v>60013183</v>
      </c>
      <c r="R912" s="7">
        <v>37438</v>
      </c>
      <c r="S912" s="8">
        <f t="shared" si="112"/>
        <v>2002</v>
      </c>
      <c r="T912" s="8">
        <v>2002</v>
      </c>
      <c r="U912" s="8">
        <f t="shared" si="113"/>
        <v>20</v>
      </c>
      <c r="V912" s="7">
        <v>37438</v>
      </c>
      <c r="W912" t="s">
        <v>1353</v>
      </c>
      <c r="X912" s="2">
        <v>0.373</v>
      </c>
      <c r="Y912" s="6">
        <f t="shared" si="118"/>
        <v>9.957021969514963E-3</v>
      </c>
      <c r="AA912">
        <v>10557148</v>
      </c>
      <c r="AB912">
        <v>19513</v>
      </c>
      <c r="AD912" t="s">
        <v>2</v>
      </c>
      <c r="AE912">
        <v>12</v>
      </c>
      <c r="AF912">
        <v>4</v>
      </c>
      <c r="AH912" t="s">
        <v>1352</v>
      </c>
      <c r="AI912" t="s">
        <v>1351</v>
      </c>
      <c r="AK912" t="s">
        <v>1350</v>
      </c>
      <c r="AL912">
        <v>0</v>
      </c>
      <c r="AM912" s="5">
        <f t="shared" si="114"/>
        <v>0</v>
      </c>
      <c r="AN912" s="4">
        <f t="shared" si="119"/>
        <v>0</v>
      </c>
      <c r="AO912" s="3"/>
      <c r="AP912">
        <v>0</v>
      </c>
      <c r="AR912" t="s">
        <v>1</v>
      </c>
      <c r="AT912" s="2">
        <v>1.712</v>
      </c>
      <c r="AU912" s="1">
        <f t="shared" si="115"/>
        <v>0.69699153786604739</v>
      </c>
      <c r="AV912" s="1">
        <f t="shared" si="116"/>
        <v>0.49785109847574816</v>
      </c>
      <c r="AW912" s="1">
        <f t="shared" si="117"/>
        <v>0.29871065908544886</v>
      </c>
    </row>
    <row r="913" spans="1:49" x14ac:dyDescent="0.2">
      <c r="A913">
        <v>911</v>
      </c>
      <c r="B913" t="s">
        <v>1349</v>
      </c>
      <c r="C913" t="s">
        <v>1348</v>
      </c>
      <c r="D913" t="s">
        <v>1347</v>
      </c>
      <c r="F913" t="s">
        <v>1346</v>
      </c>
      <c r="G913" t="s">
        <v>5</v>
      </c>
      <c r="H913" t="s">
        <v>4</v>
      </c>
      <c r="I913" t="s">
        <v>1345</v>
      </c>
      <c r="J913" t="s">
        <v>1344</v>
      </c>
      <c r="K913" t="s">
        <v>1343</v>
      </c>
      <c r="L913" t="s">
        <v>1342</v>
      </c>
      <c r="M913" t="s">
        <v>567</v>
      </c>
      <c r="N913">
        <v>4</v>
      </c>
      <c r="O913" t="s">
        <v>1341</v>
      </c>
      <c r="P913" t="s">
        <v>1340</v>
      </c>
      <c r="Q913" t="s">
        <v>1339</v>
      </c>
      <c r="R913" s="7">
        <v>37438</v>
      </c>
      <c r="S913" s="8">
        <f t="shared" si="112"/>
        <v>2002</v>
      </c>
      <c r="T913" s="8">
        <v>2002</v>
      </c>
      <c r="U913" s="8">
        <f t="shared" si="113"/>
        <v>20</v>
      </c>
      <c r="V913" s="7">
        <v>37438</v>
      </c>
      <c r="W913" t="s">
        <v>802</v>
      </c>
      <c r="X913" s="2">
        <v>0.90400000000000003</v>
      </c>
      <c r="Y913" s="6">
        <f t="shared" si="118"/>
        <v>2.4131763700915621E-2</v>
      </c>
      <c r="AA913">
        <v>2578972</v>
      </c>
      <c r="AB913">
        <v>24537</v>
      </c>
      <c r="AD913" t="s">
        <v>2</v>
      </c>
      <c r="AE913">
        <v>156</v>
      </c>
      <c r="AF913" s="9">
        <v>44256</v>
      </c>
      <c r="AH913" t="s">
        <v>189</v>
      </c>
      <c r="AI913" t="s">
        <v>1338</v>
      </c>
      <c r="AJ913" t="s">
        <v>1337</v>
      </c>
      <c r="AK913" t="s">
        <v>1336</v>
      </c>
      <c r="AL913">
        <v>53</v>
      </c>
      <c r="AM913" s="5">
        <f t="shared" si="114"/>
        <v>2.65</v>
      </c>
      <c r="AN913" s="4">
        <f t="shared" si="119"/>
        <v>4.013631200302915E-3</v>
      </c>
      <c r="AO913" s="3"/>
      <c r="AP913">
        <v>0</v>
      </c>
      <c r="AR913" t="s">
        <v>1</v>
      </c>
      <c r="AT913" s="2" t="s">
        <v>0</v>
      </c>
      <c r="AU913" s="1">
        <f t="shared" si="115"/>
        <v>1.809632395073181</v>
      </c>
      <c r="AV913" s="1">
        <f t="shared" si="116"/>
        <v>1.4072697450609266</v>
      </c>
      <c r="AW913" s="1">
        <f t="shared" si="117"/>
        <v>1.0049070950486727</v>
      </c>
    </row>
    <row r="914" spans="1:49" x14ac:dyDescent="0.2">
      <c r="A914">
        <v>912</v>
      </c>
      <c r="B914" t="s">
        <v>1335</v>
      </c>
      <c r="C914" t="s">
        <v>1334</v>
      </c>
      <c r="F914" t="s">
        <v>1333</v>
      </c>
      <c r="G914" t="s">
        <v>5</v>
      </c>
      <c r="H914" t="s">
        <v>4</v>
      </c>
      <c r="I914" t="s">
        <v>1332</v>
      </c>
      <c r="J914">
        <v>60003217</v>
      </c>
      <c r="K914" t="s">
        <v>55</v>
      </c>
      <c r="L914" t="s">
        <v>54</v>
      </c>
      <c r="M914" t="s">
        <v>49</v>
      </c>
      <c r="N914">
        <v>3</v>
      </c>
      <c r="O914" t="s">
        <v>1331</v>
      </c>
      <c r="P914" t="s">
        <v>1330</v>
      </c>
      <c r="Q914" t="s">
        <v>53</v>
      </c>
      <c r="R914" s="7">
        <v>37438</v>
      </c>
      <c r="S914" s="8">
        <f t="shared" si="112"/>
        <v>2002</v>
      </c>
      <c r="T914" s="8">
        <v>2002</v>
      </c>
      <c r="U914" s="8">
        <f t="shared" si="113"/>
        <v>20</v>
      </c>
      <c r="V914" s="7">
        <v>37438</v>
      </c>
      <c r="W914" t="s">
        <v>304</v>
      </c>
      <c r="X914" s="2">
        <v>0.33500000000000002</v>
      </c>
      <c r="Y914" s="6">
        <f t="shared" si="118"/>
        <v>8.94263367235258E-3</v>
      </c>
      <c r="AA914">
        <v>10964290</v>
      </c>
      <c r="AB914">
        <v>18201</v>
      </c>
      <c r="AD914" t="s">
        <v>2</v>
      </c>
      <c r="AE914">
        <v>12</v>
      </c>
      <c r="AF914">
        <v>4</v>
      </c>
      <c r="AH914" t="s">
        <v>1329</v>
      </c>
      <c r="AI914" t="s">
        <v>1328</v>
      </c>
      <c r="AJ914" t="s">
        <v>1327</v>
      </c>
      <c r="AK914" t="s">
        <v>1326</v>
      </c>
      <c r="AL914">
        <v>62</v>
      </c>
      <c r="AM914" s="5">
        <f t="shared" si="114"/>
        <v>3.1</v>
      </c>
      <c r="AN914" s="4">
        <f t="shared" si="119"/>
        <v>4.6951912154486941E-3</v>
      </c>
      <c r="AO914" s="3"/>
      <c r="AP914">
        <v>0</v>
      </c>
      <c r="AR914" t="s">
        <v>1</v>
      </c>
      <c r="AT914" s="2">
        <v>1.694</v>
      </c>
      <c r="AU914" s="1">
        <f t="shared" si="115"/>
        <v>0.76684009352814142</v>
      </c>
      <c r="AV914" s="1">
        <f t="shared" si="116"/>
        <v>0.68189124439006366</v>
      </c>
      <c r="AW914" s="1">
        <f t="shared" si="117"/>
        <v>0.596942395251986</v>
      </c>
    </row>
    <row r="915" spans="1:49" x14ac:dyDescent="0.2">
      <c r="A915">
        <v>913</v>
      </c>
      <c r="B915" t="s">
        <v>1325</v>
      </c>
      <c r="C915" t="s">
        <v>1324</v>
      </c>
      <c r="F915" t="s">
        <v>1323</v>
      </c>
      <c r="G915" t="s">
        <v>5</v>
      </c>
      <c r="H915" t="s">
        <v>4</v>
      </c>
      <c r="I915" t="s">
        <v>1322</v>
      </c>
      <c r="J915">
        <v>60023579</v>
      </c>
      <c r="K915" t="s">
        <v>1321</v>
      </c>
      <c r="L915" t="s">
        <v>1320</v>
      </c>
      <c r="M915" t="s">
        <v>26</v>
      </c>
      <c r="N915">
        <v>4</v>
      </c>
      <c r="O915" t="s">
        <v>1319</v>
      </c>
      <c r="P915" t="s">
        <v>1318</v>
      </c>
      <c r="Q915" t="s">
        <v>1317</v>
      </c>
      <c r="R915" s="7">
        <v>37438</v>
      </c>
      <c r="S915" s="8">
        <f t="shared" si="112"/>
        <v>2002</v>
      </c>
      <c r="T915" s="8">
        <v>2002</v>
      </c>
      <c r="U915" s="8">
        <f t="shared" si="113"/>
        <v>20</v>
      </c>
      <c r="V915" s="7">
        <v>37438</v>
      </c>
      <c r="W915" t="s">
        <v>1316</v>
      </c>
      <c r="X915" s="2">
        <v>0.33300000000000002</v>
      </c>
      <c r="Y915" s="6">
        <f t="shared" si="118"/>
        <v>8.8892448146071917E-3</v>
      </c>
      <c r="AA915" t="s">
        <v>1315</v>
      </c>
      <c r="AB915">
        <v>29252</v>
      </c>
      <c r="AD915" t="s">
        <v>2</v>
      </c>
      <c r="AE915">
        <v>28</v>
      </c>
      <c r="AF915">
        <v>7</v>
      </c>
      <c r="AH915" t="s">
        <v>1314</v>
      </c>
      <c r="AI915" t="s">
        <v>1313</v>
      </c>
      <c r="AK915" t="s">
        <v>1312</v>
      </c>
      <c r="AL915">
        <v>1</v>
      </c>
      <c r="AM915" s="5">
        <f t="shared" si="114"/>
        <v>0.05</v>
      </c>
      <c r="AN915" s="4">
        <f t="shared" si="119"/>
        <v>7.5728890571753133E-5</v>
      </c>
      <c r="AO915" s="3"/>
      <c r="AP915">
        <v>0</v>
      </c>
      <c r="AR915" t="s">
        <v>1</v>
      </c>
      <c r="AT915" s="2">
        <v>0.97699999999999998</v>
      </c>
      <c r="AU915" s="1">
        <f t="shared" si="115"/>
        <v>0.62451900373965596</v>
      </c>
      <c r="AV915" s="1">
        <f t="shared" si="116"/>
        <v>0.44824868525894723</v>
      </c>
      <c r="AW915" s="1">
        <f t="shared" si="117"/>
        <v>0.27197836677823845</v>
      </c>
    </row>
    <row r="916" spans="1:49" x14ac:dyDescent="0.2">
      <c r="A916">
        <v>914</v>
      </c>
      <c r="B916" t="s">
        <v>1311</v>
      </c>
      <c r="C916" t="s">
        <v>1310</v>
      </c>
      <c r="D916" t="s">
        <v>1309</v>
      </c>
      <c r="F916" t="s">
        <v>1308</v>
      </c>
      <c r="G916" t="s">
        <v>5</v>
      </c>
      <c r="H916" t="s">
        <v>4</v>
      </c>
      <c r="I916" t="s">
        <v>1307</v>
      </c>
      <c r="J916" t="s">
        <v>1306</v>
      </c>
      <c r="K916" t="s">
        <v>1305</v>
      </c>
      <c r="L916" t="s">
        <v>1304</v>
      </c>
      <c r="M916" t="s">
        <v>3</v>
      </c>
      <c r="N916">
        <v>3</v>
      </c>
      <c r="O916" t="s">
        <v>1303</v>
      </c>
      <c r="P916" t="s">
        <v>1302</v>
      </c>
      <c r="Q916" t="s">
        <v>1301</v>
      </c>
      <c r="R916" s="7">
        <v>37438</v>
      </c>
      <c r="S916" s="8">
        <f t="shared" si="112"/>
        <v>2002</v>
      </c>
      <c r="T916" s="8">
        <v>2002</v>
      </c>
      <c r="U916" s="8">
        <f t="shared" si="113"/>
        <v>20</v>
      </c>
      <c r="V916" s="7">
        <v>37438</v>
      </c>
      <c r="W916" t="s">
        <v>620</v>
      </c>
      <c r="X916" s="2">
        <v>0.82799999999999996</v>
      </c>
      <c r="Y916" s="6">
        <f t="shared" si="118"/>
        <v>2.2102987106590855E-2</v>
      </c>
      <c r="AA916">
        <v>189383</v>
      </c>
      <c r="AB916">
        <v>26052</v>
      </c>
      <c r="AD916" t="s">
        <v>2</v>
      </c>
      <c r="AE916">
        <v>49</v>
      </c>
      <c r="AF916">
        <v>7</v>
      </c>
      <c r="AH916" t="s">
        <v>1300</v>
      </c>
      <c r="AI916" t="s">
        <v>1299</v>
      </c>
      <c r="AJ916" t="s">
        <v>1298</v>
      </c>
      <c r="AK916" t="s">
        <v>1297</v>
      </c>
      <c r="AL916">
        <v>9</v>
      </c>
      <c r="AM916" s="5">
        <f t="shared" si="114"/>
        <v>0.45</v>
      </c>
      <c r="AN916" s="4">
        <f t="shared" si="119"/>
        <v>6.8156001514577808E-4</v>
      </c>
      <c r="AO916" s="3"/>
      <c r="AP916">
        <v>0</v>
      </c>
      <c r="AR916" t="s">
        <v>1</v>
      </c>
      <c r="AT916" s="2">
        <v>2.9169999999999998</v>
      </c>
      <c r="AU916" s="1">
        <f t="shared" si="115"/>
        <v>1.5676558979157331</v>
      </c>
      <c r="AV916" s="1">
        <f t="shared" si="116"/>
        <v>1.1392273560868316</v>
      </c>
      <c r="AW916" s="1">
        <f t="shared" si="117"/>
        <v>0.71079881425793012</v>
      </c>
    </row>
    <row r="917" spans="1:49" x14ac:dyDescent="0.2">
      <c r="A917">
        <v>915</v>
      </c>
      <c r="B917" t="s">
        <v>1296</v>
      </c>
      <c r="F917" t="s">
        <v>1295</v>
      </c>
      <c r="G917" t="s">
        <v>5</v>
      </c>
      <c r="H917" t="s">
        <v>4</v>
      </c>
      <c r="I917" t="s">
        <v>185</v>
      </c>
      <c r="J917">
        <v>60001741</v>
      </c>
      <c r="K917" t="s">
        <v>979</v>
      </c>
      <c r="L917" t="s">
        <v>597</v>
      </c>
      <c r="M917" t="s">
        <v>182</v>
      </c>
      <c r="N917">
        <v>5</v>
      </c>
      <c r="O917" t="s">
        <v>1294</v>
      </c>
      <c r="P917" t="s">
        <v>1293</v>
      </c>
      <c r="Q917" t="s">
        <v>1292</v>
      </c>
      <c r="R917" s="7">
        <v>37438</v>
      </c>
      <c r="S917" s="8">
        <f t="shared" si="112"/>
        <v>2002</v>
      </c>
      <c r="T917" s="8">
        <v>2002</v>
      </c>
      <c r="U917" s="8">
        <f t="shared" si="113"/>
        <v>20</v>
      </c>
      <c r="V917" s="7">
        <v>37438</v>
      </c>
      <c r="W917" t="s">
        <v>315</v>
      </c>
      <c r="X917" s="2">
        <v>0.128</v>
      </c>
      <c r="Y917" s="6">
        <f t="shared" si="118"/>
        <v>3.4168868957048667E-3</v>
      </c>
      <c r="AA917">
        <v>10750207</v>
      </c>
      <c r="AB917">
        <v>18722</v>
      </c>
      <c r="AD917" t="s">
        <v>2</v>
      </c>
      <c r="AE917">
        <v>14</v>
      </c>
      <c r="AF917">
        <v>7</v>
      </c>
      <c r="AI917" t="s">
        <v>1291</v>
      </c>
      <c r="AK917" t="s">
        <v>1290</v>
      </c>
      <c r="AL917">
        <v>3</v>
      </c>
      <c r="AM917" s="5">
        <f t="shared" si="114"/>
        <v>0.15</v>
      </c>
      <c r="AN917" s="4">
        <f t="shared" si="119"/>
        <v>2.2718667171525936E-4</v>
      </c>
      <c r="AO917" s="3"/>
      <c r="AP917">
        <v>0</v>
      </c>
      <c r="AR917" t="s">
        <v>1</v>
      </c>
      <c r="AT917" s="2" t="s">
        <v>0</v>
      </c>
      <c r="AU917" s="1">
        <f t="shared" si="115"/>
        <v>0.24599768285079845</v>
      </c>
      <c r="AV917" s="1">
        <f t="shared" si="116"/>
        <v>0.18220367837100629</v>
      </c>
      <c r="AW917" s="1">
        <f t="shared" si="117"/>
        <v>0.11840967389121415</v>
      </c>
    </row>
    <row r="918" spans="1:49" x14ac:dyDescent="0.2">
      <c r="A918">
        <v>916</v>
      </c>
      <c r="B918" t="s">
        <v>1289</v>
      </c>
      <c r="F918" t="s">
        <v>1288</v>
      </c>
      <c r="G918" t="s">
        <v>5</v>
      </c>
      <c r="H918" t="s">
        <v>4</v>
      </c>
      <c r="I918" t="s">
        <v>103</v>
      </c>
      <c r="J918">
        <v>60007278</v>
      </c>
      <c r="K918" t="s">
        <v>1287</v>
      </c>
      <c r="L918" t="s">
        <v>1286</v>
      </c>
      <c r="M918" t="s">
        <v>7</v>
      </c>
      <c r="N918">
        <v>3</v>
      </c>
      <c r="O918" t="s">
        <v>1285</v>
      </c>
      <c r="P918" t="s">
        <v>1284</v>
      </c>
      <c r="Q918" t="s">
        <v>1283</v>
      </c>
      <c r="R918" s="7">
        <v>37438</v>
      </c>
      <c r="S918" s="8">
        <f t="shared" si="112"/>
        <v>2002</v>
      </c>
      <c r="T918" s="8">
        <v>2002</v>
      </c>
      <c r="U918" s="8">
        <f t="shared" si="113"/>
        <v>20</v>
      </c>
      <c r="V918" s="7">
        <v>37438</v>
      </c>
      <c r="W918" t="s">
        <v>315</v>
      </c>
      <c r="X918" s="2">
        <v>0.128</v>
      </c>
      <c r="Y918" s="6">
        <f t="shared" si="118"/>
        <v>3.4168868957048667E-3</v>
      </c>
      <c r="AA918">
        <v>10750207</v>
      </c>
      <c r="AB918">
        <v>18722</v>
      </c>
      <c r="AD918" t="s">
        <v>2</v>
      </c>
      <c r="AE918">
        <v>14</v>
      </c>
      <c r="AF918">
        <v>7</v>
      </c>
      <c r="AI918" t="s">
        <v>1282</v>
      </c>
      <c r="AK918" t="s">
        <v>1281</v>
      </c>
      <c r="AL918">
        <v>0</v>
      </c>
      <c r="AM918" s="5">
        <f t="shared" si="114"/>
        <v>0</v>
      </c>
      <c r="AN918" s="4">
        <f t="shared" si="119"/>
        <v>0</v>
      </c>
      <c r="AO918" s="3"/>
      <c r="AP918">
        <v>0</v>
      </c>
      <c r="AR918" t="s">
        <v>1</v>
      </c>
      <c r="AT918" s="2" t="s">
        <v>0</v>
      </c>
      <c r="AU918" s="1">
        <f t="shared" si="115"/>
        <v>0.23918208269934066</v>
      </c>
      <c r="AV918" s="1">
        <f t="shared" si="116"/>
        <v>0.17084434478524332</v>
      </c>
      <c r="AW918" s="1">
        <f t="shared" si="117"/>
        <v>0.10250660687114599</v>
      </c>
    </row>
    <row r="919" spans="1:49" x14ac:dyDescent="0.2">
      <c r="A919">
        <v>917</v>
      </c>
      <c r="B919" t="s">
        <v>1280</v>
      </c>
      <c r="C919" t="s">
        <v>1279</v>
      </c>
      <c r="D919">
        <v>1011092002800690</v>
      </c>
      <c r="F919" t="s">
        <v>1278</v>
      </c>
      <c r="G919" t="s">
        <v>5</v>
      </c>
      <c r="H919" t="s">
        <v>4</v>
      </c>
      <c r="I919" t="s">
        <v>1277</v>
      </c>
      <c r="J919" t="s">
        <v>1276</v>
      </c>
      <c r="K919" t="s">
        <v>1275</v>
      </c>
      <c r="L919" t="s">
        <v>1274</v>
      </c>
      <c r="M919" t="s">
        <v>272</v>
      </c>
      <c r="N919">
        <v>2</v>
      </c>
      <c r="O919" t="s">
        <v>1273</v>
      </c>
      <c r="P919" t="s">
        <v>1272</v>
      </c>
      <c r="Q919" t="s">
        <v>1271</v>
      </c>
      <c r="R919" s="7">
        <v>37438</v>
      </c>
      <c r="S919" s="8">
        <f t="shared" si="112"/>
        <v>2002</v>
      </c>
      <c r="T919" s="8">
        <v>2002</v>
      </c>
      <c r="U919" s="8">
        <f t="shared" si="113"/>
        <v>20</v>
      </c>
      <c r="V919" s="7">
        <v>37438</v>
      </c>
      <c r="W919" t="s">
        <v>418</v>
      </c>
      <c r="X919" s="2">
        <v>1.6519999999999999</v>
      </c>
      <c r="Y919" s="6">
        <f t="shared" si="118"/>
        <v>4.409919649769093E-2</v>
      </c>
      <c r="AA919" t="s">
        <v>417</v>
      </c>
      <c r="AB919">
        <v>17337</v>
      </c>
      <c r="AD919" t="s">
        <v>2</v>
      </c>
      <c r="AE919">
        <v>50</v>
      </c>
      <c r="AF919">
        <v>7</v>
      </c>
      <c r="AH919" t="s">
        <v>1270</v>
      </c>
      <c r="AI919" t="s">
        <v>1269</v>
      </c>
      <c r="AJ919" t="s">
        <v>1268</v>
      </c>
      <c r="AK919" t="s">
        <v>1267</v>
      </c>
      <c r="AL919">
        <v>51</v>
      </c>
      <c r="AM919" s="5">
        <f t="shared" si="114"/>
        <v>2.5499999999999998</v>
      </c>
      <c r="AN919" s="4">
        <f t="shared" si="119"/>
        <v>3.862173419159409E-3</v>
      </c>
      <c r="AO919" s="3"/>
      <c r="AP919">
        <v>0</v>
      </c>
      <c r="AQ919" t="s">
        <v>1266</v>
      </c>
      <c r="AR919" t="s">
        <v>1</v>
      </c>
      <c r="AS919" t="s">
        <v>1265</v>
      </c>
      <c r="AT919" s="2" t="s">
        <v>0</v>
      </c>
      <c r="AU919" s="1">
        <f t="shared" si="115"/>
        <v>3.2028089574131475</v>
      </c>
      <c r="AV919" s="1">
        <f t="shared" si="116"/>
        <v>2.3980684958425171</v>
      </c>
      <c r="AW919" s="1">
        <f t="shared" si="117"/>
        <v>1.5933280342718865</v>
      </c>
    </row>
    <row r="920" spans="1:49" x14ac:dyDescent="0.2">
      <c r="A920">
        <v>918</v>
      </c>
      <c r="B920" t="s">
        <v>1264</v>
      </c>
      <c r="C920" t="s">
        <v>1263</v>
      </c>
      <c r="D920">
        <v>1011092002802270</v>
      </c>
      <c r="F920" t="s">
        <v>1262</v>
      </c>
      <c r="G920" t="s">
        <v>5</v>
      </c>
      <c r="H920" t="s">
        <v>4</v>
      </c>
      <c r="I920" t="s">
        <v>1261</v>
      </c>
      <c r="J920" t="s">
        <v>1004</v>
      </c>
      <c r="K920" t="s">
        <v>1003</v>
      </c>
      <c r="L920" t="s">
        <v>1002</v>
      </c>
      <c r="M920" t="s">
        <v>3</v>
      </c>
      <c r="N920">
        <v>1</v>
      </c>
      <c r="O920" t="s">
        <v>1260</v>
      </c>
      <c r="P920">
        <v>7006839683</v>
      </c>
      <c r="Q920" t="s">
        <v>1259</v>
      </c>
      <c r="R920" s="7">
        <v>37438</v>
      </c>
      <c r="S920" s="8">
        <f t="shared" si="112"/>
        <v>2002</v>
      </c>
      <c r="T920" s="8">
        <v>2002</v>
      </c>
      <c r="U920" s="8">
        <f t="shared" si="113"/>
        <v>20</v>
      </c>
      <c r="V920" s="7">
        <v>37438</v>
      </c>
      <c r="W920" t="s">
        <v>418</v>
      </c>
      <c r="X920" s="2">
        <v>1.6519999999999999</v>
      </c>
      <c r="Y920" s="6">
        <f t="shared" si="118"/>
        <v>4.409919649769093E-2</v>
      </c>
      <c r="AA920" t="s">
        <v>417</v>
      </c>
      <c r="AB920">
        <v>17337</v>
      </c>
      <c r="AD920" t="s">
        <v>2</v>
      </c>
      <c r="AE920">
        <v>50</v>
      </c>
      <c r="AF920">
        <v>7</v>
      </c>
      <c r="AH920" t="s">
        <v>1258</v>
      </c>
      <c r="AI920" t="s">
        <v>1257</v>
      </c>
      <c r="AJ920" t="s">
        <v>1256</v>
      </c>
      <c r="AK920" t="s">
        <v>1255</v>
      </c>
      <c r="AL920">
        <v>5</v>
      </c>
      <c r="AM920" s="5">
        <f t="shared" si="114"/>
        <v>0.25</v>
      </c>
      <c r="AN920" s="4">
        <f t="shared" si="119"/>
        <v>3.786444528587656E-4</v>
      </c>
      <c r="AO920" s="3"/>
      <c r="AP920">
        <v>0</v>
      </c>
      <c r="AR920" t="s">
        <v>1</v>
      </c>
      <c r="AT920" s="2" t="s">
        <v>0</v>
      </c>
      <c r="AU920" s="1">
        <f t="shared" si="115"/>
        <v>3.098303088424128</v>
      </c>
      <c r="AV920" s="1">
        <f t="shared" si="116"/>
        <v>2.2238920475274848</v>
      </c>
      <c r="AW920" s="1">
        <f t="shared" si="117"/>
        <v>1.3494810066308416</v>
      </c>
    </row>
    <row r="921" spans="1:49" x14ac:dyDescent="0.2">
      <c r="A921">
        <v>919</v>
      </c>
      <c r="B921" t="s">
        <v>1254</v>
      </c>
      <c r="C921" t="s">
        <v>1253</v>
      </c>
      <c r="D921">
        <v>1011092002800730</v>
      </c>
      <c r="F921" t="s">
        <v>1252</v>
      </c>
      <c r="G921" t="s">
        <v>5</v>
      </c>
      <c r="H921" t="s">
        <v>4</v>
      </c>
      <c r="I921" t="s">
        <v>959</v>
      </c>
      <c r="J921" t="s">
        <v>1251</v>
      </c>
      <c r="K921" t="s">
        <v>1250</v>
      </c>
      <c r="L921" t="s">
        <v>1249</v>
      </c>
      <c r="M921" t="s">
        <v>1248</v>
      </c>
      <c r="N921">
        <v>3</v>
      </c>
      <c r="O921" t="s">
        <v>1247</v>
      </c>
      <c r="P921" t="s">
        <v>1246</v>
      </c>
      <c r="Q921" t="s">
        <v>1245</v>
      </c>
      <c r="R921" s="7">
        <v>37438</v>
      </c>
      <c r="S921" s="8">
        <f t="shared" si="112"/>
        <v>2002</v>
      </c>
      <c r="T921" s="8">
        <v>2002</v>
      </c>
      <c r="U921" s="8">
        <f t="shared" si="113"/>
        <v>20</v>
      </c>
      <c r="V921" s="7">
        <v>37438</v>
      </c>
      <c r="W921" t="s">
        <v>418</v>
      </c>
      <c r="X921" s="2">
        <v>1.6519999999999999</v>
      </c>
      <c r="Y921" s="6">
        <f t="shared" si="118"/>
        <v>4.409919649769093E-2</v>
      </c>
      <c r="AA921" t="s">
        <v>417</v>
      </c>
      <c r="AB921">
        <v>17337</v>
      </c>
      <c r="AD921" t="s">
        <v>2</v>
      </c>
      <c r="AE921">
        <v>50</v>
      </c>
      <c r="AF921">
        <v>7</v>
      </c>
      <c r="AH921" t="s">
        <v>1244</v>
      </c>
      <c r="AI921" t="s">
        <v>1243</v>
      </c>
      <c r="AJ921" t="s">
        <v>1242</v>
      </c>
      <c r="AK921" t="s">
        <v>1241</v>
      </c>
      <c r="AL921">
        <v>9</v>
      </c>
      <c r="AM921" s="5">
        <f t="shared" si="114"/>
        <v>0.45</v>
      </c>
      <c r="AN921" s="4">
        <f t="shared" si="119"/>
        <v>6.8156001514577808E-4</v>
      </c>
      <c r="AO921" s="3"/>
      <c r="AP921">
        <v>0</v>
      </c>
      <c r="AR921" t="s">
        <v>1</v>
      </c>
      <c r="AT921" s="2" t="s">
        <v>0</v>
      </c>
      <c r="AU921" s="1">
        <f t="shared" si="115"/>
        <v>3.1073905552927386</v>
      </c>
      <c r="AV921" s="1">
        <f t="shared" si="116"/>
        <v>2.2390378256418355</v>
      </c>
      <c r="AW921" s="1">
        <f t="shared" si="117"/>
        <v>1.3706850959909322</v>
      </c>
    </row>
    <row r="922" spans="1:49" x14ac:dyDescent="0.2">
      <c r="A922">
        <v>920</v>
      </c>
      <c r="B922" t="s">
        <v>1240</v>
      </c>
      <c r="C922" t="s">
        <v>1239</v>
      </c>
      <c r="D922">
        <v>1011092002800700</v>
      </c>
      <c r="F922" t="s">
        <v>1238</v>
      </c>
      <c r="G922" t="s">
        <v>5</v>
      </c>
      <c r="H922" t="s">
        <v>4</v>
      </c>
      <c r="I922" t="s">
        <v>1237</v>
      </c>
      <c r="J922" t="s">
        <v>1236</v>
      </c>
      <c r="K922" t="s">
        <v>1235</v>
      </c>
      <c r="L922" t="s">
        <v>1234</v>
      </c>
      <c r="M922" t="s">
        <v>3</v>
      </c>
      <c r="N922">
        <v>1</v>
      </c>
      <c r="O922" t="s">
        <v>1233</v>
      </c>
      <c r="P922">
        <v>7202984945</v>
      </c>
      <c r="Q922" t="s">
        <v>1232</v>
      </c>
      <c r="R922" s="7">
        <v>37438</v>
      </c>
      <c r="S922" s="8">
        <f t="shared" si="112"/>
        <v>2002</v>
      </c>
      <c r="T922" s="8">
        <v>2002</v>
      </c>
      <c r="U922" s="8">
        <f t="shared" si="113"/>
        <v>20</v>
      </c>
      <c r="V922" s="7">
        <v>37438</v>
      </c>
      <c r="W922" t="s">
        <v>418</v>
      </c>
      <c r="X922" s="2">
        <v>1.6519999999999999</v>
      </c>
      <c r="Y922" s="6">
        <f t="shared" si="118"/>
        <v>4.409919649769093E-2</v>
      </c>
      <c r="AA922" t="s">
        <v>417</v>
      </c>
      <c r="AB922">
        <v>17337</v>
      </c>
      <c r="AD922" t="s">
        <v>2</v>
      </c>
      <c r="AE922">
        <v>50</v>
      </c>
      <c r="AF922">
        <v>7</v>
      </c>
      <c r="AH922" t="s">
        <v>1231</v>
      </c>
      <c r="AI922" t="s">
        <v>1230</v>
      </c>
      <c r="AJ922" t="s">
        <v>1229</v>
      </c>
      <c r="AK922" t="s">
        <v>1228</v>
      </c>
      <c r="AL922">
        <v>18</v>
      </c>
      <c r="AM922" s="5">
        <f t="shared" si="114"/>
        <v>0.9</v>
      </c>
      <c r="AN922" s="4">
        <f t="shared" si="119"/>
        <v>1.3631200302915562E-3</v>
      </c>
      <c r="AO922" s="3"/>
      <c r="AP922">
        <v>0</v>
      </c>
      <c r="AR922" t="s">
        <v>1</v>
      </c>
      <c r="AT922" s="2" t="s">
        <v>0</v>
      </c>
      <c r="AU922" s="1">
        <f t="shared" si="115"/>
        <v>3.1278373557471117</v>
      </c>
      <c r="AV922" s="1">
        <f t="shared" si="116"/>
        <v>2.2731158263991245</v>
      </c>
      <c r="AW922" s="1">
        <f t="shared" si="117"/>
        <v>1.4183942970511367</v>
      </c>
    </row>
    <row r="923" spans="1:49" x14ac:dyDescent="0.2">
      <c r="A923">
        <v>921</v>
      </c>
      <c r="B923" t="s">
        <v>1227</v>
      </c>
      <c r="C923" t="s">
        <v>1226</v>
      </c>
      <c r="D923">
        <v>1011092002800730</v>
      </c>
      <c r="F923" t="s">
        <v>1225</v>
      </c>
      <c r="G923" t="s">
        <v>5</v>
      </c>
      <c r="H923" t="s">
        <v>4</v>
      </c>
      <c r="I923" t="s">
        <v>1224</v>
      </c>
      <c r="J923" t="s">
        <v>1223</v>
      </c>
      <c r="K923" t="s">
        <v>1222</v>
      </c>
      <c r="L923" t="s">
        <v>1221</v>
      </c>
      <c r="M923" t="s">
        <v>1220</v>
      </c>
      <c r="N923">
        <v>3</v>
      </c>
      <c r="O923" t="s">
        <v>1219</v>
      </c>
      <c r="P923" t="s">
        <v>1218</v>
      </c>
      <c r="Q923" t="s">
        <v>1217</v>
      </c>
      <c r="R923" s="7">
        <v>37438</v>
      </c>
      <c r="S923" s="8">
        <f t="shared" si="112"/>
        <v>2002</v>
      </c>
      <c r="T923" s="8">
        <v>2002</v>
      </c>
      <c r="U923" s="8">
        <f t="shared" si="113"/>
        <v>20</v>
      </c>
      <c r="V923" s="7">
        <v>37438</v>
      </c>
      <c r="W923" t="s">
        <v>418</v>
      </c>
      <c r="X923" s="2">
        <v>1.6519999999999999</v>
      </c>
      <c r="Y923" s="6">
        <f t="shared" si="118"/>
        <v>4.409919649769093E-2</v>
      </c>
      <c r="AA923" t="s">
        <v>417</v>
      </c>
      <c r="AB923">
        <v>17337</v>
      </c>
      <c r="AD923" t="s">
        <v>2</v>
      </c>
      <c r="AE923">
        <v>50</v>
      </c>
      <c r="AF923">
        <v>7</v>
      </c>
      <c r="AH923" t="s">
        <v>1216</v>
      </c>
      <c r="AI923" t="s">
        <v>1215</v>
      </c>
      <c r="AJ923" t="s">
        <v>1214</v>
      </c>
      <c r="AK923" t="s">
        <v>1213</v>
      </c>
      <c r="AL923">
        <v>5</v>
      </c>
      <c r="AM923" s="5">
        <f t="shared" si="114"/>
        <v>0.25</v>
      </c>
      <c r="AN923" s="4">
        <f t="shared" si="119"/>
        <v>3.786444528587656E-4</v>
      </c>
      <c r="AO923" s="3"/>
      <c r="AP923">
        <v>0</v>
      </c>
      <c r="AR923" t="s">
        <v>1</v>
      </c>
      <c r="AT923" s="2" t="s">
        <v>0</v>
      </c>
      <c r="AU923" s="1">
        <f t="shared" si="115"/>
        <v>3.098303088424128</v>
      </c>
      <c r="AV923" s="1">
        <f t="shared" si="116"/>
        <v>2.2238920475274848</v>
      </c>
      <c r="AW923" s="1">
        <f t="shared" si="117"/>
        <v>1.3494810066308416</v>
      </c>
    </row>
    <row r="924" spans="1:49" x14ac:dyDescent="0.2">
      <c r="A924">
        <v>922</v>
      </c>
      <c r="B924" t="s">
        <v>1212</v>
      </c>
      <c r="C924" t="s">
        <v>1211</v>
      </c>
      <c r="D924">
        <v>1011092002800700</v>
      </c>
      <c r="F924" t="s">
        <v>1210</v>
      </c>
      <c r="G924" t="s">
        <v>5</v>
      </c>
      <c r="H924" t="s">
        <v>4</v>
      </c>
      <c r="I924" t="s">
        <v>1209</v>
      </c>
      <c r="J924">
        <v>60033021</v>
      </c>
      <c r="K924" t="s">
        <v>1208</v>
      </c>
      <c r="L924" t="s">
        <v>224</v>
      </c>
      <c r="M924" t="s">
        <v>7</v>
      </c>
      <c r="N924">
        <v>2</v>
      </c>
      <c r="O924" t="s">
        <v>1207</v>
      </c>
      <c r="P924" t="s">
        <v>1206</v>
      </c>
      <c r="Q924" t="s">
        <v>1205</v>
      </c>
      <c r="R924" s="7">
        <v>37438</v>
      </c>
      <c r="S924" s="8">
        <f t="shared" si="112"/>
        <v>2002</v>
      </c>
      <c r="T924" s="8">
        <v>2002</v>
      </c>
      <c r="U924" s="8">
        <f t="shared" si="113"/>
        <v>20</v>
      </c>
      <c r="V924" s="7">
        <v>37438</v>
      </c>
      <c r="W924" t="s">
        <v>418</v>
      </c>
      <c r="X924" s="2">
        <v>1.6519999999999999</v>
      </c>
      <c r="Y924" s="6">
        <f t="shared" si="118"/>
        <v>4.409919649769093E-2</v>
      </c>
      <c r="AA924" t="s">
        <v>417</v>
      </c>
      <c r="AB924">
        <v>17337</v>
      </c>
      <c r="AD924" t="s">
        <v>2</v>
      </c>
      <c r="AE924">
        <v>50</v>
      </c>
      <c r="AF924">
        <v>7</v>
      </c>
      <c r="AH924" t="s">
        <v>1204</v>
      </c>
      <c r="AI924" t="s">
        <v>1203</v>
      </c>
      <c r="AJ924" t="s">
        <v>1202</v>
      </c>
      <c r="AK924" t="s">
        <v>1201</v>
      </c>
      <c r="AL924">
        <v>2</v>
      </c>
      <c r="AM924" s="5">
        <f t="shared" si="114"/>
        <v>0.1</v>
      </c>
      <c r="AN924" s="4">
        <f t="shared" si="119"/>
        <v>1.5145778114350627E-4</v>
      </c>
      <c r="AO924" s="3"/>
      <c r="AP924">
        <v>0</v>
      </c>
      <c r="AQ924" t="s">
        <v>813</v>
      </c>
      <c r="AR924" t="s">
        <v>1</v>
      </c>
      <c r="AS924" t="s">
        <v>812</v>
      </c>
      <c r="AT924" s="2" t="s">
        <v>0</v>
      </c>
      <c r="AU924" s="1">
        <f t="shared" si="115"/>
        <v>3.0914874882726702</v>
      </c>
      <c r="AV924" s="1">
        <f t="shared" si="116"/>
        <v>2.2125327139417217</v>
      </c>
      <c r="AW924" s="1">
        <f t="shared" si="117"/>
        <v>1.3335779396107732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2021-11-09T16:50:20Z</dcterms:created>
  <dcterms:modified xsi:type="dcterms:W3CDTF">2022-01-19T20:33:06Z</dcterms:modified>
</cp:coreProperties>
</file>