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2695870A-207D-D748-A1A5-7B68A8C08B14}" xr6:coauthVersionLast="47" xr6:coauthVersionMax="47" xr10:uidLastSave="{8B5F3AE9-DB63-734F-A474-D5E9EFAB8F1B}"/>
  <bookViews>
    <workbookView xWindow="12280" yWindow="1020" windowWidth="28460" windowHeight="24560" xr2:uid="{13BFD9F1-03FC-1F4B-835F-58D723B3D823}"/>
  </bookViews>
  <sheets>
    <sheet name="1985"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AM3" i="1" s="1"/>
  <c r="AN3" i="1" s="1"/>
  <c r="Y3" i="1"/>
  <c r="S4" i="1"/>
  <c r="U4" i="1"/>
  <c r="Y4" i="1"/>
  <c r="AM4" i="1"/>
  <c r="AN4" i="1" s="1"/>
  <c r="S5" i="1"/>
  <c r="U5" i="1"/>
  <c r="Y5" i="1"/>
  <c r="AM5" i="1"/>
  <c r="AN5" i="1" s="1"/>
  <c r="S6" i="1"/>
  <c r="U6" i="1"/>
  <c r="Y6" i="1"/>
  <c r="AM6" i="1"/>
  <c r="AN6" i="1" s="1"/>
  <c r="AU6" i="1" s="1"/>
  <c r="S7" i="1"/>
  <c r="U7" i="1"/>
  <c r="AM7" i="1" s="1"/>
  <c r="AN7" i="1" s="1"/>
  <c r="Y7" i="1"/>
  <c r="S8" i="1"/>
  <c r="U8" i="1"/>
  <c r="Y8" i="1"/>
  <c r="AM8" i="1"/>
  <c r="AN8" i="1" s="1"/>
  <c r="S9" i="1"/>
  <c r="U9" i="1"/>
  <c r="Y9" i="1"/>
  <c r="AM9" i="1"/>
  <c r="AN9" i="1" s="1"/>
  <c r="S10" i="1"/>
  <c r="U10" i="1"/>
  <c r="AM10" i="1" s="1"/>
  <c r="AN10" i="1" s="1"/>
  <c r="Y10" i="1"/>
  <c r="S11" i="1"/>
  <c r="U11" i="1"/>
  <c r="AM11" i="1" s="1"/>
  <c r="AN11" i="1" s="1"/>
  <c r="Y11" i="1"/>
  <c r="S12" i="1"/>
  <c r="U12" i="1"/>
  <c r="AM12" i="1" s="1"/>
  <c r="AN12" i="1" s="1"/>
  <c r="Y12" i="1"/>
  <c r="S13" i="1"/>
  <c r="U13" i="1"/>
  <c r="Y13" i="1"/>
  <c r="AM13" i="1"/>
  <c r="AN13" i="1" s="1"/>
  <c r="S14" i="1"/>
  <c r="U14" i="1"/>
  <c r="AM14" i="1" s="1"/>
  <c r="AN14" i="1" s="1"/>
  <c r="Y14" i="1"/>
  <c r="S15" i="1"/>
  <c r="U15" i="1"/>
  <c r="AM15" i="1" s="1"/>
  <c r="AN15" i="1" s="1"/>
  <c r="Y15" i="1"/>
  <c r="S16" i="1"/>
  <c r="U16" i="1"/>
  <c r="AM16" i="1" s="1"/>
  <c r="AN16" i="1" s="1"/>
  <c r="Y16" i="1"/>
  <c r="S17" i="1"/>
  <c r="U17" i="1"/>
  <c r="AM17" i="1" s="1"/>
  <c r="AN17" i="1" s="1"/>
  <c r="Y17" i="1"/>
  <c r="S18" i="1"/>
  <c r="U18" i="1"/>
  <c r="Y18" i="1"/>
  <c r="AM18" i="1"/>
  <c r="AN18" i="1" s="1"/>
  <c r="S19" i="1"/>
  <c r="U19" i="1"/>
  <c r="Y19" i="1"/>
  <c r="AM19" i="1"/>
  <c r="AN19" i="1" s="1"/>
  <c r="S20" i="1"/>
  <c r="U20" i="1"/>
  <c r="AM20" i="1" s="1"/>
  <c r="AN20" i="1" s="1"/>
  <c r="Y20" i="1"/>
  <c r="S21" i="1"/>
  <c r="U21" i="1"/>
  <c r="Y21" i="1"/>
  <c r="AM21" i="1"/>
  <c r="AN21" i="1"/>
  <c r="AW21" i="1"/>
  <c r="S22" i="1"/>
  <c r="U22" i="1"/>
  <c r="AM22" i="1" s="1"/>
  <c r="AN22" i="1" s="1"/>
  <c r="Y22" i="1"/>
  <c r="S23" i="1"/>
  <c r="U23" i="1"/>
  <c r="AM23" i="1" s="1"/>
  <c r="AN23" i="1" s="1"/>
  <c r="Y23" i="1"/>
  <c r="S24" i="1"/>
  <c r="U24" i="1"/>
  <c r="Y24" i="1"/>
  <c r="AM24" i="1"/>
  <c r="AN24" i="1" s="1"/>
  <c r="S25" i="1"/>
  <c r="U25" i="1"/>
  <c r="AM25" i="1" s="1"/>
  <c r="AN25" i="1" s="1"/>
  <c r="AV25" i="1" s="1"/>
  <c r="Y25" i="1"/>
  <c r="S26" i="1"/>
  <c r="U26" i="1"/>
  <c r="Y26" i="1"/>
  <c r="AM26" i="1"/>
  <c r="AN26" i="1" s="1"/>
  <c r="S27" i="1"/>
  <c r="U27" i="1"/>
  <c r="AM27" i="1" s="1"/>
  <c r="AN27" i="1" s="1"/>
  <c r="Y27" i="1"/>
  <c r="S28" i="1"/>
  <c r="U28" i="1"/>
  <c r="AM28" i="1" s="1"/>
  <c r="AN28" i="1" s="1"/>
  <c r="Y28" i="1"/>
  <c r="S29" i="1"/>
  <c r="U29" i="1"/>
  <c r="AM29" i="1" s="1"/>
  <c r="AN29" i="1" s="1"/>
  <c r="Y29" i="1"/>
  <c r="S30" i="1"/>
  <c r="U30" i="1"/>
  <c r="Y30" i="1"/>
  <c r="AM30" i="1"/>
  <c r="AN30" i="1" s="1"/>
  <c r="AV30" i="1" s="1"/>
  <c r="S31" i="1"/>
  <c r="U31" i="1"/>
  <c r="Y31" i="1"/>
  <c r="AM31" i="1"/>
  <c r="AN31" i="1"/>
  <c r="AU31" i="1" s="1"/>
  <c r="S32" i="1"/>
  <c r="U32" i="1"/>
  <c r="AM32" i="1" s="1"/>
  <c r="AN32" i="1" s="1"/>
  <c r="Y32" i="1"/>
  <c r="S33" i="1"/>
  <c r="U33" i="1"/>
  <c r="Y33" i="1"/>
  <c r="AM33" i="1"/>
  <c r="AN33" i="1"/>
  <c r="S34" i="1"/>
  <c r="U34" i="1"/>
  <c r="AM34" i="1" s="1"/>
  <c r="AN34" i="1" s="1"/>
  <c r="Y34" i="1"/>
  <c r="S35" i="1"/>
  <c r="U35" i="1"/>
  <c r="AM35" i="1" s="1"/>
  <c r="AN35" i="1" s="1"/>
  <c r="Y35" i="1"/>
  <c r="S36" i="1"/>
  <c r="U36" i="1"/>
  <c r="Y36" i="1"/>
  <c r="AV36" i="1" s="1"/>
  <c r="AM36" i="1"/>
  <c r="AN36" i="1" s="1"/>
  <c r="S37" i="1"/>
  <c r="U37" i="1"/>
  <c r="AM37" i="1" s="1"/>
  <c r="AN37" i="1" s="1"/>
  <c r="Y37" i="1"/>
  <c r="S38" i="1"/>
  <c r="U38" i="1"/>
  <c r="Y38" i="1"/>
  <c r="AM38" i="1"/>
  <c r="AN38" i="1"/>
  <c r="S39" i="1"/>
  <c r="U39" i="1"/>
  <c r="AM39" i="1" s="1"/>
  <c r="AN39" i="1" s="1"/>
  <c r="Y39" i="1"/>
  <c r="S40" i="1"/>
  <c r="U40" i="1"/>
  <c r="Y40" i="1"/>
  <c r="AM40" i="1"/>
  <c r="AN40" i="1" s="1"/>
  <c r="S41" i="1"/>
  <c r="U41" i="1"/>
  <c r="Y41" i="1"/>
  <c r="AM41" i="1"/>
  <c r="AN41" i="1" s="1"/>
  <c r="S42" i="1"/>
  <c r="U42" i="1"/>
  <c r="AM42" i="1" s="1"/>
  <c r="AN42" i="1" s="1"/>
  <c r="Y42" i="1"/>
  <c r="S43" i="1"/>
  <c r="U43" i="1"/>
  <c r="AM43" i="1" s="1"/>
  <c r="AN43" i="1" s="1"/>
  <c r="Y43" i="1"/>
  <c r="S44" i="1"/>
  <c r="U44" i="1"/>
  <c r="Y44" i="1"/>
  <c r="AM44" i="1"/>
  <c r="AN44" i="1" s="1"/>
  <c r="S45" i="1"/>
  <c r="U45" i="1"/>
  <c r="AM45" i="1" s="1"/>
  <c r="AN45" i="1" s="1"/>
  <c r="Y45" i="1"/>
  <c r="S46" i="1"/>
  <c r="U46" i="1"/>
  <c r="Y46" i="1"/>
  <c r="AM46" i="1"/>
  <c r="AN46" i="1" s="1"/>
  <c r="S47" i="1"/>
  <c r="U47" i="1"/>
  <c r="AM47" i="1" s="1"/>
  <c r="AN47" i="1" s="1"/>
  <c r="Y47" i="1"/>
  <c r="S48" i="1"/>
  <c r="U48" i="1"/>
  <c r="AM48" i="1" s="1"/>
  <c r="AN48" i="1" s="1"/>
  <c r="Y48" i="1"/>
  <c r="S49" i="1"/>
  <c r="U49" i="1"/>
  <c r="AM49" i="1" s="1"/>
  <c r="AN49" i="1" s="1"/>
  <c r="Y49" i="1"/>
  <c r="S50" i="1"/>
  <c r="U50" i="1"/>
  <c r="AM50" i="1" s="1"/>
  <c r="AN50" i="1" s="1"/>
  <c r="Y50" i="1"/>
  <c r="S51" i="1"/>
  <c r="U51" i="1"/>
  <c r="Y51" i="1"/>
  <c r="AM51" i="1"/>
  <c r="AN51" i="1" s="1"/>
  <c r="S52" i="1"/>
  <c r="U52" i="1"/>
  <c r="AM52" i="1" s="1"/>
  <c r="AN52" i="1" s="1"/>
  <c r="Y52" i="1"/>
  <c r="S53" i="1"/>
  <c r="U53" i="1"/>
  <c r="Y53" i="1"/>
  <c r="AM53" i="1"/>
  <c r="AN53" i="1"/>
  <c r="S54" i="1"/>
  <c r="U54" i="1"/>
  <c r="AM54" i="1" s="1"/>
  <c r="AN54" i="1" s="1"/>
  <c r="Y54" i="1"/>
  <c r="S55" i="1"/>
  <c r="U55" i="1"/>
  <c r="AM55" i="1" s="1"/>
  <c r="AN55" i="1" s="1"/>
  <c r="Y55" i="1"/>
  <c r="S56" i="1"/>
  <c r="U56" i="1"/>
  <c r="AM56" i="1" s="1"/>
  <c r="AN56" i="1" s="1"/>
  <c r="Y56" i="1"/>
  <c r="S57" i="1"/>
  <c r="U57" i="1"/>
  <c r="AM57" i="1" s="1"/>
  <c r="AN57" i="1" s="1"/>
  <c r="Y57" i="1"/>
  <c r="S58" i="1"/>
  <c r="U58" i="1"/>
  <c r="AM58" i="1" s="1"/>
  <c r="AN58" i="1" s="1"/>
  <c r="Y58" i="1"/>
  <c r="S59" i="1"/>
  <c r="U59" i="1"/>
  <c r="Y59" i="1"/>
  <c r="AM59" i="1"/>
  <c r="AN59" i="1" s="1"/>
  <c r="S60" i="1"/>
  <c r="U60" i="1"/>
  <c r="Y60" i="1"/>
  <c r="AM60" i="1"/>
  <c r="AN60" i="1" s="1"/>
  <c r="AV60" i="1" s="1"/>
  <c r="S61" i="1"/>
  <c r="U61" i="1"/>
  <c r="Y61" i="1"/>
  <c r="AM61" i="1"/>
  <c r="AN61" i="1" s="1"/>
  <c r="S62" i="1"/>
  <c r="U62" i="1"/>
  <c r="AM62" i="1" s="1"/>
  <c r="AN62" i="1" s="1"/>
  <c r="Y62" i="1"/>
  <c r="S63" i="1"/>
  <c r="U63" i="1"/>
  <c r="AM63" i="1" s="1"/>
  <c r="AN63" i="1" s="1"/>
  <c r="Y63" i="1"/>
  <c r="S64" i="1"/>
  <c r="U64" i="1"/>
  <c r="AM64" i="1" s="1"/>
  <c r="AN64" i="1" s="1"/>
  <c r="Y64" i="1"/>
  <c r="S65" i="1"/>
  <c r="U65" i="1"/>
  <c r="Y65" i="1"/>
  <c r="AM65" i="1"/>
  <c r="AN65" i="1"/>
  <c r="AV65" i="1" s="1"/>
  <c r="S66" i="1"/>
  <c r="U66" i="1"/>
  <c r="Y66" i="1"/>
  <c r="AM66" i="1"/>
  <c r="AN66" i="1" s="1"/>
  <c r="S67" i="1"/>
  <c r="U67" i="1"/>
  <c r="AM67" i="1" s="1"/>
  <c r="AN67" i="1" s="1"/>
  <c r="Y67" i="1"/>
  <c r="S68" i="1"/>
  <c r="U68" i="1"/>
  <c r="Y68" i="1"/>
  <c r="AM68" i="1"/>
  <c r="AN68" i="1"/>
  <c r="S69" i="1"/>
  <c r="U69" i="1"/>
  <c r="Y69" i="1"/>
  <c r="AM69" i="1"/>
  <c r="AN69" i="1" s="1"/>
  <c r="S70" i="1"/>
  <c r="U70" i="1"/>
  <c r="Y70" i="1"/>
  <c r="AM70" i="1"/>
  <c r="AN70" i="1" s="1"/>
  <c r="AV70" i="1" s="1"/>
  <c r="S71" i="1"/>
  <c r="U71" i="1"/>
  <c r="AM71" i="1" s="1"/>
  <c r="AN71" i="1" s="1"/>
  <c r="Y71" i="1"/>
  <c r="S72" i="1"/>
  <c r="U72" i="1"/>
  <c r="AM72" i="1" s="1"/>
  <c r="AN72" i="1" s="1"/>
  <c r="Y72" i="1"/>
  <c r="S73" i="1"/>
  <c r="U73" i="1"/>
  <c r="AM73" i="1" s="1"/>
  <c r="AN73" i="1" s="1"/>
  <c r="AV73" i="1" s="1"/>
  <c r="Y73" i="1"/>
  <c r="S74" i="1"/>
  <c r="U74" i="1"/>
  <c r="AM74" i="1" s="1"/>
  <c r="AN74" i="1" s="1"/>
  <c r="Y74" i="1"/>
  <c r="S75" i="1"/>
  <c r="U75" i="1"/>
  <c r="Y75" i="1"/>
  <c r="AM75" i="1"/>
  <c r="AN75" i="1" s="1"/>
  <c r="S76" i="1"/>
  <c r="U76" i="1"/>
  <c r="Y76" i="1"/>
  <c r="AM76" i="1"/>
  <c r="AN76" i="1"/>
  <c r="AV76" i="1"/>
  <c r="S77" i="1"/>
  <c r="U77" i="1"/>
  <c r="AM77" i="1" s="1"/>
  <c r="AN77" i="1" s="1"/>
  <c r="Y77" i="1"/>
  <c r="S78" i="1"/>
  <c r="U78" i="1"/>
  <c r="AM78" i="1" s="1"/>
  <c r="AN78" i="1" s="1"/>
  <c r="Y78" i="1"/>
  <c r="S79" i="1"/>
  <c r="U79" i="1"/>
  <c r="AM79" i="1" s="1"/>
  <c r="AN79" i="1" s="1"/>
  <c r="Y79" i="1"/>
  <c r="S80" i="1"/>
  <c r="U80" i="1"/>
  <c r="Y80" i="1"/>
  <c r="AM80" i="1"/>
  <c r="AN80" i="1"/>
  <c r="AV80" i="1"/>
  <c r="S81" i="1"/>
  <c r="U81" i="1"/>
  <c r="AM81" i="1" s="1"/>
  <c r="AN81" i="1" s="1"/>
  <c r="Y81" i="1"/>
  <c r="S82" i="1"/>
  <c r="U82" i="1"/>
  <c r="AM82" i="1" s="1"/>
  <c r="AN82" i="1" s="1"/>
  <c r="Y82" i="1"/>
  <c r="S83" i="1"/>
  <c r="U83" i="1"/>
  <c r="AM83" i="1" s="1"/>
  <c r="AN83" i="1" s="1"/>
  <c r="Y83" i="1"/>
  <c r="S84" i="1"/>
  <c r="U84" i="1"/>
  <c r="AM84" i="1" s="1"/>
  <c r="AN84" i="1" s="1"/>
  <c r="Y84" i="1"/>
  <c r="S85" i="1"/>
  <c r="U85" i="1"/>
  <c r="Y85" i="1"/>
  <c r="AM85" i="1"/>
  <c r="AN85" i="1" s="1"/>
  <c r="S86" i="1"/>
  <c r="U86" i="1"/>
  <c r="Y86" i="1"/>
  <c r="AM86" i="1"/>
  <c r="AN86" i="1"/>
  <c r="AV86" i="1" s="1"/>
  <c r="S87" i="1"/>
  <c r="U87" i="1"/>
  <c r="AM87" i="1" s="1"/>
  <c r="AN87" i="1" s="1"/>
  <c r="Y87" i="1"/>
  <c r="S88" i="1"/>
  <c r="U88" i="1"/>
  <c r="Y88" i="1"/>
  <c r="AM88" i="1"/>
  <c r="AN88" i="1" s="1"/>
  <c r="S89" i="1"/>
  <c r="U89" i="1"/>
  <c r="Y89" i="1"/>
  <c r="AM89" i="1"/>
  <c r="AN89" i="1" s="1"/>
  <c r="S90" i="1"/>
  <c r="U90" i="1"/>
  <c r="Y90" i="1"/>
  <c r="AM90" i="1"/>
  <c r="AN90" i="1" s="1"/>
  <c r="S91" i="1"/>
  <c r="U91" i="1"/>
  <c r="AM91" i="1" s="1"/>
  <c r="AN91" i="1" s="1"/>
  <c r="Y91" i="1"/>
  <c r="AV91" i="1" s="1"/>
  <c r="S92" i="1"/>
  <c r="U92" i="1"/>
  <c r="AM92" i="1" s="1"/>
  <c r="AN92" i="1" s="1"/>
  <c r="Y92" i="1"/>
  <c r="AU92" i="1" s="1"/>
  <c r="S93" i="1"/>
  <c r="U93" i="1"/>
  <c r="AM93" i="1" s="1"/>
  <c r="AN93" i="1" s="1"/>
  <c r="Y93" i="1"/>
  <c r="S94" i="1"/>
  <c r="U94" i="1"/>
  <c r="Y94" i="1"/>
  <c r="AM94" i="1"/>
  <c r="AN94" i="1" s="1"/>
  <c r="S95" i="1"/>
  <c r="U95" i="1"/>
  <c r="AM95" i="1" s="1"/>
  <c r="AN95" i="1" s="1"/>
  <c r="Y95" i="1"/>
  <c r="S96" i="1"/>
  <c r="U96" i="1"/>
  <c r="AM96" i="1" s="1"/>
  <c r="AN96" i="1" s="1"/>
  <c r="Y96" i="1"/>
  <c r="S97" i="1"/>
  <c r="U97" i="1"/>
  <c r="AM97" i="1" s="1"/>
  <c r="AN97" i="1" s="1"/>
  <c r="Y97" i="1"/>
  <c r="AU97" i="1" s="1"/>
  <c r="S98" i="1"/>
  <c r="U98" i="1"/>
  <c r="Y98" i="1"/>
  <c r="AM98" i="1"/>
  <c r="AN98" i="1" s="1"/>
  <c r="S99" i="1"/>
  <c r="U99" i="1"/>
  <c r="Y99" i="1"/>
  <c r="AM99" i="1"/>
  <c r="AN99" i="1" s="1"/>
  <c r="S100" i="1"/>
  <c r="U100" i="1"/>
  <c r="AM100" i="1" s="1"/>
  <c r="AN100" i="1" s="1"/>
  <c r="Y100" i="1"/>
  <c r="S101" i="1"/>
  <c r="U101" i="1"/>
  <c r="Y101" i="1"/>
  <c r="AM101" i="1"/>
  <c r="AN101" i="1" s="1"/>
  <c r="AV101" i="1" s="1"/>
  <c r="S102" i="1"/>
  <c r="U102" i="1"/>
  <c r="AM102" i="1" s="1"/>
  <c r="AN102" i="1" s="1"/>
  <c r="Y102" i="1"/>
  <c r="AU102" i="1" s="1"/>
  <c r="S103" i="1"/>
  <c r="U103" i="1"/>
  <c r="Y103" i="1"/>
  <c r="AM103" i="1"/>
  <c r="AN103" i="1" s="1"/>
  <c r="AV103" i="1" s="1"/>
  <c r="S104" i="1"/>
  <c r="U104" i="1"/>
  <c r="AM104" i="1" s="1"/>
  <c r="AN104" i="1" s="1"/>
  <c r="Y104" i="1"/>
  <c r="S105" i="1"/>
  <c r="U105" i="1"/>
  <c r="AM105" i="1" s="1"/>
  <c r="AN105" i="1" s="1"/>
  <c r="AV105" i="1" s="1"/>
  <c r="Y105" i="1"/>
  <c r="S106" i="1"/>
  <c r="U106" i="1"/>
  <c r="AM106" i="1" s="1"/>
  <c r="AN106" i="1" s="1"/>
  <c r="AV106" i="1" s="1"/>
  <c r="Y106" i="1"/>
  <c r="S107" i="1"/>
  <c r="U107" i="1"/>
  <c r="AM107" i="1" s="1"/>
  <c r="AN107" i="1" s="1"/>
  <c r="Y107" i="1"/>
  <c r="S108" i="1"/>
  <c r="U108" i="1"/>
  <c r="Y108" i="1"/>
  <c r="AM108" i="1"/>
  <c r="AN108" i="1" s="1"/>
  <c r="S109" i="1"/>
  <c r="U109" i="1"/>
  <c r="AM109" i="1" s="1"/>
  <c r="AN109" i="1" s="1"/>
  <c r="Y109" i="1"/>
  <c r="S110" i="1"/>
  <c r="U110" i="1"/>
  <c r="AM110" i="1" s="1"/>
  <c r="AN110" i="1" s="1"/>
  <c r="AV110" i="1" s="1"/>
  <c r="Y110" i="1"/>
  <c r="S111" i="1"/>
  <c r="U111" i="1"/>
  <c r="Y111" i="1"/>
  <c r="AM111" i="1"/>
  <c r="AN111" i="1" s="1"/>
  <c r="S112" i="1"/>
  <c r="U112" i="1"/>
  <c r="AM112" i="1" s="1"/>
  <c r="AN112" i="1" s="1"/>
  <c r="Y112" i="1"/>
  <c r="S113" i="1"/>
  <c r="U113" i="1"/>
  <c r="AM113" i="1" s="1"/>
  <c r="AN113" i="1" s="1"/>
  <c r="Y113" i="1"/>
  <c r="S114" i="1"/>
  <c r="U114" i="1"/>
  <c r="AM114" i="1" s="1"/>
  <c r="AN114" i="1" s="1"/>
  <c r="Y114" i="1"/>
  <c r="S115" i="1"/>
  <c r="U115" i="1"/>
  <c r="AM115" i="1" s="1"/>
  <c r="AN115" i="1" s="1"/>
  <c r="AV115" i="1" s="1"/>
  <c r="Y115" i="1"/>
  <c r="S116" i="1"/>
  <c r="U116" i="1"/>
  <c r="AM116" i="1" s="1"/>
  <c r="AN116" i="1" s="1"/>
  <c r="Y116" i="1"/>
  <c r="S117" i="1"/>
  <c r="U117" i="1"/>
  <c r="AM117" i="1" s="1"/>
  <c r="AN117" i="1" s="1"/>
  <c r="AV117" i="1" s="1"/>
  <c r="Y117" i="1"/>
  <c r="S118" i="1"/>
  <c r="U118" i="1"/>
  <c r="Y118" i="1"/>
  <c r="AM118" i="1"/>
  <c r="AN118" i="1" s="1"/>
  <c r="S119" i="1"/>
  <c r="U119" i="1"/>
  <c r="Y119" i="1"/>
  <c r="AM119" i="1"/>
  <c r="AN119" i="1" s="1"/>
  <c r="S120" i="1"/>
  <c r="U120" i="1"/>
  <c r="AM120" i="1" s="1"/>
  <c r="AN120" i="1" s="1"/>
  <c r="Y120" i="1"/>
  <c r="AV120" i="1" s="1"/>
  <c r="S121" i="1"/>
  <c r="U121" i="1"/>
  <c r="Y121" i="1"/>
  <c r="AV121" i="1" s="1"/>
  <c r="AM121" i="1"/>
  <c r="AN121" i="1" s="1"/>
  <c r="S122" i="1"/>
  <c r="U122" i="1"/>
  <c r="AM122" i="1" s="1"/>
  <c r="AN122" i="1" s="1"/>
  <c r="AV122" i="1" s="1"/>
  <c r="Y122" i="1"/>
  <c r="S123" i="1"/>
  <c r="U123" i="1"/>
  <c r="Y123" i="1"/>
  <c r="AM123" i="1"/>
  <c r="AN123" i="1"/>
  <c r="S124" i="1"/>
  <c r="U124" i="1"/>
  <c r="AM124" i="1" s="1"/>
  <c r="AN124" i="1" s="1"/>
  <c r="Y124" i="1"/>
  <c r="S125" i="1"/>
  <c r="U125" i="1"/>
  <c r="AM125" i="1" s="1"/>
  <c r="AN125" i="1" s="1"/>
  <c r="Y125" i="1"/>
  <c r="AV125" i="1" s="1"/>
  <c r="S126" i="1"/>
  <c r="U126" i="1"/>
  <c r="Y126" i="1"/>
  <c r="AM126" i="1"/>
  <c r="AN126" i="1" s="1"/>
  <c r="AV126" i="1" s="1"/>
  <c r="S127" i="1"/>
  <c r="U127" i="1"/>
  <c r="AM127" i="1" s="1"/>
  <c r="AN127" i="1" s="1"/>
  <c r="Y127" i="1"/>
  <c r="S128" i="1"/>
  <c r="U128" i="1"/>
  <c r="Y128" i="1"/>
  <c r="AM128" i="1"/>
  <c r="AN128" i="1"/>
  <c r="AV128" i="1"/>
  <c r="S129" i="1"/>
  <c r="U129" i="1"/>
  <c r="AM129" i="1" s="1"/>
  <c r="AN129" i="1" s="1"/>
  <c r="Y129" i="1"/>
  <c r="S130" i="1"/>
  <c r="U130" i="1"/>
  <c r="Y130" i="1"/>
  <c r="AM130" i="1"/>
  <c r="AN130" i="1" s="1"/>
  <c r="S131" i="1"/>
  <c r="U131" i="1"/>
  <c r="AM131" i="1" s="1"/>
  <c r="AN131" i="1" s="1"/>
  <c r="Y131" i="1"/>
  <c r="S132" i="1"/>
  <c r="U132" i="1"/>
  <c r="AM132" i="1" s="1"/>
  <c r="AN132" i="1" s="1"/>
  <c r="Y132" i="1"/>
  <c r="S133" i="1"/>
  <c r="U133" i="1"/>
  <c r="Y133" i="1"/>
  <c r="AM133" i="1"/>
  <c r="AN133" i="1" s="1"/>
  <c r="S134" i="1"/>
  <c r="U134" i="1"/>
  <c r="AM134" i="1" s="1"/>
  <c r="AN134" i="1" s="1"/>
  <c r="Y134" i="1"/>
  <c r="S135" i="1"/>
  <c r="U135" i="1"/>
  <c r="AM135" i="1" s="1"/>
  <c r="AN135" i="1" s="1"/>
  <c r="Y135" i="1"/>
  <c r="S136" i="1"/>
  <c r="U136" i="1"/>
  <c r="AM136" i="1" s="1"/>
  <c r="AN136" i="1" s="1"/>
  <c r="Y136" i="1"/>
  <c r="S137" i="1"/>
  <c r="U137" i="1"/>
  <c r="Y137" i="1"/>
  <c r="AM137" i="1"/>
  <c r="AN137" i="1" s="1"/>
  <c r="AV137" i="1" s="1"/>
  <c r="S138" i="1"/>
  <c r="U138" i="1"/>
  <c r="AM138" i="1" s="1"/>
  <c r="AN138" i="1" s="1"/>
  <c r="Y138" i="1"/>
  <c r="S139" i="1"/>
  <c r="U139" i="1"/>
  <c r="AM139" i="1" s="1"/>
  <c r="AN139" i="1" s="1"/>
  <c r="Y139" i="1"/>
  <c r="S140" i="1"/>
  <c r="U140" i="1"/>
  <c r="AM140" i="1" s="1"/>
  <c r="AN140" i="1" s="1"/>
  <c r="Y140" i="1"/>
  <c r="S141" i="1"/>
  <c r="U141" i="1"/>
  <c r="AM141" i="1" s="1"/>
  <c r="AN141" i="1" s="1"/>
  <c r="Y141" i="1"/>
  <c r="S142" i="1"/>
  <c r="U142" i="1"/>
  <c r="AM142" i="1" s="1"/>
  <c r="AN142" i="1" s="1"/>
  <c r="Y142" i="1"/>
  <c r="S143" i="1"/>
  <c r="U143" i="1"/>
  <c r="AM143" i="1" s="1"/>
  <c r="AN143" i="1" s="1"/>
  <c r="AV143" i="1" s="1"/>
  <c r="Y143" i="1"/>
  <c r="S144" i="1"/>
  <c r="U144" i="1"/>
  <c r="AM144" i="1" s="1"/>
  <c r="AN144" i="1" s="1"/>
  <c r="Y144" i="1"/>
  <c r="S145" i="1"/>
  <c r="U145" i="1"/>
  <c r="AM145" i="1" s="1"/>
  <c r="AN145" i="1" s="1"/>
  <c r="Y145" i="1"/>
  <c r="S146" i="1"/>
  <c r="U146" i="1"/>
  <c r="AM146" i="1" s="1"/>
  <c r="AN146" i="1" s="1"/>
  <c r="Y146" i="1"/>
  <c r="S147" i="1"/>
  <c r="U147" i="1"/>
  <c r="AM147" i="1" s="1"/>
  <c r="AN147" i="1" s="1"/>
  <c r="AV147" i="1" s="1"/>
  <c r="Y147" i="1"/>
  <c r="S148" i="1"/>
  <c r="U148" i="1"/>
  <c r="AM148" i="1" s="1"/>
  <c r="AN148" i="1" s="1"/>
  <c r="Y148" i="1"/>
  <c r="S149" i="1"/>
  <c r="U149" i="1"/>
  <c r="AM149" i="1" s="1"/>
  <c r="AN149" i="1" s="1"/>
  <c r="Y149" i="1"/>
  <c r="S150" i="1"/>
  <c r="U150" i="1"/>
  <c r="AM150" i="1" s="1"/>
  <c r="AN150" i="1" s="1"/>
  <c r="Y150" i="1"/>
  <c r="AV150" i="1" s="1"/>
  <c r="S151" i="1"/>
  <c r="U151" i="1"/>
  <c r="Y151" i="1"/>
  <c r="AM151" i="1"/>
  <c r="AN151" i="1" s="1"/>
  <c r="AV151" i="1" s="1"/>
  <c r="S152" i="1"/>
  <c r="U152" i="1"/>
  <c r="AM152" i="1" s="1"/>
  <c r="AN152" i="1" s="1"/>
  <c r="Y152" i="1"/>
  <c r="AU152" i="1" s="1"/>
  <c r="S153" i="1"/>
  <c r="U153" i="1"/>
  <c r="AM153" i="1" s="1"/>
  <c r="AN153" i="1" s="1"/>
  <c r="Y153" i="1"/>
  <c r="S154" i="1"/>
  <c r="U154" i="1"/>
  <c r="AM154" i="1" s="1"/>
  <c r="AN154" i="1" s="1"/>
  <c r="Y154" i="1"/>
  <c r="S155" i="1"/>
  <c r="U155" i="1"/>
  <c r="Y155" i="1"/>
  <c r="AM155" i="1"/>
  <c r="AN155" i="1" s="1"/>
  <c r="S156" i="1"/>
  <c r="U156" i="1"/>
  <c r="AM156" i="1" s="1"/>
  <c r="AN156" i="1" s="1"/>
  <c r="Y156" i="1"/>
  <c r="S157" i="1"/>
  <c r="U157" i="1"/>
  <c r="AM157" i="1" s="1"/>
  <c r="AN157" i="1" s="1"/>
  <c r="Y157" i="1"/>
  <c r="S158" i="1"/>
  <c r="U158" i="1"/>
  <c r="Y158" i="1"/>
  <c r="AM158" i="1"/>
  <c r="AN158" i="1"/>
  <c r="AV158" i="1" s="1"/>
  <c r="S159" i="1"/>
  <c r="U159" i="1"/>
  <c r="AM159" i="1" s="1"/>
  <c r="AN159" i="1" s="1"/>
  <c r="Y159" i="1"/>
  <c r="S160" i="1"/>
  <c r="U160" i="1"/>
  <c r="AM160" i="1" s="1"/>
  <c r="AN160" i="1" s="1"/>
  <c r="Y160" i="1"/>
  <c r="S161" i="1"/>
  <c r="U161" i="1"/>
  <c r="AM161" i="1" s="1"/>
  <c r="AN161" i="1" s="1"/>
  <c r="Y161" i="1"/>
  <c r="S162" i="1"/>
  <c r="U162" i="1"/>
  <c r="AM162" i="1" s="1"/>
  <c r="AN162" i="1" s="1"/>
  <c r="Y162" i="1"/>
  <c r="S163" i="1"/>
  <c r="U163" i="1"/>
  <c r="AM163" i="1" s="1"/>
  <c r="AN163" i="1" s="1"/>
  <c r="Y163" i="1"/>
  <c r="S164" i="1"/>
  <c r="U164" i="1"/>
  <c r="AM164" i="1" s="1"/>
  <c r="AN164" i="1" s="1"/>
  <c r="Y164" i="1"/>
  <c r="S165" i="1"/>
  <c r="U165" i="1"/>
  <c r="AM165" i="1" s="1"/>
  <c r="AN165" i="1" s="1"/>
  <c r="Y165" i="1"/>
  <c r="S166" i="1"/>
  <c r="U166" i="1"/>
  <c r="AM166" i="1" s="1"/>
  <c r="AN166" i="1" s="1"/>
  <c r="AW166" i="1" s="1"/>
  <c r="Y166" i="1"/>
  <c r="S167" i="1"/>
  <c r="U167" i="1"/>
  <c r="AM167" i="1" s="1"/>
  <c r="AN167" i="1" s="1"/>
  <c r="Y167" i="1"/>
  <c r="S168" i="1"/>
  <c r="U168" i="1"/>
  <c r="AM168" i="1" s="1"/>
  <c r="AN168" i="1" s="1"/>
  <c r="Y168" i="1"/>
  <c r="AV168" i="1" s="1"/>
  <c r="S169" i="1"/>
  <c r="U169" i="1"/>
  <c r="Y169" i="1"/>
  <c r="AM169" i="1"/>
  <c r="AN169" i="1" s="1"/>
  <c r="S170" i="1"/>
  <c r="U170" i="1"/>
  <c r="Y170" i="1"/>
  <c r="AM170" i="1"/>
  <c r="AN170" i="1" s="1"/>
  <c r="S171" i="1"/>
  <c r="U171" i="1"/>
  <c r="Y171" i="1"/>
  <c r="AM171" i="1"/>
  <c r="AN171" i="1" s="1"/>
  <c r="AU171" i="1" s="1"/>
  <c r="S172" i="1"/>
  <c r="U172" i="1"/>
  <c r="AM172" i="1" s="1"/>
  <c r="AN172" i="1" s="1"/>
  <c r="Y172" i="1"/>
  <c r="S173" i="1"/>
  <c r="U173" i="1"/>
  <c r="AM173" i="1" s="1"/>
  <c r="AN173" i="1" s="1"/>
  <c r="Y173" i="1"/>
  <c r="S174" i="1"/>
  <c r="U174" i="1"/>
  <c r="AM174" i="1" s="1"/>
  <c r="AN174" i="1" s="1"/>
  <c r="Y174" i="1"/>
  <c r="S175" i="1"/>
  <c r="U175" i="1"/>
  <c r="AM175" i="1" s="1"/>
  <c r="AN175" i="1" s="1"/>
  <c r="Y175" i="1"/>
  <c r="S176" i="1"/>
  <c r="U176" i="1"/>
  <c r="AM176" i="1" s="1"/>
  <c r="AN176" i="1" s="1"/>
  <c r="Y176" i="1"/>
  <c r="S177" i="1"/>
  <c r="U177" i="1"/>
  <c r="AM177" i="1" s="1"/>
  <c r="Y177" i="1"/>
  <c r="AN177" i="1"/>
  <c r="AV177" i="1" s="1"/>
  <c r="S178" i="1"/>
  <c r="U178" i="1"/>
  <c r="Y178" i="1"/>
  <c r="AM178" i="1"/>
  <c r="AN178" i="1" s="1"/>
  <c r="S179" i="1"/>
  <c r="U179" i="1"/>
  <c r="Y179" i="1"/>
  <c r="AM179" i="1"/>
  <c r="AN179" i="1" s="1"/>
  <c r="S180" i="1"/>
  <c r="U180" i="1"/>
  <c r="AM180" i="1" s="1"/>
  <c r="AN180" i="1" s="1"/>
  <c r="Y180" i="1"/>
  <c r="S181" i="1"/>
  <c r="U181" i="1"/>
  <c r="AM181" i="1" s="1"/>
  <c r="AN181" i="1" s="1"/>
  <c r="Y181" i="1"/>
  <c r="AV181" i="1" s="1"/>
  <c r="S182" i="1"/>
  <c r="U182" i="1"/>
  <c r="AM182" i="1" s="1"/>
  <c r="AN182" i="1" s="1"/>
  <c r="AV182" i="1" s="1"/>
  <c r="Y182" i="1"/>
  <c r="S183" i="1"/>
  <c r="U183" i="1"/>
  <c r="Y183" i="1"/>
  <c r="AM183" i="1"/>
  <c r="AN183" i="1" s="1"/>
  <c r="AV183" i="1" s="1"/>
  <c r="S184" i="1"/>
  <c r="U184" i="1"/>
  <c r="AM184" i="1" s="1"/>
  <c r="AN184" i="1" s="1"/>
  <c r="Y184" i="1"/>
  <c r="S185" i="1"/>
  <c r="U185" i="1"/>
  <c r="AM185" i="1" s="1"/>
  <c r="AN185" i="1" s="1"/>
  <c r="Y185" i="1"/>
  <c r="S186" i="1"/>
  <c r="U186" i="1"/>
  <c r="Y186" i="1"/>
  <c r="AM186" i="1"/>
  <c r="AN186" i="1"/>
  <c r="AU186" i="1" s="1"/>
  <c r="S187" i="1"/>
  <c r="U187" i="1"/>
  <c r="AM187" i="1" s="1"/>
  <c r="AN187" i="1" s="1"/>
  <c r="Y187" i="1"/>
  <c r="S188" i="1"/>
  <c r="U188" i="1"/>
  <c r="AM188" i="1" s="1"/>
  <c r="AN188" i="1" s="1"/>
  <c r="Y188" i="1"/>
  <c r="S189" i="1"/>
  <c r="U189" i="1"/>
  <c r="AM189" i="1" s="1"/>
  <c r="AN189" i="1" s="1"/>
  <c r="Y189" i="1"/>
  <c r="AW51" i="1" l="1"/>
  <c r="AV51" i="1"/>
  <c r="AU33" i="1"/>
  <c r="AV123" i="1"/>
  <c r="AV96" i="1"/>
  <c r="AV90" i="1"/>
  <c r="AU80" i="1"/>
  <c r="AW31" i="1"/>
  <c r="AV81" i="1"/>
  <c r="AV162" i="1"/>
  <c r="AV21" i="1"/>
  <c r="AV176" i="1"/>
  <c r="AV132" i="1"/>
  <c r="AV112" i="1"/>
  <c r="AV55" i="1"/>
  <c r="AV179" i="1"/>
  <c r="AV189" i="1"/>
  <c r="AV15" i="1"/>
  <c r="AV50" i="1"/>
  <c r="AV163" i="1"/>
  <c r="AV148" i="1"/>
  <c r="AU142" i="1"/>
  <c r="AV35" i="1"/>
  <c r="AV10" i="1"/>
  <c r="AV45" i="1"/>
  <c r="AU82" i="1"/>
  <c r="AU77" i="1"/>
  <c r="AV118" i="1"/>
  <c r="AU26" i="1"/>
  <c r="AV26" i="1"/>
  <c r="AW26" i="1"/>
  <c r="AU16" i="1"/>
  <c r="AV16" i="1"/>
  <c r="AW16" i="1"/>
  <c r="AV85" i="1"/>
  <c r="AV127" i="1"/>
  <c r="AV95" i="1"/>
  <c r="AU11" i="1"/>
  <c r="AV11" i="1"/>
  <c r="AW11" i="1"/>
  <c r="AU161" i="1"/>
  <c r="AV161" i="1"/>
  <c r="AW161" i="1"/>
  <c r="AV61" i="1"/>
  <c r="AW61" i="1"/>
  <c r="AV172" i="1"/>
  <c r="AV111" i="1"/>
  <c r="AV46" i="1"/>
  <c r="AW46" i="1"/>
  <c r="AV170" i="1"/>
  <c r="AU166" i="1"/>
  <c r="AV66" i="1"/>
  <c r="AU56" i="1"/>
  <c r="AV56" i="1"/>
  <c r="AW56" i="1"/>
  <c r="AV6" i="1"/>
  <c r="AV165" i="1"/>
  <c r="AU71" i="1"/>
  <c r="AU54" i="1"/>
  <c r="AW36" i="1"/>
  <c r="AU28" i="1"/>
  <c r="AU15" i="1"/>
  <c r="AU108" i="1"/>
  <c r="AU100" i="1"/>
  <c r="AU87" i="1"/>
  <c r="AU79" i="1"/>
  <c r="AU75" i="1"/>
  <c r="AU41" i="1"/>
  <c r="AU156" i="1"/>
  <c r="AU83" i="1"/>
  <c r="AU58" i="1"/>
  <c r="AU176" i="1"/>
  <c r="AU127" i="1"/>
  <c r="AU120" i="1"/>
  <c r="AU91" i="1"/>
  <c r="AU49" i="1"/>
  <c r="AU23" i="1"/>
  <c r="AV180" i="1"/>
  <c r="AV160" i="1"/>
  <c r="AU66" i="1"/>
  <c r="AV40" i="1"/>
  <c r="AU36" i="1"/>
  <c r="AV31" i="1"/>
  <c r="AV5" i="1"/>
  <c r="AU111" i="1"/>
  <c r="AV107" i="1"/>
  <c r="AU95" i="1"/>
  <c r="AU53" i="1"/>
  <c r="AU151" i="1"/>
  <c r="AU103" i="1"/>
  <c r="AU78" i="1"/>
  <c r="AU70" i="1"/>
  <c r="AU18" i="1"/>
  <c r="AV171" i="1"/>
  <c r="AV167" i="1"/>
  <c r="AV155" i="1"/>
  <c r="AV130" i="1"/>
  <c r="AU115" i="1"/>
  <c r="AU86" i="1"/>
  <c r="AU48" i="1"/>
  <c r="AU90" i="1"/>
  <c r="AU61" i="1"/>
  <c r="AU13" i="1"/>
  <c r="AV187" i="1"/>
  <c r="AV142" i="1"/>
  <c r="AU106" i="1"/>
  <c r="AU98" i="1"/>
  <c r="AU65" i="1"/>
  <c r="AU146" i="1"/>
  <c r="AU122" i="1"/>
  <c r="AU110" i="1"/>
  <c r="AU81" i="1"/>
  <c r="AU73" i="1"/>
  <c r="AU43" i="1"/>
  <c r="AU21" i="1"/>
  <c r="AU8" i="1"/>
  <c r="AV166" i="1"/>
  <c r="AV133" i="1"/>
  <c r="AU85" i="1"/>
  <c r="AV141" i="1"/>
  <c r="AU137" i="1"/>
  <c r="AU93" i="1"/>
  <c r="AU38" i="1"/>
  <c r="AU25" i="1"/>
  <c r="AU3" i="1"/>
  <c r="AU125" i="1"/>
  <c r="AU101" i="1"/>
  <c r="AU76" i="1"/>
  <c r="AU68" i="1"/>
  <c r="AU51" i="1"/>
  <c r="AV173" i="1"/>
  <c r="AV145" i="1"/>
  <c r="AU117" i="1"/>
  <c r="AU105" i="1"/>
  <c r="AV20" i="1"/>
  <c r="AV71" i="1"/>
  <c r="AW41" i="1"/>
  <c r="AU177" i="1"/>
  <c r="AV157" i="1"/>
  <c r="AV108" i="1"/>
  <c r="AV100" i="1"/>
  <c r="AU88" i="1"/>
  <c r="AV75" i="1"/>
  <c r="AU46" i="1"/>
  <c r="AV41" i="1"/>
  <c r="AW181" i="1"/>
  <c r="AV152" i="1"/>
  <c r="AV140" i="1"/>
  <c r="AV136" i="1"/>
  <c r="AU96" i="1"/>
  <c r="AU63" i="1"/>
  <c r="AU50" i="1"/>
  <c r="AV184" i="1"/>
  <c r="AU185" i="1"/>
  <c r="AW185" i="1"/>
  <c r="AU175" i="1"/>
  <c r="AW175" i="1"/>
  <c r="AU135" i="1"/>
  <c r="AW135" i="1"/>
  <c r="AU131" i="1"/>
  <c r="AW131" i="1"/>
  <c r="AU104" i="1"/>
  <c r="AV104" i="1"/>
  <c r="AW104" i="1"/>
  <c r="AU188" i="1"/>
  <c r="AW188" i="1"/>
  <c r="AU181" i="1"/>
  <c r="AU178" i="1"/>
  <c r="AW178" i="1"/>
  <c r="AU164" i="1"/>
  <c r="AV164" i="1"/>
  <c r="AW164" i="1"/>
  <c r="AU116" i="1"/>
  <c r="AW116" i="1"/>
  <c r="AU32" i="1"/>
  <c r="AV32" i="1"/>
  <c r="AW32" i="1"/>
  <c r="AU19" i="1"/>
  <c r="AW156" i="1"/>
  <c r="AU153" i="1"/>
  <c r="AW153" i="1"/>
  <c r="AU138" i="1"/>
  <c r="AW138" i="1"/>
  <c r="AV87" i="1"/>
  <c r="AW87" i="1"/>
  <c r="AU45" i="1"/>
  <c r="AU167" i="1"/>
  <c r="AV156" i="1"/>
  <c r="AU149" i="1"/>
  <c r="AV149" i="1"/>
  <c r="AW149" i="1"/>
  <c r="AU62" i="1"/>
  <c r="AV62" i="1"/>
  <c r="AW62" i="1"/>
  <c r="AU10" i="1"/>
  <c r="AU174" i="1"/>
  <c r="AV174" i="1"/>
  <c r="AW174" i="1"/>
  <c r="AU134" i="1"/>
  <c r="AV134" i="1"/>
  <c r="AW134" i="1"/>
  <c r="AU123" i="1"/>
  <c r="AW123" i="1"/>
  <c r="AU107" i="1"/>
  <c r="AU27" i="1"/>
  <c r="AV27" i="1"/>
  <c r="AW27" i="1"/>
  <c r="AU14" i="1"/>
  <c r="AU184" i="1"/>
  <c r="AW184" i="1"/>
  <c r="AU160" i="1"/>
  <c r="AW160" i="1"/>
  <c r="AU99" i="1"/>
  <c r="AV99" i="1"/>
  <c r="AW99" i="1"/>
  <c r="AU74" i="1"/>
  <c r="AU40" i="1"/>
  <c r="AU5" i="1"/>
  <c r="AU187" i="1"/>
  <c r="AW187" i="1"/>
  <c r="AU145" i="1"/>
  <c r="AW145" i="1"/>
  <c r="AU141" i="1"/>
  <c r="AW141" i="1"/>
  <c r="AU130" i="1"/>
  <c r="AW130" i="1"/>
  <c r="AU119" i="1"/>
  <c r="AV119" i="1"/>
  <c r="AW119" i="1"/>
  <c r="AV82" i="1"/>
  <c r="AW82" i="1"/>
  <c r="AU57" i="1"/>
  <c r="AV57" i="1"/>
  <c r="AW57" i="1"/>
  <c r="AU44" i="1"/>
  <c r="AU163" i="1"/>
  <c r="AW163" i="1"/>
  <c r="AU22" i="1"/>
  <c r="AV22" i="1"/>
  <c r="AW22" i="1"/>
  <c r="AU9" i="1"/>
  <c r="AU126" i="1"/>
  <c r="AW126" i="1"/>
  <c r="AU35" i="1"/>
  <c r="AW186" i="1"/>
  <c r="AW176" i="1"/>
  <c r="AU170" i="1"/>
  <c r="AW170" i="1"/>
  <c r="AU159" i="1"/>
  <c r="AV159" i="1"/>
  <c r="AW159" i="1"/>
  <c r="AW151" i="1"/>
  <c r="AU148" i="1"/>
  <c r="AW148" i="1"/>
  <c r="AU94" i="1"/>
  <c r="AV94" i="1"/>
  <c r="AW94" i="1"/>
  <c r="AU52" i="1"/>
  <c r="AV52" i="1"/>
  <c r="AW52" i="1"/>
  <c r="AU39" i="1"/>
  <c r="AU4" i="1"/>
  <c r="AV186" i="1"/>
  <c r="AU180" i="1"/>
  <c r="AW180" i="1"/>
  <c r="AU173" i="1"/>
  <c r="AW173" i="1"/>
  <c r="AU144" i="1"/>
  <c r="AV144" i="1"/>
  <c r="AW144" i="1"/>
  <c r="AU133" i="1"/>
  <c r="AW133" i="1"/>
  <c r="AU129" i="1"/>
  <c r="AV129" i="1"/>
  <c r="AW129" i="1"/>
  <c r="AV102" i="1"/>
  <c r="AW102" i="1"/>
  <c r="AV77" i="1"/>
  <c r="AW77" i="1"/>
  <c r="AU69" i="1"/>
  <c r="AU17" i="1"/>
  <c r="AV17" i="1"/>
  <c r="AW17" i="1"/>
  <c r="AU183" i="1"/>
  <c r="AW183" i="1"/>
  <c r="AU162" i="1"/>
  <c r="AU114" i="1"/>
  <c r="AV114" i="1"/>
  <c r="AW114" i="1"/>
  <c r="AU30" i="1"/>
  <c r="AU155" i="1"/>
  <c r="AW155" i="1"/>
  <c r="AU140" i="1"/>
  <c r="AW140" i="1"/>
  <c r="AU118" i="1"/>
  <c r="AW118" i="1"/>
  <c r="AU47" i="1"/>
  <c r="AV47" i="1"/>
  <c r="AW47" i="1"/>
  <c r="AU34" i="1"/>
  <c r="AU169" i="1"/>
  <c r="AV169" i="1"/>
  <c r="AW169" i="1"/>
  <c r="AU147" i="1"/>
  <c r="AU89" i="1"/>
  <c r="AV89" i="1"/>
  <c r="AW89" i="1"/>
  <c r="AU60" i="1"/>
  <c r="AU12" i="1"/>
  <c r="AV12" i="1"/>
  <c r="AW12" i="1"/>
  <c r="AU136" i="1"/>
  <c r="AW136" i="1"/>
  <c r="AU132" i="1"/>
  <c r="AV97" i="1"/>
  <c r="AW97" i="1"/>
  <c r="AU64" i="1"/>
  <c r="AU189" i="1"/>
  <c r="AW189" i="1"/>
  <c r="AU179" i="1"/>
  <c r="AW179" i="1"/>
  <c r="AU172" i="1"/>
  <c r="AU158" i="1"/>
  <c r="AW158" i="1"/>
  <c r="AU109" i="1"/>
  <c r="AV109" i="1"/>
  <c r="AW109" i="1"/>
  <c r="AU72" i="1"/>
  <c r="AV72" i="1"/>
  <c r="AW72" i="1"/>
  <c r="AU42" i="1"/>
  <c r="AV42" i="1"/>
  <c r="AW42" i="1"/>
  <c r="AU29" i="1"/>
  <c r="AU182" i="1"/>
  <c r="AW182" i="1"/>
  <c r="AU154" i="1"/>
  <c r="AV154" i="1"/>
  <c r="AW154" i="1"/>
  <c r="AW146" i="1"/>
  <c r="AU143" i="1"/>
  <c r="AW143" i="1"/>
  <c r="AU139" i="1"/>
  <c r="AV139" i="1"/>
  <c r="AW139" i="1"/>
  <c r="AU128" i="1"/>
  <c r="AW128" i="1"/>
  <c r="AU121" i="1"/>
  <c r="AW121" i="1"/>
  <c r="AU113" i="1"/>
  <c r="AV113" i="1"/>
  <c r="AW113" i="1"/>
  <c r="AU55" i="1"/>
  <c r="AU7" i="1"/>
  <c r="AV7" i="1"/>
  <c r="AW7" i="1"/>
  <c r="AV185" i="1"/>
  <c r="AV175" i="1"/>
  <c r="AU165" i="1"/>
  <c r="AW165" i="1"/>
  <c r="AV146" i="1"/>
  <c r="AV135" i="1"/>
  <c r="AV131" i="1"/>
  <c r="AU84" i="1"/>
  <c r="AU59" i="1"/>
  <c r="AU20" i="1"/>
  <c r="AV188" i="1"/>
  <c r="AV178" i="1"/>
  <c r="AW171" i="1"/>
  <c r="AU124" i="1"/>
  <c r="AV124" i="1"/>
  <c r="AW124" i="1"/>
  <c r="AV116" i="1"/>
  <c r="AV92" i="1"/>
  <c r="AW92" i="1"/>
  <c r="AU37" i="1"/>
  <c r="AV37" i="1"/>
  <c r="AW37" i="1"/>
  <c r="AU24" i="1"/>
  <c r="AU2" i="1"/>
  <c r="AV2" i="1"/>
  <c r="AW2" i="1"/>
  <c r="AU168" i="1"/>
  <c r="AW168" i="1"/>
  <c r="AU157" i="1"/>
  <c r="AV153" i="1"/>
  <c r="AU150" i="1"/>
  <c r="AW150" i="1"/>
  <c r="AV138" i="1"/>
  <c r="AU112" i="1"/>
  <c r="AU67" i="1"/>
  <c r="AV67" i="1"/>
  <c r="AW67" i="1"/>
  <c r="AW111" i="1"/>
  <c r="AW106" i="1"/>
  <c r="AW101" i="1"/>
  <c r="AW96" i="1"/>
  <c r="AW91" i="1"/>
  <c r="AW86" i="1"/>
  <c r="AW81" i="1"/>
  <c r="AW76" i="1"/>
  <c r="AW71" i="1"/>
  <c r="AW66" i="1"/>
  <c r="AW6" i="1"/>
  <c r="AW108" i="1"/>
  <c r="AW103" i="1"/>
  <c r="AW98" i="1"/>
  <c r="AW93" i="1"/>
  <c r="AW88" i="1"/>
  <c r="AW83" i="1"/>
  <c r="AW78" i="1"/>
  <c r="AW73" i="1"/>
  <c r="AW68" i="1"/>
  <c r="AW63" i="1"/>
  <c r="AW58" i="1"/>
  <c r="AW53" i="1"/>
  <c r="AW48" i="1"/>
  <c r="AW43" i="1"/>
  <c r="AW38" i="1"/>
  <c r="AW33" i="1"/>
  <c r="AW28" i="1"/>
  <c r="AW23" i="1"/>
  <c r="AW18" i="1"/>
  <c r="AW13" i="1"/>
  <c r="AW8" i="1"/>
  <c r="AW3" i="1"/>
  <c r="AV98" i="1"/>
  <c r="AV93" i="1"/>
  <c r="AV88" i="1"/>
  <c r="AV83" i="1"/>
  <c r="AV78" i="1"/>
  <c r="AV68" i="1"/>
  <c r="AV63" i="1"/>
  <c r="AV58" i="1"/>
  <c r="AV53" i="1"/>
  <c r="AV48" i="1"/>
  <c r="AV43" i="1"/>
  <c r="AV38" i="1"/>
  <c r="AV33" i="1"/>
  <c r="AV28" i="1"/>
  <c r="AV23" i="1"/>
  <c r="AV18" i="1"/>
  <c r="AV13" i="1"/>
  <c r="AV8" i="1"/>
  <c r="AV3" i="1"/>
  <c r="AW125" i="1"/>
  <c r="AW120" i="1"/>
  <c r="AW115" i="1"/>
  <c r="AW110" i="1"/>
  <c r="AW105" i="1"/>
  <c r="AW100" i="1"/>
  <c r="AW95" i="1"/>
  <c r="AW90" i="1"/>
  <c r="AW85" i="1"/>
  <c r="AW80" i="1"/>
  <c r="AW75" i="1"/>
  <c r="AW70" i="1"/>
  <c r="AW65" i="1"/>
  <c r="AW60" i="1"/>
  <c r="AW55" i="1"/>
  <c r="AW50" i="1"/>
  <c r="AW45" i="1"/>
  <c r="AW40" i="1"/>
  <c r="AW35" i="1"/>
  <c r="AW30" i="1"/>
  <c r="AW25" i="1"/>
  <c r="AW20" i="1"/>
  <c r="AW15" i="1"/>
  <c r="AW10" i="1"/>
  <c r="AW5" i="1"/>
  <c r="AW177" i="1"/>
  <c r="AW172" i="1"/>
  <c r="AW167" i="1"/>
  <c r="AW162" i="1"/>
  <c r="AW157" i="1"/>
  <c r="AW152" i="1"/>
  <c r="AW147" i="1"/>
  <c r="AW142" i="1"/>
  <c r="AW137" i="1"/>
  <c r="AW132" i="1"/>
  <c r="AW127" i="1"/>
  <c r="AW122" i="1"/>
  <c r="AW117" i="1"/>
  <c r="AW112" i="1"/>
  <c r="AW107" i="1"/>
  <c r="AW84" i="1"/>
  <c r="AW79" i="1"/>
  <c r="AW74" i="1"/>
  <c r="AW69" i="1"/>
  <c r="AW64" i="1"/>
  <c r="AW59" i="1"/>
  <c r="AW54" i="1"/>
  <c r="AW49" i="1"/>
  <c r="AW44" i="1"/>
  <c r="AW39" i="1"/>
  <c r="AW34" i="1"/>
  <c r="AW29" i="1"/>
  <c r="AW24" i="1"/>
  <c r="AW19" i="1"/>
  <c r="AW14" i="1"/>
  <c r="AW9" i="1"/>
  <c r="AW4"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<sst xmlns="http://schemas.openxmlformats.org/spreadsheetml/2006/main" count="3314" uniqueCount="2071">
  <si>
    <t>undefined</t>
  </si>
  <si>
    <t>Journal</t>
  </si>
  <si>
    <t>Article</t>
  </si>
  <si>
    <t>ar</t>
  </si>
  <si>
    <t>n</t>
  </si>
  <si>
    <t>0018926X</t>
  </si>
  <si>
    <t>IEEE Transactions on Antennas and Propagation</t>
  </si>
  <si>
    <t>United States;United States</t>
  </si>
  <si>
    <t>Australia</t>
  </si>
  <si>
    <t>Plant and Cell Physiology</t>
  </si>
  <si>
    <t>Germany</t>
  </si>
  <si>
    <t>United States</t>
  </si>
  <si>
    <t>Munich</t>
  </si>
  <si>
    <t>Japan;Japan</t>
  </si>
  <si>
    <t>FEBS Letters</t>
  </si>
  <si>
    <t>Sweden</t>
  </si>
  <si>
    <t>Umea</t>
  </si>
  <si>
    <t>Ume√• Universitet</t>
  </si>
  <si>
    <t>Netherlands</t>
  </si>
  <si>
    <t>France</t>
  </si>
  <si>
    <t>Italy</t>
  </si>
  <si>
    <t>Berkeley</t>
  </si>
  <si>
    <t>University of California, Berkeley</t>
  </si>
  <si>
    <t>Cambridge</t>
  </si>
  <si>
    <t>Harvard University</t>
  </si>
  <si>
    <t>;;</t>
  </si>
  <si>
    <t>India</t>
  </si>
  <si>
    <t>Bengaluru</t>
  </si>
  <si>
    <t>El Segundo</t>
  </si>
  <si>
    <t>Aerospace Corporation, USA</t>
  </si>
  <si>
    <t>;;;</t>
  </si>
  <si>
    <t>Washington, D.C.</t>
  </si>
  <si>
    <t>United Kingdom</t>
  </si>
  <si>
    <t>Harlow</t>
  </si>
  <si>
    <t>Electronics Letters</t>
  </si>
  <si>
    <t>Japan</t>
  </si>
  <si>
    <t>Gaithersburg</t>
  </si>
  <si>
    <t>National Institute of Standards and Technology</t>
  </si>
  <si>
    <t>Denmark</t>
  </si>
  <si>
    <t>Tokyo</t>
  </si>
  <si>
    <t>National Aeronautics and Space Administration</t>
  </si>
  <si>
    <t>IEEE Transactions on Geoscience and Remote Sensing</t>
  </si>
  <si>
    <t>60007716;60007716</t>
  </si>
  <si>
    <t>Boulogne-Billancourt</t>
  </si>
  <si>
    <t>Thomson, SA</t>
  </si>
  <si>
    <t>Madison</t>
  </si>
  <si>
    <t>University of Wisconsin-Madison</t>
  </si>
  <si>
    <t>Journal of Guidance, Control, and Dynamics</t>
  </si>
  <si>
    <t>;</t>
  </si>
  <si>
    <t>Paris</t>
  </si>
  <si>
    <t>155-166</t>
  </si>
  <si>
    <t>Ko, C. C.</t>
  </si>
  <si>
    <t>Singapore</t>
  </si>
  <si>
    <t>Singapore City</t>
  </si>
  <si>
    <t>National University of Singapore</t>
  </si>
  <si>
    <t>Ko C.</t>
  </si>
  <si>
    <t>Los Angeles</t>
  </si>
  <si>
    <t>Hamburg</t>
  </si>
  <si>
    <t>United States;United States;United States</t>
  </si>
  <si>
    <t>Journal of Biological Chemistry</t>
  </si>
  <si>
    <t>London</t>
  </si>
  <si>
    <t>University College London</t>
  </si>
  <si>
    <t>Marseille</t>
  </si>
  <si>
    <t>0497137X</t>
  </si>
  <si>
    <t>Telecommunication journal</t>
  </si>
  <si>
    <t>GEC journal of research</t>
  </si>
  <si>
    <t>National Institutes of Health</t>
  </si>
  <si>
    <t>NIH</t>
  </si>
  <si>
    <t>Gif-sur-Yvette</t>
  </si>
  <si>
    <t>CEA Saclay</t>
  </si>
  <si>
    <t>New Zealand</t>
  </si>
  <si>
    <t>National Cancer Institute</t>
  </si>
  <si>
    <t>NCI</t>
  </si>
  <si>
    <t>IEE Proceedings H: Microwaves Optics and Antennas</t>
  </si>
  <si>
    <t>University of California, Los Angeles</t>
  </si>
  <si>
    <t>Sendai</t>
  </si>
  <si>
    <t>Tohoku University</t>
  </si>
  <si>
    <t>Ng T.</t>
  </si>
  <si>
    <t>41-44</t>
  </si>
  <si>
    <t>Pasadena</t>
  </si>
  <si>
    <t>Jet Propulsion Laboratory</t>
  </si>
  <si>
    <t>Barr R.</t>
  </si>
  <si>
    <t>Chennai</t>
  </si>
  <si>
    <t>Itoh K.</t>
  </si>
  <si>
    <t>Smith J.</t>
  </si>
  <si>
    <t>60009386;60009386</t>
  </si>
  <si>
    <t>Fontenay-aux-Roses</t>
  </si>
  <si>
    <t>CEA Fontenay aux Roses</t>
  </si>
  <si>
    <t>60022195;60022195</t>
  </si>
  <si>
    <t>Massachusetts Institute of Technology</t>
  </si>
  <si>
    <t>Netherlands;Netherlands</t>
  </si>
  <si>
    <t>Gothenburg</t>
  </si>
  <si>
    <t>60030526;60030526;60030526</t>
  </si>
  <si>
    <t>Hosei University</t>
  </si>
  <si>
    <t>Nakano H.</t>
  </si>
  <si>
    <t>IEEE Transactions on Microwave Theory and Techniques</t>
  </si>
  <si>
    <t>Canterbury</t>
  </si>
  <si>
    <t>University of Kent</t>
  </si>
  <si>
    <t>Tokyo Institute of Technology</t>
  </si>
  <si>
    <t>Egypt</t>
  </si>
  <si>
    <t>IETE Technical Review (Institution of Electronics and Telecommunication Engineers)</t>
  </si>
  <si>
    <t>MTT-33</t>
  </si>
  <si>
    <t>Turkey</t>
  </si>
  <si>
    <t>Pisa</t>
  </si>
  <si>
    <t>Universit√† di Pisa</t>
  </si>
  <si>
    <t>San Diego</t>
  </si>
  <si>
    <t>Sydney</t>
  </si>
  <si>
    <t>UNSW Sydney</t>
  </si>
  <si>
    <t>AP-33</t>
  </si>
  <si>
    <t>Stevens, M. C.</t>
  </si>
  <si>
    <t>Cossor Electronics Ltd</t>
  </si>
  <si>
    <t>Stevens M.</t>
  </si>
  <si>
    <t>NEW DEVELOPMENTS IN SECONDARY-SURVEILLANCE RADAR.</t>
  </si>
  <si>
    <t>Canberra</t>
  </si>
  <si>
    <t>136-139</t>
  </si>
  <si>
    <t>697-706</t>
  </si>
  <si>
    <t>Germany;Germany</t>
  </si>
  <si>
    <t>New York</t>
  </si>
  <si>
    <t>NYU Tandon School of Engineering</t>
  </si>
  <si>
    <t>University</t>
  </si>
  <si>
    <t>University of Mississippi</t>
  </si>
  <si>
    <t>Wollongong</t>
  </si>
  <si>
    <t>University of Wollongong</t>
  </si>
  <si>
    <t>China</t>
  </si>
  <si>
    <t>Greece;Greece</t>
  </si>
  <si>
    <t>Komotini;Thessaloniki</t>
  </si>
  <si>
    <t>Democritus University of Thrace;Aristotle University of Thessaloniki</t>
  </si>
  <si>
    <t>60030988;60015331</t>
  </si>
  <si>
    <t>Siakavara K.</t>
  </si>
  <si>
    <t>;;;;</t>
  </si>
  <si>
    <t>;;;;;;</t>
  </si>
  <si>
    <t>60008435;60008435</t>
  </si>
  <si>
    <t>60014652;60014652;60014652</t>
  </si>
  <si>
    <t>Sapporo</t>
  </si>
  <si>
    <t>Hokkaido University</t>
  </si>
  <si>
    <t>ESA Journal</t>
  </si>
  <si>
    <t>Gainesville</t>
  </si>
  <si>
    <t>Kyoto</t>
  </si>
  <si>
    <t>Kyoto University</t>
  </si>
  <si>
    <t>Antenna radiation patterns | Antennas</t>
  </si>
  <si>
    <t>King, Ronold W.P.</t>
  </si>
  <si>
    <t>Regensburg</t>
  </si>
  <si>
    <t>Freiburg im Breisgau</t>
  </si>
  <si>
    <t>Universit√§t Freiburg im Breisgau</t>
  </si>
  <si>
    <t>Journal of Electronics (China)</t>
  </si>
  <si>
    <t>California Institute of Technology</t>
  </si>
  <si>
    <t>Nightingale S.J.</t>
  </si>
  <si>
    <t>IEEE Transactions on Nuclear Science</t>
  </si>
  <si>
    <t>6508132852;7201724264</t>
  </si>
  <si>
    <t>Fewell, Norman;Wen, Zhou</t>
  </si>
  <si>
    <t>Fewell N.</t>
  </si>
  <si>
    <t>60030635;60030635;60030635</t>
  </si>
  <si>
    <t>6603307988;6504622307;57196770902</t>
  </si>
  <si>
    <t>Dwersteg, B.;Seesselberg, E.;Zolfaghari, A.</t>
  </si>
  <si>
    <t>Deutsches Elektronen-Synchrotron (DESY)</t>
  </si>
  <si>
    <t>Dwersteg B.</t>
  </si>
  <si>
    <t>1559128X</t>
  </si>
  <si>
    <t>Applied Optics</t>
  </si>
  <si>
    <t>Russian Federation</t>
  </si>
  <si>
    <t>Moscow</t>
  </si>
  <si>
    <t>Lomonosov Moscow State University</t>
  </si>
  <si>
    <t>35571022700;7003588979</t>
  </si>
  <si>
    <t>Skelton R.</t>
  </si>
  <si>
    <t>Chalmers University of Technology</t>
  </si>
  <si>
    <t>Russian Federation;Russian Federation</t>
  </si>
  <si>
    <t>Moscow;Moscow</t>
  </si>
  <si>
    <t>BBA - Bioenergetics</t>
  </si>
  <si>
    <t>Deutsche Forschungsgemeinschaft</t>
  </si>
  <si>
    <t>DFG</t>
  </si>
  <si>
    <t>Microwaves &amp; RF</t>
  </si>
  <si>
    <t>Soviet Journal of Communications Technology &amp; Electronics (English translation of Radiotekhnika i Elektronika)</t>
  </si>
  <si>
    <t>Eindhoven</t>
  </si>
  <si>
    <t>Technische Universiteit Eindhoven</t>
  </si>
  <si>
    <t>International Journal of Infrared and Millimeter Waves</t>
  </si>
  <si>
    <t>Journal of the Institution of Engineers. India. Electronics and telecommunication engineering division</t>
  </si>
  <si>
    <t>Ng, Tung Sang</t>
  </si>
  <si>
    <t>E68</t>
  </si>
  <si>
    <t>0387236X</t>
  </si>
  <si>
    <t>Transactions of the Institute of Electronics and Communication Engineers of Japan. Section E</t>
  </si>
  <si>
    <t>Chelmsford</t>
  </si>
  <si>
    <t>Radiophysics and Quantum Electronics</t>
  </si>
  <si>
    <t>Carlsberg Research Communications</t>
  </si>
  <si>
    <t>Copenhagen</t>
  </si>
  <si>
    <t>Carlsberg Research Center</t>
  </si>
  <si>
    <t>Bassi R.</t>
  </si>
  <si>
    <t>COMSAT Technical Review</t>
  </si>
  <si>
    <t>Armand N.</t>
  </si>
  <si>
    <t>Journal of Electrical and Electronics Engineering, Australia</t>
  </si>
  <si>
    <t>54-59</t>
  </si>
  <si>
    <t>Microwaves and RF</t>
  </si>
  <si>
    <t>AEU. Archiv fur Elektronik und Ubertragungstechnik</t>
  </si>
  <si>
    <t>Kremer I.</t>
  </si>
  <si>
    <t>0278081X</t>
  </si>
  <si>
    <t>Circuits, Systems, and Signal Processing</t>
  </si>
  <si>
    <t>Electronics &amp; wireless world</t>
  </si>
  <si>
    <t>65-69</t>
  </si>
  <si>
    <t>Tadros M.</t>
  </si>
  <si>
    <t>Callahan, Philip S.</t>
  </si>
  <si>
    <t>USDA Agricultural Research Service, Gainesville</t>
  </si>
  <si>
    <t>Callahan P.</t>
  </si>
  <si>
    <t>Journal of Comparative Physiology A</t>
  </si>
  <si>
    <t>Andriychuk M.</t>
  </si>
  <si>
    <t>60011001;60011001</t>
  </si>
  <si>
    <t>Alta frequenza</t>
  </si>
  <si>
    <t>Telcom Report (English Edition)</t>
  </si>
  <si>
    <t>Siemens AG</t>
  </si>
  <si>
    <t>193-198</t>
  </si>
  <si>
    <t>Cable television engineering</t>
  </si>
  <si>
    <t>Stuttgart</t>
  </si>
  <si>
    <t>Universit√§t Stuttgart</t>
  </si>
  <si>
    <t>United States;United Kingdom</t>
  </si>
  <si>
    <t>['œ ≤-', 'two cycles', 'spectral properties', 'solubilized membranes', 'second complex', 'results suggest', 'psi producing', 'protein composition', 'produces particles', 'preparative gels', 'peripheral proteins', 'octyl glucoside', 'nanometer particles', 'lhci antenna', 'lecithin liposomes', 'discrete set', 'cpi *,', 'conditions releases', 'complex composed', 'average diameter', '25 kilodaltons', '10 nanometers']</t>
  </si>
  <si>
    <t>We have used the nonionic detergent octyl-Œ≤-D-glucopyranoside in combination with sodium dodecyl sulfate to isolate two novel Photosystem I (PSI) complexes from spinach (Spinacea oleracea L.) thylakoid membranes. These complexes have been characterized as to their spectral properties, content of PSI reaction center chlorophyll P700, and protein composition. PSI-B, purified from solubilized membranes by sucrose density gradient centrifugation, is a putative native PSI complex. PSI-B contains four polypeptides between 21 and 25 kilodaltons in addition to the components of the PSI antenna complex (LHCI), three of these polypeptides have not previously been associated with PSI. A second complex, CPI*, is purified from octyl glucoside/sodium dodecyl sulfate solubilized thylakoids by two cycles of preparative gel electrophoresis under mildly denaturing conditions. Electrophoresis under these conditions releases a discrete set of polypeptides from PSI producing a complex composed only of the PSI reaction center and the LHCI antenna. In addition, the PSI reaction center complex CPI isolated from preparative gels and PSI-B were reconstituted into lecithin liposomes for structural analysis using freeze-fracture electron microscopy. The results suggest that the native PSI complex produces 12- to 13-nanometer particles, while the PSI reaction center, depleted of LHCI and peripheral proteins, produces particles with an average diameter of 10 nanometers.</t>
  </si>
  <si>
    <t>606-613</t>
  </si>
  <si>
    <t>Plant Physiology</t>
  </si>
  <si>
    <t>60000221;60000221</t>
  </si>
  <si>
    <t>6508304620;7006830237</t>
  </si>
  <si>
    <t>Dunahay, Terri G.;Andrew Staehelin, L.</t>
  </si>
  <si>
    <t>Boulder</t>
  </si>
  <si>
    <t>University of Colorado Boulder</t>
  </si>
  <si>
    <t>Dunahay T.G.</t>
  </si>
  <si>
    <t>Isolation of photosystem I complexes from octyl glucoside/sodium dodecyl sulfate solubilized spinach thylakoids&lt;sup&gt;1&lt;/sup&gt;: Characterization and reconstitution into liposomes</t>
  </si>
  <si>
    <t>10.1104/pp.78.3.606</t>
  </si>
  <si>
    <t>2-s2.0-0000436296</t>
  </si>
  <si>
    <t>['third group', 'second group', 'properties result', 'properties examined', 'properties consistent', 'partial deficiency', 'one mutant', 'less chlorina', 'hplc separation', 'high fm', 'gaussian deconvolution', 'fo ratio', 'differing mainly', 'corresponding decrease', 'components emitting', 'chlorophyll b', 'chlorina mutants', 'chlorina 106', 'barley using', '718 nm', '4 groups', '10 mutants']</t>
  </si>
  <si>
    <t>Carotenoids | chlorophyll | chloroplasts | fluorescence emission | fluorescence induction kinetics | HPLC | polypeptides | SDS-polyacrylamide gel electrophoresis</t>
  </si>
  <si>
    <t>We have examined 31 new chlorina mutants of barley using in vivo absorption spectroscopy, 77 K fluorescence emission spectroscopy, room temperature fluorescence induction kinetics, HPLC separation of pigments and SDS-PAGE. Based on these properties they can be placed into 4 groups. The first group consists of 10 mutants which are allelic to the chlorophyll b-less chlorina-f2 and comprises five strongly and three slightly leaky mutants at this locus. The decrease in chlorophyll b content was correlated with a corresponding decrease in the amount of chlorophyll a/b-proteins in the thylakoids. One mutant (chlorina 106) was found which had a very low chlorophyll b content and a deficiency in Chla/b-P2, but was not allelic to chlorina-f2. The second group of chlorina, mutants has unusual fluorescence properties, with a high Fm/Fo ratio. Gaussian deconvolution of the 77 K fluorescence emission spectra revealed an increase in the amplitude of components emitting at 694 and 718 nm. The possibility is discussed that these properties result from the absence of the PSI connecting antenna LHCI-680. The third group has a Fs/Fo ratio &lt;1, and other properties consistent with a partial deficiency in the chlorophyll a-proteins of PSII reaction centres. The fourth group consists of chlorina mutants which are very similar to wild-type in the properties examined, differing mainly in having a lower chlorophyll content. ¬© 1985 Carlsberg Laboratory.</t>
  </si>
  <si>
    <t>223-238</t>
  </si>
  <si>
    <t>60019782;60019782;60019782;60019782</t>
  </si>
  <si>
    <t>7402414929;6602286800;57198339583;7006597196</t>
  </si>
  <si>
    <t>Simpson, D. J.;Machold, O.;H√∏yer-Hansen, G.;von Wettstein, D.</t>
  </si>
  <si>
    <t>Simpson D.</t>
  </si>
  <si>
    <t>Chlorina mutants of barley (Hordeum vulgare L.)</t>
  </si>
  <si>
    <t>10.1007/BF02907148</t>
  </si>
  <si>
    <t>2-s2.0-0000651883</t>
  </si>
  <si>
    <t>['two characteristics', 'two cells', 'single axon', 'show lengthening', 'sensory cells', 'pore sensilla', 'one cell', 'normally structured', 'head capsule', 'diameter 60', 'core granules', 'contains dense', 'contain dense', 'axon belongs', 'antennal tip', 'also shown', 'aberrant cells', '110 nm']</t>
  </si>
  <si>
    <t>Hypogastrura socialis (Collembola) | Insect antennae | Neurosecretory granules | Sensilla | Sensory cells | Synapses</t>
  </si>
  <si>
    <t>At the antennal tip of the collembolan insect Hypogastrura socialis two terminal-pore sensilla are located, which, in addition to normally structured and most probably chemosensitive sensory cells, also contain aberrant sensory cells. Portions of these cells resemble chemoreceptors but also shown are features that, as a rule, occur in mechanoreceptors. One cell in each sensillum is remarkable in two characteristics: (1) Its dendritic outer segment does not reach the cuticular outer structures of the sensillum; (2) it contains dense-core granules (diameter 60-110 nm) within its perikaryon, its dendritic inner segment and its axon. Additionally, these two cells do not show lengthening of their dendritic outer segment during molt as do all other sensory cells. Among the fibers of one major branch of the antennal nerve within the head capsule a single axon was observed to contain dense-core granules. This axon was traced to its termination where normal synaptical contacts were found. Based on the assumption that the axon belongs to one of the granule-containing sensory cells two alternative hypotheses are proposed: (1) an individual sensory cell of a sensillum may synthesize a transmitter that is different from that of the other sensory cells of this sensillum; (2) the aberrant cells have lost exteroceptive functions but act as neuromodulators ¬© 1985 Springer-Verlag.</t>
  </si>
  <si>
    <t>119-128</t>
  </si>
  <si>
    <t>0302766X</t>
  </si>
  <si>
    <t>Cell and Tissue Research</t>
  </si>
  <si>
    <t>60030807;60030807</t>
  </si>
  <si>
    <t>6603701874;7801455682</t>
  </si>
  <si>
    <t>Altner, H.;Altner, I.</t>
  </si>
  <si>
    <t>Universit√§t Regensburg</t>
  </si>
  <si>
    <t>Altner H.</t>
  </si>
  <si>
    <t>Multicellular antennal sensilla containing a sensory cell with a short dendrite and dense-core granules in the insect, Hypogastrura socialis (Collembola): intermolt and molting stages</t>
  </si>
  <si>
    <t>10.1007/BF00214633</t>
  </si>
  <si>
    <t>2-s2.0-0009866602</t>
  </si>
  <si>
    <t>['wavefronts returning', 'wavefronts alone', 'transient scattering', 'structural detail', 'single framework', 'scatterer illuminated', 'scattered field', 'respective role', 'resonances alone', 'optimize analysis', 'observations concerning', 'observation times', 'numerical comparisons', 'local features', 'later times', 'late time', 'individually resolved', 'hybrid scheme', 'furnish information', 'e .,', 'cope effectively', 'complex resonances', 'collective superposition', 'aspect independent', 'algorithms based']</t>
  </si>
  <si>
    <t>Digital method | Electromagnetic wave | Geometrical theory | Hybrid model | Multiple diffraction | Ph√©nom√©nologic theory | Resonance | Singularity method | Strip | Transients | Wave diffraction | Wavefront</t>
  </si>
  <si>
    <t>Wavefronts returning from a scatterer illuminated by an incident transient field convey aspect dependent information about local features of the target. Having high frequency content, they furnish information on structural detail as long as they can be individually resolved, i.e., at early arrival times. At later times, where low frequencies predominate, resonances are formed by collective superposition of wavefronts that have made multiple traversais of the scatterer. These complex resonances are aspect independent, encompass the target as a whole and thereby convey global information. Due to these features, algorithms based on wavefronts alone or on resonances alone are inadequate to cope effectively with late time and early time phenomena, respectively. A hybrid scheme that combines relevant wavefronts and resonances selfconsistently within a single framework can optimize analysis of the scattered field for all observation times. Results for transient scattering by a canonical strip target demonstrate the various physical mechanisms that synthesize the response, and confirm by numerical comparisons the validity of the observations concerning the respective role of wavefronts and resonances. ¬© 1985 Springer-Verlag.</t>
  </si>
  <si>
    <t>396-401</t>
  </si>
  <si>
    <t>Annales Des T√©l√©communications</t>
  </si>
  <si>
    <t>Felsen, Leopold B.</t>
  </si>
  <si>
    <t>Felsen L.</t>
  </si>
  <si>
    <t>Wavefronts and resonances for analysis of transient scattering</t>
  </si>
  <si>
    <t>10.1007/BF03003647</t>
  </si>
  <si>
    <t>2-s2.0-0021462345</t>
  </si>
  <si>
    <t>['electrical beam', 'author rejects', 'author considers', 'array antenna', 'approximate size']</t>
  </si>
  <si>
    <t>The author considers the design of a microspacecraft to be used in conjunction with a solar corona sounding mission. After determining the approximate size of the spacecraft, he considers the type of attitude control required to keep the high-gain antenna beams pointed toward earth. The author rejects the concept of electrical beam-steering with a phased-array antenna in favor of a pulsed plasma jet attitude control system.</t>
  </si>
  <si>
    <t>310-313</t>
  </si>
  <si>
    <t>Spaceflight</t>
  </si>
  <si>
    <t>Burke, James D.</t>
  </si>
  <si>
    <t>Burke J.</t>
  </si>
  <si>
    <t>DESIGNING A MICRO-SPACECRAFT.</t>
  </si>
  <si>
    <t>2-s2.0-0022087203</t>
  </si>
  <si>
    <t>['terrestrial network', 'supply teleconferencing', 'recent years', 'particular areas', 'paper describes', 'great distances']</t>
  </si>
  <si>
    <t>In recent years, demand has been rising for a high-speed broadband switching network to supply teleconferencing and high-speed data transmission services. Particular areas where satellite communication systems can therefore be applied in the high-speed broadband switching network are (1) in connecting subscribers located at great distances from each other, and (2) expanding service areas when terrestrial networks fill up. This paper describes a satellite communication system configuration into a terrestrial network in NTT's model system experiments.</t>
  </si>
  <si>
    <t>623-630</t>
  </si>
  <si>
    <t>Reports of the Electrical Communication Laboratory</t>
  </si>
  <si>
    <t>56261463300;55137874000;7403150800</t>
  </si>
  <si>
    <t>Nakashima, Hiroshi;Yoshikawa, Tatsuo;Satoh, Kohei</t>
  </si>
  <si>
    <t>Nakashima H.</t>
  </si>
  <si>
    <t>HIGH-SPEED BROADBAND COMMUNICATIONS VIA SATELLITE.</t>
  </si>
  <si>
    <t>2-s2.0-0022088267</t>
  </si>
  <si>
    <t>['stepped variation', 'optical type', 'intensity along', 'expressions obtained', 'circular aperture']</t>
  </si>
  <si>
    <t>Using the stationary phase method the problem of synthesizing an antenna of the optical type with a circular aperture and a specified field distribution along the axis in the antenna near zone is solved. As an example, the expressions obtained are used to analyze an antenna with a stepped variation of the intensity along the axis.</t>
  </si>
  <si>
    <t>29-33</t>
  </si>
  <si>
    <t>Minakov, A. A.</t>
  </si>
  <si>
    <t>Minakov A.</t>
  </si>
  <si>
    <t>SYNTHESIS OF AN ANTENNA WITH A CIRCULAR APERTURE WITH A SPECIFIED INTENSITY DISTRIBUTION ALONG THE AXIS IN THE NEAR ZONE.</t>
  </si>
  <si>
    <t>2-s2.0-0022088575</t>
  </si>
  <si>
    <t>['two semi', 'transparent walls', 'required susceptance', 'parallel junction', 'open resonator', 'obtain resonance', 'lumped elements', 'external surface', 'equivalent circuit', 'energy fluxes', 'antenna cavity', 'also discussed']</t>
  </si>
  <si>
    <t>For antennas in the form of an open resonator with a plane or spherical fine semitransparent wall, the required susceptance of the wall (of the film of the substance) and the required weak supply current are calculated from the field on the external surface of the wall. The calculation was performed to obtain resonance in the equivalent circuit of the parallel junction of the susceptances. The transition to a semitransparent net consisting of lumped elements is discussed. The condition for no energy fluxes in the antenna cavity is obtained. The design of an antenna with two semi-transparent walls is also discussed.</t>
  </si>
  <si>
    <t>33-40</t>
  </si>
  <si>
    <t>Fedyanovich, V. I.</t>
  </si>
  <si>
    <t>Fedyanovich V.</t>
  </si>
  <si>
    <t>SYNTHESIS OF AN ANTENNA WITH SEMITRANSPARENT SHEETS.</t>
  </si>
  <si>
    <t>2-s2.0-0022088658</t>
  </si>
  <si>
    <t>['suit use', 'served well', 'proven components', 'phase shifters', 'overlay thickness', 'microstrip material', 'fabrication technique', 'dielectric constant', 'board thickness', 'also reduced', '038 cm']</t>
  </si>
  <si>
    <t>Microstrip overlay couplers are proven components: they have served well in mixers, phase shifters, and broadband antenna designs. When built on 0. 030-in. -thick (0. 076-cm) microstrip material that has a dielectric constant of 2. 45, the coupler will operate through C-band. If the board thickness is reduced to 0. 015 in. (0. 038 cm) and the overlay thickness is also reduced to 0. 005 in. (0. 013 cm), the design should suit use at Ku-band. The design and fabrication technique of the couplers are outlined.</t>
  </si>
  <si>
    <t>84-86</t>
  </si>
  <si>
    <t>Malone, Hugh R.</t>
  </si>
  <si>
    <t>Schaumburg</t>
  </si>
  <si>
    <t>Motorola</t>
  </si>
  <si>
    <t>Malone H.</t>
  </si>
  <si>
    <t>MICROSTRIP OVERLAY COUPLER SUITS BROADBAND USE.</t>
  </si>
  <si>
    <t>2-s2.0-0022088887</t>
  </si>
  <si>
    <t>599-605</t>
  </si>
  <si>
    <t>Talanov, V. I.</t>
  </si>
  <si>
    <t>Talanov V.</t>
  </si>
  <si>
    <t>Synthesis of antennas in multimode waveguides</t>
  </si>
  <si>
    <t>10.1007/BF01034103</t>
  </si>
  <si>
    <t>2-s2.0-0022089480</t>
  </si>
  <si>
    <t>['visible horizon', 'uhf field', 'two points', 'second point', 'one point', 'low height', 'distances less', 'average intensity', 'antenna height', 'account shading']</t>
  </si>
  <si>
    <t>The average intensity of the UHF field in a city is calculated in the single-scattering approximation taking into account shading by buildings. The case of a link between two points is studied: at one point the antenna is raised above the roofs of the buildings and at the second point the antenna is positioned at a low height on the earth's surface. Results are obtained for distances less than the range of the visible horizon and they agree with existing experimental data on the dependence of the average intensity on the distance between points, the antenna height above the buildings in the city, and the frequency.</t>
  </si>
  <si>
    <t>7005822255;57197895569</t>
  </si>
  <si>
    <t>Ponomarev, G. A.;Kulikov, A. N.</t>
  </si>
  <si>
    <t>Ponomarev G.</t>
  </si>
  <si>
    <t>AVERAGE INTENSITY OF A UHF FIELD IN A CITY.</t>
  </si>
  <si>
    <t>2-s2.0-0022090739</t>
  </si>
  <si>
    <t>['waveguide height', 'stub type', 'propagation constant', 'mode propagation', 'lowpass filter', 'investigated experimentally', 'electric field', 'characteristic impedance', 'bandpass filter', 'analytical formula']</t>
  </si>
  <si>
    <t>A method of calculating the parameters of the propagation constant and the characteristic impedance of a screened slotted line (SSL) using a quasistatic test function of the electric field in the slot, which takes into account the singularity of the field at the edge and has the necessary asymptotic behavior when the slot width tends to the waveguide height is described. An analytical formula is derived for the critical fundamental wavelength, and the range of single-mode propagation is calculated. The irregularities in the SSL of the 'connecting-strip' and stub type are investigated experimentally and a bandpass filter and a lowpass filter are developed.</t>
  </si>
  <si>
    <t>36891023200;6504559682;7201508718;36819163400;7003888516;6507533535;6505648451</t>
  </si>
  <si>
    <t>Bogacheva, L. V.;Kalistratova, I. N.;Kiselev, V. V.;Kochetkov, V. N.;Kuznetsova, Ye A.;Otmakhov, Yu A.;Chagayev, A. A.</t>
  </si>
  <si>
    <t>Bogacheva L.</t>
  </si>
  <si>
    <t>CALCULATION OF THE CHARACTERISTIC PARAMETERS OF A SCREENED SLOTTED LINE AND AN EXPERIMENTAL INVESTIGATION OF IRREGULARITIES ALONG ITS LENGTH.</t>
  </si>
  <si>
    <t>2-s2.0-0022091543</t>
  </si>
  <si>
    <t>['usually specified', 'spacecraft missions', 'shape control', 'rms contribution', 'procedure serves', 'power required', 'performance requirements', 'output variables', 'output costs', 'mission requirements', 'linear controller', 'limited actuators', 'input costs', 'important feature', 'flexible structures', 'actuator sizing']</t>
  </si>
  <si>
    <t>The performance requirements of spacecraft missions are usually specified in terms of root-mean-squared (rms) values on both the input and output variables. The rms contribution of each input or output in the overall system performance metric is called the 'input' or 'output' cost. A technique is derived that allows a linear controller to assign each of the multi-input or output costs. The procedure is illustrated by the design and shape control for NASA's 64-m Hoop-Column Antenna subject to power-limited actuators. By assigning only the output costs rather than the input costs, the procedure serves to determine the power required of the actuators (required input costs) to achieve the mission requirements (specified output costs). This determination of actuator sizing (and location) for the control of flexible structures is an important feature of the method.</t>
  </si>
  <si>
    <t>54-62</t>
  </si>
  <si>
    <t>60009254;60009254</t>
  </si>
  <si>
    <t>Skelton, Robert E.;DeLorenzo, Michael</t>
  </si>
  <si>
    <t>West Lafayette</t>
  </si>
  <si>
    <t>Purdue University</t>
  </si>
  <si>
    <t>SPACE STRUCTURE CONTROL DESIGN BY VARIANCE ASSIGNMENT.</t>
  </si>
  <si>
    <t>2-s2.0-0022093040</t>
  </si>
  <si>
    <t>['one antenna', 'metallic mirror']</t>
  </si>
  <si>
    <t>The feasibility of a swept microwave reflectometer, with one antenna only, for plasma electron density measurement is studied. Experimental results obtained in the laboratory by simulating the plasma with a metallic mirror are presented. ¬© 1985 Plenum Publishing Corporation.</t>
  </si>
  <si>
    <t>605-628</t>
  </si>
  <si>
    <t>7005161099;57083766400</t>
  </si>
  <si>
    <t>Calderon, M. A.G.;Simonet, F.</t>
  </si>
  <si>
    <t>Calderon M.</t>
  </si>
  <si>
    <t>Experimental study of a swept reflectometer with a single antenna for plasma density profile measurement</t>
  </si>
  <si>
    <t>10.1007/BF01009674</t>
  </si>
  <si>
    <t>2-s2.0-0022093190</t>
  </si>
  <si>
    <t>['varian gyrotrons', 'te11 mode', 'tapered gradually', 'quarter wavelength', 'predicted values', 'power operation', 'power gyrotrons', 'linear polarization', 'good agreement', 'fusion plasmas', 'experimental values', 'experimental study', 'converter length', 'aperture antenna', 'annular slots', 'aided optimization', '70 ghz', '5 )%', '28 ghz', '28 db']</t>
  </si>
  <si>
    <t>electron cyclotron resonance heating | gyrotron | high-power millimeter waves | linearly polarized narrow pencil beam | mode conversion | overmoded waveguide systems</t>
  </si>
  <si>
    <t>A theoretical and experimental study of TE11-to-HE11 mode conversion in highly oversized waveguides is given. The balanced HE11 hybrid mode propagating in a circumferentially corrugated circular waveguide is in many respects ideal for effective electron cyclotron resonance heating of fusion plasmas with high-power gyrotrons. At an aperture antenna it exhibits desirable radiation characteristics such as linear polarization with very low cross polarization and axisymmetric power distribution with low sidelobe levels. This "Gaussian-like" mode can be generated from a TE11 mode by means of a corrugated mode converter in which the depth of the annular slots is tapered gradually from one-half to one-quarter wavelength. Computer-aided optimization of converter length, shape of corrugations, and of non-linear slot depth variation for 28 GHz- and 70 GHz-transducers was achieved with a scattering matrix formalism employing the modal field expansion technique (Modular Analysis Concept). In both cases the measured conversion efficiency of (98.5¬±0.5)% and the experimental values of the maximum cross polarization (below -28 dB) are in very good agreement with the predicted values. High-power operation was successfully demonstrated using pulsed 28 GHz- and 70 GHz-VARIAN gyrotrons (200 kW). ¬© 1985 Plenum Publishing Corporation.</t>
  </si>
  <si>
    <t>577-597</t>
  </si>
  <si>
    <t>Thumm, M.</t>
  </si>
  <si>
    <t>Thumm M.</t>
  </si>
  <si>
    <t>Computer-aided analysis and design of corrugated TE&lt;inf&gt;11&lt;/inf&gt; to HE&lt;inf&gt;11&lt;/inf&gt; mode converters in highly overmoded waveguides</t>
  </si>
  <si>
    <t>10.1007/BF01009672</t>
  </si>
  <si>
    <t>2-s2.0-0022094146</t>
  </si>
  <si>
    <t>['standard patterns', 'solar arrays', 'port includes', 'length bars', 'key element', 'hangar spaces', 'habitable modules', 'external appendages', 'equipment installation', 'berthing mechanism', 'attachment fittings', 'assure construction']</t>
  </si>
  <si>
    <t>To assure construction of any shape (or any size) of assembly, the system is a trusswork of equal-length bars, habitable modules interchangeable with struts. There are six standard units and no adapters. The key element is a nodal sphere made from 12 identical sub-assemblies, each corresponding to a face of a bulged rhombic dodecahedron. Each port includes a berthing mechanism that allows lateral engagement. Habitable modules are integrally stiffened shells with standard patterns of attachment fittings for equipment installation. External appendages (antennae, solar arrays, etc. ) plug into ports in the nodes at the assembly's edges, while hangar spaces are multi-cell volumes inherent in the lattice. Clocking and identification of the port interfaces assure correct assembly.</t>
  </si>
  <si>
    <t>305-314</t>
  </si>
  <si>
    <t>0007084X</t>
  </si>
  <si>
    <t>JBIS. Journal of the British Interplanetary Society</t>
  </si>
  <si>
    <t>Hardwood, O. P.</t>
  </si>
  <si>
    <t>Hardwood O.</t>
  </si>
  <si>
    <t>EVOLUTION SPACE STATION ARCHITECTURE.</t>
  </si>
  <si>
    <t>2-s2.0-0022094363</t>
  </si>
  <si>
    <t>['softhard half', 'frequency waves', 'asymptotic solution']</t>
  </si>
  <si>
    <t>Asymptotic behaviour | Boundary condition | Cylindrical configuration | Edge effect | Mixed problem | Radio wave | Wave diffraction</t>
  </si>
  <si>
    <t>An asymptotic solution to the problem of the diffraction of high-frequency waves by the edge of a cylindrically curved surface whose convex and concave faces present soft and hard boundary conditions is obtained. The results permit us to define new diffraction coefficients related to this kind of mixed boundary conditions. When the radius of the curvature becomes infinitely large, the edgediffraction coefficient reduces to this known for the softhard half-plane. ¬© 1985 Springer-Verlag.</t>
  </si>
  <si>
    <t>402-410</t>
  </si>
  <si>
    <t>B√ºy√ºkaksoy, Alinur</t>
  </si>
  <si>
    <t>Istanbul</t>
  </si>
  <si>
    <t>ƒ∞stanbul Teknik √úniversitesi</t>
  </si>
  <si>
    <t>B√ºy√ºkaksoy A.</t>
  </si>
  <si>
    <t>Diffraction coefficients related to cylindrically curved soft-hard surfaces</t>
  </si>
  <si>
    <t>10.1007/BF03003648</t>
  </si>
  <si>
    <t>2-s2.0-30244518102</t>
  </si>
  <si>
    <t>['serial dilutions', 'plant substances', 'optical isomers', 'male antennae', 'highly sensitive', 'antennal sensitivity', '3 r', '2 r', '100 œºg', ')- octanediol', ')- hydroxy']</t>
  </si>
  <si>
    <t>(2 S)-hydroxy-3-octanone | (2 S,3 S)-octanediol | Bates | Cerambycidae | Coleoptera | Electroantennogram | grape borer | male sex pheromone | optical isomers | Xylotrechus pyrrhoderus</t>
  </si>
  <si>
    <t>Electroantennograms were recorded from the grape borer Xylotrechus pyrrhoderus in response to serial dilutions of male sex pheromone components, (2 S,3 S)-octanediol and (2 S)-hydroxy-3-octanone, and to 100 Œºg of their optical isomers and host plant substances. Female antennae always responded more strongly than male antennae. Antennae of both sexes were highly sensitive to (2 S)-hydroxy-3-octanone. F/M ratio (female to male EAG value) was greater for male sex pheromone components, especially (2 S,3 S)-octanediol, and their optical isomers than plant substances. Antennal sensitivity to optical isomers (2 R,3 R-octanediol and 2 S,3 R-octanediol) was lower than true pheromone components. ¬© 1985 Plenum Publishing Corporation.</t>
  </si>
  <si>
    <t>819-828</t>
  </si>
  <si>
    <t>Journal of Chemical Ecology</t>
  </si>
  <si>
    <t>60031783;60031783;60102644;60102644</t>
  </si>
  <si>
    <t>57207743691;36779526500;16464971500;55451735000</t>
  </si>
  <si>
    <t>Iwabuchi, Kikuo;Takahashi, Jiro;Nakagawa, Yoshiko;Sakai, Tsutomu</t>
  </si>
  <si>
    <t>Mishima District;Mishima District</t>
  </si>
  <si>
    <t>Suntory Institute for Bioorganic Research;Suntory Ltd.</t>
  </si>
  <si>
    <t>60102644;60031783</t>
  </si>
  <si>
    <t>Iwabuchi K.</t>
  </si>
  <si>
    <t>Electroantennogram responses of grape borer Xylotrechus pyrrhoderus bates (Coleoptera: Cerambycidae) to its male sex pheromone components</t>
  </si>
  <si>
    <t>10.1007/BF01012070</t>
  </si>
  <si>
    <t>2-s2.0-4644270082</t>
  </si>
  <si>
    <t>['three kinds', 'simple formulas', 'input vswr', 'impedance bandwidth', 'experimental verification', 'experimental element', 'antenna thickness', '05 wavelength']</t>
  </si>
  <si>
    <t>Based on the cavity model theory, a set of simple formulas and graphs for calculating both the radiation pattern bandwidth and the impedance bandwidth of a rectangular microstrip antenna are presented with experimental verification. Three kinds of approaches to broaden the bandwidth and their potentiality are reviewed and discussed. A simple broadband technique by means of combination of stub-matching and increasing the antenna thickness is developed. An experimental element with the thickness of 0.05 wavelength is matched by using two stubs, while the input VSWR is measured to be less than 2:1 over a 13% bandwidth. ¬© 1985 Science Press.</t>
  </si>
  <si>
    <t>211-221</t>
  </si>
  <si>
    <t>Shunshi, Zhong</t>
  </si>
  <si>
    <t>Xi'an</t>
  </si>
  <si>
    <t>Xidian University</t>
  </si>
  <si>
    <t>Shunshi Z.</t>
  </si>
  <si>
    <t>Bandwidth and band-broadening of a rectangular microstrip antenna</t>
  </si>
  <si>
    <t>10.1007/BF02783092</t>
  </si>
  <si>
    <t>2-s2.0-51649148154</t>
  </si>
  <si>
    <t>['impulse responses']</t>
  </si>
  <si>
    <t>On the basis of the equation of the Fresnel-Kirchhoff scalar diffraction field, the impulse responses of parallel-fed and series-fed rectangular antennas with separable aperture distributions and the impulse responses of parallel-fed and center-series-fed circular antennas with circularly symmetric distributions are derived-all of them can be expressed in the aperture amplitude distributions. ¬© 1985 Science Press.</t>
  </si>
  <si>
    <t>201-210</t>
  </si>
  <si>
    <t>Hannan, Hu</t>
  </si>
  <si>
    <t>Shanghai</t>
  </si>
  <si>
    <t>Shanghai Ship and Shipping Research Institute</t>
  </si>
  <si>
    <t>Hannan H.</t>
  </si>
  <si>
    <t>Impulse responses of two-dimensional antennas</t>
  </si>
  <si>
    <t>10.1007/BF02783091</t>
  </si>
  <si>
    <t>2-s2.0-51649155620</t>
  </si>
  <si>
    <t>['popular concept', 'phased arrays', 'pattern adaptivity', 'paper presents', 'new antennas', 'key features', 'controllable elements', 'contain relatively']</t>
  </si>
  <si>
    <t>Antenna | Antenna array | Futurology | Microwave antenna | Multibeam antenna | Signal processing | Steerable beam antenna</t>
  </si>
  <si>
    <t>The paper presents the author's view on future antenna system requirements in communications and radar, and shows how many of these are likely to require solutions based on phased array antennas. Far from the popular concept of phased arrays as large structures containing thousands of elements, it is argued that these arrays will contain relatively few controllable elements. The key features of these new antennas will be their ¬´intelligent¬ª signal processing nature based on the capability for multiple beam formation and pattern adaptivity. ¬© 1985 Springer-Verlag.</t>
  </si>
  <si>
    <t>438-444</t>
  </si>
  <si>
    <t>Forrest, J. R.</t>
  </si>
  <si>
    <t>Forrest J.</t>
  </si>
  <si>
    <t>An array of possibilities for future antenna systems</t>
  </si>
  <si>
    <t>10.1007/BF03003650</t>
  </si>
  <si>
    <t>2-s2.0-65749317171</t>
  </si>
  <si>
    <t>['west coast', 'upper slope', 'triangular carpus', 'themaxillipedal palp', 'south island', 'single statocyst', 'rectangular telson', 'pereopods 1', 'new zealand', 'mandibular palp', 'kupellonura probertin', 'isopoda anthuridea', 'francis group', 'ex illsn', 'et sp', 'enlarged subchelae', 'distal article', 'deep water', 'anthuridae ).', 'also blind', 'albanthura stenodactylan', '3 palpalarticles', '1 large']</t>
  </si>
  <si>
    <t>Albanthura stenodactyla | Albanthuran. gen | Albanthurarotunduropus | Anthuridea | Bullowanthura crebrui | Haliophasma novaezelan-diae | Haliophasma platytelson | Isopoda | Kupellonura proberti | Leptanthura exilis | Leptanthura profundicola | Leptanthuratruncatitelson | New Zealand benthos | Paranthura longa | Psittanthura egregia | Psittanthuran. gen | Quantanthura pacifica</t>
  </si>
  <si>
    <t>From the shelf and upper slope off the West Coast of the South Island of New Zealand, the following new taxa of Isopoda Anthuridea(Crustacea) are described:Kupellonura probertin.sp. (Hyssuridae);Quantanthura pacifican. sp., Haliophasma platytelsonn. sp. andH. novaezelan-diaen. sp. (Anthuridae)Albanthura stenodactylan.gen. et sp., A. rotunduropusn. sp., Bullowanthuracrebruin. sp., Leptanthura truncatitelsonn. sp., L.ex illsn. sp., L. profundicolan. sp., Paranthura longan. sp., andPsittanthura egregian. gen. et sp. (Par-anthuridae). Most of these are blind, unpigmentedspecies, adapted to life in deep water.Albanthuran. gen.is blind, has a single telsonic statocyst, shortflagella of the antennae, a maxilliped with 3 palpalarticles, and a triangular carpus on pereopods 4 to7.Psittanthuran. gen. is also blind, with very unusual, enlarged subchelae of pereopods 1 and 2, alarge, rectangular telson with a single statocyst; themaxillipedal palp is composed of 1 large and 1small, distal article; a mandibular palp is absent. ¬© 1985 Taylor &amp; Francis Group, LLC.</t>
  </si>
  <si>
    <t>363-423</t>
  </si>
  <si>
    <t>New Zealand Journal of Zoology</t>
  </si>
  <si>
    <t>Wagele, J. W.</t>
  </si>
  <si>
    <t>Oldenburg</t>
  </si>
  <si>
    <t>Universit√§t Oldenburg</t>
  </si>
  <si>
    <t>Wagele J.</t>
  </si>
  <si>
    <t>Two new genera and twelve new species of anthuridea (Crustacea: Isopoda) fromoff the west coast of new zealand</t>
  </si>
  <si>
    <t>10.1080/03014223.1985.10428292</t>
  </si>
  <si>
    <t>2-s2.0-84950950711</t>
  </si>
  <si>
    <t>['¬© 1985', 'transmit field', 'rights reserved', 'radial component', 'letter stresses', 'feed horn', 'electrical engineers', 'component leads']</t>
  </si>
  <si>
    <t>Antennas | Crosspolarisation | Reflector antennas</t>
  </si>
  <si>
    <t>The letter stresses the importance of including the radial component of the transmit field of the feed horn when analysing reflector antennas. Omission of this component leads to errors in the prediction of crosspolar patterns similar in magnitude to those produced by diffraction effects within a dual reflector antenna. ¬© 1985, The Institution of Electrical Engineers. All rights reserved.</t>
  </si>
  <si>
    <t>617-618</t>
  </si>
  <si>
    <t>Henderson, R. I.</t>
  </si>
  <si>
    <t>GEC Research Lab</t>
  </si>
  <si>
    <t>Henderson R.</t>
  </si>
  <si>
    <t>Crosspolarisation due to radial field components in reflector antennas</t>
  </si>
  <si>
    <t>10.1049/el:19850435</t>
  </si>
  <si>
    <t>2-s2.0-0022418807</t>
  </si>
  <si>
    <t>['¬© 1985', 'zigzag cells', 'rights reserved', 'radiation characteristics', 'obtained decreases', 'maximum gain', 'extremely small', 'electrical engineers', '11 db']</t>
  </si>
  <si>
    <t>The radiation characteristics of an axial-mode zigzag antenna are evaluated on the basis of the numerically determined current distribution. It is revealed that the frequency at which the maximum gain is obtained decreases as the number of zigzag cells is increased, and that an antenna of two zigzag cells has a high power gain of about 11 dB with a bandwidth of about 11%, although the number of zigzag cells is extremely small. ¬© 1985, The Institution of Electrical Engineers. All rights reserved.</t>
  </si>
  <si>
    <t>606-608</t>
  </si>
  <si>
    <t>55633340100;36743673600;57220533028</t>
  </si>
  <si>
    <t>Nakano, H.;Tagami, H.;Yamauchi, J.</t>
  </si>
  <si>
    <t>Numerical analysis of an axial-mode zigzag antenna</t>
  </si>
  <si>
    <t>10.1049/el:19850428</t>
  </si>
  <si>
    <t>2-s2.0-0022418815</t>
  </si>
  <si>
    <t>['radiation pattern', 'pyralidae moths', 'polar plot', 'path length', 'known far', 'ir side', 'ir radiation', 'interference pattern', 'flying noctuidae', 'flying moth', 'fence sensor', 'emitted blackbody']</t>
  </si>
  <si>
    <t>The morphology of the picket-fence sensor on the antennae of night-flying Noctuidae and Pyralidae moths is described, and a 2Œª cardboard wax model of the sensor is constructed. A polar plot of the model in the path length of 3.1-cm rf gives a broad bandwidth main lobe and two 20¬∞ bandwidth sidelobes. Moving the picket-fence sensor 1 cm in the path length gives an interference pattern of minimum and maximum rf energy. The radiation pattern and interference pattern accommodate the known far-IR side-emitted blackbody (9.7-Œºm) IR radiation of a flying moth. ¬© 1985 Optical Society of America.</t>
  </si>
  <si>
    <t>2217-2220</t>
  </si>
  <si>
    <t>Picket-fence interferometer on the antenna of the noctuidae and pyralidae moths</t>
  </si>
  <si>
    <t>10.1364/AO.24.002217</t>
  </si>
  <si>
    <t>2-s2.0-79954425335</t>
  </si>
  <si>
    <t>['¬© 1985', 'working hypothesis', 'thylakoid membrane', 'presented indicating', 'precursor form', 'plastoquinone pool', 'peripheral chlorophyll', 'new approach', 'iiœ ≤', 'harvesting antenna', 'grana formation', 'first time', 'b light', 'added herbicides', 'acta 162']</t>
  </si>
  <si>
    <t>(Spinach chloroplast) | Chloroplast development | Photosystem II | Thylakoid membrane</t>
  </si>
  <si>
    <t>The activity of Photosystem (PS) IIŒ≤ was monitored for the first time in the absence of added herbicides in isolated chloroplast samples and in leaves of spinach in vivo. The new approach was implemented following identification of the initial chloroplast fluorescence rise from F0 to Fp1 (Forbush, B. and Kok, B. (1968) Biochim. Biophys. Acta 162, 243-253) as the variable fluorescence yield controlled by PS IIŒ≤. Evidence is presented indicating the absence of the intermediate plastoquinone pool from the thylakoid membrane in which PS IIŒ≤ is localized. A two-step developmental process for PS II assembly and grana formation is proposed. According to this working hypothesis, PS IIŒ≤ is the precursor form of PS IIŒ±, structurally and functionally complete except for the absence of the peripheral chlorophyll a b light-harvesting antenna and the complement of the plastoquinone pool. It is postulated that addition of these two hydrophobic components converts PS IIŒ≤ into PS IIŒ± and initiates the incorporation of the thylakoid membrane into grana. ¬© 1985.</t>
  </si>
  <si>
    <t>334-342</t>
  </si>
  <si>
    <t>Melis, Anastasios</t>
  </si>
  <si>
    <t>Melis A.</t>
  </si>
  <si>
    <t>Functional properties of Photosystem II&lt;inf&gt;Œ≤&lt;/inf&gt; in spinach chloroplasts</t>
  </si>
  <si>
    <t>10.1016/0005-2728(85)90017-9</t>
  </si>
  <si>
    <t>2-s2.0-0000341271</t>
  </si>
  <si>
    <t>['¬© 1985', 'wavelength range', 'two bands', 'thus indicate', 'three mutants', 'tentatively assigned', 'spinach thylakoids', 'spectral distribution', 'reaction center', 'radiationless decay', 'protein complexes', 'photosynthetic bacterium', 'photosynthetic bacteria', 'photooxidized bacteriochlorophylls', 'photochemical activity', 'neither channelled', 'keto c', 'harvesting complexes', 'fully maintained', 'free state', 'ester c', 'energy dissipation', 'difference spectrum', 'difference spectra', 'data suggest', 'common feature', 'benzyl viologen', 'bands identified', 'bacterial chromatophores', 'antenna pigment', 'active sites', 'actinic flash', '30 ms']</t>
  </si>
  <si>
    <t>(Spinach, Rps. capsulata) | Energy dissipation | Infrared</t>
  </si>
  <si>
    <t>Spinach thylakoids and chromatophores from the photosynthetic bacterium Rhodopseudomonas capsulata were investigated by means of time-resolved infrared spectroscopy, using thin water-containing membrane films which fully maintained their photochemical activity. Upon flash excitation, reversible infrared absorbance changes were obtained and their difference spectra were recorded. In spinach thylakoids, these transient signals could be described by a sum of two exponential decay functions with half-times of about 2 and 30 ms, respectively. They were insensitive to the addition of benzyl viologen, ferricyanide or ferricyanide + DCMU. They are ascribed by their dependence on intensity and wavelength range of the actinic flash to processes in the antenna pigment-protein complexes. In chromatophores from photosynthetic bacteria, similar infrared signals in the millisecond time range were obtained. Their spectral distribution was investigated for three mutants of the photosynthetic bacterium and is different for membranes lacking carotenoids. Both signals, in thylakoids and chromatophores, reflect the proportion of absorbed flash energy which is neither channelled to the reaction center nor emitted as light, but is dissipated through radiationless decay. A common feature of the difference spectra from spinach thylakoids and bacterial chromatophores are bands identified by deuteration as being due to H2O. Some bands are interpreted in terms of water going transiently from the hydrogen-bonded to the free state. Other bands are assigned to the polypeptides of the light-harvesting complexes, and thus indicate their participation in energy dissipation. Membranes from photosynthetic bacteria containing a photochemical reaction center show a distinct slow signal component decaying in about 1 s. It saturates at low flash intensity and is abolished upon chemical oxidation of the primary electron donor. Two bands in the difference spectrum of this component are tentatively assigned to the ester C = O and keto C = O vibrations of photooxidized bacteriochlorophylls in the reaction center. The data suggest that chromophoric and non-chromophoric infrared absorbance changes contribute to the difference spectra, and thus may represent a clue to the processes at the active sites of polypeptides in photosynthesis. ¬© 1985.</t>
  </si>
  <si>
    <t>300-315</t>
  </si>
  <si>
    <t>60025641;60025641;60025641;60025641</t>
  </si>
  <si>
    <t>24563927600;7006210611;7006927026;7004521296</t>
  </si>
  <si>
    <t>Bartel, Klaus;M√§ntele, Werner;Siebert, Fritz;Kreutz, Werner</t>
  </si>
  <si>
    <t>Bartel K.</t>
  </si>
  <si>
    <t>Time-resolved infrared studies of light-induced processes in plant thylakoids and bacterial chromatophore membranes. Evidence for the function of water molecules and the polypeptides in energy dissipation</t>
  </si>
  <si>
    <t>10.1016/0005-2728(85)90013-1</t>
  </si>
  <si>
    <t>2-s2.0-0642322161</t>
  </si>
  <si>
    <t>['two 1', 'simple differencing', 'response function', 'rainer weiss', 'multiple passes', 'generalized slightly', 'differencing method', 'arm antennas', '2 ].', '1 ].']</t>
  </si>
  <si>
    <t>Rainer Weiss and collaborators have from first principles derived the response of a free mass interferometer (or 2-arm gravitational wave antenna) to plane polarized gravitational waves [1]. We here obtain equivalent formulas (generalized slightly to allow for arbitrary elliptical polarization) by a simple differencing of the "3-pulse" Doppler response functions of two 1-arm antennas [2]. A "4-pulse" response function is found, with quite complicated angular dependences for arbitrary incident polarization. The differencing method can as readily be used to write exact response functions ("3 n+1 pulse"!) for antennas having multiple passes, or having more arms. ¬© 1985 Plenum Publishing Corporation.</t>
  </si>
  <si>
    <t>719-724</t>
  </si>
  <si>
    <t>General Relativity and Gravitation</t>
  </si>
  <si>
    <t>Estabrook, Frank B.</t>
  </si>
  <si>
    <t>Estabrook F.</t>
  </si>
  <si>
    <t>Response functions of free mass gravitational wave antennas</t>
  </si>
  <si>
    <t>10.1007/BF00762621</t>
  </si>
  <si>
    <t>2-s2.0-0007315622</t>
  </si>
  <si>
    <t>['system problems', 'paper outlines', 'monopulse ssr', 'improving performance', 'better antennas', 'also described']</t>
  </si>
  <si>
    <t>Bringing the radar story right up to date, this paper outlines the principles of secondary surveillance radar (SSR) and describes some of the system problems which have led to the developments of monopulse SSR as a way of improving performance. Further improvements have been obtained through the use of better antennas, which are also described.</t>
  </si>
  <si>
    <t>22-26</t>
  </si>
  <si>
    <t>pt 1</t>
  </si>
  <si>
    <t>2-s2.0-0022102740</t>
  </si>
  <si>
    <t>['variational formulation', 'similar arrays', 'sector array', 'rms deviation', 'phase synthesis', 'phase scanning', 'phase distribution', 'numerical results', 'lobe level', 'given sector', 'conjugate gradients']</t>
  </si>
  <si>
    <t>A method is proposed for finding the phase distribution of the currents of circular cylindrical antenna arrays for a specified amplitude radiation pattern and amplitude current distribution. The problem is considered in a variational formulation which consists of minimizing the rms deviation of the specified and synthesized amplitude patterns. The minimization is carried out by the method of conjugate gradients. Numerical results are given for a sector array. A comparison is made with the possibilities of amplitude-phase synthesis of similar arrays. The dependence of the side-lobe level on the number of feeds in a given sector is investigated for different electrical dimensions of the array. The results of a phase scanning are given.</t>
  </si>
  <si>
    <t>Soviet journal of communications technology &amp; electronics</t>
  </si>
  <si>
    <t>Andriychuk, M. I.</t>
  </si>
  <si>
    <t>PHASE SYNTHESIS OF CYLINDRICAL ANTENNA ARRAYS.</t>
  </si>
  <si>
    <t>2-s2.0-0022103085</t>
  </si>
  <si>
    <t>['required manner', 'primary field', 'optics approximation', 'numerical calculations', 'mirror antenna']</t>
  </si>
  <si>
    <t>The problem of calculating the surfaces of a two-mirror antenna that transforms the polarization of the primary field in the required manner is solved in the geometrical-optics approximation. The results of numerical calculations are given.</t>
  </si>
  <si>
    <t>129-135</t>
  </si>
  <si>
    <t>6507041742;57198289338;6603710798</t>
  </si>
  <si>
    <t>Vaynbrand, M. M.;Gasanov, E. E.;Kinber, B. Ye</t>
  </si>
  <si>
    <t>Vaynbrand M.</t>
  </si>
  <si>
    <t>TWO-MIRROR ANTENNA THAT TRANSFORMS THE POLARIZATION OF THE PRIMARY FIELD IN THE REQUIRED MANNER.</t>
  </si>
  <si>
    <t>2-s2.0-0022103666</t>
  </si>
  <si>
    <t>['widespread concern', 'satellite service', 'much work', 'lobe response', 'growing rapidly', 'fss networks', 'frequency coordination', 'ccir ).']</t>
  </si>
  <si>
    <t>The use of the geostationary satellite orbit (GSO) for the fixed-satellite service (FSS) is growing rapidly, and there is widespread concern that the medium may become congested. Much work has been done in the International Radio Consultative Committee (CCIR). Study Group 4 (Fixed-satellite service). The paper briefly reviews satellite antenna radiation pattern, earth station antenna side-lobe response, frequency coordination of FSS networks, and flexiblity in the positioning of satellites.</t>
  </si>
  <si>
    <t>467-470</t>
  </si>
  <si>
    <t>Withers, D. J.</t>
  </si>
  <si>
    <t>Withers D.</t>
  </si>
  <si>
    <t>TECHNICAL MEANS FOR EXPANDING THE FIXED-SATELLITE SERVICE.</t>
  </si>
  <si>
    <t>2-s2.0-0022103691</t>
  </si>
  <si>
    <t>['thermal motion', 'radiation resistance', 'radiation pattern', 'nonlinear effects', 'nonlinear effect', 'magnetoactive plasma', 'magnetic antennas', 'input resistance', 'frequency field', 'different aspects']</t>
  </si>
  <si>
    <t>In this review we examine the different aspects of the problem which arise from the use of electric and magnetic antennas as radiators or pickups of a low-frequency field in a magnetoactive plasma. This includes the problem of calculating the input resistance, and the radiation resistance, and the radiation pattern of such antennas, and taking into account the effect of the thermal motion of the particles and nonlinear effect of the thermal motion of the particles and nonlinear effects on their characteristics.</t>
  </si>
  <si>
    <t>42-58</t>
  </si>
  <si>
    <t>6603779009;6603276155;6701398779</t>
  </si>
  <si>
    <t>Akindinov, V. V.;Yeremin, S. M.;Lishin, I. V.</t>
  </si>
  <si>
    <t>Akindinov V.</t>
  </si>
  <si>
    <t>LOW-FREQUENCY ANTENNAS IN A MAGNETOACTIVE PLASMA (REVIEW).</t>
  </si>
  <si>
    <t>2-s2.0-0022103921</t>
  </si>
  <si>
    <t>['transmission efficiency', 'significant effect', 'general expression', 'energy transmission', 'electromagnetic line', 'author astract']</t>
  </si>
  <si>
    <t>A general expression is derived for the efficiency of energy transmission by an electromagnetic line and its conversion in a rectenna. The conditions for minimum energy losses of the electromagnetic transmission line are found. It is shown that the choice of the structure of the rectified current collection circuit in the rectenna has a significant effect on the transmission efficiency. (Author astract)</t>
  </si>
  <si>
    <t>35-41</t>
  </si>
  <si>
    <t>Yegerov, A. N.</t>
  </si>
  <si>
    <t>Yegerov A.</t>
  </si>
  <si>
    <t>EFFICIENCY OF ENERGY TRANSMISSION BY AN ELECTROMAGNETIC BEAM AND ITS CONVERSION IN A RECTENNA.</t>
  </si>
  <si>
    <t>2-s2.0-0022106363</t>
  </si>
  <si>
    <t>['reactive field', 'modal expansion', 'method uses', 'matrix formulation', 'generalized wave', 'analysis method', 'also implemented', '7 ghz', '1 ghz']</t>
  </si>
  <si>
    <t>A dichroic structure consisting of two parallel arrays of crossed dipoles supported by various dielectric sheets is investigated. An efficient analysis method, based on a modal expansion that takes into account the interaction of the reactive field between the gratings, is outlined. The method uses a Galerkin procedure combined with a generalized wave-matrix formulation. The analysis method is also implemented in a systematic design procedure, and the design of a double-layer grating structure intended for a dichroic subreflector operating at 10. 7-11. 7 GHz and 18. 1-20. 1 GHz is carried out.</t>
  </si>
  <si>
    <t>319-325</t>
  </si>
  <si>
    <t>Johansson, F. Stefan</t>
  </si>
  <si>
    <t>Johansson F.</t>
  </si>
  <si>
    <t>ANALYSIS AND DESIGN OF DOUBLE-LAYER FREQUENCY-SELECTIVE SURFACES.</t>
  </si>
  <si>
    <t>2-s2.0-0022107578</t>
  </si>
  <si>
    <t>['tuning elements', 'sis ).', 'rf coupling', 'quasioptical via', 'quartz lens', 'preliminary version', 'mm wavelengths', 'built using', 'bowtie antenna', 'astronomical use', 'accomplished without', '815 k', '466 ghz', '375 k', '349 ghz', '205 k', '116 ghz']</t>
  </si>
  <si>
    <t>low-noise-receiver | mm-wave | quasioptics | SIS | sub-mm-wave</t>
  </si>
  <si>
    <t>A broadband, low noise heterodyne receiver, suitable for astronomical use, has been built using a Pb alloy superconducting tunnel junction (SIS). The RF coupling is quasioptical via a bowtie antenna on a quartz lens and is accomplished without any tuning elements. In this preliminary version the double sideband receiver noise temperature rises from 205 K at 116 GHz to 375 K at 349 Ghz, and to 815 K at 466 GHz. This is the most versatile and sensitive receiver yet reported for sub-mm wavelengths. ¬© 1985 Plenum Publishing Corporation.</t>
  </si>
  <si>
    <t>60031581;60031581;60021378;60031581</t>
  </si>
  <si>
    <t>6701768711;7003922248;7501584507;7401766885</t>
  </si>
  <si>
    <t>Wengler, M. J.;Woody, D. P.;Miller, R. E.;Phillips, T. G.</t>
  </si>
  <si>
    <t>Pasadena;Murray</t>
  </si>
  <si>
    <t>California Institute of Technology;Nokia Bell Labs</t>
  </si>
  <si>
    <t>60031581;60021378</t>
  </si>
  <si>
    <t>Wengler M.</t>
  </si>
  <si>
    <t>A low noise receiver for millimeter and submillimeter wavelengths</t>
  </si>
  <si>
    <t>10.1007/BF01011947</t>
  </si>
  <si>
    <t>2-s2.0-0022108008</t>
  </si>
  <si>
    <t>['zenneck pole', 'steepest descent', 'sommerfeld integrals', 'smooth behavior', 'sdp emanating', 'riemann surface', 'possible branch', 'original integral', 'numerical evaluation', 'main features', 'last case', 'evaluated numerically', 'efficient approach', 'dielectric halfspace', 'continuous behavior', 'branch point', 'bottom sheet', 'antennas radiating']</t>
  </si>
  <si>
    <t>An efficient approach is described for the numerical evaluation of the Sommerfeld integrals which arise in analyses of antennas radiating over a dielectric halfspace. The main features of this approach can be summarized as follows: The contour deformation principle is employed to express the original integral as a sum of the steepest descent-path (SDP) integral and the possible branch-cut-path (BCP) integral, which are then evaluated numerically. If the branch point is captured, the SDP is allowed to go to the bottom sheet of the Riemann surface, resulting in a continuous behavior of the integrand. In the last case, the BCP is deformed to the SDP emanating from the branch point, on which the integrand decays rapidly. The Zenneck pole is subtracted, resulting in a smooth behavior of the integrand on the SDP.</t>
  </si>
  <si>
    <t>312-318</t>
  </si>
  <si>
    <t>Michalski, K. A.</t>
  </si>
  <si>
    <t>Michalski K.</t>
  </si>
  <si>
    <t>ON THE EFFICIENT EVALUATION OF INTEGRALS ARISING IN THE SOMMERFELD HALFSPACE PROBLEM.</t>
  </si>
  <si>
    <t>2-s2.0-0022108078</t>
  </si>
  <si>
    <t>['study wave', 'plasma interactions', 'paper refers', 'modifications occur', 'ionospheric medium', 'ionospheric electrons', 'going work']</t>
  </si>
  <si>
    <t>If high-power radio waves are beamedinto the ionosphere, the signal can modify the ionospheric medium in which it propagates. While many different types of modifications occur, one of the more prominent involves redistribution of ionospheric electrons, leading to the formation of electron density irregularities. The paper refers to HF ionospheric modification facilities that are designed to study wave-plasma interactions in the ionosphere's laboratory - without wall environment, and describes the on-going work.</t>
  </si>
  <si>
    <t>75-77, 79</t>
  </si>
  <si>
    <t>Djuth, Frank T.</t>
  </si>
  <si>
    <t>Djuth F.</t>
  </si>
  <si>
    <t>IONOSPHERIC MODIFICATION SPAWNS NEW PROPAGATION.</t>
  </si>
  <si>
    <t>2-s2.0-0022112181</t>
  </si>
  <si>
    <t>['provide australia', 'distinguishes aussat', 'description given', 'communications payload', 'aussat programme']</t>
  </si>
  <si>
    <t>In 1982 Aussat Proprietary Limited selected Hughes Aircraft Company to build three HS376-type communications satellites to provide Australia with its first national communications satellite programme. The Aussat programme is reviewed, and a description given of the Hughes HS376 craft. A description is included of the communications payload and the unique antenna configuration which distinguishes Aussat from all other HS376 series satellites.</t>
  </si>
  <si>
    <t>371-375</t>
  </si>
  <si>
    <t>Rea, P.</t>
  </si>
  <si>
    <t>Rea P.</t>
  </si>
  <si>
    <t>AUSSAT: AUSTRALIA'S FIRST NATIONAL COMMUNICATIONS SATELLITE SYSTEM.</t>
  </si>
  <si>
    <t>2-s2.0-0022113413</t>
  </si>
  <si>
    <t>['œîf f', '¬© 1985', 'two types', 'singlet fission', 'second category', 'results well', 'relative magnetic', 'reduced cells', 'redox state', 'reaction centers', 'reaction center', 'photosynthetic bacteria', 'observed magnetic', 'induced emission', 'homofission explains', 'first category', 'field strength', 'excitation wavelength', 'differences observed', 'dependent emission', 'containing preparations', 'containing bacteria', 'closely associated', 'charge recombination', 'category ii']</t>
  </si>
  <si>
    <t>(R. rubrum, P. aestuarii, Rps. sphaeroides) | Bacterial photosynthesis | Bacteriochlorophyll emission | Carotenoid | Magnetic field effect | Singlet fission</t>
  </si>
  <si>
    <t>In cells, chromatophores, isolated antenna complexes and isolated reaction centers of a number of photosynthetic bacteria the magnetic-field-induced emission is determined as a function of the magnetic-field strength, redox state of the reaction center, temperature and the emission and excitation wavelength. Two types of magnetic-field-dependent emission were observed. Category I is closely associated with the charge recombination in the reaction center, decreases upon cooling, is found in reaction center-containing preparations in which the first quinone acceptor Q1 has been reduced, and the relative magnetic-field-dependent emission ( ŒîF F) does not depend on the excitation wavelength. Category II is associated with the antenna of the carotenoid-containing bacteria, does not depend upon temperature or the redox state of the reaction center, occurs only upon direct carotenoid excitation and is not found in isolated reaction centers. Upon carotenoid excitation of reduced cells or chromatophores, magnetic-field-dependent emission of both categories is found. The magnetic-field-dependent emission of the first category is discussed in terms of the radical pair mechanism and suggestions are made to explain the differences observed between cells, chromatophores and reaction centers. The magnetic-field-dependent emission of the second category is discussed in terms of singlet fission of the first excited singlet state of an antenna carotenoid molecule into a double triplet state of the carotenoid and another nearby molecule. A process of homofission explains our results well, but with some restrictions a process of heterofission might also account for the observed magnetic-field-dependent emission. ¬© 1985.</t>
  </si>
  <si>
    <t>363-382</t>
  </si>
  <si>
    <t>60003878;60008734;60003878</t>
  </si>
  <si>
    <t>24453572600;35599806700;6603047878</t>
  </si>
  <si>
    <t>Kingma, H.;van Grondelle, R.;Duysens, L. N.M.</t>
  </si>
  <si>
    <t>Amsterdam;Leiden</t>
  </si>
  <si>
    <t>Vrije Universiteit Amsterdam;Sterrewacht Leiden</t>
  </si>
  <si>
    <t>60008734;60003878</t>
  </si>
  <si>
    <t>Kingma H.</t>
  </si>
  <si>
    <t>Magnetic-field effects in photosynthetic bacteria. I. Magnetic-field-induced bacteriochlorophyll emission changes in the reaction center and the antenna of Rhodospirillum rubrum, Rhodopseudomonas sphaeroides and Prosthecochloris aestuarii</t>
  </si>
  <si>
    <t>0005-2728(85)90146-X</t>
  </si>
  <si>
    <t>10.1016/0005-2728(85)90146-X</t>
  </si>
  <si>
    <t>2-s2.0-0021925503</t>
  </si>
  <si>
    <t>['¬© 1985', 'various strains', 'triplet yield', 'triplet state', 'triplet pair', 'triplet formation', 'three categories', 'third category', 'singlet fission', 'rhodospirillum rubrum', 'rhodopseudomonas sphaeroides', 'reduced cells', 'redox state', 'reaction centers', 'reaction center', 'radical pair', 'probably due', 'pertinent data', 'observed magnetic', 'magnetic field', 'laser flash', 'intersystem crossing', 'formed upon', 'field effects', 'direct effect', 'detection wavelength', 'dependent emission', 'closely related', 'charge recombination', 'category ii', 'bacteriochlorophyll excitation', 'bacteria studied', 'associated magnetic', 'antenna complexes', 'antenna complex', 'acta 808', '300 k']</t>
  </si>
  <si>
    <t>Antenna magnetic-field effect | Bacterial photosynthesis (R. rubrum, Rps. sphaeroides) | Carotenoid | Reaction center | Triplet state</t>
  </si>
  <si>
    <t>In cells, chromatophores, reaction centers and antenna complexes of various strains of Rhodospirillum rubrum and Rhodopseudomonas sphaeroides, we determined by absorbance difference spectroscopy the triplet yield, œÜT, induced by a laser flash, as a function of the strength of a magnetic field, the redox state of the reaction center, the temperature and the excitation and detection wavelength. Three categories of triplet formation can be distinguished. Category I is caused by the charge recombination of the triplet state of the radical pair in the reaction center. The triplet yield decreases in a magnetic field and increases upon cooling. The magnetic field dependence of œÜT is complementary to that of the magnetic-field-induced bacteriochlorophyll emission change associated with the reaction center (see preceding paper: Kingma, H., Van Grondelle, R. and Duysens, L.N.M. (1985) Biochim. Biophys. Acta 808, 363-382) and is discussed in terms of the radical pair mechanism. Category II is formed in the antenna complex of the carotenoid-containing purple bacteria. The triplet yield depends on the strength of a magnetic field, but does not vary with the temperature between 100 and 300 K. The triplet is formed only upon direct carotenoid excitation and is not observed in reaction centers. The triplet formation is closely related to the antenna-associated magnetic-field-dependent emission (see the above-mentioned preceding paper) and is discussed in terms of the process of singlet fission of the excited carotenoid singlet state into a triplet pair. Homofission, involving two carotenoid molecules, explains all the pertinent data in Rps. sphaeroides, while heterofission might account for the observed magnetic-field effects in the antenna complex of R. rubrum. The triplet of the third category is formed upon both carotenoid and bacteriochlorophyll excitation in the antenna of all bacteria studied. The yield in antenna complexes does not depend on the temperature. No direct effect of a magnetic field upon the triplet yield is observed. Triplet formation in this category is probably due to intersystem crossing of bacteriochlorophyll, followed by triplet energy transfer to an antenna carotenoid molecule, if present. Upon carotenoid excitation of reduced cells or chromatophores, a mixture of all three categories is observed. ¬© 1985.</t>
  </si>
  <si>
    <t>383-399</t>
  </si>
  <si>
    <t>Magnetic-field effects in photosynthetic bacteria. II. Formation of triplet states in the reaction center and the antenna of Rhodospirillum rubrum and Rhodopseudomonas sphaeroides. Magnetic-field effects</t>
  </si>
  <si>
    <t>0005-2728(85)90147-1</t>
  </si>
  <si>
    <t>10.1016/0005-2728(85)90147-1</t>
  </si>
  <si>
    <t>2-s2.0-0021984464</t>
  </si>
  <si>
    <t>U.S. Department of Agriculture</t>
  </si>
  <si>
    <t>84-CRCR-1-1455</t>
  </si>
  <si>
    <t>USDA</t>
  </si>
  <si>
    <t>['¬© 1985', 'transition dipoles', 'similar measurements', 'rhodopseudomonas viridis', 'reaction center', 'quantasome consists', 'primary electron', 'preferred orientation', 'polarized light', 'isolated quantasomes', 'intact chromatophores', 'excited selectively', 'excited directly', 'corresponding dipole', 'common plane', 'circularly degenerated', 'bacteriochlorophyll b', 'antenna bacteriochlorophylls', 'also measured', '960 could', '960 ),']</t>
  </si>
  <si>
    <t>(Rps. viridis) | Antenna | Bacteriochlorophyll | Fluorescence polarization | Photodichroism | Reaction center</t>
  </si>
  <si>
    <t>The orientation of the long-wavelength (Qy) transition dipoles of the antenna bacteriochlorophylls was examined in isolated quantasomes of Rhodopseudomonas viridis. A quantasome consists of a reaction center surrounded by six antenna complexes, each of which probably contains four molecules of bacteriochlorophyll b. We measured the photodichroism of the absorbance changes associated with oxidation of the primary electron-donor in the reaction center (P-960), when the long-wavelength absorption band of the antenna was excited selectively with polarized light. The polarization of the fluorescence from the antenna was also measured. Similar measurements were made with isolated reaction centers, in which P-960 could be excited directly, and with intact chromatophores. Reaction centers gave high polarization values for the fluorescence and the photodichroism; chromatophores and quantasomes both gave low values. The results are consistent with the view that the long-wavelength transition dipoles of the antenna molecules lie in a common plane with the corresponding dipole of P-960, but have no preferred orientation in this plane. The antenna thus appears to be circularly degenerated about P-960. ¬© 1985.</t>
  </si>
  <si>
    <t>421-427</t>
  </si>
  <si>
    <t>60015481;60015481;60015481</t>
  </si>
  <si>
    <t>24310010600;7102077906;7006623893</t>
  </si>
  <si>
    <t>Breton, Jacques;Farkas, Daniel L.;Parson, William W.</t>
  </si>
  <si>
    <t>Seattle</t>
  </si>
  <si>
    <t>University of Washington</t>
  </si>
  <si>
    <t>Breton J.</t>
  </si>
  <si>
    <t>Organization of the antenna bacteriochlorophylls around the reaction center of Rhodopseudomonas viridis investigated by photoselection techniques</t>
  </si>
  <si>
    <t>0005-2728(85)90150-1</t>
  </si>
  <si>
    <t>10.1016/0005-2728(85)90150-1</t>
  </si>
  <si>
    <t>2-s2.0-0022005263</t>
  </si>
  <si>
    <t>['¬© 1985', 'unusual designs', 'radar antennae', 'low friction', 'gyroscope gimbals', 'certain applications', 'bearings may', 'applications envisaged']</t>
  </si>
  <si>
    <t>In this paper some unusual designs of rolling element bearings are discussed, with a view to reducing the friction to a minimum by optimizing their shape. Such bearings may have use in certain applications where low friction is important, some applications envisaged being radar antennae and gyroscope gimbals. ¬© 1985.</t>
  </si>
  <si>
    <t>309-322</t>
  </si>
  <si>
    <t>Wear</t>
  </si>
  <si>
    <t>Gohar, R.</t>
  </si>
  <si>
    <t>Imperial College London</t>
  </si>
  <si>
    <t>Gohar R.</t>
  </si>
  <si>
    <t>Low friction rolling element bearings</t>
  </si>
  <si>
    <t>10.1016/0043-1648(85)90039-0</t>
  </si>
  <si>
    <t>2-s2.0-0021789351</t>
  </si>
  <si>
    <t>['¬© 1985', 'two positive', 'sequenced region', 'published sequence', 'phage bank', 'overlapping œª', 'full agreement', 'clones gave', 'anacystis nidulans']</t>
  </si>
  <si>
    <t>Anacystis nidulans | Cyanobacteria | DNA sequence | Light-harvesting antenna | Photosynthesis gene | Phycobilisome | Œ≤-Phycocyanin</t>
  </si>
  <si>
    <t>The Œ≤-phycocyanin gene, pcyB, of Anacystis nidulans was isolated from an Escherichia coli Œª-phage bank by the use of synthetic oligonucleotides derived from the 170 amino acid sequence of the Œ≤-phycocyanin protein. Two positive, overlapping Œª-clones were found. Partial DNA sequencing of one of the clones gave a deduced amino acid sequence which was in full agreement with a portion of the published sequence of A. nidulans Œ≤-phycocyanin. A comparison with the published DNA sequence for Œ≤-phycocyanin from Agmenellum quadruplicatum shows a DNA sequence homology of 70.4% over the sequenced region. ¬© 1985.</t>
  </si>
  <si>
    <t>27-32</t>
  </si>
  <si>
    <t>60031040;60031040;60031040;60031040;</t>
  </si>
  <si>
    <t>7102132849;7003662848;57216000553;56212852200;7005371473</t>
  </si>
  <si>
    <t>Lind, Lisbet K.;Kalla, S. Roger;L√∂nneborg, Anders;√ñquist, Gunnar;Gustafsson, Petter</t>
  </si>
  <si>
    <t>Lind L.K.</t>
  </si>
  <si>
    <t>Cloning of the Œ≤-phycocyanin gene from Anacystis nidulans</t>
  </si>
  <si>
    <t>0014-5793(85)80868-1</t>
  </si>
  <si>
    <t>10.1016/0014-5793(85)80868-1</t>
  </si>
  <si>
    <t>2-s2.0-22844453030</t>
  </si>
  <si>
    <t>National Institute of General Medical Sciences</t>
  </si>
  <si>
    <t>R01GM010374</t>
  </si>
  <si>
    <t>NIGMS</t>
  </si>
  <si>
    <t>['¬© 1985', 'protein possesses', 'peripheral sugars', 'one n', 'oligosaccharides derived', 'nmr spectroscopy', 'mhz 1h', 'glycosylation site', 'form part', 'first report', 'certain branches', 'antennary glycans']</t>
  </si>
  <si>
    <t>500-MHz 1H-NMR spectroscopy of the oligosaccharides derived from Œ≥-seminoprotein, a human seminal plasma glycoprotein, revealed considerable microheterogeneity both with respect to the degree of branching and with regard to the peripheral sugars. Although the protein possesses only one N-glycosylation site, di-, tri- and tetra-antennary glycans in a ratio of 40:15:45 were found to be present. Moreover, certain branches of the tri- and tetra-antennas contain one or two Fuc residues which form part of the SSEA-1 and Y determinants. It should be noted that this is the first report that describes the occurrence and localization of the Y determinant, i.e. FucŒ±(1‚Üí2)GalŒ≤(1‚Üí4)[FucŒ±(1‚Üí3)]GlcNAcŒ≤(1‚Üí¬∑), in an N-glycan of a glycoprotein. ¬© 1985.</t>
  </si>
  <si>
    <t>507-514</t>
  </si>
  <si>
    <t>0006291X</t>
  </si>
  <si>
    <t>Biochemical and Biophysical Research Communications</t>
  </si>
  <si>
    <t>60007989;60007989;60007989;60001377;60001377;60001377-60006385;60006385</t>
  </si>
  <si>
    <t>7006107403;7003741811;35473444200;7004805945;7403348836;35563887100;7201753459</t>
  </si>
  <si>
    <t>van Halbeek, Herman;Gerwig, Gerrit J.;Vliegenthart, Johannes F.G.;Tsuda, Ryouicchi;Hara, Mitsuwo;Akiyama, Kazuko;Schmid, Karl</t>
  </si>
  <si>
    <t>Netherlands;United States;Japan</t>
  </si>
  <si>
    <t>Utrecht;Boston;Kurume</t>
  </si>
  <si>
    <t>Utrecht University;Boston University School of Medicine;Kurume University School of Medicine</t>
  </si>
  <si>
    <t>60007989;60006385;60001377</t>
  </si>
  <si>
    <t>van Halbeek H.</t>
  </si>
  <si>
    <t>Occurrence of the Y determinant on the N-glycosidic carbohydrate units of human Œ≥-seminoprotein</t>
  </si>
  <si>
    <t>0006-291X(85)91831-5</t>
  </si>
  <si>
    <t>10.1016/0006-291X(85)91831-5</t>
  </si>
  <si>
    <t>2-s2.0-0022243421</t>
  </si>
  <si>
    <t>['¬© 1985', 'shorter wavelengths', 'plant physiol', 'page profile', 'normal biotypes', 'mutant whereas', 'mutant biotype', 'membrane adhesion', 'low temperature', 'lhc ii', 'dramatic decline', 'chlorophyll b', 'calculated chlorophyll', 'ca 720', 'b ratios', 'acetone extracts', '725 nm']</t>
  </si>
  <si>
    <t>A chlorophyll deficient mutant of clover has been examined by SDS-PAGE, spectrophotometric and electron microscopic methods. By a comparison of the absorption and first derivative spectra of acetone extracts from the mutant and normal biotypes, we observed a deficiency in chlorophyll b for the mutant biotype. The calculated chlorophyll a b ratios, using the method of Arnon (Plant Physiol. 24, 1-15 1949), approached infinity for the mutant whereas it ranged from 3.0-3.3 in the wild-type. The low temperature (77¬∞K) fluorescence emission bands in the 685-695 nm region could not be differentiated for the biotypes; however, the long wavelength emission band (near 740 nm in the wild-type) was shifted to shorter wavelengths (ca 720-725 nm) in the mutant indicating loss of photosystem I antenna. The SDS-PAGE profile of the mutant biotype showed a dramatic decline in the Coomassie stained polypeptides of apparent molecular weights similar to those of LHC II. Transmission electron micrographs of the mutant and normal tissue exhibited similar extents of grana-stacking, indicating that a component(s) other than the LHC II may be responsible for membrane adhesion in this mutant. ¬© 1985.</t>
  </si>
  <si>
    <t>182-189</t>
  </si>
  <si>
    <t>60023512;60023512</t>
  </si>
  <si>
    <t>7102613947;24451832200</t>
  </si>
  <si>
    <t>Nakatani, H. Y.;Baliga, V.</t>
  </si>
  <si>
    <t>Richmond</t>
  </si>
  <si>
    <t>Philip Morris USA</t>
  </si>
  <si>
    <t>Nakatani H.</t>
  </si>
  <si>
    <t>A clover mutant lacking the chlorophyll a- and b-containing protein antenna complexes</t>
  </si>
  <si>
    <t>0006291X85917875</t>
  </si>
  <si>
    <t>10.1016/0006-291X(85)91787-5</t>
  </si>
  <si>
    <t>2-s2.0-0022434807</t>
  </si>
  <si>
    <t>['water lineages', 'upwelling season', 'two setae', 'trithek morph', 'trithek female', 'tonsus ).', 'subtropical genera', 'sized late', 'sex change', 'segment 21', 'reproductive output', 'quadrithek morphs', 'quadrithek morph', 'quadrithek females', 'presumptive hypothesis', 'one aesthetasc', 'maximum frequencies', 'local population', 'like secretions', 'less common', 'late winter', 'genital tract', 'functional female', 'first antenna', 'final molt', 'family calanidae', 'ecological significance', 'cv c', 'change hypothesis', 'calanoides ),', 'antennal segments', 'antennal dimorphism', 'aesthetasc shape', 'adult females', '25 species', '12 %)', '., calanus']</t>
  </si>
  <si>
    <t>Adult females of 14 of 25 species of the family Calanidae were found to be dimorphic with respect to the number of aesthetases on the first antenna. The trithek morph, in which most antennal segments bear a complement of one aesthetasc and two setae, appears to be the typical female phenotype. The quadrithek morph is less common and, as in males, odd-numbered segments 2b, 3, 5, 7 and 9 carry quadritheks, i.e., two aesthetascs as well as two setae. Segment 21 in the quadrithek female bears an aesthetasc that is absent in the trithek female. Male antennal segments are distinguished from those of trithek and quadrithek females by pronounced morphological differences in aesthetasc shape and size as well as fusion of one or more pairs of antennal segments. The quadrithek morph usually comprised only a small proportion (&lt;10%) of a local population. Quadrithek morphs were found in tropical and subtropical genera (Cosmocalanus and Nannocalanus), broadly ranging genera (Calanoides), as well as in cool-water lineages (Calanus s.s., Calanus s.l. cristatus, C. s.l. plumchrus, C. s.l. propinquus and C. s.l. tonsus). Maximum frequencies of quadrithek morphs (10 to 12%) in Calanus pacificus californicus occurred during the upwelling season from late winter into spring. No indication of sexual or antennal dimorphism was found in CV C. pacificus californicus sexed by examination of gonad and gonaduct. The quadrithek dimorph appears to be the product of sex change by the larger-sized late-juvenile potential male. The evolutionary and ecological significance of this presumptive hypothesis is that the larger-sized potential male reaching adulthood one or more weeks before maturation of genotypic females may increase its reproductive output by sex change in the course of the final molt to mature as a functional female. Given the sex-change hypothesis, morphogenesis of secondary sexual structures would appear to be controlled by androgenic-like secretions from the genital tract, as has been shown in malacostrocans. ¬© 1985 Springer-Verlag.</t>
  </si>
  <si>
    <t>273-294</t>
  </si>
  <si>
    <t>Marine Biology</t>
  </si>
  <si>
    <t>Fleminger, A.</t>
  </si>
  <si>
    <t>Scripps Institution of Oceanography</t>
  </si>
  <si>
    <t>Fleminger A.</t>
  </si>
  <si>
    <t>Dimorphism and possible sex change in copepods of the family Calanidae</t>
  </si>
  <si>
    <t>10.1007/BF00392589</t>
  </si>
  <si>
    <t>2-s2.0-0000051548</t>
  </si>
  <si>
    <t>['secretory setae', 'lateral aspects', 'globulated spines', 'corresponding chromanones', 'clear fluid', 'chain aldehydes']</t>
  </si>
  <si>
    <t>chromanones | chromones | Heteroptera | lace bug | setal exudate | Stephanitis | Tingidae</t>
  </si>
  <si>
    <t>The azalea lace bug secretes a clear fluid from secretory setae on the antennae and globulated spines on the dorsal and lateral aspects of the abdomen. The secretion contains 2-alkyl-5-hydroxychromones, the corresponding chromanones and diketones, and straight-chain aldehydes and ketones. ¬© 1985 Plenum Publishing Corporation.</t>
  </si>
  <si>
    <t>1223-1228</t>
  </si>
  <si>
    <t>60000635;60000635;60000635;60000635;60000635</t>
  </si>
  <si>
    <t>7401628143;7202006228;7004348865;7102901082;7003564613</t>
  </si>
  <si>
    <t>Oliver, James E.;Neal, John W.;Lusby, William R.;Aldrich, Jeffrey R.;Kochansky, Jan P.</t>
  </si>
  <si>
    <t>Beltsville</t>
  </si>
  <si>
    <t>USDA ARS Beltsville Agricultural Research Center</t>
  </si>
  <si>
    <t>Oliver J.</t>
  </si>
  <si>
    <t>Novel components from secretory hairs of azalea lace bug Stephanitis pyrioides (Hemiptera: Tingidae)</t>
  </si>
  <si>
    <t>10.1007/BF01024110</t>
  </si>
  <si>
    <t>2-s2.0-0004873256</t>
  </si>
  <si>
    <t>['¬© 1985', 'triboelectric energy', 'transfer processes', 'transduce energy', 'surface reactivity', 'surface reactions', 'surface chemistry', 'storage sites', 'spectroscopic properties', 'special properties', 'solar energy', 'skeletal support', 'sites implicated', 'profound potential', 'prebiotic abundance', 'prebiological chemistry', 'potential significance', 'potential relationships', 'potential contribution', 'postulated roles', 'penetrating sources', 'particular suitability', 'partially characterized', 'novel means', 'might give', 'mechanical stress', 'luminescent properties', 'ionizing radiation', 'intimately associated', 'hole mobility', 'heterogeneous catalysis', 'geological conditions', 'estimates place', 'energy storage', 'energy sources', 'energy inputs', 'energetic properties', 'energetic basis', 'electronic structure', 'electronic excitation', 'electronic energy', 'electrical charges', 'electrical charge', 'coupled transport', 'condensed phases', 'commonly accepted', 'collecting antenna', 'clay layer', 'chemical evolution', 'bulk crystal', 'biomimetic processes', 'biomimetic functions', 'band theory', 'asymmetric separation', 'appears sensible', 'abundant minerals', '1 clays']</t>
  </si>
  <si>
    <t>The postulated roles of clays and other minerals in chemical evolution and the origin of life are reconsidered in terms of the interaction of these minerals with penetrating sources of energy such as ionizing radiation and mechanical stress. This interaction, including such facets as excitation, degradation, storage, and transfer, is considered here with regard to its profound potential for altering the capabilities of minerals to serve both as substrates for prebiological chemistry and as inorganic prototypic life forms. The interaction of minerals and energy in relationship to surface chemistry is discussed in terms of the spectroscopic properties of minerals, the interaction of energy with condensed phases, some commonly accepted concepts of heterogeneous catalysis in the absence of electronic energy inputs, and some commonly accepted and novel means by which surface activity might be enhanced in the presence of energy inputs. An estimation is made of the potential contribution of two poorly characterized prebiotic energy sources, natural radioactive decay and triboelectric energy. These estimates place a conservative lower limit on their prebiotic abundance. Also some special properties of these energy sources, relative to solar energy, are pointed out which might give them particular suitability for driving reactions occurring under geological conditions. Skeletal support for this broadly defined framework of demonstrated and potential relationships between minerals, electronic excitation, and surface reactivity, as applied to chemical evolution, is provided from the results of our studies on 1/1 clays. We have discovered and partially characterized a number of novel luminescent properties of these clays, that indicate energy storage and transfer processes in clays. These luminescent properties are interpreted in relationship to the electron spin resonance phenomena, to provide a basis for estimating the potential significance of energy storage and transduction in monitoring or driving clay surface chemistry. Consideration of the electronic structure of abundant minerals in terms of band theory and localized defect centers provides a predictive theoretical framework from which to rationalize the capacity of these materials to store and transduce energy. The bulk crystal is seen as a collecting antenna for electronic energy, with the defect centers serving as storage sites. The clay properties produced by isomorphic substitution appear to be intimately associated with all of the life-mimetic chemical processes that have been attributed to clays. It appears sensible to postulate that the energetic properties of these substitutional defect centers may also be influential in these biomimetic processes: the promotion of surface reactions, storage of information, replication with transfer of information, and asymmetric separation of electrical charges, as well as their more recently hypothesized roles in energy storage and transduction. The identity of the sites implicated in all of the biomimetic functions of clays as well as their capacity for energy storage is seen to offer significant potential for coupling these functions to an environmental energy source. A yet more specific and experimentally testable hypothesis is offered for a new biomimetic process performed by clays. This hypothesis is that energy stored near isomorphically substituted sites provides the energetic basis for the coupled transport of electrical charge and/or electronic energy through the clay layer, which operates via environmental activation of electron/hole mobility. This is to say that mobility of charge/electronic excitation between defect centers serves as the basis for a primordial inorganic electron transport chain. ¬© 1985 D. Reidel Publishing Company.</t>
  </si>
  <si>
    <t>161-206</t>
  </si>
  <si>
    <t>Origins of Life and Evolution of the Biosphere</t>
  </si>
  <si>
    <t>Coyne, Lelia M.</t>
  </si>
  <si>
    <t>San Jose</t>
  </si>
  <si>
    <t>San Jose State University</t>
  </si>
  <si>
    <t>Coyne L.</t>
  </si>
  <si>
    <t>A possible energetic role of mineral surfaces in chemical evolution</t>
  </si>
  <si>
    <t>10.1007/BF01808364</t>
  </si>
  <si>
    <t>2-s2.0-0021778543</t>
  </si>
  <si>
    <t>['wire antennas', 'verified using', 'single dipole', 'radiation pattern', 'principle aim', 'mutual impedance', 'mm treatment', 'input impedance', 'elliptic cylinder', 'eigenfunction solution', 'dipoles near', 'also shown']</t>
  </si>
  <si>
    <t>Presented in this paper are two hybrid methods for combining the method of moments (MM) with other techniques. Both these hybrid techniques treat the problem of thin linear antennas near an elliptic cylinder. The principle aim of this work was to compine the MM treatment of wire antennas with the GTD. The results are then verified using the hybrid moment method-eigenfunction solution (EIG-MM).-Results are shown for the radiation pattern and the input impedance of arrays of dipoles near an elliptic cylinder, as well as for a single dipole. For arrays, results for the mutual impedance are also shown. ¬© 1985 Springer-Verlag.</t>
  </si>
  <si>
    <t>313-322</t>
  </si>
  <si>
    <t>Archiv f√ºr Elektrotechnik</t>
  </si>
  <si>
    <t>60015331;60015331;60030988</t>
  </si>
  <si>
    <t>35070366800;6508074569;7005683394</t>
  </si>
  <si>
    <t>Siakavara, K.;Papadimitraki-Chlichlia, H.;Sahalos, J. N.</t>
  </si>
  <si>
    <t>On the treatment of wire antennas near an elliptic cylinder</t>
  </si>
  <si>
    <t>10.1007/BF01573581</t>
  </si>
  <si>
    <t>2-s2.0-0021860010</t>
  </si>
  <si>
    <t>['verify spacecraft', 'orbit tests', 'orbit compliance', 'operational planning', 'graphics editor', 'entirely applicable', 'elevation planes', 'contour plots', 'communications satellites']</t>
  </si>
  <si>
    <t>Algorithms for the generation of contour plots as applied to antenna pattern data obtained during in-orbit tests of communications satellites are described. These contours are used for operational planning and to verify spacecraft in-orbit compliance with specifications. These algorithms have been developed to enable contour generation from data which are nonuniform and sparsely spaced along the azimuth and elevation planes in spacecraft antenna coordinates, conditions under which conventional contour generation algorithms are not entirely applicable. These simple algorithms generate contours which can be further enhanced with a graphics editor, are general in nature, and can be applied to other types of data.</t>
  </si>
  <si>
    <t>211-236</t>
  </si>
  <si>
    <t>6602557665;6603433087</t>
  </si>
  <si>
    <t>Fullett, K. D.;Riginos, V. E.</t>
  </si>
  <si>
    <t>Fullett K.</t>
  </si>
  <si>
    <t>CONTOUR GENERATION ALGORITHM APPLIED TO ANTENNA PATTERNS.</t>
  </si>
  <si>
    <t>2-s2.0-0022114473</t>
  </si>
  <si>
    <t>['various features', 'tm 11', 'theoretical results', 'resonant frequencies', 'radiation patterns', 'paper presents', 'input impedances', 'improving accuracy', 'experimental results', 'detailed theoretical', 'correct identification', 'comprehensive account', 'cavity model']</t>
  </si>
  <si>
    <t>Annular antenna | Cavity resonator | Electromagnetic field | Input impedance | Microstrip antenna | Radiation pattern | Resonance frequency | Resonance mode | Theoretical model</t>
  </si>
  <si>
    <t>This paper presents a critical and comprehensive account of the theory of the annular-ring microstrip antenna based on the cavity model and compares the theoretical results with measurements. It is found that in the theory, the physical radii must be modified to account for the fringing fields along the edges of the ring. The modifications are necessary not only for improving accuracy but also for the correct identification of the modes. Detailed theoretical and experimental results are given on resonant frequencies, radiation patterns and input impedances. Our results also confirm the various features of the tm 11 and tm 12 modes predicted previously by the vector Hankel transform analysis. ¬© 1985 Springer-Verlag.</t>
  </si>
  <si>
    <t>508-515</t>
  </si>
  <si>
    <t>60032143;60009658</t>
  </si>
  <si>
    <t>7501501369;7003504220</t>
  </si>
  <si>
    <t>Lee, K. F.;Dahele, J. S.</t>
  </si>
  <si>
    <t>Akron;Swindon</t>
  </si>
  <si>
    <t>University of Akron;Defence College of Management and Technology</t>
  </si>
  <si>
    <t>Lee K.F.</t>
  </si>
  <si>
    <t>Theory and experiment on the annular-ring microstrip antenna</t>
  </si>
  <si>
    <t>10.1007/BF02998223</t>
  </si>
  <si>
    <t>2-s2.0-0022114782</t>
  </si>
  <si>
    <t>['period structures', 'numerical calculations', 'mutual impedance', 'method based', 'input impedances', 'element calculation']</t>
  </si>
  <si>
    <t>Using the fact that the method of element-by-element calculation of input impedances of a radiator in an infinite antenna array is equivalent to the method based on the theory of period structures, a procedure is obtained for calculating the mutual impedance of radiators. Results of numerical calculations are presented.</t>
  </si>
  <si>
    <t>45-48</t>
  </si>
  <si>
    <t>23993993200;6507803508;6701772560</t>
  </si>
  <si>
    <t>Knyazev, S. T.;Naimushin, M. P.;Panchenko, B. A.</t>
  </si>
  <si>
    <t>Knyazev S.</t>
  </si>
  <si>
    <t>METHOD OF CALCULATING MUTUAL IMPEDANCES BASED ON THE THEORY OF INFINITE PERIODIC STRUCTURES.</t>
  </si>
  <si>
    <t>2-s2.0-0022114929</t>
  </si>
  <si>
    <t>['proposed method', 'polarization characteristics', 'polarimeter implementing', 'electromagnetic fields']</t>
  </si>
  <si>
    <t>A method of determining the polarization characteristics of electromagnetic fields is proposed. Unlike existing methods, the proposed method enables complex interference fields to be analyzed. A polarimeter implementing the proposed method of determining polarization parameters is described.</t>
  </si>
  <si>
    <t>40-44</t>
  </si>
  <si>
    <t>7005822255;6504104115;6506409056</t>
  </si>
  <si>
    <t>Ponomarev, G. A.;Tel'Pukhovskiy, E. D.;Chuzhkov, Yu P.</t>
  </si>
  <si>
    <t>DETERMINATION OF THE LOCAL POLARIZATION CHARACTERISTICS OF AN ELECTROMAGNETIC FIELD.</t>
  </si>
  <si>
    <t>2-s2.0-0022114964</t>
  </si>
  <si>
    <t>['specific consideration', 'space method', 'relevant literature', 'mittra developed', 'also maintained']</t>
  </si>
  <si>
    <t>It is contended that the statement by Bokhari and Balakrishnan that Ko and Mittra developed a new iterative scheme in the Fourier transform domain that resulted in a computationally efficient solution is incorrect. It is also maintained that the authors were incorrect in stating that in the discussions in the relevant literature on convergence no specific consideration has been given to the k-space method.</t>
  </si>
  <si>
    <t>Bojarski, Norbert N.</t>
  </si>
  <si>
    <t>Bojarski N.</t>
  </si>
  <si>
    <t>COMMENTS ON 'AN ANALYSIS OF CYLINDRICAL ANTENNAS - A SPECTRAL ITERATION TECHNIQUE' BY S. A. BOKHARI AND N. BALAKRISHNAN.</t>
  </si>
  <si>
    <t>2-s2.0-0022115073</t>
  </si>
  <si>
    <t>['widely used', 'wfv distribution', 'suppress noise', 'radio communications', 'optimum wfv', 'many cases', 'antenna array', 'always valid']</t>
  </si>
  <si>
    <t>Algorithms for adjusting the weighting factor vector (WFV) of an antenna array, synthesized by the state variables method, are widely used to suppress noise in radio communications and radar. The assumption that it is possible to approximate the variation of the optimum WFV by a Gaussian random process is made in the algorithms. It is shown in this paper that this assumption is not always valid and it is advisable in many cases to use suboptimum algorithms that are stable to the character of the WFV distribution.</t>
  </si>
  <si>
    <t>129-131</t>
  </si>
  <si>
    <t>6701693763;6602851818;7005060977</t>
  </si>
  <si>
    <t>Rodimov, A. P.;Glushankov, Ye I.;Davydenko, V. V.</t>
  </si>
  <si>
    <t>Rodimov A.</t>
  </si>
  <si>
    <t>ROBUST ALGORITHM FOR ADJUSTING THE WEIGHTING VECTOR OF AN ANTENNA ARRAY.</t>
  </si>
  <si>
    <t>2-s2.0-0022115413</t>
  </si>
  <si>
    <t>['working frequency', 'like media', 'like body', 'input admittance', 'electromagnetic characteristics']</t>
  </si>
  <si>
    <t>The electromagnetic characteristics of microstrip disk antenna radiating into biological-like media are evaluated by use of the method of moments. In particular the distribution of electric field inside the biological-like body, the input admittance of the antenna and its working frequency as a function of the body dielectric characteristics are presented.</t>
  </si>
  <si>
    <t>302-311</t>
  </si>
  <si>
    <t>60031624;60031624;60031624</t>
  </si>
  <si>
    <t>7102832809;35952791600;7006051132</t>
  </si>
  <si>
    <t>Cerri, Graziano;De Leo, Roberto;Francescangeli, Oriano</t>
  </si>
  <si>
    <t>Ancona</t>
  </si>
  <si>
    <t>Universit√† Politecnica delle Marche</t>
  </si>
  <si>
    <t>Cerri G.</t>
  </si>
  <si>
    <t>MICROSTRIP DISK ANTENNA RADIATION INTO BIOLOGICAL-LIKE MEDIA.</t>
  </si>
  <si>
    <t>2-s2.0-0022116316</t>
  </si>
  <si>
    <t>['two types', 'tested experimentally', 'satisfactory isolation', 'one type', 'electronic devices', 'device channels']</t>
  </si>
  <si>
    <t>Two types of acousto-electronic devices are considered for forming a multiple-beam radiation pattern of a linear antenna array. The maximum possible number of device channels is determined. A prototype of one type of device is tested experimentally. Satisfactory isolation between channels is obtained.</t>
  </si>
  <si>
    <t>118-124</t>
  </si>
  <si>
    <t>7006843416;6507061466;6603384612;6504437033</t>
  </si>
  <si>
    <t>Gurevich, G. L.;Zhizhenkova, L. N.;Paskhin, V. M.;Shkatov, I. V.</t>
  </si>
  <si>
    <t>Gurevich G.</t>
  </si>
  <si>
    <t>INVESTIGATION OF ACOUSTOELECTRONIC DEVICES FOR SPATIAL SIGNAL PROCESSING.</t>
  </si>
  <si>
    <t>2-s2.0-0022120161</t>
  </si>
  <si>
    <t>['title may', 'time ago', 'near future', 'large town', 'especially true', 'distant future', 'direct broadcasting', 'dbs channels', 'dbs bird', 'always assuming', "21 '."]</t>
  </si>
  <si>
    <t>Chosen some time ago this title may, at least in part, seem not now to be so relevant in the light of the recent decisions taken by the 'Club of 21'. However, the proposal in respect of Direct Broadcasting by Satellite (DBS) services would still be valid no matter how those DBS channels are used - always assuming that a UK 'DBS bird' will fly at some time in the not too distant future. This will be especially true if the transmissions are to the Multiplexed Analog Component (MAC) standard, and even more so if the signals are scrambled. The object of this paper is to bring together two aspects of the near future in small television distribution (MATV) systems and to discuss the possibilities, or otherwise, of harmonizing them into a large town or city wide wideband cabled distribution system.</t>
  </si>
  <si>
    <t>Seacombe, Ray J.</t>
  </si>
  <si>
    <t>BT Group plc</t>
  </si>
  <si>
    <t>Seacombe R.J.</t>
  </si>
  <si>
    <t>DBS, SMATV AND CABLE IN TECHNICAL HARMONY.</t>
  </si>
  <si>
    <t>2-s2.0-0022120304</t>
  </si>
  <si>
    <t>['wide range', 'size characteristics', 'good weight', 'frequency characteristic', 'filter using', 'experiments performed', 'elliptical amplitude']</t>
  </si>
  <si>
    <t>Promising regular transmission lines for bulk integrated microwave circuits, based on a nonsymmetrical slotted line (NSL) with a wide range of variation in the dimensions of the screen, are discussed. Galerkin's method with piecewise-definite basis functions is used to investigate natural waves in the NSL. Results are presented of experiments performed to investigate the NSL and a filter using a modification of the NSL and having an elliptical amplitude-frequency characteristic and good weight-size characteristics.</t>
  </si>
  <si>
    <t>49-56</t>
  </si>
  <si>
    <t>7101700501;6508148206;7004451355</t>
  </si>
  <si>
    <t>Gvozdev, V. I.;Kuzayev, G. A.;Nefedov, E. I.</t>
  </si>
  <si>
    <t>Gvozdev V.</t>
  </si>
  <si>
    <t>NONSYMMETRICAL SLOTTED LINE. THEORY AND EXPERIMENT.</t>
  </si>
  <si>
    <t>2-s2.0-0022120341</t>
  </si>
  <si>
    <t>['useful signal', 'transmission lines', 'studied separately', 'receiving transducer', 'pickup signal', 'msw signal', 'method consists', 'magnetostatic waves', 'large h', 'interferograms obtained', 'electromagnetic pickup', 'basic parameters']</t>
  </si>
  <si>
    <t>A further development of the method for measuring the basic parameters of the useful signal and electromagnetic pickup in transmission lines for magnetostatic waves (MSW) is proposed. The method consists of moving the receiving transducer in the direction of propagation of the wave (the MSW measuring line). A procedure for processing the interferograms obtained, which enables the MSW signal and the pickup signal to be studied separately, is discussed. It is shown that the dependence of the amplitudes of the MSW and of the pickup on the magnetizing field H has a distinct maximum within the MSW spectrum near its boundary for large H. An interpretation is given for the main experimental relations.</t>
  </si>
  <si>
    <t>89-94</t>
  </si>
  <si>
    <t>7005559346;7003330558;57196084469</t>
  </si>
  <si>
    <t>Zil'Berman, P. Ye;Kazakov, G. T.;Tikhonov, V. V.</t>
  </si>
  <si>
    <t>Zil'Berman P.</t>
  </si>
  <si>
    <t>SEPARATE MEASUREMENT OF THE PARAMETERS OF THE USEFUL SIGNAL AND PICKUP IN TRANSMISSION LINES FOR MAGNETOSTATIC WAVES.</t>
  </si>
  <si>
    <t>2-s2.0-0022120599</t>
  </si>
  <si>
    <t>['year stock', 'whose technicians', 'way radio', 'us agency', 'taxi radio', 'system design', 'successful operation', 'spare parts', 'solar panels', 'reliable system', 'portable generators', 'pilot project', 'phase 1', 'patients transferred', 'originally designed', 'network increased', 'moh ).', 'medical personnel', 'medex program', 'medex headquarters', 'medex 2', 'local installation', 'least 10', 'key person', 'key element', 'international development', 'initial network', 'hand tools', 'generator units', 'fully incorporated', 'emergency call', 'dedicated 2', 'controlling traffic', 'communication difficulties', 'administrative uses', '48 kilometers', '40a transceiver', '400 kilometers', '3 frequencies', '28 sites', '23 %.', '10 sites']</t>
  </si>
  <si>
    <t>Over the past 6 years in Guyana, the MEDEX 2-way radio network has emerged as the most effective and reliable system of its kind. This 2-way radio system, originally designed to ease the communication difficulties of medical personnel in the field, now is fully incorporated into the administration of primary health care. The US Agency for International Development (AID) funded a pilot project from 1979-85 which established a dedicated 2-way radio system for the MEDEX program. The initial network of 10 sites has now been extended to 28 sites, with plans for at least 10 more. Site-to-site and site-to-headquarters distances range from 48 kilometers to in excess of 400 kilometers. The system design, chosen in consultation with the Guyana Telecommunications Corporation (GTC) is a low-powered system operating on 3 frequencies with sound quality similar to that of a taxi radio. During phase 1 of the project, portable generators were used at some sites and solar panels at others to provide the system's power. After a year it was found that fuel for the generators was expensive and difficult to obtain, and that some generators had broken down. No problems were encountered with the solar panels, so generator units were replaced with the more efficient solar installations. Each site is equipped with a fully transistorized 25-watt Stoner SSB-40A transceiver, a 3-element dipole antenna, a 12-volt automotive battery, a 5-watt solar panel for trickle-charging the battery, and a set of hand tools. To ensure that Guyanese personnel would be able to take full responsibility for the system, the project provided adequate training, local installation and maintenance, effective program management, and a 5-year stock of spare parts. A key element from the start has been involvement of GTC, whose technicians have been used to install and maintain the equipment under a contract with the Ministry of Health (MOH). A key person in the network is the full-time communications officer at MEDEX headquarters in Georgetown, who is resposible not only for communicating with the medex and controlling traffic on the network, but also for following up on their requests. This officer must locate a physician when an emergency call is received, determine the status of patients transferred to Georgetown or of delayed drug shipments, and provide other information upon request. The competence and dedication of this officer is vital to the successful operation of the network. The pattern of radio use varies depending upon regional needs. Between 1980-85, administrative uses of the network increased from 44 to 62% of all traffic, while medical calls declined in volume from 31 to 23%. 2-way radio has greatly improved rural primary health care delivery.</t>
  </si>
  <si>
    <t>Development communication report</t>
  </si>
  <si>
    <t>57190852559;7202663644;57225326819</t>
  </si>
  <si>
    <t>Fryer, M.;Burns, S.;Hudson, H.</t>
  </si>
  <si>
    <t>Fryer M.</t>
  </si>
  <si>
    <t>Two-way radio for rural health care delivery.</t>
  </si>
  <si>
    <t>2-s2.0-0022121029</t>
  </si>
  <si>
    <t>['sparked interest', 'signature recognition', 'signature identification', 'right software', 'radar systems', 'measure performance', 'low radar', 'increasing sophistication', 'antenna engineering', 'airframe manufacturers', 'aircraft design', 'accurate means']</t>
  </si>
  <si>
    <t>The increasing sophistication of radar systems has sparked interest in signature identification of targets as well as in the design of aircraft with small radar cross sections. In the past, such matters were largely the concern of airframe manufacturers and a handful of organizations investigating stealth technology and signature recognition. Recently, however, low radar-cross-section (RCS) systems - their development and qualification - have garnered the attention of a variety of disciplines, from antenna engineering to turbine engine design. To build effective systems requires an accurate means to measure performance. Evaluating an aircraft design for low radar visibility is a snap with a properly configured analyzer and the right software.</t>
  </si>
  <si>
    <t>101-102, 104, 106</t>
  </si>
  <si>
    <t>Hartman, Rick E.</t>
  </si>
  <si>
    <t>Horsham</t>
  </si>
  <si>
    <t>Flam &amp; Russell Inc</t>
  </si>
  <si>
    <t>Hartman R.</t>
  </si>
  <si>
    <t>RADAR TARGETS REVEAL ALL TO AUTOMATED TESTER.</t>
  </si>
  <si>
    <t>2-s2.0-0022122901</t>
  </si>
  <si>
    <t>['tube amplifiers', 'state amplifiers', 'reflector antenna', 'power traveling', 'power solid', 'paper addresses', 'mathematical problem', 'large number', 'band solid', 'array antenna']</t>
  </si>
  <si>
    <t>Current direct broadcast satellites use high-power traveling-wave-tube amplifiers and a multiple-horn feed array and reflector antenna to achieve the downlink high power required. No high-efficiency, 250-W, Ku-band solid-state power amplifier now exists. The high power required can be achieved by using a large number of low-power solid-state amplifiers to drive the elements in an active-array antenna. This paper addresses the mathematical problem of determining, for each element in an active-array antenna, the amplitude and phase drive signals required to produce the desired antenna pattern on Earth.</t>
  </si>
  <si>
    <t>376-392</t>
  </si>
  <si>
    <t>R.C.A. Review</t>
  </si>
  <si>
    <t>56718473700;7202984959</t>
  </si>
  <si>
    <t>Colodny, Samuel H.;Crane, Roger L.</t>
  </si>
  <si>
    <t>Colodny S.</t>
  </si>
  <si>
    <t>ACTIVE-ARRAY ANTENNA BEAM SHAPING FOR DIRECT BROADCAST SATELLITES AND OTHER APPLICATIONS.</t>
  </si>
  <si>
    <t>2-s2.0-0022130138</t>
  </si>
  <si>
    <t>['two quantities', 'strut effects', 'scattering contribution', 'reflector patterns', 'position parameters', 'phi //', 'measured two', 'free parabola', 'four struts', 'focal length', 'experimental study', 'elevation angle', '10 mm', '0 db']</t>
  </si>
  <si>
    <t>An experimental study of a strut-scattering contribution to small parabolic antenna secondary patterns is presented. The test reflector used in the measurement is the one with D(diam) equals 500 mm and with F(focal length) equals 125 mm. In order to examine the strut effects on the reflector secondary patterns, all data are measured two-dimensionally with a computer-aided antenna positioner. Two quantities, phi //s (elevation angle) and PHI //s (rotational angle varied from the plane of the source polarization), are introduced as the strut-position parameters. The results of an experiment at f equals 12 GHz with four struts (10 mm in diam) show that the reflector patterns are influenced by the strut. The loss of gain for a strut-free parabola was from 0. 5 to 1. 0 db.</t>
  </si>
  <si>
    <t>612-619</t>
  </si>
  <si>
    <t>60194543;60194543</t>
  </si>
  <si>
    <t>7201750560;55709894900</t>
  </si>
  <si>
    <t>Miyata, Katsumasa;Suzuki, Michio</t>
  </si>
  <si>
    <t>Akita</t>
  </si>
  <si>
    <t>National Institute of Technology, Akita College</t>
  </si>
  <si>
    <t>Miyata K.</t>
  </si>
  <si>
    <t>FEED-STRUT SCATTERING EFFECTS ON SMALL PARABOLIC ANTENNA SECONDARY PATTERNS.</t>
  </si>
  <si>
    <t>2-s2.0-0022130905</t>
  </si>
  <si>
    <t>['workshop assembly', 'whether circular', 'welded three', 'subassemblies ready', 'structural components', 'report deals', 'rectangular tubing', 'radio telescopes', 'particular attention', 'individual components', 'final assembly', 'dimensional frameworks', 'dimensional framework', 'communications antennae']</t>
  </si>
  <si>
    <t>This report deals with welded three-dimensional frameworks for radio telescopes and communications antennae. Particular attention is paid to the design of the framework for reflectors, as well as their fabrication and assembly. The sequence of construction is in principle the same, regardless of whether circular or rectangular tubing is used for the framework, namely: production of the individual components, workshop assembly of structural components and subassemblies ready for transportation, and final assembly of the three-dimensional framework on site.</t>
  </si>
  <si>
    <t>Schweissen und Schneiden/Welding and Cutting</t>
  </si>
  <si>
    <t>6506023691;57225288298</t>
  </si>
  <si>
    <t>Spickermann, Dieter;Kaercher, Hans Juergen</t>
  </si>
  <si>
    <t>Spickermann D.</t>
  </si>
  <si>
    <t>WELDED THREE-DIMENSIONAL FRAMEWORKS FOR RADIO TELESCOPES AND COMMUNICATIONS ANTENNAE.</t>
  </si>
  <si>
    <t>2-s2.0-0022130989</t>
  </si>
  <si>
    <t>['recently proposed', 'ieee transactions', 'hamiltonian method', 'fundamental cases', 'four shapes', '3 ],']</t>
  </si>
  <si>
    <t>electromagnetic theory | wire gratings</t>
  </si>
  <si>
    <t>Using the Hamiltonian method that we have recently proposed [1, 2] and which is described in the IEEE transactions on antennas and propagation [3], we give some theoretical data related to perfectly conductor wire gratings. Phase-shift and efficiency are given for several diffraction orders, for four shapes of cross-section, and for both fundamental cases of polarization. ¬© 1985 Plenum Publishing Corporation.</t>
  </si>
  <si>
    <t>831-865</t>
  </si>
  <si>
    <t>60102127;60102127</t>
  </si>
  <si>
    <t>6602983139;7103239352</t>
  </si>
  <si>
    <t>Suratteau, J. Y.;Petit, R.</t>
  </si>
  <si>
    <t>Aix Marseille Universit√©</t>
  </si>
  <si>
    <t>Suratteau J.Y.</t>
  </si>
  <si>
    <t>Numerical study of perfectly conducting wire gratings in the resonance domain</t>
  </si>
  <si>
    <t>10.1007/BF01013293</t>
  </si>
  <si>
    <t>2-s2.0-0022131409</t>
  </si>
  <si>
    <t>['wire antenna', 'shaped thin', 'potential form', 'planar layers', 'new formulation', 'layered medium', 'homogeneous medium', 'form akin', 'explicitly accounted', 'dielectric half', 'conducting scatterer', 'charge induced', 'called mixed', 'arbitrary number', 'antenna embedded']</t>
  </si>
  <si>
    <t>It is demonstrated that the electric field integral equation (EFIE) for a conducting scatterer or antenna embedded in a stratified medium consisting of an arbitrary number of planar layers can always be put in a form akin to the so-called mixed-potential form in which the charge induced on the object is explicitly accounted for. This is significant because the most advanced numerical solution techniques developed recently for scatterers of arbitrary shape embedded in a homogeneous medium are based on the mixed-potential form of the EFIE. It is shown that these techniques can be extended for conducting objects residing in a layered medium. The new formulation is applied to an arbitrarily-shaped thin-wire antenna over a dielectric half-space.</t>
  </si>
  <si>
    <t>317-322</t>
  </si>
  <si>
    <t>Michalski, Krzysztof A.</t>
  </si>
  <si>
    <t>MIXED-POTENTIAL ELECTRIC FIELD INTEGRAL EQUATION FOR OBJECTS IN LAYERED MEDIA.</t>
  </si>
  <si>
    <t>2-s2.0-0022132068</t>
  </si>
  <si>
    <t>['woodlouse remained', 'woodlice moved', 'turn left', 'turn angles', 'traveling along', 'porcellio scaber', 'particular supported', 'orientation toward', 'opposite direction', 'one direction', 'greater forced', 'free turn', 'forced turns', 'far wall', 'exit alley', 'choice area', 'alternation angles']</t>
  </si>
  <si>
    <t>Angles of free turn were observed in woodlice (Porcellio scaber) after they had been forced to turn left or right in runways. Alternation angles were increased by greater forced-turn angles and number of successive forced turns in one direction. Removal of one or both antennae had no effect on alternation. It was also repeatedly observed that the closer a woodlouse remained to the far wall while traveling along the exit alley of a runway, the greater was its angle of alternation. However, orientation toward this far wall bore no relation to alternation. When given three successive left or right forced turns followed by a fourth in the opposite direction, woodlice moved further away from the exit-alley far wall and repeated the last forced turn at the choice area. Along with results of the other experiments, this result in particular supported an explanation for woodlouse alternation based on bilaterally asymmetrical leg movements (BALM) arising from the negotiation of forced turns. Such asymmetry is seen as biasing an animal to turn in the opposite direction to a preceding forced turn. ¬© 1985 Psychonomic Society, Inc.</t>
  </si>
  <si>
    <t>253-260</t>
  </si>
  <si>
    <t>Animal Learning &amp; Behavior</t>
  </si>
  <si>
    <t>Hughes, R. N.</t>
  </si>
  <si>
    <t>Christchurch</t>
  </si>
  <si>
    <t>University of Canterbury</t>
  </si>
  <si>
    <t>Hughes R.</t>
  </si>
  <si>
    <t>Mechanisms for turn alternation in woodlice (Porcellio scaber): The role of bilaterally asymmetrical leg movements</t>
  </si>
  <si>
    <t>10.3758/BF03200018</t>
  </si>
  <si>
    <t>2-s2.0-0022345582</t>
  </si>
  <si>
    <t>['video recordings', 'two antennae', 'suggest ways', 'solid objects', 'sensory system', 'second antennae', 'repeatedly moving', 'locate objects', 'lightly touched', 'largely independent', 'ipsilateral antenna', 'horizontal angles', 'distance covered', 'distance along', 'direction taken', 'dimensional layout', 'cherax destructor', 'blinded crayfish', 'behavioural evidence', 'antennal flagellum', 'antennal contact', 'antennae towards', 'antennae back', 'animals tend', 'animal turns', 'angular positions', 'angular position', '8 ).', '7 ).', '50 ¬∞.', '4 ).', '3 ).', '2 ).', '100 ¬∞', '1 ).']</t>
  </si>
  <si>
    <t>1. Video recordings and single frame analysis were used to study the function of the second antennae of crayfish (Cherax destructor) as a sensory system in freely behaving animals. 2. Walking crayfish move their antennae back and forth through horizontal angles of 100¬∞ and more, relative to the body long axis (Fig. 1). At rest, animals tend to hold their antennae at angular positions between 20 and 50¬∞. Movements of the two antennae are largely independent of each other. Before and during a turn of the body the ipsilateral antenna is moved into the direction of the turn (Figs. 1, 2). Solid objects are explored by repeatedly moving the antennae towards and across them. 3. Both seeing and blinded crayfish can locate stationary objects following antennal contact (Figs. 2, 3). On antennal contact with a small novel object, a moving animal withdraws its antenna and attacks the object. 4. When the antenna of a blinded crayfish is lightly touched with a brush the animal turns and attacks the point of stimulation (Fig. 4). The direction taken and the distance covered during an attack can be correlated with: 1. the angle at which the antenna is held at the moment of contact and 2. the distance along the antennal flagellum at which the stimulus is applied (Figs. 5, 7). 5. From behavioural evidence we conclude that crayfish use information about the angular position of their antennae and about the position of stimulated mechanoreceptors along the antennal flagellum to locate objects in their environment. We suggest ways in which an active tactile system - like the crayfish's antennae - could supply animals with information about the three-dimensional layout of their environment (Fig. 8). ¬© 1985 Springer-Verlag.</t>
  </si>
  <si>
    <t>607-617</t>
  </si>
  <si>
    <t>60028333;60028333;60028333</t>
  </si>
  <si>
    <t>6603893325;7006281193;7004629105</t>
  </si>
  <si>
    <t>Zeil, Jochen;Sandeman, Renate;Sandeman, David</t>
  </si>
  <si>
    <t>Zeil J.</t>
  </si>
  <si>
    <t>Tactile localisation: the function of active antennal movements in the crayfish Cherax destructor</t>
  </si>
  <si>
    <t>10.1007/BF01351355</t>
  </si>
  <si>
    <t>2-s2.0-0022405574</t>
  </si>
  <si>
    <t>['quantum electrodynamics', 'potential formulations', 'point charges', 'new formulation', 'field strength', 'current loops', 'classical electrodynamics', 'characteristic problems']</t>
  </si>
  <si>
    <t>The question is pursued of whether there exists a complete alternate formulation of classical electrodynamics in terms of a single scalar function, which may then lead to a new formulation of quantum electrodynamics. Using harmonic analysis and spin-weighted spherical harmonics we study such a theory and solve it for three deliberately simple but characteristic problems: point charges, current loops and antennae. The connection between the field strength and potential formulations is established, as is the relation of this theory to the conventional one using vector spherical harmonics. ¬© 1985 Societ√† Italiana di Fisica.</t>
  </si>
  <si>
    <t>64-88</t>
  </si>
  <si>
    <t>Il Nuovo Cimento B Series 11</t>
  </si>
  <si>
    <t>60000221;60016662;60028707</t>
  </si>
  <si>
    <t>24793793200;16458995700;6602280396</t>
  </si>
  <si>
    <t>Barut, A. O.;Malin, S.;Semon, M.</t>
  </si>
  <si>
    <t>Lewiston;Hamilton;Boulder</t>
  </si>
  <si>
    <t>Bates College;Colgate University;University of Colorado Boulder</t>
  </si>
  <si>
    <t>60028707;60016662;60000221</t>
  </si>
  <si>
    <t>Barut A.O.</t>
  </si>
  <si>
    <t>Solution of the basic problems of electrodynamics in the group-space formulation</t>
  </si>
  <si>
    <t>10.1007/BF02728504</t>
  </si>
  <si>
    <t>2-s2.0-51649151945</t>
  </si>
  <si>
    <t>['¬© 1985', 'smaller angle', 'pigment absorbing', 'main carotenoid', 'lower efficiency', 'fluorescence polarization', 'fluorescence emission', 'energy transfer', 'different orientations', 'complex structure', 'bacteriochlorophyll g', 'antenna system', 'also reflected', 'absorbing bacteriochlorophylls', '670 nm', '4 k']</t>
  </si>
  <si>
    <t>(chlorum) | Bacterial photosynthesis | Bacteriochlorophyll | Energy transfer | Fluorescence polarization | Linear dichroism</t>
  </si>
  <si>
    <t>Absorption, fluorescence emission and fluorescence excitation spectra of membranes of the recently discovered photosynthetic bacterium Heliobacterium chlorum (Gest, H. and Favinger, J.L. (1983) Arch. Microbiol. 136, 11-16) showed that at 4 K at least three spectroscopically different forms of bacteriochlorophyll g (BChl g 778, BChl g 793 and BChl g 808) can be discerned in the antenna system. Efficient energy transfer occurs from the short-wave-absorbing bacteriochlorophylls to BChl g 808. Energy transfer to bacteriochlorophyll, albeit with lower efficiency (70%), also occurred from the main carotenoid, neurosporene, and from a pigment absorbing at 670 nm. The complex structure of the antenna system is also reflected by fluorescence polarization and linear and circular dichroism spectra. Significant circular dichroism was only observed for BChl g 793, and different orientations were observed for the various Qy transition dipoles, the one of BChl g 808 making a smaller angle with the plane of the membrane than those of the other bacteriochlorophylls. ¬© 1985.</t>
  </si>
  <si>
    <t>199-203</t>
  </si>
  <si>
    <t>60003878;60003878;60003878</t>
  </si>
  <si>
    <t>7801620289;6506168927;7004456032</t>
  </si>
  <si>
    <t>van Dorssen, R. J.;Vasmel, H.;Amesz, J.</t>
  </si>
  <si>
    <t>Leiden</t>
  </si>
  <si>
    <t>Sterrewacht Leiden</t>
  </si>
  <si>
    <t>van Dorssen R.</t>
  </si>
  <si>
    <t>Antenna organization and energy transfer in membranes of Heliobacterium chlorum</t>
  </si>
  <si>
    <t>10.1016/0005-2728(85)90063-5</t>
  </si>
  <si>
    <t>2-s2.0-0003010555</t>
  </si>
  <si>
    <t>['œ ±', '¬© 1985', 'vivo along', 'viridis imply', 'secondary structure', 'rhodopseudomonas viridis', 'reaction centres', 'reaction centre', 'ray crystallography', 'quantasomes contain', 'protein structure', 'photosynthesis research', 'photoreceptor unit', 'model derived', 'membrane plane', 'membrane normal', 'martinus nijhoff', 'junk publishers', 'isolated quantasome', 'intact chromatophores', 'infrared dichroism', 'higher content', 'conformational analysis', 'better orientation', 'bacteriochlorophyll b', 'average closer', 'antennae surrounding', 'antenna complexes', '57 %)', '47 %).', '398 ).', '28 ¬∞)', '., miki', '., dutton', '), vol']</t>
  </si>
  <si>
    <t>(Rps. viridis, Rps. sphaeroides) | Bacterial photosynthesis | Circular dichroism | Polarized infrared spectroscopy | Reaction center | Œ±-Helix orientation</t>
  </si>
  <si>
    <t>A comparison of the protein structure in chromatophores, quantasomes and reaction centres of Rhodopseudomonas viridis is made by investigating ultraviolet circular dichroism and polarized infrared spectra of the intact chromatophore membrane, the isolated quantasome and the reaction centre reconstituted into phosphatidyl choline vesicles. A quantasome (photoreceptor unit) is made of a reaction centre surrounded by a ring of antenna complexes. Conformational analysis of the circular dichroism data indicates that intact chromatophores and quantasomes contain more Œ±-helical structure (57%) than reaction centres (47%). Infrared dichroism data show that Œ±-helical segments are on the average closer to the membrane normal in quantasomes (f{cyrillic}Œ± = 28¬∞) than in reaction centres (f{cyrillic}Œ± = 38¬∞C). This suggests a higher content of Œ±-helices and a better orientation of transmembrane Œ±-helical rods in the antennae surrounding the reaction centre. Our data are discussed in view of the results previously obtained by infrared dichroism of reaction centre films of Rps. sphaeroides (Nabedryk, E., Tiede, D.M., Dutton, P.L. and Breton, J. (1984) in Advances in Photosynthesis Research (Sybesma, C., ed.), Vol. II, pp. 177-180, Martinus Nijhoff/Dr. W. Junk Publishers, Dordrecht, The Netherlands) and by X-rays of reaction centre crystals of Rps. viridis (Deisenhofer, J., Epp, O., Miki, K., Huber, R. and Michel, H. (1984) J. Mol. Biol. 180, 385-398). Our results also imply that the secondary structure and orientation of the protein is comparable in bacteriochlorophyll a- and bacteriochlorophyll b-containing reaction centres. Furthermore, our data on the orientation of the Œ±-helices in the reaction centre of Rps. viridis imply that the C-2 symmetry axis observed in the model derived from X-ray crystallography is oriented in vivo along the normal to the membrane plane. ¬© 1985.</t>
  </si>
  <si>
    <t>271-276</t>
  </si>
  <si>
    <t>60019615;60019615;60019615;60019615</t>
  </si>
  <si>
    <t>57196232486;7202349136;6602629335;24310010600</t>
  </si>
  <si>
    <t>Nabedryk, Eliane;Berger, G√©rard;Andrianambinintsoa, Sandra;Breton, Jacques</t>
  </si>
  <si>
    <t>Nabedryk E.</t>
  </si>
  <si>
    <t>Comparison of Œ±-helix orientation in the chromatophore, quantasome and reaction centre of Rhodopseudomonas viridis by circular dichroism and polarized infrared spectroscopy</t>
  </si>
  <si>
    <t>10.1016/0005-2728(85)90070-2</t>
  </si>
  <si>
    <t>2-s2.0-0021799882</t>
  </si>
  <si>
    <t>['¬© 1985', 'vivo using', 'two phosphopolypeptides', 'thylakoid membrane', 'studied light', 'possible heterogeneities', 'phosphorylation processes', 'phosphorylated complexes', 'phosphopolypeptide d2', 'peculiar status', 'limiting steps', 'harvesting complexes', 'harvesting antenna', 'fluorescence yield', 'fluorescence changes', 'dark transitions', 'antenna size', 'also part']</t>
  </si>
  <si>
    <t>(reinhardtii) | Fluorescence | Light-harvesting complex | Photosystem I | Protein phosphorylation | Thylakoid protein</t>
  </si>
  <si>
    <t>The reorganization of the light-harvesting antenna in the thylakoid membranes upon phosphorylation of some of its apoproteins was further characterized in vivo using the green algae Chlamydomonas reinhardtii. To this end we have studied light-to-dark transitions on intact cells placed in the anaerobic state using the F34 mutant strain which lacks PS II centers. We show that the 50% decrease in fluorescence yield in such transitions is accompanied by a 50% increase in PS I antenna size. The half-times of the kinetics of the fluorescence changes in the dark-to-light and light-to-dark transitions are of 320 and 120 s, respectively. The rate-limiting steps in these transitions are attributed to the dephosphorylation and phosphorylation processes themselves rather than to the activation of the kinase or to the diffusion of the phosphorylated complexes in the thylakoid membrane. Accordingly, the changes in phosphorylation of three of the main phosphopolypeptides occur with the same kinetics as those of the fluorescence changes. Different phosphorylation kinetics are observed for two phosphopolypeptides which are, however, also part of the light-harvesting complexes. Possible heterogeneities in the kinase enzymatic activities are discussed. The peculiar status of the phosphopolypeptide D2, associated with the PS II center, is described. ¬© 1985.</t>
  </si>
  <si>
    <t>277-283</t>
  </si>
  <si>
    <t>60014849;60014849</t>
  </si>
  <si>
    <t>6603693512;7006770347</t>
  </si>
  <si>
    <t>Delepelaire, P.;Wollman, F. A.</t>
  </si>
  <si>
    <t>Institut de Biologie Physico-Chimique</t>
  </si>
  <si>
    <t>Delepelaire P.</t>
  </si>
  <si>
    <t>Correlations between fluorescence and phosphorylation changes in thylakoid membranes of Chlamydomonas reinhardtii in vivo: A kinetic analysis</t>
  </si>
  <si>
    <t>10.1016/0005-2728(85)90071-4</t>
  </si>
  <si>
    <t>2-s2.0-0021869055</t>
  </si>
  <si>
    <t>['¬© 1985', 'well approximated', 'room temperature', 'pair state', 'oxidizing conditions', 'maximal amplitude', 'luninescence seemed', 'lived component', 'intermediate radical', 'fluorescence kinetics', 'fluorescence component', 'emitted either', 'antenna bacteriochlorophyll', '910 nm', '900 nm', '77 k', '200 ps']</t>
  </si>
  <si>
    <t>Bacterial photosynthesis | Picosecond fluorescence | Primary charge separation | Reaction center</t>
  </si>
  <si>
    <t>The fluorescence kinetics of isolated Rhodospirillum rubrum reaction centres was studied. In the picosecond time range the decay was well approximated by two exponential components. The short-lived component was observed only when P870 was reduced and had a maximal amplitude at about 910 nm. Its lifetime was equal to 7 ¬± 2 ps both at room temperature and at 77 K. It is inferred that this fluorescence component is emitted by excited photochemically active P870 before the formation of an intermediate radical-pair state. The second, long-lived component with a lifetime of about 100-200 ps was observed in a wider spectral range and had maxima at about 850 and 900 nm both under reducing and oxidizing conditions. The bulk of this luninescence seemed to be emitted either by photochemically inactive P870 and/or by traces of antenna bacteriochlorophyll. ¬© 1985.</t>
  </si>
  <si>
    <t>341-344</t>
  </si>
  <si>
    <t>60068852;60007457;60007457;60068852;60007457;60068852</t>
  </si>
  <si>
    <t>7005109792;6701859381;7005152303;6701855945;15049241600;56631873200</t>
  </si>
  <si>
    <t>Freiberg, A. M.;Godik, V. I.;Kharchenko, S. G.;Timpmann, K. E.;Borisov, A. Yu;Rebane, K. K.</t>
  </si>
  <si>
    <t>Estonia;Russian Federation</t>
  </si>
  <si>
    <t>Tallinn;Moscow</t>
  </si>
  <si>
    <t>Academia Scientiarum Estoniae;Lomonosov Moscow State University</t>
  </si>
  <si>
    <t>60068852;60007457</t>
  </si>
  <si>
    <t>Freiberg A.</t>
  </si>
  <si>
    <t>Picosecond fluorescence of reaction centres from Rhodospirillum rubrum</t>
  </si>
  <si>
    <t>0014-5793(85)81052-8</t>
  </si>
  <si>
    <t>10.1016/0014-5793(85)81052-8</t>
  </si>
  <si>
    <t>2-s2.0-0021998583</t>
  </si>
  <si>
    <t>['thylakoids could', 'thylakoid polypeptides', 'specific antibodies', 'require light', 'protein complexes', 'protein complex', 'polypeptide pattern', 'phosphorylate casein', 'oxidation complex', 'one chlorophyll', 'mrna coding', 'maize leaf', 'lhcii polypeptide', 'leaf base', 'lack polypeptides', 'kda polypeptide', 'grown plants', 'green plants', 'form b', 'expanding leaves', 'electrophoretic pattern', 'electron donor', 'differentiated mesophyll', 'dependent reduction', 'core antenna', 'cells programmed', 'bundle sheath', 'b thylakoids', '5 cm', '47 kda', '19 differences']</t>
  </si>
  <si>
    <t>Photosynthetic electron flow, polypeptide pattern, presence of chlorophyll-protein complexes, and phosphorylation of thylakoid polypeptides have been investigated in differentiated mesophyll (M) and bundle sheath (B) thylakoids of the C4 plant Zea mays. The polypeptide pattern of M thylakoids and their photosynthetic electron flow are comparable to those of other green plants. B thylakoids exhibit only photosystem I (PSI) activity, contain only traces of the PSII light harvesting (LHCII) polypeptide, do not bind [3H] diuron, and lack polypeptides of the water-oxidation complex of PSII and the herbicide binding 32-kDa polypeptide, as detected by specific antibodies. However, B thylakoids possess a partially active PSII reaction center, as demonstrated by light-dependent reduction of silicomolybdate with 1,5-diphenylcarbazide (DPC) as an electron donor, and the presence of the PSII reaction center polypeptides of 44-47 kDa. Only one chlorophyll a-protein complex, corresponding to the PSI reaction center-core antenna, was detectable in B thylakoids, as opposed to chlorophyll a and chlorophyll a,b-protein complexes present in M thylakoids. The light-dependent, membrane-bound kinase activity present in M thylakoids could not be detected in B thylakoids which, nevertheless, contain a protein kinase able to phosphorylate casein. A total of 19 differences between the electrophoretic pattern of B and M thylakoid polypeptides were observed. The mRNA coding for the LHCII polypeptide is primarily, if not exclusively, localized in M cells. The development of PSII complex precedes that of PSI during the differentiation of B and M chloroplasts in expanding leaves of light-grown plants and during the greening of dark-grown etiolated seedlings. The differentiation of the maize leaf into cells programmed to form B or M chloroplasts does not require light. In light-grown plants, the differentiation of B and M thylakoids occurred progressively from the base of the leaf and was completed at 4-5 cm from the leaf base.</t>
  </si>
  <si>
    <t>11866-11873</t>
  </si>
  <si>
    <t>7201953416;7005705984;57197372855;56959329700</t>
  </si>
  <si>
    <t>Schuster, G.;Ohad, I.;Martineau, B.;Taylor, W. C.</t>
  </si>
  <si>
    <t>Schuster G.</t>
  </si>
  <si>
    <t>Differentiation and development of bundle sheath and mesophyll thylakoids in maize. Thylakoid polypeptide composition, phosphorylation, and organization of photosystem II.</t>
  </si>
  <si>
    <t>2-s2.0-0022432353</t>
  </si>
  <si>
    <t>['time system', 'scanning antennas', 'reduce reliability', 'operational real', 'observe pack', 'moving parts', 'instantaneous velocity', 'iceberg movements', 'current mapping', 'arctic operations', '60 kilometers']</t>
  </si>
  <si>
    <t>CODAR, which stands for Coastal Ocean Dynamics Applications Radar, is an operational real-time system that can map surface currents, provide waveheight directional spectral information, track expendable drifting transponders in position and instantaneous velocity and observe pack-ice and iceberg movements during arctic operations. It has no instruments in the water and no moving parts, such as scanning antennas, to reduce reliability. With only a tiny input power, CODAR's range for current mapping is 60 kilometers under typical oceanographic conditions.</t>
  </si>
  <si>
    <t>43-46, 48</t>
  </si>
  <si>
    <t>Sea Technology</t>
  </si>
  <si>
    <t>101317948;101317948;101317948</t>
  </si>
  <si>
    <t>7005431123;7003279790;7003339847</t>
  </si>
  <si>
    <t>Barrick, Donald E.;Lipa, Belinda J.;Crissman, Randy D.</t>
  </si>
  <si>
    <t>Longmont</t>
  </si>
  <si>
    <t>Codar Technology Inc.</t>
  </si>
  <si>
    <t>Barrick D.</t>
  </si>
  <si>
    <t>MAPPING SURFACE CURRENTS WITH CODAR.</t>
  </si>
  <si>
    <t>2-s2.0-0022132646</t>
  </si>
  <si>
    <t>['worldwide set', 'time standards', 'spacecraft thousands', 'outer planets', 'inner planets', 'higher frequency', 'enabling communication', 'continuing exploration', 'communication stations', 'beam waveguides', '960 mhz', '8400 mhz']</t>
  </si>
  <si>
    <t>NASA's Deep Space Network (DSN) consists of a worldwide set of communication stations and a central control facility in California, USA, enabling communication with spacecraft thousands of millions of miles from Earth. The stations have gone from 26 m diameter antenna operating at 960 MHz to 70 m diameter (by 1988) at 8400 MHz. The DSN provides exceptional performance in high gain steerable attenae, ultra-low noise receivers, high power transmitters, frequency and time standards, and precise radio metric data. Spacecraft missions envisaged in the 1990's for the continuing exploration of the Solar System include an array of increasingly complex visits to the inner planets, asteroids and comets and the outer planets. The Deep Space Network planned for the mid-1980's may not meet all the needs of these missions without substantial change. Deep space stations may require conversion to operation with beam waveguides, higher frequency and relative frequency stability of 10** minus **1**6.</t>
  </si>
  <si>
    <t>458-464</t>
  </si>
  <si>
    <t>Smith, J. G.</t>
  </si>
  <si>
    <t>COMMUNICATING THROUGH DEEP SPACE.</t>
  </si>
  <si>
    <t>2-s2.0-0022133609</t>
  </si>
  <si>
    <t>868-871</t>
  </si>
  <si>
    <t>Measurement Techniques</t>
  </si>
  <si>
    <t>6603020394;35880299700;7005755873;16466360000</t>
  </si>
  <si>
    <t>Vvedenskii, Yu V.;Goryachev, A. V.;Ponomarev, D. M.;Zhavoronkov, V. N.</t>
  </si>
  <si>
    <t>Vvedenskii Y.</t>
  </si>
  <si>
    <t>Antenna parameter measurement in the time domain</t>
  </si>
  <si>
    <t>10.1007/BF00861764</t>
  </si>
  <si>
    <t>2-s2.0-0022134572</t>
  </si>
  <si>
    <t>['two streams', 'oven cavity', 'one gets', 'microwave worlds', 'microwave energy', 'juices inside', 'internal temperature', 'hold heat']</t>
  </si>
  <si>
    <t>A new commercial oven allows chefs to employ microwave cooking and convection cooking either simultaneously or independently. Thermal heat provided by the oven's convection system sears the outside of a product, helping to hold heat and juices inside it. Microwave energy then raises the internal temperature of the product. Thus, one gets the best of both the thermal and the microwave worlds. The unit's 1700W magnetron delivers energy to both sides of the oven's cooking cavity via waveguides that split the magnetron's output into two streams of energy. To distribute the microwave energy evenly within the oven cavity, antennae (stirrers) rotate in the two energy streams.</t>
  </si>
  <si>
    <t>102-104</t>
  </si>
  <si>
    <t>Design News (Boston)</t>
  </si>
  <si>
    <t>Hogan, Brian J.</t>
  </si>
  <si>
    <t>Hogan B.</t>
  </si>
  <si>
    <t>CONVECTION AND MICROWAVE COOKING COMBINED IN ONE OVEN.</t>
  </si>
  <si>
    <t>2-s2.0-0022136187</t>
  </si>
  <si>
    <t>['phase center', 'pattern correction', 'measurement errors', 'center evaluation']</t>
  </si>
  <si>
    <t>Some problems concerning phase measurements of antennas are described. Phase-measurement errors, due to the fact that the phase center and the center of rotation of the antenna under test do not coincide, are analyzed. The results are used for application to phase-pattern correction and phase-center evaluation.</t>
  </si>
  <si>
    <t>391-394</t>
  </si>
  <si>
    <t>Beeckman, P. A.</t>
  </si>
  <si>
    <t>Beeckman P.A.</t>
  </si>
  <si>
    <t>Analysis of phase errors in antenna-measurements applications to phase-pattern corrections and phase-centre determination</t>
  </si>
  <si>
    <t>10.1049/ip-h-2.1985.0069</t>
  </si>
  <si>
    <t>2-s2.0-0022137973</t>
  </si>
  <si>
    <t>['unique solution', 'iteration scheme', 'integral equation']</t>
  </si>
  <si>
    <t>An iteration scheme, which converges to the unique solution of the integral equation for the current on a straight tubular antenna, is presented.</t>
  </si>
  <si>
    <t>407-410</t>
  </si>
  <si>
    <t>Kalyanasundaram, N.</t>
  </si>
  <si>
    <t>Tiruchirappalli</t>
  </si>
  <si>
    <t>National Institute of Technology Tiruchirappalli</t>
  </si>
  <si>
    <t>Kalyanasundaram N.</t>
  </si>
  <si>
    <t>On the distribution of current on a straight wire antenna</t>
  </si>
  <si>
    <t>10.1049/ip-h-2.1985.0072</t>
  </si>
  <si>
    <t>2-s2.0-0022137979</t>
  </si>
  <si>
    <t>['yield information', 'sources used', 'signal reflected', 'reflection coefficient', 'reflected signal', 'reference signal', 'radar observation', 'particular region', 'observe planets', 'high frequencies', 'frequency increases', 'correlation method', 'correlation function', 'celestial sphere', 'angular dimensions', 'analysis indicates']</t>
  </si>
  <si>
    <t>The possibilities of radar observation of planets using cosmic radiation are discussed. The use of the correlation method is proposed for this purpose. The information on a particular region of a planet is obtained by analyzing the correlation function of a reference signal and a signal reflected from the planet. When the reflected signal is received by a satellite of the planet, the measured correlation function can yield information on the reflection coefficient as a function of the angle of elevation and on the distribution of background cosmic radiation intensity over the celestial sphere. At high frequencies the angular dimensions of sources used in radar observation decrease as the frequency increases. However, these dimensions can be increased by employing an antenna with an optimum radiation pattern. The analysis indicates that the proposed radar surveillance method can be used to observe planets.</t>
  </si>
  <si>
    <t>6603004268;6701490455</t>
  </si>
  <si>
    <t>Pavel'yev, A. G.;Kucheryavenkov, A. I.</t>
  </si>
  <si>
    <t>Pavel'yev A.</t>
  </si>
  <si>
    <t>ON THE POSSIBILITY OF USING EXTENDED SOURCES OF COSMIC RADIATION FOR THE RADAR OBSERVATION OF PLANETS.</t>
  </si>
  <si>
    <t>2-s2.0-0022138865</t>
  </si>
  <si>
    <t>904-909</t>
  </si>
  <si>
    <t>6507793908;6505668937</t>
  </si>
  <si>
    <t>Bolsunov, I. A.;Zarubii, A. M.</t>
  </si>
  <si>
    <t>Bolsunov I.</t>
  </si>
  <si>
    <t>Input impedance of dipoles in a two-band superposed periodic array</t>
  </si>
  <si>
    <t>10.1007/BF01051848</t>
  </si>
  <si>
    <t>2-s2.0-0022139275</t>
  </si>
  <si>
    <t>['successfully damped', 'presented together', 'determined experimentally', 'damping antennas', 'beam stability']</t>
  </si>
  <si>
    <t>High order modes have been successfully damped in existing NSLS accelerating cavities by the insertion of damping antennas. The location of the antennas was aided by cavity field plots using superfish and their lengths were determined experimentally. A description of their construction is presented together with the results of their insertion upon higher order cavity modes and beam stability.</t>
  </si>
  <si>
    <t>NS-32</t>
  </si>
  <si>
    <t>60006221;60006221</t>
  </si>
  <si>
    <t>Upton</t>
  </si>
  <si>
    <t>Brookhaven National Laboratory</t>
  </si>
  <si>
    <t>HIGH ORDER MODE DAMPING IN THE NSLS ACCELERATING RF CAVITIES BY THE USE OF DAMPING ANTENNAE.</t>
  </si>
  <si>
    <t>2-s2.0-0022140281</t>
  </si>
  <si>
    <t>['waveguide propagation', 'wave attenuation', 'use one', 'ultrashort waves', 'rapid prediction', 'radio systems', 'obtain data', 'maritime conditions', 'lidar methods', 'given configuration', 'atmospheric sounding']</t>
  </si>
  <si>
    <t>Lidar methods of atmospheric sounding are applicable under maritime conditions to the problems of the rapid prediction of the waveguide propagation of ultrashort waves above the ocean. Through their use one can obtain data from which the critical trapping frequencies and wave attenuation can be calculated for radio systems of given configuration.</t>
  </si>
  <si>
    <t>127-129</t>
  </si>
  <si>
    <t>7101788089;6701647181;6505545435;6602393569</t>
  </si>
  <si>
    <t>Borodin, V. G.;Bukin, O. A.;Solyarchuk, S. Y.;Tyapkin, V. A.</t>
  </si>
  <si>
    <t>Borodin V.</t>
  </si>
  <si>
    <t>DETECTING THE CONDITIONS OF ULTRASHORT WAVE WAVEGUIDE PROPAGATION OVER THE SEA BY MEANS OF LIDAR.</t>
  </si>
  <si>
    <t>2-s2.0-0022142842</t>
  </si>
  <si>
    <t>844-850</t>
  </si>
  <si>
    <t>6603488444;6505829772;6508056645;6603314024</t>
  </si>
  <si>
    <t>Dagurov, P. N.;Zayakhanov, A. S.;Tsybikov, A. E.;Chimitdorzhiev, N. B.</t>
  </si>
  <si>
    <t>Dagurov P.N.</t>
  </si>
  <si>
    <t>Space-time fluctuations in the antenna directional pattern for microwave diffraction propagation</t>
  </si>
  <si>
    <t>10.1007/BF01051839</t>
  </si>
  <si>
    <t>2-s2.0-0022143188</t>
  </si>
  <si>
    <t>['simple array', 'random displacements', 'primary attention', 'plane air', 'phase distribution', 'open ends', 'main lobe', 'filled waveguides', 'elements relative', 'diffraction beam', 'calculated positions', 'authors consider', 'array periodicity', 'array elements']</t>
  </si>
  <si>
    <t>Since actual antenna arrays are finite and nonperiodic because of random displacements of the elements relative to their calculated positions, it is of interest to estimate the degree to which the blinding effect occurs depending on the number of elements and the deviations from array periodicity. To do this authors consider a very simple array, formed by the open ends of plane air-filled waveguides. The calculations were made for different amplitude distributions in the array elements; the phase distribution at the elements was assumed to be linear. Primary attention was focused on investigating these characteristics of the array for a deflection of the main lobe by the angle theta congruent theta //d, corresponding to the appearance of a diffraction beam in space.</t>
  </si>
  <si>
    <t>130-132</t>
  </si>
  <si>
    <t>6602069716;6506802466;6505993913</t>
  </si>
  <si>
    <t>Vinichenko, Yu P.;Lemanskiy, A. A.;Mityashev, M. B.</t>
  </si>
  <si>
    <t>Vinichenko Y.</t>
  </si>
  <si>
    <t>ON AN ESTIMATE OF THE 'BLINDING' EFFECT OF AN ANTENNA ARRAY.</t>
  </si>
  <si>
    <t>2-s2.0-0022144110</t>
  </si>
  <si>
    <t>['simultaneously measuring', 'shows promise', 'scintillation detector', 'radiometric method', 'moisture content', 'microwave radiation', 'method consists', 'gamma rays', 'coal regardless', 'coal passes', 'also irradiated', '4 ghz']</t>
  </si>
  <si>
    <t>The radiometric method, which determines the moisture content of coal regardless of its density or the thickness of the layer, shows promise. This method consists in simultaneously measuring the attenuations of microwaves and gamma rays transmitted through the coal. The article shows equipment for finding the moisture content of coal by the microwave radiometric method. The coal passes between antennas of a unit for measuring the attenuation of microwave radiation at a frequency of 9. 4 GHz. The coal is also irradiated by gamma rays from a **6**0Co source. A scintillation detector with a NaI(Tl) crystal is used for recording the gamma radiation passing through the coal.</t>
  </si>
  <si>
    <t>905-906</t>
  </si>
  <si>
    <t>Industrial laboratory</t>
  </si>
  <si>
    <t>Persyakh-Zhuravich, M.</t>
  </si>
  <si>
    <t>Lyubin Polytechnic Inst</t>
  </si>
  <si>
    <t>Persyakh-Zhuravich M.</t>
  </si>
  <si>
    <t>FINDING THE MOISTURE CONTENT OF COAL REGARDLESS OF THE DENSITY AND THICKNESS OF THE LAYER.</t>
  </si>
  <si>
    <t>2-s2.0-0022144126</t>
  </si>
  <si>
    <t>['two single', 'paper describes', 'layer frequency', 'frequency responses', 'frequency bands', 'crosspolar performance']</t>
  </si>
  <si>
    <t>Future multimission communications satellites will require a single reflector anteanna to operate at three or more frequency bands. The paper describes the frequency responses of two single-layer frequency-selective surfaces suitable for this application, together with their crosspolar performance. These surfaces are alternatives to multilayer FSS currently being proposed and generally offer better crosspolarization performance with reduced mechanical complexity.</t>
  </si>
  <si>
    <t>411-412</t>
  </si>
  <si>
    <t>60010818;60010818;60010818</t>
  </si>
  <si>
    <t>57010564900;56020461500;7201840709</t>
  </si>
  <si>
    <t>Lee, C. K.;Langley, R. J.;Parker, E. A.</t>
  </si>
  <si>
    <t>Lee C.</t>
  </si>
  <si>
    <t>SINGLE-LAYER MULTIBAND FREQUENCY-SELECTIVE SURFACES.</t>
  </si>
  <si>
    <t>2-s2.0-0022145021</t>
  </si>
  <si>
    <t>['tie antennas', 'thz zero', 'reflection loss', 'proton isolation', 'polystyrene cap', 'optical system', 'noise temperature', 'imaging properties', 'heterodyne receiver', 'focused onto', 'dimensional array', 'arsenide substrate', 'aligning process', '94 ghz', '91 ghz', '2 db']</t>
  </si>
  <si>
    <t>Planar Schottky diodes are integrated with bow-tie antennas to form a one-dimensional array. The energy is focused onto the antennas through a silicon lens placed on the back of the gallium-arsenide substrate. A polystyrene cap on the silicon lens reduces the reflection loss. A self-aligning process with proton isolation has been developed to make the planar Schottky diodes with a 1.1-THz zero-bias cutoff frequency. The antenna coupling efficiency and imaging properties of the system are studied by video detection measurements at 94 GHz. As a heterodyne receiver, a double-sideband mixer conversion loss of 11.2 dB and noise temperature of 3770¬∞K have been achieved at a local oscillator frequency of 91 GHz. Of this loss, 6.2 dB is attributed to the optical system and the antenna. ¬© 1985 Plenum Publishing Corporation.</t>
  </si>
  <si>
    <t>981-997</t>
  </si>
  <si>
    <t>60031581;60031581;60031581;60031581;60025038;60025038</t>
  </si>
  <si>
    <t>7005675262;7004693666;56171350900;7102803490;56135351800;7202176080</t>
  </si>
  <si>
    <t>Zah, Chung en;Kasilingam, Dayalan;Smith, John Steven;Rutledge, David;Wang, Tai Chi;Schwarz, Steven E.</t>
  </si>
  <si>
    <t>Pasadena;Berkeley</t>
  </si>
  <si>
    <t>California Institute of Technology;University of California, Berkeley</t>
  </si>
  <si>
    <t>60031581;60025038</t>
  </si>
  <si>
    <t>Zah C.</t>
  </si>
  <si>
    <t>Millimeter wave monolithic schottky diode imaging arrays</t>
  </si>
  <si>
    <t>10.1007/BF01010676</t>
  </si>
  <si>
    <t>2-s2.0-0022145804</t>
  </si>
  <si>
    <t>['tactical missile', 'successful performance', 'single structure', 'significant breakthrough', 'significant applications', 'radiating aperture', 'primary objective', 'paper describes', 'novel leaky', 'lightweight antennas', 'experimental results', 'design represents', 'antennas resulted', 'achieving affordable']</t>
  </si>
  <si>
    <t>dielectric wave-guide antennas | frequency scan antennas | millimeter wave antennas</t>
  </si>
  <si>
    <t>This paper describes the theoretical and experimental results of a novel leaky-wave antenna incorporating a homogeneous dielectric transmission line and radiating aperture into a single structure. The primary objective of this investigation is to demonstrate the ability to control aperture radiation by simply cutting slots into a metal-free dielectric transmission line. Experimental line source antennas with identical periodic slots were designed to operate in the 35 GHz frequency region. The successful performance of these antennas resulted in the design of a dielectric line source antenna with a symmetrical amplitude taper which provided a lower sidelobe level. The design represents a significant breakthrough in achieving affordable, low-loss, lightweight antennas in the millimeter wave region. The most significant applications for this type of antenna include radar surveillance and tactical missile-seeker terminal guidance. ¬© 1985 Plenum Publishing Corporation.</t>
  </si>
  <si>
    <t>999-1016</t>
  </si>
  <si>
    <t>60033252;60033252;101560814;101560814;100370952</t>
  </si>
  <si>
    <t>56726032400;7003490140;7801469331;6507998129;57205450330</t>
  </si>
  <si>
    <t>Stern, Richard A.;Babbitt, Richard W.;Borowick, John;Mikucki, Gerald;Bayha, William</t>
  </si>
  <si>
    <t>Adelphi;Fort Monmouth;Plainfield</t>
  </si>
  <si>
    <t>U.S. Army Research Laboratory;Combat Surveillance and Target Acquisition Laboratory (ECOM);Lockheed Electronics Co</t>
  </si>
  <si>
    <t>60033252;101560814;100370952</t>
  </si>
  <si>
    <t>Stern R.</t>
  </si>
  <si>
    <t>A millimeter wave dielectric waveguide antenna</t>
  </si>
  <si>
    <t>10.1007/BF01010677</t>
  </si>
  <si>
    <t>2-s2.0-0022146964</t>
  </si>
  <si>
    <t>P30CA016056</t>
  </si>
  <si>
    <t>['¬© 1985', 'unglycosylated polypeptides', 'two polypeptides', 'strong degree', 'specific antisera', 'rights reserved', 'results indicate', 'polypeptide backbone', 'oligosaccharide structures', 'oligosaccharide antennae', 'intracellular forms', 'complex type', 'cellular distribution', 'cell surface', 'also transported']</t>
  </si>
  <si>
    <t>The H-2K and H-2D proteins encoded by the K and D region of the major histocompatibility complex of the mouse were isolated by immunoprecipitation with specific antisera and resolved by two-dimensional gel electrophoresis. Of these two polypeptides, the H-2Dk glycoproteins isolated from macrophages of C3H/HeHa mice exhibit distinct cell surface and cytoplasmic forms although they share a strong degree of homology in the polypeptide backbone. Structurally they differ in their oligosaccharide structures. The structure of the oligosaccharides on the intracellular forms is of the high mannose type while the same structures on the cell surface forms are of the complex type. In the absence of all three oligosaccharide side chains, the unglycosylated polypeptides are expressed on the cell surface. In contrast, polypeptides containing one, two, or all three oligosaccharide side chains of the high mannose type are not transported to the cell surface. Cell surface expression of these glycoproteins requires processing of the oligosaccharide side chains from the high mannose form to the complex type. However, not all oligosaccharide antennae have to be terminally modified since H-2Dk glycoproteins synthesized in the presence of oligosaccharide-processing enzyme inhibitors such as swainsonine or monensin are also transported to the cell surface. H-2Dk glycoproteins containing oligosaccharide structures of the complex type but lacking terminal sialic acids are found on the cell surface, suggesting that sialylation is not required for transport. These results indicate that the oligosaccharide structures of the H-2Dk glycoproteins act to influence their cellular distribution. ¬© 1985, American Chemical Society. All rights reserved.</t>
  </si>
  <si>
    <t>6238-6245</t>
  </si>
  <si>
    <t>Biochemistry</t>
  </si>
  <si>
    <t>60032083;60032083</t>
  </si>
  <si>
    <t>7102165763;7202351360</t>
  </si>
  <si>
    <t>Le, Anh Van;Doyle, Darrell</t>
  </si>
  <si>
    <t>Buffalo</t>
  </si>
  <si>
    <t>University at Buffalo, The State University of New York</t>
  </si>
  <si>
    <t>Le A.</t>
  </si>
  <si>
    <t>N-Linked Oligosaccharides of the H-2Dk Histocompatibility Protein Heavy Chain Influence Its Transport and Cellular Distribution</t>
  </si>
  <si>
    <t>10.1021/bi00343a030</t>
  </si>
  <si>
    <t>2-s2.0-0022353090</t>
  </si>
  <si>
    <t>['¬© 1985', 'theorems occurs', 'specified energy', 'space simulation', 'simulation results', 'particle simulation', 'particle diagnostics', 'one boundary', 'momentum flow', 'momentum distribution', 'many waves', 'important application', 'fusion plasmas', 'flowing inside', 'external sources', 'current drive']</t>
  </si>
  <si>
    <t>One important type of problem for particle simulation of plasmas, is one which is bounded and has external sources and sinks. For example, there are problems with antennas for studying RF heating or current drive in fusion plasmas, or problems in space simulation where particles are injected at one boundary with some specified energy or momentum distribution. In understanding such simulation results, it is useful to know how energy and momentum are flowing inside the plasma. This can be accomplished in electrostatic particle simulations on the basis of some theorems for energy and momentum flow. An important application of these theorems occurs when many waves are involved in producing some effect, e.g., generating a current by RF. One can then extract the contribution of each wave to the effect to identify which are most important. Examples of such wave-particle diagnostics will be given. ¬© 1985 D. Reidel Publishing Company.</t>
  </si>
  <si>
    <t>113-130</t>
  </si>
  <si>
    <t>Space Science Reviews</t>
  </si>
  <si>
    <t>Decyk, Viktor K.</t>
  </si>
  <si>
    <t>Decyk V.</t>
  </si>
  <si>
    <t>Wave-particle diagnostics for plasma simulation</t>
  </si>
  <si>
    <t>10.1007/BF00218227</t>
  </si>
  <si>
    <t>2-s2.0-19844366744</t>
  </si>
  <si>
    <t>['¬© 1985', 'wave polarization', 'wave electric', 'time spectrograms', 'sounding rockets', 'provide information', 'plasma frequency', 'model magnetosphere', 'magnetic components', 'made transmitters', 'lightning discharges', 'large variety', 'ion composition', 'intentional man', 'incidental radiation', 'generally associated', 'frequency ranges', 'frequency range', 'common amplitude', 'characteristic frequencies']</t>
  </si>
  <si>
    <t>Sounding rockets and satellites have discovered a large variety of plasma waves within the Earth's magnetosphere-geospace. These waves are found over a frequency range of millihertz to megahertz. The frequency ranges are generally associated with characteristic frequencies such as the plasma frequency and gyrofrequency. Most waves are generated by hot or streaming magnetospheric plasma; some waves are due to lightning discharges, to intentional man-made transmitters or to incidental radiation from power transmission systems. Propagation of waves from the observation region back to a probable source region can be modelled using ray tracing techniques in a model magnetosphere where the electron number density, ion composition and magnetic field vector is specified. Information in addition to the common amplitude-frequency-time spectrograms can be obtained from the received waves using multiple antennas and receivers. Cross-correlation of the wave electric and magnetic components can provide information on the wave polarization and direction of propagation and on the wave distribution function. ¬© 1985 D. Reidel Publishing Company.</t>
  </si>
  <si>
    <t>257-274</t>
  </si>
  <si>
    <t>Shawhan, Stanley D.</t>
  </si>
  <si>
    <t>Shawhan S.</t>
  </si>
  <si>
    <t>The menagerie of geospace plasma waves</t>
  </si>
  <si>
    <t>10.1007/BF00218235</t>
  </si>
  <si>
    <t>2-s2.0-34250114435</t>
  </si>
  <si>
    <t>['¬© 1985', 'wild type', 'totally absent', 'reduced amounts', 'protein complexes', 'polypeptide profiles', 'plant physiologists', 'photosystem ii', 'normally synthesized', 'mutants lack', 'japanese society', 'gel electrophoresis', 'cpi apoprotein', 'chlorina mutants', 'b ratios', 'antenna chlorophyll', 'also present', '21 kda', '16 strains']</t>
  </si>
  <si>
    <t>Chlorina | Chlorophyll b-deficiency | Chlorophyll-protein | LHC-I | LHC-II | Mutant (rice)</t>
  </si>
  <si>
    <t>Chlorophyll-protein complexes of the wild type and 16 strains of chlorina mutants of rice were investigated by gel electrophoresis. An antenna chlorophyll a/b-protein of photosystem II (LHC-II) was present in reduced amounts in Type II chlorina mutants which have the chlorophyll a/b ratios of 10-15, and was totally absent from Type I chlorina mutants which lack chlorophyll b. Another antenna chlorophyll-protein of photosystem I (LHC-I) containing two polypeptides of 20 and 21 kDa was also present in the Type II mutants but not in the Type I mutants. The polypeptide profiles of the thylakoid membranes indicate that Type I mutants lack both the 20 and 21 kDa polypeptides, whereas the abundance of the two polypeptides relative to the CPI apoprotein in the Type II mutants is comparable with that in the wild type. It is concluded that the 20 and 21 kDa polypeptides are both related to LHC-I and are normally synthesized and accumulated in the Type II mutants. ¬© 1985 The Japanese Society of Plant Physiologists.</t>
  </si>
  <si>
    <t>1369-1377</t>
  </si>
  <si>
    <t>60031513;60031513;60025272</t>
  </si>
  <si>
    <t>7202672124;36508177900;7202864511</t>
  </si>
  <si>
    <t>Terao, Tomio;Yamashita, Atsushi;Katoh, Sakae</t>
  </si>
  <si>
    <t>Tsukuba;Tokyo</t>
  </si>
  <si>
    <t>Institute of Agrobiological Sciences, NARO;The University of Tokyo</t>
  </si>
  <si>
    <t>60031513;60025272</t>
  </si>
  <si>
    <t>Terao T.</t>
  </si>
  <si>
    <t>Chlorophyll b-deficient mutants of rice: II. Antenna chlorophyll a/b-proteins of photosystem I and ii</t>
  </si>
  <si>
    <t>2-s2.0-3543039835</t>
  </si>
  <si>
    <t>['various sensillae', 'significant variations', 'palpal ablation', 'orthacris maindroni', 'labial palps', 'host selection', 'host preference', 'food selection', 'food intake', 'embryonic development', 'diverse sensillae', 'dicot plants', 'chemical factors', 'atractomorpha crenulata', 'also evident']</t>
  </si>
  <si>
    <t>degree of preference | fecundity | grasshoppers | post embryonic development | Quantitative food utilization | sensillae</t>
  </si>
  <si>
    <t>Studies on the host preference in some acridids revealed sequentiaiity of feeding behaviour aided by various sensillae, the suitability of the host plant greatly depending upon the physical and chemical factors. Studies on acridids and pyrgomorphid species indicated that Truxalis indica feed exclusively on grasses, Orthacris maindroni only on dicot plants and Atractomorpha crenulata on both monocot and dicot plants. Significant variations in the quantitative food intake on diverse host plants during post-embryonic development were also evident. Distribution and density of diverse sensillae on the antennae, iabrum, maxillary and labial palps as well as their role in food selection are documented. The impact of antennal and palpal ablation on host selection, the quantity of food intake as well as the influence of diverse host plants on fecundity are discussed. ¬© 1985 Indian Academy of Sciences.</t>
  </si>
  <si>
    <t>443-461</t>
  </si>
  <si>
    <t>Proceedings: Animal Sciences</t>
  </si>
  <si>
    <t>60026699;60026699;60026699</t>
  </si>
  <si>
    <t>56251690600;55533247700;36472460400</t>
  </si>
  <si>
    <t>Ananthakrishnan, T. N.;Dhileepan, K.;Padmanaban, B.</t>
  </si>
  <si>
    <t>Loyola College, Chennai</t>
  </si>
  <si>
    <t>Ananthakrishnan T.</t>
  </si>
  <si>
    <t>Behavioural responses in terms of feeding and reproduction in some grasshoppers (Orthoptera: Insecta)</t>
  </si>
  <si>
    <t>10.1007/BF03186353</t>
  </si>
  <si>
    <t>2-s2.0-73949136083</t>
  </si>
  <si>
    <t>['senescent leaves', 'receptors present', 'receptors involved', 'profoundly affected', 'presented based', 'plant parts', 'narrow c', 'mature leaves', 'low sugars', 'host selection', 'flowers compared', 'beetles towards']</t>
  </si>
  <si>
    <t>food utilization | Host selection | Raphidopalpa foveicollis</t>
  </si>
  <si>
    <t>An analysis of the host plant relationships with respect to the red pumpkin beetle, Raphidopalpa foveicollis Lucas is presented based on the role of receptors involved in host selection, the quantitative food utilization on different cucurbitaceous host plants and the biochemical parameters involved in food plant selection. Orientation of the beetles towards the host plants appeared to be profoundly affected when the receptors present on the antennae and mouthparts were ablated or coated. Though significant differences were observed with regard to the quantity of food ingested among different host plants, ingestion of food was higher for mature leaves and flowers compared to young and senescent leaves. Accordingly, mature leaves and flowers showed high nitrogen and proteins, low sugars, moderately high phenols and narrow C/N ratio compared to other plant parts. The chemosensory receptors present on the antennae and mouthparts were also studied using scanning electron microscope. ¬© 1985 Indian Academy of Sciences.</t>
  </si>
  <si>
    <t>547-556</t>
  </si>
  <si>
    <t>60026699;60026699</t>
  </si>
  <si>
    <t>36472453800;6507731635</t>
  </si>
  <si>
    <t>Raman, K.;Annadurai, R. S.</t>
  </si>
  <si>
    <t>Raman K.</t>
  </si>
  <si>
    <t>Host selection and food utilization of the red pumpkin beetle, Raphidopalpa foveicollis (Lucas) (Chrysomelidae: Coleoptera)</t>
  </si>
  <si>
    <t>10.1007/BF03186365</t>
  </si>
  <si>
    <t>2-s2.0-8044245683</t>
  </si>
  <si>
    <t>['œ ±)', '¬© 1985', 'two bacteriochlorophyll', 'protein consists', 'photosynthetic apparatus', 'intracytoplasmic membrane', 'column chromatography', 'binding polypeptides', 'ammonium acetate', '28 %.']</t>
  </si>
  <si>
    <t>B870 antenna pigment complex | Bacteriochlorophyll-binding polypeptide | Primary structure | Rhodopseudomonas capsulata</t>
  </si>
  <si>
    <t>The larger (Œ±) of the two bacteriochlorophyll-binding polypeptides of the antenna complex B870 of the photosynthetic apparatus of Rhodopseudomonas; capsulata was extracted by chloroform-methanol-ammonium acetate from the intracytoplasmic membrane and purified by column chromatography on LH60. The complete amino acid sequence has been determined. The Mr of the polypeptide is 6588. The protein consists of 58 amino acids, having a polarity of 28%. ¬© 1985.</t>
  </si>
  <si>
    <t>60025641;60025858;60025858;60025641</t>
  </si>
  <si>
    <t>7005687711;7401890961;7006345218;7102742634</t>
  </si>
  <si>
    <t>Tadros, Monier Habib;Frank, Gerhard;Zuber, Herbert;Drews, Gerhart</t>
  </si>
  <si>
    <t>Switzerland;Germany</t>
  </si>
  <si>
    <t>Zurich ZH,;Freiburg im Breisgau</t>
  </si>
  <si>
    <t>ETH Zurich;Universit√§t Freiburg im Breisgau</t>
  </si>
  <si>
    <t>60025858;60025641</t>
  </si>
  <si>
    <t>The complete amino acid sequence of the large bacteriochlorophyll-binding polypeptide B870Œ± from the light-harvesting complex B870 of Rhodopseudomonas capsulata</t>
  </si>
  <si>
    <t>10.1016/0014-5793(85)80423-3</t>
  </si>
  <si>
    <t>2-s2.0-0022200039</t>
  </si>
  <si>
    <t>o.3.286-0.82a</t>
  </si>
  <si>
    <t>['¬© 1985', 'whatman de', 'sequence homologies', 'sephadex lh', 'residue identified', 'purple bacteria', 'polypeptide soluble', 'polypeptide shows', 'organic solvents', 'leu 30', 'hydrophobic domain', 'found within', 'domain structure', 'designated b', 'asn 10', 'antenna polypeptides', 'antenna complexes', '39 %)']</t>
  </si>
  <si>
    <t>Amino acid sequence | B808-866 antenna complex | Chloroflexus aurantiacus | Green photosynthetic bacteria | Light-harvesting polypeptide</t>
  </si>
  <si>
    <t>A polypeptide soluble in organic solvents was isolated from whole membrane fractions of the green thermophilic bacterium Chloroflexus aurantiacus by chromatography on Sephadex LH-60, Whatman DE-32 and Bio Gel P-10. The complete amino acid sequence of this 4.9 kDa polypeptide (44 amino acid residues) was determined. The polypeptide shows a 3-domain structure, similar to the domain structure of the antenna BChI polypeptides of purple photosynthetic bacteria, and sequence homologies (27-39%) to the light-harvesting Œ±-polypeptides of the B870 (890) antenna complexes from purple bacteria. Therefore, the 4.9 kDa polypeptide is designated B(808-866)-Œ±. The typical His residue (conserved His residue identified in all antenna polypeptides of purple bacteria as possible BChI binding site) is found within the hydrophobic domain, which extends from Asn 10 to Leu 30. ¬© 1985.</t>
  </si>
  <si>
    <t>34-38</t>
  </si>
  <si>
    <t>60025858;60025858;60025858;60014313;60025858</t>
  </si>
  <si>
    <t>6602549111;6603669964;7006674721;35593628100;7006345218</t>
  </si>
  <si>
    <t>Wechsler, Thomas;Brunisholz, Ren√©;Suter, Franz;Fuller, R. Clinton;Zuber, Herbert</t>
  </si>
  <si>
    <t>Switzerland;United States</t>
  </si>
  <si>
    <t>Zurich ZH,;Amherst MA</t>
  </si>
  <si>
    <t>ETH Zurich;University of Massachusetts Amherst</t>
  </si>
  <si>
    <t>60025858;60014313</t>
  </si>
  <si>
    <t>Wechsler T.</t>
  </si>
  <si>
    <t>The complete amino acid sequence of a bacteriochlorophyll a binding polypeptide isolated from the cytoplasmic membrane of the green photosynthetic bacterium Chloroflexus aurantiacus</t>
  </si>
  <si>
    <t>10.1016/0014-5793(85)80988-1</t>
  </si>
  <si>
    <t>2-s2.0-0022378644</t>
  </si>
  <si>
    <t>['¬© 1985', 'upon increasing', 'triplet state', 'singlet excitations', 'singlet excitation', 'region 450', 'quantitative agreement', 'probably associated', 'molecule causes', 'known effect', 'furthermore show', 'fluorescence yield', 'excitation density', 'direct excitation', 'delay times', 'chemical oxidation', 'blue shifts', 'bacteriochlorophyll decreased', 'average lifetime', 'absorbance increase', 'absorbance changes', '532 nm', '490 nm', '350 ps', '10 ps', '1 ps']</t>
  </si>
  <si>
    <t>(R. rubrum) | Carotenoid triplet formation | Singlet excited bacteriochlorophyll | Singlet excited carotenoid | Singlet-singlet annihilation</t>
  </si>
  <si>
    <t>Picosecond absorbance difference spectra at a number of delay times after a 35 ps excitation pulse and kinetics of absorbance changes were measured in chromatophores of the photosynthetic purple bacterium Rhodospirillum rubrum after chemical oxidation of the primary electron donor P-875. Kinetics and spectra were measured of the excited singlet states of carotenoid and bacteriochlorophyll a and also of the triplet state of the carotenoid. The excited singlet state of carotenoid, produced by direct excitation at 532 nm, is characterized by a bleaching of the ground state absorption bands in the region 450-490 nm and by an absorbance increase with a maximum near 570 nm. Its lifetime was calculated to be 0.6 ¬± 0.1 ps in vitro and less than 1 ps in vivo. The triplet state of carotenoid in vivo is formed within 100 ps after direct carotenoid excitation via a pathway that does not involve excited states of bacteriochlorophyll. Singlet excitation of a bacteriochlorophyll a molecule causes the bleaching of its Qx and Qy absorption bands, and is probably associated with blue shifts of the Qy absorption band of about six neighboring bacteriochlorophyll molecules. Upon increasing the excitation density, the average lifetime of the singlet excitations on bacteriochlorophyll decreased from about 350 ps to about 10 ps or less. The results are in quantitative agreement with the known effect of singlet-singlet annihilation upon the fluorescence yield, and furthermore show that no bacteriochlorophyll or carotenoid triplet formation is associated with this annihilation. ¬© 1985.</t>
  </si>
  <si>
    <t>94-105</t>
  </si>
  <si>
    <t>60003878;60008734;60003878;60003878;60003878</t>
  </si>
  <si>
    <t>23373601600;35599806700;7801446999;24442999800;6603047878</t>
  </si>
  <si>
    <t>Nuijs, Antonius M.;van Grondelle, Rienk;Joppe, H. Laura P.;van Bochove, A. Cees;Duysens, Louis N.M.</t>
  </si>
  <si>
    <t>Nuijs A.</t>
  </si>
  <si>
    <t>Singlet and triplet excited carotenoid and antenna bacteriochlorophyll of the photosynthetic purple bacterium Rhodospirillum rubrum as studied by picosecond absorbance difference spectroscopy</t>
  </si>
  <si>
    <t>0005-2728(85)90209-9</t>
  </si>
  <si>
    <t>10.1016/0005-2728(85)90209-9</t>
  </si>
  <si>
    <t>2-s2.0-0022350905</t>
  </si>
  <si>
    <t>Mo 283/9</t>
  </si>
  <si>
    <t>['¬© 1985', 'water interface', 'regular pattern', 'reaction center', 'quantitative reconstitution', 'protein interaction', 'probably due', 'phospholipids containing', 'monomolecular layers', 'monolayer preparation', 'like distribution', 'homogeneous distribution', 'functional proteins', 'fluorescence yield', 'fluorescence spectroscopy', 'fluid phase', 'drastic change', 'detected via', 'cases additionally']</t>
  </si>
  <si>
    <t>(Rps. sphaeroides) | Fluorescence microscopy | Light-harvesting complex | Phospholipid monolayer | Protein-lipid interaction | Reaction center</t>
  </si>
  <si>
    <t>Studies on monomolecular layers of phospholipids containing the antenna protein B800-850 (LHCP) and in some cases additionally the reaction center of the photosynthetic bacterium Rhodopseudomonas sphaeroides are reported. Information on monolayer preparation as well as on protein/lipid and protein/protein interaction is obtained by means of fluorescence spectroscopy and microscopy at the air/water interface in combination with film balance experiments. It is shown that a homogeneous distribution of functional proteins can be achieved. This can be transformed into a regular pattern-like distribution by inducing a phospholipid phase transition. Although the LHCP preferentially partitions into the fluid lipid phase, it decreases the lateral pressure necessary to crystallize the lipid. This is probably due to an increase in order of the fluid phase. A pressure-induced conformation change of the LHCP is detected via a drastic change in fluorescence yield. A highly efficient energy transfer from LHCP to the reaction center is observed. This proves the quantitative reconstitution of both types of proteins and indicates protein aggregation also in the monolayer. ¬© 1985.</t>
  </si>
  <si>
    <t>73-83</t>
  </si>
  <si>
    <t>60117813;60117813;60028717;60117813</t>
  </si>
  <si>
    <t>7005794366;56962764500;57216047370;35511455300</t>
  </si>
  <si>
    <t>Heckl, Wolfgang M.;L√∂sche, Mathias;Scheer, Hugo;M√∂hwald, Helmuth</t>
  </si>
  <si>
    <t>Garching bei Munchen;Munich</t>
  </si>
  <si>
    <t>Fakult√§t f√ºr Physik, Technische Universit√§t M√ºnchen;Ludwig-Maximilians-Universit√§t M√ºnchen</t>
  </si>
  <si>
    <t>60117813;60028717</t>
  </si>
  <si>
    <t>Heckl W.M.</t>
  </si>
  <si>
    <t>Protein/lipid interactions in phospholipid monolayers containing the bacterial antenna protein B800-850</t>
  </si>
  <si>
    <t>10.1016/0005-2728(85)90207-5</t>
  </si>
  <si>
    <t>2-s2.0-0022406904</t>
  </si>
  <si>
    <t>['wild type', 'triton x', 'thylakoid stacking', 'step isolation', 'stacking behaviour', 'stacked chlorina', 'simple method', 'pure photosystem', 'photosystem ii', 'one needed', 'lhch ),', 'lateral heterogeneity', 'isolated thylakoids', 'highly deficient', 'f2 occurred', 'chlorophyll b', '25 mm']</t>
  </si>
  <si>
    <t>Chlorophyll-protein | detergent fractionation | electron microscopy | gel electrophoresis | lateral heterogeneity</t>
  </si>
  <si>
    <t>The stacking behaviour of isolated thylakoids of the chlorophyll b-less barley mutant chlorina-f2, which is highly deficient in the light harvesting complex (LHCH), was investigated using electron microscopy. Pre-treatment with EDTA prevented thylakoid vesiculation during de-stacking, and was essential for the induction of re-stacking, which required a higher Mg++ concentration (25 mM) than for wild type (5 mM). The stability of re-stacked chlorina-f2 thylakoids allowed their fractionation into photosystem I and photosystem II by treatment with Triton X-100 or Œ≤-octyl glucoside, demonstrating thylakoid lateral heterogeneity in the absence of LHCII. An Mg++-dependent aggregation of detergent-solubilized photosystem II from chlorina-f2 occurred at the same concentration (25 mM) as the one needed for the re-stacking of isolated thylakoids. We propose that thylakoid stacking and lateral heterogeneity in chlorina-f2 is not mediated by residual LHCII polypeptides, but by a component of photosystem II. This mechanism may also be involved in stacking of wild type thylakoids. A simple method is described for the one-step isolation from chlorina-f2 of pure photosystem I and photosystem II preparations free of their respective chlorophyll b-containing light harvesting antenna proteins. ¬© 1985 Carlsberg Laboratory.</t>
  </si>
  <si>
    <t>347-367</t>
  </si>
  <si>
    <t>60019782-60000481;60019782;60000481</t>
  </si>
  <si>
    <t>35553979700;57197223478;7003283287</t>
  </si>
  <si>
    <t>Bassi, Roberto;Hinz, Ursula;Barbato, Roberto</t>
  </si>
  <si>
    <t>Denmark;Italy</t>
  </si>
  <si>
    <t>Copenhagen;Padua</t>
  </si>
  <si>
    <t>Carlsberg Research Center;Universit√† degli Studi di Padova</t>
  </si>
  <si>
    <t>60019782;60000481</t>
  </si>
  <si>
    <t>The role of the light harvesting complex and photosystem II in thylakoid stacking in the chlorina-f2 barley mutant</t>
  </si>
  <si>
    <t>10.1007/BF02907157</t>
  </si>
  <si>
    <t>2-s2.0-0003066310</t>
  </si>
  <si>
    <t>['various alterations', 'unique ways', 'trichoplusia ni', 'stimuli containing', 'significantly different', 'significant extent', 'separate class', 'sensory processing', 'sensitive sensilla', 'response function', 'reliably observed', 'recpetor neurons', 'receptor neurons', 'receptor neuron', 'readily predicted', 'pheromone blend', 'particularly responsive', 'obtained simultaneously', 'neither neuron', 'narrowly tuned', 'monitored extracellularly', 'minor component', 'middle portion', 'male orientation', 'male behavior', 'major component', 'individual responses', 'individual pheromone', 'individual components', 'female glands', 'electrical activity', 'dodecyl acetate', 'dodecenyl acetate', 'calling females', 'blend stimulation', 'blend containing', 'binary mixture', 'behavioral inhibitor', 'also intensity', 'algebraic sum']</t>
  </si>
  <si>
    <t>1. The electrical activity of the two olfactory receptor neurons in individual pheromone-sensitive sensilla on the antennae of male cabbage looper moths (Trichoplusia ni) was monitored extracellularly. Responses to single and multiple component stimuli containing up to three of the seven behaviorally active compounds for this species were obtained at several different stimulus intensities. 2. Neurons which produced large amplitude action potentials (A neurons) were more responsive to (Z)7-dodecenyl acetate, a major component of the female pheromone gland, than were their companion B receptor neurons. B receptor neurons were more responsive to (Z)7-dodecenol, a behavioral inhibitor of male orientation to calling females. Neither neuron was particularly responsive to stimuli containing only dodecyl acetate, a minor component of female glands, which has powerful synergistic effects on male behavior. 3. Some blends of these three compounds elicited responses which were not readily predicted from a knowledge of the cells' responses to individual components of the blend. 4. The average A receptor neuron was significantly more responsive to the blend containing (Z)7-dodecenyl acetate and 10% dodecyl acetate than it was to either component alone or, for that matter, to the algebraic sum of their individual responses. These enhancements were intensity-dependent, occurring to a significant extent only in the middle portion of a neuron's dose-response function. Although A recpetor neurons are not particularly responsive to either (Z)7-dodecenol or dodecyl acetate, a binary mixture of these components elicited significantly smaller responses than expected. Blends which contained all three compounds elicited responses in A receptor neurons which were also significantly smaller than those expected. These reductions were dose-dependent and occurred most reliably at the middle of the dose-response function. 5. The responses of B receptor neurons to blends were more variable than those obtained simultaneously in A receptor neurons. Although all of the various alterations in discharge magnitude observed in the typical A receptor neuron response to blend stimulation were seen in some fraction of the B receptor neurons sampled, only the trinary blend elicited responses which were significantly different from those expected. These reductions in the response of B receptor neurons were also intensity-dependent because they were more reliably observed in the middle portion of the neurons' dose-response function. 6. The sensory processing of complex chemical signals by the insect olfactory system has been postulated to involve a set of narrowly tuned, highly specific olfactory receptor neurons, one for each of the behaviorally relevant component compounds in the pheromone blend. Here we show that olfactory receptor neurons may also be responsive in unique ways to multiple component stimuli even in cases where an individual behaviorally relevant pheromone component is not processed by a separate class of receptor neuron. ¬© 1985 Springer-Verlag.</t>
  </si>
  <si>
    <t>747-761</t>
  </si>
  <si>
    <t>O'Connell, Robert J.</t>
  </si>
  <si>
    <t>Worcester</t>
  </si>
  <si>
    <t>University of Massachusetts Medical School</t>
  </si>
  <si>
    <t>O'Connell R.J.</t>
  </si>
  <si>
    <t>Responses to pheromone blends in insect olfactory receptor neurons</t>
  </si>
  <si>
    <t>10.1007/BF00610828</t>
  </si>
  <si>
    <t>2-s2.0-0021807245</t>
  </si>
  <si>
    <t>['wire parallel', 'wire must', 'wire acts', 'thin layer', 'short pulse', 'several experiments', 'reflection coefficient', 'reflecting layer', 'receiving antenna', 'radar based', 'optimum position', 'ground surface', 'described showing', 'current probe', 'current along', 'civil engineering', '13 refs', '10 cm', '1 ns']</t>
  </si>
  <si>
    <t>A radar based on the proagation of a short pulse of current along a wire parallel to the ground surface is described. The wire acts both as a traveling-wave transmitting antenna and as a receiving antenna. The width of the pulse of current is about 1 ns. The theoretical approach shows that the wire must be situated at about 10 cm above ground and that there is an optimum position for the current probe that detects the induced current due to a reflecting layer. Several experiments are described showing the feasibility of the method for applications to civil engineering (depth of exploration at less than 1 m) in order to detect discontinuities situated near the ground surface, to measure the thickness of a thin layer, or to characterize a change in its reflection coefficient. 13 refs.</t>
  </si>
  <si>
    <t>GE-24</t>
  </si>
  <si>
    <t>60104665;60104665</t>
  </si>
  <si>
    <t>7003924509;7003550839</t>
  </si>
  <si>
    <t>Degauque, Pierre;Thery, Jean Pierre</t>
  </si>
  <si>
    <t>Lille</t>
  </si>
  <si>
    <t>Universit√© de Lille</t>
  </si>
  <si>
    <t>Degauque P.</t>
  </si>
  <si>
    <t>ELECTROMAGNETIC SUBSURFACE RADAR USING THE TRANSIENT FIELD RADIATED BY A WIRE ANTENNA.</t>
  </si>
  <si>
    <t>2-s2.0-0022147182</t>
  </si>
  <si>
    <t>['intercontinental traffic', 'franconian valley', 'antenna systems']</t>
  </si>
  <si>
    <t>In the Franconian valley of the Saale a new Deutsche Bundespost satellite earth station is presently being erected with two initial Intelsat standard A antenna systems for intercontinental traffic. These extend and supplement the transmission capacity already provided by the Raisting earth station in the 4/6-GHz frequency range.</t>
  </si>
  <si>
    <t>348-352</t>
  </si>
  <si>
    <t>60028673;60028673</t>
  </si>
  <si>
    <t>6601969610;6506686294</t>
  </si>
  <si>
    <t>Laufer, Karl;Zumbusch, Ludger</t>
  </si>
  <si>
    <t>Laufer K.</t>
  </si>
  <si>
    <t>FUCHSSTADT - A NEW EARTH STATION FOR SATELLITE LINKS.</t>
  </si>
  <si>
    <t>2-s2.0-0022147777</t>
  </si>
  <si>
    <t>['shown experimentally', 'oscillatory process', 'near zone', 'lw mode', 'leaking wave', 'first obtained', 'field distribution', 'experimental method']</t>
  </si>
  <si>
    <t>Using an experimental method the field distribution of the leaking wave (LW) of a circular longitudinally slotted cylinder is first obtained in the near zone of the source, and this enables the process to be investigated and the mechanism of radiation to be analyzed. It is shown experimentally that an open waveguiding structure operating in the LW mode can maintain the same oscillatory process as in the case of slow surface waves.</t>
  </si>
  <si>
    <t>13-20</t>
  </si>
  <si>
    <t>6603546004;7005559067</t>
  </si>
  <si>
    <t>Komar, G. I.;Shestopalov, V. P.</t>
  </si>
  <si>
    <t>Komar G.</t>
  </si>
  <si>
    <t>SLOT LEAKING WAVE OF A CYLINDRICAL SLOTTED WAVEGUIDE.</t>
  </si>
  <si>
    <t>2-s2.0-0022148090</t>
  </si>
  <si>
    <t>['wave part', 'vertical antenna', 'second region', 'region near', 'region due', 'region 2', 'poynting vector', 'plane boundary', 'oceanic crust', 'maximum depth', 'electromagnetic field', 'different region', 'corresponding formulas']</t>
  </si>
  <si>
    <t>The formulas for the electromagnetic field in a region due to a vertical electric dipole also in that region near its plane boundary with a second, different region are reviewed. The corresponding formulas for the field in the second region (region 2) are then determined. Use is made of this field to determine the locus of the Poynting vector and the maximum depth of penetration into region 2 of the lateral-wave part of the field. Application is made to the use of the vertical antenna in the sea for the measurement of the conductivity of the oceanic crust.</t>
  </si>
  <si>
    <t>King R.</t>
  </si>
  <si>
    <t>PROPERTIES OF THE LATERAL ELECTROMAGNETIC FIELD OF A VERTICAL DIPOLE AND THEIR APPLICATIONS.</t>
  </si>
  <si>
    <t>2-s2.0-0022148386</t>
  </si>
  <si>
    <t>['speed production', 'mounted antennas', 'lubricants used', 'long periods', 'leading u', 'install conveyors', 'getting paint', 'filter booths', 'elements around', 'dish antennas', 'design homes']</t>
  </si>
  <si>
    <t>A leading U. S. manufacturer of dish antennas, the DH Satellite TV Div. of Design Homes of Prairie Du Chien, WI, produces some 10,000 of the units a month. Getting paint to adhere to the dishes for long periods of time is trickly because the outside-mounted antennas are exposed to the elements around the clock. Pretreatment for the spun aluminum dishes is vital because of the lubricants used in the spinning/forming. Primer and topcoat are applied by Binks manual electrostatic airless spray guns in dry-filter booths. DH satellite currently air dries all dish antennas, but plans to install conveyors and ovens to speed production.</t>
  </si>
  <si>
    <t>34-35</t>
  </si>
  <si>
    <t>Industrial finishing Wheaton</t>
  </si>
  <si>
    <t>Schrantz, Joseph</t>
  </si>
  <si>
    <t>Wheaton</t>
  </si>
  <si>
    <t>Industrial Finishing</t>
  </si>
  <si>
    <t>Schrantz J.</t>
  </si>
  <si>
    <t>SKY'S THE LIMIT.</t>
  </si>
  <si>
    <t>2-s2.0-0022150225</t>
  </si>
  <si>
    <t>['receiver antenna', 'paper gives', 'microwave radiation', 'microwave power', 'microwave oscillators', 'geostationary orbit', 'dc power', '200 km']</t>
  </si>
  <si>
    <t>In the design of a space solar power plant (SSPP) it has been proposed that a satellite with large solar panels, converting solar energy into dc power, used to supply a system of microwave oscillators, should be placed in a geostationary orbit; the microwave power is transmitted to earth in the form of a beam, is received, rectified and transmitted to consumers. This paper gives an estimate of the level of the microwave radiation, scattered by rain, at distances of up to 200 km from the center of the receiver antenna.</t>
  </si>
  <si>
    <t>137-140</t>
  </si>
  <si>
    <t>Kochubey, A. N.</t>
  </si>
  <si>
    <t>Kochubey A.</t>
  </si>
  <si>
    <t>SCATTERING BY PRECIPITATION WHEN POWER IS TRANSMITTED BY A MICROWAVE BEAM.</t>
  </si>
  <si>
    <t>2-s2.0-0022150612</t>
  </si>
  <si>
    <t>['weighting vector', 'signals observed', 'signal sources', 'minimum eigenvalue', 'linear combination', 'eigenvectors corresponding', 'array elements', 'angular coordinates']</t>
  </si>
  <si>
    <t>The existence of a weighting vector which would enable one to represent the array radiation pattern by a polynomial whose order is equal to the number of signal sources and whose roots correspond uniquely to the angular coordinates of the sources is investigated. It is shown that such a weighting vector is a linear combination of eigenvectors corresponding to the minimum eigenvalue of the matrix of the cross correlation moments of the signals observed at outputs of the array elements.</t>
  </si>
  <si>
    <t>50-57</t>
  </si>
  <si>
    <t>6602503689;6603498542;6507021936</t>
  </si>
  <si>
    <t>Domanov, Yu A.;Korobko, O. V.;Tauroginskiy, B. I.</t>
  </si>
  <si>
    <t>Domanov Y.</t>
  </si>
  <si>
    <t>ESTIMATION OF ANGULAR COORDINATES OF SEVERAL SIGNAL SOURCES FROM THE ALGEBRAIC PROPERTIES OF THE MATRIX OF THE CROSS CORRELATION MOMENTS OF THE SIGNALS AT THE OUTPUTS OF THE ELEMENTS OF AN ARRAY ANTENNA.</t>
  </si>
  <si>
    <t>2-s2.0-0022150742</t>
  </si>
  <si>
    <t>['return loss', 'phased array', 'phase shift', 'microstrip configuration', 'insertion loss', 'experimental results', 'active element', '90 degree', '5 ghz', '45 degree']</t>
  </si>
  <si>
    <t>Design and development of a low-loss PIN diode phase shifter for an active element in phased array are presented. A 3-bit phase shifter with 45 degree , 90 degree and 180 degree phase cells is realized in the microstrip configuration at 3. 5 GHz. Experimental results on phase shift, insertion loss and return loss are presented.</t>
  </si>
  <si>
    <t>385-388</t>
  </si>
  <si>
    <t>60006896;60006896;60006896</t>
  </si>
  <si>
    <t>57193863720;7005435644;6603283674</t>
  </si>
  <si>
    <t>Bharath Kumar, K.;Pandharipande, V. M.;Sarap, B. K.</t>
  </si>
  <si>
    <t>Indian Telephone Industries Ltd</t>
  </si>
  <si>
    <t>Bharath Kumar K.</t>
  </si>
  <si>
    <t>LOW LOSS PIN DIODE PHASE SHIFTER FOR AN ACTIVE ARRAY ELEMENT.</t>
  </si>
  <si>
    <t>2-s2.0-0022151332</t>
  </si>
  <si>
    <t>['spatial correlation', 'optimum processing', 'noise signals', 'matched space', 'kept constant', 'interference generated']</t>
  </si>
  <si>
    <t>The effectiveness of the suppression of interference generated by several external noise sources is analyzed as a function of the spatial correlation of the noise signals. A comparison of external interference suppression effectiveness, obtained with optimum and matched space-time signal processing when there are several external noise sources is made. It is shown that the advantages of optimum processing over matched processing decrease as the number of external interference sources increases when the total noise spectral density is kept constant.</t>
  </si>
  <si>
    <t>32-38</t>
  </si>
  <si>
    <t>7102018982;57191987642;57199755599</t>
  </si>
  <si>
    <t>Kremer, I. Ya;Petrov, V. M.;Shapiro, S. M.</t>
  </si>
  <si>
    <t>COMPARISON OF THE EFFECTIVENESS OF SPATIAL SELECTION OF SIGNAL AND NOISE SOURCES IN THE CASE OF OPTIMUM AND MATCHED SIGNAL PROCESSING IN THE FRESNEL ZONE.</t>
  </si>
  <si>
    <t>2-s2.0-0022152001</t>
  </si>
  <si>
    <t>['waves scattered', 'spatial correlation', 'rough surfaces', 'mean plane', 'fourier transformation', 'correlation function']</t>
  </si>
  <si>
    <t>The spatial correlation of waves scattered by rough surfaces is investigated. It is shown that the correlation function is the Fourier transformation of the modulus of a function which is a section of the antenna radiation pattern by the mean plane of the illuminated rough surface. The nature of the correlation is determined by the radiating-antenna instrument function.</t>
  </si>
  <si>
    <t>Armand, N. A.</t>
  </si>
  <si>
    <t>CORRELATION FUNCTION OF WAVES SCATTERED BY ROUGH SURFACES.</t>
  </si>
  <si>
    <t>2-s2.0-0022152410</t>
  </si>
  <si>
    <t>['usually five', 'tuning range', 'transmissions intended', 'therefore operate', 'satellites occupy', 'receiver need', 'one position', 'one country', 'forty channels', 'equatorial plane', 'cover 400mhz', 'country concerned', 'channels allocated', 'areas might']</t>
  </si>
  <si>
    <t>Under the World Administrative Radio Conference plan of 1977, forty channels are assigned to the 800MHz-wide band extending from 11. 7 to 12. 5GHz. Each country taking part is provided with a service area tailored as far as possible to suit the country concerned and the plan has been so arranged that the channels allocated to any one country (usually five) all fall within one half of the band. This means that the tuning range of the receiver need only cover 400MHz, although in some cases the full 800MHz might be desirable because reception of transmissions intended for other areas might be required. The satellites occupy a number of positions in the equatorial plane, but the transmissions intended for any one country all come from a satellite at one position. The receiver can therefore operate from a fixed antenna without need for tracking. Though direct satellite tv broadcasts by Britian may still be some way off manufacturers are readying receiver designs.</t>
  </si>
  <si>
    <t>24-25</t>
  </si>
  <si>
    <t>Hastings, John</t>
  </si>
  <si>
    <t>Hastings J.</t>
  </si>
  <si>
    <t>SATELLITE RECEIVER DESIGN.</t>
  </si>
  <si>
    <t>2-s2.0-0022152802</t>
  </si>
  <si>
    <t>['uhf range', 'radiator number', 'graphs showing', 'feed resistances', 'feed impedances', 'excitation currents', 'different pitches', 'array geometry', 'along x']</t>
  </si>
  <si>
    <t>An analysis of feed impedances and driving-point excitation currents for a conical-Archimedean shaped antenna array with thin, linear, centre-driven, halfwave dipole radiators has been presented. The mutual impedances amongst the staggered dipole radiators kept parallel to each other along X-axis have been considered. A set of graphs showing the variation of feed resistances/reactances with radiator number have been obtained for different pitches and dimensions of the array geometry. The matrix inversion method has been used to evaluate the excitation currents of the halfwave dipole radiators for a number of cases and the results are discussed. The array can profitably be used in the UHF range.</t>
  </si>
  <si>
    <t>567-571</t>
  </si>
  <si>
    <t>Indian Journal of Pure and Applied Physics</t>
  </si>
  <si>
    <t>60008721;60008721</t>
  </si>
  <si>
    <t>55783466419;7005770188</t>
  </si>
  <si>
    <t>Singh, D. P.;Dey, K. K.</t>
  </si>
  <si>
    <t>Varanasi</t>
  </si>
  <si>
    <t>Banaras Hindu University</t>
  </si>
  <si>
    <t>Singh D.P.</t>
  </si>
  <si>
    <t>NEW CONICAL-ARCHIMEDEAN SHAPE ANTENNA ARRAY: STUDY OF FEED IMPEDANCES AND EXCITATION CURRENTS.</t>
  </si>
  <si>
    <t>2-s2.0-0022154191</t>
  </si>
  <si>
    <t>941-945</t>
  </si>
  <si>
    <t>6507825529;55354871700;36841893300</t>
  </si>
  <si>
    <t>Pasmanik, L. A.;Turchin, V. I.;Ugrinovskii, V. A.</t>
  </si>
  <si>
    <t>Pasmanik L.</t>
  </si>
  <si>
    <t>Use of the method of parametric estimation in the problem of determining antenna beam patterns from weak radio sources</t>
  </si>
  <si>
    <t>10.1007/BF01040716</t>
  </si>
  <si>
    <t>2-s2.0-0022158115</t>
  </si>
  <si>
    <t>['weight ratios', 'vertical axis', 'turntable bearings', 'specifically designed', 'satellite antennas', 'moments resulting', 'logging equipment', 'higher capacity', 'diverse products', 'accommodate axial']</t>
  </si>
  <si>
    <t>For many turntable applications, integral geared bearings offer smaller cross-sections and higher capacity-to-weight ratios than combinations of separately manufactured gears and bearings. Manufacturers of such diverse products as construction and logging equipment, satellite antennas, and precision machine tools choose integral geared bearings that are specifically designed to support and rotate relatively large masses about a vertical axis. Turntable bearings are designed to accommodate axial (thrust and offset) loads and the moments resulting from them. Turntable bearing design, location, materials, mounting, and lubrication is discussed.</t>
  </si>
  <si>
    <t>27-30</t>
  </si>
  <si>
    <t>Power transmission design</t>
  </si>
  <si>
    <t>Zagar, Joseph</t>
  </si>
  <si>
    <t>La Grange</t>
  </si>
  <si>
    <t>Kaydon Custom Filtration Corporation</t>
  </si>
  <si>
    <t>Zagar J.</t>
  </si>
  <si>
    <t>TURNING THE TABLE ON GEARED BEARINGS.</t>
  </si>
  <si>
    <t>2-s2.0-0022161221</t>
  </si>
  <si>
    <t>['video converters', 'stops driving', 'starts driving', 'special interfaces', 'radio sources', 'operating system', 'microwave attenuators', 'kaos controls', 'frontend subsystem', 'also controls', '3 hardware']</t>
  </si>
  <si>
    <t>K-3 Automatic Operation Software (KAOS) is the operating system of K-3 VLBI system, and controls many devices of K-3 hardware by IEEE-488 standard interface buses. Meanwhile, Mark-III VLBI system uses serial interfaces, IEEE-488 standard interface buses, and other special interfaces. First the KAOS controls an antenna-frontend subsystem. It automatically points large aperture antenna at radio sources (quasar) precisely and controls wave guide switches and microwave attenuators. Secondly the KAOS controls many kinds of data acquisition terminal devices, for example, video converters, formatter. Thirdly it starts driving or stops driving the high-density data recorders. It also controls a water vapor radiometer and weather measuring instruments.</t>
  </si>
  <si>
    <t>Journal of the Radio Research Laboratory</t>
  </si>
  <si>
    <t>57202484847;7402080420;57210658082;7102011241;35417680100</t>
  </si>
  <si>
    <t>Kaneko, Akihiro;Murakami, Hidetoshi;Kozono, Shin ichi;Takahashi, Fujinobu;Yoshino, Taizoh</t>
  </si>
  <si>
    <t>Kaneko A.</t>
  </si>
  <si>
    <t>DEVELOPMENT OF K-3 VLBI AUTOMATIC OPERATION SOFTWARE.</t>
  </si>
  <si>
    <t>2-s2.0-0022162440</t>
  </si>
  <si>
    <t>['two species', 'tubular body', 'total surface', 'thus forming', 'tangential sections', 'studied mainly', 'structures similar', 'single type', 'septate junctions', 'septa appear', 'segments differ', 'receptor cells', 'possible functions', 'poreless sensilla', 'one beetle', 'microtubule density', 'long axis', 'like structure', 'layered wall', 'lamellated portion', 'junctional connections', 'inflexible sockets', 'electrical transduction', 'dense material', 'dendritic segment', 'cryofixed antennae', 'close contact', 'antheraea pernyi', '2 receptors', '1 receptors']</t>
  </si>
  <si>
    <t>Cryofixation | Dendritic outer segments | Hygroreceptors | Insects | Septate junctions | Thermoreceptors</t>
  </si>
  <si>
    <t>Poreless sensilla with inflexible sockets in insects presumably house hygro- and thermoreceptors (type-1, type-2 receptors). The dendritic outer segments of these receptor cells were studied mainly in cryofixed antennae of two species of moth (Antheraea pernyi, A. polyphemus) and one beetle (Aleochara curtula). As a rule two type-1 receptor cells are present. Their dendritic outer segments do not branch. They project into the distal cuticular parts of the sensillum and are in close contact with its four-layered wall. The segments differ in shape and microtubule density. As well, in A. curtula, the microtubules are interconnected by electron-dense material for some distance, thus forming a tubular body-like structure of 1.3 Œºm length. The dendritic outer segment of the single type-2 receptor cell is branched and lamellated. Its lamellae are connected by structures similar to septate junctions, which occupy about 70% of the total surface of the lamellated portion of the dendrite. In tangential sections, the septa appear as parallel strands approximately perpendicular to the long axis of the dendritic segment. The structure of type-1 receptors is discussed with regard to the hypothesis for a mechano-electrical transduction. The possible functions of lamellation and junctional connections in type-2 receptors are discussed. ¬© 1985 Springer-Verlag.</t>
  </si>
  <si>
    <t>Haug, Tilman</t>
  </si>
  <si>
    <t>Haug T.</t>
  </si>
  <si>
    <t>Ultrastructure of the dendritic outer segments of sensory cells in poreless ('no-pore') sensilla of insects - A cryofixation study</t>
  </si>
  <si>
    <t>10.1007/BF00214543</t>
  </si>
  <si>
    <t>2-s2.0-0022214218</t>
  </si>
  <si>
    <t>DEAC0281ER10899</t>
  </si>
  <si>
    <t>['¬© 1985', 'two proteins', 'three chlorophyll', 'three bands', 'tetramethylbenzidine staining', 'subunit 4', 'rieske fe', 'ps ii', 'possible role', 'polypeptide composition', 'immunoblotting procedures', 'iiia contains', 'highly enriched', 'five polypeptides', 'denaturing gels', 'containing band', 'comprised solely', 'characterized phycobilisomes', 'center protein', 'binding proteins', 'binding complexes', '62 kda', '5 kda', '48 kda', '36 kda', '10 kda']</t>
  </si>
  <si>
    <t>(Aphanocapsa) | Chlorophyll-protein complex | Photosystem I | Photosystem II | Thylakoid membrane</t>
  </si>
  <si>
    <t>The polypeptide composition of thylakoid membrane fractions from the heterotrophic cyanobacterium Aphanocapsa 6714 was examined by electrophoretic and immunoblotting procedures. We have identified thylakoid cytochromes f, b6, c-550 by tetramethylbenzidine staining of lithium dodecyl sulfate polyacrylamide gels; we also have identified the Rieske Fe-S center protein and subunit 4 of the cytochrome b6 f complex. We have characterized phycobilisomes and active core preparations of PS I and PS II. PS I is comprised of five polypeptides (62 kDa, 14.5 kDa, 10 kDa, and two proteins of less than 10 kDa), and our PS II preparation is highly enriched for three chlorophyll-binding proteins of 48, 45 and 36 kDa. Furthermore, we have resolved the chlorophyll-binding complexes on non-denaturing gels and have determined the polypeptide composition of each chlorophyll-containing band. Three bands are associated with PS I (I, IIa and IIb) and three bands are PS II components (III‚Ä≤, IIIa and IIIb) as judged by low-temperature fluorescence emission spectra. Band III‚Ä≤ contains a 64 kDa antenna polypeptide, IIIa contains the 48 kDa and 45 kDa polypeptides, and IIIb is comprised solely of a 36 kDa protein. The IIIb apoprotein represents a novel PS II component; its possible role in photochemistry is discussed. ¬© 1985.</t>
  </si>
  <si>
    <t>148-157</t>
  </si>
  <si>
    <t>60006173;60006173;60006173</t>
  </si>
  <si>
    <t>7004682381;36881656300;57195342181</t>
  </si>
  <si>
    <t>Bullerjahn, George S.;Riethman, Harold C.;Sherman, Louis A.</t>
  </si>
  <si>
    <t>Columbia</t>
  </si>
  <si>
    <t>University of Missouri</t>
  </si>
  <si>
    <t>Bullerjahn G.S.</t>
  </si>
  <si>
    <t>Organization of the thylakoid membrane from the heterotrophic cyanobacterium, Aphanocapsa 6714</t>
  </si>
  <si>
    <t>10.1016/0005-2728(85)90130-6</t>
  </si>
  <si>
    <t>2-s2.0-0022433442</t>
  </si>
  <si>
    <t>Ministry of Education, Culture, Sports, Science and Technology</t>
  </si>
  <si>
    <t>Monbusho</t>
  </si>
  <si>
    <t>['¬© 1985', 'weak chl', 'three blue', 'strains increased', 'reaction centers', 'quantum yield', 'ps composition', 'proposed based', 'plant physiologists', 'pbp light', 'one red', 'nadp driven', 'japanese society', 'induced regulation', 'including phycobilin', 'ii ratio', 'first found', 'electron flow', 'due solely', 'dependent response', 'common hypothesis', 'chromatic adaptation', 'cells grown']</t>
  </si>
  <si>
    <t>Blue-green algae | Chromatic adaptation | Electron transport | Photosynthesis | Photosystem composition</t>
  </si>
  <si>
    <t>A chromatic adaptation in the photosynthetic quantum yield for the light mainly absorbed by chlorophyll a (Chl a light) first found by Yocum (1951) was studied with one red and three blue-green algal strains. When the cells were grown under a weak Chl a light, the quantum yield in all the strains increased. Comparison of photosystem (PS) compositions, including phycobilin (PBP) and Chl a antennae, reaction centers I and II, in the cells grown under the light mainly absorbed by PBP and Chl a revealed that changes in quantum yield could be attributed to changes in the ratio of PS I/II; PS I/II becomes larger than 1 under PBP light but decreases to 1 in most cases under Chl a light. The change in the PS I/II ratio is due solely to the changes in the PS I population in the cell; PS II remains constant. These results are similar to the intensity-dependent response in PS composition.A common hypothesis for both the chromatic and intensity-induced regulation of PS composition was proposed based on the idea of balance between the electron flow from H2O to NADP driven by PS I and II and the cyclic one driven by PS I. ¬© 1985 The Japanese Society of Plant Physiologists.</t>
  </si>
  <si>
    <t>1541-1548</t>
  </si>
  <si>
    <t>60028586;60028586;60028586</t>
  </si>
  <si>
    <t>35462746400;7102523360;7202094233</t>
  </si>
  <si>
    <t>Fujita, Yoshihiko;Ohki, Kaori;Murakami, Akio</t>
  </si>
  <si>
    <t>Okazaki</t>
  </si>
  <si>
    <t>National Institutes of Natural Sciences - National Institute for Basic Biology</t>
  </si>
  <si>
    <t>Fujita Y.</t>
  </si>
  <si>
    <t>Chromatic regulation of photosystem composition in the photosynthetic system of red and blue-green algae</t>
  </si>
  <si>
    <t>2-s2.0-0000682386</t>
  </si>
  <si>
    <t>['usual r', 'transient excitation', 'total area', 'suitable choice', 'slow decrease', 'physical restriction', 'one wishes', 'infinite distance', 'finite size', 'faraway receiver', 'energy transmitted', 'electromagnetic missiles', 'either one', 'decrease much', 'approach zero', 'another way']</t>
  </si>
  <si>
    <t>Under transient excitation the energy transmitted by an antenna of finite size to a faraway receiver can decrease much more slowly than the usual R -2. Instead, by a suitable choice of excitation, this quantity can decrease as slowly as one wishes, under the physical restriction that the total energy radiated by the antenna is finite. Such cases of slow decrease are referred to as electromagnetic missiles. Another way of stating the result is that the product of the following two quantities can approach zero as slowly as one wishes: (1) the energy transmitted per unit area of receiver, and (2) the total area of the receiver. Examples are constructed when either one, but not both, of these quantities remains finite at infinite distance.</t>
  </si>
  <si>
    <t>2370-2373</t>
  </si>
  <si>
    <t>Journal of Applied Physics</t>
  </si>
  <si>
    <t>Wu, Tai Tsun</t>
  </si>
  <si>
    <t>Wu T.T.</t>
  </si>
  <si>
    <t>Electromagnetic missiles</t>
  </si>
  <si>
    <t>10.1063/1.335465</t>
  </si>
  <si>
    <t>2-s2.0-0001337437</t>
  </si>
  <si>
    <t>['wave solution', 'using self', 'tracing technique', 'tokamak equilibrium', 'shaped plasma', 'power density', 'numerical solutions', 'much reduced', 'lower approximately', 'generate r', 'flux surfaces', 'field radiated', 'example treated', 'deposition profiles', 'analytic expression', 'absorption layer', '9 compared']</t>
  </si>
  <si>
    <t>Using self-consistent initial conditions obtained from the full-wave solution of the field radiated by an ion-cyclotron resonance heating (ICRH) antenna, the ray-tracing technique is applied to generate r.f. power-deposition profiles in non-circular large Tokamaks such as JET and NET/INTOR. An analytic expression has been used to simulate the shape of the flux surfaces, which fit reasonably well to the numerical solutions of the Grad-Shafranov equation describing the Tokamak equilibrium, by adjusting three free parameters: the flux-surface shift Delta , the elongation ratio kappa and the triangularity parameter delta . For an elliptic INTOR plasma, it is found that the focussing of rays is much reduced and when the absorption layer is located in the center, the r.f. power density figures are lower approximately by a factor of 1.9 compared to that obtained in an equivalent circular case. This reduction in power density is not so significant when the power is deposited off-center, as demonstrated by an example treated for the JET D-shaped plasma.</t>
  </si>
  <si>
    <t>1015-1026</t>
  </si>
  <si>
    <t>Plasma Physics and Controlled Fusion</t>
  </si>
  <si>
    <t>119852706;119852706;119852706</t>
  </si>
  <si>
    <t>6603835365;7102660576;7403189436</t>
  </si>
  <si>
    <t>Van Eester, D.;Bhatnagar, V. P.;Koch, R.</t>
  </si>
  <si>
    <t>Belgium</t>
  </si>
  <si>
    <t>Brussels</t>
  </si>
  <si>
    <t>Ecole R. Militaire</t>
  </si>
  <si>
    <t>Van Eester D.</t>
  </si>
  <si>
    <t>Ray-tracing analysis of ICRH power-deposition profiles in non-circular large Tokamaks</t>
  </si>
  <si>
    <t>10.1088/0741-3335/27/9/007</t>
  </si>
  <si>
    <t>2-s2.0-0005997022</t>
  </si>
  <si>
    <t>['theoretical predictions', 'strongly guided', 'results agree', 'may propagate', 'magnetic probes', 'magnetic fields', 'finite frequency', 'fast wave', 'experimental results', 'curved lines', 'alfven wave']</t>
  </si>
  <si>
    <t>Experimental results are presented which show that the Alfven wave is strongly guided by magnetic fields. The experiment was conducted in a Tokamak plasma using a small dipole loop antenna to generate a localised Alfven ray. The ray was observed, with magnetic probes, to propagate as a localised disturbance along the curved lines of the steady magnetic field without significant refraction due to the effects of finite frequency, resistivity or magnetic field gradients. These results agree with theoretical predictions and demonstrate that a localised Alfven wave may be excited, and may propagate, independently of the fast wave, as expected. The implication of these results for the Alfven wave heating scheme is discussed.</t>
  </si>
  <si>
    <t>1125-1149</t>
  </si>
  <si>
    <t>60025709;60025709;60025709;60025709;60025709</t>
  </si>
  <si>
    <t>22991143800;22987742200;7202235472;7003670538;6603704472</t>
  </si>
  <si>
    <t>Borg, G. G.;Brennan, M. H.;Cross, R. C.;Giannone, L.;Donnelly, I. J.</t>
  </si>
  <si>
    <t>The University of Sydney</t>
  </si>
  <si>
    <t>Borg G.</t>
  </si>
  <si>
    <t>Guided propagation of Alfven waves in a toroidal plasma</t>
  </si>
  <si>
    <t>10.1088/0741-3335/27/10/004</t>
  </si>
  <si>
    <t>2-s2.0-0007664409</t>
  </si>
  <si>
    <t>['wind tunnel', 'three insecticide', 'related chemicals', 'pheromone stimulation', 'pheromone receptors', 'pheromone inactivation', 'normal pheromone', 'methyl carbamate', 'long exposure', 'induced behavior', 'flight behavior', 'electroantennograms indicated', 'electrical activity', 'dimethylcyclopropane carboxylate', 'causing habituation', 'adversely affected', 'acute toxicity']</t>
  </si>
  <si>
    <t>Three insecticide-pheromone-related chemicals, the methyl carbamate, the diethylphosphate, and the 3-(2,2-dichlorovinyl)-2,2-dimethylcyclopropane carboxylate of (Z)-7-dodecenol, were prepared, and their toxicity as well as their effects on electrical activity of antennae and flight behavior of cabbage looper moths in response to pheromone stimulation were determined. Acute toxicity of the chemicals was low. Electroantennograms indicated no inhibition of pheromone receptors or mechanisms for pheromone inactivation. Moth flight behavior in a wind tunnel was adversely affected by long exposure to the chemicals. None of the three chemicals appears to be as active as the moth's own pheromone in causing habituation and disruption of normal pheromone-induced behavior.</t>
  </si>
  <si>
    <t>427-432</t>
  </si>
  <si>
    <t>0046225X</t>
  </si>
  <si>
    <t>Environmental Entomology</t>
  </si>
  <si>
    <t>60023694;60023694</t>
  </si>
  <si>
    <t>57211347171;56290395800</t>
  </si>
  <si>
    <t>Rider, D. A.;Berger, R. S.</t>
  </si>
  <si>
    <t>Auburn</t>
  </si>
  <si>
    <t>Alabama Agricultural Experiment Station</t>
  </si>
  <si>
    <t>Rider D.A.</t>
  </si>
  <si>
    <t>Toxicity and Electrophysiological and Behavioral Effects of Insecticide-Pheromone-related Chemicals on Cabbage Looper Moths</t>
  </si>
  <si>
    <t>10.1093/ee/14.4.427</t>
  </si>
  <si>
    <t>2-s2.0-0013087684</t>
  </si>
  <si>
    <t>['wirral coast', 'values obtained', 'surface velocity', 'surface currents1', 'surface currents', 'spatial distributions', 'similar measurements', 'sediment transport', 'sea surface', 'receding waves', 'radial component', 'provide data', 'pollutant dispersal', 'oscr derives', 'ocean waves', 'numerical model', 'made first', 'liverpool bay', 'fine structure', 'differs significantly', 'codar system4', '7 days']</t>
  </si>
  <si>
    <t>The backscattering of high-frequency radar echoes from the sea surface can yield useful information about ocean waves and surface currents1-3. The Rutherford Appelton Laboratory Ocean Surface Current Radar (OSCR) system is based on the CODAR system4 but differs significantly in that it uses a beam-forming receive antenna to determine the direction of the backscattered signals instead of using the CODAR direction finding system. OSCR derives a radial component of surface velocity by measuring the shift in recorded spectra associated with advancing and receding waves. In this survey of surface currents in Liverpool Bay, using only OSCR, measurements were made first for 7 days from the Lancashire coast followed, 1 month later, by similar measurements from the Wirral coast. These were combined to compute current ellipses for the predominant M2 tidal constituent. Spatial distributions of the ellipse parameters agree well with values obtained from a numerical model and from moored current meters. This new observational technique should provide data on the fine structure of near-shore surface currents for use in studies of sediment transport and pollutant dispersal. ¬© 1985 Nature Publishing Group.</t>
  </si>
  <si>
    <t>128-131</t>
  </si>
  <si>
    <t>Nature</t>
  </si>
  <si>
    <t>60004759;60004759</t>
  </si>
  <si>
    <t>7007005208;7007137231</t>
  </si>
  <si>
    <t>Prandle, D.;Ryder, D. K.</t>
  </si>
  <si>
    <t>Liverpool</t>
  </si>
  <si>
    <t>Proudman Oceanographic Laboratory</t>
  </si>
  <si>
    <t>Prandle D.</t>
  </si>
  <si>
    <t>Measurement of surface currents in Liverpool Bay by high-frequency radar</t>
  </si>
  <si>
    <t>10.1038/315128a0</t>
  </si>
  <si>
    <t>2-s2.0-0021863533</t>
  </si>
  <si>
    <t>['wire antenna', 'wavelengths shorter', 'tip radius', 'tip radii', 'speed response', 'significantly affected', 'responsivity measurements', 'optimum values', 'mixing orders', 'harmonic generation', 'experimentally determined', 'dramatic improvements', 'diode resistance', 'conventional long', 'conical antenna', '88 thz', '10 œºm']</t>
  </si>
  <si>
    <t>Dramatic improvements in the stability of the metal-insulator-metal point contact diode has been achieved by the use of blunter whisker tips. The optimum values for tip radius and diode resistance were experimentally determined. Both sensitivity and high-speed response of W-NiO-Ni point contact diodes were investigated at different laser frequencies and mixing orders as a function of tip radius, resistance, and coupling. The tip radii were changed by more than an order of magnitude, and surprisingly, the sensitivity and the harmonic generation up to 88 THz were not significantly affected. A conical antenna was found to be superior to the conventional long-wire antenna at wavelengths shorter than 10 Œºm. Responsivity measurements as a function of the diode resistance showed evidence for two different physical mechanisms responsible for the operation of the diode.</t>
  </si>
  <si>
    <t>956-960</t>
  </si>
  <si>
    <t>60023053;60023053;60023053</t>
  </si>
  <si>
    <t>7006414132;7004952776;7103249766</t>
  </si>
  <si>
    <t>Evenson, K. M.;Inguscio, M.;Jennings, D. A.</t>
  </si>
  <si>
    <t>Evenson K.</t>
  </si>
  <si>
    <t>Point contact diode at laser frequencies</t>
  </si>
  <si>
    <t>10.1063/1.334696</t>
  </si>
  <si>
    <t>2-s2.0-0022010190</t>
  </si>
  <si>
    <t>['transverse electric', 'time reversal', 'surface modes', 'reciprocity relations', 'radiation modes', 'interacting modes', 'infinite number', 'guided modes', 'grating profile', 'frequency characteristics', 'finite number', 'dimensional beam', 'dielectric permittivity', 'dielectric losses', 'dephasing measure', 'corrugated surface', 'corrugated cylinder']</t>
  </si>
  <si>
    <t>The excitation and scattering of guided modes on a cylindrical dielectric waveguide with a corrugated surface is investigated. The interactions between the finite number of radiation modes and an infinite number of surface modes are considered with the consequence that both the amplitude and phase of the interacting modes are evaluated. The excitation by a two-dimensional beam is analyzed and the transverse electric and transverse magnetic modes are investigated. The power conservation relation of a corrugated cylinder is established and the reciprocity relations are investigated in general terms starting from the principle of time reversal. The fields of a finite length corrugated cylinder are used to obtain the far-field radiation pattern and treat its frequency characteristics. The effects of dielectric permittivity, dielectric losses, dephasing measure, and the grating profile are investigated.</t>
  </si>
  <si>
    <t>943-955</t>
  </si>
  <si>
    <t>60032179;60032179</t>
  </si>
  <si>
    <t>7005993357;7201952270</t>
  </si>
  <si>
    <t>Wlodarczyk, Marek T.;Seshadri, S. R.</t>
  </si>
  <si>
    <t>Wlodarczyk M.</t>
  </si>
  <si>
    <t>Excitation and scattering of guided modes on a dielectric cylinder with a periodically varying radius</t>
  </si>
  <si>
    <t>10.1063/1.334695</t>
  </si>
  <si>
    <t>2-s2.0-0022013078</t>
  </si>
  <si>
    <t>['scattered light', 'particularly susceptible', 'noise signals', 'laser light', 'authors present']</t>
  </si>
  <si>
    <t>In long-light-path laser interferometry, as used for gravitational wave detection, scattered light is a major noise source. Interferometers that employ optical delay lines are particularly susceptible to noise from scattered light. The authors present a method of suppressing such noise signals by using fast phase modulation of the laser light. It is shown that all scattered all contributions from the delay line may be cancelled, up to arbitrarily long path differences. This can be achieved with an appropriately structured square-wave modulation function which switches the phase of the light by pi .</t>
  </si>
  <si>
    <t>482-485</t>
  </si>
  <si>
    <t>Journal of Physics E: Scientific Instruments</t>
  </si>
  <si>
    <t>60029010;60029010;60029010;60029010;60029010</t>
  </si>
  <si>
    <t>6507315405;35228243000;7801503124;35227853100;7201388753</t>
  </si>
  <si>
    <t>Schnupp, L.;Winkler, W.;Maischberger, K.;Rudiger, A.;Schilling, R.</t>
  </si>
  <si>
    <t>Garching bei Munchen</t>
  </si>
  <si>
    <t>Max Planck Institute of Quantum Optics</t>
  </si>
  <si>
    <t>Schnupp L.</t>
  </si>
  <si>
    <t>Reduction of noise due to scattered light in gravitational wave antennae by modulating the phase of the laser light</t>
  </si>
  <si>
    <t>10.1088/0022-3735/18/6/005</t>
  </si>
  <si>
    <t>2-s2.0-0022075205</t>
  </si>
  <si>
    <t>['two modems', 'synchronous satellites', 'station antennas', 'small receive', 'results demonstrate', 'ranging experiment', 'precision ranging', 'modem mitrex', 'microwave time', 'immediate requirements', 'geosynchronous missions', 'cluster control', 'baseline interferometer', 'based upon']</t>
  </si>
  <si>
    <t>Precision ranging tests with the 'Microwave Time and Ranging Experiment' modem MITREX and the ESA telecommunications satellite OTS are described. The tests were based upon a very-short-baseline interferometer consisting of two small earth-station antennas and two modems. The results demonstrate that precision ranging from the ground can meet the immediate requirements of cluster control and rendezvous for synchronous satellites. The use of the short- baseline interferometer from one ground station, equipped with small receive-only antennas, is also an interesting tracking option for geosynchronous missions. -from Authors</t>
  </si>
  <si>
    <t>489-497</t>
  </si>
  <si>
    <t>60015815;60015815;60015815;60015815;60015815;60015815</t>
  </si>
  <si>
    <t>7004349064;7007123776;15130483700;6506366103;6507938214;57198237610</t>
  </si>
  <si>
    <t>Hartl, P.;Wittig, M.;Bird, A. G.;Van Holtz, L.;Kollen, R. H.;Renner, U.</t>
  </si>
  <si>
    <t>Hartl P.</t>
  </si>
  <si>
    <t>Further tracking experiments with OTS using the MITREX modem.</t>
  </si>
  <si>
    <t>2-s2.0-0022172607</t>
  </si>
  <si>
    <t>['wave process', 'undeformed state', 'lattice density', 'following concepts', 'everywhere zero', 'electron fluid', 'electrical phenomena', 'charge density', 'accompany collision']</t>
  </si>
  <si>
    <t>Models of electrical phenomena that accompany collision of solids are based on the following concepts. In the undeformed state of the rod, the charge density of the lattice at each point of the rod and at any point in time is compensated for by the charge density of the electron fluid, so that the overall charge density is everywhere zero. When the rod is subjected to an impact, an elastic strain wave propagates in it, this causes the lattice density to change at sites that are involved in the wave process. Experiments have been described, in which, when a rod is subjected to an impact, an electrical voltage pulse is recorded in an antenna located near the rod.</t>
  </si>
  <si>
    <t>101-104</t>
  </si>
  <si>
    <t>Mechanics of solids</t>
  </si>
  <si>
    <t>Zhuravlev, V. F.</t>
  </si>
  <si>
    <t>Zhuravlev V.</t>
  </si>
  <si>
    <t>ELECTROMAGNETIC RADIATION UPON COLLISION OF SOLIDS.</t>
  </si>
  <si>
    <t>2-s2.0-0022175065</t>
  </si>
  <si>
    <t>['rate performance', 'outer edges', 'inmarsat coverage', 'experimental results', 'aviation applications']</t>
  </si>
  <si>
    <t>Some experimental results and performances of an air-to-ground/ground-to-air communications link for aviation applications that uses a shared satellite system at C- and L-bands are presented in the paper. The flight tests proved that the surface-mounted microstrip antennas, commercial RF transceiver, modem, and FEC coding algorithms could achieve acceptable bit-error-rate performance, even at the outer edges of INMARSAT coverage and even under less than ideal antenna orientations.</t>
  </si>
  <si>
    <t>37-39, 41</t>
  </si>
  <si>
    <t>Kachmar, Michael</t>
  </si>
  <si>
    <t>Hasbrouck Heights</t>
  </si>
  <si>
    <t>Kachmar M.</t>
  </si>
  <si>
    <t>MITRE'S AVIATION DATA LINK PEEKS OVER THE HORIZON.</t>
  </si>
  <si>
    <t>2-s2.0-0022184846</t>
  </si>
  <si>
    <t>['two programmes', 'solar arrays', 'scientific experiments', 'paper describes', 'future applications', 'functional descriptions', 'current status']</t>
  </si>
  <si>
    <t>The agency is sponsoring two parallel development efforts in the field of advanced deployable masts. Both are extending tube devices capable of pushing out solar arrays and deploying such items as antennas and scientific experiments. This paper describes their current status and the present and future applications for such devices. It includes a presentation of the background to the two programmes, functional descriptions of the devices, and analyses of their performances.</t>
  </si>
  <si>
    <t>313-321</t>
  </si>
  <si>
    <t>ESA Journal (European Space Agency)</t>
  </si>
  <si>
    <t>Aguirre-Martinez, M. A.</t>
  </si>
  <si>
    <t>Noordwijk aan Zee</t>
  </si>
  <si>
    <t>ESTEC - European Space Research and Technology Centre</t>
  </si>
  <si>
    <t>Aguirre-Martinez M.</t>
  </si>
  <si>
    <t>ESA-SPONSORED DEVELOPMENTS IN THE FIELD OF DEPLOYABLE MASTS.</t>
  </si>
  <si>
    <t>2-s2.0-0022187376</t>
  </si>
  <si>
    <t>['tap arrays', 'simulation results', 'rejection given', 'making use', 'given roughly', 'fractional bandwidth', '5 multiplied']</t>
  </si>
  <si>
    <t>The jamming rejection capability of a 2-element broadband linearly constrained adaptive array is investigated. From a small bandwidth theoretical analysis, it is found that even-tap arrays have better rejection performance than odd-tap arrays. Also, after making use of some simulation results, the rejection given by even-tap arrays is found to be given roughly by (0. 5 multiplied by fractional bandwidth) **n**u**m**b**e**r **o**f **t**a**p**s .</t>
  </si>
  <si>
    <t>17-19</t>
  </si>
  <si>
    <t>Engineering Journal of Singapore</t>
  </si>
  <si>
    <t>PERFORMANCE OF A BROADBAND FROST ADAPTIVE ARRAY IN REJECTING JAMMERS.</t>
  </si>
  <si>
    <t>2-s2.0-0022189856</t>
  </si>
  <si>
    <t>['sensor noise', 'recovery accuracy', 'recording component', 'parametric transducer', 'numerical experiment', 'gravitational antenna', 'additional increase']</t>
  </si>
  <si>
    <t>A numerical experiment is reported on recovering the input to a gravitational antenna. It is shown to be desirable to use a parametric transducer as the recording component. An additional increase in the recovery accuracy is provided by using dynamic damping for the sensor noise.</t>
  </si>
  <si>
    <t>44-47</t>
  </si>
  <si>
    <t>Moscow University Physics Bulletin (English Translation of Vestnik Moskovskogo Universiteta, Fizika)</t>
  </si>
  <si>
    <t>60007457;60007457</t>
  </si>
  <si>
    <t>7003892150;7101836147</t>
  </si>
  <si>
    <t>Babichenko, S. I.;Rudenko, V. N.</t>
  </si>
  <si>
    <t>Babichenko S.I.</t>
  </si>
  <si>
    <t>RECOVERING THE INPUT TO A GW ANTENNA WITH A PARAMETRIC CONVERTER.</t>
  </si>
  <si>
    <t>2-s2.0-0022199293</t>
  </si>
  <si>
    <t>['year approach', 'spring 1986', 'space probes', 'japanese institute', 'investigate halley', 'diameter antenna', 'data acquisition', 'command operations', 'august 1985', 'astronautical science']</t>
  </si>
  <si>
    <t>The Japanese Institute of Space and Astronautical Science has launched two deep-space probes, Sakigake in January and Suisei in August 1985, to investigate Halley's Comet, which will be making its once-in-seventy-six-year approach to the sun in spring 1986. To perform tracking telemetry-data acquisition, and command operations for these probes, a large-diameter antenna has been constructed.</t>
  </si>
  <si>
    <t>22-23</t>
  </si>
  <si>
    <t>Mitsubishi Electric Advance</t>
  </si>
  <si>
    <t>60000809;60000809</t>
  </si>
  <si>
    <t>23030809700;6506631191</t>
  </si>
  <si>
    <t>Hayashi, Tomonao;Kurafuji, Yasushi</t>
  </si>
  <si>
    <t>Sagamihara</t>
  </si>
  <si>
    <t>JAXA Institute of Space and Astronautical Science</t>
  </si>
  <si>
    <t>Hayashi T.</t>
  </si>
  <si>
    <t>64-METER ANTENNA SYSTEM FOR DEEP-SPACE PROJECTS.</t>
  </si>
  <si>
    <t>2-s2.0-0022204571</t>
  </si>
  <si>
    <t>['traffic area', 'system frequencies', 'substantial increase', 'similar system', 'similar areas', 'reused outside', 'resulting increase', 'nmt channels', 'methods described', 'feasibly employ', 'different directions', 'could handle', 'central area', 'cell technology', 'cell systems', 'base station', '16 km']</t>
  </si>
  <si>
    <t>The increase in the number of NMT system subscribers and the resulting increase in traffic has been greater than expected. This has caused capacity problems in Stockholm and similar areas. The use of small-cell technology had often been mentioned as a way to increase the capacity of mobile telephone systems, but no similar system that was operative was available for study when we began investigating possible small-cell systems for Stockholm. It soon became apparent that in Stockholm, the high-traffic area was too small, and there were too few NMT channels, to feasibly employ the methods described in the literature. A solution was arrived at in the form of a large base station in the center of Stockholm and six directional antennas aimed in different directions, which could handle the approximately 50 km**2 with the highest traffic density. All system frequencies are used at the base station, and the directional antennas permit these frequencies to be reused outside the central area. Each frequency can thus be used at least three times within a radius of 10 to 16 km, which provides a substantial increase in capacity.</t>
  </si>
  <si>
    <t>Tele English ed.</t>
  </si>
  <si>
    <t>Makitalo, Osten</t>
  </si>
  <si>
    <t>Makitalo O.</t>
  </si>
  <si>
    <t>UNIQUE SMALL-CELL SYSTEM FOR THE NMT SYSTEM.</t>
  </si>
  <si>
    <t>2-s2.0-0022206005</t>
  </si>
  <si>
    <t>['vitro tests', 'thyroid gland', 'scanning surface', 'results obtained', 'phase shift', 'perspex phantoms', 'outer opening', 'microwave system', 'microwave beam', 'mainly affected', 'imaging system', 'holes filled', 'geometrical settings', 'fixed gray', 'electric signal', 'efficient detection', 'calcium carbonate', 'biological system', 'antenna ),', '30 mm', '2 mm']</t>
  </si>
  <si>
    <t>A microwave system has been developed for scanning structures characterized by different dielectric constants. At variance with previous techniques based on the use of microwaves, this new imaging method utilizes the phase shift induced in a reflected microwave beam by the interface between two adjacent structures having different dielectric constant values (mainly affected, in a biological system, by the tissue water content). This phase shift is detected by the transducer, and transformed into an electric signal that, upon A/D conversion and elaboration by an adequate computer program, is utilized to print a scanning map according to a pre-fixed gray-scale. Scanning is performed by a classical XY mechanical device. Perspex phantoms have been prepared with geometrical settings so as to mimic a typical superficial organ as the thyroid gland; lesions to be detected are simulated by holes filled with a medium either less dense (water) or denser (calcium carbonate) than perspex. Preliminary in vitro tests have also been performed utilizing slices of thyroid glands removed at autopsy and fixed in formalin. The results obtained have pointed out an efficient detection of lesions as small as 2 mm in diameter, both in the perspex phantoms and in the thyroid gland preparations. Due to a well-defined physical factor (the wavelength of the microwave beam, which constitutes a constraint for the size of the outer opening of the transducer's antenna), the useful depth range of the scanning and imaging system is limited to about 30 mm from the scanning surface.</t>
  </si>
  <si>
    <t>275-282</t>
  </si>
  <si>
    <t>Journal of Nuclear Medicine and Allied Sciences</t>
  </si>
  <si>
    <t>60028868;60028868;60028868;;</t>
  </si>
  <si>
    <t>57204362971;23101920100;57198304634;57207546253;57217515951</t>
  </si>
  <si>
    <t>Falchi, E.;Benassi, A.;Pisani, P.;Bevilacqua, G.;Mariani, G.</t>
  </si>
  <si>
    <t>Falchi E.</t>
  </si>
  <si>
    <t>A new microwave scanning system for imaging superficial organs</t>
  </si>
  <si>
    <t>2-s2.0-0022213974</t>
  </si>
  <si>
    <t>['optics processor', 'generating transparency', 'frequency scale', 'experimental results', 'crucial part', 'composite diagram', 'azimuthal direction']</t>
  </si>
  <si>
    <t>A coherent-optics processor for circular antenna arrays which provides a panoramic survey along the azimuthal direction and along the frequency scale is discussed. A crucial part of the processor - a composite diagram-generating transparency - has been devised by an analog holographic method. Experimental results are reported.</t>
  </si>
  <si>
    <t>57-63</t>
  </si>
  <si>
    <t>Optoelectronics, Instrumentation and Data Processing (English translation of Avtometriya)</t>
  </si>
  <si>
    <t>7006802217;6701467222;6603600348</t>
  </si>
  <si>
    <t>Grinev, A. Yu;Svet, V. D.;Temchenko, V. S.</t>
  </si>
  <si>
    <t>Grinev A.</t>
  </si>
  <si>
    <t>COHERENT-OPTICS PROCESSOR FOR CIRCULAR ANTENNA RAYS.</t>
  </si>
  <si>
    <t>2-s2.0-0022220770</t>
  </si>
  <si>
    <t>['wavenumber support', 'polar diagram', 'planar arrays', 'planar array', 'phase uncertainty', 'particular array', 'one acknowledges', 'nonequispaced arrays', 'array elements', 'approximately circular', 'aliasing frequency']</t>
  </si>
  <si>
    <t>We set out a procedure for defining the region of wavenumber support relevant for maximum entropy spectral estimation of a noise field incident on a planar array. We consider first linear, nonequispaced arrays, and argue that the problem of defining a region of wavenumber support is only well-posed when either position uncertainty for the array elements is postulated, or phase uncertainty in the measurement of the signals at the array elements is postulated, or one acknowledges that a polar diagram that is almost periodic defines an aliasing frequency in virtually the same way as a polar diagram which is periodic. For planar arrays, the region of wavenumber support can be approximately circular but in general has to be defined with reference to the particular array. ¬© 1985 Birkh√§user Boston, Inc.</t>
  </si>
  <si>
    <t>439-457</t>
  </si>
  <si>
    <t>Anderson, Brian D.O.</t>
  </si>
  <si>
    <t>The Australian National University</t>
  </si>
  <si>
    <t>Anderson B.</t>
  </si>
  <si>
    <t>Wavenumber support regions for arbitrary arrays</t>
  </si>
  <si>
    <t>10.1007/BF01601795</t>
  </si>
  <si>
    <t>2-s2.0-0022221209</t>
  </si>
  <si>
    <t>['paper describes', 'helical antenna', 'band converter']</t>
  </si>
  <si>
    <t>This paper describes the constitution, characteristics, and technically unique key points on the design of the newly developed ku-band converter. The converter is composed of a FET low noise amplifier directly coupled with a helical antenna and a new finline mixer.</t>
  </si>
  <si>
    <t>45-47</t>
  </si>
  <si>
    <t>Denshi Tokyo</t>
  </si>
  <si>
    <t>60032045;60032045;60032045</t>
  </si>
  <si>
    <t>55228380100;6504764240;7201894037</t>
  </si>
  <si>
    <t>Ohta, Tomozo;Takamitsu, Nakano;Okabe, Kaoru</t>
  </si>
  <si>
    <t>Sakai</t>
  </si>
  <si>
    <t>Sharp Corporation</t>
  </si>
  <si>
    <t>Ohta T.</t>
  </si>
  <si>
    <t>NEW Ku-BAND LOW NOISE CONVERTER DIRECTLY COUPLED WITH HELICAL ANTENNA.</t>
  </si>
  <si>
    <t>2-s2.0-0022221414</t>
  </si>
  <si>
    <t>['solution using', 'rapid advances', 'phase shifters', 'paper describes', 'measured results', 'lobe levels', 'experimental array', 'achieve economies']</t>
  </si>
  <si>
    <t>The development to solid state power amplifiers has created the opportunity for producing flexible phase array transmitters for use in radars, to complement the rapid advances in phased array receivers. The use of identical amplifiers throughout the array is required in order to achieve economies of scale; aperture distributions tapered in both amplitude and phase are required to give low side-lobe levels. This paper describes a solution using only phase shifters to control both tapers. An experimental array has been built. The construction and measured results are presented.</t>
  </si>
  <si>
    <t>261-267</t>
  </si>
  <si>
    <t>60030127;60030127</t>
  </si>
  <si>
    <t>57214019934;6701672464</t>
  </si>
  <si>
    <t>Easton, N.;Wallington, J. R.</t>
  </si>
  <si>
    <t>Coventry</t>
  </si>
  <si>
    <t>Telent plc</t>
  </si>
  <si>
    <t>Easton N.</t>
  </si>
  <si>
    <t>SOLID STATE TRANSMITTER WITH ADAPTIVE BEAMFORMING.</t>
  </si>
  <si>
    <t>2-s2.0-0022223006</t>
  </si>
  <si>
    <t>['special case', 'space using', 'proposed algorithm', 'minimized subject', 'given region', 'array mainbeam', 'appropriate choice', 'amplitude constraints']</t>
  </si>
  <si>
    <t>The problem of linearly constrained optimal beamforming for multiple simultaneous desired signals is considered. It is shown that when the thermal noise power at the output of the array is minimized subject to amplitude constraints at the different signal directions, the optimal weight vector can be computed by solving a set of linear simultaneous equations. If some amplitude constraints are specified to be zero, the usual null constrained beamforming problem then becomes a special case. Furthermore, by an appropriate choice of desired signal directions, the array mainbeam can be made to cover a given region of space using the proposed algorithm.</t>
  </si>
  <si>
    <t>306-309</t>
  </si>
  <si>
    <t>LINEARLY CONSTRAINED OPTIMAL BEAMFORMING FOR MULTIPLE SIMULTANEOUS DESIRED SIGNALS.</t>
  </si>
  <si>
    <t>2-s2.0-0022235050</t>
  </si>
  <si>
    <t>['theoretical calculations', 'soil layer', 'several cm', 'moisture content', 'investigated area', 'immediate vicinity', 'experimental results', 'electric type', '** 2']</t>
  </si>
  <si>
    <t>Presented are theoretical calculations and experimental results of determining the moisture content of soil by measuring the resistance of losses of two electrically small antennas of the magnetic and electric type, placed in the immediate vicinity of the investigated area of the Earth's surface. With known agrohydrological parameters of the soil the method lets us directly measure the productive moisture reserves of the soil layer from several cm to 1. 5 m in an area of several m**2.</t>
  </si>
  <si>
    <t>95-98</t>
  </si>
  <si>
    <t>Soviet meteorology and hydrology</t>
  </si>
  <si>
    <t>60026327;60026327;60026327</t>
  </si>
  <si>
    <t>57225719147;6506817308;57196084484</t>
  </si>
  <si>
    <t>Kuz'min, Yu I.;Pashenko, E. G.;Tikhonov, V. V.</t>
  </si>
  <si>
    <t>Russian Scientific Research Institute of Aviation Materials</t>
  </si>
  <si>
    <t>Kuz'min Y.I.</t>
  </si>
  <si>
    <t>DETERMINING MOISTURE CONTENT OF SOIL ACCORDING TO ABSORPTION OF ELECTROMAGNETIC RADIATION.</t>
  </si>
  <si>
    <t>2-s2.0-0022244071</t>
  </si>
  <si>
    <t>['symmetrical lowpass', 'switched lines', 'new designs', 'new circuits', 'monolithic fabrication', 'loaded lines', 'highpass l', 'c ladders', 'based upon']</t>
  </si>
  <si>
    <t>In this paper, diode switching circuits, conventional loaded line and reflection phase shifters are reviewed. The presentation is carried out in a theoretical manner rather than microwave engineering formulation. Secondarily, four novel digital phase shifter configurations which are suitable for monolithic fabrication are presented. Operation of the new circuits is based upon the phase shifting properties of symmetrical lowpass and highpass L - C ladders. In the new designs, use of ideal microwave switches, loaded lines, switched lines and hybrids are not required. Explicit design equations are presented for each phase shifter studied.</t>
  </si>
  <si>
    <t>185-205</t>
  </si>
  <si>
    <t>Bulletin of the Technical University of Istanbul</t>
  </si>
  <si>
    <t>Yarman, B. Siddik</t>
  </si>
  <si>
    <t>Marmara Research Inst</t>
  </si>
  <si>
    <t>Yarman B.</t>
  </si>
  <si>
    <t>DESIGN OF DIGITAL PHASE SHIFTERS SUITABLE FOR MONOLITHIC IMPLEMENTATION.</t>
  </si>
  <si>
    <t>2-s2.0-0022275236</t>
  </si>
  <si>
    <t>['sps system', 'results show', 'rectifying diode', 'rectenna composed', 'paper considers', 'integer multiple', 'higher resonance', 'big problems', 'absorption efficiency', '100 %.']</t>
  </si>
  <si>
    <t>One of the big problems in the SPS system is reradiation of the harmonic waves generated by the rectifying diode. We have proposed the use of a circular microstrip antenna (CMSA), since the CMSA has no higher resonance-harmonic of integer multiple of the dominant resonance frequency. However, characteristics of a large rectenna array of CMSA's have not been clarified. This paper is concerned with the absorption efficiency of the rectenna composed of the CMSA. The efficiency is estimated explicitly using an infinite array model. The results show that the absorption efficiency of the infinite rectenna array composed of the CMSA is 100%. Also, this paper considers the effect of the losses of the CMSA.</t>
  </si>
  <si>
    <t>Space Power</t>
  </si>
  <si>
    <t>7404897527;7003280529;35516180700</t>
  </si>
  <si>
    <t>Itoh, Kiyohiko;Ohgane, Takeo;Ogawa, Yasutaka</t>
  </si>
  <si>
    <t>RECTENNA COMPOSED OF A CIRCULAR MICROSTRIP ANTENNA.</t>
  </si>
  <si>
    <t>2-s2.0-0022282105</t>
  </si>
  <si>
    <t>['short distances', 'reference phase', 'mutual locking', 'microwave band', 'different generators', 'communications line', 'antennas separated']</t>
  </si>
  <si>
    <t>The operation of two antennas separated by a large distance poses the problem of delivering a reference phase to each of the antennas and, when phased transmitting arrays are fed by different generators, that of mutual locking of these generators in both frequency and phase. In contrast to the case of antennas separated by short distances, the communications line has an unstable delay tau in operation in the microwave band. The reference phase and frequency can be set up on both the transmitting and receiving phased antenna arrays with the aid of two auxiliary generators spanned by mutual symmetrical phase feedback as outlined.</t>
  </si>
  <si>
    <t>68-70</t>
  </si>
  <si>
    <t>Radioelectronics and Communications Systems (English translation of Izvestiya Vysshikh Uchebnykh Z</t>
  </si>
  <si>
    <t>7006499714;6507165679</t>
  </si>
  <si>
    <t>Samoilenko, V. I.;Lygina, I. Yu</t>
  </si>
  <si>
    <t>Samoilenko V.</t>
  </si>
  <si>
    <t>CROSS-LOCKING IN DIVERSITY ANTENNA SYSTEMS.</t>
  </si>
  <si>
    <t>2-s2.0-0022282696</t>
  </si>
  <si>
    <t>['small number', 'reduced significantly', 'pointing errors', 'phase calculator', 'beam location']</t>
  </si>
  <si>
    <t>Expressions are derived for computing the beam location of a linear antenna array, and pointing errors introduced by the phase calculator are investigated as a function of the number of radiators and the digital word size of the phase calculator. It is shown that pointing errors can be reduced significantly by the addition of a small number of corrections, and a method for determining these is proposed.</t>
  </si>
  <si>
    <t>Zaitsev, V. A.</t>
  </si>
  <si>
    <t>Zaitsev V.</t>
  </si>
  <si>
    <t>IMPROVEMENT OF POINTING ACCURACY AND POSITIONING UNIFORMITY IN AN ANTENNA ARRAY WITH DISCRETE PHASE-SHIFTERS.</t>
  </si>
  <si>
    <t>2-s2.0-0022282698</t>
  </si>
  <si>
    <t>['usw two', 'transmitter tuned', 'summing low', 'small size', 'retranslator transmitter', 'receiver tuned', 'multiple two', 'input part', 'high level', 'free movement', 'fairly light', 'equals 1', 'completely satisfied', 'channel receiver', 'active retranslation']</t>
  </si>
  <si>
    <t>To solve many industrial problems, particularly, when operating and repairing hydroelectric power stations, it is necessary to ensure operational communications over relatively short distances between workers when there is a high level of noise and the possibility of free movement. These conditions are most completely satisfied by a USW two-way radio communications system that is both fairly light and of small size. We developed, designed and constructed a multiple two-way radio communications system with active retranslation. This system, apart from the retranslator, has n mobile radio stations, each of which contains a transmitter at a frequency f//i (i equals 1, 2, . . . , n) and a receiver tuned to the frequency f//r of the retranslator transmitter. The active retranslator contains a transmitter tuned to the frequency f//r and an n-channel receiver with frequencies f//i of the channels (i equals 1, 2, . . . , n) with a common broadband antenna and an input part and a summing low-frequency amplifier whose output signal is retranslated by the transmitter tuned to the frequency f//r.</t>
  </si>
  <si>
    <t>64-65</t>
  </si>
  <si>
    <t>6507846353;6508309732</t>
  </si>
  <si>
    <t>Hanousek, K.;Ricny, V.</t>
  </si>
  <si>
    <t>Hanousek K.</t>
  </si>
  <si>
    <t>INDUSTRIAL MULTIPLE TWO-WAY RADIO COMMUNICATIONS SYSTEM.</t>
  </si>
  <si>
    <t>2-s2.0-0022283034</t>
  </si>
  <si>
    <t>['periodic antenna', 'inductance transformers']</t>
  </si>
  <si>
    <t>We consider a log-periodic antenna in which the dipoles are coupled to the distribution line using coupled-inductance transformers. We present numerical results which are indicative of stable operating regions for this antenna.</t>
  </si>
  <si>
    <t>7003580445;6505731465</t>
  </si>
  <si>
    <t>Yatskevich, V. A.;Lyakhova, I. P.</t>
  </si>
  <si>
    <t>Yatskevich V.</t>
  </si>
  <si>
    <t>COUPLED-INDUCTANCE LOG-PERIODIC ANTENNA.</t>
  </si>
  <si>
    <t>2-s2.0-0022283035</t>
  </si>
  <si>
    <t>['state generators', 'scaled models', 'resonator solid', 'oscillatory systems', 'oscillatory system', 'experimental investigation', 'equivalent circuit', 'coupling element']</t>
  </si>
  <si>
    <t>The results of an experimental investigation of scaled models of the oscillatory systems of open-resonator solid-state generators are presented. It is shown that it is possible to use microstrip antennas as the coupling element between the diodes and the resonator. An equivalent circuit of the oscillatory system is proposed and recommendations are made on the design of such generators.</t>
  </si>
  <si>
    <t>46-51</t>
  </si>
  <si>
    <t>6603540658;6602483078;7006957894</t>
  </si>
  <si>
    <t>Kotserzhinskii, B. A.;Pershin, N. A.;Taranenko, V. P.</t>
  </si>
  <si>
    <t>Kotserzhinskii B.</t>
  </si>
  <si>
    <t>EXPERIMENTAL INVESTIGATION AND MODELING OF THE OSCILLATORY SYSTEMS OPEN-RESONATOR SOLID-STATE GENERATORS.</t>
  </si>
  <si>
    <t>2-s2.0-0022283071</t>
  </si>
  <si>
    <t>['two conductors', 'specified longitudinal', 'rigorous expression', 'proposed theory', 'particular cases', 'mutual impedance', 'magnetic fields', 'fourier integrals', 'fft algorithm', 'electrodynamic theory', 'current distribution', 'coupled conductors', 'calculated results']</t>
  </si>
  <si>
    <t>An electrodynamic theory of the coupling between narrow straight conductors on a common dielectric layer with a shield is discussed. A rigorous expression is derived for the mutual impedance of two conductors with a specified longitudinal-current distribution, with consideration of both the electric and magnetic fields in the dielectric and above it. Use of an FFT algorithm is proposed for evaluation of the Fourier integrals. Particular cases of the geometry of the coupled conductors are considered. Calculated results are presented. The proposed theory can be used in the development of volume and planar microwave integrated circuits and printed antenna arrays.</t>
  </si>
  <si>
    <t>7801313236;7102391650;6506909173</t>
  </si>
  <si>
    <t>Charplin, A. F.;Mikhailov, M. Yu;Yashchishin, E. M.</t>
  </si>
  <si>
    <t>Charplin A.</t>
  </si>
  <si>
    <t>ELECTRODYNAMIC THEORY OF CROSS COUPLING BETWEEN SEGMENTS OF AN ASYMMETRIC STRIP LINE.</t>
  </si>
  <si>
    <t>2-s2.0-0022283149</t>
  </si>
  <si>
    <t>['radiating linearly', 'polarization characteristics', 'orthogonal components', 'dielectric substrate', 'depolarizing properties']</t>
  </si>
  <si>
    <t>Expressions are obtained for calculating the polarization characteristics of rectangular and circular microstrip antennas, radiating linearly and circularly polarized radiation. The contribution of the orthogonal components of the currents in the antenna and the depolarizing properties of the dielectric substrate are determined.</t>
  </si>
  <si>
    <t>59-63</t>
  </si>
  <si>
    <t>Panchenko, B. A.</t>
  </si>
  <si>
    <t>Panchenko B.</t>
  </si>
  <si>
    <t>POLARIZATION CHARACTERISTICS OF MICROSTRIP ANTENNAS.</t>
  </si>
  <si>
    <t>2-s2.0-0022289438</t>
  </si>
  <si>
    <t>[]</t>
  </si>
  <si>
    <t>Expressions are obtained for calculating the inductance of an electrically small loop antenna in a homogeneous magnetoactive plasma when the plane of the loop is perpendicular to the direction of the external magnetic field.</t>
  </si>
  <si>
    <t>99-103</t>
  </si>
  <si>
    <t>6603779009;6603276155;6701398779;6602991222</t>
  </si>
  <si>
    <t>Akindinov, V. V.;Yeremin, S. M.;Lishin, I. V.;Sorokina, R. K.</t>
  </si>
  <si>
    <t>INDUCTANCE OF A LOOP ANTENNA IN A HOMOGENEOUS MAGNETOACTIVE PLASMA.</t>
  </si>
  <si>
    <t>2-s2.0-0022290073</t>
  </si>
  <si>
    <t>['thereby ionized', 'rapid ionization', 'power lines', 'particular protection', 'nuclear explosion', 'gamma radiation', 'existing risk', 'energy released', 'emp protection', 'electromagnetic pulse']</t>
  </si>
  <si>
    <t>Part of the energy released by a nuclear explosion is emitted as gamma radiation. Of this gamma radiation, some is absorbed by the surroundings, which are thereby ionized. Through this rapid ionization an electromagnetic pulse is generated. EMP can be picked up in antennas, e. g. cables and wires, power lines, etc. When EMP is picked up by such antennas, any electronic equipment connected will be influenced by the pulse, and if the equipment has no particular protection, it will be ruined or, at best, damaged. How EMP protection should be undertaken, and to what extent, depends on an evaluation of the existing risk and on the protection philosophy adopted by the organization. It is pointed out that effective EMP protection presupposes that these problems are allowed for in connection with planning, implementation and training.</t>
  </si>
  <si>
    <t>62-69</t>
  </si>
  <si>
    <t>Teleteknik (English Edition)</t>
  </si>
  <si>
    <t>100688874;100688874</t>
  </si>
  <si>
    <t>6507110398;6505714566</t>
  </si>
  <si>
    <t>Degenkolw, K. S.;Stenderup-Larsen, J.</t>
  </si>
  <si>
    <t>Kobenhavn</t>
  </si>
  <si>
    <t>Post &amp; Telegraph Office</t>
  </si>
  <si>
    <t>Degenkolw K.S.</t>
  </si>
  <si>
    <t>ELECTROMAGNETIC PULSE EMP.</t>
  </si>
  <si>
    <t>2-s2.0-0022304016</t>
  </si>
  <si>
    <t>['two types', 'transformation efficiencies', 'rectangular waveguide', 'radiation fields', 'parabolic reflector', 'parabolic one', 'mode converter', 'huygens principle', 'geometrical optics']</t>
  </si>
  <si>
    <t>In this paper, the transformation efficiencies of polarization and radiation fields of the two types of antennas are calculated by means of geometrical optics and the Kirchhoff-Huygens principle. Then we propose a mode converter, in which the output of this type of parabolic reflector is led to a rectangular waveguide and transformed into TE//1//0 mode. In addition, another reflector antenna is proposed which focuses the wave beam using an elliptic cylinder reflector and a parabolic one.</t>
  </si>
  <si>
    <t>213-220</t>
  </si>
  <si>
    <t>7202475139;56293616300</t>
  </si>
  <si>
    <t>Wada, Osami;Nakajima, Masamitsu</t>
  </si>
  <si>
    <t>Wada O.</t>
  </si>
  <si>
    <t>REFLECTOR ANTENNAS FOR ELECTRON CYCLOTRON RESONANCE HEATING OF FUSION PLASMA.</t>
  </si>
  <si>
    <t>2-s2.0-0022304821</t>
  </si>
  <si>
    <t>['theoretical results', 'susceptance developed', 'rectangular antenna', 'input impedance', 'different forms', 'different condition']</t>
  </si>
  <si>
    <t>A study of input impedance of a rectangular antenna has been carried out using a transmission line model. Different forms of susceptance developed by some researchers were used. The theoretical results were compared with measured results obtained by Y. T. Lo et al. A correction factor suggested by Carver et al. was used but with a different condition.</t>
  </si>
  <si>
    <t>57-64</t>
  </si>
  <si>
    <t>Modelling, Measurement and Control A</t>
  </si>
  <si>
    <t>Atex, Kais A.</t>
  </si>
  <si>
    <t>Atex K.</t>
  </si>
  <si>
    <t>COMPARATIVE STUDY OF THE INPUT IMPEDANCE CALCULATION OF A RECTANGULAR MICROSTRIP ANTENNA.</t>
  </si>
  <si>
    <t>2-s2.0-0022307158</t>
  </si>
  <si>
    <t>['moment method', 'input impedances', 'geometrical theory', 'galerkin procedure', 'element array', 'computational efficiency', 'choice besides', 'calculated using', 'array geometry', 'array elements']</t>
  </si>
  <si>
    <t>Analysis is made for a uniform linear antenna array parallel to a finite perfectly conducting plane, using the moment method/geometrical theory of diffraction (MM/GTD) technique. Piecewise sinusoidal expansion and testing functions per dipole are used in a Galerkin procedure. This choice besides its computational efficiency and rapid convergence makes the analysis more general. The diffracted field components are calculated using the equivalent current method. Both electric and magnetic edge currents are, in general, required to find the total diffracted field. Numerical examples describing the behavior of variation of the input impedances of the array elements with the array geometry are given for a 3- element array.</t>
  </si>
  <si>
    <t>33-48</t>
  </si>
  <si>
    <t>60000617;60000617</t>
  </si>
  <si>
    <t>35936069800;7007026826</t>
  </si>
  <si>
    <t>Ibrahim, Hosny M.;El-Sayed, El Deek M.</t>
  </si>
  <si>
    <t>Assiut</t>
  </si>
  <si>
    <t>Assiut University</t>
  </si>
  <si>
    <t>Ibrahim H.</t>
  </si>
  <si>
    <t>ANALYSIS OF UNIFORM LINEAR ANTENNA ARRAY PARALLEL TO A FINITE PERFECTLY CONDUCTING PLANE.</t>
  </si>
  <si>
    <t>2-s2.0-0022308613</t>
  </si>
  <si>
    <t>1085-1096</t>
  </si>
  <si>
    <t>6507158435;7006723069</t>
  </si>
  <si>
    <t>Misyura, N. N.;Sologub, V. G.</t>
  </si>
  <si>
    <t>Misyura N.N.</t>
  </si>
  <si>
    <t>Scattering of a dipole field by two coaxial segments of finite length circular waveguide</t>
  </si>
  <si>
    <t>10.1007/BF01034168</t>
  </si>
  <si>
    <t>2-s2.0-0022315083</t>
  </si>
  <si>
    <t>['spiral windings', 'spiral antenna', 'radiating lines', 'point sources', 'give simple', 'fire array', 'broadside array', 'band theory']</t>
  </si>
  <si>
    <t>A symmetrically excited archimedean spiral antenna is discussed. The literature still owes us a comprehensive theoretical analysis of the spiral antenna and thus the design of a spiral antenna is difficult. In this paper, Burdine's Band Theory was further developed and the antenna geometrically analyzed to give simple and accurate design equations. The spiral windings are represented by radiating lines which, at any arbitrary radial plane, can be represented by point sources, their resultant array depending on the method of excitation: ens-fire array, or broadside array. From the point source model, the typical antenna parameters can be determined.</t>
  </si>
  <si>
    <t>329-344</t>
  </si>
  <si>
    <t>Acta Technica (Budapest)</t>
  </si>
  <si>
    <t>Kapor, J.</t>
  </si>
  <si>
    <t>Kapor J.</t>
  </si>
  <si>
    <t>SYMMETRICALLY EXCITED ARCHIMEDEAN TWO-WIRE SPIRAL ANTENNA.</t>
  </si>
  <si>
    <t>2-s2.0-0022315392</t>
  </si>
  <si>
    <t>['good agreement', 'cutoff cavity', 'basic characteristics', 'antennas radiating']</t>
  </si>
  <si>
    <t>Basic characteristics of an aperture antenna attached to a cutoff cavity for ICRF plasma heating are investigated. The analysis is performed for antennas radiating into semi-infinite free space rather than a magnetoplasma. Good agreement between theory and experiment is observed, indicating the validity of the analysis.</t>
  </si>
  <si>
    <t>199-205</t>
  </si>
  <si>
    <t>35598806700;56779495700</t>
  </si>
  <si>
    <t>Sawaya, Kunio;Adachi, Saburo</t>
  </si>
  <si>
    <t>Sawaya K.</t>
  </si>
  <si>
    <t>ANALYSIS OF APERTURE ANTENNA ATTACHED TO CUTOFF CAVITY FOR ICRF PLASMA HEATING.</t>
  </si>
  <si>
    <t>2-s2.0-0022319240</t>
  </si>
  <si>
    <t>['radiation characteristics', 'physical meaning', 'electrodynamic modeling', 'computational cost', 'basis functions', 'appropriate system']</t>
  </si>
  <si>
    <t>A system of basis functions, consisting of the eigenmodes of an isolated radiator computed with feed-line currents taken into consideration, is proposed for electrodynamic modeling of multidipole radiating systems. Using two working dipole designs as an example, we analyze the physical meaning of the eigenmodes and their role in generating the radiation characteristics. It is shown that going to an eigenmode basis reduces the computational cost of solving the appropriate system of equations.</t>
  </si>
  <si>
    <t>6506260574;6508289633</t>
  </si>
  <si>
    <t>Pesetskii, B. I.;Steriopolo, E. A.</t>
  </si>
  <si>
    <t>Pesetskii B.</t>
  </si>
  <si>
    <t>EIGENMODES OF DIPOLE RADIATORS.</t>
  </si>
  <si>
    <t>2-s2.0-0022321791</t>
  </si>
  <si>
    <t>['waveguide transition', 'tie antenna', 'series resistance', 'rf showed', 'mixer circuit', 'integrated bow', 'fabricated using', 'developed using', 'authors describe', '6 db', '30 ghz', '10 omega', '1 ghz', '025 pf']</t>
  </si>
  <si>
    <t>The authors describe a 30-GHz monolithic low-noise balanced mixer which has been developed using an integrated bow-tie antenna to waveguide transition and low parasitic Mott diodes. The diodes and mixer circuit were developed using MBE material and were fabricated using a plated airbridge technology. Measurements on the diode at dc and RF showed that the zero bias junction capacitance was 0. 025 pF and the series resistance was 10 OMEGA . A mixer conversion loss of 6 dB was measured at 30 Ghz with an IF of 1 GHz.</t>
  </si>
  <si>
    <t>60015623;60015623;60015623;60015623;60015623;60015623</t>
  </si>
  <si>
    <t>7201759790;7005340022;7401949847;35272616800;7003911338;7406998119</t>
  </si>
  <si>
    <t>Nightingale, Stephen J.;Upton, M. Alastair G.;Mitchell, Bruce K.;Mishra, Umesh K.;Palmateer, Susan C.;Smith, Phillip M.</t>
  </si>
  <si>
    <t>Boston</t>
  </si>
  <si>
    <t>General Electric Company</t>
  </si>
  <si>
    <t>30-GHZ MONOLITHIC SINGLE BALANCED MIXER WITH INTEGRATED DIPOLE RECEIVING ELEMENT.</t>
  </si>
  <si>
    <t>2-s2.0-0022324636</t>
  </si>
  <si>
    <t>['weather observations', 'ural mountains', 'test span', 'taganai station', 'high peaks', 'dense hoarfrost', 'crest zone']</t>
  </si>
  <si>
    <t>Described is a case of an exceptionally large deposit of dense hoarfrost with a mass of 86. 2 kg per running meter, which was noted during ice glaze surveying on the peak of Mt. Taganai. The deposit was measured on a test span and is the largest ice glaze deposit recorded in the USSR. Based on the results of the survey and also on evidence from weather observations of the Mt. Taganai station it is assumed that the values of the deposits of this order of magnitude in the crest zone of high peaks of Ural mountains can be observed once every several years.</t>
  </si>
  <si>
    <t>92-94</t>
  </si>
  <si>
    <t>6507446832;7201349517</t>
  </si>
  <si>
    <t>Podrezov, O. A.;Naumov, A. D.</t>
  </si>
  <si>
    <t>Podrezov O.</t>
  </si>
  <si>
    <t>EXCEPTIONAL CASE OF ICE GLAZE DEPOSIT IN CREST ZONE OF URAL MOUNTAINS.</t>
  </si>
  <si>
    <t>2-s2.0-0022328324</t>
  </si>
  <si>
    <t>['storage ring', 'shunt impedances', 'position limitations', 'mode impedances', 'instabilities driven', 'dangerous modes', 'beam intensity']</t>
  </si>
  <si>
    <t>The beam intensity of the DORIS e** plus - e- storage ring is limited to about 100 mA average circulation current as a result of instabilities driven by higher order RF cavity modes. Thus an investigation has been made of the higher order mode impedances of the DORIS RF accelerator cavities. These cavities are the same as the normally conducting inductively coupled 500 MHz 5-cell structures used in PETRA. The results of the investigation were applied for the construction of inductive and capacitive attenuation antennas corresponding to specific mode spectra and mode impedances. The antennas must fit into the existing 35 mm pick up flanges of the cavities, and in spite of these size and position limitations they must be efficient in reducing the shunt impedances of the dangerous modes.</t>
  </si>
  <si>
    <t>HIGHER ORDER MODE COUPLERS FOR NORMAL CONDUCTING DORIS 5-CELL CAVITIES.</t>
  </si>
  <si>
    <t>2-s2.0-0022334452</t>
  </si>
  <si>
    <t>['receiving antenna', 'radiometry model', 'microwave radiation', 'microwave power', 'may also', 'hyperthermia model', 'heat equation', 'displayed graphically', 'body radiation', 'biological body', 'abrupt change']</t>
  </si>
  <si>
    <t>Several computer programs based on the Bio-Heat Equation have been written to model the effect of microwave radiation on a biological body. For the hyperthermia model, the body is irradiated by an external microwave power source and the steady-state temperature distribution is calculated and displayed graphically. There may also be internal heat sources. The time-dependent temperature may be calculated for an abrupt change in microwave power. For the radiometry model, the microwave power source is replaced by a receiving antenna; the black-body radiation is calculated and converted into an apparent body temperature.</t>
  </si>
  <si>
    <t>510-527</t>
  </si>
  <si>
    <t>Ettenberg, M.</t>
  </si>
  <si>
    <t>City College of New York</t>
  </si>
  <si>
    <t>Ettenberg M.</t>
  </si>
  <si>
    <t>Microwave hyperthermia and radiometry: One-dimensional computer model</t>
  </si>
  <si>
    <t>2-s2.0-0022366373</t>
  </si>
  <si>
    <t>['worker bees', 'worker bee', 'whole volume', 'two types', 'synaptic fields', 'studied comparatively', 'sexual dimorphism', 'scattered throughout', 'one antenna', 'main results', 'internal structure', 'great majority', 'glomeruli indicated', 'glomerular organization', 'glomerular neuropil', 'glomerular invariance', 'functional unit', 'first relay', 'drone 103', 'distinguished according', 'cut end', 'cortical layer', 'cobalt chloride', 'cellular marking', 'association seemed', 'antennal lobe', 'afferent pathway', '5 drones', '4 large']</t>
  </si>
  <si>
    <t>Antennal lobes | Apis mellifera | Glomeruli | Invariant structures | Sexual dimorphism</t>
  </si>
  <si>
    <t>The topography of the antennal afferent path-ways was studied comparatively in the worker bee and the drone of Apis mellifera L. by cellular marking, following localized application of cobalt chloride to the cut end of one antenna. This study dealt principally with the first relay of the afferent pathway in the glomeruli of the antennal lobe. The counting and measurement of all the glomeruli were performed on 5 worker bees and 5 drones. An important sexual dimorphism, represented by 4 large and easily identifiable glomerular complexes, was demonstrated in the drone. In both worker bee and drone, four main regions of the glomerular neuropil were distinguished according to corresponding afferent bundles. The worker possessed 166 glomeruli and the drone 103. The number, position and dimensions of the glomeruli indicated that the glomerular organization was unvarying in worker bees and in drones. Concerning the internal structure of the glomeruli, two types were distinguished: the great majority (95%) exhibited a cortical layer, whereas in the 7 posterior glomeruli the synaptic fields of association seemed to be scattered throughout the whole volume. The main results of this work (glomerular invariance, sexual dimorphism) support the hypothesis of the functional unit of the glomeruli. ¬© 1985 Springer-Verlag.</t>
  </si>
  <si>
    <t>593-605</t>
  </si>
  <si>
    <t>60003274;60003274;60003274</t>
  </si>
  <si>
    <t>7202727363;7202664000;6504021262</t>
  </si>
  <si>
    <t>Arnold, G√©rard;Masson, Claudine;Budharugsa, Sati</t>
  </si>
  <si>
    <t>Versailles</t>
  </si>
  <si>
    <t>Centre de recherche √éle-de-France-Versailles - Grignon</t>
  </si>
  <si>
    <t>Arnold G.</t>
  </si>
  <si>
    <t>Comparative study of the antennal lobes and their afferent pathway in the worker bee and the drone (Apis mellifera)</t>
  </si>
  <si>
    <t>10.1007/BF00225425</t>
  </si>
  <si>
    <t>2-s2.0-0022401461</t>
  </si>
  <si>
    <t>['œºm colours', 'weaker 1', 'velocity separation', 'using radio', 'systematic oh', 'studied sources', 'sharp double', 'readily detected', 'previous samples', 'period variables', 'oh spectra', 'oh properties', 'new sources', 'microwave frequency', 'line surveys', 'line observations', 'limiting sensitivity', 'limited range', 'iras satellite5', 'infrared stars', 'infrared colours', 'galactic plane1', 'efficient method', 'colour temperatures', 'arecibo 305', '612 mhz', '60 œºm', '60 km', '6 );', '500 k', '40 well']</t>
  </si>
  <si>
    <t>Natural OH maser emission originates in the dusty circumstellar envelopes of highly evolved long-period variables and super-giant stars undergoing mass-loss. The OH spectra of such stars, at a microwave frequency of 1,612 MHz, are sharp double-peaked emission line profiles in which the two strongest features have a velocity separation of 5-60 km s-1. Their far infrared colours are typical of sources with colour temperatures below 500 K. Most of the 200 known OH/infrared stars were discovered in systematic OH-line surveys, at 1,612 MHz along the galactic plane1-4, generally using small antennae and having a limiting sensitivity of ‚àº 1 Jy. But 40 well-studied sources were readily detected with the IRAS satellite5 at 12, 25 and 60 Œºm and were characterized by a limited range of infrared colours. A more efficient method for detecting new OH/infrared stars is to begin with IRAS source positions, selected for appropriate infrared colours, and using radio-line observations to confirm the OH properties. We demonstrate the validity of this approach here, using the Arecibo 305 m radio-telescope to confirm the 1,612 MHz line observations of sources in IRAS Circulars 8 and 9 (ref. 6); our present observations identify 21 new OH/infrared stars. The new sources have weaker 1,612 MHz fluxes, bluer (60-25) Œºm colours and a smaller mean separation between the principal emission peaks than previous samples. ¬© 1985 Nature Publishing Group.</t>
  </si>
  <si>
    <t>200-202</t>
  </si>
  <si>
    <t>60071501;60005455;60019493</t>
  </si>
  <si>
    <t>7401868009;56209605500;7004686969</t>
  </si>
  <si>
    <t>Lewis, B. M.;Eder, J.;Terzian, Yervant</t>
  </si>
  <si>
    <t>Puerto Rico;United States;United States</t>
  </si>
  <si>
    <t>Arecibo;Ithaca;New Haven</t>
  </si>
  <si>
    <t>National Astronomy and Ionosphere Center Arecibo Observatory;National Astronomy and Ionosphere Center, New York;Yale University</t>
  </si>
  <si>
    <t>60071501;60019493;60005455</t>
  </si>
  <si>
    <t>Lewis B.M.</t>
  </si>
  <si>
    <t>Detection of OH radicals from IRAS sources</t>
  </si>
  <si>
    <t>10.1038/313200a0</t>
  </si>
  <si>
    <t>2-s2.0-0039084316</t>
  </si>
  <si>
    <t>['wave klystrons', 'sideband radiation', 'sideband power', 'sideband output', 'schottky diode', 'molecular laser', 'mixing radiation', 'michelson interferometer', 'magnitude better', 'lower efficiency', 'laser sidebands', 'laser radiation', 'laser power', 'infrared radiation', 'higher frequencies', 'generated far', 'easily seen', 'due primarily', 'detection techniques', 'conversion efficiency', 'barrier diode', 'absorption signals', 'absorption lines', '800 ghz', '762 ghz', '5 œºw', '4 mw', '22 mw', '1839 ghz', '100 nw', '0 œºw']</t>
  </si>
  <si>
    <t>Continuously tunable laser sidebands have been generated by mixing radiation from an optically pumped far infrared (FIR) molecular laser, operated at 693, 762, 1627, and 1839 GHz, with that from millimeter-wave klystrons in a Schottky-barrier diode. An enhancement in conversion efficiency over similar systems reported previously is obtained by using a Michelson interferometer to separate the sidebands from the carrier and by placing the Schottky diode in an open structure corner cube mount. With 4 mW of laser power at 693 and 762 GHz the sideband power was measured to be 3.0 ŒºW. This is at least an order of magnitude better than the previously reported results. At higher frequencies, 22 mW of 1627-GHz laser power produced about 2.5 ŒºW of sideband output, while 3mW of 1839-GHz laser power generated about 100 nW of sideband radiation. The lower efficiency at the higher frequencies is due primarily to the mismatch between the laser radiation and the fixed-length diode antenna. To demonstrate the tunability of the generated far-infrared radiation, the laser sidebands were swept through absorption lines of HDO and H2CO near 600 and 800 GHz. The absorption signals were easily seen, using either video or lock-in detection techniques.</t>
  </si>
  <si>
    <t>1763-1766</t>
  </si>
  <si>
    <t>60031581;60031581;60031581;60031581</t>
  </si>
  <si>
    <t>6602561998;7201558807;55915383100;7003852382</t>
  </si>
  <si>
    <t>Farhoomand, Jam;Blake, Geoffrey A.;Frerking, M. A.;Pickett, Herbert M.</t>
  </si>
  <si>
    <t>Farhoomand J.</t>
  </si>
  <si>
    <t>Generation of tunable laser sidebands in the far-infrared region</t>
  </si>
  <si>
    <t>10.1063/1.334454</t>
  </si>
  <si>
    <t>2-s2.0-0040158854</t>
  </si>
  <si>
    <t>['whereas merlin', 'six antennas', 'shorter spacings', 'scale structure', 'quasar 3c179', 'provide spacings', 'new mexico', 'new map', 'merlin provides', 'maps made', 'latest generation', 'large array', 'jodrell bank', 'individual arrays', 'first map', 'element radio', 'considerable improvement', 'complementary instruments', 'combining data', '846 ),', '36 km', '134 km']</t>
  </si>
  <si>
    <t>MERLIN1 (the Multi-Element Radio-Linked Interferometer Network) at Jodrell Bank and the VLA2 (the Very Large Array) in New Mexico are complementary instruments, representing the latest generation of aperture-synthesis radio telescopes; the VLA comprises 27 antennas, which, in the A-configuration, provide spacings of 0.6-36 km, whereas MERLIN is an array of six antennas with spacings of 6-134 km. Thus, MERLIN provides a factor of four greater resolution than VLA, whereas the shorter spacings of the latter provide essential information on large-scale structure. We present here the first map to be produced by combining data from MERLIN and the VLA. The new map, of the quasar 3C179 (redshift, z = 0.846), is a considerable improvement on maps made from the individual arrays and reveals greater detail, particularly in the quasar's jet, which seems to be splitting or disrupting. ¬© 1985 Nature Publishing Group.</t>
  </si>
  <si>
    <t>603-604</t>
  </si>
  <si>
    <t>60003771;60001754;60001754</t>
  </si>
  <si>
    <t>6603595275;6602194257;7004929291</t>
  </si>
  <si>
    <t>Shone, D. L.;Porcas, R. W.;Zensus, J. A.</t>
  </si>
  <si>
    <t>United Kingdom;Germany</t>
  </si>
  <si>
    <t>Manchester;Bonn</t>
  </si>
  <si>
    <t>The University of Manchester;Max Planck Institute for Radio Astronomy</t>
  </si>
  <si>
    <t>60003771;60001754</t>
  </si>
  <si>
    <t>Shone D.</t>
  </si>
  <si>
    <t>Combined MERLIN/VLA observations of the superluminal quasar 3C179</t>
  </si>
  <si>
    <t>10.1038/314603a0</t>
  </si>
  <si>
    <t>2-s2.0-0041926874</t>
  </si>
  <si>
    <t>['transition zone', 'three pure', 'spins 2', 'spin theories', 'spin composition', 'solar system', 'solar oscillations', 'relativistic gravity', 'predicted source', 'phase shift', 'observed oscillations', 'inner part', 'gravitational radiation', 'gravitational field', 'general relativity', 'dynamical character', 'direct measure', 'dicke theory', 'author investigates', 'approximately 10', '2 );', '1 ),']</t>
  </si>
  <si>
    <t>Observed oscillations of the sun with five to ten minute periods are a predicted source of gravitational radiation with a strain at the earth of approximately 10-26. In the transition zone (2 pi r approximately lambda ; inner part of the solar system) the dynamical character of the gravitational field emerges as a phase shift of the oscillatory tidal force relative to the phase of the solar oscillations. The phase shift is sensitive to the spin of the gravitational field, suggesting a test of the spin composition of relativistic gravity. The author investigates and compares the transition-zone phase shift for three pure-spin theories: Nordstrom's theory (a spin-0 theory), a vector theory analogous to electromagnetism (spin-1), and general relativity (spin-2); and for Jordan-Brans-Dicke theory in which gravity is a mixture of spins 2 and 0. The solar gravitational waves might be detectable, near the turn of the century, by optically linked gravitational antennae flown in space. Such detection would permit a direct measure of the spin composition of relativistic gravity.</t>
  </si>
  <si>
    <t>381-402</t>
  </si>
  <si>
    <t>Classical and Quantum Gravity</t>
  </si>
  <si>
    <t>Finn, L. S.</t>
  </si>
  <si>
    <t>Finn L.</t>
  </si>
  <si>
    <t>Gravitational waves from solar oscillations: Proposal for a transition-zone test of general relativity</t>
  </si>
  <si>
    <t>10.1088/0264-9381/2/3/014</t>
  </si>
  <si>
    <t>2-s2.0-0042191185</t>
  </si>
  <si>
    <t>['wave fields', 'valuable tools', 'unusual properties', 'simple formulas', 'sea water', 'sea bottom', 'radio communication', 'plane waves', 'new formulas', 'geophysical prospecting', 'geophysical application', 'expanded horizon', 'deep sounding', 'current theory', 'boundary surface', 'average conductivity', 'available measurements', 'antennas near']</t>
  </si>
  <si>
    <t>Electromagnetic surface waves can propagate along boundaries between electrically different media like air and earth or sea water and rock. They have unusual properties that make them valuable tools in geophysical prospecting and diagnostics. They are not suited to deep sounding. Much of the current theory for their geophysical application has been limited to ranges of the parameters and variables that permit the use of Norton's graphs which were developed for radio communication over the earth. A recently derived set of accurate, very general, and simple formulas for the surface-wave fields of antennas near a boundary surface has provided an expanded horizon for understanding and using surface waves as distinct from plane waves that travel down into the earth. The new formulas are given and used to assist in the interpretation of available measurements and then applied to the determination of the average conductivity and permittivity of the part of the lithosphere very close to the sea bottom where the lateral waves travel.</t>
  </si>
  <si>
    <t>3612-3624</t>
  </si>
  <si>
    <t>Electromagnetic surface waves: New formulas and their application to determine the electrical properties of the sea bottom</t>
  </si>
  <si>
    <t>10.1063/1.335739</t>
  </si>
  <si>
    <t>2-s2.0-0042212143</t>
  </si>
  <si>
    <t>['wire antennas', 'successful excitation', 'simultaneous measurement', 'relative efficiency', 'radio waves', 'radiated power', 'northern scandinavia', 'ionosphere waveguide', 'immediate vicinity', 'heating transmitters', 'first estimate', 'elf signals', 'elf frequency1', 'conventional long', 'amplitude modulated', '500 km', '5 khz', '270 mw']</t>
  </si>
  <si>
    <t>There have been many recent reports on the detection of extra-low-frequency (ELF) radio waves in the immediate vicinity of powerful ionospheric high-frequency (HF) heating transmitters which are amplitude modulated at the ELF frequency1-4. Results have also been presented which indicate that long path propagation (&gt;3,500 km) of ELF signals from such heating facilities may be possible5,6. However, no calibrations were provided with these measurements and it has thus not been possible to estimate the relative efficiency of these 'wireless' ELF generators compared with the more conventional long-wire antennas, although several theoretical estimates have been provided7-9. Results are presented here of the simultaneous measurement at Lycksele and Kiruna, northern Scandinavia, of the ELF signals radiated by the polar electrojet antenna located near Troms√∏. From these data, it has been possible to confirm the successful excitation of the Earth-ionosphere waveguide by the polar electrojet source and to make a first estimate of its radiated power - This is typically 1 W in the frequency range 1-1.5 kHz for HF effective radiated powers of 270 MW. ¬© 1985 Nature Publishing Group.</t>
  </si>
  <si>
    <t>155-157</t>
  </si>
  <si>
    <t>60016302;60017695;60017695;60017695;60017695</t>
  </si>
  <si>
    <t>57221296920;7005243495;6603039377;7005877450;7202799630</t>
  </si>
  <si>
    <t>Barr, R.;Rietveld, M. T.;Kopka, H.;Stubbe, P.;Nielsen, E.</t>
  </si>
  <si>
    <t>Germany;New Zealand</t>
  </si>
  <si>
    <t>Gottingen;</t>
  </si>
  <si>
    <t>Max Planck Institute for Solar System Research;New Zealand Department of Scientific and Industrial Research</t>
  </si>
  <si>
    <t>60017695;60016302</t>
  </si>
  <si>
    <t>Extra-low-frequency radiation from the polar electrojet antenna</t>
  </si>
  <si>
    <t>10.1038/317155a0</t>
  </si>
  <si>
    <t>2-s2.0-0042785618</t>
  </si>
  <si>
    <t>['wave coupling', 'total power', 'presented concentrating', 'plasma increases', 'first step', 'experimental results', 'design specification', 'brief description', '1 second']</t>
  </si>
  <si>
    <t>As a first step in the JET ICRF programme, two antenna generator units have been installed at JET and operated up to the design specification of 3 MW coupled in the Torus for 1 second. After a brief description of the system, the experimental results of wave coupling to the plasma and matching the plasma loaded antenna are discussed. The first heating results are presented concentrating on the analysis of a case where the total power to the plasma increases by a ratio of 2.5.</t>
  </si>
  <si>
    <t>1379-1390</t>
  </si>
  <si>
    <t>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t>
  </si>
  <si>
    <t>7005524697;57199165667;6507765800;7202591076;57224804682;7006933165;7003283433;6603936866;6603620704;57212335886;7404497658;22996356900;6504508537;6505930664;7004773970;22991444600;7003696773;7102792905;6602722340;9272131300;6602471891;7401824741;7004205984;7007064308;8624136400;7202218741;7404269925;57216097363;6602949949;7003385770;22967753200;57216046557;6603843404;7003379610;7402394752;6603142782;7101741406;6603867912;7005152182;6603919164;57201345596;7003802749;6701751243;7005377624;7202427847;57202148215;6603893101;7003483247;7103355564;57213037536</t>
  </si>
  <si>
    <t>Jacquinot, J.;Anderson, R.;Arbez, J.;Bartlett, D.;Beaumont, B.;Behringer, K.;Bertolini, E.;Bosia, G.;Brinkschulte, H.;Bures, M.;Campbell, D.;Christiansen, K.;Christodoulopoulos, C.;Claesen, R.;Cordey, J.;Corti, S.;Costley, A.;Cottrell, G.;Denne, B.;Evrard, M.;Gambier, D.;Green, B.;Grosso, G.;Huguet, M.;Jarvis, O. N.;Kaye, A.;Kimura, H.;Krause, H.;Lallia, P. P.;Lomas, P.;Magyar, G.;Mansfield, M.;Mast, K.;Mondino, P. L.;Morgan, P.;Plancoulaine, J.;O'Rourke, J.;Rebut, P. H.;Sadler, G.;Sand, F.;Schmid, M.;Segre, S.;Sibley, A.;Stamp, M.;Summers, D.;Thomsen, K.;Tanga, A.;Valisa, M.;Wade, T.;Walker, C.</t>
  </si>
  <si>
    <t>EFDA-JET</t>
  </si>
  <si>
    <t>Jacquinot J.</t>
  </si>
  <si>
    <t>Preliminary ICRF results from JET</t>
  </si>
  <si>
    <t>10.1088/0741-3335/27/12A/005</t>
  </si>
  <si>
    <t>2-s2.0-0342934059</t>
  </si>
  <si>
    <t>['points near', 'plane interface', 'field incident', 'etc .)']</t>
  </si>
  <si>
    <t>The components of the lateral-wave field generated by vertical and horizontal antennas near the plane interface between air and earth (soil, water, etc.) are determined at points near the surface in air and at all points in the earth. This is the field incident on and scattered from inhomogeneities and objects in the earth.</t>
  </si>
  <si>
    <t>1453-1459</t>
  </si>
  <si>
    <t>Scattering of lateral waves by buried or submerged objects. I. The incident lateral-wave field</t>
  </si>
  <si>
    <t>10.1063/1.334509</t>
  </si>
  <si>
    <t>2-s2.0-0343942185</t>
  </si>
  <si>
    <t>['wave increased', 'thin films', 'spatial resolution', 'spatial focusing', 'small regions', 'plastic support', 'optical probe', 'optic properties', 'nonlinear effects', 'new optical', 'ne laser', 'msfvw saturation', 'msfvw ).', 'msbvw gave', 'monotonic increase', 'metal loops', 'magnetostatic waves', 'magnetostatic surface', 'localized probing', 'linear regime', 'light modulation', 'launching antenna', 'investigate microwave', 'input power', 'induction probes', 'induction probe', 'focused light', 'examine rf', 'dispersion relations', 'dispersion relation', 'direct measure', 'backward volume', 'apparent form', 'amplitude profile', 'always occur', '45 mw', '4 ghz', '15 œºm', '100 œºm']</t>
  </si>
  <si>
    <t>New optical and induction probes have been developed and used to investigate microwave (1-4 GHz) magnetostatic waves (MSW) propagating in yttrium iron garnet (YIG) thin films (5-50 Œºm). The optical probe uses the magneto-optic properties of YIG, and light from a 45 mW, 1.15 Œºm He-Ne laser, to examine rf-magnetization of MSW. Focused light for localized probing has achieved a spatial resolution of 100 Œºm. The induction probe senses the rf magnetic field, which fringes from the surface of YIG thin films, with metal loops of either gold wire wrapped around a plastic support or aluminum photolithographically fabricated on glass. The highest spatial resolution was attained with 45-Œºm aluminum loops. The optical probe has been used to examine the amplitude of linear and nonlinear forward volume waves (MSFVW). Nonlinear effects are characterized by MSFVW saturation and then a decline as input power to the wave increased. Localized probing of nonlinear properties showed, that over small regions, a monotonic increase of light modulation with increasing microwave input power to MSFVW does not always occur. MSFVW in the linear regime were studied for evolution of the amplitude profile as it propagated from the launching antenna. Magnetostatic surface (MSSW) and backward volume (MSBVW) waves have been explored with the induction probe for amplitude and dispersion relation. In a uniform bias field, an apparent form of spatial focusing was exhibited by MSSW. Direct measure of wavelengths of MSSW and MSBVW gave the dispersion relations.</t>
  </si>
  <si>
    <t>3721-3723</t>
  </si>
  <si>
    <t>6507482903;23039501700</t>
  </si>
  <si>
    <t>Vlannes, Nickolas P.;Morgenthaler, Frederic R.</t>
  </si>
  <si>
    <t>Vlannes N.</t>
  </si>
  <si>
    <t>Examination of magnetostatic waves by new optical and induction probes</t>
  </si>
  <si>
    <t>10.1063/1.335002</t>
  </si>
  <si>
    <t>2-s2.0-11644298393</t>
  </si>
  <si>
    <t>['yala glacier', 'walking straight', 'walk straight', 'upper part', 'stream insects', 'slope direction', 'reduced wings', 'orientation mechanism', 'migrate toward', 'larvae grow', 'himalayan glacier', 'hand mirror', 'green algae', 'glacier midge', 'female adults', 'bacteria growing', 'apparent position']</t>
  </si>
  <si>
    <t>Orientation mechanism of the glacier midge (Chironomidae;Diamesa sp.) was studied in a Himalayan glacier (Yala glacier) in Nepal. This insect, a newly found cold tolerant chironomid characterized by reduced wings and antennae, is unable to fly, and is found on the surface of the glacier and in small cavities beneath it. The larvae grow in the melt-water drainage channels under the ice and feed on blue-green algae and bacteria growing there. The insect is the first to be found which spends its entire life cycle in the snow and ice of a glacier: the coldest insect habitat ever recorded. Female adults have a very long life span and migrate toward the upper part of the glacier by walking. They walk straight by means of a sun-compass; the direction of which could be altered by changing the apparent position of the sun with a hand mirror. Field data strongly suggested that the direction of their walk was corrected by some information on the slope direction. They seemed to assess the slope direction during walking straight by means of sun-compass. The migration is thought to be a kind of upstream migration well known in stream insects or that for over wintering. ¬© 1985 Japan Ethological Society.</t>
  </si>
  <si>
    <t>93-104</t>
  </si>
  <si>
    <t>Journal of Ethology</t>
  </si>
  <si>
    <t>Kohshima, Shiro</t>
  </si>
  <si>
    <t>Kohshima S.</t>
  </si>
  <si>
    <t>Migration of the Himalayan wingless glacier midge (Diamesa sp.): Slope direction assessment by sun-compassed straight walk</t>
  </si>
  <si>
    <t>10.1007/BF02350299</t>
  </si>
  <si>
    <t>2-s2.0-34250113964</t>
  </si>
  <si>
    <t>['tokamak plasma', 'radial profiles', 'power deposition', 'parameters corresponding', 'ordinary mode', 'mode via', 'mode ).', 'extraordinary mode', 'critical density']</t>
  </si>
  <si>
    <t>A method to apply electron cyclotron resonance heating (ECRH) to a Tokamak plasma with central density higher than the critical density for cut-off of the ordinary mode (O-mode) has been investigated. This method involves two mode conversions, from an O-mode via an extraordinary mode (X-mode) into an electron Bernstein mode (B-mode). Radial profiles for the power deposition and the wave-drive current due to the B-waves are calculated for realistic antenna radiation patterns with parameters corresponding to the Danish DANTE Tokamak and to Princeton's PLT.</t>
  </si>
  <si>
    <t>1077-1100</t>
  </si>
  <si>
    <t>60011373;60011373;60011373</t>
  </si>
  <si>
    <t>16197123100;6701862221;22972149000</t>
  </si>
  <si>
    <t>Hansen, F. R.;Lynov, J. P.;Michelsen, P.</t>
  </si>
  <si>
    <t>Lyngby</t>
  </si>
  <si>
    <t>Danmarks Tekniske Universitet</t>
  </si>
  <si>
    <t>Hansen F.</t>
  </si>
  <si>
    <t>The O-X-B mode conversion scheme for ECRH of a high-density Tokamak plasma</t>
  </si>
  <si>
    <t>10.1088/0741-3335/27/10/002</t>
  </si>
  <si>
    <t>2-s2.0-36149041235</t>
  </si>
  <si>
    <t>['wide range', 'successfully excited', 'power coupling', 'approximately 36', '20 mhz']</t>
  </si>
  <si>
    <t>A slow wave antenna has been designed to propagate Alfv√©n waves unidirectionally in the Texas Tech Tokamak. The antenna receives 30-kW rf pulses at 4-20 MHz, directly from a 50-Œ© transmission line, without matching circuitry. Unidirectional Alfv√©n waves are successfully excited in the tokamak over a wide range of frequencies. Power coupling is approximately 36% with a little higher coupling during excitation of a pronounced toroidal eigenmode.</t>
  </si>
  <si>
    <t>1151-1155</t>
  </si>
  <si>
    <t>Review of Scientific Instruments</t>
  </si>
  <si>
    <t>60021285;60021285;60021285;60021285;60021285</t>
  </si>
  <si>
    <t>7403241881;7004633655;23022791700;7103380578;22992067900</t>
  </si>
  <si>
    <t>Akiyama, H.;Gahl, J.;Rathbun, K.;Kristiansen, M.;Hagler, M.</t>
  </si>
  <si>
    <t>Lubbock</t>
  </si>
  <si>
    <t>Texas Tech University</t>
  </si>
  <si>
    <t>Akiyama H.</t>
  </si>
  <si>
    <t>Antenna for unidirectional propagation of fast Alfv√©n waves in a tokamak</t>
  </si>
  <si>
    <t>10.1063/1.1138020</t>
  </si>
  <si>
    <t>2-s2.0-36549102502</t>
  </si>
  <si>
    <t>['take account', 'squid voltage', 'paik transducer', 'noise properties', 'matching conditions', 'derive expressions', 'current noise', 'back action', '05 k']</t>
  </si>
  <si>
    <t>We show that it is possible to construct a quantum-limited gravitational wave antenna if it is operated at 0.05 K. We assume a dc SQUID readout of a Paik transducer. We take account of the correlations between the SQUID voltage and current noise and the SQUID dynamic impedance. We derive expressions for the back action of the SQUID on the antenna, for the noise properties of the system, and the sensitivity and matching conditions.</t>
  </si>
  <si>
    <t>1729-1733</t>
  </si>
  <si>
    <t>60007566;60007566</t>
  </si>
  <si>
    <t>22973817000;10640778500</t>
  </si>
  <si>
    <t>Xu, Bu Xing;Hamilton, W. O.</t>
  </si>
  <si>
    <t>Baton Rouge</t>
  </si>
  <si>
    <t>Louisiana State University</t>
  </si>
  <si>
    <t>Xu B.</t>
  </si>
  <si>
    <t>Analysis of dc SQUID readout for a gravity wave detector using an inductive transducer</t>
  </si>
  <si>
    <t>10.1063/1.334445</t>
  </si>
  <si>
    <t>2-s2.0-36549102913</t>
  </si>
  <si>
    <t>['unloaded q', 'two electrodes', 'superconducting cavity', 'short time', 'set inside', 'previous works', 'output pulse', 'output circuit', 'density plasmas', 'cw microwave', 'apparatus may', '868 ghz', '350 times', '17 œºsec']</t>
  </si>
  <si>
    <t>Microwave energy stored in a superconducting cavity is released to an output circuit in a short time by a gas discharge switch which is different from previous works. Output pulse of 350 times the input cw power fed to the cavity is obtained. A cw microwave is incident on a superconducting lead cavity of TE011 cylindrical mode with resonant frequency 2.868 GHz and unloaded Q of 3.8√ó106. A small semicircular glass tube with two electrodes and with rarefied helium gas is set inside the cavity. Pulsed discharge current of the order of 100 A and time width 0.4 Œºsec produces high-density plasmas which may be equivalent to a metal loop antenna. Large microwave output pulses of time width 0.17 Œºsec are produced. It is suggested that the apparatus may be extended to millimeter microwave pulse production.</t>
  </si>
  <si>
    <t>105-109</t>
  </si>
  <si>
    <t>60031126;60031126;60031126;60031126</t>
  </si>
  <si>
    <t>57196700309;57101405100;7202259995;7006936566</t>
  </si>
  <si>
    <t>Kobayashi, Osamu;Minami, Kazuo;Saeki, Koshiro;Awano, Mitsuru</t>
  </si>
  <si>
    <t>Kobayashi O.</t>
  </si>
  <si>
    <t>Extraction of microwave pulses from a superconducting cavity by gas discharge switch</t>
  </si>
  <si>
    <t>10.1063/1.335381</t>
  </si>
  <si>
    <t>2-s2.0-36549104034</t>
  </si>
  <si>
    <t>['third issues', 'standard proof', 'receive patterns', 'microwave antennas', 'love points', 'important point', '1983 )].']</t>
  </si>
  <si>
    <t>A. W. Love points out three alleged errors in our paper [J. Appl. Phys. 54, 3528 (1983)]. We agree that he is correct with regard to the second and third issues, but the first and perhaps most important point is correct. This regards the inequality of transmit and receive patterns of microwave antennas. The standard proof of equality of the patterns, cited by A. W. Love, is shown to be incorrect.</t>
  </si>
  <si>
    <t>Richter, John L.</t>
  </si>
  <si>
    <t>Los Alamos</t>
  </si>
  <si>
    <t>Los Alamos National Laboratory</t>
  </si>
  <si>
    <t>Richter J.</t>
  </si>
  <si>
    <t>Reply to "comment on 'Transmit versus receive gains for microwave dish antennas' [J. Appl. Phys. 54, 3528 (1983)] "</t>
  </si>
  <si>
    <t>10.1063/1.335866</t>
  </si>
  <si>
    <t>2-s2.0-36549104299</t>
  </si>
  <si>
    <t>114-115</t>
  </si>
  <si>
    <t>Rycroft, M. J.</t>
  </si>
  <si>
    <t>British Antarctic Survey</t>
  </si>
  <si>
    <t>Rycroft M.</t>
  </si>
  <si>
    <t>Ionospheric physics: How to make a long antenna</t>
  </si>
  <si>
    <t>10.1038/317114a0</t>
  </si>
  <si>
    <t>2-s2.0-36849163354</t>
  </si>
  <si>
    <t>['¬© 1986', 'quantum yield', 'polymer gels', 'high flexibility', 'gels based', 'fluorescent characteristics', 'fluorescence increases', 'fluorescence due', 'dye molecules', 'different content', 'aqueous phase']</t>
  </si>
  <si>
    <t>The authors have investigated the spectral and fluorescent characteristics of polymer gels with a different content of chemically bound zinc tetrachloromethylphthalocyanin. In gels based on poly-4-vinylpyridine heavy quenching of fluorescence due to the association of the dye molecules is found. It has been established that in gels based on polyethyleneimine, the molecules of which are distinguished by high flexibility, the degree of association of the dye is less and the quantum yield of fluorescence increases. Unlike all previously studied systems of such a kind, in gels based on polyethyleneimine the spectral and fluorescent characteristics of the dye do not worsen on transfer of the system to the aqueous phase and dimethylformamide so that they can be used as models of the light collecting antennae of natural photosynthetic systems. ¬© 1986.</t>
  </si>
  <si>
    <t>645-650</t>
  </si>
  <si>
    <t>Biophysics</t>
  </si>
  <si>
    <t>60007457-60069967;60007457-60069967;60007457-60069967;60007457-60069967;60007457-60069967</t>
  </si>
  <si>
    <t>6603456357;7006380942;7003798126;24289835500;6506194553</t>
  </si>
  <si>
    <t>Pshezhetskii, V. S.;Lebedeva, T. S.;Yaroslavov, A. A.;Luk'yanets, Ye A.;Gal'pern, M. G.</t>
  </si>
  <si>
    <t>Scientific-Research Institute of Organic Intermediates and Dyes;Lomonosov Moscow State University</t>
  </si>
  <si>
    <t>60069967;60007457</t>
  </si>
  <si>
    <t>Pshezhetskii V.</t>
  </si>
  <si>
    <t>Polymer gels containing covalently bound zinc phthalocyanin as models of light collecting systems in photosynthesis</t>
  </si>
  <si>
    <t>2-s2.0-46549100229</t>
  </si>
  <si>
    <t>['¬© 1986', 'resonance transfer', 'reaction centre', 'photosynthetic unit', 'minor form', 'jump mechanism', 'globular model', 'excitation energy', 'energy migration', 'energy levels', 'contradictory nature', 'collecting antenna', 'charge transfer', 'bacterial photosynthesis', 'authors discuss']</t>
  </si>
  <si>
    <t>On the basis of a globular model of the structure of the photosynthetic unit the authors discuss the mechanism of transfer of the excitation energy from the light-collecting antenna to the reaction centre in bacterial photosynthesis. The scheme of the energy levels of the states of the antenna is defined with evaluation of time during which excitation is localized on bacteriochlorophyll of the minor form (1¬∑5 psec &lt; œÑ1 &lt; 10 psec). Reference is made to the contradictory nature of the concepts of inductive-resonance transfer of the excitation energy to the reaction centre and the jump mechanism of energy migration over the states with charge transfer is proposed. ¬© 1986.</t>
  </si>
  <si>
    <t>664-667</t>
  </si>
  <si>
    <t>105928612-60007457;105928612-60007457;105928612-60007457</t>
  </si>
  <si>
    <t>7003564034;6603794637;6602117106</t>
  </si>
  <si>
    <t>Valkunas, L. L.;Razjivin, A. P.;Trinkunas, G. P.</t>
  </si>
  <si>
    <t>Moscow;</t>
  </si>
  <si>
    <t>Lomonosov Moscow State University;Lit.S.S.R. Academy of Sciences</t>
  </si>
  <si>
    <t>60007457;105928612</t>
  </si>
  <si>
    <t>Valkunas L.</t>
  </si>
  <si>
    <t>Mechanism of the interaction of bacteriochlorophyll of minor form with the bacteriochlorophyll of the antenna and the reaction centre during photosynthesis</t>
  </si>
  <si>
    <t>2-s2.0-46549103827</t>
  </si>
  <si>
    <t>['synthetic aperture', 'radar position', 'look direction', 'illuminated spot', 'flight along', 'elevation ),', 'doppler information', 'azimuth direction', 'antenna beamwidth']</t>
  </si>
  <si>
    <t>In a real aperture radar, the geometric resolution across the look direction is given by the illuminated spot on ground. The spot size depends on the antenna beamwidth and the radar position above ground. The principle of synthetic aperture is applied in azimuth, while in range (elevation), the principle of a side looking system is used. All elements of the line NF remain in the antenna beamwidth during the radar's flight along the length of synthetic aperture. In azimuth direction, these elements are identified by doppler information.</t>
  </si>
  <si>
    <t>Mitteilung - Deutsche Forschungs- und Versuchsanstalt fuer Luft- und Raumfahrt</t>
  </si>
  <si>
    <t>Oettl, H.</t>
  </si>
  <si>
    <t>¬†Cologne</t>
  </si>
  <si>
    <t>Deutsches Zentrum fur Luft- Und Raumfahrt</t>
  </si>
  <si>
    <t>Oettl H.</t>
  </si>
  <si>
    <t>PRINCIPLE OF SAR AND X-SAR PERFORMANCE. THE X-SAR/SIR-C MISSION. SOME REMARKS CONCERNING ORGANIZATION ASPECTS.</t>
  </si>
  <si>
    <t>2-s2.0-0022419623</t>
  </si>
  <si>
    <t>['segmented urosomes', 'segmented rami', 'resembles pseudocyclopia', 'paracyclopia naessi', 'new order', 'new copepods', 'gymnoplean lineage', 'francis group', 'erebonectes nesioticus', 'different setation', 'calanoida within', 'antrisocopia prehensilis', '5th legs', '1st legs']</t>
  </si>
  <si>
    <t>The new copepods were taken in inland marine caves. Erebonectes nesioticus is a calanoid and considered to belong to the Epacteriscidae and characterized by a 27-segmented 1st antenna of the female, essentially unmodified mouthparts and 3-segmented rami of all legs of both sexes, however, with strongly modified exopods of the 5th legs of the male. Paracyclopia naessi is a calanoid and belongs to the Pseudocyclopiidae and resembles Pseudocyclopia, but has 24-segmented 1st antennae of the female, a different setation of the endopods of the 1st legs, and simple uniramous 5th legs of the male. Antrisocopia prehensilis is a platycopiid with geniculate 1st antennae on both sides of the male, with both sexes having essentially similar 5th legs and 5-segmented urosomes. Platycopia and Antrisocopia are considered to represent a new order, the Platycopioida, separate from the Calanoida within the gymnoplean lineage. Antrisocopia and Erebonectes can be regarded as ‚Äòliving fossils,‚Äô and it is possible that specific caves serve as refugia for rare or less competitive species. ¬© 1985 Taylor and Francis Group, LLC.</t>
  </si>
  <si>
    <t>345-358</t>
  </si>
  <si>
    <t>Sarsia</t>
  </si>
  <si>
    <t>60029622;60072836</t>
  </si>
  <si>
    <t>6603621077;7003379168</t>
  </si>
  <si>
    <t>Fosshagen, Audun;Iliffe, Thomas M.</t>
  </si>
  <si>
    <t>Bermuda;Norway</t>
  </si>
  <si>
    <t>Saint George;Bergen</t>
  </si>
  <si>
    <t>Bermuda Institute of Ocean Sciences;Universitetet i Bergen</t>
  </si>
  <si>
    <t>60072836;60029622</t>
  </si>
  <si>
    <t>Fosshagen A.</t>
  </si>
  <si>
    <t>Two new genera of calanoida and a new order of copepoda, platycopioida, from Marine caves on Bermuda</t>
  </si>
  <si>
    <t>10.1080/00364827.1985.10419688</t>
  </si>
  <si>
    <t>2-s2.0-0001184377</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</si>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</sst>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18" fontId="0" fillId="0" borderId="0" xfId="0" applyNumberForma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1984"/>
      <sheetName val="1983"/>
      <sheetName val="1982"/>
      <sheetName val="1981"/>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4A48F-8709-AF49-A755-FA072C07BA3D}">
  <dimension ref="A1:AW189"/>
  <sheetViews>
    <sheetView tabSelected="1" topLeftCell="X1" workbookViewId="0">
      <selection activeCell="AO8" sqref="AO8"/>
    </sheetView>
  </sheetViews>
  <sheetFormatPr baseColWidth="10" defaultRowHeight="16" x14ac:dyDescent="0.2"/>
  <sheetData>
    <row r="1" spans="1:49" s="13" customFormat="1" x14ac:dyDescent="0.2">
      <c r="A1" s="16"/>
      <c r="B1" s="16" t="s">
        <v>2070</v>
      </c>
      <c r="C1" s="16" t="s">
        <v>2069</v>
      </c>
      <c r="D1" s="16" t="s">
        <v>2068</v>
      </c>
      <c r="E1" s="16" t="s">
        <v>2067</v>
      </c>
      <c r="F1" s="16" t="s">
        <v>2066</v>
      </c>
      <c r="G1" s="16" t="s">
        <v>2065</v>
      </c>
      <c r="H1" s="16" t="s">
        <v>2064</v>
      </c>
      <c r="I1" s="16" t="s">
        <v>2063</v>
      </c>
      <c r="J1" s="16" t="s">
        <v>2062</v>
      </c>
      <c r="K1" s="16" t="s">
        <v>2061</v>
      </c>
      <c r="L1" s="16" t="s">
        <v>2060</v>
      </c>
      <c r="M1" s="16" t="s">
        <v>2059</v>
      </c>
      <c r="N1" s="16" t="s">
        <v>2058</v>
      </c>
      <c r="O1" s="16" t="s">
        <v>2057</v>
      </c>
      <c r="P1" s="16" t="s">
        <v>2056</v>
      </c>
      <c r="Q1" s="16" t="s">
        <v>2055</v>
      </c>
      <c r="R1" s="21" t="s">
        <v>2054</v>
      </c>
      <c r="S1" s="16" t="s">
        <v>2053</v>
      </c>
      <c r="T1" s="16" t="s">
        <v>2053</v>
      </c>
      <c r="U1" s="16" t="s">
        <v>2052</v>
      </c>
      <c r="V1" s="21" t="s">
        <v>2051</v>
      </c>
      <c r="W1" s="16" t="s">
        <v>2050</v>
      </c>
      <c r="X1" s="15" t="s">
        <v>2049</v>
      </c>
      <c r="Y1" s="20" t="s">
        <v>2048</v>
      </c>
      <c r="Z1" s="19" t="s">
        <v>2033</v>
      </c>
      <c r="AA1" s="16" t="s">
        <v>2047</v>
      </c>
      <c r="AB1" s="16" t="s">
        <v>2046</v>
      </c>
      <c r="AC1" s="16" t="s">
        <v>2045</v>
      </c>
      <c r="AD1" s="16" t="s">
        <v>2044</v>
      </c>
      <c r="AE1" s="16" t="s">
        <v>2043</v>
      </c>
      <c r="AF1" s="16" t="s">
        <v>2042</v>
      </c>
      <c r="AG1" s="16" t="s">
        <v>2041</v>
      </c>
      <c r="AH1" s="16" t="s">
        <v>2040</v>
      </c>
      <c r="AI1" s="16" t="s">
        <v>2039</v>
      </c>
      <c r="AJ1" s="16" t="s">
        <v>2038</v>
      </c>
      <c r="AK1" s="15" t="s">
        <v>2037</v>
      </c>
      <c r="AL1" s="16" t="s">
        <v>2036</v>
      </c>
      <c r="AM1" s="18" t="s">
        <v>2035</v>
      </c>
      <c r="AN1" s="17" t="s">
        <v>2034</v>
      </c>
      <c r="AO1" s="17" t="s">
        <v>2033</v>
      </c>
      <c r="AP1" s="16" t="s">
        <v>2032</v>
      </c>
      <c r="AQ1" s="16" t="s">
        <v>2031</v>
      </c>
      <c r="AR1" s="16" t="s">
        <v>2030</v>
      </c>
      <c r="AS1" s="16" t="s">
        <v>2029</v>
      </c>
      <c r="AT1" s="15" t="s">
        <v>2028</v>
      </c>
      <c r="AU1" s="14" t="s">
        <v>2027</v>
      </c>
      <c r="AV1" s="14" t="s">
        <v>2026</v>
      </c>
      <c r="AW1" s="14" t="s">
        <v>2025</v>
      </c>
    </row>
    <row r="2" spans="1:49" x14ac:dyDescent="0.2">
      <c r="A2">
        <v>0</v>
      </c>
      <c r="B2" t="s">
        <v>2024</v>
      </c>
      <c r="C2" t="s">
        <v>2023</v>
      </c>
      <c r="F2" t="s">
        <v>2022</v>
      </c>
      <c r="G2" t="s">
        <v>3</v>
      </c>
      <c r="H2" t="s">
        <v>2</v>
      </c>
      <c r="I2" t="s">
        <v>2021</v>
      </c>
      <c r="J2" t="s">
        <v>2020</v>
      </c>
      <c r="K2" t="s">
        <v>2019</v>
      </c>
      <c r="L2" t="s">
        <v>2018</v>
      </c>
      <c r="M2" t="s">
        <v>2017</v>
      </c>
      <c r="N2">
        <v>2</v>
      </c>
      <c r="O2" t="s">
        <v>2016</v>
      </c>
      <c r="P2" t="s">
        <v>2015</v>
      </c>
      <c r="Q2" t="s">
        <v>2014</v>
      </c>
      <c r="R2" s="7">
        <v>31411</v>
      </c>
      <c r="S2" s="8">
        <f t="shared" ref="S2:S65" si="0">YEAR(R2)</f>
        <v>1985</v>
      </c>
      <c r="T2" s="8">
        <v>1985</v>
      </c>
      <c r="U2" s="8">
        <f t="shared" ref="U2:U65" si="1">2022-T2</f>
        <v>37</v>
      </c>
      <c r="V2" s="7">
        <v>31411</v>
      </c>
      <c r="W2" t="s">
        <v>2013</v>
      </c>
      <c r="X2" s="2" t="s">
        <v>4</v>
      </c>
      <c r="Y2" s="6" t="e">
        <f t="shared" ref="Y2:Y65" si="2">(X2-$Z$4)/($Z$3-$Z$4)</f>
        <v>#VALUE!</v>
      </c>
      <c r="AA2">
        <v>364827</v>
      </c>
      <c r="AB2">
        <v>13626</v>
      </c>
      <c r="AD2" t="s">
        <v>1</v>
      </c>
      <c r="AE2">
        <v>70</v>
      </c>
      <c r="AF2">
        <v>4</v>
      </c>
      <c r="AH2" t="s">
        <v>2012</v>
      </c>
      <c r="AI2" t="s">
        <v>2011</v>
      </c>
      <c r="AK2" t="s">
        <v>2010</v>
      </c>
      <c r="AL2">
        <v>43</v>
      </c>
      <c r="AM2" s="5">
        <f t="shared" ref="AM2:AM65" si="3">AL2/U2</f>
        <v>1.1621621621621621</v>
      </c>
      <c r="AN2" s="4">
        <f t="shared" ref="AN2:AN65" si="4">(AM2-$AO$4)/($AO$3-$AO$4)</f>
        <v>1.7601850241002076E-3</v>
      </c>
      <c r="AO2" s="3"/>
      <c r="AP2">
        <v>0</v>
      </c>
      <c r="AR2" t="s">
        <v>0</v>
      </c>
      <c r="AT2" s="2" t="s">
        <v>4</v>
      </c>
      <c r="AU2" s="1" t="e">
        <f t="shared" ref="AU2:AU65" si="5">(Y2*0.7+AN2*0.3)*100</f>
        <v>#VALUE!</v>
      </c>
      <c r="AV2" s="1" t="e">
        <f t="shared" ref="AV2:AV65" si="6">(Y2*0.5+AN2*0.5)*100</f>
        <v>#VALUE!</v>
      </c>
      <c r="AW2" s="1" t="e">
        <f t="shared" ref="AW2:AW65" si="7">(Y2*0.3+AN2*0.7)*100</f>
        <v>#VALUE!</v>
      </c>
    </row>
    <row r="3" spans="1:49" x14ac:dyDescent="0.2">
      <c r="A3">
        <v>1</v>
      </c>
      <c r="B3" t="s">
        <v>2009</v>
      </c>
      <c r="F3" t="s">
        <v>2008</v>
      </c>
      <c r="G3" t="s">
        <v>3</v>
      </c>
      <c r="H3" t="s">
        <v>2</v>
      </c>
      <c r="I3" t="s">
        <v>2007</v>
      </c>
      <c r="J3">
        <v>60007798</v>
      </c>
      <c r="K3" t="s">
        <v>2006</v>
      </c>
      <c r="L3" t="s">
        <v>2005</v>
      </c>
      <c r="M3" t="s">
        <v>10</v>
      </c>
      <c r="N3">
        <v>1</v>
      </c>
      <c r="O3" t="s">
        <v>2004</v>
      </c>
      <c r="P3">
        <v>6602819792</v>
      </c>
      <c r="Q3">
        <v>60007798</v>
      </c>
      <c r="R3" s="7">
        <v>31386</v>
      </c>
      <c r="S3" s="8">
        <f t="shared" si="0"/>
        <v>1985</v>
      </c>
      <c r="T3" s="8">
        <v>1985</v>
      </c>
      <c r="U3" s="8">
        <f t="shared" si="1"/>
        <v>37</v>
      </c>
      <c r="V3" s="7">
        <v>31386</v>
      </c>
      <c r="W3" t="s">
        <v>2003</v>
      </c>
      <c r="X3" s="2" t="s">
        <v>4</v>
      </c>
      <c r="Y3" s="6" t="e">
        <f t="shared" si="2"/>
        <v>#VALUE!</v>
      </c>
      <c r="Z3">
        <v>37.460999999999999</v>
      </c>
      <c r="AB3">
        <v>31674</v>
      </c>
      <c r="AD3" t="s">
        <v>1</v>
      </c>
      <c r="AH3" s="10">
        <v>46327</v>
      </c>
      <c r="AI3" t="s">
        <v>2002</v>
      </c>
      <c r="AK3" t="s">
        <v>2001</v>
      </c>
      <c r="AL3">
        <v>0</v>
      </c>
      <c r="AM3" s="5">
        <f t="shared" si="3"/>
        <v>0</v>
      </c>
      <c r="AN3" s="4">
        <f t="shared" si="4"/>
        <v>0</v>
      </c>
      <c r="AO3" s="3">
        <v>660.25</v>
      </c>
      <c r="AP3">
        <v>0</v>
      </c>
      <c r="AR3" t="s">
        <v>0</v>
      </c>
      <c r="AT3" s="2" t="s">
        <v>4</v>
      </c>
      <c r="AU3" s="1" t="e">
        <f t="shared" si="5"/>
        <v>#VALUE!</v>
      </c>
      <c r="AV3" s="1" t="e">
        <f t="shared" si="6"/>
        <v>#VALUE!</v>
      </c>
      <c r="AW3" s="1" t="e">
        <f t="shared" si="7"/>
        <v>#VALUE!</v>
      </c>
    </row>
    <row r="4" spans="1:49" x14ac:dyDescent="0.2">
      <c r="A4">
        <v>2</v>
      </c>
      <c r="B4" t="s">
        <v>2000</v>
      </c>
      <c r="D4">
        <v>6350985902595</v>
      </c>
      <c r="F4" t="s">
        <v>1999</v>
      </c>
      <c r="G4" t="s">
        <v>3</v>
      </c>
      <c r="H4" t="s">
        <v>2</v>
      </c>
      <c r="I4" t="s">
        <v>1998</v>
      </c>
      <c r="J4" t="s">
        <v>1997</v>
      </c>
      <c r="K4" t="s">
        <v>1996</v>
      </c>
      <c r="L4" t="s">
        <v>1995</v>
      </c>
      <c r="M4" t="s">
        <v>164</v>
      </c>
      <c r="N4">
        <v>3</v>
      </c>
      <c r="O4" t="s">
        <v>1994</v>
      </c>
      <c r="P4" t="s">
        <v>1993</v>
      </c>
      <c r="Q4" t="s">
        <v>1992</v>
      </c>
      <c r="R4" s="7">
        <v>31382</v>
      </c>
      <c r="S4" s="8">
        <f t="shared" si="0"/>
        <v>1985</v>
      </c>
      <c r="T4" s="8">
        <v>1985</v>
      </c>
      <c r="U4" s="8">
        <f t="shared" si="1"/>
        <v>37</v>
      </c>
      <c r="V4" s="7">
        <v>1985</v>
      </c>
      <c r="W4" t="s">
        <v>1980</v>
      </c>
      <c r="X4" s="2" t="s">
        <v>4</v>
      </c>
      <c r="Y4" s="6" t="e">
        <f t="shared" si="2"/>
        <v>#VALUE!</v>
      </c>
      <c r="Z4">
        <v>0</v>
      </c>
      <c r="AA4">
        <v>63509</v>
      </c>
      <c r="AB4">
        <v>14860</v>
      </c>
      <c r="AD4" t="s">
        <v>1</v>
      </c>
      <c r="AE4">
        <v>30</v>
      </c>
      <c r="AF4">
        <v>4</v>
      </c>
      <c r="AH4" t="s">
        <v>1991</v>
      </c>
      <c r="AI4" t="s">
        <v>1990</v>
      </c>
      <c r="AK4" t="s">
        <v>1989</v>
      </c>
      <c r="AL4">
        <v>0</v>
      </c>
      <c r="AM4" s="5">
        <f t="shared" si="3"/>
        <v>0</v>
      </c>
      <c r="AN4" s="4">
        <f t="shared" si="4"/>
        <v>0</v>
      </c>
      <c r="AO4" s="3">
        <v>0</v>
      </c>
      <c r="AP4">
        <v>0</v>
      </c>
      <c r="AR4" t="s">
        <v>0</v>
      </c>
      <c r="AT4" s="2" t="s">
        <v>4</v>
      </c>
      <c r="AU4" s="1" t="e">
        <f t="shared" si="5"/>
        <v>#VALUE!</v>
      </c>
      <c r="AV4" s="1" t="e">
        <f t="shared" si="6"/>
        <v>#VALUE!</v>
      </c>
      <c r="AW4" s="1" t="e">
        <f t="shared" si="7"/>
        <v>#VALUE!</v>
      </c>
    </row>
    <row r="5" spans="1:49" x14ac:dyDescent="0.2">
      <c r="A5">
        <v>3</v>
      </c>
      <c r="B5" t="s">
        <v>1988</v>
      </c>
      <c r="D5">
        <v>6350985902558</v>
      </c>
      <c r="F5" t="s">
        <v>1987</v>
      </c>
      <c r="G5" t="s">
        <v>3</v>
      </c>
      <c r="H5" t="s">
        <v>2</v>
      </c>
      <c r="I5" t="s">
        <v>1986</v>
      </c>
      <c r="J5" t="s">
        <v>1985</v>
      </c>
      <c r="K5" t="s">
        <v>1984</v>
      </c>
      <c r="L5" t="s">
        <v>165</v>
      </c>
      <c r="M5" t="s">
        <v>164</v>
      </c>
      <c r="N5">
        <v>5</v>
      </c>
      <c r="O5" t="s">
        <v>1983</v>
      </c>
      <c r="P5" t="s">
        <v>1982</v>
      </c>
      <c r="Q5" t="s">
        <v>1981</v>
      </c>
      <c r="R5" s="7">
        <v>31382</v>
      </c>
      <c r="S5" s="8">
        <f t="shared" si="0"/>
        <v>1985</v>
      </c>
      <c r="T5" s="8">
        <v>1985</v>
      </c>
      <c r="U5" s="8">
        <f t="shared" si="1"/>
        <v>37</v>
      </c>
      <c r="V5" s="7">
        <v>1985</v>
      </c>
      <c r="W5" t="s">
        <v>1980</v>
      </c>
      <c r="X5" s="2" t="s">
        <v>4</v>
      </c>
      <c r="Y5" s="6" t="e">
        <f t="shared" si="2"/>
        <v>#VALUE!</v>
      </c>
      <c r="AA5">
        <v>63509</v>
      </c>
      <c r="AB5">
        <v>14860</v>
      </c>
      <c r="AD5" t="s">
        <v>1</v>
      </c>
      <c r="AE5">
        <v>30</v>
      </c>
      <c r="AF5">
        <v>4</v>
      </c>
      <c r="AH5" t="s">
        <v>1979</v>
      </c>
      <c r="AI5" t="s">
        <v>1978</v>
      </c>
      <c r="AK5" t="s">
        <v>1977</v>
      </c>
      <c r="AL5">
        <v>0</v>
      </c>
      <c r="AM5" s="5">
        <f t="shared" si="3"/>
        <v>0</v>
      </c>
      <c r="AN5" s="4">
        <f t="shared" si="4"/>
        <v>0</v>
      </c>
      <c r="AO5" s="3"/>
      <c r="AP5">
        <v>0</v>
      </c>
      <c r="AR5" t="s">
        <v>0</v>
      </c>
      <c r="AT5" s="2" t="s">
        <v>4</v>
      </c>
      <c r="AU5" s="1" t="e">
        <f t="shared" si="5"/>
        <v>#VALUE!</v>
      </c>
      <c r="AV5" s="1" t="e">
        <f t="shared" si="6"/>
        <v>#VALUE!</v>
      </c>
      <c r="AW5" s="1" t="e">
        <f t="shared" si="7"/>
        <v>#VALUE!</v>
      </c>
    </row>
    <row r="6" spans="1:49" x14ac:dyDescent="0.2">
      <c r="A6">
        <v>4</v>
      </c>
      <c r="B6" t="s">
        <v>1976</v>
      </c>
      <c r="C6" t="s">
        <v>1975</v>
      </c>
      <c r="F6" t="s">
        <v>1974</v>
      </c>
      <c r="G6" t="s">
        <v>3</v>
      </c>
      <c r="H6" t="s">
        <v>2</v>
      </c>
      <c r="I6" t="s">
        <v>1973</v>
      </c>
      <c r="J6">
        <v>60025990</v>
      </c>
      <c r="K6" t="s">
        <v>1972</v>
      </c>
      <c r="L6" t="s">
        <v>23</v>
      </c>
      <c r="M6" t="s">
        <v>32</v>
      </c>
      <c r="N6">
        <v>1</v>
      </c>
      <c r="O6" t="s">
        <v>1971</v>
      </c>
      <c r="P6">
        <v>7003291328</v>
      </c>
      <c r="Q6">
        <v>60025990</v>
      </c>
      <c r="R6" s="7">
        <v>31382</v>
      </c>
      <c r="S6" s="8">
        <f t="shared" si="0"/>
        <v>1985</v>
      </c>
      <c r="T6" s="8">
        <v>1985</v>
      </c>
      <c r="U6" s="8">
        <f t="shared" si="1"/>
        <v>37</v>
      </c>
      <c r="V6" s="7">
        <v>1985</v>
      </c>
      <c r="W6" t="s">
        <v>1447</v>
      </c>
      <c r="X6" s="2">
        <v>15.993</v>
      </c>
      <c r="Y6" s="6">
        <f t="shared" si="2"/>
        <v>0.42692400096099947</v>
      </c>
      <c r="AA6">
        <v>280836</v>
      </c>
      <c r="AB6">
        <v>21206</v>
      </c>
      <c r="AD6" t="s">
        <v>1</v>
      </c>
      <c r="AE6">
        <v>317</v>
      </c>
      <c r="AF6">
        <v>6033</v>
      </c>
      <c r="AH6" t="s">
        <v>1970</v>
      </c>
      <c r="AL6">
        <v>1</v>
      </c>
      <c r="AM6" s="5">
        <f t="shared" si="3"/>
        <v>2.7027027027027029E-2</v>
      </c>
      <c r="AN6" s="4">
        <f t="shared" si="4"/>
        <v>4.0934535444190883E-5</v>
      </c>
      <c r="AO6" s="3"/>
      <c r="AP6">
        <v>0</v>
      </c>
      <c r="AR6" t="s">
        <v>0</v>
      </c>
      <c r="AT6" s="2">
        <v>49.962000000000003</v>
      </c>
      <c r="AU6" s="1">
        <f t="shared" si="5"/>
        <v>29.885908103333286</v>
      </c>
      <c r="AV6" s="1">
        <f t="shared" si="6"/>
        <v>21.348246774822183</v>
      </c>
      <c r="AW6" s="1">
        <f t="shared" si="7"/>
        <v>12.810585446311077</v>
      </c>
    </row>
    <row r="7" spans="1:49" x14ac:dyDescent="0.2">
      <c r="A7">
        <v>5</v>
      </c>
      <c r="B7" t="s">
        <v>1969</v>
      </c>
      <c r="C7" t="s">
        <v>1968</v>
      </c>
      <c r="F7" t="s">
        <v>1967</v>
      </c>
      <c r="G7" t="s">
        <v>3</v>
      </c>
      <c r="H7" t="s">
        <v>2</v>
      </c>
      <c r="I7" t="s">
        <v>1966</v>
      </c>
      <c r="J7">
        <v>60006164</v>
      </c>
      <c r="K7" t="s">
        <v>1965</v>
      </c>
      <c r="L7" t="s">
        <v>1964</v>
      </c>
      <c r="M7" t="s">
        <v>11</v>
      </c>
      <c r="N7">
        <v>1</v>
      </c>
      <c r="O7" t="s">
        <v>1963</v>
      </c>
      <c r="P7">
        <v>55422417100</v>
      </c>
      <c r="Q7">
        <v>60006164</v>
      </c>
      <c r="R7" s="7">
        <v>31382</v>
      </c>
      <c r="S7" s="8">
        <f t="shared" si="0"/>
        <v>1985</v>
      </c>
      <c r="T7" s="8">
        <v>1985</v>
      </c>
      <c r="U7" s="8">
        <f t="shared" si="1"/>
        <v>37</v>
      </c>
      <c r="V7" s="7">
        <v>1985</v>
      </c>
      <c r="W7" t="s">
        <v>1399</v>
      </c>
      <c r="X7" s="2">
        <v>0.69899999999999995</v>
      </c>
      <c r="Y7" s="6">
        <f t="shared" si="2"/>
        <v>1.8659405782013295E-2</v>
      </c>
      <c r="AA7">
        <v>218979</v>
      </c>
      <c r="AB7">
        <v>28132</v>
      </c>
      <c r="AD7" t="s">
        <v>1</v>
      </c>
      <c r="AE7">
        <v>58</v>
      </c>
      <c r="AF7">
        <v>7</v>
      </c>
      <c r="AH7">
        <v>2763</v>
      </c>
      <c r="AI7" t="s">
        <v>1962</v>
      </c>
      <c r="AK7" t="s">
        <v>1961</v>
      </c>
      <c r="AL7">
        <v>0</v>
      </c>
      <c r="AM7" s="5">
        <f t="shared" si="3"/>
        <v>0</v>
      </c>
      <c r="AN7" s="4">
        <f t="shared" si="4"/>
        <v>0</v>
      </c>
      <c r="AO7" s="3"/>
      <c r="AP7">
        <v>0</v>
      </c>
      <c r="AR7" t="s">
        <v>0</v>
      </c>
      <c r="AT7" s="2">
        <v>2.5459999999999998</v>
      </c>
      <c r="AU7" s="1">
        <f t="shared" si="5"/>
        <v>1.3061584047409305</v>
      </c>
      <c r="AV7" s="1">
        <f t="shared" si="6"/>
        <v>0.93297028910066471</v>
      </c>
      <c r="AW7" s="1">
        <f t="shared" si="7"/>
        <v>0.55978217346039882</v>
      </c>
    </row>
    <row r="8" spans="1:49" x14ac:dyDescent="0.2">
      <c r="A8">
        <v>6</v>
      </c>
      <c r="B8" t="s">
        <v>1960</v>
      </c>
      <c r="C8" t="s">
        <v>1959</v>
      </c>
      <c r="F8" t="s">
        <v>1958</v>
      </c>
      <c r="G8" t="s">
        <v>3</v>
      </c>
      <c r="H8" t="s">
        <v>2</v>
      </c>
      <c r="I8" t="s">
        <v>1957</v>
      </c>
      <c r="J8">
        <v>60031126</v>
      </c>
      <c r="K8" t="s">
        <v>98</v>
      </c>
      <c r="L8" t="s">
        <v>39</v>
      </c>
      <c r="M8" t="s">
        <v>35</v>
      </c>
      <c r="N8">
        <v>4</v>
      </c>
      <c r="O8" t="s">
        <v>1956</v>
      </c>
      <c r="P8" t="s">
        <v>1955</v>
      </c>
      <c r="Q8" t="s">
        <v>1954</v>
      </c>
      <c r="R8" s="7">
        <v>31382</v>
      </c>
      <c r="S8" s="8">
        <f t="shared" si="0"/>
        <v>1985</v>
      </c>
      <c r="T8" s="8">
        <v>1985</v>
      </c>
      <c r="U8" s="8">
        <f t="shared" si="1"/>
        <v>37</v>
      </c>
      <c r="V8" s="7">
        <v>1985</v>
      </c>
      <c r="W8" t="s">
        <v>1399</v>
      </c>
      <c r="X8" s="2">
        <v>0.69899999999999995</v>
      </c>
      <c r="Y8" s="6">
        <f t="shared" si="2"/>
        <v>1.8659405782013295E-2</v>
      </c>
      <c r="AA8">
        <v>218979</v>
      </c>
      <c r="AB8">
        <v>28132</v>
      </c>
      <c r="AD8" t="s">
        <v>1</v>
      </c>
      <c r="AE8">
        <v>57</v>
      </c>
      <c r="AF8">
        <v>1</v>
      </c>
      <c r="AH8" t="s">
        <v>1953</v>
      </c>
      <c r="AI8" t="s">
        <v>1952</v>
      </c>
      <c r="AK8" t="s">
        <v>1951</v>
      </c>
      <c r="AL8">
        <v>4</v>
      </c>
      <c r="AM8" s="5">
        <f t="shared" si="3"/>
        <v>0.10810810810810811</v>
      </c>
      <c r="AN8" s="4">
        <f t="shared" si="4"/>
        <v>1.6373814177676353E-4</v>
      </c>
      <c r="AO8" s="3"/>
      <c r="AP8">
        <v>0</v>
      </c>
      <c r="AR8" t="s">
        <v>0</v>
      </c>
      <c r="AT8" s="2">
        <v>2.5459999999999998</v>
      </c>
      <c r="AU8" s="1">
        <f t="shared" si="5"/>
        <v>1.3110705489942334</v>
      </c>
      <c r="AV8" s="1">
        <f t="shared" si="6"/>
        <v>0.94115719618950289</v>
      </c>
      <c r="AW8" s="1">
        <f t="shared" si="7"/>
        <v>0.5712438433847723</v>
      </c>
    </row>
    <row r="9" spans="1:49" x14ac:dyDescent="0.2">
      <c r="A9">
        <v>7</v>
      </c>
      <c r="B9" t="s">
        <v>1950</v>
      </c>
      <c r="C9" t="s">
        <v>1949</v>
      </c>
      <c r="F9" t="s">
        <v>1948</v>
      </c>
      <c r="G9" t="s">
        <v>3</v>
      </c>
      <c r="H9" t="s">
        <v>2</v>
      </c>
      <c r="I9" t="s">
        <v>1947</v>
      </c>
      <c r="J9">
        <v>60007566</v>
      </c>
      <c r="K9" t="s">
        <v>1946</v>
      </c>
      <c r="L9" t="s">
        <v>1945</v>
      </c>
      <c r="M9" t="s">
        <v>11</v>
      </c>
      <c r="N9">
        <v>2</v>
      </c>
      <c r="O9" t="s">
        <v>1944</v>
      </c>
      <c r="P9" t="s">
        <v>1943</v>
      </c>
      <c r="Q9" t="s">
        <v>1942</v>
      </c>
      <c r="R9" s="7">
        <v>31382</v>
      </c>
      <c r="S9" s="8">
        <f t="shared" si="0"/>
        <v>1985</v>
      </c>
      <c r="T9" s="8">
        <v>1985</v>
      </c>
      <c r="U9" s="8">
        <f t="shared" si="1"/>
        <v>37</v>
      </c>
      <c r="V9" s="7">
        <v>1985</v>
      </c>
      <c r="W9" t="s">
        <v>1399</v>
      </c>
      <c r="X9" s="2">
        <v>0.69899999999999995</v>
      </c>
      <c r="Y9" s="6">
        <f t="shared" si="2"/>
        <v>1.8659405782013295E-2</v>
      </c>
      <c r="AA9">
        <v>218979</v>
      </c>
      <c r="AB9">
        <v>28132</v>
      </c>
      <c r="AD9" t="s">
        <v>1</v>
      </c>
      <c r="AE9">
        <v>57</v>
      </c>
      <c r="AF9">
        <v>5</v>
      </c>
      <c r="AH9" t="s">
        <v>1941</v>
      </c>
      <c r="AI9" t="s">
        <v>1940</v>
      </c>
      <c r="AK9" t="s">
        <v>1939</v>
      </c>
      <c r="AL9">
        <v>7</v>
      </c>
      <c r="AM9" s="5">
        <f t="shared" si="3"/>
        <v>0.1891891891891892</v>
      </c>
      <c r="AN9" s="4">
        <f t="shared" si="4"/>
        <v>2.8654174810933616E-4</v>
      </c>
      <c r="AO9" s="3"/>
      <c r="AP9">
        <v>0</v>
      </c>
      <c r="AR9" t="s">
        <v>0</v>
      </c>
      <c r="AT9" s="2">
        <v>2.5459999999999998</v>
      </c>
      <c r="AU9" s="1">
        <f t="shared" si="5"/>
        <v>1.3147546571842106</v>
      </c>
      <c r="AV9" s="1">
        <f t="shared" si="6"/>
        <v>0.94729737650613155</v>
      </c>
      <c r="AW9" s="1">
        <f t="shared" si="7"/>
        <v>0.57984009582805229</v>
      </c>
    </row>
    <row r="10" spans="1:49" x14ac:dyDescent="0.2">
      <c r="A10">
        <v>8</v>
      </c>
      <c r="B10" t="s">
        <v>1938</v>
      </c>
      <c r="C10" t="s">
        <v>1937</v>
      </c>
      <c r="F10" t="s">
        <v>1936</v>
      </c>
      <c r="G10" t="s">
        <v>3</v>
      </c>
      <c r="H10" t="s">
        <v>2</v>
      </c>
      <c r="I10" t="s">
        <v>1935</v>
      </c>
      <c r="J10">
        <v>60021285</v>
      </c>
      <c r="K10" t="s">
        <v>1934</v>
      </c>
      <c r="L10" t="s">
        <v>1933</v>
      </c>
      <c r="M10" t="s">
        <v>11</v>
      </c>
      <c r="N10">
        <v>5</v>
      </c>
      <c r="O10" t="s">
        <v>1932</v>
      </c>
      <c r="P10" t="s">
        <v>1931</v>
      </c>
      <c r="Q10" t="s">
        <v>1930</v>
      </c>
      <c r="R10" s="7">
        <v>31382</v>
      </c>
      <c r="S10" s="8">
        <f t="shared" si="0"/>
        <v>1985</v>
      </c>
      <c r="T10" s="8">
        <v>1985</v>
      </c>
      <c r="U10" s="8">
        <f t="shared" si="1"/>
        <v>37</v>
      </c>
      <c r="V10" s="7">
        <v>1985</v>
      </c>
      <c r="W10" t="s">
        <v>1929</v>
      </c>
      <c r="X10" s="2">
        <v>0.60499999999999998</v>
      </c>
      <c r="Y10" s="6">
        <f t="shared" si="2"/>
        <v>1.6150129467980032E-2</v>
      </c>
      <c r="AA10">
        <v>346748</v>
      </c>
      <c r="AB10">
        <v>15563</v>
      </c>
      <c r="AD10" t="s">
        <v>1</v>
      </c>
      <c r="AE10">
        <v>56</v>
      </c>
      <c r="AF10">
        <v>6</v>
      </c>
      <c r="AH10" t="s">
        <v>1928</v>
      </c>
      <c r="AI10" t="s">
        <v>1927</v>
      </c>
      <c r="AK10" t="s">
        <v>1926</v>
      </c>
      <c r="AL10">
        <v>3</v>
      </c>
      <c r="AM10" s="5">
        <f t="shared" si="3"/>
        <v>8.1081081081081086E-2</v>
      </c>
      <c r="AN10" s="4">
        <f t="shared" si="4"/>
        <v>1.2280360633257263E-4</v>
      </c>
      <c r="AO10" s="3"/>
      <c r="AP10">
        <v>0</v>
      </c>
      <c r="AR10" t="s">
        <v>0</v>
      </c>
      <c r="AT10" s="2">
        <v>1.5229999999999999</v>
      </c>
      <c r="AU10" s="1">
        <f t="shared" si="5"/>
        <v>1.1341931709485793</v>
      </c>
      <c r="AV10" s="1">
        <f t="shared" si="6"/>
        <v>0.81364665371563027</v>
      </c>
      <c r="AW10" s="1">
        <f t="shared" si="7"/>
        <v>0.49310013648268108</v>
      </c>
    </row>
    <row r="11" spans="1:49" x14ac:dyDescent="0.2">
      <c r="A11">
        <v>9</v>
      </c>
      <c r="B11" t="s">
        <v>1925</v>
      </c>
      <c r="C11" t="s">
        <v>1924</v>
      </c>
      <c r="F11" t="s">
        <v>1923</v>
      </c>
      <c r="G11" t="s">
        <v>3</v>
      </c>
      <c r="H11" t="s">
        <v>2</v>
      </c>
      <c r="I11" t="s">
        <v>1922</v>
      </c>
      <c r="J11">
        <v>60011373</v>
      </c>
      <c r="K11" t="s">
        <v>1921</v>
      </c>
      <c r="L11" t="s">
        <v>1920</v>
      </c>
      <c r="M11" t="s">
        <v>38</v>
      </c>
      <c r="N11">
        <v>3</v>
      </c>
      <c r="O11" t="s">
        <v>1919</v>
      </c>
      <c r="P11" t="s">
        <v>1918</v>
      </c>
      <c r="Q11" t="s">
        <v>1917</v>
      </c>
      <c r="R11" s="7">
        <v>31382</v>
      </c>
      <c r="S11" s="8">
        <f t="shared" si="0"/>
        <v>1985</v>
      </c>
      <c r="T11" s="8">
        <v>1985</v>
      </c>
      <c r="U11" s="8">
        <f t="shared" si="1"/>
        <v>37</v>
      </c>
      <c r="V11" s="7">
        <v>1985</v>
      </c>
      <c r="W11" t="s">
        <v>1408</v>
      </c>
      <c r="X11" s="2">
        <v>1.3280000000000001</v>
      </c>
      <c r="Y11" s="6">
        <f t="shared" si="2"/>
        <v>3.5450201542937994E-2</v>
      </c>
      <c r="AA11">
        <v>7413335</v>
      </c>
      <c r="AB11">
        <v>29251</v>
      </c>
      <c r="AD11" t="s">
        <v>1</v>
      </c>
      <c r="AE11">
        <v>27</v>
      </c>
      <c r="AF11">
        <v>10</v>
      </c>
      <c r="AG11">
        <v>2</v>
      </c>
      <c r="AH11" t="s">
        <v>1916</v>
      </c>
      <c r="AI11" t="s">
        <v>1915</v>
      </c>
      <c r="AK11" t="s">
        <v>1914</v>
      </c>
      <c r="AL11">
        <v>37</v>
      </c>
      <c r="AM11" s="5">
        <f t="shared" si="3"/>
        <v>1</v>
      </c>
      <c r="AN11" s="4">
        <f t="shared" si="4"/>
        <v>1.5145778114350624E-3</v>
      </c>
      <c r="AO11" s="3"/>
      <c r="AP11">
        <v>0</v>
      </c>
      <c r="AR11" t="s">
        <v>0</v>
      </c>
      <c r="AT11" s="2">
        <v>2.4580000000000002</v>
      </c>
      <c r="AU11" s="1">
        <f t="shared" si="5"/>
        <v>2.5269514423487114</v>
      </c>
      <c r="AV11" s="1">
        <f t="shared" si="6"/>
        <v>1.8482389677186528</v>
      </c>
      <c r="AW11" s="1">
        <f t="shared" si="7"/>
        <v>1.1695264930885942</v>
      </c>
    </row>
    <row r="12" spans="1:49" x14ac:dyDescent="0.2">
      <c r="A12">
        <v>10</v>
      </c>
      <c r="B12" t="s">
        <v>1913</v>
      </c>
      <c r="C12" t="s">
        <v>1912</v>
      </c>
      <c r="F12" t="s">
        <v>1911</v>
      </c>
      <c r="G12" t="s">
        <v>3</v>
      </c>
      <c r="H12" t="s">
        <v>2</v>
      </c>
      <c r="I12" t="s">
        <v>1910</v>
      </c>
      <c r="J12">
        <v>60011001</v>
      </c>
      <c r="K12" t="s">
        <v>138</v>
      </c>
      <c r="L12" t="s">
        <v>137</v>
      </c>
      <c r="M12" t="s">
        <v>35</v>
      </c>
      <c r="N12">
        <v>1</v>
      </c>
      <c r="O12" t="s">
        <v>1909</v>
      </c>
      <c r="P12">
        <v>6603472519</v>
      </c>
      <c r="Q12">
        <v>60011001</v>
      </c>
      <c r="R12" s="7">
        <v>31382</v>
      </c>
      <c r="S12" s="8">
        <f t="shared" si="0"/>
        <v>1985</v>
      </c>
      <c r="T12" s="8">
        <v>1985</v>
      </c>
      <c r="U12" s="8">
        <f t="shared" si="1"/>
        <v>37</v>
      </c>
      <c r="V12" s="7">
        <v>31382</v>
      </c>
      <c r="W12" t="s">
        <v>1908</v>
      </c>
      <c r="X12" s="2">
        <v>0.42899999999999999</v>
      </c>
      <c r="Y12" s="6">
        <f t="shared" si="2"/>
        <v>1.1451909986385841E-2</v>
      </c>
      <c r="AA12">
        <v>2890771</v>
      </c>
      <c r="AB12">
        <v>22544</v>
      </c>
      <c r="AC12">
        <v>14395444</v>
      </c>
      <c r="AD12" t="s">
        <v>1</v>
      </c>
      <c r="AE12">
        <v>3</v>
      </c>
      <c r="AF12">
        <v>2</v>
      </c>
      <c r="AH12" t="s">
        <v>1907</v>
      </c>
      <c r="AI12" t="s">
        <v>1906</v>
      </c>
      <c r="AK12" t="s">
        <v>1905</v>
      </c>
      <c r="AL12">
        <v>3</v>
      </c>
      <c r="AM12" s="5">
        <f t="shared" si="3"/>
        <v>8.1081081081081086E-2</v>
      </c>
      <c r="AN12" s="4">
        <f t="shared" si="4"/>
        <v>1.2280360633257263E-4</v>
      </c>
      <c r="AO12" s="3"/>
      <c r="AP12">
        <v>0</v>
      </c>
      <c r="AR12" t="s">
        <v>0</v>
      </c>
      <c r="AT12" s="2">
        <v>1.27</v>
      </c>
      <c r="AU12" s="1">
        <f t="shared" si="5"/>
        <v>0.80531780723698598</v>
      </c>
      <c r="AV12" s="1">
        <f t="shared" si="6"/>
        <v>0.57873567963592065</v>
      </c>
      <c r="AW12" s="1">
        <f t="shared" si="7"/>
        <v>0.35215355203485532</v>
      </c>
    </row>
    <row r="13" spans="1:49" x14ac:dyDescent="0.2">
      <c r="A13">
        <v>11</v>
      </c>
      <c r="B13" t="s">
        <v>1904</v>
      </c>
      <c r="C13" t="s">
        <v>1903</v>
      </c>
      <c r="F13" t="s">
        <v>1902</v>
      </c>
      <c r="G13" t="s">
        <v>3</v>
      </c>
      <c r="H13" t="s">
        <v>2</v>
      </c>
      <c r="I13" t="s">
        <v>1901</v>
      </c>
      <c r="J13">
        <v>60022195</v>
      </c>
      <c r="K13" t="s">
        <v>89</v>
      </c>
      <c r="L13" t="s">
        <v>23</v>
      </c>
      <c r="M13" t="s">
        <v>11</v>
      </c>
      <c r="N13">
        <v>2</v>
      </c>
      <c r="O13" t="s">
        <v>1900</v>
      </c>
      <c r="P13" t="s">
        <v>1899</v>
      </c>
      <c r="Q13" t="s">
        <v>88</v>
      </c>
      <c r="R13" s="7">
        <v>31382</v>
      </c>
      <c r="S13" s="8">
        <f t="shared" si="0"/>
        <v>1985</v>
      </c>
      <c r="T13" s="8">
        <v>1985</v>
      </c>
      <c r="U13" s="8">
        <f t="shared" si="1"/>
        <v>37</v>
      </c>
      <c r="V13" s="7">
        <v>1985</v>
      </c>
      <c r="W13" t="s">
        <v>1399</v>
      </c>
      <c r="X13" s="2">
        <v>0.69899999999999995</v>
      </c>
      <c r="Y13" s="6">
        <f t="shared" si="2"/>
        <v>1.8659405782013295E-2</v>
      </c>
      <c r="AA13">
        <v>218979</v>
      </c>
      <c r="AB13">
        <v>28132</v>
      </c>
      <c r="AD13" t="s">
        <v>1</v>
      </c>
      <c r="AE13">
        <v>57</v>
      </c>
      <c r="AF13">
        <v>8</v>
      </c>
      <c r="AH13" t="s">
        <v>1898</v>
      </c>
      <c r="AI13" t="s">
        <v>1897</v>
      </c>
      <c r="AK13" t="s">
        <v>1896</v>
      </c>
      <c r="AL13">
        <v>2</v>
      </c>
      <c r="AM13" s="5">
        <f t="shared" si="3"/>
        <v>5.4054054054054057E-2</v>
      </c>
      <c r="AN13" s="4">
        <f t="shared" si="4"/>
        <v>8.1869070888381765E-5</v>
      </c>
      <c r="AO13" s="3"/>
      <c r="AP13">
        <v>0</v>
      </c>
      <c r="AR13" t="s">
        <v>0</v>
      </c>
      <c r="AT13" s="2">
        <v>2.5459999999999998</v>
      </c>
      <c r="AU13" s="1">
        <f t="shared" si="5"/>
        <v>1.308614476867582</v>
      </c>
      <c r="AV13" s="1">
        <f t="shared" si="6"/>
        <v>0.93706374264508374</v>
      </c>
      <c r="AW13" s="1">
        <f t="shared" si="7"/>
        <v>0.56551300842258545</v>
      </c>
    </row>
    <row r="14" spans="1:49" x14ac:dyDescent="0.2">
      <c r="A14">
        <v>12</v>
      </c>
      <c r="B14" t="s">
        <v>1895</v>
      </c>
      <c r="C14" t="s">
        <v>1894</v>
      </c>
      <c r="F14" t="s">
        <v>1893</v>
      </c>
      <c r="G14" t="s">
        <v>3</v>
      </c>
      <c r="H14" t="s">
        <v>2</v>
      </c>
      <c r="I14" t="s">
        <v>1266</v>
      </c>
      <c r="J14">
        <v>60009982</v>
      </c>
      <c r="K14" t="s">
        <v>24</v>
      </c>
      <c r="L14" t="s">
        <v>23</v>
      </c>
      <c r="M14" t="s">
        <v>11</v>
      </c>
      <c r="N14">
        <v>1</v>
      </c>
      <c r="O14" t="s">
        <v>140</v>
      </c>
      <c r="P14">
        <v>35586046100</v>
      </c>
      <c r="Q14">
        <v>60009982</v>
      </c>
      <c r="R14" s="7">
        <v>31382</v>
      </c>
      <c r="S14" s="8">
        <f t="shared" si="0"/>
        <v>1985</v>
      </c>
      <c r="T14" s="8">
        <v>1985</v>
      </c>
      <c r="U14" s="8">
        <f t="shared" si="1"/>
        <v>37</v>
      </c>
      <c r="V14" s="7">
        <v>1985</v>
      </c>
      <c r="W14" t="s">
        <v>1399</v>
      </c>
      <c r="X14" s="2">
        <v>0.69899999999999995</v>
      </c>
      <c r="Y14" s="6">
        <f t="shared" si="2"/>
        <v>1.8659405782013295E-2</v>
      </c>
      <c r="AA14">
        <v>218979</v>
      </c>
      <c r="AB14">
        <v>28132</v>
      </c>
      <c r="AD14" t="s">
        <v>1</v>
      </c>
      <c r="AE14">
        <v>57</v>
      </c>
      <c r="AF14">
        <v>5</v>
      </c>
      <c r="AH14" t="s">
        <v>1892</v>
      </c>
      <c r="AI14" t="s">
        <v>1891</v>
      </c>
      <c r="AK14" t="s">
        <v>1890</v>
      </c>
      <c r="AL14">
        <v>11</v>
      </c>
      <c r="AM14" s="5">
        <f t="shared" si="3"/>
        <v>0.29729729729729731</v>
      </c>
      <c r="AN14" s="4">
        <f t="shared" si="4"/>
        <v>4.5027988988609969E-4</v>
      </c>
      <c r="AO14" s="3"/>
      <c r="AP14">
        <v>0</v>
      </c>
      <c r="AR14" t="s">
        <v>0</v>
      </c>
      <c r="AT14" s="2">
        <v>2.5459999999999998</v>
      </c>
      <c r="AU14" s="1">
        <f t="shared" si="5"/>
        <v>1.3196668014375135</v>
      </c>
      <c r="AV14" s="1">
        <f t="shared" si="6"/>
        <v>0.95548428359496973</v>
      </c>
      <c r="AW14" s="1">
        <f t="shared" si="7"/>
        <v>0.59130176575242577</v>
      </c>
    </row>
    <row r="15" spans="1:49" x14ac:dyDescent="0.2">
      <c r="A15">
        <v>13</v>
      </c>
      <c r="B15" t="s">
        <v>1889</v>
      </c>
      <c r="C15" t="s">
        <v>1888</v>
      </c>
      <c r="F15" t="s">
        <v>1887</v>
      </c>
      <c r="G15" t="s">
        <v>3</v>
      </c>
      <c r="H15" t="s">
        <v>2</v>
      </c>
      <c r="I15" t="s">
        <v>1886</v>
      </c>
      <c r="J15">
        <v>60025104</v>
      </c>
      <c r="K15" t="s">
        <v>1885</v>
      </c>
      <c r="M15" t="s">
        <v>32</v>
      </c>
      <c r="N15">
        <v>50</v>
      </c>
      <c r="O15" t="s">
        <v>1884</v>
      </c>
      <c r="P15" t="s">
        <v>1883</v>
      </c>
      <c r="Q15" t="s">
        <v>1882</v>
      </c>
      <c r="R15" s="7">
        <v>31382</v>
      </c>
      <c r="S15" s="8">
        <f t="shared" si="0"/>
        <v>1985</v>
      </c>
      <c r="T15" s="8">
        <v>1985</v>
      </c>
      <c r="U15" s="8">
        <f t="shared" si="1"/>
        <v>37</v>
      </c>
      <c r="V15" s="7">
        <v>1985</v>
      </c>
      <c r="W15" t="s">
        <v>1408</v>
      </c>
      <c r="X15" s="2">
        <v>1.3280000000000001</v>
      </c>
      <c r="Y15" s="6">
        <f t="shared" si="2"/>
        <v>3.5450201542937994E-2</v>
      </c>
      <c r="AA15">
        <v>7413335</v>
      </c>
      <c r="AB15">
        <v>29251</v>
      </c>
      <c r="AD15" t="s">
        <v>1</v>
      </c>
      <c r="AE15">
        <v>27</v>
      </c>
      <c r="AF15" s="12">
        <v>0</v>
      </c>
      <c r="AG15">
        <v>5</v>
      </c>
      <c r="AH15" t="s">
        <v>1881</v>
      </c>
      <c r="AI15" t="s">
        <v>1880</v>
      </c>
      <c r="AK15" t="s">
        <v>1879</v>
      </c>
      <c r="AL15">
        <v>10</v>
      </c>
      <c r="AM15" s="5">
        <f t="shared" si="3"/>
        <v>0.27027027027027029</v>
      </c>
      <c r="AN15" s="4">
        <f t="shared" si="4"/>
        <v>4.093453544419088E-4</v>
      </c>
      <c r="AO15" s="3"/>
      <c r="AP15">
        <v>0</v>
      </c>
      <c r="AR15" t="s">
        <v>0</v>
      </c>
      <c r="AT15" s="2">
        <v>2.4580000000000002</v>
      </c>
      <c r="AU15" s="1">
        <f t="shared" si="5"/>
        <v>2.4937944686389169</v>
      </c>
      <c r="AV15" s="1">
        <f t="shared" si="6"/>
        <v>1.7929773448689952</v>
      </c>
      <c r="AW15" s="1">
        <f t="shared" si="7"/>
        <v>1.0921602210990735</v>
      </c>
    </row>
    <row r="16" spans="1:49" x14ac:dyDescent="0.2">
      <c r="A16">
        <v>14</v>
      </c>
      <c r="B16" t="s">
        <v>1878</v>
      </c>
      <c r="C16" t="s">
        <v>1877</v>
      </c>
      <c r="F16" t="s">
        <v>1876</v>
      </c>
      <c r="G16" t="s">
        <v>3</v>
      </c>
      <c r="H16" t="s">
        <v>2</v>
      </c>
      <c r="I16" t="s">
        <v>81</v>
      </c>
      <c r="J16" t="s">
        <v>1875</v>
      </c>
      <c r="K16" t="s">
        <v>1874</v>
      </c>
      <c r="L16" t="s">
        <v>1873</v>
      </c>
      <c r="M16" t="s">
        <v>1872</v>
      </c>
      <c r="N16">
        <v>5</v>
      </c>
      <c r="O16" t="s">
        <v>1871</v>
      </c>
      <c r="P16" t="s">
        <v>1870</v>
      </c>
      <c r="Q16" t="s">
        <v>1869</v>
      </c>
      <c r="R16" s="7">
        <v>31382</v>
      </c>
      <c r="S16" s="8">
        <f t="shared" si="0"/>
        <v>1985</v>
      </c>
      <c r="T16" s="8">
        <v>1985</v>
      </c>
      <c r="U16" s="8">
        <f t="shared" si="1"/>
        <v>37</v>
      </c>
      <c r="V16" s="7">
        <v>1985</v>
      </c>
      <c r="W16" t="s">
        <v>1447</v>
      </c>
      <c r="X16" s="2">
        <v>15.993</v>
      </c>
      <c r="Y16" s="6">
        <f t="shared" si="2"/>
        <v>0.42692400096099947</v>
      </c>
      <c r="AA16">
        <v>280836</v>
      </c>
      <c r="AB16">
        <v>21206</v>
      </c>
      <c r="AD16" t="s">
        <v>1</v>
      </c>
      <c r="AE16">
        <v>317</v>
      </c>
      <c r="AF16">
        <v>6033</v>
      </c>
      <c r="AH16" t="s">
        <v>1868</v>
      </c>
      <c r="AI16" t="s">
        <v>1867</v>
      </c>
      <c r="AK16" t="s">
        <v>1866</v>
      </c>
      <c r="AL16">
        <v>24</v>
      </c>
      <c r="AM16" s="5">
        <f t="shared" si="3"/>
        <v>0.64864864864864868</v>
      </c>
      <c r="AN16" s="4">
        <f t="shared" si="4"/>
        <v>9.8242885066058107E-4</v>
      </c>
      <c r="AO16" s="3"/>
      <c r="AP16">
        <v>0</v>
      </c>
      <c r="AR16" t="s">
        <v>0</v>
      </c>
      <c r="AT16" s="2">
        <v>49.962000000000003</v>
      </c>
      <c r="AU16" s="1">
        <f t="shared" si="5"/>
        <v>29.914152932789779</v>
      </c>
      <c r="AV16" s="1">
        <f t="shared" si="6"/>
        <v>21.395321490583001</v>
      </c>
      <c r="AW16" s="1">
        <f t="shared" si="7"/>
        <v>12.876490048376224</v>
      </c>
    </row>
    <row r="17" spans="1:49" x14ac:dyDescent="0.2">
      <c r="A17">
        <v>15</v>
      </c>
      <c r="B17" t="s">
        <v>1865</v>
      </c>
      <c r="C17" t="s">
        <v>1864</v>
      </c>
      <c r="F17" t="s">
        <v>1863</v>
      </c>
      <c r="G17" t="s">
        <v>3</v>
      </c>
      <c r="H17" t="s">
        <v>2</v>
      </c>
      <c r="I17" t="s">
        <v>1266</v>
      </c>
      <c r="J17">
        <v>60009982</v>
      </c>
      <c r="K17" t="s">
        <v>24</v>
      </c>
      <c r="L17" t="s">
        <v>23</v>
      </c>
      <c r="M17" t="s">
        <v>11</v>
      </c>
      <c r="N17">
        <v>1</v>
      </c>
      <c r="O17" t="s">
        <v>140</v>
      </c>
      <c r="P17">
        <v>35586046100</v>
      </c>
      <c r="Q17">
        <v>60009982</v>
      </c>
      <c r="R17" s="7">
        <v>31382</v>
      </c>
      <c r="S17" s="8">
        <f t="shared" si="0"/>
        <v>1985</v>
      </c>
      <c r="T17" s="8">
        <v>1985</v>
      </c>
      <c r="U17" s="8">
        <f t="shared" si="1"/>
        <v>37</v>
      </c>
      <c r="V17" s="7">
        <v>1985</v>
      </c>
      <c r="W17" t="s">
        <v>1399</v>
      </c>
      <c r="X17" s="2">
        <v>0.69899999999999995</v>
      </c>
      <c r="Y17" s="6">
        <f t="shared" si="2"/>
        <v>1.8659405782013295E-2</v>
      </c>
      <c r="AA17">
        <v>218979</v>
      </c>
      <c r="AB17">
        <v>28132</v>
      </c>
      <c r="AD17" t="s">
        <v>1</v>
      </c>
      <c r="AE17">
        <v>58</v>
      </c>
      <c r="AF17">
        <v>9</v>
      </c>
      <c r="AH17" t="s">
        <v>1862</v>
      </c>
      <c r="AI17" t="s">
        <v>1861</v>
      </c>
      <c r="AK17" t="s">
        <v>1860</v>
      </c>
      <c r="AL17">
        <v>16</v>
      </c>
      <c r="AM17" s="5">
        <f t="shared" si="3"/>
        <v>0.43243243243243246</v>
      </c>
      <c r="AN17" s="4">
        <f t="shared" si="4"/>
        <v>6.5495256710705412E-4</v>
      </c>
      <c r="AO17" s="3"/>
      <c r="AP17">
        <v>0</v>
      </c>
      <c r="AR17" t="s">
        <v>0</v>
      </c>
      <c r="AT17" s="2">
        <v>2.5459999999999998</v>
      </c>
      <c r="AU17" s="1">
        <f t="shared" si="5"/>
        <v>1.325806981754142</v>
      </c>
      <c r="AV17" s="1">
        <f t="shared" si="6"/>
        <v>0.96571791745601732</v>
      </c>
      <c r="AW17" s="1">
        <f t="shared" si="7"/>
        <v>0.60562885315789261</v>
      </c>
    </row>
    <row r="18" spans="1:49" x14ac:dyDescent="0.2">
      <c r="A18">
        <v>16</v>
      </c>
      <c r="B18" t="s">
        <v>1859</v>
      </c>
      <c r="C18" t="s">
        <v>1858</v>
      </c>
      <c r="F18" t="s">
        <v>1857</v>
      </c>
      <c r="G18" t="s">
        <v>3</v>
      </c>
      <c r="H18" t="s">
        <v>2</v>
      </c>
      <c r="I18" t="s">
        <v>1856</v>
      </c>
      <c r="J18">
        <v>60031581</v>
      </c>
      <c r="K18" t="s">
        <v>145</v>
      </c>
      <c r="L18" t="s">
        <v>79</v>
      </c>
      <c r="M18" t="s">
        <v>11</v>
      </c>
      <c r="N18">
        <v>1</v>
      </c>
      <c r="O18" t="s">
        <v>1855</v>
      </c>
      <c r="P18">
        <v>7006899612</v>
      </c>
      <c r="Q18">
        <v>60031581</v>
      </c>
      <c r="R18" s="7">
        <v>31382</v>
      </c>
      <c r="S18" s="8">
        <f t="shared" si="0"/>
        <v>1985</v>
      </c>
      <c r="T18" s="8">
        <v>1985</v>
      </c>
      <c r="U18" s="8">
        <f t="shared" si="1"/>
        <v>37</v>
      </c>
      <c r="V18" s="7">
        <v>1985</v>
      </c>
      <c r="W18" t="s">
        <v>1854</v>
      </c>
      <c r="X18" s="2">
        <v>1.528</v>
      </c>
      <c r="Y18" s="6">
        <f t="shared" si="2"/>
        <v>4.0789087317476845E-2</v>
      </c>
      <c r="AA18">
        <v>2649381</v>
      </c>
      <c r="AB18">
        <v>27433</v>
      </c>
      <c r="AD18" t="s">
        <v>1</v>
      </c>
      <c r="AE18">
        <v>2</v>
      </c>
      <c r="AF18">
        <v>3</v>
      </c>
      <c r="AG18">
        <v>14</v>
      </c>
      <c r="AH18" t="s">
        <v>1853</v>
      </c>
      <c r="AI18" t="s">
        <v>1852</v>
      </c>
      <c r="AK18" t="s">
        <v>1851</v>
      </c>
      <c r="AL18">
        <v>7</v>
      </c>
      <c r="AM18" s="5">
        <f t="shared" si="3"/>
        <v>0.1891891891891892</v>
      </c>
      <c r="AN18" s="4">
        <f t="shared" si="4"/>
        <v>2.8654174810933616E-4</v>
      </c>
      <c r="AO18" s="3"/>
      <c r="AP18">
        <v>0</v>
      </c>
      <c r="AR18" t="s">
        <v>0</v>
      </c>
      <c r="AT18" s="2">
        <v>3.528</v>
      </c>
      <c r="AU18" s="1">
        <f t="shared" si="5"/>
        <v>2.863832364666659</v>
      </c>
      <c r="AV18" s="1">
        <f t="shared" si="6"/>
        <v>2.0537814532793091</v>
      </c>
      <c r="AW18" s="1">
        <f t="shared" si="7"/>
        <v>1.2437305418919586</v>
      </c>
    </row>
    <row r="19" spans="1:49" x14ac:dyDescent="0.2">
      <c r="A19">
        <v>17</v>
      </c>
      <c r="B19" t="s">
        <v>1850</v>
      </c>
      <c r="C19" t="s">
        <v>1849</v>
      </c>
      <c r="F19" t="s">
        <v>1848</v>
      </c>
      <c r="G19" t="s">
        <v>3</v>
      </c>
      <c r="H19" t="s">
        <v>2</v>
      </c>
      <c r="I19" t="s">
        <v>1847</v>
      </c>
      <c r="J19" t="s">
        <v>1846</v>
      </c>
      <c r="K19" t="s">
        <v>1845</v>
      </c>
      <c r="L19" t="s">
        <v>1844</v>
      </c>
      <c r="M19" t="s">
        <v>1843</v>
      </c>
      <c r="N19">
        <v>3</v>
      </c>
      <c r="O19" t="s">
        <v>1842</v>
      </c>
      <c r="P19" t="s">
        <v>1841</v>
      </c>
      <c r="Q19" t="s">
        <v>1840</v>
      </c>
      <c r="R19" s="7">
        <v>31382</v>
      </c>
      <c r="S19" s="8">
        <f t="shared" si="0"/>
        <v>1985</v>
      </c>
      <c r="T19" s="8">
        <v>1985</v>
      </c>
      <c r="U19" s="8">
        <f t="shared" si="1"/>
        <v>37</v>
      </c>
      <c r="V19" s="7">
        <v>1985</v>
      </c>
      <c r="W19" t="s">
        <v>1447</v>
      </c>
      <c r="X19" s="2">
        <v>15.993</v>
      </c>
      <c r="Y19" s="6">
        <f t="shared" si="2"/>
        <v>0.42692400096099947</v>
      </c>
      <c r="AA19">
        <v>280836</v>
      </c>
      <c r="AB19">
        <v>21206</v>
      </c>
      <c r="AD19" t="s">
        <v>1</v>
      </c>
      <c r="AE19">
        <v>314</v>
      </c>
      <c r="AF19">
        <v>6012</v>
      </c>
      <c r="AH19" t="s">
        <v>1839</v>
      </c>
      <c r="AI19" t="s">
        <v>1838</v>
      </c>
      <c r="AK19" t="s">
        <v>1837</v>
      </c>
      <c r="AL19">
        <v>1</v>
      </c>
      <c r="AM19" s="5">
        <f t="shared" si="3"/>
        <v>2.7027027027027029E-2</v>
      </c>
      <c r="AN19" s="4">
        <f t="shared" si="4"/>
        <v>4.0934535444190883E-5</v>
      </c>
      <c r="AO19" s="3"/>
      <c r="AP19">
        <v>0</v>
      </c>
      <c r="AR19" t="s">
        <v>0</v>
      </c>
      <c r="AT19" s="2">
        <v>49.962000000000003</v>
      </c>
      <c r="AU19" s="1">
        <f t="shared" si="5"/>
        <v>29.885908103333286</v>
      </c>
      <c r="AV19" s="1">
        <f t="shared" si="6"/>
        <v>21.348246774822183</v>
      </c>
      <c r="AW19" s="1">
        <f t="shared" si="7"/>
        <v>12.810585446311077</v>
      </c>
    </row>
    <row r="20" spans="1:49" x14ac:dyDescent="0.2">
      <c r="A20">
        <v>18</v>
      </c>
      <c r="B20" t="s">
        <v>1836</v>
      </c>
      <c r="C20" t="s">
        <v>1835</v>
      </c>
      <c r="F20" t="s">
        <v>1834</v>
      </c>
      <c r="G20" t="s">
        <v>3</v>
      </c>
      <c r="H20" t="s">
        <v>2</v>
      </c>
      <c r="I20" t="s">
        <v>1833</v>
      </c>
      <c r="J20">
        <v>60031581</v>
      </c>
      <c r="K20" t="s">
        <v>145</v>
      </c>
      <c r="L20" t="s">
        <v>79</v>
      </c>
      <c r="M20" t="s">
        <v>11</v>
      </c>
      <c r="N20">
        <v>4</v>
      </c>
      <c r="O20" t="s">
        <v>1832</v>
      </c>
      <c r="P20" t="s">
        <v>1831</v>
      </c>
      <c r="Q20" t="s">
        <v>1830</v>
      </c>
      <c r="R20" s="7">
        <v>31382</v>
      </c>
      <c r="S20" s="8">
        <f t="shared" si="0"/>
        <v>1985</v>
      </c>
      <c r="T20" s="8">
        <v>1985</v>
      </c>
      <c r="U20" s="8">
        <f t="shared" si="1"/>
        <v>37</v>
      </c>
      <c r="V20" s="7">
        <v>1985</v>
      </c>
      <c r="W20" t="s">
        <v>1399</v>
      </c>
      <c r="X20" s="2">
        <v>0.69899999999999995</v>
      </c>
      <c r="Y20" s="6">
        <f t="shared" si="2"/>
        <v>1.8659405782013295E-2</v>
      </c>
      <c r="AA20">
        <v>218979</v>
      </c>
      <c r="AB20">
        <v>28132</v>
      </c>
      <c r="AD20" t="s">
        <v>1</v>
      </c>
      <c r="AE20">
        <v>57</v>
      </c>
      <c r="AF20">
        <v>5</v>
      </c>
      <c r="AH20" t="s">
        <v>1829</v>
      </c>
      <c r="AI20" t="s">
        <v>1828</v>
      </c>
      <c r="AK20" t="s">
        <v>1827</v>
      </c>
      <c r="AL20">
        <v>39</v>
      </c>
      <c r="AM20" s="5">
        <f t="shared" si="3"/>
        <v>1.0540540540540539</v>
      </c>
      <c r="AN20" s="4">
        <f t="shared" si="4"/>
        <v>1.596446882323444E-3</v>
      </c>
      <c r="AO20" s="3"/>
      <c r="AP20">
        <v>0</v>
      </c>
      <c r="AR20" t="s">
        <v>0</v>
      </c>
      <c r="AT20" s="2">
        <v>2.5459999999999998</v>
      </c>
      <c r="AU20" s="1">
        <f t="shared" si="5"/>
        <v>1.3540518112106337</v>
      </c>
      <c r="AV20" s="1">
        <f t="shared" si="6"/>
        <v>1.0127926332168369</v>
      </c>
      <c r="AW20" s="1">
        <f t="shared" si="7"/>
        <v>0.67153345522303987</v>
      </c>
    </row>
    <row r="21" spans="1:49" x14ac:dyDescent="0.2">
      <c r="A21">
        <v>19</v>
      </c>
      <c r="B21" t="s">
        <v>1826</v>
      </c>
      <c r="C21" t="s">
        <v>1825</v>
      </c>
      <c r="F21" t="s">
        <v>1824</v>
      </c>
      <c r="G21" t="s">
        <v>3</v>
      </c>
      <c r="H21" t="s">
        <v>2</v>
      </c>
      <c r="I21" t="s">
        <v>1823</v>
      </c>
      <c r="J21" t="s">
        <v>1822</v>
      </c>
      <c r="K21" t="s">
        <v>1821</v>
      </c>
      <c r="L21" t="s">
        <v>1820</v>
      </c>
      <c r="M21" t="s">
        <v>1819</v>
      </c>
      <c r="N21">
        <v>3</v>
      </c>
      <c r="O21" t="s">
        <v>1818</v>
      </c>
      <c r="P21" t="s">
        <v>1817</v>
      </c>
      <c r="Q21" t="s">
        <v>1816</v>
      </c>
      <c r="R21" s="7">
        <v>31382</v>
      </c>
      <c r="S21" s="8">
        <f t="shared" si="0"/>
        <v>1985</v>
      </c>
      <c r="T21" s="8">
        <v>1985</v>
      </c>
      <c r="U21" s="8">
        <f t="shared" si="1"/>
        <v>37</v>
      </c>
      <c r="V21" s="7">
        <v>1985</v>
      </c>
      <c r="W21" t="s">
        <v>1447</v>
      </c>
      <c r="X21" s="2">
        <v>15.993</v>
      </c>
      <c r="Y21" s="6">
        <f t="shared" si="2"/>
        <v>0.42692400096099947</v>
      </c>
      <c r="AA21">
        <v>280836</v>
      </c>
      <c r="AB21">
        <v>21206</v>
      </c>
      <c r="AD21" t="s">
        <v>1</v>
      </c>
      <c r="AE21">
        <v>313</v>
      </c>
      <c r="AF21">
        <v>5999</v>
      </c>
      <c r="AH21" t="s">
        <v>1815</v>
      </c>
      <c r="AI21" t="s">
        <v>1814</v>
      </c>
      <c r="AK21" t="s">
        <v>1813</v>
      </c>
      <c r="AL21">
        <v>26</v>
      </c>
      <c r="AM21" s="5">
        <f t="shared" si="3"/>
        <v>0.70270270270270274</v>
      </c>
      <c r="AN21" s="4">
        <f t="shared" si="4"/>
        <v>1.0642979215489629E-3</v>
      </c>
      <c r="AO21" s="3"/>
      <c r="AP21">
        <v>0</v>
      </c>
      <c r="AR21" t="s">
        <v>0</v>
      </c>
      <c r="AT21" s="2">
        <v>49.962000000000003</v>
      </c>
      <c r="AU21" s="1">
        <f t="shared" si="5"/>
        <v>29.916609004916427</v>
      </c>
      <c r="AV21" s="1">
        <f t="shared" si="6"/>
        <v>21.399414944127422</v>
      </c>
      <c r="AW21" s="1">
        <f t="shared" si="7"/>
        <v>12.882220883338411</v>
      </c>
    </row>
    <row r="22" spans="1:49" x14ac:dyDescent="0.2">
      <c r="A22">
        <v>20</v>
      </c>
      <c r="B22" t="s">
        <v>1812</v>
      </c>
      <c r="C22" t="s">
        <v>1811</v>
      </c>
      <c r="F22" t="s">
        <v>1810</v>
      </c>
      <c r="G22" t="s">
        <v>3</v>
      </c>
      <c r="H22" t="s">
        <v>2</v>
      </c>
      <c r="I22" t="s">
        <v>1809</v>
      </c>
      <c r="J22">
        <v>60003274</v>
      </c>
      <c r="K22" t="s">
        <v>1808</v>
      </c>
      <c r="L22" t="s">
        <v>1807</v>
      </c>
      <c r="M22" t="s">
        <v>19</v>
      </c>
      <c r="N22">
        <v>3</v>
      </c>
      <c r="O22" t="s">
        <v>1806</v>
      </c>
      <c r="P22" t="s">
        <v>1805</v>
      </c>
      <c r="Q22" t="s">
        <v>1804</v>
      </c>
      <c r="R22" s="7">
        <v>31382</v>
      </c>
      <c r="S22" s="8">
        <f t="shared" si="0"/>
        <v>1985</v>
      </c>
      <c r="T22" s="8">
        <v>1985</v>
      </c>
      <c r="U22" s="8">
        <f t="shared" si="1"/>
        <v>37</v>
      </c>
      <c r="V22" s="7">
        <v>31382</v>
      </c>
      <c r="W22" t="s">
        <v>240</v>
      </c>
      <c r="X22" s="2">
        <v>1.64</v>
      </c>
      <c r="Y22" s="6">
        <f t="shared" si="2"/>
        <v>4.3778863351218597E-2</v>
      </c>
      <c r="AA22" t="s">
        <v>239</v>
      </c>
      <c r="AB22">
        <v>18446</v>
      </c>
      <c r="AC22">
        <v>14320878</v>
      </c>
      <c r="AD22" t="s">
        <v>1</v>
      </c>
      <c r="AE22">
        <v>242</v>
      </c>
      <c r="AF22">
        <v>3</v>
      </c>
      <c r="AH22" t="s">
        <v>1803</v>
      </c>
      <c r="AI22" t="s">
        <v>1802</v>
      </c>
      <c r="AJ22" t="s">
        <v>1801</v>
      </c>
      <c r="AK22" t="s">
        <v>1800</v>
      </c>
      <c r="AL22">
        <v>169</v>
      </c>
      <c r="AM22" s="5">
        <f t="shared" si="3"/>
        <v>4.5675675675675675</v>
      </c>
      <c r="AN22" s="4">
        <f t="shared" si="4"/>
        <v>6.9179364900682581E-3</v>
      </c>
      <c r="AO22" s="3"/>
      <c r="AP22">
        <v>0</v>
      </c>
      <c r="AR22" t="s">
        <v>0</v>
      </c>
      <c r="AT22" s="2">
        <v>5.2489999999999997</v>
      </c>
      <c r="AU22" s="1">
        <f t="shared" si="5"/>
        <v>3.2720585292873494</v>
      </c>
      <c r="AV22" s="1">
        <f t="shared" si="6"/>
        <v>2.5348399920643425</v>
      </c>
      <c r="AW22" s="1">
        <f t="shared" si="7"/>
        <v>1.7976214548413361</v>
      </c>
    </row>
    <row r="23" spans="1:49" x14ac:dyDescent="0.2">
      <c r="A23">
        <v>21</v>
      </c>
      <c r="B23" t="s">
        <v>1799</v>
      </c>
      <c r="F23" t="s">
        <v>1798</v>
      </c>
      <c r="G23" t="s">
        <v>3</v>
      </c>
      <c r="H23" t="s">
        <v>2</v>
      </c>
      <c r="I23" t="s">
        <v>1797</v>
      </c>
      <c r="J23">
        <v>60028458</v>
      </c>
      <c r="K23" t="s">
        <v>1796</v>
      </c>
      <c r="L23" t="s">
        <v>117</v>
      </c>
      <c r="M23" t="s">
        <v>11</v>
      </c>
      <c r="N23">
        <v>1</v>
      </c>
      <c r="O23" t="s">
        <v>1795</v>
      </c>
      <c r="P23">
        <v>57225316664</v>
      </c>
      <c r="Q23">
        <v>60028458</v>
      </c>
      <c r="R23" s="7">
        <v>31382</v>
      </c>
      <c r="S23" s="8">
        <f t="shared" si="0"/>
        <v>1985</v>
      </c>
      <c r="T23" s="8">
        <v>1985</v>
      </c>
      <c r="U23" s="8">
        <f t="shared" si="1"/>
        <v>37</v>
      </c>
      <c r="V23" s="7">
        <v>31382</v>
      </c>
      <c r="W23" t="s">
        <v>808</v>
      </c>
      <c r="X23" s="2" t="s">
        <v>4</v>
      </c>
      <c r="Y23" s="6" t="e">
        <f t="shared" si="2"/>
        <v>#VALUE!</v>
      </c>
      <c r="AA23">
        <v>336831</v>
      </c>
      <c r="AB23">
        <v>33098</v>
      </c>
      <c r="AD23" t="s">
        <v>1</v>
      </c>
      <c r="AE23">
        <v>46</v>
      </c>
      <c r="AF23">
        <v>4</v>
      </c>
      <c r="AH23" t="s">
        <v>1794</v>
      </c>
      <c r="AI23" t="s">
        <v>1793</v>
      </c>
      <c r="AK23" t="s">
        <v>1792</v>
      </c>
      <c r="AL23">
        <v>3</v>
      </c>
      <c r="AM23" s="5">
        <f t="shared" si="3"/>
        <v>8.1081081081081086E-2</v>
      </c>
      <c r="AN23" s="4">
        <f t="shared" si="4"/>
        <v>1.2280360633257263E-4</v>
      </c>
      <c r="AO23" s="3"/>
      <c r="AP23">
        <v>0</v>
      </c>
      <c r="AR23" t="s">
        <v>0</v>
      </c>
      <c r="AT23" s="2" t="s">
        <v>4</v>
      </c>
      <c r="AU23" s="1" t="e">
        <f t="shared" si="5"/>
        <v>#VALUE!</v>
      </c>
      <c r="AV23" s="1" t="e">
        <f t="shared" si="6"/>
        <v>#VALUE!</v>
      </c>
      <c r="AW23" s="1" t="e">
        <f t="shared" si="7"/>
        <v>#VALUE!</v>
      </c>
    </row>
    <row r="24" spans="1:49" x14ac:dyDescent="0.2">
      <c r="A24">
        <v>22</v>
      </c>
      <c r="B24" t="s">
        <v>1791</v>
      </c>
      <c r="F24" t="s">
        <v>1790</v>
      </c>
      <c r="G24" t="s">
        <v>3</v>
      </c>
      <c r="H24" t="s">
        <v>2</v>
      </c>
      <c r="I24" t="s">
        <v>155</v>
      </c>
      <c r="J24">
        <v>60030635</v>
      </c>
      <c r="K24" t="s">
        <v>154</v>
      </c>
      <c r="L24" t="s">
        <v>57</v>
      </c>
      <c r="M24" t="s">
        <v>10</v>
      </c>
      <c r="N24">
        <v>3</v>
      </c>
      <c r="O24" t="s">
        <v>153</v>
      </c>
      <c r="P24" t="s">
        <v>152</v>
      </c>
      <c r="Q24" t="s">
        <v>151</v>
      </c>
      <c r="R24" s="7">
        <v>31382</v>
      </c>
      <c r="S24" s="8">
        <f t="shared" si="0"/>
        <v>1985</v>
      </c>
      <c r="T24" s="8">
        <v>1985</v>
      </c>
      <c r="U24" s="8">
        <f t="shared" si="1"/>
        <v>37</v>
      </c>
      <c r="V24" s="7">
        <v>31382</v>
      </c>
      <c r="W24" t="s">
        <v>147</v>
      </c>
      <c r="X24" s="2">
        <v>0.53700000000000003</v>
      </c>
      <c r="Y24" s="6">
        <f t="shared" si="2"/>
        <v>1.4334908304636823E-2</v>
      </c>
      <c r="AA24">
        <v>189499</v>
      </c>
      <c r="AB24">
        <v>17368</v>
      </c>
      <c r="AD24" t="s">
        <v>1</v>
      </c>
      <c r="AE24" t="s">
        <v>1014</v>
      </c>
      <c r="AF24">
        <v>5</v>
      </c>
      <c r="AI24" t="s">
        <v>1789</v>
      </c>
      <c r="AK24" t="s">
        <v>1788</v>
      </c>
      <c r="AL24">
        <v>2</v>
      </c>
      <c r="AM24" s="5">
        <f t="shared" si="3"/>
        <v>5.4054054054054057E-2</v>
      </c>
      <c r="AN24" s="4">
        <f t="shared" si="4"/>
        <v>8.1869070888381765E-5</v>
      </c>
      <c r="AO24" s="3"/>
      <c r="AP24">
        <v>0</v>
      </c>
      <c r="AR24" t="s">
        <v>0</v>
      </c>
      <c r="AT24" s="2">
        <v>1.679</v>
      </c>
      <c r="AU24" s="1">
        <f t="shared" si="5"/>
        <v>1.005899653451229</v>
      </c>
      <c r="AV24" s="1">
        <f t="shared" si="6"/>
        <v>0.72083886877626024</v>
      </c>
      <c r="AW24" s="1">
        <f t="shared" si="7"/>
        <v>0.43577808410129132</v>
      </c>
    </row>
    <row r="25" spans="1:49" x14ac:dyDescent="0.2">
      <c r="A25">
        <v>23</v>
      </c>
      <c r="B25" t="s">
        <v>1787</v>
      </c>
      <c r="F25" t="s">
        <v>1786</v>
      </c>
      <c r="G25" t="s">
        <v>3</v>
      </c>
      <c r="H25" t="s">
        <v>2</v>
      </c>
      <c r="I25" t="s">
        <v>1785</v>
      </c>
      <c r="N25">
        <v>2</v>
      </c>
      <c r="O25" t="s">
        <v>1784</v>
      </c>
      <c r="P25" t="s">
        <v>1783</v>
      </c>
      <c r="Q25" t="s">
        <v>48</v>
      </c>
      <c r="R25" s="7">
        <v>31382</v>
      </c>
      <c r="S25" s="8">
        <f t="shared" si="0"/>
        <v>1985</v>
      </c>
      <c r="T25" s="8">
        <v>1985</v>
      </c>
      <c r="U25" s="8">
        <f t="shared" si="1"/>
        <v>37</v>
      </c>
      <c r="V25" s="7">
        <v>1985</v>
      </c>
      <c r="W25" t="s">
        <v>1619</v>
      </c>
      <c r="X25" s="2" t="s">
        <v>4</v>
      </c>
      <c r="Y25" s="6" t="e">
        <f t="shared" si="2"/>
        <v>#VALUE!</v>
      </c>
      <c r="AA25">
        <v>1464108</v>
      </c>
      <c r="AB25">
        <v>31399</v>
      </c>
      <c r="AD25" t="s">
        <v>1</v>
      </c>
      <c r="AF25">
        <v>6</v>
      </c>
      <c r="AH25" t="s">
        <v>1782</v>
      </c>
      <c r="AI25" t="s">
        <v>1781</v>
      </c>
      <c r="AK25" t="s">
        <v>1780</v>
      </c>
      <c r="AL25">
        <v>0</v>
      </c>
      <c r="AM25" s="5">
        <f t="shared" si="3"/>
        <v>0</v>
      </c>
      <c r="AN25" s="4">
        <f t="shared" si="4"/>
        <v>0</v>
      </c>
      <c r="AO25" s="3"/>
      <c r="AP25">
        <v>0</v>
      </c>
      <c r="AR25" t="s">
        <v>0</v>
      </c>
      <c r="AT25" s="2" t="s">
        <v>4</v>
      </c>
      <c r="AU25" s="1" t="e">
        <f t="shared" si="5"/>
        <v>#VALUE!</v>
      </c>
      <c r="AV25" s="1" t="e">
        <f t="shared" si="6"/>
        <v>#VALUE!</v>
      </c>
      <c r="AW25" s="1" t="e">
        <f t="shared" si="7"/>
        <v>#VALUE!</v>
      </c>
    </row>
    <row r="26" spans="1:49" x14ac:dyDescent="0.2">
      <c r="A26">
        <v>24</v>
      </c>
      <c r="B26" t="s">
        <v>1779</v>
      </c>
      <c r="F26" t="s">
        <v>1778</v>
      </c>
      <c r="G26" t="s">
        <v>3</v>
      </c>
      <c r="H26" t="s">
        <v>2</v>
      </c>
      <c r="I26" t="s">
        <v>146</v>
      </c>
      <c r="J26">
        <v>60015623</v>
      </c>
      <c r="K26" t="s">
        <v>1777</v>
      </c>
      <c r="L26" t="s">
        <v>1776</v>
      </c>
      <c r="M26" t="s">
        <v>11</v>
      </c>
      <c r="N26">
        <v>6</v>
      </c>
      <c r="O26" t="s">
        <v>1775</v>
      </c>
      <c r="P26" t="s">
        <v>1774</v>
      </c>
      <c r="Q26" t="s">
        <v>1773</v>
      </c>
      <c r="R26" s="7">
        <v>31382</v>
      </c>
      <c r="S26" s="8">
        <f t="shared" si="0"/>
        <v>1985</v>
      </c>
      <c r="T26" s="8">
        <v>1985</v>
      </c>
      <c r="U26" s="8">
        <f t="shared" si="1"/>
        <v>37</v>
      </c>
      <c r="V26" s="7">
        <v>31382</v>
      </c>
      <c r="W26" t="s">
        <v>95</v>
      </c>
      <c r="X26" s="2">
        <v>1.3720000000000001</v>
      </c>
      <c r="Y26" s="6">
        <f t="shared" si="2"/>
        <v>3.662475641333654E-2</v>
      </c>
      <c r="AA26">
        <v>189480</v>
      </c>
      <c r="AB26">
        <v>17366</v>
      </c>
      <c r="AD26" t="s">
        <v>1</v>
      </c>
      <c r="AE26" t="s">
        <v>101</v>
      </c>
      <c r="AF26">
        <v>12</v>
      </c>
      <c r="AI26" t="s">
        <v>1772</v>
      </c>
      <c r="AK26" t="s">
        <v>1771</v>
      </c>
      <c r="AL26">
        <v>2</v>
      </c>
      <c r="AM26" s="5">
        <f t="shared" si="3"/>
        <v>5.4054054054054057E-2</v>
      </c>
      <c r="AN26" s="4">
        <f t="shared" si="4"/>
        <v>8.1869070888381765E-5</v>
      </c>
      <c r="AO26" s="3"/>
      <c r="AP26">
        <v>0</v>
      </c>
      <c r="AR26" t="s">
        <v>0</v>
      </c>
      <c r="AT26" s="2" t="s">
        <v>4</v>
      </c>
      <c r="AU26" s="1">
        <f t="shared" si="5"/>
        <v>2.5661890210602092</v>
      </c>
      <c r="AV26" s="1">
        <f t="shared" si="6"/>
        <v>1.8353312742112462</v>
      </c>
      <c r="AW26" s="1">
        <f t="shared" si="7"/>
        <v>1.104473527362283</v>
      </c>
    </row>
    <row r="27" spans="1:49" x14ac:dyDescent="0.2">
      <c r="A27">
        <v>25</v>
      </c>
      <c r="B27" t="s">
        <v>1770</v>
      </c>
      <c r="F27" t="s">
        <v>1769</v>
      </c>
      <c r="G27" t="s">
        <v>3</v>
      </c>
      <c r="H27" t="s">
        <v>2</v>
      </c>
      <c r="I27" t="s">
        <v>1768</v>
      </c>
      <c r="N27">
        <v>2</v>
      </c>
      <c r="O27" t="s">
        <v>1767</v>
      </c>
      <c r="P27" t="s">
        <v>1766</v>
      </c>
      <c r="Q27" t="s">
        <v>48</v>
      </c>
      <c r="R27" s="7">
        <v>31382</v>
      </c>
      <c r="S27" s="8">
        <f t="shared" si="0"/>
        <v>1985</v>
      </c>
      <c r="T27" s="8">
        <v>1985</v>
      </c>
      <c r="U27" s="8">
        <f t="shared" si="1"/>
        <v>37</v>
      </c>
      <c r="V27" s="7">
        <v>1985</v>
      </c>
      <c r="W27" t="s">
        <v>1646</v>
      </c>
      <c r="X27" s="2" t="s">
        <v>4</v>
      </c>
      <c r="Y27" s="6" t="e">
        <f t="shared" si="2"/>
        <v>#VALUE!</v>
      </c>
      <c r="AA27">
        <v>337870</v>
      </c>
      <c r="AB27">
        <v>32478</v>
      </c>
      <c r="AD27" t="s">
        <v>1</v>
      </c>
      <c r="AE27">
        <v>28</v>
      </c>
      <c r="AF27">
        <v>7</v>
      </c>
      <c r="AH27" s="9">
        <v>44507</v>
      </c>
      <c r="AI27" t="s">
        <v>1765</v>
      </c>
      <c r="AK27" t="s">
        <v>1764</v>
      </c>
      <c r="AL27">
        <v>0</v>
      </c>
      <c r="AM27" s="5">
        <f t="shared" si="3"/>
        <v>0</v>
      </c>
      <c r="AN27" s="4">
        <f t="shared" si="4"/>
        <v>0</v>
      </c>
      <c r="AO27" s="3"/>
      <c r="AP27">
        <v>0</v>
      </c>
      <c r="AR27" t="s">
        <v>0</v>
      </c>
      <c r="AT27" s="2" t="s">
        <v>4</v>
      </c>
      <c r="AU27" s="1" t="e">
        <f t="shared" si="5"/>
        <v>#VALUE!</v>
      </c>
      <c r="AV27" s="1" t="e">
        <f t="shared" si="6"/>
        <v>#VALUE!</v>
      </c>
      <c r="AW27" s="1" t="e">
        <f t="shared" si="7"/>
        <v>#VALUE!</v>
      </c>
    </row>
    <row r="28" spans="1:49" x14ac:dyDescent="0.2">
      <c r="A28">
        <v>26</v>
      </c>
      <c r="B28" t="s">
        <v>1763</v>
      </c>
      <c r="F28" t="s">
        <v>1762</v>
      </c>
      <c r="G28" t="s">
        <v>3</v>
      </c>
      <c r="H28" t="s">
        <v>2</v>
      </c>
      <c r="I28" t="s">
        <v>1761</v>
      </c>
      <c r="J28">
        <v>60008435</v>
      </c>
      <c r="K28" t="s">
        <v>76</v>
      </c>
      <c r="L28" t="s">
        <v>75</v>
      </c>
      <c r="M28" t="s">
        <v>35</v>
      </c>
      <c r="N28">
        <v>2</v>
      </c>
      <c r="O28" t="s">
        <v>1760</v>
      </c>
      <c r="P28" t="s">
        <v>1759</v>
      </c>
      <c r="Q28" t="s">
        <v>131</v>
      </c>
      <c r="R28" s="7">
        <v>31382</v>
      </c>
      <c r="S28" s="8">
        <f t="shared" si="0"/>
        <v>1985</v>
      </c>
      <c r="T28" s="8">
        <v>1985</v>
      </c>
      <c r="U28" s="8">
        <f t="shared" si="1"/>
        <v>37</v>
      </c>
      <c r="V28" s="7">
        <v>1985</v>
      </c>
      <c r="W28" t="s">
        <v>1638</v>
      </c>
      <c r="X28" s="2" t="s">
        <v>4</v>
      </c>
      <c r="Y28" s="6" t="e">
        <f t="shared" si="2"/>
        <v>#VALUE!</v>
      </c>
      <c r="AA28">
        <v>8836272</v>
      </c>
      <c r="AB28">
        <v>77323</v>
      </c>
      <c r="AD28" t="s">
        <v>1</v>
      </c>
      <c r="AE28">
        <v>6</v>
      </c>
      <c r="AF28">
        <v>3</v>
      </c>
      <c r="AH28" t="s">
        <v>1758</v>
      </c>
      <c r="AI28" t="s">
        <v>1757</v>
      </c>
      <c r="AK28" t="s">
        <v>1756</v>
      </c>
      <c r="AL28">
        <v>2</v>
      </c>
      <c r="AM28" s="5">
        <f t="shared" si="3"/>
        <v>5.4054054054054057E-2</v>
      </c>
      <c r="AN28" s="4">
        <f t="shared" si="4"/>
        <v>8.1869070888381765E-5</v>
      </c>
      <c r="AO28" s="3"/>
      <c r="AP28">
        <v>0</v>
      </c>
      <c r="AR28" t="s">
        <v>0</v>
      </c>
      <c r="AT28" s="2" t="s">
        <v>4</v>
      </c>
      <c r="AU28" s="1" t="e">
        <f t="shared" si="5"/>
        <v>#VALUE!</v>
      </c>
      <c r="AV28" s="1" t="e">
        <f t="shared" si="6"/>
        <v>#VALUE!</v>
      </c>
      <c r="AW28" s="1" t="e">
        <f t="shared" si="7"/>
        <v>#VALUE!</v>
      </c>
    </row>
    <row r="29" spans="1:49" x14ac:dyDescent="0.2">
      <c r="A29">
        <v>27</v>
      </c>
      <c r="B29" t="s">
        <v>1755</v>
      </c>
      <c r="F29" t="s">
        <v>1754</v>
      </c>
      <c r="G29" t="s">
        <v>3</v>
      </c>
      <c r="H29" t="s">
        <v>2</v>
      </c>
      <c r="I29" t="s">
        <v>1753</v>
      </c>
      <c r="N29">
        <v>1</v>
      </c>
      <c r="O29" t="s">
        <v>1752</v>
      </c>
      <c r="P29">
        <v>57132900100</v>
      </c>
      <c r="R29" s="7">
        <v>31382</v>
      </c>
      <c r="S29" s="8">
        <f t="shared" si="0"/>
        <v>1985</v>
      </c>
      <c r="T29" s="8">
        <v>1985</v>
      </c>
      <c r="U29" s="8">
        <f t="shared" si="1"/>
        <v>37</v>
      </c>
      <c r="V29" s="7">
        <v>1985</v>
      </c>
      <c r="W29" t="s">
        <v>1751</v>
      </c>
      <c r="X29" s="2" t="s">
        <v>4</v>
      </c>
      <c r="Y29" s="6" t="e">
        <f t="shared" si="2"/>
        <v>#VALUE!</v>
      </c>
      <c r="AA29">
        <v>17035</v>
      </c>
      <c r="AB29">
        <v>30653</v>
      </c>
      <c r="AD29" t="s">
        <v>1</v>
      </c>
      <c r="AE29">
        <v>98</v>
      </c>
      <c r="AF29" s="9">
        <v>44289</v>
      </c>
      <c r="AH29" t="s">
        <v>1750</v>
      </c>
      <c r="AI29" t="s">
        <v>1749</v>
      </c>
      <c r="AK29" t="s">
        <v>1748</v>
      </c>
      <c r="AL29">
        <v>0</v>
      </c>
      <c r="AM29" s="5">
        <f t="shared" si="3"/>
        <v>0</v>
      </c>
      <c r="AN29" s="4">
        <f t="shared" si="4"/>
        <v>0</v>
      </c>
      <c r="AO29" s="3"/>
      <c r="AP29">
        <v>0</v>
      </c>
      <c r="AR29" t="s">
        <v>0</v>
      </c>
      <c r="AT29" s="2" t="s">
        <v>4</v>
      </c>
      <c r="AU29" s="1" t="e">
        <f t="shared" si="5"/>
        <v>#VALUE!</v>
      </c>
      <c r="AV29" s="1" t="e">
        <f t="shared" si="6"/>
        <v>#VALUE!</v>
      </c>
      <c r="AW29" s="1" t="e">
        <f t="shared" si="7"/>
        <v>#VALUE!</v>
      </c>
    </row>
    <row r="30" spans="1:49" x14ac:dyDescent="0.2">
      <c r="A30">
        <v>28</v>
      </c>
      <c r="B30" t="s">
        <v>1747</v>
      </c>
      <c r="C30" t="s">
        <v>1746</v>
      </c>
      <c r="F30" t="s">
        <v>1745</v>
      </c>
      <c r="G30" t="s">
        <v>3</v>
      </c>
      <c r="H30" t="s">
        <v>2</v>
      </c>
      <c r="I30" t="s">
        <v>1744</v>
      </c>
      <c r="N30">
        <v>2</v>
      </c>
      <c r="O30" t="s">
        <v>1743</v>
      </c>
      <c r="P30" t="s">
        <v>1742</v>
      </c>
      <c r="Q30" t="s">
        <v>48</v>
      </c>
      <c r="R30" s="7">
        <v>31382</v>
      </c>
      <c r="S30" s="8">
        <f t="shared" si="0"/>
        <v>1985</v>
      </c>
      <c r="T30" s="8">
        <v>1985</v>
      </c>
      <c r="U30" s="8">
        <f t="shared" si="1"/>
        <v>37</v>
      </c>
      <c r="V30" s="7">
        <v>31382</v>
      </c>
      <c r="W30" t="s">
        <v>180</v>
      </c>
      <c r="X30" s="2">
        <v>0.318</v>
      </c>
      <c r="Y30" s="6">
        <f t="shared" si="2"/>
        <v>8.4888283815167786E-3</v>
      </c>
      <c r="AA30">
        <v>338443</v>
      </c>
      <c r="AB30">
        <v>27160</v>
      </c>
      <c r="AC30">
        <v>15739120</v>
      </c>
      <c r="AD30" t="s">
        <v>1</v>
      </c>
      <c r="AE30">
        <v>28</v>
      </c>
      <c r="AF30">
        <v>12</v>
      </c>
      <c r="AH30" t="s">
        <v>1741</v>
      </c>
      <c r="AL30">
        <v>0</v>
      </c>
      <c r="AM30" s="5">
        <f t="shared" si="3"/>
        <v>0</v>
      </c>
      <c r="AN30" s="4">
        <f t="shared" si="4"/>
        <v>0</v>
      </c>
      <c r="AO30" s="3"/>
      <c r="AP30">
        <v>0</v>
      </c>
      <c r="AR30" t="s">
        <v>0</v>
      </c>
      <c r="AT30" s="2">
        <v>0.77</v>
      </c>
      <c r="AU30" s="1">
        <f t="shared" si="5"/>
        <v>0.59421798670617454</v>
      </c>
      <c r="AV30" s="1">
        <f t="shared" si="6"/>
        <v>0.42444141907583893</v>
      </c>
      <c r="AW30" s="1">
        <f t="shared" si="7"/>
        <v>0.25466485144550338</v>
      </c>
    </row>
    <row r="31" spans="1:49" x14ac:dyDescent="0.2">
      <c r="A31">
        <v>29</v>
      </c>
      <c r="B31" t="s">
        <v>1740</v>
      </c>
      <c r="F31" t="s">
        <v>1739</v>
      </c>
      <c r="G31" t="s">
        <v>3</v>
      </c>
      <c r="H31" t="s">
        <v>2</v>
      </c>
      <c r="I31" t="s">
        <v>1738</v>
      </c>
      <c r="J31">
        <v>60000617</v>
      </c>
      <c r="K31" t="s">
        <v>1737</v>
      </c>
      <c r="L31" t="s">
        <v>1736</v>
      </c>
      <c r="M31" t="s">
        <v>99</v>
      </c>
      <c r="N31">
        <v>2</v>
      </c>
      <c r="O31" t="s">
        <v>1735</v>
      </c>
      <c r="P31" t="s">
        <v>1734</v>
      </c>
      <c r="Q31" t="s">
        <v>1733</v>
      </c>
      <c r="R31" s="7">
        <v>31382</v>
      </c>
      <c r="S31" s="8">
        <f t="shared" si="0"/>
        <v>1985</v>
      </c>
      <c r="T31" s="8">
        <v>1985</v>
      </c>
      <c r="U31" s="8">
        <f t="shared" si="1"/>
        <v>37</v>
      </c>
      <c r="V31" s="7">
        <v>1985</v>
      </c>
      <c r="W31" t="s">
        <v>1725</v>
      </c>
      <c r="X31" s="2" t="s">
        <v>4</v>
      </c>
      <c r="Y31" s="6" t="e">
        <f t="shared" si="2"/>
        <v>#VALUE!</v>
      </c>
      <c r="AA31">
        <v>7612508</v>
      </c>
      <c r="AB31">
        <v>28513</v>
      </c>
      <c r="AD31" t="s">
        <v>1</v>
      </c>
      <c r="AE31">
        <v>5</v>
      </c>
      <c r="AF31">
        <v>4</v>
      </c>
      <c r="AH31" t="s">
        <v>1732</v>
      </c>
      <c r="AI31" t="s">
        <v>1731</v>
      </c>
      <c r="AK31" t="s">
        <v>1730</v>
      </c>
      <c r="AL31">
        <v>0</v>
      </c>
      <c r="AM31" s="5">
        <f t="shared" si="3"/>
        <v>0</v>
      </c>
      <c r="AN31" s="4">
        <f t="shared" si="4"/>
        <v>0</v>
      </c>
      <c r="AO31" s="3"/>
      <c r="AP31">
        <v>0</v>
      </c>
      <c r="AR31" t="s">
        <v>0</v>
      </c>
      <c r="AT31" s="2" t="s">
        <v>4</v>
      </c>
      <c r="AU31" s="1" t="e">
        <f t="shared" si="5"/>
        <v>#VALUE!</v>
      </c>
      <c r="AV31" s="1" t="e">
        <f t="shared" si="6"/>
        <v>#VALUE!</v>
      </c>
      <c r="AW31" s="1" t="e">
        <f t="shared" si="7"/>
        <v>#VALUE!</v>
      </c>
    </row>
    <row r="32" spans="1:49" x14ac:dyDescent="0.2">
      <c r="A32">
        <v>30</v>
      </c>
      <c r="B32" t="s">
        <v>1729</v>
      </c>
      <c r="F32" t="s">
        <v>1728</v>
      </c>
      <c r="G32" t="s">
        <v>3</v>
      </c>
      <c r="H32" t="s">
        <v>2</v>
      </c>
      <c r="I32" t="s">
        <v>1727</v>
      </c>
      <c r="N32">
        <v>1</v>
      </c>
      <c r="O32" t="s">
        <v>1726</v>
      </c>
      <c r="P32">
        <v>6506952768</v>
      </c>
      <c r="R32" s="7">
        <v>31382</v>
      </c>
      <c r="S32" s="8">
        <f t="shared" si="0"/>
        <v>1985</v>
      </c>
      <c r="T32" s="8">
        <v>1985</v>
      </c>
      <c r="U32" s="8">
        <f t="shared" si="1"/>
        <v>37</v>
      </c>
      <c r="V32" s="7">
        <v>1985</v>
      </c>
      <c r="W32" t="s">
        <v>1725</v>
      </c>
      <c r="X32" s="2" t="s">
        <v>4</v>
      </c>
      <c r="Y32" s="6" t="e">
        <f t="shared" si="2"/>
        <v>#VALUE!</v>
      </c>
      <c r="AA32">
        <v>7612508</v>
      </c>
      <c r="AB32">
        <v>28513</v>
      </c>
      <c r="AD32" t="s">
        <v>1</v>
      </c>
      <c r="AE32">
        <v>2</v>
      </c>
      <c r="AF32">
        <v>4</v>
      </c>
      <c r="AH32" t="s">
        <v>1724</v>
      </c>
      <c r="AI32" t="s">
        <v>1723</v>
      </c>
      <c r="AK32" t="s">
        <v>1722</v>
      </c>
      <c r="AL32">
        <v>0</v>
      </c>
      <c r="AM32" s="5">
        <f t="shared" si="3"/>
        <v>0</v>
      </c>
      <c r="AN32" s="4">
        <f t="shared" si="4"/>
        <v>0</v>
      </c>
      <c r="AO32" s="3"/>
      <c r="AP32">
        <v>0</v>
      </c>
      <c r="AR32" t="s">
        <v>0</v>
      </c>
      <c r="AT32" s="2" t="s">
        <v>4</v>
      </c>
      <c r="AU32" s="1" t="e">
        <f t="shared" si="5"/>
        <v>#VALUE!</v>
      </c>
      <c r="AV32" s="1" t="e">
        <f t="shared" si="6"/>
        <v>#VALUE!</v>
      </c>
      <c r="AW32" s="1" t="e">
        <f t="shared" si="7"/>
        <v>#VALUE!</v>
      </c>
    </row>
    <row r="33" spans="1:49" x14ac:dyDescent="0.2">
      <c r="A33">
        <v>31</v>
      </c>
      <c r="B33" t="s">
        <v>1721</v>
      </c>
      <c r="F33" t="s">
        <v>1720</v>
      </c>
      <c r="G33" t="s">
        <v>3</v>
      </c>
      <c r="H33" t="s">
        <v>2</v>
      </c>
      <c r="I33" t="s">
        <v>1719</v>
      </c>
      <c r="J33">
        <v>60011001</v>
      </c>
      <c r="K33" t="s">
        <v>138</v>
      </c>
      <c r="L33" t="s">
        <v>137</v>
      </c>
      <c r="M33" t="s">
        <v>35</v>
      </c>
      <c r="N33">
        <v>2</v>
      </c>
      <c r="O33" t="s">
        <v>1718</v>
      </c>
      <c r="P33" t="s">
        <v>1717</v>
      </c>
      <c r="Q33" t="s">
        <v>202</v>
      </c>
      <c r="R33" s="7">
        <v>31382</v>
      </c>
      <c r="S33" s="8">
        <f t="shared" si="0"/>
        <v>1985</v>
      </c>
      <c r="T33" s="8">
        <v>1985</v>
      </c>
      <c r="U33" s="8">
        <f t="shared" si="1"/>
        <v>37</v>
      </c>
      <c r="V33" s="7">
        <v>1985</v>
      </c>
      <c r="W33" t="s">
        <v>1638</v>
      </c>
      <c r="X33" s="2" t="s">
        <v>4</v>
      </c>
      <c r="Y33" s="6" t="e">
        <f t="shared" si="2"/>
        <v>#VALUE!</v>
      </c>
      <c r="AA33">
        <v>8836272</v>
      </c>
      <c r="AB33">
        <v>77323</v>
      </c>
      <c r="AD33" t="s">
        <v>1</v>
      </c>
      <c r="AE33">
        <v>6</v>
      </c>
      <c r="AF33">
        <v>3</v>
      </c>
      <c r="AH33" t="s">
        <v>1716</v>
      </c>
      <c r="AI33" t="s">
        <v>1715</v>
      </c>
      <c r="AK33" t="s">
        <v>1714</v>
      </c>
      <c r="AL33">
        <v>16</v>
      </c>
      <c r="AM33" s="5">
        <f t="shared" si="3"/>
        <v>0.43243243243243246</v>
      </c>
      <c r="AN33" s="4">
        <f t="shared" si="4"/>
        <v>6.5495256710705412E-4</v>
      </c>
      <c r="AO33" s="3"/>
      <c r="AP33">
        <v>0</v>
      </c>
      <c r="AR33" t="s">
        <v>0</v>
      </c>
      <c r="AT33" s="2" t="s">
        <v>4</v>
      </c>
      <c r="AU33" s="1" t="e">
        <f t="shared" si="5"/>
        <v>#VALUE!</v>
      </c>
      <c r="AV33" s="1" t="e">
        <f t="shared" si="6"/>
        <v>#VALUE!</v>
      </c>
      <c r="AW33" s="1" t="e">
        <f t="shared" si="7"/>
        <v>#VALUE!</v>
      </c>
    </row>
    <row r="34" spans="1:49" x14ac:dyDescent="0.2">
      <c r="A34">
        <v>32</v>
      </c>
      <c r="B34" t="s">
        <v>1713</v>
      </c>
      <c r="F34" t="s">
        <v>1712</v>
      </c>
      <c r="G34" t="s">
        <v>3</v>
      </c>
      <c r="H34" t="s">
        <v>2</v>
      </c>
      <c r="I34" t="s">
        <v>1711</v>
      </c>
      <c r="J34">
        <v>100688874</v>
      </c>
      <c r="K34" t="s">
        <v>1710</v>
      </c>
      <c r="L34" t="s">
        <v>1709</v>
      </c>
      <c r="M34" t="s">
        <v>38</v>
      </c>
      <c r="N34">
        <v>2</v>
      </c>
      <c r="O34" t="s">
        <v>1708</v>
      </c>
      <c r="P34" t="s">
        <v>1707</v>
      </c>
      <c r="Q34" t="s">
        <v>1706</v>
      </c>
      <c r="R34" s="7">
        <v>31382</v>
      </c>
      <c r="S34" s="8">
        <f t="shared" si="0"/>
        <v>1985</v>
      </c>
      <c r="T34" s="8">
        <v>1985</v>
      </c>
      <c r="U34" s="8">
        <f t="shared" si="1"/>
        <v>37</v>
      </c>
      <c r="V34" s="7">
        <v>1985</v>
      </c>
      <c r="W34" t="s">
        <v>1705</v>
      </c>
      <c r="X34" s="2" t="s">
        <v>4</v>
      </c>
      <c r="Y34" s="6" t="e">
        <f t="shared" si="2"/>
        <v>#VALUE!</v>
      </c>
      <c r="AA34">
        <v>3759970</v>
      </c>
      <c r="AB34">
        <v>30544</v>
      </c>
      <c r="AD34" t="s">
        <v>1</v>
      </c>
      <c r="AE34">
        <v>29</v>
      </c>
      <c r="AF34">
        <v>2</v>
      </c>
      <c r="AH34" t="s">
        <v>1704</v>
      </c>
      <c r="AI34" t="s">
        <v>1703</v>
      </c>
      <c r="AK34" t="s">
        <v>1702</v>
      </c>
      <c r="AL34">
        <v>0</v>
      </c>
      <c r="AM34" s="5">
        <f t="shared" si="3"/>
        <v>0</v>
      </c>
      <c r="AN34" s="4">
        <f t="shared" si="4"/>
        <v>0</v>
      </c>
      <c r="AO34" s="3"/>
      <c r="AP34">
        <v>0</v>
      </c>
      <c r="AR34" t="s">
        <v>0</v>
      </c>
      <c r="AT34" s="2" t="s">
        <v>4</v>
      </c>
      <c r="AU34" s="1" t="e">
        <f t="shared" si="5"/>
        <v>#VALUE!</v>
      </c>
      <c r="AV34" s="1" t="e">
        <f t="shared" si="6"/>
        <v>#VALUE!</v>
      </c>
      <c r="AW34" s="1" t="e">
        <f t="shared" si="7"/>
        <v>#VALUE!</v>
      </c>
    </row>
    <row r="35" spans="1:49" x14ac:dyDescent="0.2">
      <c r="A35">
        <v>33</v>
      </c>
      <c r="B35" t="s">
        <v>1701</v>
      </c>
      <c r="F35" t="s">
        <v>1700</v>
      </c>
      <c r="G35" t="s">
        <v>3</v>
      </c>
      <c r="H35" t="s">
        <v>2</v>
      </c>
      <c r="I35" t="s">
        <v>506</v>
      </c>
      <c r="N35">
        <v>4</v>
      </c>
      <c r="O35" t="s">
        <v>1699</v>
      </c>
      <c r="P35" t="s">
        <v>1698</v>
      </c>
      <c r="Q35" t="s">
        <v>30</v>
      </c>
      <c r="R35" s="7">
        <v>31382</v>
      </c>
      <c r="S35" s="8">
        <f t="shared" si="0"/>
        <v>1985</v>
      </c>
      <c r="T35" s="8">
        <v>1985</v>
      </c>
      <c r="U35" s="8">
        <f t="shared" si="1"/>
        <v>37</v>
      </c>
      <c r="V35" s="7">
        <v>31382</v>
      </c>
      <c r="W35" t="s">
        <v>482</v>
      </c>
      <c r="X35" s="2" t="s">
        <v>4</v>
      </c>
      <c r="Y35" s="6" t="e">
        <f t="shared" si="2"/>
        <v>#VALUE!</v>
      </c>
      <c r="AA35">
        <v>87566648</v>
      </c>
      <c r="AB35">
        <v>74127</v>
      </c>
      <c r="AD35" t="s">
        <v>1</v>
      </c>
      <c r="AE35">
        <v>30</v>
      </c>
      <c r="AF35">
        <v>12</v>
      </c>
      <c r="AH35" t="s">
        <v>1697</v>
      </c>
      <c r="AI35" t="s">
        <v>1696</v>
      </c>
      <c r="AK35" t="s">
        <v>1695</v>
      </c>
      <c r="AL35">
        <v>0</v>
      </c>
      <c r="AM35" s="5">
        <f t="shared" si="3"/>
        <v>0</v>
      </c>
      <c r="AN35" s="4">
        <f t="shared" si="4"/>
        <v>0</v>
      </c>
      <c r="AO35" s="3"/>
      <c r="AP35">
        <v>0</v>
      </c>
      <c r="AR35" t="s">
        <v>0</v>
      </c>
      <c r="AT35" s="2" t="s">
        <v>4</v>
      </c>
      <c r="AU35" s="1" t="e">
        <f t="shared" si="5"/>
        <v>#VALUE!</v>
      </c>
      <c r="AV35" s="1" t="e">
        <f t="shared" si="6"/>
        <v>#VALUE!</v>
      </c>
      <c r="AW35" s="1" t="e">
        <f t="shared" si="7"/>
        <v>#VALUE!</v>
      </c>
    </row>
    <row r="36" spans="1:49" x14ac:dyDescent="0.2">
      <c r="A36">
        <v>34</v>
      </c>
      <c r="B36" t="s">
        <v>1694</v>
      </c>
      <c r="F36" t="s">
        <v>1693</v>
      </c>
      <c r="G36" t="s">
        <v>3</v>
      </c>
      <c r="H36" t="s">
        <v>2</v>
      </c>
      <c r="I36" t="s">
        <v>1692</v>
      </c>
      <c r="N36">
        <v>1</v>
      </c>
      <c r="O36" t="s">
        <v>1691</v>
      </c>
      <c r="P36">
        <v>6701772560</v>
      </c>
      <c r="R36" s="7">
        <v>31382</v>
      </c>
      <c r="S36" s="8">
        <f t="shared" si="0"/>
        <v>1985</v>
      </c>
      <c r="T36" s="8">
        <v>1985</v>
      </c>
      <c r="U36" s="8">
        <f t="shared" si="1"/>
        <v>37</v>
      </c>
      <c r="V36" s="7">
        <v>31382</v>
      </c>
      <c r="W36" t="s">
        <v>482</v>
      </c>
      <c r="X36" s="2" t="s">
        <v>4</v>
      </c>
      <c r="Y36" s="6" t="e">
        <f t="shared" si="2"/>
        <v>#VALUE!</v>
      </c>
      <c r="AA36">
        <v>87566648</v>
      </c>
      <c r="AB36">
        <v>74127</v>
      </c>
      <c r="AD36" t="s">
        <v>1</v>
      </c>
      <c r="AE36">
        <v>30</v>
      </c>
      <c r="AF36">
        <v>12</v>
      </c>
      <c r="AH36" t="s">
        <v>1690</v>
      </c>
      <c r="AI36" t="s">
        <v>1689</v>
      </c>
      <c r="AK36" t="s">
        <v>1688</v>
      </c>
      <c r="AL36">
        <v>0</v>
      </c>
      <c r="AM36" s="5">
        <f t="shared" si="3"/>
        <v>0</v>
      </c>
      <c r="AN36" s="4">
        <f t="shared" si="4"/>
        <v>0</v>
      </c>
      <c r="AO36" s="3"/>
      <c r="AP36">
        <v>0</v>
      </c>
      <c r="AR36" t="s">
        <v>0</v>
      </c>
      <c r="AT36" s="2" t="s">
        <v>4</v>
      </c>
      <c r="AU36" s="1" t="e">
        <f t="shared" si="5"/>
        <v>#VALUE!</v>
      </c>
      <c r="AV36" s="1" t="e">
        <f t="shared" si="6"/>
        <v>#VALUE!</v>
      </c>
      <c r="AW36" s="1" t="e">
        <f t="shared" si="7"/>
        <v>#VALUE!</v>
      </c>
    </row>
    <row r="37" spans="1:49" x14ac:dyDescent="0.2">
      <c r="A37">
        <v>35</v>
      </c>
      <c r="B37" t="s">
        <v>1687</v>
      </c>
      <c r="F37" t="s">
        <v>1686</v>
      </c>
      <c r="G37" t="s">
        <v>3</v>
      </c>
      <c r="H37" t="s">
        <v>2</v>
      </c>
      <c r="I37" t="s">
        <v>1685</v>
      </c>
      <c r="N37">
        <v>3</v>
      </c>
      <c r="O37" t="s">
        <v>1684</v>
      </c>
      <c r="P37" t="s">
        <v>1683</v>
      </c>
      <c r="Q37" t="s">
        <v>25</v>
      </c>
      <c r="R37" s="7">
        <v>31382</v>
      </c>
      <c r="S37" s="8">
        <f t="shared" si="0"/>
        <v>1985</v>
      </c>
      <c r="T37" s="8">
        <v>1985</v>
      </c>
      <c r="U37" s="8">
        <f t="shared" si="1"/>
        <v>37</v>
      </c>
      <c r="V37" s="7">
        <v>1985</v>
      </c>
      <c r="W37" t="s">
        <v>1646</v>
      </c>
      <c r="X37" s="2" t="s">
        <v>4</v>
      </c>
      <c r="Y37" s="6" t="e">
        <f t="shared" si="2"/>
        <v>#VALUE!</v>
      </c>
      <c r="AA37">
        <v>337870</v>
      </c>
      <c r="AB37">
        <v>32478</v>
      </c>
      <c r="AD37" t="s">
        <v>1</v>
      </c>
      <c r="AE37">
        <v>28</v>
      </c>
      <c r="AF37">
        <v>9</v>
      </c>
      <c r="AH37" s="9">
        <v>44445</v>
      </c>
      <c r="AI37" t="s">
        <v>1682</v>
      </c>
      <c r="AK37" t="s">
        <v>1681</v>
      </c>
      <c r="AL37">
        <v>1</v>
      </c>
      <c r="AM37" s="5">
        <f t="shared" si="3"/>
        <v>2.7027027027027029E-2</v>
      </c>
      <c r="AN37" s="4">
        <f t="shared" si="4"/>
        <v>4.0934535444190883E-5</v>
      </c>
      <c r="AO37" s="3"/>
      <c r="AP37">
        <v>0</v>
      </c>
      <c r="AR37" t="s">
        <v>0</v>
      </c>
      <c r="AT37" s="2" t="s">
        <v>4</v>
      </c>
      <c r="AU37" s="1" t="e">
        <f t="shared" si="5"/>
        <v>#VALUE!</v>
      </c>
      <c r="AV37" s="1" t="e">
        <f t="shared" si="6"/>
        <v>#VALUE!</v>
      </c>
      <c r="AW37" s="1" t="e">
        <f t="shared" si="7"/>
        <v>#VALUE!</v>
      </c>
    </row>
    <row r="38" spans="1:49" x14ac:dyDescent="0.2">
      <c r="A38">
        <v>36</v>
      </c>
      <c r="B38" t="s">
        <v>1680</v>
      </c>
      <c r="F38" t="s">
        <v>1679</v>
      </c>
      <c r="G38" t="s">
        <v>3</v>
      </c>
      <c r="H38" t="s">
        <v>2</v>
      </c>
      <c r="I38" t="s">
        <v>1678</v>
      </c>
      <c r="N38">
        <v>3</v>
      </c>
      <c r="O38" t="s">
        <v>1677</v>
      </c>
      <c r="P38" t="s">
        <v>1676</v>
      </c>
      <c r="Q38" t="s">
        <v>25</v>
      </c>
      <c r="R38" s="7">
        <v>31382</v>
      </c>
      <c r="S38" s="8">
        <f t="shared" si="0"/>
        <v>1985</v>
      </c>
      <c r="T38" s="8">
        <v>1985</v>
      </c>
      <c r="U38" s="8">
        <f t="shared" si="1"/>
        <v>37</v>
      </c>
      <c r="V38" s="7">
        <v>1985</v>
      </c>
      <c r="W38" t="s">
        <v>1646</v>
      </c>
      <c r="X38" s="2" t="s">
        <v>4</v>
      </c>
      <c r="Y38" s="6" t="e">
        <f t="shared" si="2"/>
        <v>#VALUE!</v>
      </c>
      <c r="AA38">
        <v>337870</v>
      </c>
      <c r="AB38">
        <v>32478</v>
      </c>
      <c r="AD38" t="s">
        <v>1</v>
      </c>
      <c r="AE38">
        <v>28</v>
      </c>
      <c r="AF38">
        <v>10</v>
      </c>
      <c r="AH38" t="s">
        <v>1675</v>
      </c>
      <c r="AI38" t="s">
        <v>1674</v>
      </c>
      <c r="AK38" t="s">
        <v>1673</v>
      </c>
      <c r="AL38">
        <v>0</v>
      </c>
      <c r="AM38" s="5">
        <f t="shared" si="3"/>
        <v>0</v>
      </c>
      <c r="AN38" s="4">
        <f t="shared" si="4"/>
        <v>0</v>
      </c>
      <c r="AO38" s="3"/>
      <c r="AP38">
        <v>0</v>
      </c>
      <c r="AR38" t="s">
        <v>0</v>
      </c>
      <c r="AT38" s="2" t="s">
        <v>4</v>
      </c>
      <c r="AU38" s="1" t="e">
        <f t="shared" si="5"/>
        <v>#VALUE!</v>
      </c>
      <c r="AV38" s="1" t="e">
        <f t="shared" si="6"/>
        <v>#VALUE!</v>
      </c>
      <c r="AW38" s="1" t="e">
        <f t="shared" si="7"/>
        <v>#VALUE!</v>
      </c>
    </row>
    <row r="39" spans="1:49" x14ac:dyDescent="0.2">
      <c r="A39">
        <v>37</v>
      </c>
      <c r="B39" t="s">
        <v>1672</v>
      </c>
      <c r="F39" t="s">
        <v>1671</v>
      </c>
      <c r="G39" t="s">
        <v>3</v>
      </c>
      <c r="H39" t="s">
        <v>2</v>
      </c>
      <c r="I39" t="s">
        <v>1670</v>
      </c>
      <c r="N39">
        <v>2</v>
      </c>
      <c r="O39" t="s">
        <v>1669</v>
      </c>
      <c r="P39" t="s">
        <v>1668</v>
      </c>
      <c r="Q39" t="s">
        <v>48</v>
      </c>
      <c r="R39" s="7">
        <v>31382</v>
      </c>
      <c r="S39" s="8">
        <f t="shared" si="0"/>
        <v>1985</v>
      </c>
      <c r="T39" s="8">
        <v>1985</v>
      </c>
      <c r="U39" s="8">
        <f t="shared" si="1"/>
        <v>37</v>
      </c>
      <c r="V39" s="7">
        <v>1985</v>
      </c>
      <c r="W39" t="s">
        <v>1646</v>
      </c>
      <c r="X39" s="2" t="s">
        <v>4</v>
      </c>
      <c r="Y39" s="6" t="e">
        <f t="shared" si="2"/>
        <v>#VALUE!</v>
      </c>
      <c r="AA39">
        <v>337870</v>
      </c>
      <c r="AB39">
        <v>32478</v>
      </c>
      <c r="AD39" t="s">
        <v>1</v>
      </c>
      <c r="AE39">
        <v>28</v>
      </c>
      <c r="AF39">
        <v>7</v>
      </c>
      <c r="AH39" s="10">
        <v>42339</v>
      </c>
      <c r="AI39" t="s">
        <v>1667</v>
      </c>
      <c r="AK39" t="s">
        <v>1666</v>
      </c>
      <c r="AL39">
        <v>0</v>
      </c>
      <c r="AM39" s="5">
        <f t="shared" si="3"/>
        <v>0</v>
      </c>
      <c r="AN39" s="4">
        <f t="shared" si="4"/>
        <v>0</v>
      </c>
      <c r="AO39" s="3"/>
      <c r="AP39">
        <v>0</v>
      </c>
      <c r="AR39" t="s">
        <v>0</v>
      </c>
      <c r="AT39" s="2" t="s">
        <v>4</v>
      </c>
      <c r="AU39" s="1" t="e">
        <f t="shared" si="5"/>
        <v>#VALUE!</v>
      </c>
      <c r="AV39" s="1" t="e">
        <f t="shared" si="6"/>
        <v>#VALUE!</v>
      </c>
      <c r="AW39" s="1" t="e">
        <f t="shared" si="7"/>
        <v>#VALUE!</v>
      </c>
    </row>
    <row r="40" spans="1:49" x14ac:dyDescent="0.2">
      <c r="A40">
        <v>38</v>
      </c>
      <c r="B40" t="s">
        <v>1665</v>
      </c>
      <c r="F40" t="s">
        <v>1664</v>
      </c>
      <c r="G40" t="s">
        <v>3</v>
      </c>
      <c r="H40" t="s">
        <v>2</v>
      </c>
      <c r="I40" t="s">
        <v>1663</v>
      </c>
      <c r="N40">
        <v>2</v>
      </c>
      <c r="O40" t="s">
        <v>1662</v>
      </c>
      <c r="P40" t="s">
        <v>1661</v>
      </c>
      <c r="Q40" t="s">
        <v>48</v>
      </c>
      <c r="R40" s="7">
        <v>31382</v>
      </c>
      <c r="S40" s="8">
        <f t="shared" si="0"/>
        <v>1985</v>
      </c>
      <c r="T40" s="8">
        <v>1985</v>
      </c>
      <c r="U40" s="8">
        <f t="shared" si="1"/>
        <v>37</v>
      </c>
      <c r="V40" s="7">
        <v>1985</v>
      </c>
      <c r="W40" t="s">
        <v>1646</v>
      </c>
      <c r="X40" s="2" t="s">
        <v>4</v>
      </c>
      <c r="Y40" s="6" t="e">
        <f t="shared" si="2"/>
        <v>#VALUE!</v>
      </c>
      <c r="AA40">
        <v>337870</v>
      </c>
      <c r="AB40">
        <v>32478</v>
      </c>
      <c r="AD40" t="s">
        <v>1</v>
      </c>
      <c r="AE40">
        <v>28</v>
      </c>
      <c r="AF40">
        <v>7</v>
      </c>
      <c r="AH40" t="s">
        <v>1660</v>
      </c>
      <c r="AI40" t="s">
        <v>1659</v>
      </c>
      <c r="AK40" t="s">
        <v>1658</v>
      </c>
      <c r="AL40">
        <v>0</v>
      </c>
      <c r="AM40" s="5">
        <f t="shared" si="3"/>
        <v>0</v>
      </c>
      <c r="AN40" s="4">
        <f t="shared" si="4"/>
        <v>0</v>
      </c>
      <c r="AO40" s="3"/>
      <c r="AP40">
        <v>0</v>
      </c>
      <c r="AR40" t="s">
        <v>0</v>
      </c>
      <c r="AT40" s="2" t="s">
        <v>4</v>
      </c>
      <c r="AU40" s="1" t="e">
        <f t="shared" si="5"/>
        <v>#VALUE!</v>
      </c>
      <c r="AV40" s="1" t="e">
        <f t="shared" si="6"/>
        <v>#VALUE!</v>
      </c>
      <c r="AW40" s="1" t="e">
        <f t="shared" si="7"/>
        <v>#VALUE!</v>
      </c>
    </row>
    <row r="41" spans="1:49" x14ac:dyDescent="0.2">
      <c r="A41">
        <v>39</v>
      </c>
      <c r="B41" t="s">
        <v>1657</v>
      </c>
      <c r="F41" t="s">
        <v>1656</v>
      </c>
      <c r="G41" t="s">
        <v>3</v>
      </c>
      <c r="H41" t="s">
        <v>2</v>
      </c>
      <c r="I41" t="s">
        <v>1655</v>
      </c>
      <c r="N41">
        <v>1</v>
      </c>
      <c r="O41" t="s">
        <v>1654</v>
      </c>
      <c r="P41">
        <v>7202078586</v>
      </c>
      <c r="R41" s="7">
        <v>31382</v>
      </c>
      <c r="S41" s="8">
        <f t="shared" si="0"/>
        <v>1985</v>
      </c>
      <c r="T41" s="8">
        <v>1985</v>
      </c>
      <c r="U41" s="8">
        <f t="shared" si="1"/>
        <v>37</v>
      </c>
      <c r="V41" s="7">
        <v>1985</v>
      </c>
      <c r="W41" t="s">
        <v>1646</v>
      </c>
      <c r="X41" s="2" t="s">
        <v>4</v>
      </c>
      <c r="Y41" s="6" t="e">
        <f t="shared" si="2"/>
        <v>#VALUE!</v>
      </c>
      <c r="AA41">
        <v>337870</v>
      </c>
      <c r="AB41">
        <v>32478</v>
      </c>
      <c r="AD41" t="s">
        <v>1</v>
      </c>
      <c r="AE41">
        <v>28</v>
      </c>
      <c r="AF41">
        <v>7</v>
      </c>
      <c r="AH41" s="9">
        <v>44348</v>
      </c>
      <c r="AI41" t="s">
        <v>1653</v>
      </c>
      <c r="AK41" t="s">
        <v>1652</v>
      </c>
      <c r="AL41">
        <v>0</v>
      </c>
      <c r="AM41" s="5">
        <f t="shared" si="3"/>
        <v>0</v>
      </c>
      <c r="AN41" s="4">
        <f t="shared" si="4"/>
        <v>0</v>
      </c>
      <c r="AO41" s="3"/>
      <c r="AP41">
        <v>0</v>
      </c>
      <c r="AR41" t="s">
        <v>0</v>
      </c>
      <c r="AT41" s="2" t="s">
        <v>4</v>
      </c>
      <c r="AU41" s="1" t="e">
        <f t="shared" si="5"/>
        <v>#VALUE!</v>
      </c>
      <c r="AV41" s="1" t="e">
        <f t="shared" si="6"/>
        <v>#VALUE!</v>
      </c>
      <c r="AW41" s="1" t="e">
        <f t="shared" si="7"/>
        <v>#VALUE!</v>
      </c>
    </row>
    <row r="42" spans="1:49" x14ac:dyDescent="0.2">
      <c r="A42">
        <v>40</v>
      </c>
      <c r="B42" t="s">
        <v>1651</v>
      </c>
      <c r="F42" t="s">
        <v>1650</v>
      </c>
      <c r="G42" t="s">
        <v>3</v>
      </c>
      <c r="H42" t="s">
        <v>2</v>
      </c>
      <c r="I42" t="s">
        <v>1649</v>
      </c>
      <c r="N42">
        <v>2</v>
      </c>
      <c r="O42" t="s">
        <v>1648</v>
      </c>
      <c r="P42" t="s">
        <v>1647</v>
      </c>
      <c r="Q42" t="s">
        <v>48</v>
      </c>
      <c r="R42" s="7">
        <v>31382</v>
      </c>
      <c r="S42" s="8">
        <f t="shared" si="0"/>
        <v>1985</v>
      </c>
      <c r="T42" s="8">
        <v>1985</v>
      </c>
      <c r="U42" s="8">
        <f t="shared" si="1"/>
        <v>37</v>
      </c>
      <c r="V42" s="7">
        <v>1985</v>
      </c>
      <c r="W42" t="s">
        <v>1646</v>
      </c>
      <c r="X42" s="2" t="s">
        <v>4</v>
      </c>
      <c r="Y42" s="6" t="e">
        <f t="shared" si="2"/>
        <v>#VALUE!</v>
      </c>
      <c r="AA42">
        <v>337870</v>
      </c>
      <c r="AB42">
        <v>32478</v>
      </c>
      <c r="AD42" t="s">
        <v>1</v>
      </c>
      <c r="AE42">
        <v>28</v>
      </c>
      <c r="AF42">
        <v>9</v>
      </c>
      <c r="AH42" t="s">
        <v>1645</v>
      </c>
      <c r="AI42" t="s">
        <v>1644</v>
      </c>
      <c r="AK42" t="s">
        <v>1643</v>
      </c>
      <c r="AL42">
        <v>0</v>
      </c>
      <c r="AM42" s="5">
        <f t="shared" si="3"/>
        <v>0</v>
      </c>
      <c r="AN42" s="4">
        <f t="shared" si="4"/>
        <v>0</v>
      </c>
      <c r="AO42" s="3"/>
      <c r="AP42">
        <v>0</v>
      </c>
      <c r="AR42" t="s">
        <v>0</v>
      </c>
      <c r="AT42" s="2" t="s">
        <v>4</v>
      </c>
      <c r="AU42" s="1" t="e">
        <f t="shared" si="5"/>
        <v>#VALUE!</v>
      </c>
      <c r="AV42" s="1" t="e">
        <f t="shared" si="6"/>
        <v>#VALUE!</v>
      </c>
      <c r="AW42" s="1" t="e">
        <f t="shared" si="7"/>
        <v>#VALUE!</v>
      </c>
    </row>
    <row r="43" spans="1:49" x14ac:dyDescent="0.2">
      <c r="A43">
        <v>41</v>
      </c>
      <c r="B43" t="s">
        <v>1642</v>
      </c>
      <c r="F43" t="s">
        <v>1641</v>
      </c>
      <c r="G43" t="s">
        <v>3</v>
      </c>
      <c r="H43" t="s">
        <v>2</v>
      </c>
      <c r="I43" t="s">
        <v>83</v>
      </c>
      <c r="J43">
        <v>60014652</v>
      </c>
      <c r="K43" t="s">
        <v>134</v>
      </c>
      <c r="L43" t="s">
        <v>133</v>
      </c>
      <c r="M43" t="s">
        <v>35</v>
      </c>
      <c r="N43">
        <v>3</v>
      </c>
      <c r="O43" t="s">
        <v>1640</v>
      </c>
      <c r="P43" t="s">
        <v>1639</v>
      </c>
      <c r="Q43" t="s">
        <v>132</v>
      </c>
      <c r="R43" s="7">
        <v>31382</v>
      </c>
      <c r="S43" s="8">
        <f t="shared" si="0"/>
        <v>1985</v>
      </c>
      <c r="T43" s="8">
        <v>1985</v>
      </c>
      <c r="U43" s="8">
        <f t="shared" si="1"/>
        <v>37</v>
      </c>
      <c r="V43" s="7">
        <v>1985</v>
      </c>
      <c r="W43" t="s">
        <v>1638</v>
      </c>
      <c r="X43" s="2" t="s">
        <v>4</v>
      </c>
      <c r="Y43" s="6" t="e">
        <f t="shared" si="2"/>
        <v>#VALUE!</v>
      </c>
      <c r="AA43">
        <v>8836272</v>
      </c>
      <c r="AB43">
        <v>77323</v>
      </c>
      <c r="AD43" t="s">
        <v>1</v>
      </c>
      <c r="AE43">
        <v>6</v>
      </c>
      <c r="AF43">
        <v>3</v>
      </c>
      <c r="AH43" t="s">
        <v>206</v>
      </c>
      <c r="AI43" t="s">
        <v>1637</v>
      </c>
      <c r="AK43" t="s">
        <v>1636</v>
      </c>
      <c r="AL43">
        <v>11</v>
      </c>
      <c r="AM43" s="5">
        <f t="shared" si="3"/>
        <v>0.29729729729729731</v>
      </c>
      <c r="AN43" s="4">
        <f t="shared" si="4"/>
        <v>4.5027988988609969E-4</v>
      </c>
      <c r="AO43" s="3"/>
      <c r="AP43">
        <v>0</v>
      </c>
      <c r="AR43" t="s">
        <v>0</v>
      </c>
      <c r="AT43" s="2" t="s">
        <v>4</v>
      </c>
      <c r="AU43" s="1" t="e">
        <f t="shared" si="5"/>
        <v>#VALUE!</v>
      </c>
      <c r="AV43" s="1" t="e">
        <f t="shared" si="6"/>
        <v>#VALUE!</v>
      </c>
      <c r="AW43" s="1" t="e">
        <f t="shared" si="7"/>
        <v>#VALUE!</v>
      </c>
    </row>
    <row r="44" spans="1:49" x14ac:dyDescent="0.2">
      <c r="A44">
        <v>42</v>
      </c>
      <c r="B44" t="s">
        <v>1635</v>
      </c>
      <c r="F44" t="s">
        <v>1634</v>
      </c>
      <c r="G44" t="s">
        <v>3</v>
      </c>
      <c r="H44" t="s">
        <v>2</v>
      </c>
      <c r="I44" t="s">
        <v>1633</v>
      </c>
      <c r="J44">
        <v>100401178</v>
      </c>
      <c r="K44" t="s">
        <v>1632</v>
      </c>
      <c r="N44">
        <v>1</v>
      </c>
      <c r="O44" t="s">
        <v>1631</v>
      </c>
      <c r="P44">
        <v>7004111952</v>
      </c>
      <c r="Q44">
        <v>100401178</v>
      </c>
      <c r="R44" s="7">
        <v>31382</v>
      </c>
      <c r="S44" s="8">
        <f t="shared" si="0"/>
        <v>1985</v>
      </c>
      <c r="T44" s="8">
        <v>1985</v>
      </c>
      <c r="U44" s="8">
        <f t="shared" si="1"/>
        <v>37</v>
      </c>
      <c r="V44" s="7">
        <v>1985</v>
      </c>
      <c r="W44" t="s">
        <v>1630</v>
      </c>
      <c r="X44" s="2" t="s">
        <v>4</v>
      </c>
      <c r="Y44" s="6" t="e">
        <f t="shared" si="2"/>
        <v>#VALUE!</v>
      </c>
      <c r="AA44">
        <v>2544121</v>
      </c>
      <c r="AB44">
        <v>71386</v>
      </c>
      <c r="AD44" t="s">
        <v>1</v>
      </c>
      <c r="AE44">
        <v>38</v>
      </c>
      <c r="AF44">
        <v>2</v>
      </c>
      <c r="AH44" t="s">
        <v>1629</v>
      </c>
      <c r="AI44" t="s">
        <v>1628</v>
      </c>
      <c r="AK44" t="s">
        <v>1627</v>
      </c>
      <c r="AL44">
        <v>7</v>
      </c>
      <c r="AM44" s="5">
        <f t="shared" si="3"/>
        <v>0.1891891891891892</v>
      </c>
      <c r="AN44" s="4">
        <f t="shared" si="4"/>
        <v>2.8654174810933616E-4</v>
      </c>
      <c r="AO44" s="3"/>
      <c r="AP44">
        <v>0</v>
      </c>
      <c r="AR44" t="s">
        <v>0</v>
      </c>
      <c r="AT44" s="2" t="s">
        <v>4</v>
      </c>
      <c r="AU44" s="1" t="e">
        <f t="shared" si="5"/>
        <v>#VALUE!</v>
      </c>
      <c r="AV44" s="1" t="e">
        <f t="shared" si="6"/>
        <v>#VALUE!</v>
      </c>
      <c r="AW44" s="1" t="e">
        <f t="shared" si="7"/>
        <v>#VALUE!</v>
      </c>
    </row>
    <row r="45" spans="1:49" x14ac:dyDescent="0.2">
      <c r="A45">
        <v>43</v>
      </c>
      <c r="B45" t="s">
        <v>1626</v>
      </c>
      <c r="F45" t="s">
        <v>1625</v>
      </c>
      <c r="G45" t="s">
        <v>3</v>
      </c>
      <c r="H45" t="s">
        <v>2</v>
      </c>
      <c r="I45" t="s">
        <v>1624</v>
      </c>
      <c r="J45">
        <v>60026327</v>
      </c>
      <c r="K45" t="s">
        <v>1623</v>
      </c>
      <c r="L45" t="s">
        <v>159</v>
      </c>
      <c r="M45" t="s">
        <v>158</v>
      </c>
      <c r="N45">
        <v>3</v>
      </c>
      <c r="O45" t="s">
        <v>1622</v>
      </c>
      <c r="P45" t="s">
        <v>1621</v>
      </c>
      <c r="Q45" t="s">
        <v>1620</v>
      </c>
      <c r="R45" s="7">
        <v>31382</v>
      </c>
      <c r="S45" s="8">
        <f t="shared" si="0"/>
        <v>1985</v>
      </c>
      <c r="T45" s="8">
        <v>1985</v>
      </c>
      <c r="U45" s="8">
        <f t="shared" si="1"/>
        <v>37</v>
      </c>
      <c r="V45" s="7">
        <v>1985</v>
      </c>
      <c r="W45" t="s">
        <v>1619</v>
      </c>
      <c r="X45" s="2" t="s">
        <v>4</v>
      </c>
      <c r="Y45" s="6" t="e">
        <f t="shared" si="2"/>
        <v>#VALUE!</v>
      </c>
      <c r="AA45">
        <v>1464108</v>
      </c>
      <c r="AB45">
        <v>31399</v>
      </c>
      <c r="AD45" t="s">
        <v>1</v>
      </c>
      <c r="AF45">
        <v>1</v>
      </c>
      <c r="AH45" t="s">
        <v>1618</v>
      </c>
      <c r="AI45" t="s">
        <v>1617</v>
      </c>
      <c r="AK45" t="s">
        <v>1616</v>
      </c>
      <c r="AL45">
        <v>0</v>
      </c>
      <c r="AM45" s="5">
        <f t="shared" si="3"/>
        <v>0</v>
      </c>
      <c r="AN45" s="4">
        <f t="shared" si="4"/>
        <v>0</v>
      </c>
      <c r="AO45" s="3"/>
      <c r="AP45">
        <v>0</v>
      </c>
      <c r="AR45" t="s">
        <v>0</v>
      </c>
      <c r="AT45" s="2" t="s">
        <v>4</v>
      </c>
      <c r="AU45" s="1" t="e">
        <f t="shared" si="5"/>
        <v>#VALUE!</v>
      </c>
      <c r="AV45" s="1" t="e">
        <f t="shared" si="6"/>
        <v>#VALUE!</v>
      </c>
      <c r="AW45" s="1" t="e">
        <f t="shared" si="7"/>
        <v>#VALUE!</v>
      </c>
    </row>
    <row r="46" spans="1:49" x14ac:dyDescent="0.2">
      <c r="A46">
        <v>44</v>
      </c>
      <c r="B46" t="s">
        <v>1615</v>
      </c>
      <c r="F46" t="s">
        <v>1614</v>
      </c>
      <c r="G46" t="s">
        <v>3</v>
      </c>
      <c r="H46" t="s">
        <v>2</v>
      </c>
      <c r="I46" t="s">
        <v>77</v>
      </c>
      <c r="J46">
        <v>60011664</v>
      </c>
      <c r="K46" t="s">
        <v>122</v>
      </c>
      <c r="L46" t="s">
        <v>121</v>
      </c>
      <c r="M46" t="s">
        <v>8</v>
      </c>
      <c r="N46">
        <v>1</v>
      </c>
      <c r="O46" t="s">
        <v>175</v>
      </c>
      <c r="P46">
        <v>7402229975</v>
      </c>
      <c r="Q46">
        <v>60011664</v>
      </c>
      <c r="R46" s="7">
        <v>31382</v>
      </c>
      <c r="S46" s="8">
        <f t="shared" si="0"/>
        <v>1985</v>
      </c>
      <c r="T46" s="8">
        <v>1985</v>
      </c>
      <c r="U46" s="8">
        <f t="shared" si="1"/>
        <v>37</v>
      </c>
      <c r="V46" s="7">
        <v>31382</v>
      </c>
      <c r="W46" t="s">
        <v>187</v>
      </c>
      <c r="X46" s="2">
        <v>0.14099999999999999</v>
      </c>
      <c r="Y46" s="6">
        <f t="shared" si="2"/>
        <v>3.7639144710498915E-3</v>
      </c>
      <c r="AA46">
        <v>7252986</v>
      </c>
      <c r="AB46">
        <v>18037</v>
      </c>
      <c r="AD46" t="s">
        <v>1</v>
      </c>
      <c r="AE46">
        <v>5</v>
      </c>
      <c r="AF46">
        <v>4</v>
      </c>
      <c r="AH46" t="s">
        <v>1613</v>
      </c>
      <c r="AI46" t="s">
        <v>1612</v>
      </c>
      <c r="AK46" t="s">
        <v>1611</v>
      </c>
      <c r="AL46">
        <v>1</v>
      </c>
      <c r="AM46" s="5">
        <f t="shared" si="3"/>
        <v>2.7027027027027029E-2</v>
      </c>
      <c r="AN46" s="4">
        <f t="shared" si="4"/>
        <v>4.0934535444190883E-5</v>
      </c>
      <c r="AO46" s="3"/>
      <c r="AP46">
        <v>0</v>
      </c>
      <c r="AR46" t="s">
        <v>0</v>
      </c>
      <c r="AT46" s="2" t="s">
        <v>4</v>
      </c>
      <c r="AU46" s="1">
        <f t="shared" si="5"/>
        <v>0.2647020490368181</v>
      </c>
      <c r="AV46" s="1">
        <f t="shared" si="6"/>
        <v>0.19024245032470413</v>
      </c>
      <c r="AW46" s="1">
        <f t="shared" si="7"/>
        <v>0.1157828516125901</v>
      </c>
    </row>
    <row r="47" spans="1:49" x14ac:dyDescent="0.2">
      <c r="A47">
        <v>45</v>
      </c>
      <c r="B47" t="s">
        <v>1610</v>
      </c>
      <c r="F47" t="s">
        <v>1609</v>
      </c>
      <c r="G47" t="s">
        <v>3</v>
      </c>
      <c r="H47" t="s">
        <v>2</v>
      </c>
      <c r="I47" t="s">
        <v>1608</v>
      </c>
      <c r="J47">
        <v>60030127</v>
      </c>
      <c r="K47" t="s">
        <v>1607</v>
      </c>
      <c r="L47" t="s">
        <v>1606</v>
      </c>
      <c r="M47" t="s">
        <v>32</v>
      </c>
      <c r="N47">
        <v>2</v>
      </c>
      <c r="O47" t="s">
        <v>1605</v>
      </c>
      <c r="P47" t="s">
        <v>1604</v>
      </c>
      <c r="Q47" t="s">
        <v>1603</v>
      </c>
      <c r="R47" s="7">
        <v>31382</v>
      </c>
      <c r="S47" s="8">
        <f t="shared" si="0"/>
        <v>1985</v>
      </c>
      <c r="T47" s="8">
        <v>1985</v>
      </c>
      <c r="U47" s="8">
        <f t="shared" si="1"/>
        <v>37</v>
      </c>
      <c r="V47" s="7">
        <v>1985</v>
      </c>
      <c r="W47" t="s">
        <v>65</v>
      </c>
      <c r="X47" s="2" t="s">
        <v>4</v>
      </c>
      <c r="Y47" s="6" t="e">
        <f t="shared" si="2"/>
        <v>#VALUE!</v>
      </c>
      <c r="AA47">
        <v>2649187</v>
      </c>
      <c r="AB47">
        <v>36931</v>
      </c>
      <c r="AD47" t="s">
        <v>1</v>
      </c>
      <c r="AE47">
        <v>3</v>
      </c>
      <c r="AF47">
        <v>4</v>
      </c>
      <c r="AH47" t="s">
        <v>1602</v>
      </c>
      <c r="AI47" t="s">
        <v>1601</v>
      </c>
      <c r="AK47" t="s">
        <v>1600</v>
      </c>
      <c r="AL47">
        <v>0</v>
      </c>
      <c r="AM47" s="5">
        <f t="shared" si="3"/>
        <v>0</v>
      </c>
      <c r="AN47" s="4">
        <f t="shared" si="4"/>
        <v>0</v>
      </c>
      <c r="AO47" s="3"/>
      <c r="AP47">
        <v>0</v>
      </c>
      <c r="AR47" t="s">
        <v>0</v>
      </c>
      <c r="AT47" s="2" t="s">
        <v>4</v>
      </c>
      <c r="AU47" s="1" t="e">
        <f t="shared" si="5"/>
        <v>#VALUE!</v>
      </c>
      <c r="AV47" s="1" t="e">
        <f t="shared" si="6"/>
        <v>#VALUE!</v>
      </c>
      <c r="AW47" s="1" t="e">
        <f t="shared" si="7"/>
        <v>#VALUE!</v>
      </c>
    </row>
    <row r="48" spans="1:49" x14ac:dyDescent="0.2">
      <c r="A48">
        <v>46</v>
      </c>
      <c r="B48" t="s">
        <v>1599</v>
      </c>
      <c r="F48" t="s">
        <v>1598</v>
      </c>
      <c r="G48" t="s">
        <v>3</v>
      </c>
      <c r="H48" t="s">
        <v>2</v>
      </c>
      <c r="I48" t="s">
        <v>1597</v>
      </c>
      <c r="J48">
        <v>60032045</v>
      </c>
      <c r="K48" t="s">
        <v>1596</v>
      </c>
      <c r="L48" t="s">
        <v>1595</v>
      </c>
      <c r="M48" t="s">
        <v>35</v>
      </c>
      <c r="N48">
        <v>3</v>
      </c>
      <c r="O48" t="s">
        <v>1594</v>
      </c>
      <c r="P48" t="s">
        <v>1593</v>
      </c>
      <c r="Q48" t="s">
        <v>1592</v>
      </c>
      <c r="R48" s="7">
        <v>31382</v>
      </c>
      <c r="S48" s="8">
        <f t="shared" si="0"/>
        <v>1985</v>
      </c>
      <c r="T48" s="8">
        <v>1985</v>
      </c>
      <c r="U48" s="8">
        <f t="shared" si="1"/>
        <v>37</v>
      </c>
      <c r="V48" s="7">
        <v>1985</v>
      </c>
      <c r="W48" t="s">
        <v>1591</v>
      </c>
      <c r="X48" s="2" t="s">
        <v>4</v>
      </c>
      <c r="Y48" s="6" t="e">
        <f t="shared" si="2"/>
        <v>#VALUE!</v>
      </c>
      <c r="AA48">
        <v>2851903</v>
      </c>
      <c r="AB48">
        <v>38260</v>
      </c>
      <c r="AD48" t="s">
        <v>1</v>
      </c>
      <c r="AF48">
        <v>24</v>
      </c>
      <c r="AH48" t="s">
        <v>1590</v>
      </c>
      <c r="AI48" t="s">
        <v>1589</v>
      </c>
      <c r="AK48" t="s">
        <v>1588</v>
      </c>
      <c r="AL48">
        <v>0</v>
      </c>
      <c r="AM48" s="5">
        <f t="shared" si="3"/>
        <v>0</v>
      </c>
      <c r="AN48" s="4">
        <f t="shared" si="4"/>
        <v>0</v>
      </c>
      <c r="AO48" s="3"/>
      <c r="AP48">
        <v>0</v>
      </c>
      <c r="AR48" t="s">
        <v>0</v>
      </c>
      <c r="AT48" s="2" t="s">
        <v>4</v>
      </c>
      <c r="AU48" s="1" t="e">
        <f t="shared" si="5"/>
        <v>#VALUE!</v>
      </c>
      <c r="AV48" s="1" t="e">
        <f t="shared" si="6"/>
        <v>#VALUE!</v>
      </c>
      <c r="AW48" s="1" t="e">
        <f t="shared" si="7"/>
        <v>#VALUE!</v>
      </c>
    </row>
    <row r="49" spans="1:49" x14ac:dyDescent="0.2">
      <c r="A49">
        <v>47</v>
      </c>
      <c r="B49" t="s">
        <v>1587</v>
      </c>
      <c r="C49" t="s">
        <v>1586</v>
      </c>
      <c r="F49" t="s">
        <v>1585</v>
      </c>
      <c r="G49" t="s">
        <v>3</v>
      </c>
      <c r="H49" t="s">
        <v>2</v>
      </c>
      <c r="I49" t="s">
        <v>1584</v>
      </c>
      <c r="J49">
        <v>60008950</v>
      </c>
      <c r="K49" t="s">
        <v>1583</v>
      </c>
      <c r="L49" t="s">
        <v>113</v>
      </c>
      <c r="M49" t="s">
        <v>8</v>
      </c>
      <c r="N49">
        <v>1</v>
      </c>
      <c r="O49" t="s">
        <v>1582</v>
      </c>
      <c r="P49">
        <v>7404263205</v>
      </c>
      <c r="Q49">
        <v>60008950</v>
      </c>
      <c r="R49" s="7">
        <v>31382</v>
      </c>
      <c r="S49" s="8">
        <f t="shared" si="0"/>
        <v>1985</v>
      </c>
      <c r="T49" s="8">
        <v>1985</v>
      </c>
      <c r="U49" s="8">
        <f t="shared" si="1"/>
        <v>37</v>
      </c>
      <c r="V49" s="7">
        <v>31382</v>
      </c>
      <c r="W49" t="s">
        <v>193</v>
      </c>
      <c r="X49" s="2">
        <v>0.39</v>
      </c>
      <c r="Y49" s="6">
        <f t="shared" si="2"/>
        <v>1.0410827260350766E-2</v>
      </c>
      <c r="AA49" t="s">
        <v>192</v>
      </c>
      <c r="AB49">
        <v>18780</v>
      </c>
      <c r="AC49">
        <v>15315878</v>
      </c>
      <c r="AD49" t="s">
        <v>1</v>
      </c>
      <c r="AE49">
        <v>4</v>
      </c>
      <c r="AF49">
        <v>4</v>
      </c>
      <c r="AH49" t="s">
        <v>1581</v>
      </c>
      <c r="AI49" t="s">
        <v>1580</v>
      </c>
      <c r="AK49" t="s">
        <v>1579</v>
      </c>
      <c r="AL49">
        <v>0</v>
      </c>
      <c r="AM49" s="5">
        <f t="shared" si="3"/>
        <v>0</v>
      </c>
      <c r="AN49" s="4">
        <f t="shared" si="4"/>
        <v>0</v>
      </c>
      <c r="AO49" s="3"/>
      <c r="AP49">
        <v>0</v>
      </c>
      <c r="AR49" t="s">
        <v>0</v>
      </c>
      <c r="AT49" s="2" t="s">
        <v>4</v>
      </c>
      <c r="AU49" s="1">
        <f t="shared" si="5"/>
        <v>0.72875790822455355</v>
      </c>
      <c r="AV49" s="1">
        <f t="shared" si="6"/>
        <v>0.52054136301753828</v>
      </c>
      <c r="AW49" s="1">
        <f t="shared" si="7"/>
        <v>0.31232481781052296</v>
      </c>
    </row>
    <row r="50" spans="1:49" x14ac:dyDescent="0.2">
      <c r="A50">
        <v>48</v>
      </c>
      <c r="B50" t="s">
        <v>1578</v>
      </c>
      <c r="F50" t="s">
        <v>1577</v>
      </c>
      <c r="G50" t="s">
        <v>3</v>
      </c>
      <c r="H50" t="s">
        <v>2</v>
      </c>
      <c r="I50" t="s">
        <v>1576</v>
      </c>
      <c r="N50">
        <v>3</v>
      </c>
      <c r="O50" t="s">
        <v>1575</v>
      </c>
      <c r="P50" t="s">
        <v>1574</v>
      </c>
      <c r="Q50" t="s">
        <v>25</v>
      </c>
      <c r="R50" s="7">
        <v>31382</v>
      </c>
      <c r="S50" s="8">
        <f t="shared" si="0"/>
        <v>1985</v>
      </c>
      <c r="T50" s="8">
        <v>1985</v>
      </c>
      <c r="U50" s="8">
        <f t="shared" si="1"/>
        <v>37</v>
      </c>
      <c r="V50" s="7">
        <v>1985</v>
      </c>
      <c r="W50" t="s">
        <v>1573</v>
      </c>
      <c r="X50" s="2" t="s">
        <v>4</v>
      </c>
      <c r="Y50" s="6" t="e">
        <f t="shared" si="2"/>
        <v>#VALUE!</v>
      </c>
      <c r="AB50">
        <v>68682</v>
      </c>
      <c r="AD50" t="s">
        <v>1</v>
      </c>
      <c r="AF50">
        <v>5</v>
      </c>
      <c r="AH50" t="s">
        <v>1572</v>
      </c>
      <c r="AI50" t="s">
        <v>1571</v>
      </c>
      <c r="AK50" t="s">
        <v>1570</v>
      </c>
      <c r="AL50">
        <v>0</v>
      </c>
      <c r="AM50" s="5">
        <f t="shared" si="3"/>
        <v>0</v>
      </c>
      <c r="AN50" s="4">
        <f t="shared" si="4"/>
        <v>0</v>
      </c>
      <c r="AO50" s="3"/>
      <c r="AP50">
        <v>0</v>
      </c>
      <c r="AR50" t="s">
        <v>0</v>
      </c>
      <c r="AT50" s="2" t="s">
        <v>4</v>
      </c>
      <c r="AU50" s="1" t="e">
        <f t="shared" si="5"/>
        <v>#VALUE!</v>
      </c>
      <c r="AV50" s="1" t="e">
        <f t="shared" si="6"/>
        <v>#VALUE!</v>
      </c>
      <c r="AW50" s="1" t="e">
        <f t="shared" si="7"/>
        <v>#VALUE!</v>
      </c>
    </row>
    <row r="51" spans="1:49" x14ac:dyDescent="0.2">
      <c r="A51">
        <v>49</v>
      </c>
      <c r="B51" t="s">
        <v>1569</v>
      </c>
      <c r="E51">
        <v>4078640</v>
      </c>
      <c r="F51" t="s">
        <v>1568</v>
      </c>
      <c r="G51" t="s">
        <v>3</v>
      </c>
      <c r="H51" t="s">
        <v>2</v>
      </c>
      <c r="I51" t="s">
        <v>1567</v>
      </c>
      <c r="J51">
        <v>60028868</v>
      </c>
      <c r="K51" t="s">
        <v>104</v>
      </c>
      <c r="L51" t="s">
        <v>103</v>
      </c>
      <c r="M51" t="s">
        <v>20</v>
      </c>
      <c r="N51">
        <v>5</v>
      </c>
      <c r="O51" t="s">
        <v>1566</v>
      </c>
      <c r="P51" t="s">
        <v>1565</v>
      </c>
      <c r="Q51" t="s">
        <v>1564</v>
      </c>
      <c r="R51" s="7">
        <v>31382</v>
      </c>
      <c r="S51" s="8">
        <f t="shared" si="0"/>
        <v>1985</v>
      </c>
      <c r="T51" s="8">
        <v>1985</v>
      </c>
      <c r="U51" s="8">
        <f t="shared" si="1"/>
        <v>37</v>
      </c>
      <c r="V51" s="7">
        <v>1985</v>
      </c>
      <c r="W51" t="s">
        <v>1563</v>
      </c>
      <c r="X51" s="2" t="s">
        <v>4</v>
      </c>
      <c r="Y51" s="6" t="e">
        <f t="shared" si="2"/>
        <v>#VALUE!</v>
      </c>
      <c r="AB51">
        <v>35841</v>
      </c>
      <c r="AD51" t="s">
        <v>1</v>
      </c>
      <c r="AE51">
        <v>29</v>
      </c>
      <c r="AF51">
        <v>3</v>
      </c>
      <c r="AH51" t="s">
        <v>1562</v>
      </c>
      <c r="AI51" t="s">
        <v>1561</v>
      </c>
      <c r="AK51" t="s">
        <v>1560</v>
      </c>
      <c r="AL51">
        <v>0</v>
      </c>
      <c r="AM51" s="5">
        <f t="shared" si="3"/>
        <v>0</v>
      </c>
      <c r="AN51" s="4">
        <f t="shared" si="4"/>
        <v>0</v>
      </c>
      <c r="AO51" s="3"/>
      <c r="AP51">
        <v>0</v>
      </c>
      <c r="AR51" t="s">
        <v>0</v>
      </c>
      <c r="AT51" s="2" t="s">
        <v>4</v>
      </c>
      <c r="AU51" s="1" t="e">
        <f t="shared" si="5"/>
        <v>#VALUE!</v>
      </c>
      <c r="AV51" s="1" t="e">
        <f t="shared" si="6"/>
        <v>#VALUE!</v>
      </c>
      <c r="AW51" s="1" t="e">
        <f t="shared" si="7"/>
        <v>#VALUE!</v>
      </c>
    </row>
    <row r="52" spans="1:49" x14ac:dyDescent="0.2">
      <c r="A52">
        <v>50</v>
      </c>
      <c r="B52" t="s">
        <v>1559</v>
      </c>
      <c r="F52" t="s">
        <v>1558</v>
      </c>
      <c r="G52" t="s">
        <v>3</v>
      </c>
      <c r="H52" t="s">
        <v>2</v>
      </c>
      <c r="I52" t="s">
        <v>1557</v>
      </c>
      <c r="N52">
        <v>1</v>
      </c>
      <c r="O52" t="s">
        <v>1556</v>
      </c>
      <c r="P52">
        <v>6602369215</v>
      </c>
      <c r="R52" s="7">
        <v>31382</v>
      </c>
      <c r="S52" s="8">
        <f t="shared" si="0"/>
        <v>1985</v>
      </c>
      <c r="T52" s="8">
        <v>1985</v>
      </c>
      <c r="U52" s="8">
        <f t="shared" si="1"/>
        <v>37</v>
      </c>
      <c r="V52" s="7">
        <v>1985</v>
      </c>
      <c r="W52" t="s">
        <v>1555</v>
      </c>
      <c r="X52" s="2" t="s">
        <v>4</v>
      </c>
      <c r="Y52" s="6" t="e">
        <f t="shared" si="2"/>
        <v>#VALUE!</v>
      </c>
      <c r="AA52">
        <v>4950127</v>
      </c>
      <c r="AB52">
        <v>37896</v>
      </c>
      <c r="AD52" t="s">
        <v>1</v>
      </c>
      <c r="AE52">
        <v>39</v>
      </c>
      <c r="AF52">
        <v>2</v>
      </c>
      <c r="AH52" t="s">
        <v>719</v>
      </c>
      <c r="AI52" t="s">
        <v>1554</v>
      </c>
      <c r="AK52" t="s">
        <v>1553</v>
      </c>
      <c r="AL52">
        <v>0</v>
      </c>
      <c r="AM52" s="5">
        <f t="shared" si="3"/>
        <v>0</v>
      </c>
      <c r="AN52" s="4">
        <f t="shared" si="4"/>
        <v>0</v>
      </c>
      <c r="AO52" s="3"/>
      <c r="AP52">
        <v>0</v>
      </c>
      <c r="AR52" t="s">
        <v>0</v>
      </c>
      <c r="AT52" s="2" t="s">
        <v>4</v>
      </c>
      <c r="AU52" s="1" t="e">
        <f t="shared" si="5"/>
        <v>#VALUE!</v>
      </c>
      <c r="AV52" s="1" t="e">
        <f t="shared" si="6"/>
        <v>#VALUE!</v>
      </c>
      <c r="AW52" s="1" t="e">
        <f t="shared" si="7"/>
        <v>#VALUE!</v>
      </c>
    </row>
    <row r="53" spans="1:49" x14ac:dyDescent="0.2">
      <c r="A53">
        <v>51</v>
      </c>
      <c r="B53" t="s">
        <v>1552</v>
      </c>
      <c r="F53" t="s">
        <v>1551</v>
      </c>
      <c r="G53" t="s">
        <v>3</v>
      </c>
      <c r="H53" t="s">
        <v>2</v>
      </c>
      <c r="I53" t="s">
        <v>1550</v>
      </c>
      <c r="J53">
        <v>60000809</v>
      </c>
      <c r="K53" t="s">
        <v>1549</v>
      </c>
      <c r="L53" t="s">
        <v>1548</v>
      </c>
      <c r="M53" t="s">
        <v>35</v>
      </c>
      <c r="N53">
        <v>2</v>
      </c>
      <c r="O53" t="s">
        <v>1547</v>
      </c>
      <c r="P53" t="s">
        <v>1546</v>
      </c>
      <c r="Q53" t="s">
        <v>1545</v>
      </c>
      <c r="R53" s="7">
        <v>31382</v>
      </c>
      <c r="S53" s="8">
        <f t="shared" si="0"/>
        <v>1985</v>
      </c>
      <c r="T53" s="8">
        <v>1985</v>
      </c>
      <c r="U53" s="8">
        <f t="shared" si="1"/>
        <v>37</v>
      </c>
      <c r="V53" s="7">
        <v>31382</v>
      </c>
      <c r="W53" t="s">
        <v>1544</v>
      </c>
      <c r="X53" s="2" t="s">
        <v>4</v>
      </c>
      <c r="Y53" s="6" t="e">
        <f t="shared" si="2"/>
        <v>#VALUE!</v>
      </c>
      <c r="AA53">
        <v>3865096</v>
      </c>
      <c r="AB53">
        <v>18584</v>
      </c>
      <c r="AD53" t="s">
        <v>1</v>
      </c>
      <c r="AE53">
        <v>33</v>
      </c>
      <c r="AH53" t="s">
        <v>1543</v>
      </c>
      <c r="AI53" t="s">
        <v>1542</v>
      </c>
      <c r="AK53" t="s">
        <v>1541</v>
      </c>
      <c r="AL53">
        <v>1</v>
      </c>
      <c r="AM53" s="5">
        <f t="shared" si="3"/>
        <v>2.7027027027027029E-2</v>
      </c>
      <c r="AN53" s="4">
        <f t="shared" si="4"/>
        <v>4.0934535444190883E-5</v>
      </c>
      <c r="AO53" s="3"/>
      <c r="AP53">
        <v>0</v>
      </c>
      <c r="AR53" t="s">
        <v>0</v>
      </c>
      <c r="AT53" s="2" t="s">
        <v>4</v>
      </c>
      <c r="AU53" s="1" t="e">
        <f t="shared" si="5"/>
        <v>#VALUE!</v>
      </c>
      <c r="AV53" s="1" t="e">
        <f t="shared" si="6"/>
        <v>#VALUE!</v>
      </c>
      <c r="AW53" s="1" t="e">
        <f t="shared" si="7"/>
        <v>#VALUE!</v>
      </c>
    </row>
    <row r="54" spans="1:49" x14ac:dyDescent="0.2">
      <c r="A54">
        <v>52</v>
      </c>
      <c r="B54" t="s">
        <v>1540</v>
      </c>
      <c r="F54" t="s">
        <v>1539</v>
      </c>
      <c r="G54" t="s">
        <v>3</v>
      </c>
      <c r="H54" t="s">
        <v>2</v>
      </c>
      <c r="I54" t="s">
        <v>1538</v>
      </c>
      <c r="J54">
        <v>60007457</v>
      </c>
      <c r="K54" t="s">
        <v>160</v>
      </c>
      <c r="L54" t="s">
        <v>159</v>
      </c>
      <c r="M54" t="s">
        <v>158</v>
      </c>
      <c r="N54">
        <v>2</v>
      </c>
      <c r="O54" t="s">
        <v>1537</v>
      </c>
      <c r="P54" t="s">
        <v>1536</v>
      </c>
      <c r="Q54" t="s">
        <v>1535</v>
      </c>
      <c r="R54" s="7">
        <v>31382</v>
      </c>
      <c r="S54" s="8">
        <f t="shared" si="0"/>
        <v>1985</v>
      </c>
      <c r="T54" s="8">
        <v>1985</v>
      </c>
      <c r="U54" s="8">
        <f t="shared" si="1"/>
        <v>37</v>
      </c>
      <c r="V54" s="7">
        <v>1985</v>
      </c>
      <c r="W54" t="s">
        <v>1534</v>
      </c>
      <c r="X54" s="2">
        <v>0.27700000000000002</v>
      </c>
      <c r="Y54" s="6">
        <f t="shared" si="2"/>
        <v>7.3943567977363131E-3</v>
      </c>
      <c r="AA54">
        <v>271349</v>
      </c>
      <c r="AB54">
        <v>28721</v>
      </c>
      <c r="AD54" t="s">
        <v>1</v>
      </c>
      <c r="AE54">
        <v>40</v>
      </c>
      <c r="AF54">
        <v>2</v>
      </c>
      <c r="AH54" t="s">
        <v>1533</v>
      </c>
      <c r="AI54" t="s">
        <v>1532</v>
      </c>
      <c r="AK54" t="s">
        <v>1531</v>
      </c>
      <c r="AL54">
        <v>0</v>
      </c>
      <c r="AM54" s="5">
        <f t="shared" si="3"/>
        <v>0</v>
      </c>
      <c r="AN54" s="4">
        <f t="shared" si="4"/>
        <v>0</v>
      </c>
      <c r="AO54" s="3"/>
      <c r="AP54">
        <v>0</v>
      </c>
      <c r="AR54" t="s">
        <v>0</v>
      </c>
      <c r="AT54" s="2" t="s">
        <v>4</v>
      </c>
      <c r="AU54" s="1">
        <f t="shared" si="5"/>
        <v>0.51760497584154197</v>
      </c>
      <c r="AV54" s="1">
        <f t="shared" si="6"/>
        <v>0.36971783988681567</v>
      </c>
      <c r="AW54" s="1">
        <f t="shared" si="7"/>
        <v>0.2218307039320894</v>
      </c>
    </row>
    <row r="55" spans="1:49" x14ac:dyDescent="0.2">
      <c r="A55">
        <v>53</v>
      </c>
      <c r="B55" t="s">
        <v>1530</v>
      </c>
      <c r="F55" t="s">
        <v>1529</v>
      </c>
      <c r="G55" t="s">
        <v>3</v>
      </c>
      <c r="H55" t="s">
        <v>2</v>
      </c>
      <c r="I55" t="s">
        <v>55</v>
      </c>
      <c r="J55">
        <v>60017161</v>
      </c>
      <c r="K55" t="s">
        <v>54</v>
      </c>
      <c r="L55" t="s">
        <v>53</v>
      </c>
      <c r="M55" t="s">
        <v>52</v>
      </c>
      <c r="N55">
        <v>1</v>
      </c>
      <c r="O55" t="s">
        <v>51</v>
      </c>
      <c r="P55">
        <v>7202596473</v>
      </c>
      <c r="Q55">
        <v>60017161</v>
      </c>
      <c r="R55" s="7">
        <v>31382</v>
      </c>
      <c r="S55" s="8">
        <f t="shared" si="0"/>
        <v>1985</v>
      </c>
      <c r="T55" s="8">
        <v>1985</v>
      </c>
      <c r="U55" s="8">
        <f t="shared" si="1"/>
        <v>37</v>
      </c>
      <c r="V55" s="7">
        <v>1985</v>
      </c>
      <c r="W55" t="s">
        <v>1528</v>
      </c>
      <c r="X55" s="2" t="s">
        <v>4</v>
      </c>
      <c r="Y55" s="6" t="e">
        <f t="shared" si="2"/>
        <v>#VALUE!</v>
      </c>
      <c r="AA55">
        <v>1296531</v>
      </c>
      <c r="AB55">
        <v>101336</v>
      </c>
      <c r="AD55" t="s">
        <v>1</v>
      </c>
      <c r="AE55">
        <v>12</v>
      </c>
      <c r="AF55">
        <v>1</v>
      </c>
      <c r="AH55" t="s">
        <v>1527</v>
      </c>
      <c r="AI55" t="s">
        <v>1526</v>
      </c>
      <c r="AK55" t="s">
        <v>1525</v>
      </c>
      <c r="AL55">
        <v>0</v>
      </c>
      <c r="AM55" s="5">
        <f t="shared" si="3"/>
        <v>0</v>
      </c>
      <c r="AN55" s="4">
        <f t="shared" si="4"/>
        <v>0</v>
      </c>
      <c r="AO55" s="3"/>
      <c r="AP55">
        <v>0</v>
      </c>
      <c r="AR55" t="s">
        <v>0</v>
      </c>
      <c r="AT55" s="2" t="s">
        <v>4</v>
      </c>
      <c r="AU55" s="1" t="e">
        <f t="shared" si="5"/>
        <v>#VALUE!</v>
      </c>
      <c r="AV55" s="1" t="e">
        <f t="shared" si="6"/>
        <v>#VALUE!</v>
      </c>
      <c r="AW55" s="1" t="e">
        <f t="shared" si="7"/>
        <v>#VALUE!</v>
      </c>
    </row>
    <row r="56" spans="1:49" x14ac:dyDescent="0.2">
      <c r="A56">
        <v>54</v>
      </c>
      <c r="B56" t="s">
        <v>1524</v>
      </c>
      <c r="F56" t="s">
        <v>1523</v>
      </c>
      <c r="G56" t="s">
        <v>3</v>
      </c>
      <c r="H56" t="s">
        <v>2</v>
      </c>
      <c r="I56" t="s">
        <v>1522</v>
      </c>
      <c r="J56">
        <v>60031159</v>
      </c>
      <c r="K56" t="s">
        <v>1521</v>
      </c>
      <c r="L56" t="s">
        <v>1520</v>
      </c>
      <c r="M56" t="s">
        <v>18</v>
      </c>
      <c r="N56">
        <v>1</v>
      </c>
      <c r="O56" t="s">
        <v>1519</v>
      </c>
      <c r="P56">
        <v>6506404366</v>
      </c>
      <c r="Q56">
        <v>60031159</v>
      </c>
      <c r="R56" s="7">
        <v>31382</v>
      </c>
      <c r="S56" s="8">
        <f t="shared" si="0"/>
        <v>1985</v>
      </c>
      <c r="T56" s="8">
        <v>1985</v>
      </c>
      <c r="U56" s="8">
        <f t="shared" si="1"/>
        <v>37</v>
      </c>
      <c r="V56" s="7">
        <v>1985</v>
      </c>
      <c r="W56" t="s">
        <v>1518</v>
      </c>
      <c r="X56" s="2" t="s">
        <v>4</v>
      </c>
      <c r="Y56" s="6" t="e">
        <f t="shared" si="2"/>
        <v>#VALUE!</v>
      </c>
      <c r="AB56">
        <v>34899</v>
      </c>
      <c r="AD56" t="s">
        <v>1</v>
      </c>
      <c r="AE56">
        <v>9</v>
      </c>
      <c r="AF56">
        <v>3</v>
      </c>
      <c r="AH56" t="s">
        <v>1517</v>
      </c>
      <c r="AI56" t="s">
        <v>1516</v>
      </c>
      <c r="AK56" t="s">
        <v>1515</v>
      </c>
      <c r="AL56">
        <v>0</v>
      </c>
      <c r="AM56" s="5">
        <f t="shared" si="3"/>
        <v>0</v>
      </c>
      <c r="AN56" s="4">
        <f t="shared" si="4"/>
        <v>0</v>
      </c>
      <c r="AO56" s="3"/>
      <c r="AP56">
        <v>0</v>
      </c>
      <c r="AR56" t="s">
        <v>0</v>
      </c>
      <c r="AT56" s="2" t="s">
        <v>4</v>
      </c>
      <c r="AU56" s="1" t="e">
        <f t="shared" si="5"/>
        <v>#VALUE!</v>
      </c>
      <c r="AV56" s="1" t="e">
        <f t="shared" si="6"/>
        <v>#VALUE!</v>
      </c>
      <c r="AW56" s="1" t="e">
        <f t="shared" si="7"/>
        <v>#VALUE!</v>
      </c>
    </row>
    <row r="57" spans="1:49" x14ac:dyDescent="0.2">
      <c r="A57">
        <v>55</v>
      </c>
      <c r="B57" t="s">
        <v>1514</v>
      </c>
      <c r="F57" t="s">
        <v>1513</v>
      </c>
      <c r="G57" t="s">
        <v>3</v>
      </c>
      <c r="H57" t="s">
        <v>2</v>
      </c>
      <c r="I57" t="s">
        <v>1512</v>
      </c>
      <c r="J57">
        <v>60018175</v>
      </c>
      <c r="K57" t="s">
        <v>169</v>
      </c>
      <c r="L57" t="s">
        <v>1511</v>
      </c>
      <c r="M57" t="s">
        <v>11</v>
      </c>
      <c r="N57">
        <v>1</v>
      </c>
      <c r="O57" t="s">
        <v>1510</v>
      </c>
      <c r="P57">
        <v>6603031402</v>
      </c>
      <c r="Q57">
        <v>60018175</v>
      </c>
      <c r="R57" s="7">
        <v>31382</v>
      </c>
      <c r="S57" s="8">
        <f t="shared" si="0"/>
        <v>1985</v>
      </c>
      <c r="T57" s="8">
        <v>1985</v>
      </c>
      <c r="U57" s="8">
        <f t="shared" si="1"/>
        <v>37</v>
      </c>
      <c r="V57" s="7">
        <v>31382</v>
      </c>
      <c r="W57" t="s">
        <v>169</v>
      </c>
      <c r="X57" s="2">
        <v>0.10100000000000001</v>
      </c>
      <c r="Y57" s="6">
        <f t="shared" si="2"/>
        <v>2.6961373161421215E-3</v>
      </c>
      <c r="AA57">
        <v>7452993</v>
      </c>
      <c r="AB57">
        <v>18563</v>
      </c>
      <c r="AD57" t="s">
        <v>1</v>
      </c>
      <c r="AE57">
        <v>24</v>
      </c>
      <c r="AF57">
        <v>13</v>
      </c>
      <c r="AH57" t="s">
        <v>1509</v>
      </c>
      <c r="AI57" t="s">
        <v>1508</v>
      </c>
      <c r="AK57" t="s">
        <v>1507</v>
      </c>
      <c r="AL57">
        <v>0</v>
      </c>
      <c r="AM57" s="5">
        <f t="shared" si="3"/>
        <v>0</v>
      </c>
      <c r="AN57" s="4">
        <f t="shared" si="4"/>
        <v>0</v>
      </c>
      <c r="AO57" s="3"/>
      <c r="AP57">
        <v>0</v>
      </c>
      <c r="AR57" t="s">
        <v>0</v>
      </c>
      <c r="AT57" s="2" t="s">
        <v>4</v>
      </c>
      <c r="AU57" s="1">
        <f t="shared" si="5"/>
        <v>0.18872961212994849</v>
      </c>
      <c r="AV57" s="1">
        <f t="shared" si="6"/>
        <v>0.13480686580710607</v>
      </c>
      <c r="AW57" s="1">
        <f t="shared" si="7"/>
        <v>8.0884119484263647E-2</v>
      </c>
    </row>
    <row r="58" spans="1:49" x14ac:dyDescent="0.2">
      <c r="A58">
        <v>56</v>
      </c>
      <c r="B58" t="s">
        <v>1506</v>
      </c>
      <c r="F58" t="s">
        <v>1505</v>
      </c>
      <c r="G58" t="s">
        <v>3</v>
      </c>
      <c r="H58" t="s">
        <v>2</v>
      </c>
      <c r="I58" t="s">
        <v>1504</v>
      </c>
      <c r="N58">
        <v>1</v>
      </c>
      <c r="O58" t="s">
        <v>1503</v>
      </c>
      <c r="P58">
        <v>7202032278</v>
      </c>
      <c r="R58" s="7">
        <v>31382</v>
      </c>
      <c r="S58" s="8">
        <f t="shared" si="0"/>
        <v>1985</v>
      </c>
      <c r="T58" s="8">
        <v>1985</v>
      </c>
      <c r="U58" s="8">
        <f t="shared" si="1"/>
        <v>37</v>
      </c>
      <c r="V58" s="7">
        <v>1985</v>
      </c>
      <c r="W58" t="s">
        <v>1502</v>
      </c>
      <c r="X58" s="2" t="s">
        <v>4</v>
      </c>
      <c r="Y58" s="6" t="e">
        <f t="shared" si="2"/>
        <v>#VALUE!</v>
      </c>
      <c r="AA58">
        <v>256544</v>
      </c>
      <c r="AB58">
        <v>14497</v>
      </c>
      <c r="AD58" t="s">
        <v>1</v>
      </c>
      <c r="AE58">
        <v>20</v>
      </c>
      <c r="AF58">
        <v>6</v>
      </c>
      <c r="AH58" t="s">
        <v>1501</v>
      </c>
      <c r="AI58" t="s">
        <v>1500</v>
      </c>
      <c r="AK58" t="s">
        <v>1499</v>
      </c>
      <c r="AL58">
        <v>1</v>
      </c>
      <c r="AM58" s="5">
        <f t="shared" si="3"/>
        <v>2.7027027027027029E-2</v>
      </c>
      <c r="AN58" s="4">
        <f t="shared" si="4"/>
        <v>4.0934535444190883E-5</v>
      </c>
      <c r="AO58" s="3"/>
      <c r="AP58">
        <v>0</v>
      </c>
      <c r="AR58" t="s">
        <v>0</v>
      </c>
      <c r="AT58" s="2">
        <v>0.45200000000000001</v>
      </c>
      <c r="AU58" s="1" t="e">
        <f t="shared" si="5"/>
        <v>#VALUE!</v>
      </c>
      <c r="AV58" s="1" t="e">
        <f t="shared" si="6"/>
        <v>#VALUE!</v>
      </c>
      <c r="AW58" s="1" t="e">
        <f t="shared" si="7"/>
        <v>#VALUE!</v>
      </c>
    </row>
    <row r="59" spans="1:49" x14ac:dyDescent="0.2">
      <c r="A59">
        <v>57</v>
      </c>
      <c r="B59" t="s">
        <v>1498</v>
      </c>
      <c r="F59" t="s">
        <v>1497</v>
      </c>
      <c r="G59" t="s">
        <v>3</v>
      </c>
      <c r="H59" t="s">
        <v>2</v>
      </c>
      <c r="I59" t="s">
        <v>1496</v>
      </c>
      <c r="J59">
        <v>60015815</v>
      </c>
      <c r="K59" t="s">
        <v>209</v>
      </c>
      <c r="L59" t="s">
        <v>208</v>
      </c>
      <c r="M59" t="s">
        <v>10</v>
      </c>
      <c r="N59">
        <v>6</v>
      </c>
      <c r="O59" t="s">
        <v>1495</v>
      </c>
      <c r="P59" t="s">
        <v>1494</v>
      </c>
      <c r="Q59" t="s">
        <v>1493</v>
      </c>
      <c r="R59" s="7">
        <v>31382</v>
      </c>
      <c r="S59" s="8">
        <f t="shared" si="0"/>
        <v>1985</v>
      </c>
      <c r="T59" s="8">
        <v>1985</v>
      </c>
      <c r="U59" s="8">
        <f t="shared" si="1"/>
        <v>37</v>
      </c>
      <c r="V59" s="7">
        <v>1985</v>
      </c>
      <c r="W59" t="s">
        <v>135</v>
      </c>
      <c r="X59" s="2" t="s">
        <v>4</v>
      </c>
      <c r="Y59" s="6" t="e">
        <f t="shared" si="2"/>
        <v>#VALUE!</v>
      </c>
      <c r="AA59">
        <v>3792285</v>
      </c>
      <c r="AB59">
        <v>34899</v>
      </c>
      <c r="AD59" t="s">
        <v>1</v>
      </c>
      <c r="AE59">
        <v>9</v>
      </c>
      <c r="AF59">
        <v>4</v>
      </c>
      <c r="AH59" t="s">
        <v>1492</v>
      </c>
      <c r="AI59" t="s">
        <v>1491</v>
      </c>
      <c r="AK59" t="s">
        <v>1490</v>
      </c>
      <c r="AL59">
        <v>2</v>
      </c>
      <c r="AM59" s="5">
        <f t="shared" si="3"/>
        <v>5.4054054054054057E-2</v>
      </c>
      <c r="AN59" s="4">
        <f t="shared" si="4"/>
        <v>8.1869070888381765E-5</v>
      </c>
      <c r="AO59" s="3"/>
      <c r="AP59">
        <v>0</v>
      </c>
      <c r="AR59" t="s">
        <v>0</v>
      </c>
      <c r="AT59" s="2" t="s">
        <v>4</v>
      </c>
      <c r="AU59" s="1" t="e">
        <f t="shared" si="5"/>
        <v>#VALUE!</v>
      </c>
      <c r="AV59" s="1" t="e">
        <f t="shared" si="6"/>
        <v>#VALUE!</v>
      </c>
      <c r="AW59" s="1" t="e">
        <f t="shared" si="7"/>
        <v>#VALUE!</v>
      </c>
    </row>
    <row r="60" spans="1:49" x14ac:dyDescent="0.2">
      <c r="A60">
        <v>58</v>
      </c>
      <c r="B60" t="s">
        <v>1489</v>
      </c>
      <c r="C60" t="s">
        <v>1488</v>
      </c>
      <c r="F60" t="s">
        <v>1487</v>
      </c>
      <c r="G60" t="s">
        <v>3</v>
      </c>
      <c r="H60" t="s">
        <v>2</v>
      </c>
      <c r="I60" t="s">
        <v>1486</v>
      </c>
      <c r="J60">
        <v>60029010</v>
      </c>
      <c r="K60" t="s">
        <v>1485</v>
      </c>
      <c r="L60" t="s">
        <v>1484</v>
      </c>
      <c r="M60" t="s">
        <v>10</v>
      </c>
      <c r="N60">
        <v>5</v>
      </c>
      <c r="O60" t="s">
        <v>1483</v>
      </c>
      <c r="P60" t="s">
        <v>1482</v>
      </c>
      <c r="Q60" t="s">
        <v>1481</v>
      </c>
      <c r="R60" s="7">
        <v>31382</v>
      </c>
      <c r="S60" s="8">
        <f t="shared" si="0"/>
        <v>1985</v>
      </c>
      <c r="T60" s="8">
        <v>1985</v>
      </c>
      <c r="U60" s="8">
        <f t="shared" si="1"/>
        <v>37</v>
      </c>
      <c r="V60" s="7">
        <v>1985</v>
      </c>
      <c r="W60" t="s">
        <v>1480</v>
      </c>
      <c r="X60" s="2" t="s">
        <v>4</v>
      </c>
      <c r="Y60" s="6" t="e">
        <f t="shared" si="2"/>
        <v>#VALUE!</v>
      </c>
      <c r="AA60">
        <v>223735</v>
      </c>
      <c r="AB60">
        <v>32471</v>
      </c>
      <c r="AD60" t="s">
        <v>1</v>
      </c>
      <c r="AE60">
        <v>18</v>
      </c>
      <c r="AF60">
        <v>6</v>
      </c>
      <c r="AG60">
        <v>5</v>
      </c>
      <c r="AH60" t="s">
        <v>1479</v>
      </c>
      <c r="AI60" t="s">
        <v>1478</v>
      </c>
      <c r="AK60" t="s">
        <v>1477</v>
      </c>
      <c r="AL60">
        <v>2</v>
      </c>
      <c r="AM60" s="5">
        <f t="shared" si="3"/>
        <v>5.4054054054054057E-2</v>
      </c>
      <c r="AN60" s="4">
        <f t="shared" si="4"/>
        <v>8.1869070888381765E-5</v>
      </c>
      <c r="AO60" s="3"/>
      <c r="AP60">
        <v>0</v>
      </c>
      <c r="AR60" t="s">
        <v>0</v>
      </c>
      <c r="AT60" s="2" t="s">
        <v>4</v>
      </c>
      <c r="AU60" s="1" t="e">
        <f t="shared" si="5"/>
        <v>#VALUE!</v>
      </c>
      <c r="AV60" s="1" t="e">
        <f t="shared" si="6"/>
        <v>#VALUE!</v>
      </c>
      <c r="AW60" s="1" t="e">
        <f t="shared" si="7"/>
        <v>#VALUE!</v>
      </c>
    </row>
    <row r="61" spans="1:49" x14ac:dyDescent="0.2">
      <c r="A61">
        <v>59</v>
      </c>
      <c r="B61" t="s">
        <v>1476</v>
      </c>
      <c r="C61" t="s">
        <v>1475</v>
      </c>
      <c r="F61" t="s">
        <v>1474</v>
      </c>
      <c r="G61" t="s">
        <v>3</v>
      </c>
      <c r="H61" t="s">
        <v>2</v>
      </c>
      <c r="I61" t="s">
        <v>1473</v>
      </c>
      <c r="J61">
        <v>60032179</v>
      </c>
      <c r="K61" t="s">
        <v>46</v>
      </c>
      <c r="L61" t="s">
        <v>45</v>
      </c>
      <c r="M61" t="s">
        <v>11</v>
      </c>
      <c r="N61">
        <v>2</v>
      </c>
      <c r="O61" t="s">
        <v>1472</v>
      </c>
      <c r="P61" t="s">
        <v>1471</v>
      </c>
      <c r="Q61" t="s">
        <v>1470</v>
      </c>
      <c r="R61" s="7">
        <v>31382</v>
      </c>
      <c r="S61" s="8">
        <f t="shared" si="0"/>
        <v>1985</v>
      </c>
      <c r="T61" s="8">
        <v>1985</v>
      </c>
      <c r="U61" s="8">
        <f t="shared" si="1"/>
        <v>37</v>
      </c>
      <c r="V61" s="7">
        <v>1985</v>
      </c>
      <c r="W61" t="s">
        <v>1399</v>
      </c>
      <c r="X61" s="2">
        <v>0.69899999999999995</v>
      </c>
      <c r="Y61" s="6">
        <f t="shared" si="2"/>
        <v>1.8659405782013295E-2</v>
      </c>
      <c r="AA61">
        <v>218979</v>
      </c>
      <c r="AB61">
        <v>28132</v>
      </c>
      <c r="AD61" t="s">
        <v>1</v>
      </c>
      <c r="AE61">
        <v>57</v>
      </c>
      <c r="AF61">
        <v>3</v>
      </c>
      <c r="AH61" t="s">
        <v>1469</v>
      </c>
      <c r="AI61" t="s">
        <v>1468</v>
      </c>
      <c r="AK61" t="s">
        <v>1467</v>
      </c>
      <c r="AL61">
        <v>13</v>
      </c>
      <c r="AM61" s="5">
        <f t="shared" si="3"/>
        <v>0.35135135135135137</v>
      </c>
      <c r="AN61" s="4">
        <f t="shared" si="4"/>
        <v>5.3214896077448143E-4</v>
      </c>
      <c r="AO61" s="3"/>
      <c r="AP61">
        <v>0</v>
      </c>
      <c r="AR61" t="s">
        <v>0</v>
      </c>
      <c r="AT61" s="2">
        <v>2.5459999999999998</v>
      </c>
      <c r="AU61" s="1">
        <f t="shared" si="5"/>
        <v>1.322122873564165</v>
      </c>
      <c r="AV61" s="1">
        <f t="shared" si="6"/>
        <v>0.95957773713938876</v>
      </c>
      <c r="AW61" s="1">
        <f t="shared" si="7"/>
        <v>0.5970326007146125</v>
      </c>
    </row>
    <row r="62" spans="1:49" x14ac:dyDescent="0.2">
      <c r="A62">
        <v>60</v>
      </c>
      <c r="B62" t="s">
        <v>1466</v>
      </c>
      <c r="C62" t="s">
        <v>1465</v>
      </c>
      <c r="F62" t="s">
        <v>1464</v>
      </c>
      <c r="G62" t="s">
        <v>3</v>
      </c>
      <c r="H62" t="s">
        <v>2</v>
      </c>
      <c r="I62" t="s">
        <v>1463</v>
      </c>
      <c r="J62">
        <v>60023053</v>
      </c>
      <c r="K62" t="s">
        <v>37</v>
      </c>
      <c r="L62" t="s">
        <v>36</v>
      </c>
      <c r="M62" t="s">
        <v>11</v>
      </c>
      <c r="N62">
        <v>3</v>
      </c>
      <c r="O62" t="s">
        <v>1462</v>
      </c>
      <c r="P62" t="s">
        <v>1461</v>
      </c>
      <c r="Q62" t="s">
        <v>1460</v>
      </c>
      <c r="R62" s="7">
        <v>31382</v>
      </c>
      <c r="S62" s="8">
        <f t="shared" si="0"/>
        <v>1985</v>
      </c>
      <c r="T62" s="8">
        <v>1985</v>
      </c>
      <c r="U62" s="8">
        <f t="shared" si="1"/>
        <v>37</v>
      </c>
      <c r="V62" s="7">
        <v>1985</v>
      </c>
      <c r="W62" t="s">
        <v>1399</v>
      </c>
      <c r="X62" s="2">
        <v>0.69899999999999995</v>
      </c>
      <c r="Y62" s="6">
        <f t="shared" si="2"/>
        <v>1.8659405782013295E-2</v>
      </c>
      <c r="AA62">
        <v>218979</v>
      </c>
      <c r="AB62">
        <v>28132</v>
      </c>
      <c r="AD62" t="s">
        <v>1</v>
      </c>
      <c r="AE62">
        <v>57</v>
      </c>
      <c r="AF62">
        <v>3</v>
      </c>
      <c r="AH62" t="s">
        <v>1459</v>
      </c>
      <c r="AI62" t="s">
        <v>1458</v>
      </c>
      <c r="AK62" t="s">
        <v>1457</v>
      </c>
      <c r="AL62">
        <v>55</v>
      </c>
      <c r="AM62" s="5">
        <f t="shared" si="3"/>
        <v>1.4864864864864864</v>
      </c>
      <c r="AN62" s="4">
        <f t="shared" si="4"/>
        <v>2.2513994494304983E-3</v>
      </c>
      <c r="AO62" s="3"/>
      <c r="AP62">
        <v>0</v>
      </c>
      <c r="AR62" t="s">
        <v>0</v>
      </c>
      <c r="AT62" s="2">
        <v>2.5459999999999998</v>
      </c>
      <c r="AU62" s="1">
        <f t="shared" si="5"/>
        <v>1.3737003882238454</v>
      </c>
      <c r="AV62" s="1">
        <f t="shared" si="6"/>
        <v>1.0455402615721896</v>
      </c>
      <c r="AW62" s="1">
        <f t="shared" si="7"/>
        <v>0.71738013492053365</v>
      </c>
    </row>
    <row r="63" spans="1:49" x14ac:dyDescent="0.2">
      <c r="A63">
        <v>61</v>
      </c>
      <c r="B63" t="s">
        <v>1456</v>
      </c>
      <c r="C63" t="s">
        <v>1455</v>
      </c>
      <c r="F63" t="s">
        <v>1454</v>
      </c>
      <c r="G63" t="s">
        <v>3</v>
      </c>
      <c r="H63" t="s">
        <v>2</v>
      </c>
      <c r="I63" t="s">
        <v>1453</v>
      </c>
      <c r="J63">
        <v>60004759</v>
      </c>
      <c r="K63" t="s">
        <v>1452</v>
      </c>
      <c r="L63" t="s">
        <v>1451</v>
      </c>
      <c r="M63" t="s">
        <v>32</v>
      </c>
      <c r="N63">
        <v>2</v>
      </c>
      <c r="O63" t="s">
        <v>1450</v>
      </c>
      <c r="P63" t="s">
        <v>1449</v>
      </c>
      <c r="Q63" t="s">
        <v>1448</v>
      </c>
      <c r="R63" s="7">
        <v>31382</v>
      </c>
      <c r="S63" s="8">
        <f t="shared" si="0"/>
        <v>1985</v>
      </c>
      <c r="T63" s="8">
        <v>1985</v>
      </c>
      <c r="U63" s="8">
        <f t="shared" si="1"/>
        <v>37</v>
      </c>
      <c r="V63" s="7">
        <v>1985</v>
      </c>
      <c r="W63" t="s">
        <v>1447</v>
      </c>
      <c r="X63" s="2">
        <v>15.993</v>
      </c>
      <c r="Y63" s="6">
        <f t="shared" si="2"/>
        <v>0.42692400096099947</v>
      </c>
      <c r="AA63">
        <v>280836</v>
      </c>
      <c r="AB63">
        <v>21206</v>
      </c>
      <c r="AD63" t="s">
        <v>1</v>
      </c>
      <c r="AE63">
        <v>315</v>
      </c>
      <c r="AF63">
        <v>6015</v>
      </c>
      <c r="AH63" t="s">
        <v>1446</v>
      </c>
      <c r="AI63" t="s">
        <v>1445</v>
      </c>
      <c r="AK63" t="s">
        <v>1444</v>
      </c>
      <c r="AL63">
        <v>28</v>
      </c>
      <c r="AM63" s="5">
        <f t="shared" si="3"/>
        <v>0.7567567567567568</v>
      </c>
      <c r="AN63" s="4">
        <f t="shared" si="4"/>
        <v>1.1461669924373447E-3</v>
      </c>
      <c r="AO63" s="3"/>
      <c r="AP63">
        <v>0</v>
      </c>
      <c r="AR63" t="s">
        <v>0</v>
      </c>
      <c r="AT63" s="2">
        <v>49.962000000000003</v>
      </c>
      <c r="AU63" s="1">
        <f t="shared" si="5"/>
        <v>29.919065077043079</v>
      </c>
      <c r="AV63" s="1">
        <f t="shared" si="6"/>
        <v>21.403508397671843</v>
      </c>
      <c r="AW63" s="1">
        <f t="shared" si="7"/>
        <v>12.887951718300597</v>
      </c>
    </row>
    <row r="64" spans="1:49" x14ac:dyDescent="0.2">
      <c r="A64">
        <v>62</v>
      </c>
      <c r="B64" t="s">
        <v>1443</v>
      </c>
      <c r="C64" t="s">
        <v>1442</v>
      </c>
      <c r="F64" t="s">
        <v>1441</v>
      </c>
      <c r="G64" t="s">
        <v>3</v>
      </c>
      <c r="H64" t="s">
        <v>2</v>
      </c>
      <c r="I64" t="s">
        <v>1440</v>
      </c>
      <c r="J64">
        <v>60023694</v>
      </c>
      <c r="K64" t="s">
        <v>1439</v>
      </c>
      <c r="L64" t="s">
        <v>1438</v>
      </c>
      <c r="M64" t="s">
        <v>11</v>
      </c>
      <c r="N64">
        <v>2</v>
      </c>
      <c r="O64" t="s">
        <v>1437</v>
      </c>
      <c r="P64" t="s">
        <v>1436</v>
      </c>
      <c r="Q64" t="s">
        <v>1435</v>
      </c>
      <c r="R64" s="7">
        <v>31382</v>
      </c>
      <c r="S64" s="8">
        <f t="shared" si="0"/>
        <v>1985</v>
      </c>
      <c r="T64" s="8">
        <v>1985</v>
      </c>
      <c r="U64" s="8">
        <f t="shared" si="1"/>
        <v>37</v>
      </c>
      <c r="V64" s="7">
        <v>31382</v>
      </c>
      <c r="W64" t="s">
        <v>1434</v>
      </c>
      <c r="X64" s="2">
        <v>0.749</v>
      </c>
      <c r="Y64" s="6">
        <f t="shared" si="2"/>
        <v>1.9994127225648008E-2</v>
      </c>
      <c r="AA64" t="s">
        <v>1433</v>
      </c>
      <c r="AB64">
        <v>20311</v>
      </c>
      <c r="AC64">
        <v>19382936</v>
      </c>
      <c r="AD64" t="s">
        <v>1</v>
      </c>
      <c r="AE64">
        <v>14</v>
      </c>
      <c r="AF64">
        <v>6</v>
      </c>
      <c r="AH64" t="s">
        <v>1432</v>
      </c>
      <c r="AI64" t="s">
        <v>1431</v>
      </c>
      <c r="AK64" t="s">
        <v>1430</v>
      </c>
      <c r="AL64">
        <v>1</v>
      </c>
      <c r="AM64" s="5">
        <f t="shared" si="3"/>
        <v>2.7027027027027029E-2</v>
      </c>
      <c r="AN64" s="4">
        <f t="shared" si="4"/>
        <v>4.0934535444190883E-5</v>
      </c>
      <c r="AO64" s="3"/>
      <c r="AP64">
        <v>0</v>
      </c>
      <c r="AR64" t="s">
        <v>0</v>
      </c>
      <c r="AT64" s="2">
        <v>2.3769999999999998</v>
      </c>
      <c r="AU64" s="1">
        <f t="shared" si="5"/>
        <v>1.4008169418586862</v>
      </c>
      <c r="AV64" s="1">
        <f t="shared" si="6"/>
        <v>1.0017530880546099</v>
      </c>
      <c r="AW64" s="1">
        <f t="shared" si="7"/>
        <v>0.60268923425053356</v>
      </c>
    </row>
    <row r="65" spans="1:49" x14ac:dyDescent="0.2">
      <c r="A65">
        <v>63</v>
      </c>
      <c r="B65" t="s">
        <v>1429</v>
      </c>
      <c r="C65" t="s">
        <v>1428</v>
      </c>
      <c r="F65" t="s">
        <v>1427</v>
      </c>
      <c r="G65" t="s">
        <v>3</v>
      </c>
      <c r="H65" t="s">
        <v>2</v>
      </c>
      <c r="I65" t="s">
        <v>1426</v>
      </c>
      <c r="J65">
        <v>60025709</v>
      </c>
      <c r="K65" t="s">
        <v>1425</v>
      </c>
      <c r="L65" t="s">
        <v>106</v>
      </c>
      <c r="M65" t="s">
        <v>8</v>
      </c>
      <c r="N65">
        <v>5</v>
      </c>
      <c r="O65" t="s">
        <v>1424</v>
      </c>
      <c r="P65" t="s">
        <v>1423</v>
      </c>
      <c r="Q65" t="s">
        <v>1422</v>
      </c>
      <c r="R65" s="7">
        <v>31382</v>
      </c>
      <c r="S65" s="8">
        <f t="shared" si="0"/>
        <v>1985</v>
      </c>
      <c r="T65" s="8">
        <v>1985</v>
      </c>
      <c r="U65" s="8">
        <f t="shared" si="1"/>
        <v>37</v>
      </c>
      <c r="V65" s="7">
        <v>1985</v>
      </c>
      <c r="W65" t="s">
        <v>1408</v>
      </c>
      <c r="X65" s="2">
        <v>1.3280000000000001</v>
      </c>
      <c r="Y65" s="6">
        <f t="shared" si="2"/>
        <v>3.5450201542937994E-2</v>
      </c>
      <c r="AA65">
        <v>7413335</v>
      </c>
      <c r="AB65">
        <v>29251</v>
      </c>
      <c r="AD65" t="s">
        <v>1</v>
      </c>
      <c r="AE65">
        <v>27</v>
      </c>
      <c r="AF65">
        <v>10</v>
      </c>
      <c r="AG65">
        <v>4</v>
      </c>
      <c r="AH65" t="s">
        <v>1421</v>
      </c>
      <c r="AI65" t="s">
        <v>1420</v>
      </c>
      <c r="AK65" t="s">
        <v>1419</v>
      </c>
      <c r="AL65">
        <v>40</v>
      </c>
      <c r="AM65" s="5">
        <f t="shared" si="3"/>
        <v>1.0810810810810811</v>
      </c>
      <c r="AN65" s="4">
        <f t="shared" si="4"/>
        <v>1.6373814177676352E-3</v>
      </c>
      <c r="AO65" s="3"/>
      <c r="AP65">
        <v>0</v>
      </c>
      <c r="AR65" t="s">
        <v>0</v>
      </c>
      <c r="AT65" s="2">
        <v>2.4580000000000002</v>
      </c>
      <c r="AU65" s="1">
        <f t="shared" si="5"/>
        <v>2.5306355505386886</v>
      </c>
      <c r="AV65" s="1">
        <f t="shared" si="6"/>
        <v>1.8543791480352814</v>
      </c>
      <c r="AW65" s="1">
        <f t="shared" si="7"/>
        <v>1.1781227455318743</v>
      </c>
    </row>
    <row r="66" spans="1:49" x14ac:dyDescent="0.2">
      <c r="A66">
        <v>64</v>
      </c>
      <c r="B66" t="s">
        <v>1418</v>
      </c>
      <c r="C66" t="s">
        <v>1417</v>
      </c>
      <c r="F66" t="s">
        <v>1416</v>
      </c>
      <c r="G66" t="s">
        <v>3</v>
      </c>
      <c r="H66" t="s">
        <v>2</v>
      </c>
      <c r="I66" t="s">
        <v>1415</v>
      </c>
      <c r="J66">
        <v>119852706</v>
      </c>
      <c r="K66" t="s">
        <v>1414</v>
      </c>
      <c r="L66" t="s">
        <v>1413</v>
      </c>
      <c r="M66" t="s">
        <v>1412</v>
      </c>
      <c r="N66">
        <v>3</v>
      </c>
      <c r="O66" t="s">
        <v>1411</v>
      </c>
      <c r="P66" t="s">
        <v>1410</v>
      </c>
      <c r="Q66" t="s">
        <v>1409</v>
      </c>
      <c r="R66" s="7">
        <v>31382</v>
      </c>
      <c r="S66" s="8">
        <f t="shared" ref="S66:S129" si="8">YEAR(R66)</f>
        <v>1985</v>
      </c>
      <c r="T66" s="8">
        <v>1985</v>
      </c>
      <c r="U66" s="8">
        <f t="shared" ref="U66:U129" si="9">2022-T66</f>
        <v>37</v>
      </c>
      <c r="V66" s="7">
        <v>1985</v>
      </c>
      <c r="W66" t="s">
        <v>1408</v>
      </c>
      <c r="X66" s="2">
        <v>1.3280000000000001</v>
      </c>
      <c r="Y66" s="6">
        <f t="shared" ref="Y66:Y129" si="10">(X66-$Z$4)/($Z$3-$Z$4)</f>
        <v>3.5450201542937994E-2</v>
      </c>
      <c r="AA66">
        <v>7413335</v>
      </c>
      <c r="AB66">
        <v>29251</v>
      </c>
      <c r="AD66" t="s">
        <v>1</v>
      </c>
      <c r="AE66">
        <v>27</v>
      </c>
      <c r="AF66">
        <v>9</v>
      </c>
      <c r="AG66">
        <v>7</v>
      </c>
      <c r="AH66" t="s">
        <v>1407</v>
      </c>
      <c r="AI66" t="s">
        <v>1406</v>
      </c>
      <c r="AK66" t="s">
        <v>1405</v>
      </c>
      <c r="AL66">
        <v>23</v>
      </c>
      <c r="AM66" s="5">
        <f t="shared" ref="AM66:AM129" si="11">AL66/U66</f>
        <v>0.6216216216216216</v>
      </c>
      <c r="AN66" s="4">
        <f t="shared" ref="AN66:AN129" si="12">(AM66-$AO$4)/($AO$3-$AO$4)</f>
        <v>9.4149431521639018E-4</v>
      </c>
      <c r="AO66" s="3"/>
      <c r="AP66">
        <v>0</v>
      </c>
      <c r="AR66" t="s">
        <v>0</v>
      </c>
      <c r="AT66" s="2">
        <v>2.4580000000000002</v>
      </c>
      <c r="AU66" s="1">
        <f t="shared" ref="AU66:AU129" si="13">(Y66*0.7+AN66*0.3)*100</f>
        <v>2.5097589374621516</v>
      </c>
      <c r="AV66" s="1">
        <f t="shared" ref="AV66:AV129" si="14">(Y66*0.5+AN66*0.5)*100</f>
        <v>1.8195847929077191</v>
      </c>
      <c r="AW66" s="1">
        <f t="shared" ref="AW66:AW129" si="15">(Y66*0.3+AN66*0.7)*100</f>
        <v>1.1294106483532871</v>
      </c>
    </row>
    <row r="67" spans="1:49" x14ac:dyDescent="0.2">
      <c r="A67">
        <v>65</v>
      </c>
      <c r="B67" t="s">
        <v>1404</v>
      </c>
      <c r="C67" t="s">
        <v>1403</v>
      </c>
      <c r="F67" t="s">
        <v>1402</v>
      </c>
      <c r="G67" t="s">
        <v>3</v>
      </c>
      <c r="H67" t="s">
        <v>2</v>
      </c>
      <c r="I67" t="s">
        <v>1401</v>
      </c>
      <c r="J67">
        <v>60009982</v>
      </c>
      <c r="K67" t="s">
        <v>24</v>
      </c>
      <c r="L67" t="s">
        <v>23</v>
      </c>
      <c r="M67" t="s">
        <v>11</v>
      </c>
      <c r="N67">
        <v>1</v>
      </c>
      <c r="O67" t="s">
        <v>1400</v>
      </c>
      <c r="P67">
        <v>7404816148</v>
      </c>
      <c r="Q67">
        <v>60009982</v>
      </c>
      <c r="R67" s="7">
        <v>31382</v>
      </c>
      <c r="S67" s="8">
        <f t="shared" si="8"/>
        <v>1985</v>
      </c>
      <c r="T67" s="8">
        <v>1985</v>
      </c>
      <c r="U67" s="8">
        <f t="shared" si="9"/>
        <v>37</v>
      </c>
      <c r="V67" s="7">
        <v>1985</v>
      </c>
      <c r="W67" t="s">
        <v>1399</v>
      </c>
      <c r="X67" s="2">
        <v>0.69899999999999995</v>
      </c>
      <c r="Y67" s="6">
        <f t="shared" si="10"/>
        <v>1.8659405782013295E-2</v>
      </c>
      <c r="AA67">
        <v>218979</v>
      </c>
      <c r="AB67">
        <v>28132</v>
      </c>
      <c r="AD67" t="s">
        <v>1</v>
      </c>
      <c r="AE67">
        <v>57</v>
      </c>
      <c r="AF67">
        <v>7</v>
      </c>
      <c r="AH67" t="s">
        <v>1398</v>
      </c>
      <c r="AI67" t="s">
        <v>1397</v>
      </c>
      <c r="AK67" t="s">
        <v>1396</v>
      </c>
      <c r="AL67">
        <v>115</v>
      </c>
      <c r="AM67" s="5">
        <f t="shared" si="11"/>
        <v>3.1081081081081079</v>
      </c>
      <c r="AN67" s="4">
        <f t="shared" si="12"/>
        <v>4.7074715760819508E-3</v>
      </c>
      <c r="AO67" s="3"/>
      <c r="AP67">
        <v>0</v>
      </c>
      <c r="AR67" t="s">
        <v>0</v>
      </c>
      <c r="AT67" s="2">
        <v>2.5459999999999998</v>
      </c>
      <c r="AU67" s="1">
        <f t="shared" si="13"/>
        <v>1.4473825520233889</v>
      </c>
      <c r="AV67" s="1">
        <f t="shared" si="14"/>
        <v>1.1683438679047622</v>
      </c>
      <c r="AW67" s="1">
        <f t="shared" si="15"/>
        <v>0.88930518378613543</v>
      </c>
    </row>
    <row r="68" spans="1:49" x14ac:dyDescent="0.2">
      <c r="A68">
        <v>66</v>
      </c>
      <c r="B68" t="s">
        <v>1395</v>
      </c>
      <c r="F68" t="s">
        <v>1394</v>
      </c>
      <c r="G68" t="s">
        <v>3</v>
      </c>
      <c r="H68" t="s">
        <v>2</v>
      </c>
      <c r="I68" t="s">
        <v>1393</v>
      </c>
      <c r="J68">
        <v>60028586</v>
      </c>
      <c r="K68" t="s">
        <v>1392</v>
      </c>
      <c r="L68" t="s">
        <v>1391</v>
      </c>
      <c r="M68" t="s">
        <v>35</v>
      </c>
      <c r="N68">
        <v>3</v>
      </c>
      <c r="O68" t="s">
        <v>1390</v>
      </c>
      <c r="P68" t="s">
        <v>1389</v>
      </c>
      <c r="Q68" t="s">
        <v>1388</v>
      </c>
      <c r="R68" s="7">
        <v>31382</v>
      </c>
      <c r="S68" s="8">
        <f t="shared" si="8"/>
        <v>1985</v>
      </c>
      <c r="T68" s="8">
        <v>1985</v>
      </c>
      <c r="U68" s="8">
        <f t="shared" si="9"/>
        <v>37</v>
      </c>
      <c r="V68" s="7">
        <v>31382</v>
      </c>
      <c r="W68" t="s">
        <v>9</v>
      </c>
      <c r="X68" s="2">
        <v>1.9750000000000001</v>
      </c>
      <c r="Y68" s="6">
        <f t="shared" si="10"/>
        <v>5.2721497023571186E-2</v>
      </c>
      <c r="AA68">
        <v>320781</v>
      </c>
      <c r="AB68">
        <v>19019</v>
      </c>
      <c r="AD68" t="s">
        <v>1</v>
      </c>
      <c r="AE68">
        <v>26</v>
      </c>
      <c r="AF68">
        <v>8</v>
      </c>
      <c r="AH68" t="s">
        <v>1387</v>
      </c>
      <c r="AI68" t="s">
        <v>1386</v>
      </c>
      <c r="AJ68" t="s">
        <v>1385</v>
      </c>
      <c r="AK68" t="s">
        <v>1384</v>
      </c>
      <c r="AL68">
        <v>68</v>
      </c>
      <c r="AM68" s="5">
        <f t="shared" si="11"/>
        <v>1.8378378378378379</v>
      </c>
      <c r="AN68" s="4">
        <f t="shared" si="12"/>
        <v>2.7835484102049796E-3</v>
      </c>
      <c r="AO68" s="3"/>
      <c r="AP68">
        <v>0</v>
      </c>
      <c r="AQ68" t="s">
        <v>1383</v>
      </c>
      <c r="AR68" t="s">
        <v>0</v>
      </c>
      <c r="AS68" t="s">
        <v>1382</v>
      </c>
      <c r="AT68" s="2">
        <v>4.9269999999999996</v>
      </c>
      <c r="AU68" s="1">
        <f t="shared" si="13"/>
        <v>3.7740112439561324</v>
      </c>
      <c r="AV68" s="1">
        <f t="shared" si="14"/>
        <v>2.7752522716888084</v>
      </c>
      <c r="AW68" s="1">
        <f t="shared" si="15"/>
        <v>1.7764932994214839</v>
      </c>
    </row>
    <row r="69" spans="1:49" x14ac:dyDescent="0.2">
      <c r="A69">
        <v>67</v>
      </c>
      <c r="B69" t="s">
        <v>1381</v>
      </c>
      <c r="C69" t="s">
        <v>1380</v>
      </c>
      <c r="D69">
        <v>5272885901306</v>
      </c>
      <c r="E69">
        <v>3933560</v>
      </c>
      <c r="F69" t="s">
        <v>1379</v>
      </c>
      <c r="G69" t="s">
        <v>3</v>
      </c>
      <c r="H69" t="s">
        <v>2</v>
      </c>
      <c r="I69" t="s">
        <v>1378</v>
      </c>
      <c r="J69">
        <v>60006173</v>
      </c>
      <c r="K69" t="s">
        <v>1377</v>
      </c>
      <c r="L69" t="s">
        <v>1376</v>
      </c>
      <c r="M69" t="s">
        <v>11</v>
      </c>
      <c r="N69">
        <v>3</v>
      </c>
      <c r="O69" t="s">
        <v>1375</v>
      </c>
      <c r="P69" t="s">
        <v>1374</v>
      </c>
      <c r="Q69" t="s">
        <v>1373</v>
      </c>
      <c r="R69" s="7">
        <v>31378</v>
      </c>
      <c r="S69" s="8">
        <f t="shared" si="8"/>
        <v>1985</v>
      </c>
      <c r="T69" s="8">
        <v>1985</v>
      </c>
      <c r="U69" s="8">
        <f t="shared" si="9"/>
        <v>37</v>
      </c>
      <c r="V69" s="7">
        <v>31378</v>
      </c>
      <c r="W69" t="s">
        <v>166</v>
      </c>
      <c r="X69" s="2">
        <v>1.59</v>
      </c>
      <c r="Y69" s="6">
        <f t="shared" si="10"/>
        <v>4.2444141907583888E-2</v>
      </c>
      <c r="AA69">
        <v>52728</v>
      </c>
      <c r="AB69">
        <v>16791</v>
      </c>
      <c r="AD69" t="s">
        <v>1</v>
      </c>
      <c r="AE69">
        <v>810</v>
      </c>
      <c r="AF69">
        <v>2</v>
      </c>
      <c r="AH69" t="s">
        <v>1372</v>
      </c>
      <c r="AI69" t="s">
        <v>1371</v>
      </c>
      <c r="AJ69" t="s">
        <v>1370</v>
      </c>
      <c r="AK69" t="s">
        <v>1369</v>
      </c>
      <c r="AL69">
        <v>17</v>
      </c>
      <c r="AM69" s="5">
        <f t="shared" si="11"/>
        <v>0.45945945945945948</v>
      </c>
      <c r="AN69" s="4">
        <f t="shared" si="12"/>
        <v>6.9588710255124491E-4</v>
      </c>
      <c r="AO69" s="3"/>
      <c r="AP69">
        <v>0</v>
      </c>
      <c r="AQ69" t="s">
        <v>67</v>
      </c>
      <c r="AR69" t="s">
        <v>1368</v>
      </c>
      <c r="AS69" t="s">
        <v>66</v>
      </c>
      <c r="AT69" s="2" t="s">
        <v>4</v>
      </c>
      <c r="AU69" s="1">
        <f t="shared" si="13"/>
        <v>2.9919665466074092</v>
      </c>
      <c r="AV69" s="1">
        <f t="shared" si="14"/>
        <v>2.1570014505067565</v>
      </c>
      <c r="AW69" s="1">
        <f t="shared" si="15"/>
        <v>1.3220363544061036</v>
      </c>
    </row>
    <row r="70" spans="1:49" x14ac:dyDescent="0.2">
      <c r="A70">
        <v>68</v>
      </c>
      <c r="B70" t="s">
        <v>1367</v>
      </c>
      <c r="C70" t="s">
        <v>1366</v>
      </c>
      <c r="F70" t="s">
        <v>1365</v>
      </c>
      <c r="G70" t="s">
        <v>3</v>
      </c>
      <c r="H70" t="s">
        <v>2</v>
      </c>
      <c r="I70" t="s">
        <v>1364</v>
      </c>
      <c r="J70">
        <v>60030807</v>
      </c>
      <c r="K70" t="s">
        <v>244</v>
      </c>
      <c r="L70" t="s">
        <v>141</v>
      </c>
      <c r="M70" t="s">
        <v>10</v>
      </c>
      <c r="N70">
        <v>1</v>
      </c>
      <c r="O70" t="s">
        <v>1363</v>
      </c>
      <c r="P70">
        <v>7006022844</v>
      </c>
      <c r="Q70">
        <v>60030807</v>
      </c>
      <c r="R70" s="7">
        <v>31352</v>
      </c>
      <c r="S70" s="8">
        <f t="shared" si="8"/>
        <v>1985</v>
      </c>
      <c r="T70" s="8">
        <v>1985</v>
      </c>
      <c r="U70" s="8">
        <f t="shared" si="9"/>
        <v>37</v>
      </c>
      <c r="V70" s="7">
        <v>31352</v>
      </c>
      <c r="W70" t="s">
        <v>240</v>
      </c>
      <c r="X70" s="2">
        <v>1.64</v>
      </c>
      <c r="Y70" s="6">
        <f t="shared" si="10"/>
        <v>4.3778863351218597E-2</v>
      </c>
      <c r="AA70" t="s">
        <v>239</v>
      </c>
      <c r="AB70">
        <v>18446</v>
      </c>
      <c r="AC70">
        <v>14320878</v>
      </c>
      <c r="AD70" t="s">
        <v>1</v>
      </c>
      <c r="AE70">
        <v>242</v>
      </c>
      <c r="AF70">
        <v>2</v>
      </c>
      <c r="AH70" t="s">
        <v>688</v>
      </c>
      <c r="AI70" t="s">
        <v>1362</v>
      </c>
      <c r="AJ70" t="s">
        <v>1361</v>
      </c>
      <c r="AK70" t="s">
        <v>1360</v>
      </c>
      <c r="AL70">
        <v>40</v>
      </c>
      <c r="AM70" s="5">
        <f t="shared" si="11"/>
        <v>1.0810810810810811</v>
      </c>
      <c r="AN70" s="4">
        <f t="shared" si="12"/>
        <v>1.6373814177676352E-3</v>
      </c>
      <c r="AO70" s="3"/>
      <c r="AP70">
        <v>0</v>
      </c>
      <c r="AR70" t="s">
        <v>0</v>
      </c>
      <c r="AT70" s="2">
        <v>5.2489999999999997</v>
      </c>
      <c r="AU70" s="1">
        <f t="shared" si="13"/>
        <v>3.1136418771183307</v>
      </c>
      <c r="AV70" s="1">
        <f t="shared" si="14"/>
        <v>2.2708122384493117</v>
      </c>
      <c r="AW70" s="1">
        <f t="shared" si="15"/>
        <v>1.4279825997802924</v>
      </c>
    </row>
    <row r="71" spans="1:49" x14ac:dyDescent="0.2">
      <c r="A71">
        <v>69</v>
      </c>
      <c r="B71" t="s">
        <v>1359</v>
      </c>
      <c r="F71" t="s">
        <v>1358</v>
      </c>
      <c r="G71" t="s">
        <v>3</v>
      </c>
      <c r="H71" t="s">
        <v>2</v>
      </c>
      <c r="I71" t="s">
        <v>1357</v>
      </c>
      <c r="N71">
        <v>5</v>
      </c>
      <c r="O71" t="s">
        <v>1356</v>
      </c>
      <c r="P71" t="s">
        <v>1355</v>
      </c>
      <c r="Q71" t="s">
        <v>129</v>
      </c>
      <c r="R71" s="7">
        <v>31352</v>
      </c>
      <c r="S71" s="8">
        <f t="shared" si="8"/>
        <v>1985</v>
      </c>
      <c r="T71" s="8">
        <v>1985</v>
      </c>
      <c r="U71" s="8">
        <f t="shared" si="9"/>
        <v>37</v>
      </c>
      <c r="V71" s="7">
        <v>31352</v>
      </c>
      <c r="W71" t="s">
        <v>1354</v>
      </c>
      <c r="X71" s="2" t="s">
        <v>4</v>
      </c>
      <c r="Y71" s="6" t="e">
        <f t="shared" si="10"/>
        <v>#VALUE!</v>
      </c>
      <c r="AA71">
        <v>338001</v>
      </c>
      <c r="AB71">
        <v>32587</v>
      </c>
      <c r="AD71" t="s">
        <v>1</v>
      </c>
      <c r="AE71">
        <v>32</v>
      </c>
      <c r="AF71">
        <v>137</v>
      </c>
      <c r="AH71" t="s">
        <v>50</v>
      </c>
      <c r="AI71" t="s">
        <v>1353</v>
      </c>
      <c r="AK71" t="s">
        <v>1352</v>
      </c>
      <c r="AL71">
        <v>0</v>
      </c>
      <c r="AM71" s="5">
        <f t="shared" si="11"/>
        <v>0</v>
      </c>
      <c r="AN71" s="4">
        <f t="shared" si="12"/>
        <v>0</v>
      </c>
      <c r="AO71" s="3"/>
      <c r="AP71">
        <v>0</v>
      </c>
      <c r="AR71" t="s">
        <v>0</v>
      </c>
      <c r="AT71" s="2" t="s">
        <v>4</v>
      </c>
      <c r="AU71" s="1" t="e">
        <f t="shared" si="13"/>
        <v>#VALUE!</v>
      </c>
      <c r="AV71" s="1" t="e">
        <f t="shared" si="14"/>
        <v>#VALUE!</v>
      </c>
      <c r="AW71" s="1" t="e">
        <f t="shared" si="15"/>
        <v>#VALUE!</v>
      </c>
    </row>
    <row r="72" spans="1:49" x14ac:dyDescent="0.2">
      <c r="A72">
        <v>70</v>
      </c>
      <c r="B72" t="s">
        <v>1351</v>
      </c>
      <c r="F72" t="s">
        <v>1350</v>
      </c>
      <c r="G72" t="s">
        <v>3</v>
      </c>
      <c r="H72" t="s">
        <v>2</v>
      </c>
      <c r="I72" t="s">
        <v>1349</v>
      </c>
      <c r="J72">
        <v>60077217</v>
      </c>
      <c r="K72" t="s">
        <v>1348</v>
      </c>
      <c r="L72" t="s">
        <v>1347</v>
      </c>
      <c r="M72" t="s">
        <v>11</v>
      </c>
      <c r="N72">
        <v>1</v>
      </c>
      <c r="O72" t="s">
        <v>1346</v>
      </c>
      <c r="P72">
        <v>6602286547</v>
      </c>
      <c r="Q72">
        <v>60077217</v>
      </c>
      <c r="R72" s="7">
        <v>31352</v>
      </c>
      <c r="S72" s="8">
        <f t="shared" si="8"/>
        <v>1985</v>
      </c>
      <c r="T72" s="8">
        <v>1985</v>
      </c>
      <c r="U72" s="8">
        <f t="shared" si="9"/>
        <v>37</v>
      </c>
      <c r="V72" s="7">
        <v>31352</v>
      </c>
      <c r="W72" t="s">
        <v>1345</v>
      </c>
      <c r="X72" s="2" t="s">
        <v>4</v>
      </c>
      <c r="Y72" s="6" t="e">
        <f t="shared" si="10"/>
        <v>#VALUE!</v>
      </c>
      <c r="AA72">
        <v>326070</v>
      </c>
      <c r="AB72">
        <v>34638</v>
      </c>
      <c r="AD72" t="s">
        <v>1</v>
      </c>
      <c r="AE72">
        <v>27</v>
      </c>
      <c r="AF72">
        <v>11</v>
      </c>
      <c r="AH72" t="s">
        <v>1344</v>
      </c>
      <c r="AI72" t="s">
        <v>1343</v>
      </c>
      <c r="AK72" t="s">
        <v>1342</v>
      </c>
      <c r="AL72">
        <v>0</v>
      </c>
      <c r="AM72" s="5">
        <f t="shared" si="11"/>
        <v>0</v>
      </c>
      <c r="AN72" s="4">
        <f t="shared" si="12"/>
        <v>0</v>
      </c>
      <c r="AO72" s="3"/>
      <c r="AP72">
        <v>0</v>
      </c>
      <c r="AR72" t="s">
        <v>0</v>
      </c>
      <c r="AT72" s="2" t="s">
        <v>4</v>
      </c>
      <c r="AU72" s="1" t="e">
        <f t="shared" si="13"/>
        <v>#VALUE!</v>
      </c>
      <c r="AV72" s="1" t="e">
        <f t="shared" si="14"/>
        <v>#VALUE!</v>
      </c>
      <c r="AW72" s="1" t="e">
        <f t="shared" si="15"/>
        <v>#VALUE!</v>
      </c>
    </row>
    <row r="73" spans="1:49" x14ac:dyDescent="0.2">
      <c r="A73">
        <v>71</v>
      </c>
      <c r="B73" t="s">
        <v>1341</v>
      </c>
      <c r="C73" t="s">
        <v>1340</v>
      </c>
      <c r="F73" t="s">
        <v>1339</v>
      </c>
      <c r="G73" t="s">
        <v>3</v>
      </c>
      <c r="H73" t="s">
        <v>2</v>
      </c>
      <c r="I73" t="s">
        <v>1338</v>
      </c>
      <c r="N73">
        <v>3</v>
      </c>
      <c r="O73" t="s">
        <v>1337</v>
      </c>
      <c r="P73" t="s">
        <v>1336</v>
      </c>
      <c r="Q73" t="s">
        <v>25</v>
      </c>
      <c r="R73" s="7">
        <v>31352</v>
      </c>
      <c r="S73" s="8">
        <f t="shared" si="8"/>
        <v>1985</v>
      </c>
      <c r="T73" s="8">
        <v>1985</v>
      </c>
      <c r="U73" s="8">
        <f t="shared" si="9"/>
        <v>37</v>
      </c>
      <c r="V73" s="7">
        <v>31352</v>
      </c>
      <c r="W73" t="s">
        <v>180</v>
      </c>
      <c r="X73" s="2">
        <v>0.318</v>
      </c>
      <c r="Y73" s="6">
        <f t="shared" si="10"/>
        <v>8.4888283815167786E-3</v>
      </c>
      <c r="AA73">
        <v>338443</v>
      </c>
      <c r="AB73">
        <v>27160</v>
      </c>
      <c r="AC73">
        <v>15739120</v>
      </c>
      <c r="AD73" t="s">
        <v>1</v>
      </c>
      <c r="AE73">
        <v>28</v>
      </c>
      <c r="AF73">
        <v>11</v>
      </c>
      <c r="AH73" t="s">
        <v>1335</v>
      </c>
      <c r="AL73">
        <v>0</v>
      </c>
      <c r="AM73" s="5">
        <f t="shared" si="11"/>
        <v>0</v>
      </c>
      <c r="AN73" s="4">
        <f t="shared" si="12"/>
        <v>0</v>
      </c>
      <c r="AO73" s="3"/>
      <c r="AP73">
        <v>0</v>
      </c>
      <c r="AR73" t="s">
        <v>0</v>
      </c>
      <c r="AT73" s="2">
        <v>0.77</v>
      </c>
      <c r="AU73" s="1">
        <f t="shared" si="13"/>
        <v>0.59421798670617454</v>
      </c>
      <c r="AV73" s="1">
        <f t="shared" si="14"/>
        <v>0.42444141907583893</v>
      </c>
      <c r="AW73" s="1">
        <f t="shared" si="15"/>
        <v>0.25466485144550338</v>
      </c>
    </row>
    <row r="74" spans="1:49" x14ac:dyDescent="0.2">
      <c r="A74">
        <v>72</v>
      </c>
      <c r="B74" t="s">
        <v>1334</v>
      </c>
      <c r="F74" t="s">
        <v>1333</v>
      </c>
      <c r="G74" t="s">
        <v>3</v>
      </c>
      <c r="H74" t="s">
        <v>2</v>
      </c>
      <c r="I74" t="s">
        <v>1332</v>
      </c>
      <c r="J74">
        <v>60008721</v>
      </c>
      <c r="K74" t="s">
        <v>1331</v>
      </c>
      <c r="L74" t="s">
        <v>1330</v>
      </c>
      <c r="M74" t="s">
        <v>26</v>
      </c>
      <c r="N74">
        <v>2</v>
      </c>
      <c r="O74" t="s">
        <v>1329</v>
      </c>
      <c r="P74" t="s">
        <v>1328</v>
      </c>
      <c r="Q74" t="s">
        <v>1327</v>
      </c>
      <c r="R74" s="7">
        <v>31352</v>
      </c>
      <c r="S74" s="8">
        <f t="shared" si="8"/>
        <v>1985</v>
      </c>
      <c r="T74" s="8">
        <v>1985</v>
      </c>
      <c r="U74" s="8">
        <f t="shared" si="9"/>
        <v>37</v>
      </c>
      <c r="V74" s="7">
        <v>31352</v>
      </c>
      <c r="W74" t="s">
        <v>1326</v>
      </c>
      <c r="X74" s="2">
        <v>0.20100000000000001</v>
      </c>
      <c r="Y74" s="6">
        <f t="shared" si="10"/>
        <v>5.3655802034115489E-3</v>
      </c>
      <c r="AA74">
        <v>195596</v>
      </c>
      <c r="AB74">
        <v>28036</v>
      </c>
      <c r="AD74" t="s">
        <v>1</v>
      </c>
      <c r="AE74">
        <v>23</v>
      </c>
      <c r="AF74">
        <v>11</v>
      </c>
      <c r="AH74" t="s">
        <v>1325</v>
      </c>
      <c r="AI74" t="s">
        <v>1324</v>
      </c>
      <c r="AK74" t="s">
        <v>1323</v>
      </c>
      <c r="AL74">
        <v>0</v>
      </c>
      <c r="AM74" s="5">
        <f t="shared" si="11"/>
        <v>0</v>
      </c>
      <c r="AN74" s="4">
        <f t="shared" si="12"/>
        <v>0</v>
      </c>
      <c r="AO74" s="3"/>
      <c r="AP74">
        <v>0</v>
      </c>
      <c r="AR74" t="s">
        <v>0</v>
      </c>
      <c r="AT74" s="2" t="s">
        <v>4</v>
      </c>
      <c r="AU74" s="1">
        <f t="shared" si="13"/>
        <v>0.37559061423880835</v>
      </c>
      <c r="AV74" s="1">
        <f t="shared" si="14"/>
        <v>0.26827901017057743</v>
      </c>
      <c r="AW74" s="1">
        <f t="shared" si="15"/>
        <v>0.16096740610234647</v>
      </c>
    </row>
    <row r="75" spans="1:49" x14ac:dyDescent="0.2">
      <c r="A75">
        <v>73</v>
      </c>
      <c r="B75" t="s">
        <v>1322</v>
      </c>
      <c r="F75" t="s">
        <v>1321</v>
      </c>
      <c r="G75" t="s">
        <v>3</v>
      </c>
      <c r="H75" t="s">
        <v>2</v>
      </c>
      <c r="I75" t="s">
        <v>1320</v>
      </c>
      <c r="N75">
        <v>1</v>
      </c>
      <c r="O75" t="s">
        <v>1319</v>
      </c>
      <c r="P75">
        <v>57196594805</v>
      </c>
      <c r="R75" s="7">
        <v>31352</v>
      </c>
      <c r="S75" s="8">
        <f t="shared" si="8"/>
        <v>1985</v>
      </c>
      <c r="T75" s="8">
        <v>1985</v>
      </c>
      <c r="U75" s="8">
        <f t="shared" si="9"/>
        <v>37</v>
      </c>
      <c r="V75" s="7">
        <v>31352</v>
      </c>
      <c r="W75" t="s">
        <v>194</v>
      </c>
      <c r="X75" s="2" t="s">
        <v>4</v>
      </c>
      <c r="Y75" s="6" t="e">
        <f t="shared" si="10"/>
        <v>#VALUE!</v>
      </c>
      <c r="AA75">
        <v>2663244</v>
      </c>
      <c r="AB75">
        <v>35055</v>
      </c>
      <c r="AD75" t="s">
        <v>1</v>
      </c>
      <c r="AE75">
        <v>91</v>
      </c>
      <c r="AF75">
        <v>1597</v>
      </c>
      <c r="AH75" t="s">
        <v>1318</v>
      </c>
      <c r="AI75" t="s">
        <v>1317</v>
      </c>
      <c r="AK75" t="s">
        <v>1316</v>
      </c>
      <c r="AL75">
        <v>0</v>
      </c>
      <c r="AM75" s="5">
        <f t="shared" si="11"/>
        <v>0</v>
      </c>
      <c r="AN75" s="4">
        <f t="shared" si="12"/>
        <v>0</v>
      </c>
      <c r="AO75" s="3"/>
      <c r="AP75">
        <v>0</v>
      </c>
      <c r="AR75" t="s">
        <v>0</v>
      </c>
      <c r="AT75" s="2" t="s">
        <v>4</v>
      </c>
      <c r="AU75" s="1" t="e">
        <f t="shared" si="13"/>
        <v>#VALUE!</v>
      </c>
      <c r="AV75" s="1" t="e">
        <f t="shared" si="14"/>
        <v>#VALUE!</v>
      </c>
      <c r="AW75" s="1" t="e">
        <f t="shared" si="15"/>
        <v>#VALUE!</v>
      </c>
    </row>
    <row r="76" spans="1:49" x14ac:dyDescent="0.2">
      <c r="A76">
        <v>74</v>
      </c>
      <c r="B76" t="s">
        <v>1315</v>
      </c>
      <c r="F76" t="s">
        <v>1314</v>
      </c>
      <c r="G76" t="s">
        <v>3</v>
      </c>
      <c r="H76" t="s">
        <v>2</v>
      </c>
      <c r="I76" t="s">
        <v>186</v>
      </c>
      <c r="N76">
        <v>1</v>
      </c>
      <c r="O76" t="s">
        <v>1313</v>
      </c>
      <c r="P76">
        <v>55981949400</v>
      </c>
      <c r="R76" s="7">
        <v>31352</v>
      </c>
      <c r="S76" s="8">
        <f t="shared" si="8"/>
        <v>1985</v>
      </c>
      <c r="T76" s="8">
        <v>1985</v>
      </c>
      <c r="U76" s="8">
        <f t="shared" si="9"/>
        <v>37</v>
      </c>
      <c r="V76" s="7">
        <v>31352</v>
      </c>
      <c r="W76" t="s">
        <v>482</v>
      </c>
      <c r="X76" s="2" t="s">
        <v>4</v>
      </c>
      <c r="Y76" s="6" t="e">
        <f t="shared" si="10"/>
        <v>#VALUE!</v>
      </c>
      <c r="AA76">
        <v>87566648</v>
      </c>
      <c r="AB76">
        <v>74127</v>
      </c>
      <c r="AD76" t="s">
        <v>1</v>
      </c>
      <c r="AE76">
        <v>30</v>
      </c>
      <c r="AF76">
        <v>11</v>
      </c>
      <c r="AH76" s="10">
        <v>41487</v>
      </c>
      <c r="AI76" t="s">
        <v>1312</v>
      </c>
      <c r="AK76" t="s">
        <v>1311</v>
      </c>
      <c r="AL76">
        <v>0</v>
      </c>
      <c r="AM76" s="5">
        <f t="shared" si="11"/>
        <v>0</v>
      </c>
      <c r="AN76" s="4">
        <f t="shared" si="12"/>
        <v>0</v>
      </c>
      <c r="AO76" s="3"/>
      <c r="AP76">
        <v>0</v>
      </c>
      <c r="AR76" t="s">
        <v>0</v>
      </c>
      <c r="AT76" s="2" t="s">
        <v>4</v>
      </c>
      <c r="AU76" s="1" t="e">
        <f t="shared" si="13"/>
        <v>#VALUE!</v>
      </c>
      <c r="AV76" s="1" t="e">
        <f t="shared" si="14"/>
        <v>#VALUE!</v>
      </c>
      <c r="AW76" s="1" t="e">
        <f t="shared" si="15"/>
        <v>#VALUE!</v>
      </c>
    </row>
    <row r="77" spans="1:49" x14ac:dyDescent="0.2">
      <c r="A77">
        <v>75</v>
      </c>
      <c r="B77" t="s">
        <v>1310</v>
      </c>
      <c r="F77" t="s">
        <v>1309</v>
      </c>
      <c r="G77" t="s">
        <v>3</v>
      </c>
      <c r="H77" t="s">
        <v>2</v>
      </c>
      <c r="I77" t="s">
        <v>191</v>
      </c>
      <c r="N77">
        <v>3</v>
      </c>
      <c r="O77" t="s">
        <v>1308</v>
      </c>
      <c r="P77" t="s">
        <v>1307</v>
      </c>
      <c r="Q77" t="s">
        <v>25</v>
      </c>
      <c r="R77" s="7">
        <v>31352</v>
      </c>
      <c r="S77" s="8">
        <f t="shared" si="8"/>
        <v>1985</v>
      </c>
      <c r="T77" s="8">
        <v>1985</v>
      </c>
      <c r="U77" s="8">
        <f t="shared" si="9"/>
        <v>37</v>
      </c>
      <c r="V77" s="7">
        <v>31352</v>
      </c>
      <c r="W77" t="s">
        <v>482</v>
      </c>
      <c r="X77" s="2" t="s">
        <v>4</v>
      </c>
      <c r="Y77" s="6" t="e">
        <f t="shared" si="10"/>
        <v>#VALUE!</v>
      </c>
      <c r="AA77">
        <v>87566648</v>
      </c>
      <c r="AB77">
        <v>74127</v>
      </c>
      <c r="AD77" t="s">
        <v>1</v>
      </c>
      <c r="AE77">
        <v>30</v>
      </c>
      <c r="AF77">
        <v>11</v>
      </c>
      <c r="AH77" t="s">
        <v>1306</v>
      </c>
      <c r="AI77" t="s">
        <v>1305</v>
      </c>
      <c r="AK77" t="s">
        <v>1304</v>
      </c>
      <c r="AL77">
        <v>0</v>
      </c>
      <c r="AM77" s="5">
        <f t="shared" si="11"/>
        <v>0</v>
      </c>
      <c r="AN77" s="4">
        <f t="shared" si="12"/>
        <v>0</v>
      </c>
      <c r="AO77" s="3"/>
      <c r="AP77">
        <v>0</v>
      </c>
      <c r="AR77" t="s">
        <v>0</v>
      </c>
      <c r="AT77" s="2" t="s">
        <v>4</v>
      </c>
      <c r="AU77" s="1" t="e">
        <f t="shared" si="13"/>
        <v>#VALUE!</v>
      </c>
      <c r="AV77" s="1" t="e">
        <f t="shared" si="14"/>
        <v>#VALUE!</v>
      </c>
      <c r="AW77" s="1" t="e">
        <f t="shared" si="15"/>
        <v>#VALUE!</v>
      </c>
    </row>
    <row r="78" spans="1:49" x14ac:dyDescent="0.2">
      <c r="A78">
        <v>76</v>
      </c>
      <c r="B78" t="s">
        <v>1303</v>
      </c>
      <c r="F78" t="s">
        <v>1302</v>
      </c>
      <c r="G78" t="s">
        <v>3</v>
      </c>
      <c r="H78" t="s">
        <v>2</v>
      </c>
      <c r="I78" t="s">
        <v>1301</v>
      </c>
      <c r="J78">
        <v>60006896</v>
      </c>
      <c r="K78" t="s">
        <v>1300</v>
      </c>
      <c r="L78" t="s">
        <v>27</v>
      </c>
      <c r="M78" t="s">
        <v>26</v>
      </c>
      <c r="N78">
        <v>3</v>
      </c>
      <c r="O78" t="s">
        <v>1299</v>
      </c>
      <c r="P78" t="s">
        <v>1298</v>
      </c>
      <c r="Q78" t="s">
        <v>1297</v>
      </c>
      <c r="R78" s="7">
        <v>31352</v>
      </c>
      <c r="S78" s="8">
        <f t="shared" si="8"/>
        <v>1985</v>
      </c>
      <c r="T78" s="8">
        <v>1985</v>
      </c>
      <c r="U78" s="8">
        <f t="shared" si="9"/>
        <v>37</v>
      </c>
      <c r="V78" s="7">
        <v>31352</v>
      </c>
      <c r="W78" t="s">
        <v>100</v>
      </c>
      <c r="X78" s="2" t="s">
        <v>4</v>
      </c>
      <c r="Y78" s="6" t="e">
        <f t="shared" si="10"/>
        <v>#VALUE!</v>
      </c>
      <c r="AA78">
        <v>2559609</v>
      </c>
      <c r="AB78">
        <v>18958</v>
      </c>
      <c r="AD78" t="s">
        <v>1</v>
      </c>
      <c r="AE78">
        <v>2</v>
      </c>
      <c r="AF78">
        <v>11</v>
      </c>
      <c r="AH78" t="s">
        <v>1296</v>
      </c>
      <c r="AI78" t="s">
        <v>1295</v>
      </c>
      <c r="AK78" t="s">
        <v>1294</v>
      </c>
      <c r="AL78">
        <v>0</v>
      </c>
      <c r="AM78" s="5">
        <f t="shared" si="11"/>
        <v>0</v>
      </c>
      <c r="AN78" s="4">
        <f t="shared" si="12"/>
        <v>0</v>
      </c>
      <c r="AO78" s="3"/>
      <c r="AP78">
        <v>0</v>
      </c>
      <c r="AR78" t="s">
        <v>0</v>
      </c>
      <c r="AT78" s="2" t="s">
        <v>4</v>
      </c>
      <c r="AU78" s="1" t="e">
        <f t="shared" si="13"/>
        <v>#VALUE!</v>
      </c>
      <c r="AV78" s="1" t="e">
        <f t="shared" si="14"/>
        <v>#VALUE!</v>
      </c>
      <c r="AW78" s="1" t="e">
        <f t="shared" si="15"/>
        <v>#VALUE!</v>
      </c>
    </row>
    <row r="79" spans="1:49" x14ac:dyDescent="0.2">
      <c r="A79">
        <v>77</v>
      </c>
      <c r="B79" t="s">
        <v>1293</v>
      </c>
      <c r="F79" t="s">
        <v>1292</v>
      </c>
      <c r="G79" t="s">
        <v>3</v>
      </c>
      <c r="H79" t="s">
        <v>2</v>
      </c>
      <c r="I79" t="s">
        <v>1291</v>
      </c>
      <c r="N79">
        <v>3</v>
      </c>
      <c r="O79" t="s">
        <v>1290</v>
      </c>
      <c r="P79" t="s">
        <v>1289</v>
      </c>
      <c r="Q79" t="s">
        <v>25</v>
      </c>
      <c r="R79" s="7">
        <v>31352</v>
      </c>
      <c r="S79" s="8">
        <f t="shared" si="8"/>
        <v>1985</v>
      </c>
      <c r="T79" s="8">
        <v>1985</v>
      </c>
      <c r="U79" s="8">
        <f t="shared" si="9"/>
        <v>37</v>
      </c>
      <c r="V79" s="7">
        <v>31352</v>
      </c>
      <c r="W79" t="s">
        <v>482</v>
      </c>
      <c r="X79" s="2" t="s">
        <v>4</v>
      </c>
      <c r="Y79" s="6" t="e">
        <f t="shared" si="10"/>
        <v>#VALUE!</v>
      </c>
      <c r="AA79">
        <v>87566648</v>
      </c>
      <c r="AB79">
        <v>74127</v>
      </c>
      <c r="AD79" t="s">
        <v>1</v>
      </c>
      <c r="AE79">
        <v>30</v>
      </c>
      <c r="AF79">
        <v>11</v>
      </c>
      <c r="AH79" t="s">
        <v>1288</v>
      </c>
      <c r="AI79" t="s">
        <v>1287</v>
      </c>
      <c r="AK79" t="s">
        <v>1286</v>
      </c>
      <c r="AL79">
        <v>0</v>
      </c>
      <c r="AM79" s="5">
        <f t="shared" si="11"/>
        <v>0</v>
      </c>
      <c r="AN79" s="4">
        <f t="shared" si="12"/>
        <v>0</v>
      </c>
      <c r="AO79" s="3"/>
      <c r="AP79">
        <v>0</v>
      </c>
      <c r="AR79" t="s">
        <v>0</v>
      </c>
      <c r="AT79" s="2" t="s">
        <v>4</v>
      </c>
      <c r="AU79" s="1" t="e">
        <f t="shared" si="13"/>
        <v>#VALUE!</v>
      </c>
      <c r="AV79" s="1" t="e">
        <f t="shared" si="14"/>
        <v>#VALUE!</v>
      </c>
      <c r="AW79" s="1" t="e">
        <f t="shared" si="15"/>
        <v>#VALUE!</v>
      </c>
    </row>
    <row r="80" spans="1:49" x14ac:dyDescent="0.2">
      <c r="A80">
        <v>78</v>
      </c>
      <c r="B80" t="s">
        <v>1285</v>
      </c>
      <c r="F80" t="s">
        <v>1284</v>
      </c>
      <c r="G80" t="s">
        <v>3</v>
      </c>
      <c r="H80" t="s">
        <v>2</v>
      </c>
      <c r="I80" t="s">
        <v>1283</v>
      </c>
      <c r="N80">
        <v>1</v>
      </c>
      <c r="O80" t="s">
        <v>1282</v>
      </c>
      <c r="P80">
        <v>7801323486</v>
      </c>
      <c r="R80" s="7">
        <v>31352</v>
      </c>
      <c r="S80" s="8">
        <f t="shared" si="8"/>
        <v>1985</v>
      </c>
      <c r="T80" s="8">
        <v>1985</v>
      </c>
      <c r="U80" s="8">
        <f t="shared" si="9"/>
        <v>37</v>
      </c>
      <c r="V80" s="7">
        <v>31352</v>
      </c>
      <c r="W80" t="s">
        <v>482</v>
      </c>
      <c r="X80" s="2" t="s">
        <v>4</v>
      </c>
      <c r="Y80" s="6" t="e">
        <f t="shared" si="10"/>
        <v>#VALUE!</v>
      </c>
      <c r="AA80">
        <v>87566648</v>
      </c>
      <c r="AB80">
        <v>74127</v>
      </c>
      <c r="AD80" t="s">
        <v>1</v>
      </c>
      <c r="AE80">
        <v>30</v>
      </c>
      <c r="AF80">
        <v>11</v>
      </c>
      <c r="AH80" t="s">
        <v>1281</v>
      </c>
      <c r="AI80" t="s">
        <v>1280</v>
      </c>
      <c r="AK80" t="s">
        <v>1279</v>
      </c>
      <c r="AL80">
        <v>0</v>
      </c>
      <c r="AM80" s="5">
        <f t="shared" si="11"/>
        <v>0</v>
      </c>
      <c r="AN80" s="4">
        <f t="shared" si="12"/>
        <v>0</v>
      </c>
      <c r="AO80" s="3"/>
      <c r="AP80">
        <v>0</v>
      </c>
      <c r="AR80" t="s">
        <v>0</v>
      </c>
      <c r="AT80" s="2" t="s">
        <v>4</v>
      </c>
      <c r="AU80" s="1" t="e">
        <f t="shared" si="13"/>
        <v>#VALUE!</v>
      </c>
      <c r="AV80" s="1" t="e">
        <f t="shared" si="14"/>
        <v>#VALUE!</v>
      </c>
      <c r="AW80" s="1" t="e">
        <f t="shared" si="15"/>
        <v>#VALUE!</v>
      </c>
    </row>
    <row r="81" spans="1:49" x14ac:dyDescent="0.2">
      <c r="A81">
        <v>79</v>
      </c>
      <c r="B81" t="s">
        <v>1278</v>
      </c>
      <c r="F81" t="s">
        <v>1277</v>
      </c>
      <c r="G81" t="s">
        <v>3</v>
      </c>
      <c r="H81" t="s">
        <v>2</v>
      </c>
      <c r="I81" t="s">
        <v>1276</v>
      </c>
      <c r="J81">
        <v>122318734</v>
      </c>
      <c r="K81" t="s">
        <v>1275</v>
      </c>
      <c r="L81" t="s">
        <v>1274</v>
      </c>
      <c r="M81" t="s">
        <v>11</v>
      </c>
      <c r="N81">
        <v>1</v>
      </c>
      <c r="O81" t="s">
        <v>1273</v>
      </c>
      <c r="P81">
        <v>7005762155</v>
      </c>
      <c r="Q81">
        <v>122318734</v>
      </c>
      <c r="R81" s="7">
        <v>31352</v>
      </c>
      <c r="S81" s="8">
        <f t="shared" si="8"/>
        <v>1985</v>
      </c>
      <c r="T81" s="8">
        <v>1985</v>
      </c>
      <c r="U81" s="8">
        <f t="shared" si="9"/>
        <v>37</v>
      </c>
      <c r="V81" s="7">
        <v>31352</v>
      </c>
      <c r="W81" t="s">
        <v>1272</v>
      </c>
      <c r="X81" s="2" t="s">
        <v>4</v>
      </c>
      <c r="Y81" s="6" t="e">
        <f t="shared" si="10"/>
        <v>#VALUE!</v>
      </c>
      <c r="AA81">
        <v>198323</v>
      </c>
      <c r="AB81">
        <v>35464</v>
      </c>
      <c r="AD81" t="s">
        <v>1</v>
      </c>
      <c r="AE81">
        <v>61</v>
      </c>
      <c r="AF81">
        <v>11</v>
      </c>
      <c r="AH81" t="s">
        <v>1271</v>
      </c>
      <c r="AI81" t="s">
        <v>1270</v>
      </c>
      <c r="AK81" t="s">
        <v>1269</v>
      </c>
      <c r="AL81">
        <v>0</v>
      </c>
      <c r="AM81" s="5">
        <f t="shared" si="11"/>
        <v>0</v>
      </c>
      <c r="AN81" s="4">
        <f t="shared" si="12"/>
        <v>0</v>
      </c>
      <c r="AO81" s="3"/>
      <c r="AP81">
        <v>0</v>
      </c>
      <c r="AR81" t="s">
        <v>0</v>
      </c>
      <c r="AT81" s="2" t="s">
        <v>4</v>
      </c>
      <c r="AU81" s="1" t="e">
        <f t="shared" si="13"/>
        <v>#VALUE!</v>
      </c>
      <c r="AV81" s="1" t="e">
        <f t="shared" si="14"/>
        <v>#VALUE!</v>
      </c>
      <c r="AW81" s="1" t="e">
        <f t="shared" si="15"/>
        <v>#VALUE!</v>
      </c>
    </row>
    <row r="82" spans="1:49" x14ac:dyDescent="0.2">
      <c r="A82">
        <v>80</v>
      </c>
      <c r="B82" t="s">
        <v>1268</v>
      </c>
      <c r="F82" t="s">
        <v>1267</v>
      </c>
      <c r="G82" t="s">
        <v>3</v>
      </c>
      <c r="H82" t="s">
        <v>2</v>
      </c>
      <c r="I82" t="s">
        <v>1266</v>
      </c>
      <c r="J82">
        <v>60009982</v>
      </c>
      <c r="K82" t="s">
        <v>24</v>
      </c>
      <c r="L82" t="s">
        <v>23</v>
      </c>
      <c r="M82" t="s">
        <v>11</v>
      </c>
      <c r="N82">
        <v>1</v>
      </c>
      <c r="O82" t="s">
        <v>140</v>
      </c>
      <c r="P82">
        <v>35586046100</v>
      </c>
      <c r="Q82">
        <v>60009982</v>
      </c>
      <c r="R82" s="7">
        <v>31352</v>
      </c>
      <c r="S82" s="8">
        <f t="shared" si="8"/>
        <v>1985</v>
      </c>
      <c r="T82" s="8">
        <v>1985</v>
      </c>
      <c r="U82" s="8">
        <f t="shared" si="9"/>
        <v>37</v>
      </c>
      <c r="V82" s="7">
        <v>31352</v>
      </c>
      <c r="W82" t="s">
        <v>41</v>
      </c>
      <c r="X82" s="2">
        <v>2.141</v>
      </c>
      <c r="Y82" s="6">
        <f t="shared" si="10"/>
        <v>5.7152772216438434E-2</v>
      </c>
      <c r="AA82">
        <v>1962892</v>
      </c>
      <c r="AB82">
        <v>17360</v>
      </c>
      <c r="AD82" t="s">
        <v>1</v>
      </c>
      <c r="AE82" t="s">
        <v>1238</v>
      </c>
      <c r="AF82">
        <v>6</v>
      </c>
      <c r="AI82" t="s">
        <v>1265</v>
      </c>
      <c r="AK82" t="s">
        <v>1264</v>
      </c>
      <c r="AL82">
        <v>2</v>
      </c>
      <c r="AM82" s="5">
        <f t="shared" si="11"/>
        <v>5.4054054054054057E-2</v>
      </c>
      <c r="AN82" s="4">
        <f t="shared" si="12"/>
        <v>8.1869070888381765E-5</v>
      </c>
      <c r="AO82" s="3"/>
      <c r="AP82">
        <v>0</v>
      </c>
      <c r="AR82" t="s">
        <v>0</v>
      </c>
      <c r="AT82" s="2" t="s">
        <v>4</v>
      </c>
      <c r="AU82" s="1">
        <f t="shared" si="13"/>
        <v>4.0031501272773413</v>
      </c>
      <c r="AV82" s="1">
        <f t="shared" si="14"/>
        <v>2.8617320643663411</v>
      </c>
      <c r="AW82" s="1">
        <f t="shared" si="15"/>
        <v>1.72031400145534</v>
      </c>
    </row>
    <row r="83" spans="1:49" x14ac:dyDescent="0.2">
      <c r="A83">
        <v>81</v>
      </c>
      <c r="B83" t="s">
        <v>1263</v>
      </c>
      <c r="F83" t="s">
        <v>1262</v>
      </c>
      <c r="G83" t="s">
        <v>3</v>
      </c>
      <c r="H83" t="s">
        <v>2</v>
      </c>
      <c r="I83" t="s">
        <v>1261</v>
      </c>
      <c r="N83">
        <v>2</v>
      </c>
      <c r="O83" t="s">
        <v>1260</v>
      </c>
      <c r="P83" t="s">
        <v>1259</v>
      </c>
      <c r="Q83" t="s">
        <v>48</v>
      </c>
      <c r="R83" s="7">
        <v>31352</v>
      </c>
      <c r="S83" s="8">
        <f t="shared" si="8"/>
        <v>1985</v>
      </c>
      <c r="T83" s="8">
        <v>1985</v>
      </c>
      <c r="U83" s="8">
        <f t="shared" si="9"/>
        <v>37</v>
      </c>
      <c r="V83" s="7">
        <v>31352</v>
      </c>
      <c r="W83" t="s">
        <v>482</v>
      </c>
      <c r="X83" s="2" t="s">
        <v>4</v>
      </c>
      <c r="Y83" s="6" t="e">
        <f t="shared" si="10"/>
        <v>#VALUE!</v>
      </c>
      <c r="AA83">
        <v>87566648</v>
      </c>
      <c r="AB83">
        <v>74127</v>
      </c>
      <c r="AD83" t="s">
        <v>1</v>
      </c>
      <c r="AE83">
        <v>30</v>
      </c>
      <c r="AF83">
        <v>11</v>
      </c>
      <c r="AH83" t="s">
        <v>1258</v>
      </c>
      <c r="AI83" t="s">
        <v>1257</v>
      </c>
      <c r="AK83" t="s">
        <v>1256</v>
      </c>
      <c r="AL83">
        <v>0</v>
      </c>
      <c r="AM83" s="5">
        <f t="shared" si="11"/>
        <v>0</v>
      </c>
      <c r="AN83" s="4">
        <f t="shared" si="12"/>
        <v>0</v>
      </c>
      <c r="AO83" s="3"/>
      <c r="AP83">
        <v>0</v>
      </c>
      <c r="AR83" t="s">
        <v>0</v>
      </c>
      <c r="AT83" s="2" t="s">
        <v>4</v>
      </c>
      <c r="AU83" s="1" t="e">
        <f t="shared" si="13"/>
        <v>#VALUE!</v>
      </c>
      <c r="AV83" s="1" t="e">
        <f t="shared" si="14"/>
        <v>#VALUE!</v>
      </c>
      <c r="AW83" s="1" t="e">
        <f t="shared" si="15"/>
        <v>#VALUE!</v>
      </c>
    </row>
    <row r="84" spans="1:49" x14ac:dyDescent="0.2">
      <c r="A84">
        <v>82</v>
      </c>
      <c r="B84" t="s">
        <v>1255</v>
      </c>
      <c r="F84" t="s">
        <v>1254</v>
      </c>
      <c r="G84" t="s">
        <v>3</v>
      </c>
      <c r="H84" t="s">
        <v>2</v>
      </c>
      <c r="I84" t="s">
        <v>1253</v>
      </c>
      <c r="J84">
        <v>60028673</v>
      </c>
      <c r="K84" t="s">
        <v>205</v>
      </c>
      <c r="L84" t="s">
        <v>12</v>
      </c>
      <c r="M84" t="s">
        <v>10</v>
      </c>
      <c r="N84">
        <v>2</v>
      </c>
      <c r="O84" t="s">
        <v>1252</v>
      </c>
      <c r="P84" t="s">
        <v>1251</v>
      </c>
      <c r="Q84" t="s">
        <v>1250</v>
      </c>
      <c r="R84" s="7">
        <v>31352</v>
      </c>
      <c r="S84" s="8">
        <f t="shared" si="8"/>
        <v>1985</v>
      </c>
      <c r="T84" s="8">
        <v>1985</v>
      </c>
      <c r="U84" s="8">
        <f t="shared" si="9"/>
        <v>37</v>
      </c>
      <c r="V84" s="7">
        <v>31352</v>
      </c>
      <c r="W84" t="s">
        <v>204</v>
      </c>
      <c r="X84" s="2" t="s">
        <v>4</v>
      </c>
      <c r="Y84" s="6" t="e">
        <f t="shared" si="10"/>
        <v>#VALUE!</v>
      </c>
      <c r="AA84">
        <v>3444880</v>
      </c>
      <c r="AB84">
        <v>38773</v>
      </c>
      <c r="AD84" t="s">
        <v>1</v>
      </c>
      <c r="AE84">
        <v>8</v>
      </c>
      <c r="AF84">
        <v>6</v>
      </c>
      <c r="AH84" t="s">
        <v>1249</v>
      </c>
      <c r="AI84" t="s">
        <v>1248</v>
      </c>
      <c r="AK84" t="s">
        <v>1247</v>
      </c>
      <c r="AL84">
        <v>0</v>
      </c>
      <c r="AM84" s="5">
        <f t="shared" si="11"/>
        <v>0</v>
      </c>
      <c r="AN84" s="4">
        <f t="shared" si="12"/>
        <v>0</v>
      </c>
      <c r="AO84" s="3"/>
      <c r="AP84">
        <v>0</v>
      </c>
      <c r="AR84" t="s">
        <v>0</v>
      </c>
      <c r="AT84" s="2" t="s">
        <v>4</v>
      </c>
      <c r="AU84" s="1" t="e">
        <f t="shared" si="13"/>
        <v>#VALUE!</v>
      </c>
      <c r="AV84" s="1" t="e">
        <f t="shared" si="14"/>
        <v>#VALUE!</v>
      </c>
      <c r="AW84" s="1" t="e">
        <f t="shared" si="15"/>
        <v>#VALUE!</v>
      </c>
    </row>
    <row r="85" spans="1:49" x14ac:dyDescent="0.2">
      <c r="A85">
        <v>83</v>
      </c>
      <c r="B85" t="s">
        <v>1246</v>
      </c>
      <c r="F85" t="s">
        <v>1245</v>
      </c>
      <c r="G85" t="s">
        <v>3</v>
      </c>
      <c r="H85" t="s">
        <v>2</v>
      </c>
      <c r="I85" t="s">
        <v>1244</v>
      </c>
      <c r="J85">
        <v>60104665</v>
      </c>
      <c r="K85" t="s">
        <v>1243</v>
      </c>
      <c r="L85" t="s">
        <v>1242</v>
      </c>
      <c r="M85" t="s">
        <v>19</v>
      </c>
      <c r="N85">
        <v>2</v>
      </c>
      <c r="O85" t="s">
        <v>1241</v>
      </c>
      <c r="P85" t="s">
        <v>1240</v>
      </c>
      <c r="Q85" t="s">
        <v>1239</v>
      </c>
      <c r="R85" s="7">
        <v>31352</v>
      </c>
      <c r="S85" s="8">
        <f t="shared" si="8"/>
        <v>1985</v>
      </c>
      <c r="T85" s="8">
        <v>1985</v>
      </c>
      <c r="U85" s="8">
        <f t="shared" si="9"/>
        <v>37</v>
      </c>
      <c r="V85" s="7">
        <v>31352</v>
      </c>
      <c r="W85" t="s">
        <v>41</v>
      </c>
      <c r="X85" s="2">
        <v>2.141</v>
      </c>
      <c r="Y85" s="6">
        <f t="shared" si="10"/>
        <v>5.7152772216438434E-2</v>
      </c>
      <c r="AA85">
        <v>1962892</v>
      </c>
      <c r="AB85">
        <v>17360</v>
      </c>
      <c r="AD85" t="s">
        <v>1</v>
      </c>
      <c r="AE85" t="s">
        <v>1238</v>
      </c>
      <c r="AF85">
        <v>6</v>
      </c>
      <c r="AI85" t="s">
        <v>1237</v>
      </c>
      <c r="AK85" t="s">
        <v>1236</v>
      </c>
      <c r="AL85">
        <v>5</v>
      </c>
      <c r="AM85" s="5">
        <f t="shared" si="11"/>
        <v>0.13513513513513514</v>
      </c>
      <c r="AN85" s="4">
        <f t="shared" si="12"/>
        <v>2.046726772209544E-4</v>
      </c>
      <c r="AO85" s="3"/>
      <c r="AP85">
        <v>0</v>
      </c>
      <c r="AR85" t="s">
        <v>0</v>
      </c>
      <c r="AT85" s="2" t="s">
        <v>4</v>
      </c>
      <c r="AU85" s="1">
        <f t="shared" si="13"/>
        <v>4.006834235467319</v>
      </c>
      <c r="AV85" s="1">
        <f t="shared" si="14"/>
        <v>2.8678722446829696</v>
      </c>
      <c r="AW85" s="1">
        <f t="shared" si="15"/>
        <v>1.7289102538986196</v>
      </c>
    </row>
    <row r="86" spans="1:49" x14ac:dyDescent="0.2">
      <c r="A86">
        <v>84</v>
      </c>
      <c r="B86" t="s">
        <v>1235</v>
      </c>
      <c r="C86" t="s">
        <v>1234</v>
      </c>
      <c r="F86" t="s">
        <v>1233</v>
      </c>
      <c r="G86" t="s">
        <v>3</v>
      </c>
      <c r="H86" t="s">
        <v>2</v>
      </c>
      <c r="I86" t="s">
        <v>1232</v>
      </c>
      <c r="J86">
        <v>60000986</v>
      </c>
      <c r="K86" t="s">
        <v>1231</v>
      </c>
      <c r="L86" t="s">
        <v>1230</v>
      </c>
      <c r="M86" t="s">
        <v>11</v>
      </c>
      <c r="N86">
        <v>1</v>
      </c>
      <c r="O86" t="s">
        <v>1229</v>
      </c>
      <c r="P86">
        <v>7103138825</v>
      </c>
      <c r="Q86">
        <v>60000986</v>
      </c>
      <c r="R86" s="7">
        <v>31352</v>
      </c>
      <c r="S86" s="8">
        <f t="shared" si="8"/>
        <v>1985</v>
      </c>
      <c r="T86" s="8">
        <v>1985</v>
      </c>
      <c r="U86" s="8">
        <f t="shared" si="9"/>
        <v>37</v>
      </c>
      <c r="V86" s="7">
        <v>31352</v>
      </c>
      <c r="W86" t="s">
        <v>200</v>
      </c>
      <c r="X86" s="2">
        <v>0.8</v>
      </c>
      <c r="Y86" s="6">
        <f t="shared" si="10"/>
        <v>2.1355543098155415E-2</v>
      </c>
      <c r="AA86">
        <v>3407594</v>
      </c>
      <c r="AB86">
        <v>23456</v>
      </c>
      <c r="AC86">
        <v>14321351</v>
      </c>
      <c r="AD86" t="s">
        <v>1</v>
      </c>
      <c r="AE86">
        <v>156</v>
      </c>
      <c r="AF86">
        <v>6</v>
      </c>
      <c r="AH86" t="s">
        <v>1228</v>
      </c>
      <c r="AI86" t="s">
        <v>1227</v>
      </c>
      <c r="AK86" t="s">
        <v>1226</v>
      </c>
      <c r="AL86">
        <v>31</v>
      </c>
      <c r="AM86" s="5">
        <f t="shared" si="11"/>
        <v>0.83783783783783783</v>
      </c>
      <c r="AN86" s="4">
        <f t="shared" si="12"/>
        <v>1.2689705987699172E-3</v>
      </c>
      <c r="AO86" s="3"/>
      <c r="AP86">
        <v>0</v>
      </c>
      <c r="AR86" t="s">
        <v>0</v>
      </c>
      <c r="AT86" s="2" t="s">
        <v>4</v>
      </c>
      <c r="AU86" s="1">
        <f t="shared" si="13"/>
        <v>1.5329571348339766</v>
      </c>
      <c r="AV86" s="1">
        <f t="shared" si="14"/>
        <v>1.1312256848462665</v>
      </c>
      <c r="AW86" s="1">
        <f t="shared" si="15"/>
        <v>0.72949423485855658</v>
      </c>
    </row>
    <row r="87" spans="1:49" x14ac:dyDescent="0.2">
      <c r="A87">
        <v>85</v>
      </c>
      <c r="B87" t="s">
        <v>1225</v>
      </c>
      <c r="C87" t="s">
        <v>1224</v>
      </c>
      <c r="F87" t="s">
        <v>1223</v>
      </c>
      <c r="G87" t="s">
        <v>3</v>
      </c>
      <c r="H87" t="s">
        <v>2</v>
      </c>
      <c r="I87" t="s">
        <v>184</v>
      </c>
      <c r="J87" t="s">
        <v>1222</v>
      </c>
      <c r="K87" t="s">
        <v>1221</v>
      </c>
      <c r="L87" t="s">
        <v>1220</v>
      </c>
      <c r="M87" t="s">
        <v>1219</v>
      </c>
      <c r="N87">
        <v>3</v>
      </c>
      <c r="O87" t="s">
        <v>1218</v>
      </c>
      <c r="P87" t="s">
        <v>1217</v>
      </c>
      <c r="Q87" t="s">
        <v>1216</v>
      </c>
      <c r="R87" s="7">
        <v>31352</v>
      </c>
      <c r="S87" s="8">
        <f t="shared" si="8"/>
        <v>1985</v>
      </c>
      <c r="T87" s="8">
        <v>1985</v>
      </c>
      <c r="U87" s="8">
        <f t="shared" si="9"/>
        <v>37</v>
      </c>
      <c r="V87" s="7">
        <v>31352</v>
      </c>
      <c r="W87" t="s">
        <v>181</v>
      </c>
      <c r="X87" s="2" t="s">
        <v>4</v>
      </c>
      <c r="Y87" s="6" t="e">
        <f t="shared" si="10"/>
        <v>#VALUE!</v>
      </c>
      <c r="AA87">
        <v>1051938</v>
      </c>
      <c r="AB87">
        <v>76824</v>
      </c>
      <c r="AD87" t="s">
        <v>1</v>
      </c>
      <c r="AE87">
        <v>50</v>
      </c>
      <c r="AF87">
        <v>6</v>
      </c>
      <c r="AH87" t="s">
        <v>1215</v>
      </c>
      <c r="AI87" t="s">
        <v>1214</v>
      </c>
      <c r="AJ87" t="s">
        <v>1213</v>
      </c>
      <c r="AK87" t="s">
        <v>1212</v>
      </c>
      <c r="AL87">
        <v>42</v>
      </c>
      <c r="AM87" s="5">
        <f t="shared" si="11"/>
        <v>1.1351351351351351</v>
      </c>
      <c r="AN87" s="4">
        <f t="shared" si="12"/>
        <v>1.7192504886560168E-3</v>
      </c>
      <c r="AO87" s="3"/>
      <c r="AP87">
        <v>1</v>
      </c>
      <c r="AR87" t="s">
        <v>0</v>
      </c>
      <c r="AT87" s="2" t="s">
        <v>4</v>
      </c>
      <c r="AU87" s="1" t="e">
        <f t="shared" si="13"/>
        <v>#VALUE!</v>
      </c>
      <c r="AV87" s="1" t="e">
        <f t="shared" si="14"/>
        <v>#VALUE!</v>
      </c>
      <c r="AW87" s="1" t="e">
        <f t="shared" si="15"/>
        <v>#VALUE!</v>
      </c>
    </row>
    <row r="88" spans="1:49" x14ac:dyDescent="0.2">
      <c r="A88">
        <v>86</v>
      </c>
      <c r="B88" t="s">
        <v>1211</v>
      </c>
      <c r="C88" t="s">
        <v>1210</v>
      </c>
      <c r="D88">
        <v>5272885902075</v>
      </c>
      <c r="F88" t="s">
        <v>1209</v>
      </c>
      <c r="G88" t="s">
        <v>3</v>
      </c>
      <c r="H88" t="s">
        <v>2</v>
      </c>
      <c r="I88" t="s">
        <v>1208</v>
      </c>
      <c r="J88" t="s">
        <v>1207</v>
      </c>
      <c r="K88" t="s">
        <v>1206</v>
      </c>
      <c r="L88" t="s">
        <v>1205</v>
      </c>
      <c r="M88" t="s">
        <v>116</v>
      </c>
      <c r="N88">
        <v>4</v>
      </c>
      <c r="O88" t="s">
        <v>1204</v>
      </c>
      <c r="P88" t="s">
        <v>1203</v>
      </c>
      <c r="Q88" t="s">
        <v>1202</v>
      </c>
      <c r="R88" s="7">
        <v>31349</v>
      </c>
      <c r="S88" s="8">
        <f t="shared" si="8"/>
        <v>1985</v>
      </c>
      <c r="T88" s="8">
        <v>1985</v>
      </c>
      <c r="U88" s="8">
        <f t="shared" si="9"/>
        <v>37</v>
      </c>
      <c r="V88" s="7">
        <v>31349</v>
      </c>
      <c r="W88" t="s">
        <v>166</v>
      </c>
      <c r="X88" s="2">
        <v>1.59</v>
      </c>
      <c r="Y88" s="6">
        <f t="shared" si="10"/>
        <v>4.2444141907583888E-2</v>
      </c>
      <c r="AA88">
        <v>52728</v>
      </c>
      <c r="AB88">
        <v>16791</v>
      </c>
      <c r="AD88" t="s">
        <v>1</v>
      </c>
      <c r="AE88">
        <v>810</v>
      </c>
      <c r="AF88">
        <v>1</v>
      </c>
      <c r="AH88" t="s">
        <v>1201</v>
      </c>
      <c r="AI88" t="s">
        <v>1200</v>
      </c>
      <c r="AJ88" t="s">
        <v>1199</v>
      </c>
      <c r="AK88" t="s">
        <v>1198</v>
      </c>
      <c r="AL88">
        <v>35</v>
      </c>
      <c r="AM88" s="5">
        <f t="shared" si="11"/>
        <v>0.94594594594594594</v>
      </c>
      <c r="AN88" s="4">
        <f t="shared" si="12"/>
        <v>1.4327087405466808E-3</v>
      </c>
      <c r="AO88" s="3"/>
      <c r="AP88">
        <v>0</v>
      </c>
      <c r="AQ88" t="s">
        <v>168</v>
      </c>
      <c r="AR88" t="s">
        <v>1197</v>
      </c>
      <c r="AS88" t="s">
        <v>167</v>
      </c>
      <c r="AT88" s="2" t="s">
        <v>4</v>
      </c>
      <c r="AU88" s="1">
        <f t="shared" si="13"/>
        <v>3.0140711957472726</v>
      </c>
      <c r="AV88" s="1">
        <f t="shared" si="14"/>
        <v>2.1938425324065287</v>
      </c>
      <c r="AW88" s="1">
        <f t="shared" si="15"/>
        <v>1.3736138690657842</v>
      </c>
    </row>
    <row r="89" spans="1:49" x14ac:dyDescent="0.2">
      <c r="A89">
        <v>87</v>
      </c>
      <c r="B89" t="s">
        <v>1196</v>
      </c>
      <c r="C89" t="s">
        <v>1195</v>
      </c>
      <c r="D89" t="s">
        <v>1194</v>
      </c>
      <c r="F89" t="s">
        <v>1193</v>
      </c>
      <c r="G89" t="s">
        <v>3</v>
      </c>
      <c r="H89" t="s">
        <v>2</v>
      </c>
      <c r="I89" t="s">
        <v>1192</v>
      </c>
      <c r="J89" t="s">
        <v>566</v>
      </c>
      <c r="K89" t="s">
        <v>565</v>
      </c>
      <c r="L89" t="s">
        <v>564</v>
      </c>
      <c r="M89" t="s">
        <v>90</v>
      </c>
      <c r="N89">
        <v>5</v>
      </c>
      <c r="O89" t="s">
        <v>1191</v>
      </c>
      <c r="P89" t="s">
        <v>1190</v>
      </c>
      <c r="Q89" t="s">
        <v>1189</v>
      </c>
      <c r="R89" s="7">
        <v>31349</v>
      </c>
      <c r="S89" s="8">
        <f t="shared" si="8"/>
        <v>1985</v>
      </c>
      <c r="T89" s="8">
        <v>1985</v>
      </c>
      <c r="U89" s="8">
        <f t="shared" si="9"/>
        <v>37</v>
      </c>
      <c r="V89" s="7">
        <v>31349</v>
      </c>
      <c r="W89" t="s">
        <v>166</v>
      </c>
      <c r="X89" s="2">
        <v>1.59</v>
      </c>
      <c r="Y89" s="6">
        <f t="shared" si="10"/>
        <v>4.2444141907583888E-2</v>
      </c>
      <c r="AA89">
        <v>52728</v>
      </c>
      <c r="AB89">
        <v>16791</v>
      </c>
      <c r="AD89" t="s">
        <v>1</v>
      </c>
      <c r="AE89">
        <v>810</v>
      </c>
      <c r="AF89">
        <v>1</v>
      </c>
      <c r="AH89" t="s">
        <v>1188</v>
      </c>
      <c r="AI89" t="s">
        <v>1187</v>
      </c>
      <c r="AJ89" t="s">
        <v>1186</v>
      </c>
      <c r="AK89" t="s">
        <v>1185</v>
      </c>
      <c r="AL89">
        <v>50</v>
      </c>
      <c r="AM89" s="5">
        <f t="shared" si="11"/>
        <v>1.3513513513513513</v>
      </c>
      <c r="AN89" s="4">
        <f t="shared" si="12"/>
        <v>2.0467267722095437E-3</v>
      </c>
      <c r="AO89" s="3"/>
      <c r="AP89">
        <v>0</v>
      </c>
      <c r="AR89" t="s">
        <v>0</v>
      </c>
      <c r="AT89" s="2" t="s">
        <v>4</v>
      </c>
      <c r="AU89" s="1">
        <f t="shared" si="13"/>
        <v>3.0324917366971587</v>
      </c>
      <c r="AV89" s="1">
        <f t="shared" si="14"/>
        <v>2.2245434339896715</v>
      </c>
      <c r="AW89" s="1">
        <f t="shared" si="15"/>
        <v>1.4165951312821845</v>
      </c>
    </row>
    <row r="90" spans="1:49" x14ac:dyDescent="0.2">
      <c r="A90">
        <v>88</v>
      </c>
      <c r="B90" t="s">
        <v>1184</v>
      </c>
      <c r="C90" t="s">
        <v>1183</v>
      </c>
      <c r="D90">
        <v>14579385809881</v>
      </c>
      <c r="F90" t="s">
        <v>1182</v>
      </c>
      <c r="G90" t="s">
        <v>3</v>
      </c>
      <c r="H90" t="s">
        <v>2</v>
      </c>
      <c r="I90" t="s">
        <v>1181</v>
      </c>
      <c r="J90" t="s">
        <v>1180</v>
      </c>
      <c r="K90" t="s">
        <v>1179</v>
      </c>
      <c r="L90" t="s">
        <v>1178</v>
      </c>
      <c r="M90" t="s">
        <v>1177</v>
      </c>
      <c r="N90">
        <v>5</v>
      </c>
      <c r="O90" t="s">
        <v>1176</v>
      </c>
      <c r="P90" t="s">
        <v>1175</v>
      </c>
      <c r="Q90" t="s">
        <v>1174</v>
      </c>
      <c r="R90" s="7">
        <v>31341</v>
      </c>
      <c r="S90" s="8">
        <f t="shared" si="8"/>
        <v>1985</v>
      </c>
      <c r="T90" s="8">
        <v>1985</v>
      </c>
      <c r="U90" s="8">
        <f t="shared" si="9"/>
        <v>37</v>
      </c>
      <c r="V90" s="7">
        <v>31341</v>
      </c>
      <c r="W90" t="s">
        <v>14</v>
      </c>
      <c r="X90" s="2">
        <v>1.593</v>
      </c>
      <c r="Y90" s="6">
        <f t="shared" si="10"/>
        <v>4.2524225194201973E-2</v>
      </c>
      <c r="AA90">
        <v>145793</v>
      </c>
      <c r="AB90">
        <v>17481</v>
      </c>
      <c r="AD90" t="s">
        <v>1</v>
      </c>
      <c r="AE90">
        <v>191</v>
      </c>
      <c r="AF90">
        <v>1</v>
      </c>
      <c r="AH90" t="s">
        <v>1173</v>
      </c>
      <c r="AI90" t="s">
        <v>1172</v>
      </c>
      <c r="AJ90" t="s">
        <v>1171</v>
      </c>
      <c r="AK90" t="s">
        <v>1170</v>
      </c>
      <c r="AL90">
        <v>32</v>
      </c>
      <c r="AM90" s="5">
        <f t="shared" si="11"/>
        <v>0.86486486486486491</v>
      </c>
      <c r="AN90" s="4">
        <f t="shared" si="12"/>
        <v>1.3099051342141082E-3</v>
      </c>
      <c r="AO90" s="3"/>
      <c r="AP90">
        <v>0</v>
      </c>
      <c r="AR90" t="s">
        <v>1169</v>
      </c>
      <c r="AT90" s="2">
        <v>4.1239999999999997</v>
      </c>
      <c r="AU90" s="1">
        <f t="shared" si="13"/>
        <v>3.0159929176205611</v>
      </c>
      <c r="AV90" s="1">
        <f t="shared" si="14"/>
        <v>2.1917065164208038</v>
      </c>
      <c r="AW90" s="1">
        <f t="shared" si="15"/>
        <v>1.3674201152210468</v>
      </c>
    </row>
    <row r="91" spans="1:49" x14ac:dyDescent="0.2">
      <c r="A91">
        <v>89</v>
      </c>
      <c r="B91" t="s">
        <v>1168</v>
      </c>
      <c r="C91" t="s">
        <v>1167</v>
      </c>
      <c r="D91">
        <v>14579385804233</v>
      </c>
      <c r="F91" t="s">
        <v>1166</v>
      </c>
      <c r="G91" t="s">
        <v>3</v>
      </c>
      <c r="H91" t="s">
        <v>2</v>
      </c>
      <c r="I91" t="s">
        <v>196</v>
      </c>
      <c r="J91" t="s">
        <v>1165</v>
      </c>
      <c r="K91" t="s">
        <v>1164</v>
      </c>
      <c r="L91" t="s">
        <v>1163</v>
      </c>
      <c r="M91" t="s">
        <v>1162</v>
      </c>
      <c r="N91">
        <v>4</v>
      </c>
      <c r="O91" t="s">
        <v>1161</v>
      </c>
      <c r="P91" t="s">
        <v>1160</v>
      </c>
      <c r="Q91" t="s">
        <v>1159</v>
      </c>
      <c r="R91" s="7">
        <v>31327</v>
      </c>
      <c r="S91" s="8">
        <f t="shared" si="8"/>
        <v>1985</v>
      </c>
      <c r="T91" s="8">
        <v>1985</v>
      </c>
      <c r="U91" s="8">
        <f t="shared" si="9"/>
        <v>37</v>
      </c>
      <c r="V91" s="7">
        <v>31327</v>
      </c>
      <c r="W91" t="s">
        <v>14</v>
      </c>
      <c r="X91" s="2">
        <v>1.593</v>
      </c>
      <c r="Y91" s="6">
        <f t="shared" si="10"/>
        <v>4.2524225194201973E-2</v>
      </c>
      <c r="AA91">
        <v>145793</v>
      </c>
      <c r="AB91">
        <v>17481</v>
      </c>
      <c r="AD91" t="s">
        <v>1</v>
      </c>
      <c r="AE91">
        <v>190</v>
      </c>
      <c r="AF91">
        <v>1</v>
      </c>
      <c r="AH91" t="s">
        <v>78</v>
      </c>
      <c r="AI91" t="s">
        <v>1158</v>
      </c>
      <c r="AJ91" t="s">
        <v>1157</v>
      </c>
      <c r="AK91" t="s">
        <v>1156</v>
      </c>
      <c r="AL91">
        <v>17</v>
      </c>
      <c r="AM91" s="5">
        <f t="shared" si="11"/>
        <v>0.45945945945945948</v>
      </c>
      <c r="AN91" s="4">
        <f t="shared" si="12"/>
        <v>6.9588710255124491E-4</v>
      </c>
      <c r="AO91" s="3"/>
      <c r="AP91">
        <v>1</v>
      </c>
      <c r="AQ91" t="s">
        <v>168</v>
      </c>
      <c r="AR91" t="s">
        <v>0</v>
      </c>
      <c r="AS91" t="s">
        <v>167</v>
      </c>
      <c r="AT91" s="2">
        <v>4.1239999999999997</v>
      </c>
      <c r="AU91" s="1">
        <f t="shared" si="13"/>
        <v>2.9975723766706754</v>
      </c>
      <c r="AV91" s="1">
        <f t="shared" si="14"/>
        <v>2.1610056148376611</v>
      </c>
      <c r="AW91" s="1">
        <f t="shared" si="15"/>
        <v>1.3244388530046463</v>
      </c>
    </row>
    <row r="92" spans="1:49" x14ac:dyDescent="0.2">
      <c r="A92">
        <v>90</v>
      </c>
      <c r="B92" t="s">
        <v>1155</v>
      </c>
      <c r="C92" t="s">
        <v>1154</v>
      </c>
      <c r="F92" t="s">
        <v>1153</v>
      </c>
      <c r="G92" t="s">
        <v>3</v>
      </c>
      <c r="H92" t="s">
        <v>2</v>
      </c>
      <c r="I92" t="s">
        <v>1152</v>
      </c>
      <c r="J92">
        <v>60026699</v>
      </c>
      <c r="K92" t="s">
        <v>1140</v>
      </c>
      <c r="L92" t="s">
        <v>82</v>
      </c>
      <c r="M92" t="s">
        <v>26</v>
      </c>
      <c r="N92">
        <v>2</v>
      </c>
      <c r="O92" t="s">
        <v>1151</v>
      </c>
      <c r="P92" t="s">
        <v>1150</v>
      </c>
      <c r="Q92" t="s">
        <v>1149</v>
      </c>
      <c r="R92" s="7">
        <v>31321</v>
      </c>
      <c r="S92" s="8">
        <f t="shared" si="8"/>
        <v>1985</v>
      </c>
      <c r="T92" s="8">
        <v>1985</v>
      </c>
      <c r="U92" s="8">
        <f t="shared" si="9"/>
        <v>37</v>
      </c>
      <c r="V92" s="7">
        <v>31321</v>
      </c>
      <c r="W92" t="s">
        <v>1136</v>
      </c>
      <c r="X92" s="2" t="s">
        <v>4</v>
      </c>
      <c r="Y92" s="6" t="e">
        <f t="shared" si="10"/>
        <v>#VALUE!</v>
      </c>
      <c r="AA92">
        <v>2534118</v>
      </c>
      <c r="AB92">
        <v>19700180516</v>
      </c>
      <c r="AD92" t="s">
        <v>1</v>
      </c>
      <c r="AE92">
        <v>94</v>
      </c>
      <c r="AF92">
        <v>5</v>
      </c>
      <c r="AH92" t="s">
        <v>1148</v>
      </c>
      <c r="AI92" t="s">
        <v>1147</v>
      </c>
      <c r="AJ92" t="s">
        <v>1146</v>
      </c>
      <c r="AK92" t="s">
        <v>1145</v>
      </c>
      <c r="AL92">
        <v>13</v>
      </c>
      <c r="AM92" s="5">
        <f t="shared" si="11"/>
        <v>0.35135135135135137</v>
      </c>
      <c r="AN92" s="4">
        <f t="shared" si="12"/>
        <v>5.3214896077448143E-4</v>
      </c>
      <c r="AO92" s="3"/>
      <c r="AP92">
        <v>0</v>
      </c>
      <c r="AR92" t="s">
        <v>0</v>
      </c>
      <c r="AT92" s="2" t="s">
        <v>4</v>
      </c>
      <c r="AU92" s="1" t="e">
        <f t="shared" si="13"/>
        <v>#VALUE!</v>
      </c>
      <c r="AV92" s="1" t="e">
        <f t="shared" si="14"/>
        <v>#VALUE!</v>
      </c>
      <c r="AW92" s="1" t="e">
        <f t="shared" si="15"/>
        <v>#VALUE!</v>
      </c>
    </row>
    <row r="93" spans="1:49" x14ac:dyDescent="0.2">
      <c r="A93">
        <v>91</v>
      </c>
      <c r="B93" t="s">
        <v>1144</v>
      </c>
      <c r="C93" t="s">
        <v>1143</v>
      </c>
      <c r="F93" t="s">
        <v>1142</v>
      </c>
      <c r="G93" t="s">
        <v>3</v>
      </c>
      <c r="H93" t="s">
        <v>2</v>
      </c>
      <c r="I93" t="s">
        <v>1141</v>
      </c>
      <c r="J93">
        <v>60026699</v>
      </c>
      <c r="K93" t="s">
        <v>1140</v>
      </c>
      <c r="L93" t="s">
        <v>82</v>
      </c>
      <c r="M93" t="s">
        <v>26</v>
      </c>
      <c r="N93">
        <v>3</v>
      </c>
      <c r="O93" t="s">
        <v>1139</v>
      </c>
      <c r="P93" t="s">
        <v>1138</v>
      </c>
      <c r="Q93" t="s">
        <v>1137</v>
      </c>
      <c r="R93" s="7">
        <v>31321</v>
      </c>
      <c r="S93" s="8">
        <f t="shared" si="8"/>
        <v>1985</v>
      </c>
      <c r="T93" s="8">
        <v>1985</v>
      </c>
      <c r="U93" s="8">
        <f t="shared" si="9"/>
        <v>37</v>
      </c>
      <c r="V93" s="7">
        <v>31321</v>
      </c>
      <c r="W93" t="s">
        <v>1136</v>
      </c>
      <c r="X93" s="2" t="s">
        <v>4</v>
      </c>
      <c r="Y93" s="6" t="e">
        <f t="shared" si="10"/>
        <v>#VALUE!</v>
      </c>
      <c r="AA93">
        <v>2534118</v>
      </c>
      <c r="AB93">
        <v>19700180516</v>
      </c>
      <c r="AD93" t="s">
        <v>1</v>
      </c>
      <c r="AE93">
        <v>94</v>
      </c>
      <c r="AF93">
        <v>5</v>
      </c>
      <c r="AH93" t="s">
        <v>1135</v>
      </c>
      <c r="AI93" t="s">
        <v>1134</v>
      </c>
      <c r="AJ93" t="s">
        <v>1133</v>
      </c>
      <c r="AK93" t="s">
        <v>1132</v>
      </c>
      <c r="AL93">
        <v>14</v>
      </c>
      <c r="AM93" s="5">
        <f t="shared" si="11"/>
        <v>0.3783783783783784</v>
      </c>
      <c r="AN93" s="4">
        <f t="shared" si="12"/>
        <v>5.7308349621867233E-4</v>
      </c>
      <c r="AO93" s="3"/>
      <c r="AP93">
        <v>0</v>
      </c>
      <c r="AR93" t="s">
        <v>0</v>
      </c>
      <c r="AT93" s="2" t="s">
        <v>4</v>
      </c>
      <c r="AU93" s="1" t="e">
        <f t="shared" si="13"/>
        <v>#VALUE!</v>
      </c>
      <c r="AV93" s="1" t="e">
        <f t="shared" si="14"/>
        <v>#VALUE!</v>
      </c>
      <c r="AW93" s="1" t="e">
        <f t="shared" si="15"/>
        <v>#VALUE!</v>
      </c>
    </row>
    <row r="94" spans="1:49" x14ac:dyDescent="0.2">
      <c r="A94">
        <v>92</v>
      </c>
      <c r="B94" t="s">
        <v>1131</v>
      </c>
      <c r="F94" t="s">
        <v>1130</v>
      </c>
      <c r="G94" t="s">
        <v>3</v>
      </c>
      <c r="H94" t="s">
        <v>2</v>
      </c>
      <c r="I94" t="s">
        <v>1129</v>
      </c>
      <c r="J94" t="s">
        <v>1128</v>
      </c>
      <c r="K94" t="s">
        <v>1127</v>
      </c>
      <c r="L94" t="s">
        <v>1126</v>
      </c>
      <c r="M94" t="s">
        <v>13</v>
      </c>
      <c r="N94">
        <v>3</v>
      </c>
      <c r="O94" t="s">
        <v>1125</v>
      </c>
      <c r="P94" t="s">
        <v>1124</v>
      </c>
      <c r="Q94" t="s">
        <v>1123</v>
      </c>
      <c r="R94" s="7">
        <v>31321</v>
      </c>
      <c r="S94" s="8">
        <f t="shared" si="8"/>
        <v>1985</v>
      </c>
      <c r="T94" s="8">
        <v>1985</v>
      </c>
      <c r="U94" s="8">
        <f t="shared" si="9"/>
        <v>37</v>
      </c>
      <c r="V94" s="7">
        <v>31321</v>
      </c>
      <c r="W94" t="s">
        <v>9</v>
      </c>
      <c r="X94" s="2">
        <v>1.9750000000000001</v>
      </c>
      <c r="Y94" s="6">
        <f t="shared" si="10"/>
        <v>5.2721497023571186E-2</v>
      </c>
      <c r="AA94">
        <v>320781</v>
      </c>
      <c r="AB94">
        <v>19019</v>
      </c>
      <c r="AD94" t="s">
        <v>1</v>
      </c>
      <c r="AE94">
        <v>26</v>
      </c>
      <c r="AF94">
        <v>7</v>
      </c>
      <c r="AH94" t="s">
        <v>1122</v>
      </c>
      <c r="AI94" t="s">
        <v>1121</v>
      </c>
      <c r="AJ94" t="s">
        <v>1120</v>
      </c>
      <c r="AK94" t="s">
        <v>1119</v>
      </c>
      <c r="AL94">
        <v>29</v>
      </c>
      <c r="AM94" s="5">
        <f t="shared" si="11"/>
        <v>0.78378378378378377</v>
      </c>
      <c r="AN94" s="4">
        <f t="shared" si="12"/>
        <v>1.1871015278815354E-3</v>
      </c>
      <c r="AO94" s="3"/>
      <c r="AP94">
        <v>0</v>
      </c>
      <c r="AR94" t="s">
        <v>0</v>
      </c>
      <c r="AT94" s="2">
        <v>4.9269999999999996</v>
      </c>
      <c r="AU94" s="1">
        <f t="shared" si="13"/>
        <v>3.726117837486429</v>
      </c>
      <c r="AV94" s="1">
        <f t="shared" si="14"/>
        <v>2.6954299275726359</v>
      </c>
      <c r="AW94" s="1">
        <f t="shared" si="15"/>
        <v>1.664742017658843</v>
      </c>
    </row>
    <row r="95" spans="1:49" x14ac:dyDescent="0.2">
      <c r="A95">
        <v>93</v>
      </c>
      <c r="B95" t="s">
        <v>1118</v>
      </c>
      <c r="C95" t="s">
        <v>1117</v>
      </c>
      <c r="F95" t="s">
        <v>1116</v>
      </c>
      <c r="G95" t="s">
        <v>3</v>
      </c>
      <c r="H95" t="s">
        <v>2</v>
      </c>
      <c r="I95" t="s">
        <v>1115</v>
      </c>
      <c r="J95">
        <v>60016296</v>
      </c>
      <c r="K95" t="s">
        <v>40</v>
      </c>
      <c r="L95" t="s">
        <v>31</v>
      </c>
      <c r="M95" t="s">
        <v>11</v>
      </c>
      <c r="N95">
        <v>1</v>
      </c>
      <c r="O95" t="s">
        <v>1114</v>
      </c>
      <c r="P95">
        <v>6603780166</v>
      </c>
      <c r="Q95">
        <v>60016296</v>
      </c>
      <c r="R95" s="7">
        <v>31321</v>
      </c>
      <c r="S95" s="8">
        <f t="shared" si="8"/>
        <v>1985</v>
      </c>
      <c r="T95" s="8">
        <v>1985</v>
      </c>
      <c r="U95" s="8">
        <f t="shared" si="9"/>
        <v>37</v>
      </c>
      <c r="V95" s="7">
        <v>31321</v>
      </c>
      <c r="W95" t="s">
        <v>1105</v>
      </c>
      <c r="X95" s="2">
        <v>2.4740000000000002</v>
      </c>
      <c r="Y95" s="6">
        <f t="shared" si="10"/>
        <v>6.6042017031045633E-2</v>
      </c>
      <c r="AA95">
        <v>386308</v>
      </c>
      <c r="AB95">
        <v>28261</v>
      </c>
      <c r="AC95">
        <v>15729672</v>
      </c>
      <c r="AD95" t="s">
        <v>1</v>
      </c>
      <c r="AE95">
        <v>42</v>
      </c>
      <c r="AF95" s="9">
        <v>44228</v>
      </c>
      <c r="AH95" t="s">
        <v>1113</v>
      </c>
      <c r="AI95" t="s">
        <v>1112</v>
      </c>
      <c r="AK95" t="s">
        <v>1111</v>
      </c>
      <c r="AL95">
        <v>1</v>
      </c>
      <c r="AM95" s="5">
        <f t="shared" si="11"/>
        <v>2.7027027027027029E-2</v>
      </c>
      <c r="AN95" s="4">
        <f t="shared" si="12"/>
        <v>4.0934535444190883E-5</v>
      </c>
      <c r="AO95" s="3"/>
      <c r="AP95">
        <v>0</v>
      </c>
      <c r="AR95" t="s">
        <v>0</v>
      </c>
      <c r="AT95" s="2">
        <v>8.0169999999999995</v>
      </c>
      <c r="AU95" s="1">
        <f t="shared" si="13"/>
        <v>4.6241692282365197</v>
      </c>
      <c r="AV95" s="1">
        <f t="shared" si="14"/>
        <v>3.3041475783244914</v>
      </c>
      <c r="AW95" s="1">
        <f t="shared" si="15"/>
        <v>1.9841259284124624</v>
      </c>
    </row>
    <row r="96" spans="1:49" x14ac:dyDescent="0.2">
      <c r="A96">
        <v>94</v>
      </c>
      <c r="B96" t="s">
        <v>1110</v>
      </c>
      <c r="C96" t="s">
        <v>1109</v>
      </c>
      <c r="F96" t="s">
        <v>1108</v>
      </c>
      <c r="G96" t="s">
        <v>3</v>
      </c>
      <c r="H96" t="s">
        <v>2</v>
      </c>
      <c r="I96" t="s">
        <v>1107</v>
      </c>
      <c r="J96">
        <v>60027550</v>
      </c>
      <c r="K96" t="s">
        <v>74</v>
      </c>
      <c r="L96" t="s">
        <v>56</v>
      </c>
      <c r="M96" t="s">
        <v>11</v>
      </c>
      <c r="N96">
        <v>1</v>
      </c>
      <c r="O96" t="s">
        <v>1106</v>
      </c>
      <c r="P96">
        <v>57206441613</v>
      </c>
      <c r="Q96">
        <v>60027550</v>
      </c>
      <c r="R96" s="7">
        <v>31321</v>
      </c>
      <c r="S96" s="8">
        <f t="shared" si="8"/>
        <v>1985</v>
      </c>
      <c r="T96" s="8">
        <v>1985</v>
      </c>
      <c r="U96" s="8">
        <f t="shared" si="9"/>
        <v>37</v>
      </c>
      <c r="V96" s="7">
        <v>31321</v>
      </c>
      <c r="W96" t="s">
        <v>1105</v>
      </c>
      <c r="X96" s="2">
        <v>2.4740000000000002</v>
      </c>
      <c r="Y96" s="6">
        <f t="shared" si="10"/>
        <v>6.6042017031045633E-2</v>
      </c>
      <c r="AA96">
        <v>386308</v>
      </c>
      <c r="AB96">
        <v>28261</v>
      </c>
      <c r="AC96">
        <v>15729672</v>
      </c>
      <c r="AD96" t="s">
        <v>1</v>
      </c>
      <c r="AE96">
        <v>42</v>
      </c>
      <c r="AF96" s="9">
        <v>44228</v>
      </c>
      <c r="AH96" t="s">
        <v>1104</v>
      </c>
      <c r="AI96" t="s">
        <v>1103</v>
      </c>
      <c r="AK96" t="s">
        <v>1102</v>
      </c>
      <c r="AL96">
        <v>2</v>
      </c>
      <c r="AM96" s="5">
        <f t="shared" si="11"/>
        <v>5.4054054054054057E-2</v>
      </c>
      <c r="AN96" s="4">
        <f t="shared" si="12"/>
        <v>8.1869070888381765E-5</v>
      </c>
      <c r="AO96" s="3"/>
      <c r="AP96">
        <v>0</v>
      </c>
      <c r="AR96" t="s">
        <v>0</v>
      </c>
      <c r="AT96" s="2">
        <v>8.0169999999999995</v>
      </c>
      <c r="AU96" s="1">
        <f t="shared" si="13"/>
        <v>4.6253972642998447</v>
      </c>
      <c r="AV96" s="1">
        <f t="shared" si="14"/>
        <v>3.3061943050967004</v>
      </c>
      <c r="AW96" s="1">
        <f t="shared" si="15"/>
        <v>1.986991345893556</v>
      </c>
    </row>
    <row r="97" spans="1:49" x14ac:dyDescent="0.2">
      <c r="A97">
        <v>95</v>
      </c>
      <c r="B97" t="s">
        <v>1101</v>
      </c>
      <c r="C97" t="s">
        <v>1100</v>
      </c>
      <c r="E97">
        <v>4084516</v>
      </c>
      <c r="F97" t="s">
        <v>1099</v>
      </c>
      <c r="G97" t="s">
        <v>3</v>
      </c>
      <c r="H97" t="s">
        <v>2</v>
      </c>
      <c r="I97" t="s">
        <v>1098</v>
      </c>
      <c r="J97">
        <v>60032083</v>
      </c>
      <c r="K97" t="s">
        <v>1097</v>
      </c>
      <c r="L97" t="s">
        <v>1096</v>
      </c>
      <c r="M97" t="s">
        <v>11</v>
      </c>
      <c r="N97">
        <v>2</v>
      </c>
      <c r="O97" t="s">
        <v>1095</v>
      </c>
      <c r="P97" t="s">
        <v>1094</v>
      </c>
      <c r="Q97" t="s">
        <v>1093</v>
      </c>
      <c r="R97" s="7">
        <v>31321</v>
      </c>
      <c r="S97" s="8">
        <f t="shared" si="8"/>
        <v>1985</v>
      </c>
      <c r="T97" s="8">
        <v>1985</v>
      </c>
      <c r="U97" s="8">
        <f t="shared" si="9"/>
        <v>37</v>
      </c>
      <c r="V97" s="7">
        <v>31321</v>
      </c>
      <c r="W97" t="s">
        <v>1092</v>
      </c>
      <c r="X97" s="2">
        <v>1.43</v>
      </c>
      <c r="Y97" s="6">
        <f t="shared" si="10"/>
        <v>3.8173033287952803E-2</v>
      </c>
      <c r="AA97">
        <v>62960</v>
      </c>
      <c r="AB97">
        <v>16867</v>
      </c>
      <c r="AC97">
        <v>15204995</v>
      </c>
      <c r="AD97" t="s">
        <v>1</v>
      </c>
      <c r="AE97">
        <v>24</v>
      </c>
      <c r="AF97">
        <v>22</v>
      </c>
      <c r="AH97" t="s">
        <v>1091</v>
      </c>
      <c r="AI97" t="s">
        <v>1090</v>
      </c>
      <c r="AK97" t="s">
        <v>1089</v>
      </c>
      <c r="AL97">
        <v>7</v>
      </c>
      <c r="AM97" s="5">
        <f t="shared" si="11"/>
        <v>0.1891891891891892</v>
      </c>
      <c r="AN97" s="4">
        <f t="shared" si="12"/>
        <v>2.8654174810933616E-4</v>
      </c>
      <c r="AO97" s="3"/>
      <c r="AP97">
        <v>0</v>
      </c>
      <c r="AQ97" t="s">
        <v>72</v>
      </c>
      <c r="AR97" t="s">
        <v>1088</v>
      </c>
      <c r="AS97" t="s">
        <v>71</v>
      </c>
      <c r="AT97" s="2">
        <v>3.1619999999999999</v>
      </c>
      <c r="AU97" s="1">
        <f t="shared" si="13"/>
        <v>2.6807085825999764</v>
      </c>
      <c r="AV97" s="1">
        <f t="shared" si="14"/>
        <v>1.9229787518031067</v>
      </c>
      <c r="AW97" s="1">
        <f t="shared" si="15"/>
        <v>1.1652489210062376</v>
      </c>
    </row>
    <row r="98" spans="1:49" x14ac:dyDescent="0.2">
      <c r="A98">
        <v>96</v>
      </c>
      <c r="B98" t="s">
        <v>1087</v>
      </c>
      <c r="C98" t="s">
        <v>1086</v>
      </c>
      <c r="F98" t="s">
        <v>1085</v>
      </c>
      <c r="G98" t="s">
        <v>3</v>
      </c>
      <c r="H98" t="s">
        <v>2</v>
      </c>
      <c r="I98" t="s">
        <v>1084</v>
      </c>
      <c r="J98" t="s">
        <v>1083</v>
      </c>
      <c r="K98" t="s">
        <v>1082</v>
      </c>
      <c r="L98" t="s">
        <v>1081</v>
      </c>
      <c r="M98" t="s">
        <v>58</v>
      </c>
      <c r="N98">
        <v>5</v>
      </c>
      <c r="O98" t="s">
        <v>1080</v>
      </c>
      <c r="P98" t="s">
        <v>1079</v>
      </c>
      <c r="Q98" t="s">
        <v>1078</v>
      </c>
      <c r="R98" s="7">
        <v>31321</v>
      </c>
      <c r="S98" s="8">
        <f t="shared" si="8"/>
        <v>1985</v>
      </c>
      <c r="T98" s="8">
        <v>1985</v>
      </c>
      <c r="U98" s="8">
        <f t="shared" si="9"/>
        <v>37</v>
      </c>
      <c r="V98" s="7">
        <v>31321</v>
      </c>
      <c r="W98" t="s">
        <v>173</v>
      </c>
      <c r="X98" s="2">
        <v>0.61499999999999999</v>
      </c>
      <c r="Y98" s="6">
        <f t="shared" si="10"/>
        <v>1.6417073756706976E-2</v>
      </c>
      <c r="AA98">
        <v>1959271</v>
      </c>
      <c r="AB98">
        <v>12141</v>
      </c>
      <c r="AC98">
        <v>15729559</v>
      </c>
      <c r="AD98" t="s">
        <v>1</v>
      </c>
      <c r="AE98">
        <v>6</v>
      </c>
      <c r="AF98">
        <v>10</v>
      </c>
      <c r="AH98" t="s">
        <v>1077</v>
      </c>
      <c r="AI98" t="s">
        <v>1076</v>
      </c>
      <c r="AJ98" t="s">
        <v>1075</v>
      </c>
      <c r="AK98" t="s">
        <v>1074</v>
      </c>
      <c r="AL98">
        <v>1</v>
      </c>
      <c r="AM98" s="5">
        <f t="shared" si="11"/>
        <v>2.7027027027027029E-2</v>
      </c>
      <c r="AN98" s="4">
        <f t="shared" si="12"/>
        <v>4.0934535444190883E-5</v>
      </c>
      <c r="AO98" s="3"/>
      <c r="AP98">
        <v>0</v>
      </c>
      <c r="AR98" t="s">
        <v>0</v>
      </c>
      <c r="AT98" s="2" t="s">
        <v>4</v>
      </c>
      <c r="AU98" s="1">
        <f t="shared" si="13"/>
        <v>1.150423199032814</v>
      </c>
      <c r="AV98" s="1">
        <f t="shared" si="14"/>
        <v>0.82290041460755836</v>
      </c>
      <c r="AW98" s="1">
        <f t="shared" si="15"/>
        <v>0.49537763018230258</v>
      </c>
    </row>
    <row r="99" spans="1:49" x14ac:dyDescent="0.2">
      <c r="A99">
        <v>97</v>
      </c>
      <c r="B99" t="s">
        <v>1073</v>
      </c>
      <c r="C99" t="s">
        <v>1072</v>
      </c>
      <c r="F99" t="s">
        <v>1071</v>
      </c>
      <c r="G99" t="s">
        <v>3</v>
      </c>
      <c r="H99" t="s">
        <v>2</v>
      </c>
      <c r="I99" t="s">
        <v>1070</v>
      </c>
      <c r="J99" t="s">
        <v>1069</v>
      </c>
      <c r="K99" t="s">
        <v>1068</v>
      </c>
      <c r="L99" t="s">
        <v>1067</v>
      </c>
      <c r="M99" t="s">
        <v>7</v>
      </c>
      <c r="N99">
        <v>6</v>
      </c>
      <c r="O99" t="s">
        <v>1066</v>
      </c>
      <c r="P99" t="s">
        <v>1065</v>
      </c>
      <c r="Q99" t="s">
        <v>1064</v>
      </c>
      <c r="R99" s="7">
        <v>31321</v>
      </c>
      <c r="S99" s="8">
        <f t="shared" si="8"/>
        <v>1985</v>
      </c>
      <c r="T99" s="8">
        <v>1985</v>
      </c>
      <c r="U99" s="8">
        <f t="shared" si="9"/>
        <v>37</v>
      </c>
      <c r="V99" s="7">
        <v>31321</v>
      </c>
      <c r="W99" t="s">
        <v>173</v>
      </c>
      <c r="X99" s="2">
        <v>0.61499999999999999</v>
      </c>
      <c r="Y99" s="6">
        <f t="shared" si="10"/>
        <v>1.6417073756706976E-2</v>
      </c>
      <c r="AA99">
        <v>1959271</v>
      </c>
      <c r="AB99">
        <v>12141</v>
      </c>
      <c r="AC99">
        <v>15729559</v>
      </c>
      <c r="AD99" t="s">
        <v>1</v>
      </c>
      <c r="AE99">
        <v>6</v>
      </c>
      <c r="AF99">
        <v>10</v>
      </c>
      <c r="AH99" t="s">
        <v>1063</v>
      </c>
      <c r="AI99" t="s">
        <v>1062</v>
      </c>
      <c r="AK99" t="s">
        <v>1061</v>
      </c>
      <c r="AL99">
        <v>27</v>
      </c>
      <c r="AM99" s="5">
        <f t="shared" si="11"/>
        <v>0.72972972972972971</v>
      </c>
      <c r="AN99" s="4">
        <f t="shared" si="12"/>
        <v>1.1052324569931537E-3</v>
      </c>
      <c r="AO99" s="3"/>
      <c r="AP99">
        <v>0</v>
      </c>
      <c r="AR99" t="s">
        <v>0</v>
      </c>
      <c r="AT99" s="2" t="s">
        <v>4</v>
      </c>
      <c r="AU99" s="1">
        <f t="shared" si="13"/>
        <v>1.1823521366792826</v>
      </c>
      <c r="AV99" s="1">
        <f t="shared" si="14"/>
        <v>0.87611531068500637</v>
      </c>
      <c r="AW99" s="1">
        <f t="shared" si="15"/>
        <v>0.56987848469072999</v>
      </c>
    </row>
    <row r="100" spans="1:49" x14ac:dyDescent="0.2">
      <c r="A100">
        <v>98</v>
      </c>
      <c r="B100" t="s">
        <v>1060</v>
      </c>
      <c r="F100" t="s">
        <v>1059</v>
      </c>
      <c r="G100" t="s">
        <v>3</v>
      </c>
      <c r="H100" t="s">
        <v>2</v>
      </c>
      <c r="I100" t="s">
        <v>1058</v>
      </c>
      <c r="J100">
        <v>60010818</v>
      </c>
      <c r="K100" t="s">
        <v>97</v>
      </c>
      <c r="L100" t="s">
        <v>96</v>
      </c>
      <c r="M100" t="s">
        <v>32</v>
      </c>
      <c r="N100">
        <v>3</v>
      </c>
      <c r="O100" t="s">
        <v>1057</v>
      </c>
      <c r="P100" t="s">
        <v>1056</v>
      </c>
      <c r="Q100" t="s">
        <v>1055</v>
      </c>
      <c r="R100" s="7">
        <v>31321</v>
      </c>
      <c r="S100" s="8">
        <f t="shared" si="8"/>
        <v>1985</v>
      </c>
      <c r="T100" s="8">
        <v>1985</v>
      </c>
      <c r="U100" s="8">
        <f t="shared" si="9"/>
        <v>37</v>
      </c>
      <c r="V100" s="7">
        <v>31321</v>
      </c>
      <c r="W100" s="11" t="s">
        <v>73</v>
      </c>
      <c r="X100" s="2">
        <v>2.383</v>
      </c>
      <c r="Y100" s="6">
        <f t="shared" si="10"/>
        <v>6.3612824003630442E-2</v>
      </c>
      <c r="AA100">
        <v>1437097</v>
      </c>
      <c r="AB100">
        <v>101236</v>
      </c>
      <c r="AD100" t="s">
        <v>1</v>
      </c>
      <c r="AE100">
        <v>132</v>
      </c>
      <c r="AF100">
        <v>6</v>
      </c>
      <c r="AH100" t="s">
        <v>1054</v>
      </c>
      <c r="AI100" t="s">
        <v>1053</v>
      </c>
      <c r="AK100" t="s">
        <v>1052</v>
      </c>
      <c r="AL100">
        <v>15</v>
      </c>
      <c r="AM100" s="5">
        <f t="shared" si="11"/>
        <v>0.40540540540540543</v>
      </c>
      <c r="AN100" s="4">
        <f t="shared" si="12"/>
        <v>6.1401803166286322E-4</v>
      </c>
      <c r="AO100" s="3"/>
      <c r="AP100">
        <v>0</v>
      </c>
      <c r="AR100" t="s">
        <v>0</v>
      </c>
      <c r="AT100" s="2" t="s">
        <v>4</v>
      </c>
      <c r="AU100" s="1">
        <f t="shared" si="13"/>
        <v>4.471318221204017</v>
      </c>
      <c r="AV100" s="1">
        <f t="shared" si="14"/>
        <v>3.2113421017646653</v>
      </c>
      <c r="AW100" s="1">
        <f t="shared" si="15"/>
        <v>1.9513659823253136</v>
      </c>
    </row>
    <row r="101" spans="1:49" x14ac:dyDescent="0.2">
      <c r="A101">
        <v>99</v>
      </c>
      <c r="B101" t="s">
        <v>1051</v>
      </c>
      <c r="F101" t="s">
        <v>1050</v>
      </c>
      <c r="G101" t="s">
        <v>3</v>
      </c>
      <c r="H101" t="s">
        <v>2</v>
      </c>
      <c r="I101" t="s">
        <v>1049</v>
      </c>
      <c r="J101">
        <v>101296495</v>
      </c>
      <c r="K101" t="s">
        <v>1048</v>
      </c>
      <c r="N101">
        <v>1</v>
      </c>
      <c r="O101" t="s">
        <v>1047</v>
      </c>
      <c r="P101">
        <v>6507076776</v>
      </c>
      <c r="Q101">
        <v>101296495</v>
      </c>
      <c r="R101" s="7">
        <v>31321</v>
      </c>
      <c r="S101" s="8">
        <f t="shared" si="8"/>
        <v>1985</v>
      </c>
      <c r="T101" s="8">
        <v>1985</v>
      </c>
      <c r="U101" s="8">
        <f t="shared" si="9"/>
        <v>37</v>
      </c>
      <c r="V101" s="7">
        <v>31321</v>
      </c>
      <c r="W101" t="s">
        <v>1046</v>
      </c>
      <c r="X101" s="2" t="s">
        <v>4</v>
      </c>
      <c r="Y101" s="6" t="e">
        <f t="shared" si="10"/>
        <v>#VALUE!</v>
      </c>
      <c r="AA101">
        <v>198447</v>
      </c>
      <c r="AB101">
        <v>12724</v>
      </c>
      <c r="AD101" t="s">
        <v>1</v>
      </c>
      <c r="AE101">
        <v>51</v>
      </c>
      <c r="AF101">
        <v>10</v>
      </c>
      <c r="AH101" t="s">
        <v>1045</v>
      </c>
      <c r="AI101" t="s">
        <v>1044</v>
      </c>
      <c r="AK101" t="s">
        <v>1043</v>
      </c>
      <c r="AL101">
        <v>0</v>
      </c>
      <c r="AM101" s="5">
        <f t="shared" si="11"/>
        <v>0</v>
      </c>
      <c r="AN101" s="4">
        <f t="shared" si="12"/>
        <v>0</v>
      </c>
      <c r="AO101" s="3"/>
      <c r="AP101">
        <v>0</v>
      </c>
      <c r="AR101" t="s">
        <v>0</v>
      </c>
      <c r="AT101" s="2" t="s">
        <v>4</v>
      </c>
      <c r="AU101" s="1" t="e">
        <f t="shared" si="13"/>
        <v>#VALUE!</v>
      </c>
      <c r="AV101" s="1" t="e">
        <f t="shared" si="14"/>
        <v>#VALUE!</v>
      </c>
      <c r="AW101" s="1" t="e">
        <f t="shared" si="15"/>
        <v>#VALUE!</v>
      </c>
    </row>
    <row r="102" spans="1:49" x14ac:dyDescent="0.2">
      <c r="A102">
        <v>100</v>
      </c>
      <c r="B102" t="s">
        <v>1042</v>
      </c>
      <c r="F102" t="s">
        <v>1041</v>
      </c>
      <c r="G102" t="s">
        <v>3</v>
      </c>
      <c r="H102" t="s">
        <v>2</v>
      </c>
      <c r="I102" t="s">
        <v>1040</v>
      </c>
      <c r="N102">
        <v>3</v>
      </c>
      <c r="O102" t="s">
        <v>1039</v>
      </c>
      <c r="P102" t="s">
        <v>1038</v>
      </c>
      <c r="Q102" t="s">
        <v>25</v>
      </c>
      <c r="R102" s="7">
        <v>31321</v>
      </c>
      <c r="S102" s="8">
        <f t="shared" si="8"/>
        <v>1985</v>
      </c>
      <c r="T102" s="8">
        <v>1985</v>
      </c>
      <c r="U102" s="8">
        <f t="shared" si="9"/>
        <v>37</v>
      </c>
      <c r="V102" s="7">
        <v>31321</v>
      </c>
      <c r="W102" t="s">
        <v>482</v>
      </c>
      <c r="X102" s="2" t="s">
        <v>4</v>
      </c>
      <c r="Y102" s="6" t="e">
        <f t="shared" si="10"/>
        <v>#VALUE!</v>
      </c>
      <c r="AA102">
        <v>87566648</v>
      </c>
      <c r="AB102">
        <v>74127</v>
      </c>
      <c r="AD102" t="s">
        <v>1</v>
      </c>
      <c r="AE102">
        <v>30</v>
      </c>
      <c r="AF102">
        <v>10</v>
      </c>
      <c r="AH102" t="s">
        <v>1037</v>
      </c>
      <c r="AI102" t="s">
        <v>1036</v>
      </c>
      <c r="AK102" t="s">
        <v>1035</v>
      </c>
      <c r="AL102">
        <v>0</v>
      </c>
      <c r="AM102" s="5">
        <f t="shared" si="11"/>
        <v>0</v>
      </c>
      <c r="AN102" s="4">
        <f t="shared" si="12"/>
        <v>0</v>
      </c>
      <c r="AO102" s="3"/>
      <c r="AP102">
        <v>0</v>
      </c>
      <c r="AR102" t="s">
        <v>0</v>
      </c>
      <c r="AT102" s="2" t="s">
        <v>4</v>
      </c>
      <c r="AU102" s="1" t="e">
        <f t="shared" si="13"/>
        <v>#VALUE!</v>
      </c>
      <c r="AV102" s="1" t="e">
        <f t="shared" si="14"/>
        <v>#VALUE!</v>
      </c>
      <c r="AW102" s="1" t="e">
        <f t="shared" si="15"/>
        <v>#VALUE!</v>
      </c>
    </row>
    <row r="103" spans="1:49" x14ac:dyDescent="0.2">
      <c r="A103">
        <v>101</v>
      </c>
      <c r="B103" t="s">
        <v>1034</v>
      </c>
      <c r="C103" t="s">
        <v>1033</v>
      </c>
      <c r="F103" t="s">
        <v>1032</v>
      </c>
      <c r="G103" t="s">
        <v>3</v>
      </c>
      <c r="H103" t="s">
        <v>2</v>
      </c>
      <c r="I103" t="s">
        <v>1031</v>
      </c>
      <c r="N103">
        <v>4</v>
      </c>
      <c r="O103" t="s">
        <v>1030</v>
      </c>
      <c r="P103" t="s">
        <v>1029</v>
      </c>
      <c r="Q103" t="s">
        <v>30</v>
      </c>
      <c r="R103" s="7">
        <v>31321</v>
      </c>
      <c r="S103" s="8">
        <f t="shared" si="8"/>
        <v>1985</v>
      </c>
      <c r="T103" s="8">
        <v>1985</v>
      </c>
      <c r="U103" s="8">
        <f t="shared" si="9"/>
        <v>37</v>
      </c>
      <c r="V103" s="7">
        <v>31321</v>
      </c>
      <c r="W103" t="s">
        <v>180</v>
      </c>
      <c r="X103" s="2">
        <v>0.318</v>
      </c>
      <c r="Y103" s="6">
        <f t="shared" si="10"/>
        <v>8.4888283815167786E-3</v>
      </c>
      <c r="AA103">
        <v>338443</v>
      </c>
      <c r="AB103">
        <v>27160</v>
      </c>
      <c r="AC103">
        <v>15739120</v>
      </c>
      <c r="AD103" t="s">
        <v>1</v>
      </c>
      <c r="AE103">
        <v>28</v>
      </c>
      <c r="AF103">
        <v>10</v>
      </c>
      <c r="AH103" t="s">
        <v>1028</v>
      </c>
      <c r="AL103">
        <v>0</v>
      </c>
      <c r="AM103" s="5">
        <f t="shared" si="11"/>
        <v>0</v>
      </c>
      <c r="AN103" s="4">
        <f t="shared" si="12"/>
        <v>0</v>
      </c>
      <c r="AO103" s="3"/>
      <c r="AP103">
        <v>0</v>
      </c>
      <c r="AR103" t="s">
        <v>0</v>
      </c>
      <c r="AT103" s="2">
        <v>0.77</v>
      </c>
      <c r="AU103" s="1">
        <f t="shared" si="13"/>
        <v>0.59421798670617454</v>
      </c>
      <c r="AV103" s="1">
        <f t="shared" si="14"/>
        <v>0.42444141907583893</v>
      </c>
      <c r="AW103" s="1">
        <f t="shared" si="15"/>
        <v>0.25466485144550338</v>
      </c>
    </row>
    <row r="104" spans="1:49" x14ac:dyDescent="0.2">
      <c r="A104">
        <v>102</v>
      </c>
      <c r="B104" t="s">
        <v>1027</v>
      </c>
      <c r="F104" t="s">
        <v>1026</v>
      </c>
      <c r="G104" t="s">
        <v>3</v>
      </c>
      <c r="H104" t="s">
        <v>2</v>
      </c>
      <c r="I104" t="s">
        <v>1025</v>
      </c>
      <c r="N104">
        <v>4</v>
      </c>
      <c r="O104" t="s">
        <v>1024</v>
      </c>
      <c r="P104" t="s">
        <v>1023</v>
      </c>
      <c r="Q104" t="s">
        <v>30</v>
      </c>
      <c r="R104" s="7">
        <v>31321</v>
      </c>
      <c r="S104" s="8">
        <f t="shared" si="8"/>
        <v>1985</v>
      </c>
      <c r="T104" s="8">
        <v>1985</v>
      </c>
      <c r="U104" s="8">
        <f t="shared" si="9"/>
        <v>37</v>
      </c>
      <c r="V104" s="7">
        <v>31321</v>
      </c>
      <c r="W104" t="s">
        <v>482</v>
      </c>
      <c r="X104" s="2" t="s">
        <v>4</v>
      </c>
      <c r="Y104" s="6" t="e">
        <f t="shared" si="10"/>
        <v>#VALUE!</v>
      </c>
      <c r="AA104">
        <v>87566648</v>
      </c>
      <c r="AB104">
        <v>74127</v>
      </c>
      <c r="AD104" t="s">
        <v>1</v>
      </c>
      <c r="AE104">
        <v>30</v>
      </c>
      <c r="AF104">
        <v>10</v>
      </c>
      <c r="AH104" t="s">
        <v>1022</v>
      </c>
      <c r="AI104" t="s">
        <v>1021</v>
      </c>
      <c r="AK104" t="s">
        <v>1020</v>
      </c>
      <c r="AL104">
        <v>0</v>
      </c>
      <c r="AM104" s="5">
        <f t="shared" si="11"/>
        <v>0</v>
      </c>
      <c r="AN104" s="4">
        <f t="shared" si="12"/>
        <v>0</v>
      </c>
      <c r="AO104" s="3"/>
      <c r="AP104">
        <v>0</v>
      </c>
      <c r="AR104" t="s">
        <v>0</v>
      </c>
      <c r="AT104" s="2" t="s">
        <v>4</v>
      </c>
      <c r="AU104" s="1" t="e">
        <f t="shared" si="13"/>
        <v>#VALUE!</v>
      </c>
      <c r="AV104" s="1" t="e">
        <f t="shared" si="14"/>
        <v>#VALUE!</v>
      </c>
      <c r="AW104" s="1" t="e">
        <f t="shared" si="15"/>
        <v>#VALUE!</v>
      </c>
    </row>
    <row r="105" spans="1:49" x14ac:dyDescent="0.2">
      <c r="A105">
        <v>103</v>
      </c>
      <c r="B105" t="s">
        <v>1019</v>
      </c>
      <c r="F105" t="s">
        <v>1018</v>
      </c>
      <c r="G105" t="s">
        <v>3</v>
      </c>
      <c r="H105" t="s">
        <v>2</v>
      </c>
      <c r="I105" t="s">
        <v>150</v>
      </c>
      <c r="J105">
        <v>60006221</v>
      </c>
      <c r="K105" t="s">
        <v>1017</v>
      </c>
      <c r="L105" t="s">
        <v>1016</v>
      </c>
      <c r="M105" t="s">
        <v>11</v>
      </c>
      <c r="N105">
        <v>2</v>
      </c>
      <c r="O105" t="s">
        <v>149</v>
      </c>
      <c r="P105" t="s">
        <v>148</v>
      </c>
      <c r="Q105" t="s">
        <v>1015</v>
      </c>
      <c r="R105" s="7">
        <v>31321</v>
      </c>
      <c r="S105" s="8">
        <f t="shared" si="8"/>
        <v>1985</v>
      </c>
      <c r="T105" s="8">
        <v>1985</v>
      </c>
      <c r="U105" s="8">
        <f t="shared" si="9"/>
        <v>37</v>
      </c>
      <c r="V105" s="7">
        <v>31321</v>
      </c>
      <c r="W105" t="s">
        <v>147</v>
      </c>
      <c r="X105" s="2">
        <v>0.53700000000000003</v>
      </c>
      <c r="Y105" s="6">
        <f t="shared" si="10"/>
        <v>1.4334908304636823E-2</v>
      </c>
      <c r="AA105">
        <v>189499</v>
      </c>
      <c r="AB105">
        <v>17368</v>
      </c>
      <c r="AD105" t="s">
        <v>1</v>
      </c>
      <c r="AE105" t="s">
        <v>1014</v>
      </c>
      <c r="AF105">
        <v>5</v>
      </c>
      <c r="AI105" t="s">
        <v>1013</v>
      </c>
      <c r="AK105" t="s">
        <v>1012</v>
      </c>
      <c r="AL105">
        <v>0</v>
      </c>
      <c r="AM105" s="5">
        <f t="shared" si="11"/>
        <v>0</v>
      </c>
      <c r="AN105" s="4">
        <f t="shared" si="12"/>
        <v>0</v>
      </c>
      <c r="AO105" s="3"/>
      <c r="AP105">
        <v>0</v>
      </c>
      <c r="AR105" t="s">
        <v>0</v>
      </c>
      <c r="AT105" s="2">
        <v>1.679</v>
      </c>
      <c r="AU105" s="1">
        <f t="shared" si="13"/>
        <v>1.0034435813245777</v>
      </c>
      <c r="AV105" s="1">
        <f t="shared" si="14"/>
        <v>0.7167454152318411</v>
      </c>
      <c r="AW105" s="1">
        <f t="shared" si="15"/>
        <v>0.43004724913910464</v>
      </c>
    </row>
    <row r="106" spans="1:49" x14ac:dyDescent="0.2">
      <c r="A106">
        <v>104</v>
      </c>
      <c r="B106" t="s">
        <v>1011</v>
      </c>
      <c r="C106" t="s">
        <v>1010</v>
      </c>
      <c r="F106" t="s">
        <v>1009</v>
      </c>
      <c r="G106" t="s">
        <v>3</v>
      </c>
      <c r="H106" t="s">
        <v>2</v>
      </c>
      <c r="I106" t="s">
        <v>1008</v>
      </c>
      <c r="N106">
        <v>2</v>
      </c>
      <c r="O106" t="s">
        <v>1007</v>
      </c>
      <c r="P106" t="s">
        <v>1006</v>
      </c>
      <c r="Q106" t="s">
        <v>48</v>
      </c>
      <c r="R106" s="7">
        <v>31321</v>
      </c>
      <c r="S106" s="8">
        <f t="shared" si="8"/>
        <v>1985</v>
      </c>
      <c r="T106" s="8">
        <v>1985</v>
      </c>
      <c r="U106" s="8">
        <f t="shared" si="9"/>
        <v>37</v>
      </c>
      <c r="V106" s="7">
        <v>31321</v>
      </c>
      <c r="W106" t="s">
        <v>180</v>
      </c>
      <c r="X106" s="2">
        <v>0.318</v>
      </c>
      <c r="Y106" s="6">
        <f t="shared" si="10"/>
        <v>8.4888283815167786E-3</v>
      </c>
      <c r="AA106">
        <v>338443</v>
      </c>
      <c r="AB106">
        <v>27160</v>
      </c>
      <c r="AC106">
        <v>15739120</v>
      </c>
      <c r="AD106" t="s">
        <v>1</v>
      </c>
      <c r="AE106">
        <v>28</v>
      </c>
      <c r="AF106">
        <v>10</v>
      </c>
      <c r="AH106" t="s">
        <v>1005</v>
      </c>
      <c r="AL106">
        <v>0</v>
      </c>
      <c r="AM106" s="5">
        <f t="shared" si="11"/>
        <v>0</v>
      </c>
      <c r="AN106" s="4">
        <f t="shared" si="12"/>
        <v>0</v>
      </c>
      <c r="AO106" s="3"/>
      <c r="AP106">
        <v>0</v>
      </c>
      <c r="AR106" t="s">
        <v>0</v>
      </c>
      <c r="AT106" s="2">
        <v>0.77</v>
      </c>
      <c r="AU106" s="1">
        <f t="shared" si="13"/>
        <v>0.59421798670617454</v>
      </c>
      <c r="AV106" s="1">
        <f t="shared" si="14"/>
        <v>0.42444141907583893</v>
      </c>
      <c r="AW106" s="1">
        <f t="shared" si="15"/>
        <v>0.25466485144550338</v>
      </c>
    </row>
    <row r="107" spans="1:49" x14ac:dyDescent="0.2">
      <c r="A107">
        <v>105</v>
      </c>
      <c r="B107" t="s">
        <v>1004</v>
      </c>
      <c r="F107" t="s">
        <v>1003</v>
      </c>
      <c r="G107" t="s">
        <v>3</v>
      </c>
      <c r="H107" t="s">
        <v>2</v>
      </c>
      <c r="I107" t="s">
        <v>1002</v>
      </c>
      <c r="N107">
        <v>2</v>
      </c>
      <c r="O107" t="s">
        <v>1001</v>
      </c>
      <c r="P107" t="s">
        <v>1000</v>
      </c>
      <c r="Q107" t="s">
        <v>48</v>
      </c>
      <c r="R107" s="7">
        <v>31321</v>
      </c>
      <c r="S107" s="8">
        <f t="shared" si="8"/>
        <v>1985</v>
      </c>
      <c r="T107" s="8">
        <v>1985</v>
      </c>
      <c r="U107" s="8">
        <f t="shared" si="9"/>
        <v>37</v>
      </c>
      <c r="V107" s="7">
        <v>31321</v>
      </c>
      <c r="W107" t="s">
        <v>482</v>
      </c>
      <c r="X107" s="2" t="s">
        <v>4</v>
      </c>
      <c r="Y107" s="6" t="e">
        <f t="shared" si="10"/>
        <v>#VALUE!</v>
      </c>
      <c r="AA107">
        <v>87566648</v>
      </c>
      <c r="AB107">
        <v>74127</v>
      </c>
      <c r="AD107" t="s">
        <v>1</v>
      </c>
      <c r="AE107">
        <v>30</v>
      </c>
      <c r="AF107">
        <v>10</v>
      </c>
      <c r="AH107" s="10">
        <v>42248</v>
      </c>
      <c r="AI107" t="s">
        <v>999</v>
      </c>
      <c r="AK107" t="s">
        <v>998</v>
      </c>
      <c r="AL107">
        <v>0</v>
      </c>
      <c r="AM107" s="5">
        <f t="shared" si="11"/>
        <v>0</v>
      </c>
      <c r="AN107" s="4">
        <f t="shared" si="12"/>
        <v>0</v>
      </c>
      <c r="AO107" s="3"/>
      <c r="AP107">
        <v>0</v>
      </c>
      <c r="AR107" t="s">
        <v>0</v>
      </c>
      <c r="AT107" s="2" t="s">
        <v>4</v>
      </c>
      <c r="AU107" s="1" t="e">
        <f t="shared" si="13"/>
        <v>#VALUE!</v>
      </c>
      <c r="AV107" s="1" t="e">
        <f t="shared" si="14"/>
        <v>#VALUE!</v>
      </c>
      <c r="AW107" s="1" t="e">
        <f t="shared" si="15"/>
        <v>#VALUE!</v>
      </c>
    </row>
    <row r="108" spans="1:49" x14ac:dyDescent="0.2">
      <c r="A108">
        <v>106</v>
      </c>
      <c r="B108" t="s">
        <v>997</v>
      </c>
      <c r="C108" t="s">
        <v>996</v>
      </c>
      <c r="F108" t="s">
        <v>995</v>
      </c>
      <c r="G108" t="s">
        <v>3</v>
      </c>
      <c r="H108" t="s">
        <v>2</v>
      </c>
      <c r="I108" t="s">
        <v>994</v>
      </c>
      <c r="J108">
        <v>60005630</v>
      </c>
      <c r="K108" t="s">
        <v>993</v>
      </c>
      <c r="L108" t="s">
        <v>992</v>
      </c>
      <c r="M108" t="s">
        <v>26</v>
      </c>
      <c r="N108">
        <v>1</v>
      </c>
      <c r="O108" t="s">
        <v>991</v>
      </c>
      <c r="P108">
        <v>6603714168</v>
      </c>
      <c r="Q108">
        <v>60005630</v>
      </c>
      <c r="R108" s="7">
        <v>31321</v>
      </c>
      <c r="S108" s="8">
        <f t="shared" si="8"/>
        <v>1985</v>
      </c>
      <c r="T108" s="8">
        <v>1985</v>
      </c>
      <c r="U108" s="8">
        <f t="shared" si="9"/>
        <v>37</v>
      </c>
      <c r="V108" s="7">
        <v>31321</v>
      </c>
      <c r="W108" s="11" t="s">
        <v>73</v>
      </c>
      <c r="X108" s="2">
        <v>2.383</v>
      </c>
      <c r="Y108" s="6">
        <f t="shared" si="10"/>
        <v>6.3612824003630442E-2</v>
      </c>
      <c r="AA108">
        <v>1437097</v>
      </c>
      <c r="AB108">
        <v>101236</v>
      </c>
      <c r="AD108" t="s">
        <v>1</v>
      </c>
      <c r="AE108">
        <v>132</v>
      </c>
      <c r="AF108">
        <v>6</v>
      </c>
      <c r="AH108" t="s">
        <v>990</v>
      </c>
      <c r="AI108" t="s">
        <v>989</v>
      </c>
      <c r="AK108" t="s">
        <v>988</v>
      </c>
      <c r="AL108">
        <v>1</v>
      </c>
      <c r="AM108" s="5">
        <f t="shared" si="11"/>
        <v>2.7027027027027029E-2</v>
      </c>
      <c r="AN108" s="4">
        <f t="shared" si="12"/>
        <v>4.0934535444190883E-5</v>
      </c>
      <c r="AO108" s="3"/>
      <c r="AP108">
        <v>0</v>
      </c>
      <c r="AR108" t="s">
        <v>0</v>
      </c>
      <c r="AT108" s="2" t="s">
        <v>4</v>
      </c>
      <c r="AU108" s="1">
        <f t="shared" si="13"/>
        <v>4.4541257163174564</v>
      </c>
      <c r="AV108" s="1">
        <f t="shared" si="14"/>
        <v>3.182687926953732</v>
      </c>
      <c r="AW108" s="1">
        <f t="shared" si="15"/>
        <v>1.9112501375900064</v>
      </c>
    </row>
    <row r="109" spans="1:49" x14ac:dyDescent="0.2">
      <c r="A109">
        <v>107</v>
      </c>
      <c r="B109" t="s">
        <v>987</v>
      </c>
      <c r="C109" t="s">
        <v>986</v>
      </c>
      <c r="F109" t="s">
        <v>985</v>
      </c>
      <c r="G109" t="s">
        <v>3</v>
      </c>
      <c r="H109" t="s">
        <v>2</v>
      </c>
      <c r="I109" t="s">
        <v>984</v>
      </c>
      <c r="J109">
        <v>60032882</v>
      </c>
      <c r="K109" t="s">
        <v>172</v>
      </c>
      <c r="L109" t="s">
        <v>171</v>
      </c>
      <c r="M109" t="s">
        <v>18</v>
      </c>
      <c r="N109">
        <v>1</v>
      </c>
      <c r="O109" t="s">
        <v>983</v>
      </c>
      <c r="P109">
        <v>7007183627</v>
      </c>
      <c r="Q109">
        <v>60032882</v>
      </c>
      <c r="R109" s="7">
        <v>31321</v>
      </c>
      <c r="S109" s="8">
        <f t="shared" si="8"/>
        <v>1985</v>
      </c>
      <c r="T109" s="8">
        <v>1985</v>
      </c>
      <c r="U109" s="8">
        <f t="shared" si="9"/>
        <v>37</v>
      </c>
      <c r="V109" s="7">
        <v>31321</v>
      </c>
      <c r="W109" s="11" t="s">
        <v>73</v>
      </c>
      <c r="X109" s="2">
        <v>2.383</v>
      </c>
      <c r="Y109" s="6">
        <f t="shared" si="10"/>
        <v>6.3612824003630442E-2</v>
      </c>
      <c r="AA109">
        <v>1437097</v>
      </c>
      <c r="AB109">
        <v>101236</v>
      </c>
      <c r="AD109" t="s">
        <v>1</v>
      </c>
      <c r="AE109">
        <v>132</v>
      </c>
      <c r="AF109">
        <v>6</v>
      </c>
      <c r="AH109" t="s">
        <v>982</v>
      </c>
      <c r="AI109" t="s">
        <v>981</v>
      </c>
      <c r="AK109" t="s">
        <v>980</v>
      </c>
      <c r="AL109">
        <v>5</v>
      </c>
      <c r="AM109" s="5">
        <f t="shared" si="11"/>
        <v>0.13513513513513514</v>
      </c>
      <c r="AN109" s="4">
        <f t="shared" si="12"/>
        <v>2.046726772209544E-4</v>
      </c>
      <c r="AO109" s="3"/>
      <c r="AP109">
        <v>0</v>
      </c>
      <c r="AR109" t="s">
        <v>0</v>
      </c>
      <c r="AT109" s="2" t="s">
        <v>4</v>
      </c>
      <c r="AU109" s="1">
        <f t="shared" si="13"/>
        <v>4.4590378605707599</v>
      </c>
      <c r="AV109" s="1">
        <f t="shared" si="14"/>
        <v>3.1908748340425697</v>
      </c>
      <c r="AW109" s="1">
        <f t="shared" si="15"/>
        <v>1.9227118075143803</v>
      </c>
    </row>
    <row r="110" spans="1:49" x14ac:dyDescent="0.2">
      <c r="A110">
        <v>108</v>
      </c>
      <c r="B110" t="s">
        <v>979</v>
      </c>
      <c r="F110" t="s">
        <v>978</v>
      </c>
      <c r="G110" t="s">
        <v>3</v>
      </c>
      <c r="H110" t="s">
        <v>2</v>
      </c>
      <c r="I110" t="s">
        <v>977</v>
      </c>
      <c r="N110">
        <v>1</v>
      </c>
      <c r="O110" t="s">
        <v>976</v>
      </c>
      <c r="P110">
        <v>57196697408</v>
      </c>
      <c r="R110" s="7">
        <v>31321</v>
      </c>
      <c r="S110" s="8">
        <f t="shared" si="8"/>
        <v>1985</v>
      </c>
      <c r="T110" s="8">
        <v>1985</v>
      </c>
      <c r="U110" s="8">
        <f t="shared" si="9"/>
        <v>37</v>
      </c>
      <c r="V110" s="7">
        <v>31048</v>
      </c>
      <c r="W110" t="s">
        <v>975</v>
      </c>
      <c r="X110" s="2" t="s">
        <v>4</v>
      </c>
      <c r="Y110" s="6" t="e">
        <f t="shared" si="10"/>
        <v>#VALUE!</v>
      </c>
      <c r="AA110">
        <v>119407</v>
      </c>
      <c r="AB110">
        <v>16022</v>
      </c>
      <c r="AD110" t="s">
        <v>1</v>
      </c>
      <c r="AE110">
        <v>41</v>
      </c>
      <c r="AF110">
        <v>20</v>
      </c>
      <c r="AH110" t="s">
        <v>974</v>
      </c>
      <c r="AI110" t="s">
        <v>973</v>
      </c>
      <c r="AK110" t="s">
        <v>972</v>
      </c>
      <c r="AL110">
        <v>0</v>
      </c>
      <c r="AM110" s="5">
        <f t="shared" si="11"/>
        <v>0</v>
      </c>
      <c r="AN110" s="4">
        <f t="shared" si="12"/>
        <v>0</v>
      </c>
      <c r="AO110" s="3"/>
      <c r="AP110">
        <v>0</v>
      </c>
      <c r="AR110" t="s">
        <v>0</v>
      </c>
      <c r="AT110" s="2" t="s">
        <v>4</v>
      </c>
      <c r="AU110" s="1" t="e">
        <f t="shared" si="13"/>
        <v>#VALUE!</v>
      </c>
      <c r="AV110" s="1" t="e">
        <f t="shared" si="14"/>
        <v>#VALUE!</v>
      </c>
      <c r="AW110" s="1" t="e">
        <f t="shared" si="15"/>
        <v>#VALUE!</v>
      </c>
    </row>
    <row r="111" spans="1:49" x14ac:dyDescent="0.2">
      <c r="A111">
        <v>109</v>
      </c>
      <c r="B111" t="s">
        <v>971</v>
      </c>
      <c r="C111" t="s">
        <v>970</v>
      </c>
      <c r="F111" t="s">
        <v>969</v>
      </c>
      <c r="G111" t="s">
        <v>3</v>
      </c>
      <c r="H111" t="s">
        <v>2</v>
      </c>
      <c r="I111" t="s">
        <v>968</v>
      </c>
      <c r="N111">
        <v>4</v>
      </c>
      <c r="O111" t="s">
        <v>967</v>
      </c>
      <c r="P111" t="s">
        <v>966</v>
      </c>
      <c r="Q111" t="s">
        <v>30</v>
      </c>
      <c r="R111" s="7">
        <v>31321</v>
      </c>
      <c r="S111" s="8">
        <f t="shared" si="8"/>
        <v>1985</v>
      </c>
      <c r="T111" s="8">
        <v>1985</v>
      </c>
      <c r="U111" s="8">
        <f t="shared" si="9"/>
        <v>37</v>
      </c>
      <c r="V111" s="7">
        <v>31321</v>
      </c>
      <c r="W111" t="s">
        <v>965</v>
      </c>
      <c r="X111" s="2">
        <v>0.14899999999999999</v>
      </c>
      <c r="Y111" s="6">
        <f t="shared" si="10"/>
        <v>3.977469902031446E-3</v>
      </c>
      <c r="AA111">
        <v>5431972</v>
      </c>
      <c r="AB111">
        <v>15425</v>
      </c>
      <c r="AC111">
        <v>15738906</v>
      </c>
      <c r="AD111" t="s">
        <v>1</v>
      </c>
      <c r="AE111">
        <v>28</v>
      </c>
      <c r="AF111">
        <v>10</v>
      </c>
      <c r="AH111" t="s">
        <v>964</v>
      </c>
      <c r="AL111">
        <v>0</v>
      </c>
      <c r="AM111" s="5">
        <f t="shared" si="11"/>
        <v>0</v>
      </c>
      <c r="AN111" s="4">
        <f t="shared" si="12"/>
        <v>0</v>
      </c>
      <c r="AO111" s="3"/>
      <c r="AP111">
        <v>0</v>
      </c>
      <c r="AR111" t="s">
        <v>0</v>
      </c>
      <c r="AT111" s="2" t="s">
        <v>4</v>
      </c>
      <c r="AU111" s="1">
        <f t="shared" si="13"/>
        <v>0.2784228931422012</v>
      </c>
      <c r="AV111" s="1">
        <f t="shared" si="14"/>
        <v>0.19887349510157229</v>
      </c>
      <c r="AW111" s="1">
        <f t="shared" si="15"/>
        <v>0.11932409706094337</v>
      </c>
    </row>
    <row r="112" spans="1:49" x14ac:dyDescent="0.2">
      <c r="A112">
        <v>110</v>
      </c>
      <c r="B112" t="s">
        <v>963</v>
      </c>
      <c r="F112" t="s">
        <v>962</v>
      </c>
      <c r="G112" t="s">
        <v>3</v>
      </c>
      <c r="H112" t="s">
        <v>2</v>
      </c>
      <c r="I112" t="s">
        <v>84</v>
      </c>
      <c r="J112">
        <v>60009037</v>
      </c>
      <c r="K112" t="s">
        <v>80</v>
      </c>
      <c r="L112" t="s">
        <v>79</v>
      </c>
      <c r="M112" t="s">
        <v>11</v>
      </c>
      <c r="N112">
        <v>1</v>
      </c>
      <c r="O112" t="s">
        <v>961</v>
      </c>
      <c r="P112">
        <v>7410168912</v>
      </c>
      <c r="Q112">
        <v>60009037</v>
      </c>
      <c r="R112" s="7">
        <v>31321</v>
      </c>
      <c r="S112" s="8">
        <f t="shared" si="8"/>
        <v>1985</v>
      </c>
      <c r="T112" s="8">
        <v>1985</v>
      </c>
      <c r="U112" s="8">
        <f t="shared" si="9"/>
        <v>37</v>
      </c>
      <c r="V112" s="7">
        <v>31321</v>
      </c>
      <c r="W112" t="s">
        <v>350</v>
      </c>
      <c r="X112" s="2" t="s">
        <v>4</v>
      </c>
      <c r="Y112" s="6" t="e">
        <f t="shared" si="10"/>
        <v>#VALUE!</v>
      </c>
      <c r="AA112" t="s">
        <v>349</v>
      </c>
      <c r="AB112">
        <v>13750</v>
      </c>
      <c r="AD112" t="s">
        <v>1</v>
      </c>
      <c r="AE112">
        <v>38</v>
      </c>
      <c r="AF112">
        <v>10</v>
      </c>
      <c r="AH112" t="s">
        <v>960</v>
      </c>
      <c r="AI112" t="s">
        <v>959</v>
      </c>
      <c r="AK112" t="s">
        <v>958</v>
      </c>
      <c r="AL112">
        <v>0</v>
      </c>
      <c r="AM112" s="5">
        <f t="shared" si="11"/>
        <v>0</v>
      </c>
      <c r="AN112" s="4">
        <f t="shared" si="12"/>
        <v>0</v>
      </c>
      <c r="AO112" s="3"/>
      <c r="AP112">
        <v>0</v>
      </c>
      <c r="AR112" t="s">
        <v>0</v>
      </c>
      <c r="AT112" s="2" t="s">
        <v>4</v>
      </c>
      <c r="AU112" s="1" t="e">
        <f t="shared" si="13"/>
        <v>#VALUE!</v>
      </c>
      <c r="AV112" s="1" t="e">
        <f t="shared" si="14"/>
        <v>#VALUE!</v>
      </c>
      <c r="AW112" s="1" t="e">
        <f t="shared" si="15"/>
        <v>#VALUE!</v>
      </c>
    </row>
    <row r="113" spans="1:49" x14ac:dyDescent="0.2">
      <c r="A113">
        <v>111</v>
      </c>
      <c r="B113" t="s">
        <v>957</v>
      </c>
      <c r="F113" t="s">
        <v>956</v>
      </c>
      <c r="G113" t="s">
        <v>3</v>
      </c>
      <c r="H113" t="s">
        <v>2</v>
      </c>
      <c r="I113" t="s">
        <v>955</v>
      </c>
      <c r="J113">
        <v>101317948</v>
      </c>
      <c r="K113" t="s">
        <v>954</v>
      </c>
      <c r="L113" t="s">
        <v>953</v>
      </c>
      <c r="M113" t="s">
        <v>11</v>
      </c>
      <c r="N113">
        <v>3</v>
      </c>
      <c r="O113" t="s">
        <v>952</v>
      </c>
      <c r="P113" t="s">
        <v>951</v>
      </c>
      <c r="Q113" t="s">
        <v>950</v>
      </c>
      <c r="R113" s="7">
        <v>31321</v>
      </c>
      <c r="S113" s="8">
        <f t="shared" si="8"/>
        <v>1985</v>
      </c>
      <c r="T113" s="8">
        <v>1985</v>
      </c>
      <c r="U113" s="8">
        <f t="shared" si="9"/>
        <v>37</v>
      </c>
      <c r="V113" s="7">
        <v>31321</v>
      </c>
      <c r="W113" t="s">
        <v>949</v>
      </c>
      <c r="X113" s="2">
        <v>0.115</v>
      </c>
      <c r="Y113" s="6">
        <f t="shared" si="10"/>
        <v>3.069859320359841E-3</v>
      </c>
      <c r="AA113">
        <v>933651</v>
      </c>
      <c r="AB113">
        <v>14396</v>
      </c>
      <c r="AD113" t="s">
        <v>1</v>
      </c>
      <c r="AE113">
        <v>26</v>
      </c>
      <c r="AF113">
        <v>10</v>
      </c>
      <c r="AH113" t="s">
        <v>948</v>
      </c>
      <c r="AI113" t="s">
        <v>947</v>
      </c>
      <c r="AK113" t="s">
        <v>946</v>
      </c>
      <c r="AL113">
        <v>30</v>
      </c>
      <c r="AM113" s="5">
        <f t="shared" si="11"/>
        <v>0.81081081081081086</v>
      </c>
      <c r="AN113" s="4">
        <f t="shared" si="12"/>
        <v>1.2280360633257264E-3</v>
      </c>
      <c r="AO113" s="3"/>
      <c r="AP113">
        <v>0</v>
      </c>
      <c r="AR113" t="s">
        <v>0</v>
      </c>
      <c r="AT113" s="2">
        <v>0.17499999999999999</v>
      </c>
      <c r="AU113" s="1">
        <f t="shared" si="13"/>
        <v>0.25173123432496058</v>
      </c>
      <c r="AV113" s="1">
        <f t="shared" si="14"/>
        <v>0.21489476918427836</v>
      </c>
      <c r="AW113" s="1">
        <f t="shared" si="15"/>
        <v>0.17805830404359607</v>
      </c>
    </row>
    <row r="114" spans="1:49" x14ac:dyDescent="0.2">
      <c r="A114">
        <v>112</v>
      </c>
      <c r="B114" t="s">
        <v>945</v>
      </c>
      <c r="E114">
        <v>4044582</v>
      </c>
      <c r="F114" t="s">
        <v>944</v>
      </c>
      <c r="G114" t="s">
        <v>3</v>
      </c>
      <c r="H114" t="s">
        <v>2</v>
      </c>
      <c r="I114" t="s">
        <v>943</v>
      </c>
      <c r="N114">
        <v>4</v>
      </c>
      <c r="O114" t="s">
        <v>942</v>
      </c>
      <c r="P114" t="s">
        <v>941</v>
      </c>
      <c r="Q114" t="s">
        <v>30</v>
      </c>
      <c r="R114" s="7">
        <v>31315</v>
      </c>
      <c r="S114" s="8">
        <f t="shared" si="8"/>
        <v>1985</v>
      </c>
      <c r="T114" s="8">
        <v>1985</v>
      </c>
      <c r="U114" s="8">
        <f t="shared" si="9"/>
        <v>37</v>
      </c>
      <c r="V114" s="7">
        <v>31315</v>
      </c>
      <c r="W114" t="s">
        <v>59</v>
      </c>
      <c r="X114" s="2">
        <v>2.3610000000000002</v>
      </c>
      <c r="Y114" s="6">
        <f t="shared" si="10"/>
        <v>6.3025546568431179E-2</v>
      </c>
      <c r="AA114">
        <v>219258</v>
      </c>
      <c r="AB114">
        <v>17592</v>
      </c>
      <c r="AD114" t="s">
        <v>1</v>
      </c>
      <c r="AE114">
        <v>260</v>
      </c>
      <c r="AF114">
        <v>21</v>
      </c>
      <c r="AH114" t="s">
        <v>940</v>
      </c>
      <c r="AI114" t="s">
        <v>939</v>
      </c>
      <c r="AK114" t="s">
        <v>938</v>
      </c>
      <c r="AL114">
        <v>63</v>
      </c>
      <c r="AM114" s="5">
        <f t="shared" si="11"/>
        <v>1.7027027027027026</v>
      </c>
      <c r="AN114" s="4">
        <f t="shared" si="12"/>
        <v>2.578875732984025E-3</v>
      </c>
      <c r="AO114" s="3"/>
      <c r="AP114">
        <v>0</v>
      </c>
      <c r="AR114" t="s">
        <v>0</v>
      </c>
      <c r="AT114" s="2">
        <v>5.157</v>
      </c>
      <c r="AU114" s="1">
        <f t="shared" si="13"/>
        <v>4.489154531779703</v>
      </c>
      <c r="AV114" s="1">
        <f t="shared" si="14"/>
        <v>3.2802211150707605</v>
      </c>
      <c r="AW114" s="1">
        <f t="shared" si="15"/>
        <v>2.0712876983618171</v>
      </c>
    </row>
    <row r="115" spans="1:49" x14ac:dyDescent="0.2">
      <c r="A115">
        <v>113</v>
      </c>
      <c r="B115" t="s">
        <v>937</v>
      </c>
      <c r="C115" t="s">
        <v>936</v>
      </c>
      <c r="D115" t="s">
        <v>935</v>
      </c>
      <c r="F115" t="s">
        <v>934</v>
      </c>
      <c r="G115" t="s">
        <v>3</v>
      </c>
      <c r="H115" t="s">
        <v>2</v>
      </c>
      <c r="I115" t="s">
        <v>933</v>
      </c>
      <c r="J115" t="s">
        <v>932</v>
      </c>
      <c r="K115" t="s">
        <v>931</v>
      </c>
      <c r="L115" t="s">
        <v>930</v>
      </c>
      <c r="M115" t="s">
        <v>929</v>
      </c>
      <c r="N115">
        <v>6</v>
      </c>
      <c r="O115" t="s">
        <v>928</v>
      </c>
      <c r="P115" t="s">
        <v>927</v>
      </c>
      <c r="Q115" t="s">
        <v>926</v>
      </c>
      <c r="R115" s="7">
        <v>31313</v>
      </c>
      <c r="S115" s="8">
        <f t="shared" si="8"/>
        <v>1985</v>
      </c>
      <c r="T115" s="8">
        <v>1985</v>
      </c>
      <c r="U115" s="8">
        <f t="shared" si="9"/>
        <v>37</v>
      </c>
      <c r="V115" s="7">
        <v>31313</v>
      </c>
      <c r="W115" t="s">
        <v>14</v>
      </c>
      <c r="X115" s="2">
        <v>1.593</v>
      </c>
      <c r="Y115" s="6">
        <f t="shared" si="10"/>
        <v>4.2524225194201973E-2</v>
      </c>
      <c r="AA115">
        <v>145793</v>
      </c>
      <c r="AB115">
        <v>17481</v>
      </c>
      <c r="AD115" t="s">
        <v>1</v>
      </c>
      <c r="AE115">
        <v>189</v>
      </c>
      <c r="AF115">
        <v>2</v>
      </c>
      <c r="AH115" t="s">
        <v>925</v>
      </c>
      <c r="AI115" t="s">
        <v>924</v>
      </c>
      <c r="AJ115" t="s">
        <v>923</v>
      </c>
      <c r="AK115" t="s">
        <v>922</v>
      </c>
      <c r="AL115">
        <v>22</v>
      </c>
      <c r="AM115" s="5">
        <f t="shared" si="11"/>
        <v>0.59459459459459463</v>
      </c>
      <c r="AN115" s="4">
        <f t="shared" si="12"/>
        <v>9.0055977977219939E-4</v>
      </c>
      <c r="AO115" s="3"/>
      <c r="AP115">
        <v>0</v>
      </c>
      <c r="AR115" t="s">
        <v>0</v>
      </c>
      <c r="AT115" s="2">
        <v>4.1239999999999997</v>
      </c>
      <c r="AU115" s="1">
        <f t="shared" si="13"/>
        <v>3.003712556987304</v>
      </c>
      <c r="AV115" s="1">
        <f t="shared" si="14"/>
        <v>2.1712392486987087</v>
      </c>
      <c r="AW115" s="1">
        <f t="shared" si="15"/>
        <v>1.3387659404101131</v>
      </c>
    </row>
    <row r="116" spans="1:49" x14ac:dyDescent="0.2">
      <c r="A116">
        <v>114</v>
      </c>
      <c r="B116" t="s">
        <v>921</v>
      </c>
      <c r="C116" t="s">
        <v>920</v>
      </c>
      <c r="D116">
        <v>5272885900714</v>
      </c>
      <c r="F116" t="s">
        <v>919</v>
      </c>
      <c r="G116" t="s">
        <v>3</v>
      </c>
      <c r="H116" t="s">
        <v>2</v>
      </c>
      <c r="I116" t="s">
        <v>918</v>
      </c>
      <c r="J116">
        <v>60014849</v>
      </c>
      <c r="K116" t="s">
        <v>917</v>
      </c>
      <c r="L116" t="s">
        <v>49</v>
      </c>
      <c r="M116" t="s">
        <v>19</v>
      </c>
      <c r="N116">
        <v>2</v>
      </c>
      <c r="O116" t="s">
        <v>916</v>
      </c>
      <c r="P116" t="s">
        <v>915</v>
      </c>
      <c r="Q116" t="s">
        <v>914</v>
      </c>
      <c r="R116" s="7">
        <v>31309</v>
      </c>
      <c r="S116" s="8">
        <f t="shared" si="8"/>
        <v>1985</v>
      </c>
      <c r="T116" s="8">
        <v>1985</v>
      </c>
      <c r="U116" s="8">
        <f t="shared" si="9"/>
        <v>37</v>
      </c>
      <c r="V116" s="7">
        <v>31309</v>
      </c>
      <c r="W116" t="s">
        <v>166</v>
      </c>
      <c r="X116" s="2">
        <v>1.59</v>
      </c>
      <c r="Y116" s="6">
        <f t="shared" si="10"/>
        <v>4.2444141907583888E-2</v>
      </c>
      <c r="AA116">
        <v>52728</v>
      </c>
      <c r="AB116">
        <v>16791</v>
      </c>
      <c r="AD116" t="s">
        <v>1</v>
      </c>
      <c r="AE116">
        <v>809</v>
      </c>
      <c r="AF116">
        <v>2</v>
      </c>
      <c r="AH116" t="s">
        <v>913</v>
      </c>
      <c r="AI116" t="s">
        <v>912</v>
      </c>
      <c r="AJ116" t="s">
        <v>911</v>
      </c>
      <c r="AK116" t="s">
        <v>910</v>
      </c>
      <c r="AL116">
        <v>66</v>
      </c>
      <c r="AM116" s="5">
        <f t="shared" si="11"/>
        <v>1.7837837837837838</v>
      </c>
      <c r="AN116" s="4">
        <f t="shared" si="12"/>
        <v>2.7016793393165981E-3</v>
      </c>
      <c r="AO116" s="3"/>
      <c r="AP116">
        <v>0</v>
      </c>
      <c r="AR116" t="s">
        <v>0</v>
      </c>
      <c r="AT116" s="2" t="s">
        <v>4</v>
      </c>
      <c r="AU116" s="1">
        <f t="shared" si="13"/>
        <v>3.0521403137103698</v>
      </c>
      <c r="AV116" s="1">
        <f t="shared" si="14"/>
        <v>2.2572910623450246</v>
      </c>
      <c r="AW116" s="1">
        <f t="shared" si="15"/>
        <v>1.4624418109796782</v>
      </c>
    </row>
    <row r="117" spans="1:49" x14ac:dyDescent="0.2">
      <c r="A117">
        <v>115</v>
      </c>
      <c r="B117" t="s">
        <v>909</v>
      </c>
      <c r="C117" t="s">
        <v>908</v>
      </c>
      <c r="D117">
        <v>5272885900702</v>
      </c>
      <c r="F117" t="s">
        <v>907</v>
      </c>
      <c r="G117" t="s">
        <v>3</v>
      </c>
      <c r="H117" t="s">
        <v>2</v>
      </c>
      <c r="I117" t="s">
        <v>906</v>
      </c>
      <c r="J117">
        <v>60019615</v>
      </c>
      <c r="K117" t="s">
        <v>69</v>
      </c>
      <c r="L117" t="s">
        <v>68</v>
      </c>
      <c r="M117" t="s">
        <v>19</v>
      </c>
      <c r="N117">
        <v>4</v>
      </c>
      <c r="O117" t="s">
        <v>905</v>
      </c>
      <c r="P117" t="s">
        <v>904</v>
      </c>
      <c r="Q117" t="s">
        <v>903</v>
      </c>
      <c r="R117" s="7">
        <v>31309</v>
      </c>
      <c r="S117" s="8">
        <f t="shared" si="8"/>
        <v>1985</v>
      </c>
      <c r="T117" s="8">
        <v>1985</v>
      </c>
      <c r="U117" s="8">
        <f t="shared" si="9"/>
        <v>37</v>
      </c>
      <c r="V117" s="7">
        <v>31309</v>
      </c>
      <c r="W117" t="s">
        <v>166</v>
      </c>
      <c r="X117" s="2">
        <v>1.59</v>
      </c>
      <c r="Y117" s="6">
        <f t="shared" si="10"/>
        <v>4.2444141907583888E-2</v>
      </c>
      <c r="AA117">
        <v>52728</v>
      </c>
      <c r="AB117">
        <v>16791</v>
      </c>
      <c r="AD117" t="s">
        <v>1</v>
      </c>
      <c r="AE117">
        <v>809</v>
      </c>
      <c r="AF117">
        <v>2</v>
      </c>
      <c r="AH117" t="s">
        <v>902</v>
      </c>
      <c r="AI117" t="s">
        <v>901</v>
      </c>
      <c r="AJ117" t="s">
        <v>900</v>
      </c>
      <c r="AK117" t="s">
        <v>899</v>
      </c>
      <c r="AL117">
        <v>8</v>
      </c>
      <c r="AM117" s="5">
        <f t="shared" si="11"/>
        <v>0.21621621621621623</v>
      </c>
      <c r="AN117" s="4">
        <f t="shared" si="12"/>
        <v>3.2747628355352706E-4</v>
      </c>
      <c r="AO117" s="3"/>
      <c r="AP117">
        <v>0</v>
      </c>
      <c r="AR117" t="s">
        <v>0</v>
      </c>
      <c r="AT117" s="2" t="s">
        <v>4</v>
      </c>
      <c r="AU117" s="1">
        <f t="shared" si="13"/>
        <v>2.9809142220374776</v>
      </c>
      <c r="AV117" s="1">
        <f t="shared" si="14"/>
        <v>2.1385809095568709</v>
      </c>
      <c r="AW117" s="1">
        <f t="shared" si="15"/>
        <v>1.2962475970762635</v>
      </c>
    </row>
    <row r="118" spans="1:49" x14ac:dyDescent="0.2">
      <c r="A118">
        <v>116</v>
      </c>
      <c r="B118" t="s">
        <v>898</v>
      </c>
      <c r="C118" t="s">
        <v>897</v>
      </c>
      <c r="D118">
        <v>5272885900635</v>
      </c>
      <c r="F118" t="s">
        <v>896</v>
      </c>
      <c r="G118" t="s">
        <v>3</v>
      </c>
      <c r="H118" t="s">
        <v>2</v>
      </c>
      <c r="I118" t="s">
        <v>895</v>
      </c>
      <c r="J118">
        <v>60003878</v>
      </c>
      <c r="K118" t="s">
        <v>894</v>
      </c>
      <c r="L118" t="s">
        <v>893</v>
      </c>
      <c r="M118" t="s">
        <v>18</v>
      </c>
      <c r="N118">
        <v>3</v>
      </c>
      <c r="O118" t="s">
        <v>892</v>
      </c>
      <c r="P118" t="s">
        <v>891</v>
      </c>
      <c r="Q118" t="s">
        <v>890</v>
      </c>
      <c r="R118" s="7">
        <v>31309</v>
      </c>
      <c r="S118" s="8">
        <f t="shared" si="8"/>
        <v>1985</v>
      </c>
      <c r="T118" s="8">
        <v>1985</v>
      </c>
      <c r="U118" s="8">
        <f t="shared" si="9"/>
        <v>37</v>
      </c>
      <c r="V118" s="7">
        <v>31309</v>
      </c>
      <c r="W118" t="s">
        <v>166</v>
      </c>
      <c r="X118" s="2">
        <v>1.59</v>
      </c>
      <c r="Y118" s="6">
        <f t="shared" si="10"/>
        <v>4.2444141907583888E-2</v>
      </c>
      <c r="AA118">
        <v>52728</v>
      </c>
      <c r="AB118">
        <v>16791</v>
      </c>
      <c r="AD118" t="s">
        <v>1</v>
      </c>
      <c r="AE118">
        <v>809</v>
      </c>
      <c r="AF118">
        <v>2</v>
      </c>
      <c r="AH118" t="s">
        <v>889</v>
      </c>
      <c r="AI118" t="s">
        <v>888</v>
      </c>
      <c r="AJ118" t="s">
        <v>887</v>
      </c>
      <c r="AK118" t="s">
        <v>886</v>
      </c>
      <c r="AL118">
        <v>37</v>
      </c>
      <c r="AM118" s="5">
        <f t="shared" si="11"/>
        <v>1</v>
      </c>
      <c r="AN118" s="4">
        <f t="shared" si="12"/>
        <v>1.5145778114350624E-3</v>
      </c>
      <c r="AO118" s="3"/>
      <c r="AP118">
        <v>0</v>
      </c>
      <c r="AR118" t="s">
        <v>0</v>
      </c>
      <c r="AT118" s="2" t="s">
        <v>4</v>
      </c>
      <c r="AU118" s="1">
        <f t="shared" si="13"/>
        <v>3.0165272678739239</v>
      </c>
      <c r="AV118" s="1">
        <f t="shared" si="14"/>
        <v>2.1979359859509473</v>
      </c>
      <c r="AW118" s="1">
        <f t="shared" si="15"/>
        <v>1.3793447040279709</v>
      </c>
    </row>
    <row r="119" spans="1:49" x14ac:dyDescent="0.2">
      <c r="A119">
        <v>117</v>
      </c>
      <c r="B119" t="s">
        <v>885</v>
      </c>
      <c r="C119" t="s">
        <v>884</v>
      </c>
      <c r="F119" t="s">
        <v>883</v>
      </c>
      <c r="G119" t="s">
        <v>3</v>
      </c>
      <c r="H119" t="s">
        <v>2</v>
      </c>
      <c r="I119" t="s">
        <v>882</v>
      </c>
      <c r="J119" t="s">
        <v>881</v>
      </c>
      <c r="K119" t="s">
        <v>880</v>
      </c>
      <c r="L119" t="s">
        <v>879</v>
      </c>
      <c r="M119" t="s">
        <v>58</v>
      </c>
      <c r="N119">
        <v>3</v>
      </c>
      <c r="O119" t="s">
        <v>878</v>
      </c>
      <c r="P119" t="s">
        <v>877</v>
      </c>
      <c r="Q119" t="s">
        <v>876</v>
      </c>
      <c r="R119" s="7">
        <v>31291</v>
      </c>
      <c r="S119" s="8">
        <f t="shared" si="8"/>
        <v>1985</v>
      </c>
      <c r="T119" s="8">
        <v>1985</v>
      </c>
      <c r="U119" s="8">
        <f t="shared" si="9"/>
        <v>37</v>
      </c>
      <c r="V119" s="7">
        <v>31291</v>
      </c>
      <c r="W119" t="s">
        <v>875</v>
      </c>
      <c r="X119" s="2" t="s">
        <v>4</v>
      </c>
      <c r="Y119" s="6" t="e">
        <f t="shared" si="10"/>
        <v>#VALUE!</v>
      </c>
      <c r="AA119">
        <v>3693554</v>
      </c>
      <c r="AB119">
        <v>29862</v>
      </c>
      <c r="AC119">
        <v>18269877</v>
      </c>
      <c r="AD119" t="s">
        <v>1</v>
      </c>
      <c r="AE119">
        <v>89</v>
      </c>
      <c r="AF119">
        <v>1</v>
      </c>
      <c r="AH119" t="s">
        <v>874</v>
      </c>
      <c r="AI119" t="s">
        <v>873</v>
      </c>
      <c r="AK119" t="s">
        <v>872</v>
      </c>
      <c r="AL119">
        <v>1</v>
      </c>
      <c r="AM119" s="5">
        <f t="shared" si="11"/>
        <v>2.7027027027027029E-2</v>
      </c>
      <c r="AN119" s="4">
        <f t="shared" si="12"/>
        <v>4.0934535444190883E-5</v>
      </c>
      <c r="AO119" s="3"/>
      <c r="AP119">
        <v>0</v>
      </c>
      <c r="AR119" t="s">
        <v>0</v>
      </c>
      <c r="AT119" s="2" t="s">
        <v>4</v>
      </c>
      <c r="AU119" s="1" t="e">
        <f t="shared" si="13"/>
        <v>#VALUE!</v>
      </c>
      <c r="AV119" s="1" t="e">
        <f t="shared" si="14"/>
        <v>#VALUE!</v>
      </c>
      <c r="AW119" s="1" t="e">
        <f t="shared" si="15"/>
        <v>#VALUE!</v>
      </c>
    </row>
    <row r="120" spans="1:49" x14ac:dyDescent="0.2">
      <c r="A120">
        <v>118</v>
      </c>
      <c r="B120" t="s">
        <v>871</v>
      </c>
      <c r="C120" t="s">
        <v>870</v>
      </c>
      <c r="E120">
        <v>3837102</v>
      </c>
      <c r="F120" t="s">
        <v>869</v>
      </c>
      <c r="G120" t="s">
        <v>3</v>
      </c>
      <c r="H120" t="s">
        <v>2</v>
      </c>
      <c r="I120" t="s">
        <v>868</v>
      </c>
      <c r="J120">
        <v>60028333</v>
      </c>
      <c r="K120" t="s">
        <v>107</v>
      </c>
      <c r="L120" t="s">
        <v>106</v>
      </c>
      <c r="M120" t="s">
        <v>8</v>
      </c>
      <c r="N120">
        <v>3</v>
      </c>
      <c r="O120" t="s">
        <v>867</v>
      </c>
      <c r="P120" t="s">
        <v>866</v>
      </c>
      <c r="Q120" t="s">
        <v>865</v>
      </c>
      <c r="R120" s="7">
        <v>31291</v>
      </c>
      <c r="S120" s="8">
        <f t="shared" si="8"/>
        <v>1985</v>
      </c>
      <c r="T120" s="8">
        <v>1985</v>
      </c>
      <c r="U120" s="8">
        <f t="shared" si="9"/>
        <v>37</v>
      </c>
      <c r="V120" s="7">
        <v>31291</v>
      </c>
      <c r="W120" t="s">
        <v>200</v>
      </c>
      <c r="X120" s="2">
        <v>0.8</v>
      </c>
      <c r="Y120" s="6">
        <f t="shared" si="10"/>
        <v>2.1355543098155415E-2</v>
      </c>
      <c r="AA120">
        <v>3407594</v>
      </c>
      <c r="AB120">
        <v>23456</v>
      </c>
      <c r="AC120">
        <v>14321351</v>
      </c>
      <c r="AD120" t="s">
        <v>1</v>
      </c>
      <c r="AE120">
        <v>157</v>
      </c>
      <c r="AF120">
        <v>5</v>
      </c>
      <c r="AH120" t="s">
        <v>864</v>
      </c>
      <c r="AI120" t="s">
        <v>863</v>
      </c>
      <c r="AK120" t="s">
        <v>862</v>
      </c>
      <c r="AL120">
        <v>50</v>
      </c>
      <c r="AM120" s="5">
        <f t="shared" si="11"/>
        <v>1.3513513513513513</v>
      </c>
      <c r="AN120" s="4">
        <f t="shared" si="12"/>
        <v>2.0467267722095437E-3</v>
      </c>
      <c r="AO120" s="3"/>
      <c r="AP120">
        <v>0</v>
      </c>
      <c r="AR120" t="s">
        <v>0</v>
      </c>
      <c r="AT120" s="2" t="s">
        <v>4</v>
      </c>
      <c r="AU120" s="1">
        <f t="shared" si="13"/>
        <v>1.5562898200371651</v>
      </c>
      <c r="AV120" s="1">
        <f t="shared" si="14"/>
        <v>1.170113493518248</v>
      </c>
      <c r="AW120" s="1">
        <f t="shared" si="15"/>
        <v>0.78393716699933047</v>
      </c>
    </row>
    <row r="121" spans="1:49" x14ac:dyDescent="0.2">
      <c r="A121">
        <v>119</v>
      </c>
      <c r="B121" t="s">
        <v>861</v>
      </c>
      <c r="C121" t="s">
        <v>860</v>
      </c>
      <c r="F121" t="s">
        <v>859</v>
      </c>
      <c r="G121" t="s">
        <v>3</v>
      </c>
      <c r="H121" t="s">
        <v>2</v>
      </c>
      <c r="I121" t="s">
        <v>858</v>
      </c>
      <c r="J121">
        <v>60020585</v>
      </c>
      <c r="K121" t="s">
        <v>857</v>
      </c>
      <c r="L121" t="s">
        <v>856</v>
      </c>
      <c r="M121" t="s">
        <v>70</v>
      </c>
      <c r="N121">
        <v>1</v>
      </c>
      <c r="O121" t="s">
        <v>855</v>
      </c>
      <c r="P121">
        <v>7404305042</v>
      </c>
      <c r="Q121">
        <v>60020585</v>
      </c>
      <c r="R121" s="7">
        <v>31291</v>
      </c>
      <c r="S121" s="8">
        <f t="shared" si="8"/>
        <v>1985</v>
      </c>
      <c r="T121" s="8">
        <v>1985</v>
      </c>
      <c r="U121" s="8">
        <f t="shared" si="9"/>
        <v>37</v>
      </c>
      <c r="V121" s="7">
        <v>31291</v>
      </c>
      <c r="W121" t="s">
        <v>854</v>
      </c>
      <c r="X121" s="2" t="s">
        <v>4</v>
      </c>
      <c r="Y121" s="6" t="e">
        <f t="shared" si="10"/>
        <v>#VALUE!</v>
      </c>
      <c r="AA121">
        <v>904996</v>
      </c>
      <c r="AB121">
        <v>37190</v>
      </c>
      <c r="AC121">
        <v>15325830</v>
      </c>
      <c r="AD121" t="s">
        <v>1</v>
      </c>
      <c r="AE121">
        <v>13</v>
      </c>
      <c r="AF121">
        <v>3</v>
      </c>
      <c r="AH121" t="s">
        <v>853</v>
      </c>
      <c r="AI121" t="s">
        <v>852</v>
      </c>
      <c r="AK121" t="s">
        <v>851</v>
      </c>
      <c r="AL121">
        <v>15</v>
      </c>
      <c r="AM121" s="5">
        <f t="shared" si="11"/>
        <v>0.40540540540540543</v>
      </c>
      <c r="AN121" s="4">
        <f t="shared" si="12"/>
        <v>6.1401803166286322E-4</v>
      </c>
      <c r="AO121" s="3"/>
      <c r="AP121">
        <v>1</v>
      </c>
      <c r="AR121" t="s">
        <v>0</v>
      </c>
      <c r="AT121" s="2" t="s">
        <v>4</v>
      </c>
      <c r="AU121" s="1" t="e">
        <f t="shared" si="13"/>
        <v>#VALUE!</v>
      </c>
      <c r="AV121" s="1" t="e">
        <f t="shared" si="14"/>
        <v>#VALUE!</v>
      </c>
      <c r="AW121" s="1" t="e">
        <f t="shared" si="15"/>
        <v>#VALUE!</v>
      </c>
    </row>
    <row r="122" spans="1:49" x14ac:dyDescent="0.2">
      <c r="A122">
        <v>120</v>
      </c>
      <c r="B122" t="s">
        <v>850</v>
      </c>
      <c r="F122" t="s">
        <v>849</v>
      </c>
      <c r="G122" t="s">
        <v>3</v>
      </c>
      <c r="H122" t="s">
        <v>2</v>
      </c>
      <c r="I122" t="s">
        <v>540</v>
      </c>
      <c r="J122">
        <v>60010491</v>
      </c>
      <c r="K122" t="s">
        <v>120</v>
      </c>
      <c r="L122" t="s">
        <v>119</v>
      </c>
      <c r="M122" t="s">
        <v>11</v>
      </c>
      <c r="N122">
        <v>1</v>
      </c>
      <c r="O122" t="s">
        <v>848</v>
      </c>
      <c r="P122">
        <v>7004961387</v>
      </c>
      <c r="Q122">
        <v>60010491</v>
      </c>
      <c r="R122" s="7">
        <v>31291</v>
      </c>
      <c r="S122" s="8">
        <f t="shared" si="8"/>
        <v>1985</v>
      </c>
      <c r="T122" s="8">
        <v>1985</v>
      </c>
      <c r="U122" s="8">
        <f t="shared" si="9"/>
        <v>37</v>
      </c>
      <c r="V122" s="7">
        <v>31291</v>
      </c>
      <c r="W122" t="s">
        <v>190</v>
      </c>
      <c r="X122" s="2">
        <v>0.54700000000000004</v>
      </c>
      <c r="Y122" s="6">
        <f t="shared" si="10"/>
        <v>1.4601852593363766E-2</v>
      </c>
      <c r="AA122">
        <v>11096</v>
      </c>
      <c r="AB122">
        <v>31211</v>
      </c>
      <c r="AD122" t="s">
        <v>1</v>
      </c>
      <c r="AE122">
        <v>39</v>
      </c>
      <c r="AF122">
        <v>5</v>
      </c>
      <c r="AH122" t="s">
        <v>847</v>
      </c>
      <c r="AI122" t="s">
        <v>846</v>
      </c>
      <c r="AK122" t="s">
        <v>845</v>
      </c>
      <c r="AL122">
        <v>83</v>
      </c>
      <c r="AM122" s="5">
        <f t="shared" si="11"/>
        <v>2.2432432432432434</v>
      </c>
      <c r="AN122" s="4">
        <f t="shared" si="12"/>
        <v>3.397566441867843E-3</v>
      </c>
      <c r="AO122" s="3"/>
      <c r="AP122">
        <v>0</v>
      </c>
      <c r="AR122" t="s">
        <v>0</v>
      </c>
      <c r="AT122" s="2" t="s">
        <v>4</v>
      </c>
      <c r="AU122" s="1">
        <f t="shared" si="13"/>
        <v>1.1240566747914988</v>
      </c>
      <c r="AV122" s="1">
        <f t="shared" si="14"/>
        <v>0.89997095176158037</v>
      </c>
      <c r="AW122" s="1">
        <f t="shared" si="15"/>
        <v>0.6758852287316619</v>
      </c>
    </row>
    <row r="123" spans="1:49" x14ac:dyDescent="0.2">
      <c r="A123">
        <v>121</v>
      </c>
      <c r="B123" t="s">
        <v>844</v>
      </c>
      <c r="C123" t="s">
        <v>843</v>
      </c>
      <c r="F123" t="s">
        <v>842</v>
      </c>
      <c r="G123" t="s">
        <v>3</v>
      </c>
      <c r="H123" t="s">
        <v>2</v>
      </c>
      <c r="I123" t="s">
        <v>841</v>
      </c>
      <c r="J123">
        <v>60102127</v>
      </c>
      <c r="K123" t="s">
        <v>840</v>
      </c>
      <c r="L123" t="s">
        <v>62</v>
      </c>
      <c r="M123" t="s">
        <v>19</v>
      </c>
      <c r="N123">
        <v>2</v>
      </c>
      <c r="O123" t="s">
        <v>839</v>
      </c>
      <c r="P123" t="s">
        <v>838</v>
      </c>
      <c r="Q123" t="s">
        <v>837</v>
      </c>
      <c r="R123" s="7">
        <v>31291</v>
      </c>
      <c r="S123" s="8">
        <f t="shared" si="8"/>
        <v>1985</v>
      </c>
      <c r="T123" s="8">
        <v>1985</v>
      </c>
      <c r="U123" s="8">
        <f t="shared" si="9"/>
        <v>37</v>
      </c>
      <c r="V123" s="7">
        <v>31291</v>
      </c>
      <c r="W123" t="s">
        <v>173</v>
      </c>
      <c r="X123" s="2">
        <v>0.61499999999999999</v>
      </c>
      <c r="Y123" s="6">
        <f t="shared" si="10"/>
        <v>1.6417073756706976E-2</v>
      </c>
      <c r="AA123">
        <v>1959271</v>
      </c>
      <c r="AB123">
        <v>12141</v>
      </c>
      <c r="AC123">
        <v>15729559</v>
      </c>
      <c r="AD123" t="s">
        <v>1</v>
      </c>
      <c r="AE123">
        <v>6</v>
      </c>
      <c r="AF123">
        <v>9</v>
      </c>
      <c r="AH123" t="s">
        <v>836</v>
      </c>
      <c r="AI123" t="s">
        <v>835</v>
      </c>
      <c r="AJ123" t="s">
        <v>834</v>
      </c>
      <c r="AK123" t="s">
        <v>833</v>
      </c>
      <c r="AL123">
        <v>11</v>
      </c>
      <c r="AM123" s="5">
        <f t="shared" si="11"/>
        <v>0.29729729729729731</v>
      </c>
      <c r="AN123" s="4">
        <f t="shared" si="12"/>
        <v>4.5027988988609969E-4</v>
      </c>
      <c r="AO123" s="3"/>
      <c r="AP123">
        <v>0</v>
      </c>
      <c r="AR123" t="s">
        <v>0</v>
      </c>
      <c r="AT123" s="2" t="s">
        <v>4</v>
      </c>
      <c r="AU123" s="1">
        <f t="shared" si="13"/>
        <v>1.1627035596660711</v>
      </c>
      <c r="AV123" s="1">
        <f t="shared" si="14"/>
        <v>0.84336768232965376</v>
      </c>
      <c r="AW123" s="1">
        <f t="shared" si="15"/>
        <v>0.52403180499323621</v>
      </c>
    </row>
    <row r="124" spans="1:49" x14ac:dyDescent="0.2">
      <c r="A124">
        <v>122</v>
      </c>
      <c r="B124" t="s">
        <v>832</v>
      </c>
      <c r="F124" t="s">
        <v>831</v>
      </c>
      <c r="G124" t="s">
        <v>3</v>
      </c>
      <c r="H124" t="s">
        <v>2</v>
      </c>
      <c r="I124" t="s">
        <v>830</v>
      </c>
      <c r="N124">
        <v>2</v>
      </c>
      <c r="O124" t="s">
        <v>829</v>
      </c>
      <c r="P124" t="s">
        <v>828</v>
      </c>
      <c r="Q124" t="s">
        <v>48</v>
      </c>
      <c r="R124" s="7">
        <v>31291</v>
      </c>
      <c r="S124" s="8">
        <f t="shared" si="8"/>
        <v>1985</v>
      </c>
      <c r="T124" s="8">
        <v>1985</v>
      </c>
      <c r="U124" s="8">
        <f t="shared" si="9"/>
        <v>37</v>
      </c>
      <c r="V124" s="7">
        <v>31291</v>
      </c>
      <c r="W124" t="s">
        <v>827</v>
      </c>
      <c r="X124" s="2" t="s">
        <v>4</v>
      </c>
      <c r="Y124" s="6" t="e">
        <f t="shared" si="10"/>
        <v>#VALUE!</v>
      </c>
      <c r="AA124">
        <v>367184</v>
      </c>
      <c r="AB124">
        <v>31490</v>
      </c>
      <c r="AD124" t="s">
        <v>1</v>
      </c>
      <c r="AE124">
        <v>37</v>
      </c>
      <c r="AF124">
        <v>9</v>
      </c>
      <c r="AI124" t="s">
        <v>826</v>
      </c>
      <c r="AK124" t="s">
        <v>825</v>
      </c>
      <c r="AL124">
        <v>0</v>
      </c>
      <c r="AM124" s="5">
        <f t="shared" si="11"/>
        <v>0</v>
      </c>
      <c r="AN124" s="4">
        <f t="shared" si="12"/>
        <v>0</v>
      </c>
      <c r="AO124" s="3"/>
      <c r="AP124">
        <v>0</v>
      </c>
      <c r="AR124" t="s">
        <v>0</v>
      </c>
      <c r="AT124" s="2" t="s">
        <v>4</v>
      </c>
      <c r="AU124" s="1" t="e">
        <f t="shared" si="13"/>
        <v>#VALUE!</v>
      </c>
      <c r="AV124" s="1" t="e">
        <f t="shared" si="14"/>
        <v>#VALUE!</v>
      </c>
      <c r="AW124" s="1" t="e">
        <f t="shared" si="15"/>
        <v>#VALUE!</v>
      </c>
    </row>
    <row r="125" spans="1:49" x14ac:dyDescent="0.2">
      <c r="A125">
        <v>123</v>
      </c>
      <c r="B125" t="s">
        <v>824</v>
      </c>
      <c r="F125" t="s">
        <v>823</v>
      </c>
      <c r="G125" t="s">
        <v>3</v>
      </c>
      <c r="H125" t="s">
        <v>2</v>
      </c>
      <c r="I125" t="s">
        <v>822</v>
      </c>
      <c r="J125">
        <v>60194543</v>
      </c>
      <c r="K125" t="s">
        <v>821</v>
      </c>
      <c r="L125" t="s">
        <v>820</v>
      </c>
      <c r="M125" t="s">
        <v>35</v>
      </c>
      <c r="N125">
        <v>2</v>
      </c>
      <c r="O125" t="s">
        <v>819</v>
      </c>
      <c r="P125" t="s">
        <v>818</v>
      </c>
      <c r="Q125" t="s">
        <v>817</v>
      </c>
      <c r="R125" s="7">
        <v>31291</v>
      </c>
      <c r="S125" s="8">
        <f t="shared" si="8"/>
        <v>1985</v>
      </c>
      <c r="T125" s="8">
        <v>1985</v>
      </c>
      <c r="U125" s="8">
        <f t="shared" si="9"/>
        <v>37</v>
      </c>
      <c r="V125" s="7">
        <v>31291</v>
      </c>
      <c r="W125" t="s">
        <v>178</v>
      </c>
      <c r="X125" s="2" t="s">
        <v>4</v>
      </c>
      <c r="Y125" s="6" t="e">
        <f t="shared" si="10"/>
        <v>#VALUE!</v>
      </c>
      <c r="AA125" t="s">
        <v>177</v>
      </c>
      <c r="AB125">
        <v>30906</v>
      </c>
      <c r="AD125" t="s">
        <v>1</v>
      </c>
      <c r="AE125" t="s">
        <v>176</v>
      </c>
      <c r="AF125">
        <v>9</v>
      </c>
      <c r="AH125" t="s">
        <v>816</v>
      </c>
      <c r="AI125" t="s">
        <v>815</v>
      </c>
      <c r="AK125" t="s">
        <v>814</v>
      </c>
      <c r="AL125">
        <v>0</v>
      </c>
      <c r="AM125" s="5">
        <f t="shared" si="11"/>
        <v>0</v>
      </c>
      <c r="AN125" s="4">
        <f t="shared" si="12"/>
        <v>0</v>
      </c>
      <c r="AO125" s="3"/>
      <c r="AP125">
        <v>0</v>
      </c>
      <c r="AR125" t="s">
        <v>0</v>
      </c>
      <c r="AT125" s="2" t="s">
        <v>4</v>
      </c>
      <c r="AU125" s="1" t="e">
        <f t="shared" si="13"/>
        <v>#VALUE!</v>
      </c>
      <c r="AV125" s="1" t="e">
        <f t="shared" si="14"/>
        <v>#VALUE!</v>
      </c>
      <c r="AW125" s="1" t="e">
        <f t="shared" si="15"/>
        <v>#VALUE!</v>
      </c>
    </row>
    <row r="126" spans="1:49" x14ac:dyDescent="0.2">
      <c r="A126">
        <v>124</v>
      </c>
      <c r="B126" t="s">
        <v>813</v>
      </c>
      <c r="F126" t="s">
        <v>812</v>
      </c>
      <c r="G126" t="s">
        <v>3</v>
      </c>
      <c r="H126" t="s">
        <v>2</v>
      </c>
      <c r="I126" t="s">
        <v>811</v>
      </c>
      <c r="J126">
        <v>60007716</v>
      </c>
      <c r="K126" t="s">
        <v>44</v>
      </c>
      <c r="L126" t="s">
        <v>43</v>
      </c>
      <c r="M126" t="s">
        <v>19</v>
      </c>
      <c r="N126">
        <v>2</v>
      </c>
      <c r="O126" t="s">
        <v>810</v>
      </c>
      <c r="P126" t="s">
        <v>809</v>
      </c>
      <c r="Q126" t="s">
        <v>42</v>
      </c>
      <c r="R126" s="7">
        <v>31291</v>
      </c>
      <c r="S126" s="8">
        <f t="shared" si="8"/>
        <v>1985</v>
      </c>
      <c r="T126" s="8">
        <v>1985</v>
      </c>
      <c r="U126" s="8">
        <f t="shared" si="9"/>
        <v>37</v>
      </c>
      <c r="V126" s="7">
        <v>31291</v>
      </c>
      <c r="W126" t="s">
        <v>808</v>
      </c>
      <c r="X126" s="2" t="s">
        <v>4</v>
      </c>
      <c r="Y126" s="6" t="e">
        <f t="shared" si="10"/>
        <v>#VALUE!</v>
      </c>
      <c r="AA126">
        <v>336831</v>
      </c>
      <c r="AB126">
        <v>33098</v>
      </c>
      <c r="AD126" t="s">
        <v>1</v>
      </c>
      <c r="AE126">
        <v>46</v>
      </c>
      <c r="AF126">
        <v>3</v>
      </c>
      <c r="AH126" t="s">
        <v>807</v>
      </c>
      <c r="AI126" t="s">
        <v>806</v>
      </c>
      <c r="AK126" t="s">
        <v>805</v>
      </c>
      <c r="AL126">
        <v>2</v>
      </c>
      <c r="AM126" s="5">
        <f t="shared" si="11"/>
        <v>5.4054054054054057E-2</v>
      </c>
      <c r="AN126" s="4">
        <f t="shared" si="12"/>
        <v>8.1869070888381765E-5</v>
      </c>
      <c r="AO126" s="3"/>
      <c r="AP126">
        <v>0</v>
      </c>
      <c r="AR126" t="s">
        <v>0</v>
      </c>
      <c r="AT126" s="2" t="s">
        <v>4</v>
      </c>
      <c r="AU126" s="1" t="e">
        <f t="shared" si="13"/>
        <v>#VALUE!</v>
      </c>
      <c r="AV126" s="1" t="e">
        <f t="shared" si="14"/>
        <v>#VALUE!</v>
      </c>
      <c r="AW126" s="1" t="e">
        <f t="shared" si="15"/>
        <v>#VALUE!</v>
      </c>
    </row>
    <row r="127" spans="1:49" x14ac:dyDescent="0.2">
      <c r="A127">
        <v>125</v>
      </c>
      <c r="B127" t="s">
        <v>804</v>
      </c>
      <c r="F127" t="s">
        <v>803</v>
      </c>
      <c r="G127" t="s">
        <v>3</v>
      </c>
      <c r="H127" t="s">
        <v>2</v>
      </c>
      <c r="I127" t="s">
        <v>802</v>
      </c>
      <c r="J127">
        <v>100331444</v>
      </c>
      <c r="K127" t="s">
        <v>801</v>
      </c>
      <c r="L127" t="s">
        <v>800</v>
      </c>
      <c r="M127" t="s">
        <v>11</v>
      </c>
      <c r="N127">
        <v>1</v>
      </c>
      <c r="O127" t="s">
        <v>799</v>
      </c>
      <c r="P127">
        <v>7102447835</v>
      </c>
      <c r="Q127">
        <v>100331444</v>
      </c>
      <c r="R127" s="7">
        <v>31291</v>
      </c>
      <c r="S127" s="8">
        <f t="shared" si="8"/>
        <v>1985</v>
      </c>
      <c r="T127" s="8">
        <v>1985</v>
      </c>
      <c r="U127" s="8">
        <f t="shared" si="9"/>
        <v>37</v>
      </c>
      <c r="V127" s="7">
        <v>31291</v>
      </c>
      <c r="W127" t="s">
        <v>169</v>
      </c>
      <c r="X127" s="2">
        <v>0.10100000000000001</v>
      </c>
      <c r="Y127" s="6">
        <f t="shared" si="10"/>
        <v>2.6961373161421215E-3</v>
      </c>
      <c r="AA127">
        <v>7452993</v>
      </c>
      <c r="AB127">
        <v>18563</v>
      </c>
      <c r="AD127" t="s">
        <v>1</v>
      </c>
      <c r="AE127">
        <v>24</v>
      </c>
      <c r="AF127">
        <v>9</v>
      </c>
      <c r="AH127" t="s">
        <v>798</v>
      </c>
      <c r="AI127" t="s">
        <v>797</v>
      </c>
      <c r="AK127" t="s">
        <v>796</v>
      </c>
      <c r="AL127">
        <v>0</v>
      </c>
      <c r="AM127" s="5">
        <f t="shared" si="11"/>
        <v>0</v>
      </c>
      <c r="AN127" s="4">
        <f t="shared" si="12"/>
        <v>0</v>
      </c>
      <c r="AO127" s="3"/>
      <c r="AP127">
        <v>0</v>
      </c>
      <c r="AR127" t="s">
        <v>0</v>
      </c>
      <c r="AT127" s="2" t="s">
        <v>4</v>
      </c>
      <c r="AU127" s="1">
        <f t="shared" si="13"/>
        <v>0.18872961212994849</v>
      </c>
      <c r="AV127" s="1">
        <f t="shared" si="14"/>
        <v>0.13480686580710607</v>
      </c>
      <c r="AW127" s="1">
        <f t="shared" si="15"/>
        <v>8.0884119484263647E-2</v>
      </c>
    </row>
    <row r="128" spans="1:49" x14ac:dyDescent="0.2">
      <c r="A128">
        <v>126</v>
      </c>
      <c r="B128" t="s">
        <v>795</v>
      </c>
      <c r="E128">
        <v>12340542</v>
      </c>
      <c r="F128" t="s">
        <v>794</v>
      </c>
      <c r="G128" t="s">
        <v>3</v>
      </c>
      <c r="H128" t="s">
        <v>2</v>
      </c>
      <c r="I128" t="s">
        <v>793</v>
      </c>
      <c r="N128">
        <v>3</v>
      </c>
      <c r="O128" t="s">
        <v>792</v>
      </c>
      <c r="P128" t="s">
        <v>791</v>
      </c>
      <c r="Q128" t="s">
        <v>25</v>
      </c>
      <c r="R128" s="7">
        <v>31291</v>
      </c>
      <c r="S128" s="8">
        <f t="shared" si="8"/>
        <v>1985</v>
      </c>
      <c r="T128" s="8">
        <v>1985</v>
      </c>
      <c r="U128" s="8">
        <f t="shared" si="9"/>
        <v>37</v>
      </c>
      <c r="V128" s="7">
        <v>31291</v>
      </c>
      <c r="W128" t="s">
        <v>790</v>
      </c>
      <c r="X128" s="2" t="s">
        <v>4</v>
      </c>
      <c r="Y128" s="6" t="e">
        <f t="shared" si="10"/>
        <v>#VALUE!</v>
      </c>
      <c r="AA128">
        <v>1921312</v>
      </c>
      <c r="AB128">
        <v>94706</v>
      </c>
      <c r="AD128" t="s">
        <v>1</v>
      </c>
      <c r="AF128">
        <v>51</v>
      </c>
      <c r="AI128" t="s">
        <v>789</v>
      </c>
      <c r="AK128" t="s">
        <v>788</v>
      </c>
      <c r="AL128">
        <v>1</v>
      </c>
      <c r="AM128" s="5">
        <f t="shared" si="11"/>
        <v>2.7027027027027029E-2</v>
      </c>
      <c r="AN128" s="4">
        <f t="shared" si="12"/>
        <v>4.0934535444190883E-5</v>
      </c>
      <c r="AO128" s="3"/>
      <c r="AP128">
        <v>0</v>
      </c>
      <c r="AR128" t="s">
        <v>0</v>
      </c>
      <c r="AT128" s="2" t="s">
        <v>4</v>
      </c>
      <c r="AU128" s="1" t="e">
        <f t="shared" si="13"/>
        <v>#VALUE!</v>
      </c>
      <c r="AV128" s="1" t="e">
        <f t="shared" si="14"/>
        <v>#VALUE!</v>
      </c>
      <c r="AW128" s="1" t="e">
        <f t="shared" si="15"/>
        <v>#VALUE!</v>
      </c>
    </row>
    <row r="129" spans="1:49" x14ac:dyDescent="0.2">
      <c r="A129">
        <v>127</v>
      </c>
      <c r="B129" t="s">
        <v>787</v>
      </c>
      <c r="F129" t="s">
        <v>786</v>
      </c>
      <c r="G129" t="s">
        <v>3</v>
      </c>
      <c r="H129" t="s">
        <v>2</v>
      </c>
      <c r="I129" t="s">
        <v>785</v>
      </c>
      <c r="N129">
        <v>3</v>
      </c>
      <c r="O129" t="s">
        <v>784</v>
      </c>
      <c r="P129" t="s">
        <v>783</v>
      </c>
      <c r="Q129" t="s">
        <v>25</v>
      </c>
      <c r="R129" s="7">
        <v>31291</v>
      </c>
      <c r="S129" s="8">
        <f t="shared" si="8"/>
        <v>1985</v>
      </c>
      <c r="T129" s="8">
        <v>1985</v>
      </c>
      <c r="U129" s="8">
        <f t="shared" si="9"/>
        <v>37</v>
      </c>
      <c r="V129" s="7">
        <v>31291</v>
      </c>
      <c r="W129" t="s">
        <v>482</v>
      </c>
      <c r="X129" s="2" t="s">
        <v>4</v>
      </c>
      <c r="Y129" s="6" t="e">
        <f t="shared" si="10"/>
        <v>#VALUE!</v>
      </c>
      <c r="AA129">
        <v>87566648</v>
      </c>
      <c r="AB129">
        <v>74127</v>
      </c>
      <c r="AD129" t="s">
        <v>1</v>
      </c>
      <c r="AE129">
        <v>30</v>
      </c>
      <c r="AF129">
        <v>9</v>
      </c>
      <c r="AH129" t="s">
        <v>782</v>
      </c>
      <c r="AI129" t="s">
        <v>781</v>
      </c>
      <c r="AK129" t="s">
        <v>780</v>
      </c>
      <c r="AL129">
        <v>0</v>
      </c>
      <c r="AM129" s="5">
        <f t="shared" si="11"/>
        <v>0</v>
      </c>
      <c r="AN129" s="4">
        <f t="shared" si="12"/>
        <v>0</v>
      </c>
      <c r="AO129" s="3"/>
      <c r="AP129">
        <v>0</v>
      </c>
      <c r="AR129" t="s">
        <v>0</v>
      </c>
      <c r="AT129" s="2" t="s">
        <v>4</v>
      </c>
      <c r="AU129" s="1" t="e">
        <f t="shared" si="13"/>
        <v>#VALUE!</v>
      </c>
      <c r="AV129" s="1" t="e">
        <f t="shared" si="14"/>
        <v>#VALUE!</v>
      </c>
      <c r="AW129" s="1" t="e">
        <f t="shared" si="15"/>
        <v>#VALUE!</v>
      </c>
    </row>
    <row r="130" spans="1:49" x14ac:dyDescent="0.2">
      <c r="A130">
        <v>128</v>
      </c>
      <c r="B130" t="s">
        <v>779</v>
      </c>
      <c r="F130" t="s">
        <v>778</v>
      </c>
      <c r="G130" t="s">
        <v>3</v>
      </c>
      <c r="H130" t="s">
        <v>2</v>
      </c>
      <c r="I130" t="s">
        <v>777</v>
      </c>
      <c r="N130">
        <v>3</v>
      </c>
      <c r="O130" t="s">
        <v>776</v>
      </c>
      <c r="P130" t="s">
        <v>775</v>
      </c>
      <c r="Q130" t="s">
        <v>25</v>
      </c>
      <c r="R130" s="7">
        <v>31291</v>
      </c>
      <c r="S130" s="8">
        <f t="shared" ref="S130:S189" si="16">YEAR(R130)</f>
        <v>1985</v>
      </c>
      <c r="T130" s="8">
        <v>1985</v>
      </c>
      <c r="U130" s="8">
        <f t="shared" ref="U130:U189" si="17">2022-T130</f>
        <v>37</v>
      </c>
      <c r="V130" s="7">
        <v>31291</v>
      </c>
      <c r="W130" t="s">
        <v>482</v>
      </c>
      <c r="X130" s="2" t="s">
        <v>4</v>
      </c>
      <c r="Y130" s="6" t="e">
        <f t="shared" ref="Y130:Y189" si="18">(X130-$Z$4)/($Z$3-$Z$4)</f>
        <v>#VALUE!</v>
      </c>
      <c r="AA130">
        <v>87566648</v>
      </c>
      <c r="AB130">
        <v>74127</v>
      </c>
      <c r="AD130" t="s">
        <v>1</v>
      </c>
      <c r="AE130">
        <v>30</v>
      </c>
      <c r="AF130">
        <v>9</v>
      </c>
      <c r="AH130" t="s">
        <v>774</v>
      </c>
      <c r="AI130" t="s">
        <v>773</v>
      </c>
      <c r="AK130" t="s">
        <v>772</v>
      </c>
      <c r="AL130">
        <v>0</v>
      </c>
      <c r="AM130" s="5">
        <f t="shared" ref="AM130:AM189" si="19">AL130/U130</f>
        <v>0</v>
      </c>
      <c r="AN130" s="4">
        <f t="shared" ref="AN130:AN189" si="20">(AM130-$AO$4)/($AO$3-$AO$4)</f>
        <v>0</v>
      </c>
      <c r="AO130" s="3"/>
      <c r="AP130">
        <v>0</v>
      </c>
      <c r="AR130" t="s">
        <v>0</v>
      </c>
      <c r="AT130" s="2" t="s">
        <v>4</v>
      </c>
      <c r="AU130" s="1" t="e">
        <f t="shared" ref="AU130:AU189" si="21">(Y130*0.7+AN130*0.3)*100</f>
        <v>#VALUE!</v>
      </c>
      <c r="AV130" s="1" t="e">
        <f t="shared" ref="AV130:AV189" si="22">(Y130*0.5+AN130*0.5)*100</f>
        <v>#VALUE!</v>
      </c>
      <c r="AW130" s="1" t="e">
        <f t="shared" ref="AW130:AW189" si="23">(Y130*0.3+AN130*0.7)*100</f>
        <v>#VALUE!</v>
      </c>
    </row>
    <row r="131" spans="1:49" x14ac:dyDescent="0.2">
      <c r="A131">
        <v>129</v>
      </c>
      <c r="B131" t="s">
        <v>771</v>
      </c>
      <c r="F131" t="s">
        <v>770</v>
      </c>
      <c r="G131" t="s">
        <v>3</v>
      </c>
      <c r="H131" t="s">
        <v>2</v>
      </c>
      <c r="I131" t="s">
        <v>769</v>
      </c>
      <c r="J131">
        <v>60030784</v>
      </c>
      <c r="K131" t="s">
        <v>768</v>
      </c>
      <c r="L131" t="s">
        <v>60</v>
      </c>
      <c r="M131" t="s">
        <v>32</v>
      </c>
      <c r="N131">
        <v>1</v>
      </c>
      <c r="O131" t="s">
        <v>767</v>
      </c>
      <c r="P131">
        <v>7801617623</v>
      </c>
      <c r="Q131">
        <v>60030784</v>
      </c>
      <c r="R131" s="7">
        <v>31291</v>
      </c>
      <c r="S131" s="8">
        <f t="shared" si="16"/>
        <v>1985</v>
      </c>
      <c r="T131" s="8">
        <v>1985</v>
      </c>
      <c r="U131" s="8">
        <f t="shared" si="17"/>
        <v>37</v>
      </c>
      <c r="V131" s="7">
        <v>31291</v>
      </c>
      <c r="W131" t="s">
        <v>207</v>
      </c>
      <c r="X131" s="2" t="s">
        <v>4</v>
      </c>
      <c r="Y131" s="6" t="e">
        <f t="shared" si="18"/>
        <v>#VALUE!</v>
      </c>
      <c r="AA131">
        <v>3084213</v>
      </c>
      <c r="AB131">
        <v>39048</v>
      </c>
      <c r="AD131" t="s">
        <v>1</v>
      </c>
      <c r="AE131">
        <v>13</v>
      </c>
      <c r="AF131">
        <v>2</v>
      </c>
      <c r="AH131" t="s">
        <v>195</v>
      </c>
      <c r="AI131" t="s">
        <v>766</v>
      </c>
      <c r="AK131" t="s">
        <v>765</v>
      </c>
      <c r="AL131">
        <v>0</v>
      </c>
      <c r="AM131" s="5">
        <f t="shared" si="19"/>
        <v>0</v>
      </c>
      <c r="AN131" s="4">
        <f t="shared" si="20"/>
        <v>0</v>
      </c>
      <c r="AO131" s="3"/>
      <c r="AP131">
        <v>0</v>
      </c>
      <c r="AR131" t="s">
        <v>0</v>
      </c>
      <c r="AT131" s="2" t="s">
        <v>4</v>
      </c>
      <c r="AU131" s="1" t="e">
        <f t="shared" si="21"/>
        <v>#VALUE!</v>
      </c>
      <c r="AV131" s="1" t="e">
        <f t="shared" si="22"/>
        <v>#VALUE!</v>
      </c>
      <c r="AW131" s="1" t="e">
        <f t="shared" si="23"/>
        <v>#VALUE!</v>
      </c>
    </row>
    <row r="132" spans="1:49" x14ac:dyDescent="0.2">
      <c r="A132">
        <v>130</v>
      </c>
      <c r="B132" t="s">
        <v>764</v>
      </c>
      <c r="F132" t="s">
        <v>763</v>
      </c>
      <c r="G132" t="s">
        <v>3</v>
      </c>
      <c r="H132" t="s">
        <v>2</v>
      </c>
      <c r="I132" t="s">
        <v>762</v>
      </c>
      <c r="N132">
        <v>4</v>
      </c>
      <c r="O132" t="s">
        <v>761</v>
      </c>
      <c r="P132" t="s">
        <v>760</v>
      </c>
      <c r="Q132" t="s">
        <v>30</v>
      </c>
      <c r="R132" s="7">
        <v>31291</v>
      </c>
      <c r="S132" s="8">
        <f t="shared" si="16"/>
        <v>1985</v>
      </c>
      <c r="T132" s="8">
        <v>1985</v>
      </c>
      <c r="U132" s="8">
        <f t="shared" si="17"/>
        <v>37</v>
      </c>
      <c r="V132" s="7">
        <v>31291</v>
      </c>
      <c r="W132" t="s">
        <v>482</v>
      </c>
      <c r="X132" s="2" t="s">
        <v>4</v>
      </c>
      <c r="Y132" s="6" t="e">
        <f t="shared" si="18"/>
        <v>#VALUE!</v>
      </c>
      <c r="AA132">
        <v>87566648</v>
      </c>
      <c r="AB132">
        <v>74127</v>
      </c>
      <c r="AD132" t="s">
        <v>1</v>
      </c>
      <c r="AE132">
        <v>30</v>
      </c>
      <c r="AF132">
        <v>9</v>
      </c>
      <c r="AH132" t="s">
        <v>759</v>
      </c>
      <c r="AI132" t="s">
        <v>758</v>
      </c>
      <c r="AK132" t="s">
        <v>757</v>
      </c>
      <c r="AL132">
        <v>0</v>
      </c>
      <c r="AM132" s="5">
        <f t="shared" si="19"/>
        <v>0</v>
      </c>
      <c r="AN132" s="4">
        <f t="shared" si="20"/>
        <v>0</v>
      </c>
      <c r="AO132" s="3"/>
      <c r="AP132">
        <v>0</v>
      </c>
      <c r="AR132" t="s">
        <v>0</v>
      </c>
      <c r="AT132" s="2" t="s">
        <v>4</v>
      </c>
      <c r="AU132" s="1" t="e">
        <f t="shared" si="21"/>
        <v>#VALUE!</v>
      </c>
      <c r="AV132" s="1" t="e">
        <f t="shared" si="22"/>
        <v>#VALUE!</v>
      </c>
      <c r="AW132" s="1" t="e">
        <f t="shared" si="23"/>
        <v>#VALUE!</v>
      </c>
    </row>
    <row r="133" spans="1:49" x14ac:dyDescent="0.2">
      <c r="A133">
        <v>131</v>
      </c>
      <c r="B133" t="s">
        <v>756</v>
      </c>
      <c r="F133" t="s">
        <v>755</v>
      </c>
      <c r="G133" t="s">
        <v>3</v>
      </c>
      <c r="H133" t="s">
        <v>2</v>
      </c>
      <c r="I133" t="s">
        <v>754</v>
      </c>
      <c r="J133">
        <v>60031624</v>
      </c>
      <c r="K133" t="s">
        <v>753</v>
      </c>
      <c r="L133" t="s">
        <v>752</v>
      </c>
      <c r="M133" t="s">
        <v>20</v>
      </c>
      <c r="N133">
        <v>3</v>
      </c>
      <c r="O133" t="s">
        <v>751</v>
      </c>
      <c r="P133" t="s">
        <v>750</v>
      </c>
      <c r="Q133" t="s">
        <v>749</v>
      </c>
      <c r="R133" s="7">
        <v>31291</v>
      </c>
      <c r="S133" s="8">
        <f t="shared" si="16"/>
        <v>1985</v>
      </c>
      <c r="T133" s="8">
        <v>1985</v>
      </c>
      <c r="U133" s="8">
        <f t="shared" si="17"/>
        <v>37</v>
      </c>
      <c r="V133" s="7">
        <v>31291</v>
      </c>
      <c r="W133" t="s">
        <v>203</v>
      </c>
      <c r="X133" s="2">
        <v>0.125</v>
      </c>
      <c r="Y133" s="6">
        <f t="shared" si="18"/>
        <v>3.3368036090867838E-3</v>
      </c>
      <c r="AA133">
        <v>26557</v>
      </c>
      <c r="AB133">
        <v>40401</v>
      </c>
      <c r="AD133" t="s">
        <v>1</v>
      </c>
      <c r="AE133">
        <v>54</v>
      </c>
      <c r="AF133">
        <v>5</v>
      </c>
      <c r="AH133" t="s">
        <v>748</v>
      </c>
      <c r="AI133" t="s">
        <v>747</v>
      </c>
      <c r="AK133" t="s">
        <v>746</v>
      </c>
      <c r="AL133">
        <v>3</v>
      </c>
      <c r="AM133" s="5">
        <f t="shared" si="19"/>
        <v>8.1081081081081086E-2</v>
      </c>
      <c r="AN133" s="4">
        <f t="shared" si="20"/>
        <v>1.2280360633257263E-4</v>
      </c>
      <c r="AO133" s="3"/>
      <c r="AP133">
        <v>0</v>
      </c>
      <c r="AR133" t="s">
        <v>0</v>
      </c>
      <c r="AT133" s="2" t="s">
        <v>4</v>
      </c>
      <c r="AU133" s="1">
        <f t="shared" si="21"/>
        <v>0.23726036082605201</v>
      </c>
      <c r="AV133" s="1">
        <f t="shared" si="22"/>
        <v>0.17298036077096782</v>
      </c>
      <c r="AW133" s="1">
        <f t="shared" si="23"/>
        <v>0.10870036071588358</v>
      </c>
    </row>
    <row r="134" spans="1:49" x14ac:dyDescent="0.2">
      <c r="A134">
        <v>132</v>
      </c>
      <c r="B134" t="s">
        <v>745</v>
      </c>
      <c r="F134" t="s">
        <v>744</v>
      </c>
      <c r="G134" t="s">
        <v>3</v>
      </c>
      <c r="H134" t="s">
        <v>2</v>
      </c>
      <c r="I134" t="s">
        <v>743</v>
      </c>
      <c r="N134">
        <v>3</v>
      </c>
      <c r="O134" t="s">
        <v>742</v>
      </c>
      <c r="P134" t="s">
        <v>741</v>
      </c>
      <c r="Q134" t="s">
        <v>25</v>
      </c>
      <c r="R134" s="7">
        <v>31291</v>
      </c>
      <c r="S134" s="8">
        <f t="shared" si="16"/>
        <v>1985</v>
      </c>
      <c r="T134" s="8">
        <v>1985</v>
      </c>
      <c r="U134" s="8">
        <f t="shared" si="17"/>
        <v>37</v>
      </c>
      <c r="V134" s="7">
        <v>31291</v>
      </c>
      <c r="W134" t="s">
        <v>482</v>
      </c>
      <c r="X134" s="2" t="s">
        <v>4</v>
      </c>
      <c r="Y134" s="6" t="e">
        <f t="shared" si="18"/>
        <v>#VALUE!</v>
      </c>
      <c r="AA134">
        <v>87566648</v>
      </c>
      <c r="AB134">
        <v>74127</v>
      </c>
      <c r="AD134" t="s">
        <v>1</v>
      </c>
      <c r="AE134">
        <v>30</v>
      </c>
      <c r="AF134">
        <v>9</v>
      </c>
      <c r="AH134" t="s">
        <v>740</v>
      </c>
      <c r="AI134" t="s">
        <v>739</v>
      </c>
      <c r="AK134" t="s">
        <v>738</v>
      </c>
      <c r="AL134">
        <v>0</v>
      </c>
      <c r="AM134" s="5">
        <f t="shared" si="19"/>
        <v>0</v>
      </c>
      <c r="AN134" s="4">
        <f t="shared" si="20"/>
        <v>0</v>
      </c>
      <c r="AO134" s="3"/>
      <c r="AP134">
        <v>0</v>
      </c>
      <c r="AR134" t="s">
        <v>0</v>
      </c>
      <c r="AT134" s="2" t="s">
        <v>4</v>
      </c>
      <c r="AU134" s="1" t="e">
        <f t="shared" si="21"/>
        <v>#VALUE!</v>
      </c>
      <c r="AV134" s="1" t="e">
        <f t="shared" si="22"/>
        <v>#VALUE!</v>
      </c>
      <c r="AW134" s="1" t="e">
        <f t="shared" si="23"/>
        <v>#VALUE!</v>
      </c>
    </row>
    <row r="135" spans="1:49" x14ac:dyDescent="0.2">
      <c r="A135">
        <v>133</v>
      </c>
      <c r="B135" t="s">
        <v>737</v>
      </c>
      <c r="F135" t="s">
        <v>736</v>
      </c>
      <c r="G135" t="s">
        <v>3</v>
      </c>
      <c r="H135" t="s">
        <v>2</v>
      </c>
      <c r="I135" t="s">
        <v>735</v>
      </c>
      <c r="N135">
        <v>1</v>
      </c>
      <c r="O135" t="s">
        <v>734</v>
      </c>
      <c r="P135">
        <v>6701399240</v>
      </c>
      <c r="R135" s="7">
        <v>31291</v>
      </c>
      <c r="S135" s="8">
        <f t="shared" si="16"/>
        <v>1985</v>
      </c>
      <c r="T135" s="8">
        <v>1985</v>
      </c>
      <c r="U135" s="8">
        <f t="shared" si="17"/>
        <v>37</v>
      </c>
      <c r="V135" s="7">
        <v>31291</v>
      </c>
      <c r="W135" t="s">
        <v>6</v>
      </c>
      <c r="X135" s="2">
        <v>1.6519999999999999</v>
      </c>
      <c r="Y135" s="6">
        <f t="shared" si="18"/>
        <v>4.409919649769093E-2</v>
      </c>
      <c r="AA135" t="s">
        <v>5</v>
      </c>
      <c r="AB135">
        <v>17337</v>
      </c>
      <c r="AD135" t="s">
        <v>1</v>
      </c>
      <c r="AE135" t="s">
        <v>108</v>
      </c>
      <c r="AF135">
        <v>9</v>
      </c>
      <c r="AH135">
        <v>1037</v>
      </c>
      <c r="AI135" t="s">
        <v>733</v>
      </c>
      <c r="AK135" t="s">
        <v>732</v>
      </c>
      <c r="AL135">
        <v>0</v>
      </c>
      <c r="AM135" s="5">
        <f t="shared" si="19"/>
        <v>0</v>
      </c>
      <c r="AN135" s="4">
        <f t="shared" si="20"/>
        <v>0</v>
      </c>
      <c r="AO135" s="3"/>
      <c r="AP135">
        <v>0</v>
      </c>
      <c r="AR135" t="s">
        <v>0</v>
      </c>
      <c r="AT135" s="2" t="s">
        <v>4</v>
      </c>
      <c r="AU135" s="1">
        <f t="shared" si="21"/>
        <v>3.0869437548383649</v>
      </c>
      <c r="AV135" s="1">
        <f t="shared" si="22"/>
        <v>2.2049598248845466</v>
      </c>
      <c r="AW135" s="1">
        <f t="shared" si="23"/>
        <v>1.3229758949307278</v>
      </c>
    </row>
    <row r="136" spans="1:49" x14ac:dyDescent="0.2">
      <c r="A136">
        <v>134</v>
      </c>
      <c r="B136" t="s">
        <v>731</v>
      </c>
      <c r="F136" t="s">
        <v>730</v>
      </c>
      <c r="G136" t="s">
        <v>3</v>
      </c>
      <c r="H136" t="s">
        <v>2</v>
      </c>
      <c r="I136" t="s">
        <v>309</v>
      </c>
      <c r="N136">
        <v>3</v>
      </c>
      <c r="O136" t="s">
        <v>729</v>
      </c>
      <c r="P136" t="s">
        <v>728</v>
      </c>
      <c r="Q136" t="s">
        <v>25</v>
      </c>
      <c r="R136" s="7">
        <v>31291</v>
      </c>
      <c r="S136" s="8">
        <f t="shared" si="16"/>
        <v>1985</v>
      </c>
      <c r="T136" s="8">
        <v>1985</v>
      </c>
      <c r="U136" s="8">
        <f t="shared" si="17"/>
        <v>37</v>
      </c>
      <c r="V136" s="7">
        <v>31291</v>
      </c>
      <c r="W136" t="s">
        <v>482</v>
      </c>
      <c r="X136" s="2" t="s">
        <v>4</v>
      </c>
      <c r="Y136" s="6" t="e">
        <f t="shared" si="18"/>
        <v>#VALUE!</v>
      </c>
      <c r="AA136">
        <v>87566648</v>
      </c>
      <c r="AB136">
        <v>74127</v>
      </c>
      <c r="AD136" t="s">
        <v>1</v>
      </c>
      <c r="AE136">
        <v>30</v>
      </c>
      <c r="AF136">
        <v>9</v>
      </c>
      <c r="AH136" t="s">
        <v>727</v>
      </c>
      <c r="AI136" t="s">
        <v>726</v>
      </c>
      <c r="AK136" t="s">
        <v>725</v>
      </c>
      <c r="AL136">
        <v>0</v>
      </c>
      <c r="AM136" s="5">
        <f t="shared" si="19"/>
        <v>0</v>
      </c>
      <c r="AN136" s="4">
        <f t="shared" si="20"/>
        <v>0</v>
      </c>
      <c r="AO136" s="3"/>
      <c r="AP136">
        <v>0</v>
      </c>
      <c r="AR136" t="s">
        <v>0</v>
      </c>
      <c r="AT136" s="2" t="s">
        <v>4</v>
      </c>
      <c r="AU136" s="1" t="e">
        <f t="shared" si="21"/>
        <v>#VALUE!</v>
      </c>
      <c r="AV136" s="1" t="e">
        <f t="shared" si="22"/>
        <v>#VALUE!</v>
      </c>
      <c r="AW136" s="1" t="e">
        <f t="shared" si="23"/>
        <v>#VALUE!</v>
      </c>
    </row>
    <row r="137" spans="1:49" x14ac:dyDescent="0.2">
      <c r="A137">
        <v>135</v>
      </c>
      <c r="B137" t="s">
        <v>724</v>
      </c>
      <c r="F137" t="s">
        <v>723</v>
      </c>
      <c r="G137" t="s">
        <v>3</v>
      </c>
      <c r="H137" t="s">
        <v>2</v>
      </c>
      <c r="I137" t="s">
        <v>722</v>
      </c>
      <c r="N137">
        <v>3</v>
      </c>
      <c r="O137" t="s">
        <v>721</v>
      </c>
      <c r="P137" t="s">
        <v>720</v>
      </c>
      <c r="Q137" t="s">
        <v>25</v>
      </c>
      <c r="R137" s="7">
        <v>31291</v>
      </c>
      <c r="S137" s="8">
        <f t="shared" si="16"/>
        <v>1985</v>
      </c>
      <c r="T137" s="8">
        <v>1985</v>
      </c>
      <c r="U137" s="8">
        <f t="shared" si="17"/>
        <v>37</v>
      </c>
      <c r="V137" s="7">
        <v>31291</v>
      </c>
      <c r="W137" t="s">
        <v>482</v>
      </c>
      <c r="X137" s="2" t="s">
        <v>4</v>
      </c>
      <c r="Y137" s="6" t="e">
        <f t="shared" si="18"/>
        <v>#VALUE!</v>
      </c>
      <c r="AA137">
        <v>87566648</v>
      </c>
      <c r="AB137">
        <v>74127</v>
      </c>
      <c r="AD137" t="s">
        <v>1</v>
      </c>
      <c r="AE137">
        <v>30</v>
      </c>
      <c r="AF137">
        <v>9</v>
      </c>
      <c r="AH137" t="s">
        <v>719</v>
      </c>
      <c r="AI137" t="s">
        <v>718</v>
      </c>
      <c r="AK137" t="s">
        <v>717</v>
      </c>
      <c r="AL137">
        <v>0</v>
      </c>
      <c r="AM137" s="5">
        <f t="shared" si="19"/>
        <v>0</v>
      </c>
      <c r="AN137" s="4">
        <f t="shared" si="20"/>
        <v>0</v>
      </c>
      <c r="AO137" s="3"/>
      <c r="AP137">
        <v>0</v>
      </c>
      <c r="AR137" t="s">
        <v>0</v>
      </c>
      <c r="AT137" s="2" t="s">
        <v>4</v>
      </c>
      <c r="AU137" s="1" t="e">
        <f t="shared" si="21"/>
        <v>#VALUE!</v>
      </c>
      <c r="AV137" s="1" t="e">
        <f t="shared" si="22"/>
        <v>#VALUE!</v>
      </c>
      <c r="AW137" s="1" t="e">
        <f t="shared" si="23"/>
        <v>#VALUE!</v>
      </c>
    </row>
    <row r="138" spans="1:49" x14ac:dyDescent="0.2">
      <c r="A138">
        <v>136</v>
      </c>
      <c r="B138" t="s">
        <v>716</v>
      </c>
      <c r="C138" t="s">
        <v>715</v>
      </c>
      <c r="F138" t="s">
        <v>714</v>
      </c>
      <c r="G138" t="s">
        <v>3</v>
      </c>
      <c r="H138" t="s">
        <v>2</v>
      </c>
      <c r="I138" t="s">
        <v>713</v>
      </c>
      <c r="J138" t="s">
        <v>708</v>
      </c>
      <c r="K138" t="s">
        <v>712</v>
      </c>
      <c r="L138" t="s">
        <v>711</v>
      </c>
      <c r="M138" t="s">
        <v>210</v>
      </c>
      <c r="N138">
        <v>2</v>
      </c>
      <c r="O138" t="s">
        <v>710</v>
      </c>
      <c r="P138" t="s">
        <v>709</v>
      </c>
      <c r="Q138" t="s">
        <v>708</v>
      </c>
      <c r="R138" s="7">
        <v>31291</v>
      </c>
      <c r="S138" s="8">
        <f t="shared" si="16"/>
        <v>1985</v>
      </c>
      <c r="T138" s="8">
        <v>1985</v>
      </c>
      <c r="U138" s="8">
        <f t="shared" si="17"/>
        <v>37</v>
      </c>
      <c r="V138" s="7">
        <v>31291</v>
      </c>
      <c r="W138" t="s">
        <v>253</v>
      </c>
      <c r="X138" s="2">
        <v>0.33800000000000002</v>
      </c>
      <c r="Y138" s="6">
        <f t="shared" si="18"/>
        <v>9.0227169589706634E-3</v>
      </c>
      <c r="AA138">
        <v>34347</v>
      </c>
      <c r="AB138">
        <v>17722</v>
      </c>
      <c r="AC138">
        <v>19589395</v>
      </c>
      <c r="AD138" t="s">
        <v>1</v>
      </c>
      <c r="AE138">
        <v>40</v>
      </c>
      <c r="AF138" s="9">
        <v>44478</v>
      </c>
      <c r="AH138" t="s">
        <v>707</v>
      </c>
      <c r="AI138" t="s">
        <v>706</v>
      </c>
      <c r="AJ138" t="s">
        <v>705</v>
      </c>
      <c r="AK138" t="s">
        <v>704</v>
      </c>
      <c r="AL138">
        <v>18</v>
      </c>
      <c r="AM138" s="5">
        <f t="shared" si="19"/>
        <v>0.48648648648648651</v>
      </c>
      <c r="AN138" s="4">
        <f t="shared" si="20"/>
        <v>7.368216379954358E-4</v>
      </c>
      <c r="AO138" s="3"/>
      <c r="AP138">
        <v>0</v>
      </c>
      <c r="AR138" t="s">
        <v>0</v>
      </c>
      <c r="AT138" s="2" t="s">
        <v>4</v>
      </c>
      <c r="AU138" s="1">
        <f t="shared" si="21"/>
        <v>0.65369483626780944</v>
      </c>
      <c r="AV138" s="1">
        <f t="shared" si="22"/>
        <v>0.48797692984830499</v>
      </c>
      <c r="AW138" s="1">
        <f t="shared" si="23"/>
        <v>0.32225902342880042</v>
      </c>
    </row>
    <row r="139" spans="1:49" x14ac:dyDescent="0.2">
      <c r="A139">
        <v>137</v>
      </c>
      <c r="B139" t="s">
        <v>703</v>
      </c>
      <c r="F139" t="s">
        <v>702</v>
      </c>
      <c r="G139" t="s">
        <v>3</v>
      </c>
      <c r="H139" t="s">
        <v>2</v>
      </c>
      <c r="I139" t="s">
        <v>701</v>
      </c>
      <c r="N139">
        <v>2</v>
      </c>
      <c r="O139" t="s">
        <v>700</v>
      </c>
      <c r="P139" t="s">
        <v>699</v>
      </c>
      <c r="Q139" t="s">
        <v>48</v>
      </c>
      <c r="R139" s="7">
        <v>31291</v>
      </c>
      <c r="S139" s="8">
        <f t="shared" si="16"/>
        <v>1985</v>
      </c>
      <c r="T139" s="8">
        <v>1985</v>
      </c>
      <c r="U139" s="8">
        <f t="shared" si="17"/>
        <v>37</v>
      </c>
      <c r="V139" s="7">
        <v>31291</v>
      </c>
      <c r="W139" t="s">
        <v>185</v>
      </c>
      <c r="X139" s="2" t="s">
        <v>4</v>
      </c>
      <c r="Y139" s="6" t="e">
        <f t="shared" si="18"/>
        <v>#VALUE!</v>
      </c>
      <c r="AA139">
        <v>959669</v>
      </c>
      <c r="AB139">
        <v>94658</v>
      </c>
      <c r="AD139" t="s">
        <v>1</v>
      </c>
      <c r="AE139">
        <v>15</v>
      </c>
      <c r="AF139" s="12">
        <v>8.3333333333333329E-2</v>
      </c>
      <c r="AH139" t="s">
        <v>698</v>
      </c>
      <c r="AI139" t="s">
        <v>697</v>
      </c>
      <c r="AK139" t="s">
        <v>696</v>
      </c>
      <c r="AL139">
        <v>0</v>
      </c>
      <c r="AM139" s="5">
        <f t="shared" si="19"/>
        <v>0</v>
      </c>
      <c r="AN139" s="4">
        <f t="shared" si="20"/>
        <v>0</v>
      </c>
      <c r="AO139" s="3"/>
      <c r="AP139">
        <v>0</v>
      </c>
      <c r="AR139" t="s">
        <v>0</v>
      </c>
      <c r="AT139" s="2" t="s">
        <v>4</v>
      </c>
      <c r="AU139" s="1" t="e">
        <f t="shared" si="21"/>
        <v>#VALUE!</v>
      </c>
      <c r="AV139" s="1" t="e">
        <f t="shared" si="22"/>
        <v>#VALUE!</v>
      </c>
      <c r="AW139" s="1" t="e">
        <f t="shared" si="23"/>
        <v>#VALUE!</v>
      </c>
    </row>
    <row r="140" spans="1:49" x14ac:dyDescent="0.2">
      <c r="A140">
        <v>138</v>
      </c>
      <c r="B140" t="s">
        <v>695</v>
      </c>
      <c r="C140" t="s">
        <v>694</v>
      </c>
      <c r="F140" t="s">
        <v>693</v>
      </c>
      <c r="G140" t="s">
        <v>3</v>
      </c>
      <c r="H140" t="s">
        <v>2</v>
      </c>
      <c r="I140" t="s">
        <v>128</v>
      </c>
      <c r="J140" t="s">
        <v>127</v>
      </c>
      <c r="K140" t="s">
        <v>126</v>
      </c>
      <c r="L140" t="s">
        <v>125</v>
      </c>
      <c r="M140" t="s">
        <v>124</v>
      </c>
      <c r="N140">
        <v>3</v>
      </c>
      <c r="O140" t="s">
        <v>692</v>
      </c>
      <c r="P140" t="s">
        <v>691</v>
      </c>
      <c r="Q140" t="s">
        <v>690</v>
      </c>
      <c r="R140" s="7">
        <v>31291</v>
      </c>
      <c r="S140" s="8">
        <f t="shared" si="16"/>
        <v>1985</v>
      </c>
      <c r="T140" s="8">
        <v>1985</v>
      </c>
      <c r="U140" s="8">
        <f t="shared" si="17"/>
        <v>37</v>
      </c>
      <c r="V140" s="7">
        <v>31291</v>
      </c>
      <c r="W140" t="s">
        <v>689</v>
      </c>
      <c r="X140" s="2" t="s">
        <v>4</v>
      </c>
      <c r="Y140" s="6" t="e">
        <f t="shared" si="18"/>
        <v>#VALUE!</v>
      </c>
      <c r="AA140">
        <v>39039</v>
      </c>
      <c r="AB140">
        <v>31407</v>
      </c>
      <c r="AC140">
        <v>14320487</v>
      </c>
      <c r="AD140" t="s">
        <v>1</v>
      </c>
      <c r="AE140">
        <v>68</v>
      </c>
      <c r="AF140">
        <v>5</v>
      </c>
      <c r="AH140" t="s">
        <v>688</v>
      </c>
      <c r="AI140" t="s">
        <v>687</v>
      </c>
      <c r="AK140" t="s">
        <v>686</v>
      </c>
      <c r="AL140">
        <v>1</v>
      </c>
      <c r="AM140" s="5">
        <f t="shared" si="19"/>
        <v>2.7027027027027029E-2</v>
      </c>
      <c r="AN140" s="4">
        <f t="shared" si="20"/>
        <v>4.0934535444190883E-5</v>
      </c>
      <c r="AO140" s="3"/>
      <c r="AP140">
        <v>0</v>
      </c>
      <c r="AR140" t="s">
        <v>0</v>
      </c>
      <c r="AT140" s="2" t="s">
        <v>4</v>
      </c>
      <c r="AU140" s="1" t="e">
        <f t="shared" si="21"/>
        <v>#VALUE!</v>
      </c>
      <c r="AV140" s="1" t="e">
        <f t="shared" si="22"/>
        <v>#VALUE!</v>
      </c>
      <c r="AW140" s="1" t="e">
        <f t="shared" si="23"/>
        <v>#VALUE!</v>
      </c>
    </row>
    <row r="141" spans="1:49" x14ac:dyDescent="0.2">
      <c r="A141">
        <v>139</v>
      </c>
      <c r="B141" t="s">
        <v>685</v>
      </c>
      <c r="C141" t="s">
        <v>684</v>
      </c>
      <c r="E141">
        <v>3903606</v>
      </c>
      <c r="F141" t="s">
        <v>683</v>
      </c>
      <c r="G141" t="s">
        <v>3</v>
      </c>
      <c r="H141" t="s">
        <v>2</v>
      </c>
      <c r="I141" t="s">
        <v>682</v>
      </c>
      <c r="J141">
        <v>60015609</v>
      </c>
      <c r="K141" t="s">
        <v>681</v>
      </c>
      <c r="L141" t="s">
        <v>680</v>
      </c>
      <c r="M141" t="s">
        <v>11</v>
      </c>
      <c r="N141">
        <v>1</v>
      </c>
      <c r="O141" t="s">
        <v>679</v>
      </c>
      <c r="P141">
        <v>7005622793</v>
      </c>
      <c r="Q141">
        <v>60015609</v>
      </c>
      <c r="R141" s="7">
        <v>31291</v>
      </c>
      <c r="S141" s="8">
        <f t="shared" si="16"/>
        <v>1985</v>
      </c>
      <c r="T141" s="8">
        <v>1985</v>
      </c>
      <c r="U141" s="8">
        <f t="shared" si="17"/>
        <v>37</v>
      </c>
      <c r="V141" s="7">
        <v>31291</v>
      </c>
      <c r="W141" t="s">
        <v>678</v>
      </c>
      <c r="X141" s="2" t="s">
        <v>4</v>
      </c>
      <c r="Y141" s="6" t="e">
        <f t="shared" si="18"/>
        <v>#VALUE!</v>
      </c>
      <c r="AA141">
        <v>1696149</v>
      </c>
      <c r="AB141">
        <v>12959</v>
      </c>
      <c r="AC141">
        <v>15730875</v>
      </c>
      <c r="AD141" t="s">
        <v>1</v>
      </c>
      <c r="AE141">
        <v>15</v>
      </c>
      <c r="AF141">
        <v>3</v>
      </c>
      <c r="AH141" t="s">
        <v>677</v>
      </c>
      <c r="AI141" t="s">
        <v>676</v>
      </c>
      <c r="AK141" t="s">
        <v>675</v>
      </c>
      <c r="AL141">
        <v>19</v>
      </c>
      <c r="AM141" s="5">
        <f t="shared" si="19"/>
        <v>0.51351351351351349</v>
      </c>
      <c r="AN141" s="4">
        <f t="shared" si="20"/>
        <v>7.7775617343962659E-4</v>
      </c>
      <c r="AO141" s="3"/>
      <c r="AP141">
        <v>0</v>
      </c>
      <c r="AR141" t="s">
        <v>0</v>
      </c>
      <c r="AT141" s="2" t="s">
        <v>4</v>
      </c>
      <c r="AU141" s="1" t="e">
        <f t="shared" si="21"/>
        <v>#VALUE!</v>
      </c>
      <c r="AV141" s="1" t="e">
        <f t="shared" si="22"/>
        <v>#VALUE!</v>
      </c>
      <c r="AW141" s="1" t="e">
        <f t="shared" si="23"/>
        <v>#VALUE!</v>
      </c>
    </row>
    <row r="142" spans="1:49" x14ac:dyDescent="0.2">
      <c r="A142">
        <v>140</v>
      </c>
      <c r="B142" t="s">
        <v>674</v>
      </c>
      <c r="C142" t="s">
        <v>673</v>
      </c>
      <c r="F142" t="s">
        <v>672</v>
      </c>
      <c r="G142" t="s">
        <v>3</v>
      </c>
      <c r="H142" t="s">
        <v>2</v>
      </c>
      <c r="I142" t="s">
        <v>671</v>
      </c>
      <c r="J142">
        <v>60000635</v>
      </c>
      <c r="K142" t="s">
        <v>670</v>
      </c>
      <c r="L142" t="s">
        <v>669</v>
      </c>
      <c r="M142" t="s">
        <v>11</v>
      </c>
      <c r="N142">
        <v>5</v>
      </c>
      <c r="O142" t="s">
        <v>668</v>
      </c>
      <c r="P142" t="s">
        <v>667</v>
      </c>
      <c r="Q142" t="s">
        <v>666</v>
      </c>
      <c r="R142" s="7">
        <v>31291</v>
      </c>
      <c r="S142" s="8">
        <f t="shared" si="16"/>
        <v>1985</v>
      </c>
      <c r="T142" s="8">
        <v>1985</v>
      </c>
      <c r="U142" s="8">
        <f t="shared" si="17"/>
        <v>37</v>
      </c>
      <c r="V142" s="7">
        <v>31291</v>
      </c>
      <c r="W142" t="s">
        <v>370</v>
      </c>
      <c r="X142" s="2">
        <v>0.85499999999999998</v>
      </c>
      <c r="Y142" s="6">
        <f t="shared" si="18"/>
        <v>2.28237366861536E-2</v>
      </c>
      <c r="AA142">
        <v>980331</v>
      </c>
      <c r="AB142">
        <v>23342</v>
      </c>
      <c r="AC142">
        <v>15731561</v>
      </c>
      <c r="AD142" t="s">
        <v>1</v>
      </c>
      <c r="AE142">
        <v>11</v>
      </c>
      <c r="AF142">
        <v>9</v>
      </c>
      <c r="AH142" t="s">
        <v>665</v>
      </c>
      <c r="AI142" t="s">
        <v>664</v>
      </c>
      <c r="AJ142" t="s">
        <v>663</v>
      </c>
      <c r="AK142" t="s">
        <v>662</v>
      </c>
      <c r="AL142">
        <v>17</v>
      </c>
      <c r="AM142" s="5">
        <f t="shared" si="19"/>
        <v>0.45945945945945948</v>
      </c>
      <c r="AN142" s="4">
        <f t="shared" si="20"/>
        <v>6.9588710255124491E-4</v>
      </c>
      <c r="AO142" s="3"/>
      <c r="AP142">
        <v>0</v>
      </c>
      <c r="AR142" t="s">
        <v>0</v>
      </c>
      <c r="AT142" s="2">
        <v>2.6259999999999999</v>
      </c>
      <c r="AU142" s="1">
        <f t="shared" si="21"/>
        <v>1.6185381811072892</v>
      </c>
      <c r="AV142" s="1">
        <f t="shared" si="22"/>
        <v>1.1759811894352423</v>
      </c>
      <c r="AW142" s="1">
        <f t="shared" si="23"/>
        <v>0.73342419776319512</v>
      </c>
    </row>
    <row r="143" spans="1:49" x14ac:dyDescent="0.2">
      <c r="A143">
        <v>141</v>
      </c>
      <c r="B143" t="s">
        <v>661</v>
      </c>
      <c r="C143" t="s">
        <v>660</v>
      </c>
      <c r="F143" t="s">
        <v>659</v>
      </c>
      <c r="G143" t="s">
        <v>3</v>
      </c>
      <c r="H143" t="s">
        <v>2</v>
      </c>
      <c r="I143" t="s">
        <v>658</v>
      </c>
      <c r="J143">
        <v>60023018</v>
      </c>
      <c r="K143" t="s">
        <v>657</v>
      </c>
      <c r="L143" t="s">
        <v>105</v>
      </c>
      <c r="M143" t="s">
        <v>11</v>
      </c>
      <c r="N143">
        <v>1</v>
      </c>
      <c r="O143" t="s">
        <v>656</v>
      </c>
      <c r="P143">
        <v>6507953506</v>
      </c>
      <c r="Q143">
        <v>60023018</v>
      </c>
      <c r="R143" s="7">
        <v>31291</v>
      </c>
      <c r="S143" s="8">
        <f t="shared" si="16"/>
        <v>1985</v>
      </c>
      <c r="T143" s="8">
        <v>1985</v>
      </c>
      <c r="U143" s="8">
        <f t="shared" si="17"/>
        <v>37</v>
      </c>
      <c r="V143" s="7">
        <v>31291</v>
      </c>
      <c r="W143" t="s">
        <v>655</v>
      </c>
      <c r="X143" s="2">
        <v>0.93</v>
      </c>
      <c r="Y143" s="6">
        <f t="shared" si="18"/>
        <v>2.4825818851605671E-2</v>
      </c>
      <c r="AA143">
        <v>253162</v>
      </c>
      <c r="AB143">
        <v>12165</v>
      </c>
      <c r="AC143">
        <v>14321793</v>
      </c>
      <c r="AD143" t="s">
        <v>1</v>
      </c>
      <c r="AE143">
        <v>88</v>
      </c>
      <c r="AF143">
        <v>3</v>
      </c>
      <c r="AH143" t="s">
        <v>654</v>
      </c>
      <c r="AI143" t="s">
        <v>653</v>
      </c>
      <c r="AK143" t="s">
        <v>652</v>
      </c>
      <c r="AL143">
        <v>63</v>
      </c>
      <c r="AM143" s="5">
        <f t="shared" si="19"/>
        <v>1.7027027027027026</v>
      </c>
      <c r="AN143" s="4">
        <f t="shared" si="20"/>
        <v>2.578875732984025E-3</v>
      </c>
      <c r="AO143" s="3"/>
      <c r="AP143">
        <v>0</v>
      </c>
      <c r="AR143" t="s">
        <v>0</v>
      </c>
      <c r="AT143" s="2">
        <v>2.573</v>
      </c>
      <c r="AU143" s="1">
        <f t="shared" si="21"/>
        <v>1.8151735916019176</v>
      </c>
      <c r="AV143" s="1">
        <f t="shared" si="22"/>
        <v>1.3702347292294847</v>
      </c>
      <c r="AW143" s="1">
        <f t="shared" si="23"/>
        <v>0.92529586685705167</v>
      </c>
    </row>
    <row r="144" spans="1:49" x14ac:dyDescent="0.2">
      <c r="A144">
        <v>142</v>
      </c>
      <c r="B144" t="s">
        <v>651</v>
      </c>
      <c r="C144" t="s">
        <v>650</v>
      </c>
      <c r="D144" t="s">
        <v>649</v>
      </c>
      <c r="E144">
        <v>4038296</v>
      </c>
      <c r="F144" t="s">
        <v>648</v>
      </c>
      <c r="G144" t="s">
        <v>3</v>
      </c>
      <c r="H144" t="s">
        <v>2</v>
      </c>
      <c r="I144" t="s">
        <v>647</v>
      </c>
      <c r="J144">
        <v>60023512</v>
      </c>
      <c r="K144" t="s">
        <v>646</v>
      </c>
      <c r="L144" t="s">
        <v>645</v>
      </c>
      <c r="M144" t="s">
        <v>11</v>
      </c>
      <c r="N144">
        <v>2</v>
      </c>
      <c r="O144" t="s">
        <v>644</v>
      </c>
      <c r="P144" t="s">
        <v>643</v>
      </c>
      <c r="Q144" t="s">
        <v>642</v>
      </c>
      <c r="R144" s="7">
        <v>31289</v>
      </c>
      <c r="S144" s="8">
        <f t="shared" si="16"/>
        <v>1985</v>
      </c>
      <c r="T144" s="8">
        <v>1985</v>
      </c>
      <c r="U144" s="8">
        <f t="shared" si="17"/>
        <v>37</v>
      </c>
      <c r="V144" s="7">
        <v>31289</v>
      </c>
      <c r="W144" t="s">
        <v>626</v>
      </c>
      <c r="X144" s="2">
        <v>0.998</v>
      </c>
      <c r="Y144" s="6">
        <f t="shared" si="18"/>
        <v>2.664104001494888E-2</v>
      </c>
      <c r="AA144" t="s">
        <v>625</v>
      </c>
      <c r="AB144">
        <v>16845</v>
      </c>
      <c r="AC144">
        <v>10902104</v>
      </c>
      <c r="AD144" t="s">
        <v>1</v>
      </c>
      <c r="AE144">
        <v>131</v>
      </c>
      <c r="AF144">
        <v>1</v>
      </c>
      <c r="AH144" t="s">
        <v>641</v>
      </c>
      <c r="AI144" t="s">
        <v>640</v>
      </c>
      <c r="AK144" t="s">
        <v>639</v>
      </c>
      <c r="AL144">
        <v>12</v>
      </c>
      <c r="AM144" s="5">
        <f t="shared" si="19"/>
        <v>0.32432432432432434</v>
      </c>
      <c r="AN144" s="4">
        <f t="shared" si="20"/>
        <v>4.9121442533029054E-4</v>
      </c>
      <c r="AO144" s="3"/>
      <c r="AP144">
        <v>0</v>
      </c>
      <c r="AR144" t="s">
        <v>0</v>
      </c>
      <c r="AT144" s="2" t="s">
        <v>4</v>
      </c>
      <c r="AU144" s="1">
        <f t="shared" si="21"/>
        <v>1.8796092338063304</v>
      </c>
      <c r="AV144" s="1">
        <f t="shared" si="22"/>
        <v>1.3566127220139585</v>
      </c>
      <c r="AW144" s="1">
        <f t="shared" si="23"/>
        <v>0.83361621022158672</v>
      </c>
    </row>
    <row r="145" spans="1:49" x14ac:dyDescent="0.2">
      <c r="A145">
        <v>143</v>
      </c>
      <c r="B145" t="s">
        <v>638</v>
      </c>
      <c r="C145" t="s">
        <v>637</v>
      </c>
      <c r="D145" t="s">
        <v>636</v>
      </c>
      <c r="E145">
        <v>4038307</v>
      </c>
      <c r="F145" t="s">
        <v>635</v>
      </c>
      <c r="G145" t="s">
        <v>3</v>
      </c>
      <c r="H145" t="s">
        <v>2</v>
      </c>
      <c r="I145" t="s">
        <v>634</v>
      </c>
      <c r="J145" t="s">
        <v>633</v>
      </c>
      <c r="K145" t="s">
        <v>632</v>
      </c>
      <c r="L145" t="s">
        <v>631</v>
      </c>
      <c r="M145" t="s">
        <v>630</v>
      </c>
      <c r="N145">
        <v>7</v>
      </c>
      <c r="O145" t="s">
        <v>629</v>
      </c>
      <c r="P145" t="s">
        <v>628</v>
      </c>
      <c r="Q145" t="s">
        <v>627</v>
      </c>
      <c r="R145" s="7">
        <v>31289</v>
      </c>
      <c r="S145" s="8">
        <f t="shared" si="16"/>
        <v>1985</v>
      </c>
      <c r="T145" s="8">
        <v>1985</v>
      </c>
      <c r="U145" s="8">
        <f t="shared" si="17"/>
        <v>37</v>
      </c>
      <c r="V145" s="7">
        <v>31289</v>
      </c>
      <c r="W145" t="s">
        <v>626</v>
      </c>
      <c r="X145" s="2">
        <v>0.998</v>
      </c>
      <c r="Y145" s="6">
        <f t="shared" si="18"/>
        <v>2.664104001494888E-2</v>
      </c>
      <c r="AA145" t="s">
        <v>625</v>
      </c>
      <c r="AB145">
        <v>16845</v>
      </c>
      <c r="AC145">
        <v>10902104</v>
      </c>
      <c r="AD145" t="s">
        <v>1</v>
      </c>
      <c r="AE145">
        <v>131</v>
      </c>
      <c r="AF145">
        <v>1</v>
      </c>
      <c r="AH145" t="s">
        <v>624</v>
      </c>
      <c r="AI145" t="s">
        <v>623</v>
      </c>
      <c r="AK145" t="s">
        <v>622</v>
      </c>
      <c r="AL145">
        <v>33</v>
      </c>
      <c r="AM145" s="5">
        <f t="shared" si="19"/>
        <v>0.89189189189189189</v>
      </c>
      <c r="AN145" s="4">
        <f t="shared" si="20"/>
        <v>1.350839669658299E-3</v>
      </c>
      <c r="AO145" s="3"/>
      <c r="AP145">
        <v>0</v>
      </c>
      <c r="AQ145" t="s">
        <v>621</v>
      </c>
      <c r="AR145" t="s">
        <v>620</v>
      </c>
      <c r="AS145" t="s">
        <v>619</v>
      </c>
      <c r="AT145" s="2" t="s">
        <v>4</v>
      </c>
      <c r="AU145" s="1">
        <f t="shared" si="21"/>
        <v>1.9053979911361707</v>
      </c>
      <c r="AV145" s="1">
        <f t="shared" si="22"/>
        <v>1.3995939842303591</v>
      </c>
      <c r="AW145" s="1">
        <f t="shared" si="23"/>
        <v>0.89378997732454735</v>
      </c>
    </row>
    <row r="146" spans="1:49" x14ac:dyDescent="0.2">
      <c r="A146">
        <v>144</v>
      </c>
      <c r="B146" t="s">
        <v>618</v>
      </c>
      <c r="C146" t="s">
        <v>617</v>
      </c>
      <c r="D146" t="s">
        <v>616</v>
      </c>
      <c r="F146" t="s">
        <v>615</v>
      </c>
      <c r="G146" t="s">
        <v>3</v>
      </c>
      <c r="H146" t="s">
        <v>2</v>
      </c>
      <c r="I146" t="s">
        <v>614</v>
      </c>
      <c r="J146">
        <v>60031040</v>
      </c>
      <c r="K146" t="s">
        <v>17</v>
      </c>
      <c r="L146" t="s">
        <v>16</v>
      </c>
      <c r="M146" t="s">
        <v>15</v>
      </c>
      <c r="N146">
        <v>5</v>
      </c>
      <c r="O146" t="s">
        <v>613</v>
      </c>
      <c r="P146" t="s">
        <v>612</v>
      </c>
      <c r="Q146" t="s">
        <v>611</v>
      </c>
      <c r="R146" s="7">
        <v>31278</v>
      </c>
      <c r="S146" s="8">
        <f t="shared" si="16"/>
        <v>1985</v>
      </c>
      <c r="T146" s="8">
        <v>1985</v>
      </c>
      <c r="U146" s="8">
        <f t="shared" si="17"/>
        <v>37</v>
      </c>
      <c r="V146" s="7">
        <v>31278</v>
      </c>
      <c r="W146" t="s">
        <v>14</v>
      </c>
      <c r="X146" s="2">
        <v>1.593</v>
      </c>
      <c r="Y146" s="6">
        <f t="shared" si="18"/>
        <v>4.2524225194201973E-2</v>
      </c>
      <c r="AA146">
        <v>145793</v>
      </c>
      <c r="AB146">
        <v>17481</v>
      </c>
      <c r="AD146" t="s">
        <v>1</v>
      </c>
      <c r="AE146">
        <v>188</v>
      </c>
      <c r="AF146">
        <v>1</v>
      </c>
      <c r="AH146" t="s">
        <v>610</v>
      </c>
      <c r="AI146" t="s">
        <v>609</v>
      </c>
      <c r="AJ146" t="s">
        <v>608</v>
      </c>
      <c r="AK146" t="s">
        <v>607</v>
      </c>
      <c r="AL146">
        <v>16</v>
      </c>
      <c r="AM146" s="5">
        <f t="shared" si="19"/>
        <v>0.43243243243243246</v>
      </c>
      <c r="AN146" s="4">
        <f t="shared" si="20"/>
        <v>6.5495256710705412E-4</v>
      </c>
      <c r="AO146" s="3"/>
      <c r="AP146">
        <v>1</v>
      </c>
      <c r="AR146" t="s">
        <v>0</v>
      </c>
      <c r="AT146" s="2">
        <v>4.1239999999999997</v>
      </c>
      <c r="AU146" s="1">
        <f t="shared" si="21"/>
        <v>2.9963443406073496</v>
      </c>
      <c r="AV146" s="1">
        <f t="shared" si="22"/>
        <v>2.1589588880654516</v>
      </c>
      <c r="AW146" s="1">
        <f t="shared" si="23"/>
        <v>1.3215734355235531</v>
      </c>
    </row>
    <row r="147" spans="1:49" x14ac:dyDescent="0.2">
      <c r="A147">
        <v>145</v>
      </c>
      <c r="B147" t="s">
        <v>606</v>
      </c>
      <c r="C147" t="s">
        <v>605</v>
      </c>
      <c r="D147">
        <v>43164885900390</v>
      </c>
      <c r="F147" t="s">
        <v>604</v>
      </c>
      <c r="G147" t="s">
        <v>3</v>
      </c>
      <c r="H147" t="s">
        <v>2</v>
      </c>
      <c r="I147" t="s">
        <v>603</v>
      </c>
      <c r="J147">
        <v>60015150</v>
      </c>
      <c r="K147" t="s">
        <v>602</v>
      </c>
      <c r="L147" t="s">
        <v>60</v>
      </c>
      <c r="M147" t="s">
        <v>32</v>
      </c>
      <c r="N147">
        <v>1</v>
      </c>
      <c r="O147" t="s">
        <v>601</v>
      </c>
      <c r="P147">
        <v>7003892326</v>
      </c>
      <c r="Q147">
        <v>60015150</v>
      </c>
      <c r="R147" s="7">
        <v>31274</v>
      </c>
      <c r="S147" s="8">
        <f t="shared" si="16"/>
        <v>1985</v>
      </c>
      <c r="T147" s="8">
        <v>1985</v>
      </c>
      <c r="U147" s="8">
        <f t="shared" si="17"/>
        <v>37</v>
      </c>
      <c r="V147" s="7">
        <v>31274</v>
      </c>
      <c r="W147" t="s">
        <v>600</v>
      </c>
      <c r="X147" s="2">
        <v>1.2050000000000001</v>
      </c>
      <c r="Y147" s="6">
        <f t="shared" si="18"/>
        <v>3.2166786791596597E-2</v>
      </c>
      <c r="AA147">
        <v>431648</v>
      </c>
      <c r="AB147">
        <v>22156</v>
      </c>
      <c r="AD147" t="s">
        <v>1</v>
      </c>
      <c r="AE147">
        <v>104</v>
      </c>
      <c r="AF147">
        <v>4</v>
      </c>
      <c r="AH147" t="s">
        <v>599</v>
      </c>
      <c r="AI147" t="s">
        <v>598</v>
      </c>
      <c r="AK147" t="s">
        <v>597</v>
      </c>
      <c r="AL147">
        <v>2</v>
      </c>
      <c r="AM147" s="5">
        <f t="shared" si="19"/>
        <v>5.4054054054054057E-2</v>
      </c>
      <c r="AN147" s="4">
        <f t="shared" si="20"/>
        <v>8.1869070888381765E-5</v>
      </c>
      <c r="AO147" s="3"/>
      <c r="AP147">
        <v>0</v>
      </c>
      <c r="AR147" t="s">
        <v>0</v>
      </c>
      <c r="AT147" s="2">
        <v>3.8919999999999999</v>
      </c>
      <c r="AU147" s="1">
        <f t="shared" si="21"/>
        <v>2.2541311475384131</v>
      </c>
      <c r="AV147" s="1">
        <f t="shared" si="22"/>
        <v>1.612432793124249</v>
      </c>
      <c r="AW147" s="1">
        <f t="shared" si="23"/>
        <v>0.97073443871008458</v>
      </c>
    </row>
    <row r="148" spans="1:49" x14ac:dyDescent="0.2">
      <c r="A148">
        <v>146</v>
      </c>
      <c r="B148" t="s">
        <v>596</v>
      </c>
      <c r="C148" t="s">
        <v>595</v>
      </c>
      <c r="D148" t="s">
        <v>594</v>
      </c>
      <c r="F148" t="s">
        <v>593</v>
      </c>
      <c r="G148" t="s">
        <v>3</v>
      </c>
      <c r="H148" t="s">
        <v>2</v>
      </c>
      <c r="I148" t="s">
        <v>592</v>
      </c>
      <c r="J148">
        <v>60015481</v>
      </c>
      <c r="K148" t="s">
        <v>591</v>
      </c>
      <c r="L148" t="s">
        <v>590</v>
      </c>
      <c r="M148" t="s">
        <v>11</v>
      </c>
      <c r="N148">
        <v>3</v>
      </c>
      <c r="O148" t="s">
        <v>589</v>
      </c>
      <c r="P148" t="s">
        <v>588</v>
      </c>
      <c r="Q148" t="s">
        <v>587</v>
      </c>
      <c r="R148" s="7">
        <v>31266</v>
      </c>
      <c r="S148" s="8">
        <f t="shared" si="16"/>
        <v>1985</v>
      </c>
      <c r="T148" s="8">
        <v>1985</v>
      </c>
      <c r="U148" s="8">
        <f t="shared" si="17"/>
        <v>37</v>
      </c>
      <c r="V148" s="7">
        <v>31266</v>
      </c>
      <c r="W148" t="s">
        <v>166</v>
      </c>
      <c r="X148" s="2">
        <v>1.59</v>
      </c>
      <c r="Y148" s="6">
        <f t="shared" si="18"/>
        <v>4.2444141907583888E-2</v>
      </c>
      <c r="AA148">
        <v>52728</v>
      </c>
      <c r="AB148">
        <v>16791</v>
      </c>
      <c r="AD148" t="s">
        <v>1</v>
      </c>
      <c r="AE148">
        <v>808</v>
      </c>
      <c r="AF148">
        <v>3</v>
      </c>
      <c r="AH148" t="s">
        <v>586</v>
      </c>
      <c r="AI148" t="s">
        <v>585</v>
      </c>
      <c r="AJ148" t="s">
        <v>584</v>
      </c>
      <c r="AK148" t="s">
        <v>583</v>
      </c>
      <c r="AL148">
        <v>17</v>
      </c>
      <c r="AM148" s="5">
        <f t="shared" si="19"/>
        <v>0.45945945945945948</v>
      </c>
      <c r="AN148" s="4">
        <f t="shared" si="20"/>
        <v>6.9588710255124491E-4</v>
      </c>
      <c r="AO148" s="3"/>
      <c r="AP148">
        <v>0</v>
      </c>
      <c r="AQ148" t="s">
        <v>582</v>
      </c>
      <c r="AR148" t="s">
        <v>581</v>
      </c>
      <c r="AS148" t="s">
        <v>580</v>
      </c>
      <c r="AT148" s="2" t="s">
        <v>4</v>
      </c>
      <c r="AU148" s="1">
        <f t="shared" si="21"/>
        <v>2.9919665466074092</v>
      </c>
      <c r="AV148" s="1">
        <f t="shared" si="22"/>
        <v>2.1570014505067565</v>
      </c>
      <c r="AW148" s="1">
        <f t="shared" si="23"/>
        <v>1.3220363544061036</v>
      </c>
    </row>
    <row r="149" spans="1:49" x14ac:dyDescent="0.2">
      <c r="A149">
        <v>147</v>
      </c>
      <c r="B149" t="s">
        <v>579</v>
      </c>
      <c r="C149" t="s">
        <v>578</v>
      </c>
      <c r="D149" t="s">
        <v>577</v>
      </c>
      <c r="F149" t="s">
        <v>576</v>
      </c>
      <c r="G149" t="s">
        <v>3</v>
      </c>
      <c r="H149" t="s">
        <v>2</v>
      </c>
      <c r="I149" t="s">
        <v>567</v>
      </c>
      <c r="J149" t="s">
        <v>566</v>
      </c>
      <c r="K149" t="s">
        <v>565</v>
      </c>
      <c r="L149" t="s">
        <v>564</v>
      </c>
      <c r="M149" t="s">
        <v>90</v>
      </c>
      <c r="N149">
        <v>3</v>
      </c>
      <c r="O149" t="s">
        <v>563</v>
      </c>
      <c r="P149" t="s">
        <v>562</v>
      </c>
      <c r="Q149" t="s">
        <v>561</v>
      </c>
      <c r="R149" s="7">
        <v>31266</v>
      </c>
      <c r="S149" s="8">
        <f t="shared" si="16"/>
        <v>1985</v>
      </c>
      <c r="T149" s="8">
        <v>1985</v>
      </c>
      <c r="U149" s="8">
        <f t="shared" si="17"/>
        <v>37</v>
      </c>
      <c r="V149" s="7">
        <v>31266</v>
      </c>
      <c r="W149" t="s">
        <v>166</v>
      </c>
      <c r="X149" s="2">
        <v>1.59</v>
      </c>
      <c r="Y149" s="6">
        <f t="shared" si="18"/>
        <v>4.2444141907583888E-2</v>
      </c>
      <c r="AA149">
        <v>52728</v>
      </c>
      <c r="AB149">
        <v>16791</v>
      </c>
      <c r="AD149" t="s">
        <v>1</v>
      </c>
      <c r="AE149">
        <v>808</v>
      </c>
      <c r="AF149">
        <v>3</v>
      </c>
      <c r="AH149" t="s">
        <v>575</v>
      </c>
      <c r="AI149" t="s">
        <v>574</v>
      </c>
      <c r="AJ149" t="s">
        <v>573</v>
      </c>
      <c r="AK149" t="s">
        <v>572</v>
      </c>
      <c r="AL149">
        <v>32</v>
      </c>
      <c r="AM149" s="5">
        <f t="shared" si="19"/>
        <v>0.86486486486486491</v>
      </c>
      <c r="AN149" s="4">
        <f t="shared" si="20"/>
        <v>1.3099051342141082E-3</v>
      </c>
      <c r="AO149" s="3"/>
      <c r="AP149">
        <v>0</v>
      </c>
      <c r="AR149" t="s">
        <v>0</v>
      </c>
      <c r="AT149" s="2" t="s">
        <v>4</v>
      </c>
      <c r="AU149" s="1">
        <f t="shared" si="21"/>
        <v>3.0103870875572953</v>
      </c>
      <c r="AV149" s="1">
        <f t="shared" si="22"/>
        <v>2.1877023520898997</v>
      </c>
      <c r="AW149" s="1">
        <f t="shared" si="23"/>
        <v>1.3650176166225041</v>
      </c>
    </row>
    <row r="150" spans="1:49" x14ac:dyDescent="0.2">
      <c r="A150">
        <v>148</v>
      </c>
      <c r="B150" t="s">
        <v>571</v>
      </c>
      <c r="C150" t="s">
        <v>570</v>
      </c>
      <c r="D150" t="s">
        <v>569</v>
      </c>
      <c r="F150" t="s">
        <v>568</v>
      </c>
      <c r="G150" t="s">
        <v>3</v>
      </c>
      <c r="H150" t="s">
        <v>2</v>
      </c>
      <c r="I150" t="s">
        <v>567</v>
      </c>
      <c r="J150" t="s">
        <v>566</v>
      </c>
      <c r="K150" t="s">
        <v>565</v>
      </c>
      <c r="L150" t="s">
        <v>564</v>
      </c>
      <c r="M150" t="s">
        <v>90</v>
      </c>
      <c r="N150">
        <v>3</v>
      </c>
      <c r="O150" t="s">
        <v>563</v>
      </c>
      <c r="P150" t="s">
        <v>562</v>
      </c>
      <c r="Q150" t="s">
        <v>561</v>
      </c>
      <c r="R150" s="7">
        <v>31266</v>
      </c>
      <c r="S150" s="8">
        <f t="shared" si="16"/>
        <v>1985</v>
      </c>
      <c r="T150" s="8">
        <v>1985</v>
      </c>
      <c r="U150" s="8">
        <f t="shared" si="17"/>
        <v>37</v>
      </c>
      <c r="V150" s="7">
        <v>31266</v>
      </c>
      <c r="W150" t="s">
        <v>166</v>
      </c>
      <c r="X150" s="2">
        <v>1.59</v>
      </c>
      <c r="Y150" s="6">
        <f t="shared" si="18"/>
        <v>4.2444141907583888E-2</v>
      </c>
      <c r="AA150">
        <v>52728</v>
      </c>
      <c r="AB150">
        <v>16791</v>
      </c>
      <c r="AD150" t="s">
        <v>1</v>
      </c>
      <c r="AE150">
        <v>808</v>
      </c>
      <c r="AF150">
        <v>3</v>
      </c>
      <c r="AH150" t="s">
        <v>560</v>
      </c>
      <c r="AI150" t="s">
        <v>559</v>
      </c>
      <c r="AJ150" t="s">
        <v>558</v>
      </c>
      <c r="AK150" t="s">
        <v>557</v>
      </c>
      <c r="AL150">
        <v>12</v>
      </c>
      <c r="AM150" s="5">
        <f t="shared" si="19"/>
        <v>0.32432432432432434</v>
      </c>
      <c r="AN150" s="4">
        <f t="shared" si="20"/>
        <v>4.9121442533029054E-4</v>
      </c>
      <c r="AO150" s="3"/>
      <c r="AP150">
        <v>0</v>
      </c>
      <c r="AR150" t="s">
        <v>0</v>
      </c>
      <c r="AT150" s="2" t="s">
        <v>4</v>
      </c>
      <c r="AU150" s="1">
        <f t="shared" si="21"/>
        <v>2.9858263662907807</v>
      </c>
      <c r="AV150" s="1">
        <f t="shared" si="22"/>
        <v>2.1467678166457089</v>
      </c>
      <c r="AW150" s="1">
        <f t="shared" si="23"/>
        <v>1.3077092670006367</v>
      </c>
    </row>
    <row r="151" spans="1:49" x14ac:dyDescent="0.2">
      <c r="A151">
        <v>149</v>
      </c>
      <c r="B151" t="s">
        <v>556</v>
      </c>
      <c r="F151" t="s">
        <v>555</v>
      </c>
      <c r="G151" t="s">
        <v>3</v>
      </c>
      <c r="H151" t="s">
        <v>2</v>
      </c>
      <c r="I151" t="s">
        <v>554</v>
      </c>
      <c r="N151">
        <v>1</v>
      </c>
      <c r="O151" t="s">
        <v>553</v>
      </c>
      <c r="P151">
        <v>7005040201</v>
      </c>
      <c r="R151" s="7">
        <v>31260</v>
      </c>
      <c r="S151" s="8">
        <f t="shared" si="16"/>
        <v>1985</v>
      </c>
      <c r="T151" s="8">
        <v>1985</v>
      </c>
      <c r="U151" s="8">
        <f t="shared" si="17"/>
        <v>37</v>
      </c>
      <c r="V151" s="7">
        <v>31260</v>
      </c>
      <c r="W151" t="s">
        <v>350</v>
      </c>
      <c r="X151" s="2" t="s">
        <v>4</v>
      </c>
      <c r="Y151" s="6" t="e">
        <f t="shared" si="18"/>
        <v>#VALUE!</v>
      </c>
      <c r="AA151" t="s">
        <v>349</v>
      </c>
      <c r="AB151">
        <v>13750</v>
      </c>
      <c r="AD151" t="s">
        <v>1</v>
      </c>
      <c r="AE151">
        <v>38</v>
      </c>
      <c r="AF151">
        <v>8</v>
      </c>
      <c r="AH151" t="s">
        <v>552</v>
      </c>
      <c r="AI151" t="s">
        <v>551</v>
      </c>
      <c r="AK151" t="s">
        <v>550</v>
      </c>
      <c r="AL151">
        <v>0</v>
      </c>
      <c r="AM151" s="5">
        <f t="shared" si="19"/>
        <v>0</v>
      </c>
      <c r="AN151" s="4">
        <f t="shared" si="20"/>
        <v>0</v>
      </c>
      <c r="AO151" s="3"/>
      <c r="AP151">
        <v>0</v>
      </c>
      <c r="AR151" t="s">
        <v>0</v>
      </c>
      <c r="AT151" s="2" t="s">
        <v>4</v>
      </c>
      <c r="AU151" s="1" t="e">
        <f t="shared" si="21"/>
        <v>#VALUE!</v>
      </c>
      <c r="AV151" s="1" t="e">
        <f t="shared" si="22"/>
        <v>#VALUE!</v>
      </c>
      <c r="AW151" s="1" t="e">
        <f t="shared" si="23"/>
        <v>#VALUE!</v>
      </c>
    </row>
    <row r="152" spans="1:49" x14ac:dyDescent="0.2">
      <c r="A152">
        <v>150</v>
      </c>
      <c r="B152" t="s">
        <v>549</v>
      </c>
      <c r="F152" t="s">
        <v>548</v>
      </c>
      <c r="G152" t="s">
        <v>3</v>
      </c>
      <c r="H152" t="s">
        <v>2</v>
      </c>
      <c r="I152" t="s">
        <v>547</v>
      </c>
      <c r="J152">
        <v>60029575</v>
      </c>
      <c r="K152" t="s">
        <v>29</v>
      </c>
      <c r="L152" t="s">
        <v>28</v>
      </c>
      <c r="M152" t="s">
        <v>11</v>
      </c>
      <c r="N152">
        <v>1</v>
      </c>
      <c r="O152" t="s">
        <v>546</v>
      </c>
      <c r="P152">
        <v>6602107314</v>
      </c>
      <c r="Q152">
        <v>60029575</v>
      </c>
      <c r="R152" s="7">
        <v>31260</v>
      </c>
      <c r="S152" s="8">
        <f t="shared" si="16"/>
        <v>1985</v>
      </c>
      <c r="T152" s="8">
        <v>1985</v>
      </c>
      <c r="U152" s="8">
        <f t="shared" si="17"/>
        <v>37</v>
      </c>
      <c r="V152" s="7">
        <v>31260</v>
      </c>
      <c r="W152" t="s">
        <v>189</v>
      </c>
      <c r="X152" s="2">
        <v>0.10100000000000001</v>
      </c>
      <c r="Y152" s="6">
        <f t="shared" si="18"/>
        <v>2.6961373161421215E-3</v>
      </c>
      <c r="AA152">
        <v>7452883</v>
      </c>
      <c r="AB152">
        <v>18563</v>
      </c>
      <c r="AD152" t="s">
        <v>1</v>
      </c>
      <c r="AE152">
        <v>24</v>
      </c>
      <c r="AF152">
        <v>8</v>
      </c>
      <c r="AH152" t="s">
        <v>545</v>
      </c>
      <c r="AI152" t="s">
        <v>544</v>
      </c>
      <c r="AK152" t="s">
        <v>543</v>
      </c>
      <c r="AL152">
        <v>0</v>
      </c>
      <c r="AM152" s="5">
        <f t="shared" si="19"/>
        <v>0</v>
      </c>
      <c r="AN152" s="4">
        <f t="shared" si="20"/>
        <v>0</v>
      </c>
      <c r="AO152" s="3"/>
      <c r="AP152">
        <v>0</v>
      </c>
      <c r="AR152" t="s">
        <v>0</v>
      </c>
      <c r="AT152" s="2" t="s">
        <v>4</v>
      </c>
      <c r="AU152" s="1">
        <f t="shared" si="21"/>
        <v>0.18872961212994849</v>
      </c>
      <c r="AV152" s="1">
        <f t="shared" si="22"/>
        <v>0.13480686580710607</v>
      </c>
      <c r="AW152" s="1">
        <f t="shared" si="23"/>
        <v>8.0884119484263647E-2</v>
      </c>
    </row>
    <row r="153" spans="1:49" x14ac:dyDescent="0.2">
      <c r="A153">
        <v>151</v>
      </c>
      <c r="B153" t="s">
        <v>542</v>
      </c>
      <c r="F153" t="s">
        <v>541</v>
      </c>
      <c r="G153" t="s">
        <v>3</v>
      </c>
      <c r="H153" t="s">
        <v>2</v>
      </c>
      <c r="I153" t="s">
        <v>540</v>
      </c>
      <c r="J153">
        <v>60010491</v>
      </c>
      <c r="K153" t="s">
        <v>120</v>
      </c>
      <c r="L153" t="s">
        <v>119</v>
      </c>
      <c r="M153" t="s">
        <v>11</v>
      </c>
      <c r="N153">
        <v>1</v>
      </c>
      <c r="O153" t="s">
        <v>539</v>
      </c>
      <c r="P153">
        <v>7004961387</v>
      </c>
      <c r="Q153">
        <v>60010491</v>
      </c>
      <c r="R153" s="7">
        <v>31260</v>
      </c>
      <c r="S153" s="8">
        <f t="shared" si="16"/>
        <v>1985</v>
      </c>
      <c r="T153" s="8">
        <v>1985</v>
      </c>
      <c r="U153" s="8">
        <f t="shared" si="17"/>
        <v>37</v>
      </c>
      <c r="V153" s="7">
        <v>31260</v>
      </c>
      <c r="W153" s="11" t="s">
        <v>73</v>
      </c>
      <c r="X153" s="2">
        <v>2.383</v>
      </c>
      <c r="Y153" s="6">
        <f t="shared" si="18"/>
        <v>6.3612824003630442E-2</v>
      </c>
      <c r="AA153">
        <v>1437097</v>
      </c>
      <c r="AB153">
        <v>101236</v>
      </c>
      <c r="AD153" t="s">
        <v>1</v>
      </c>
      <c r="AE153">
        <v>132</v>
      </c>
      <c r="AF153">
        <v>5</v>
      </c>
      <c r="AH153" t="s">
        <v>538</v>
      </c>
      <c r="AI153" t="s">
        <v>537</v>
      </c>
      <c r="AK153" t="s">
        <v>536</v>
      </c>
      <c r="AL153">
        <v>37</v>
      </c>
      <c r="AM153" s="5">
        <f t="shared" si="19"/>
        <v>1</v>
      </c>
      <c r="AN153" s="4">
        <f t="shared" si="20"/>
        <v>1.5145778114350624E-3</v>
      </c>
      <c r="AO153" s="3"/>
      <c r="AP153">
        <v>0</v>
      </c>
      <c r="AR153" t="s">
        <v>0</v>
      </c>
      <c r="AT153" s="2" t="s">
        <v>4</v>
      </c>
      <c r="AU153" s="1">
        <f t="shared" si="21"/>
        <v>4.498335014597183</v>
      </c>
      <c r="AV153" s="1">
        <f t="shared" si="22"/>
        <v>3.2563700907532751</v>
      </c>
      <c r="AW153" s="1">
        <f t="shared" si="23"/>
        <v>2.0144051669093677</v>
      </c>
    </row>
    <row r="154" spans="1:49" x14ac:dyDescent="0.2">
      <c r="A154">
        <v>152</v>
      </c>
      <c r="B154" t="s">
        <v>535</v>
      </c>
      <c r="C154" t="s">
        <v>534</v>
      </c>
      <c r="F154" t="s">
        <v>533</v>
      </c>
      <c r="G154" t="s">
        <v>3</v>
      </c>
      <c r="H154" t="s">
        <v>2</v>
      </c>
      <c r="I154" t="s">
        <v>532</v>
      </c>
      <c r="J154" t="s">
        <v>531</v>
      </c>
      <c r="K154" t="s">
        <v>530</v>
      </c>
      <c r="L154" t="s">
        <v>529</v>
      </c>
      <c r="M154" t="s">
        <v>7</v>
      </c>
      <c r="N154">
        <v>4</v>
      </c>
      <c r="O154" t="s">
        <v>528</v>
      </c>
      <c r="P154" t="s">
        <v>527</v>
      </c>
      <c r="Q154" t="s">
        <v>526</v>
      </c>
      <c r="R154" s="7">
        <v>31260</v>
      </c>
      <c r="S154" s="8">
        <f t="shared" si="16"/>
        <v>1985</v>
      </c>
      <c r="T154" s="8">
        <v>1985</v>
      </c>
      <c r="U154" s="8">
        <f t="shared" si="17"/>
        <v>37</v>
      </c>
      <c r="V154" s="7">
        <v>31260</v>
      </c>
      <c r="W154" t="s">
        <v>173</v>
      </c>
      <c r="X154" s="2">
        <v>0.61499999999999999</v>
      </c>
      <c r="Y154" s="6">
        <f t="shared" si="18"/>
        <v>1.6417073756706976E-2</v>
      </c>
      <c r="AA154">
        <v>1959271</v>
      </c>
      <c r="AB154">
        <v>12141</v>
      </c>
      <c r="AC154">
        <v>15729559</v>
      </c>
      <c r="AD154" t="s">
        <v>1</v>
      </c>
      <c r="AE154">
        <v>6</v>
      </c>
      <c r="AF154">
        <v>8</v>
      </c>
      <c r="AH154" t="s">
        <v>115</v>
      </c>
      <c r="AI154" t="s">
        <v>525</v>
      </c>
      <c r="AJ154" t="s">
        <v>524</v>
      </c>
      <c r="AK154" t="s">
        <v>523</v>
      </c>
      <c r="AL154">
        <v>67</v>
      </c>
      <c r="AM154" s="5">
        <f t="shared" si="19"/>
        <v>1.8108108108108107</v>
      </c>
      <c r="AN154" s="4">
        <f t="shared" si="20"/>
        <v>2.7426138747607886E-3</v>
      </c>
      <c r="AO154" s="3"/>
      <c r="AP154">
        <v>0</v>
      </c>
      <c r="AR154" t="s">
        <v>0</v>
      </c>
      <c r="AT154" s="2" t="s">
        <v>4</v>
      </c>
      <c r="AU154" s="1">
        <f t="shared" si="21"/>
        <v>1.2314735792123117</v>
      </c>
      <c r="AV154" s="1">
        <f t="shared" si="22"/>
        <v>0.95798438157338828</v>
      </c>
      <c r="AW154" s="1">
        <f t="shared" si="23"/>
        <v>0.6844951839344644</v>
      </c>
    </row>
    <row r="155" spans="1:49" x14ac:dyDescent="0.2">
      <c r="A155">
        <v>153</v>
      </c>
      <c r="B155" t="s">
        <v>522</v>
      </c>
      <c r="F155" t="s">
        <v>521</v>
      </c>
      <c r="G155" t="s">
        <v>3</v>
      </c>
      <c r="H155" t="s">
        <v>2</v>
      </c>
      <c r="I155" t="s">
        <v>520</v>
      </c>
      <c r="J155">
        <v>60000990</v>
      </c>
      <c r="K155" t="s">
        <v>163</v>
      </c>
      <c r="L155" t="s">
        <v>91</v>
      </c>
      <c r="M155" t="s">
        <v>15</v>
      </c>
      <c r="N155">
        <v>1</v>
      </c>
      <c r="O155" t="s">
        <v>519</v>
      </c>
      <c r="P155">
        <v>57188535248</v>
      </c>
      <c r="Q155">
        <v>60000990</v>
      </c>
      <c r="R155" s="7">
        <v>31260</v>
      </c>
      <c r="S155" s="8">
        <f t="shared" si="16"/>
        <v>1985</v>
      </c>
      <c r="T155" s="8">
        <v>1985</v>
      </c>
      <c r="U155" s="8">
        <f t="shared" si="17"/>
        <v>37</v>
      </c>
      <c r="V155" s="7">
        <v>31260</v>
      </c>
      <c r="W155" s="11" t="s">
        <v>73</v>
      </c>
      <c r="X155" s="2">
        <v>2.383</v>
      </c>
      <c r="Y155" s="6">
        <f t="shared" si="18"/>
        <v>6.3612824003630442E-2</v>
      </c>
      <c r="AA155">
        <v>1437097</v>
      </c>
      <c r="AB155">
        <v>101236</v>
      </c>
      <c r="AD155" t="s">
        <v>1</v>
      </c>
      <c r="AE155">
        <v>132</v>
      </c>
      <c r="AF155">
        <v>5</v>
      </c>
      <c r="AH155" t="s">
        <v>518</v>
      </c>
      <c r="AI155" t="s">
        <v>517</v>
      </c>
      <c r="AK155" t="s">
        <v>516</v>
      </c>
      <c r="AL155">
        <v>27</v>
      </c>
      <c r="AM155" s="5">
        <f t="shared" si="19"/>
        <v>0.72972972972972971</v>
      </c>
      <c r="AN155" s="4">
        <f t="shared" si="20"/>
        <v>1.1052324569931537E-3</v>
      </c>
      <c r="AO155" s="3"/>
      <c r="AP155">
        <v>0</v>
      </c>
      <c r="AR155" t="s">
        <v>0</v>
      </c>
      <c r="AT155" s="2" t="s">
        <v>4</v>
      </c>
      <c r="AU155" s="1">
        <f t="shared" si="21"/>
        <v>4.4860546539639259</v>
      </c>
      <c r="AV155" s="1">
        <f t="shared" si="22"/>
        <v>3.2359028230311795</v>
      </c>
      <c r="AW155" s="1">
        <f t="shared" si="23"/>
        <v>1.985750992098434</v>
      </c>
    </row>
    <row r="156" spans="1:49" x14ac:dyDescent="0.2">
      <c r="A156">
        <v>154</v>
      </c>
      <c r="B156" t="s">
        <v>515</v>
      </c>
      <c r="F156" t="s">
        <v>514</v>
      </c>
      <c r="G156" t="s">
        <v>3</v>
      </c>
      <c r="H156" t="s">
        <v>2</v>
      </c>
      <c r="I156" t="s">
        <v>513</v>
      </c>
      <c r="N156">
        <v>1</v>
      </c>
      <c r="O156" t="s">
        <v>512</v>
      </c>
      <c r="P156">
        <v>6507136279</v>
      </c>
      <c r="R156" s="7">
        <v>31260</v>
      </c>
      <c r="S156" s="8">
        <f t="shared" si="16"/>
        <v>1985</v>
      </c>
      <c r="T156" s="8">
        <v>1985</v>
      </c>
      <c r="U156" s="8">
        <f t="shared" si="17"/>
        <v>37</v>
      </c>
      <c r="V156" s="7">
        <v>31260</v>
      </c>
      <c r="W156" t="s">
        <v>482</v>
      </c>
      <c r="X156" s="2" t="s">
        <v>4</v>
      </c>
      <c r="Y156" s="6" t="e">
        <f t="shared" si="18"/>
        <v>#VALUE!</v>
      </c>
      <c r="AA156">
        <v>87566648</v>
      </c>
      <c r="AB156">
        <v>74127</v>
      </c>
      <c r="AD156" t="s">
        <v>1</v>
      </c>
      <c r="AE156">
        <v>30</v>
      </c>
      <c r="AF156">
        <v>8</v>
      </c>
      <c r="AH156" t="s">
        <v>511</v>
      </c>
      <c r="AI156" t="s">
        <v>510</v>
      </c>
      <c r="AK156" t="s">
        <v>509</v>
      </c>
      <c r="AL156">
        <v>0</v>
      </c>
      <c r="AM156" s="5">
        <f t="shared" si="19"/>
        <v>0</v>
      </c>
      <c r="AN156" s="4">
        <f t="shared" si="20"/>
        <v>0</v>
      </c>
      <c r="AO156" s="3"/>
      <c r="AP156">
        <v>0</v>
      </c>
      <c r="AR156" t="s">
        <v>0</v>
      </c>
      <c r="AT156" s="2" t="s">
        <v>4</v>
      </c>
      <c r="AU156" s="1" t="e">
        <f t="shared" si="21"/>
        <v>#VALUE!</v>
      </c>
      <c r="AV156" s="1" t="e">
        <f t="shared" si="22"/>
        <v>#VALUE!</v>
      </c>
      <c r="AW156" s="1" t="e">
        <f t="shared" si="23"/>
        <v>#VALUE!</v>
      </c>
    </row>
    <row r="157" spans="1:49" x14ac:dyDescent="0.2">
      <c r="A157">
        <v>155</v>
      </c>
      <c r="B157" t="s">
        <v>508</v>
      </c>
      <c r="F157" t="s">
        <v>507</v>
      </c>
      <c r="G157" t="s">
        <v>3</v>
      </c>
      <c r="H157" t="s">
        <v>2</v>
      </c>
      <c r="I157" t="s">
        <v>506</v>
      </c>
      <c r="N157">
        <v>3</v>
      </c>
      <c r="O157" t="s">
        <v>505</v>
      </c>
      <c r="P157" t="s">
        <v>504</v>
      </c>
      <c r="Q157" t="s">
        <v>25</v>
      </c>
      <c r="R157" s="7">
        <v>31260</v>
      </c>
      <c r="S157" s="8">
        <f t="shared" si="16"/>
        <v>1985</v>
      </c>
      <c r="T157" s="8">
        <v>1985</v>
      </c>
      <c r="U157" s="8">
        <f t="shared" si="17"/>
        <v>37</v>
      </c>
      <c r="V157" s="7">
        <v>31260</v>
      </c>
      <c r="W157" t="s">
        <v>482</v>
      </c>
      <c r="X157" s="2" t="s">
        <v>4</v>
      </c>
      <c r="Y157" s="6" t="e">
        <f t="shared" si="18"/>
        <v>#VALUE!</v>
      </c>
      <c r="AA157">
        <v>87566648</v>
      </c>
      <c r="AB157">
        <v>74127</v>
      </c>
      <c r="AD157" t="s">
        <v>1</v>
      </c>
      <c r="AE157">
        <v>30</v>
      </c>
      <c r="AF157">
        <v>8</v>
      </c>
      <c r="AH157" t="s">
        <v>503</v>
      </c>
      <c r="AI157" t="s">
        <v>502</v>
      </c>
      <c r="AK157" t="s">
        <v>501</v>
      </c>
      <c r="AL157">
        <v>0</v>
      </c>
      <c r="AM157" s="5">
        <f t="shared" si="19"/>
        <v>0</v>
      </c>
      <c r="AN157" s="4">
        <f t="shared" si="20"/>
        <v>0</v>
      </c>
      <c r="AO157" s="3"/>
      <c r="AP157">
        <v>0</v>
      </c>
      <c r="AR157" t="s">
        <v>0</v>
      </c>
      <c r="AT157" s="2" t="s">
        <v>4</v>
      </c>
      <c r="AU157" s="1" t="e">
        <f t="shared" si="21"/>
        <v>#VALUE!</v>
      </c>
      <c r="AV157" s="1" t="e">
        <f t="shared" si="22"/>
        <v>#VALUE!</v>
      </c>
      <c r="AW157" s="1" t="e">
        <f t="shared" si="23"/>
        <v>#VALUE!</v>
      </c>
    </row>
    <row r="158" spans="1:49" x14ac:dyDescent="0.2">
      <c r="A158">
        <v>156</v>
      </c>
      <c r="B158" t="s">
        <v>500</v>
      </c>
      <c r="F158" t="s">
        <v>499</v>
      </c>
      <c r="G158" t="s">
        <v>3</v>
      </c>
      <c r="H158" t="s">
        <v>2</v>
      </c>
      <c r="I158" t="s">
        <v>498</v>
      </c>
      <c r="N158">
        <v>1</v>
      </c>
      <c r="O158" t="s">
        <v>497</v>
      </c>
      <c r="P158">
        <v>7005989615</v>
      </c>
      <c r="R158" s="7">
        <v>31260</v>
      </c>
      <c r="S158" s="8">
        <f t="shared" si="16"/>
        <v>1985</v>
      </c>
      <c r="T158" s="8">
        <v>1985</v>
      </c>
      <c r="U158" s="8">
        <f t="shared" si="17"/>
        <v>37</v>
      </c>
      <c r="V158" s="7">
        <v>31260</v>
      </c>
      <c r="W158" t="s">
        <v>64</v>
      </c>
      <c r="X158" s="2" t="s">
        <v>4</v>
      </c>
      <c r="Y158" s="6" t="e">
        <f t="shared" si="18"/>
        <v>#VALUE!</v>
      </c>
      <c r="AA158" t="s">
        <v>63</v>
      </c>
      <c r="AB158">
        <v>35968</v>
      </c>
      <c r="AD158" t="s">
        <v>1</v>
      </c>
      <c r="AE158">
        <v>52</v>
      </c>
      <c r="AF158">
        <v>8</v>
      </c>
      <c r="AH158" t="s">
        <v>496</v>
      </c>
      <c r="AI158" t="s">
        <v>495</v>
      </c>
      <c r="AK158" t="s">
        <v>494</v>
      </c>
      <c r="AL158">
        <v>1</v>
      </c>
      <c r="AM158" s="5">
        <f t="shared" si="19"/>
        <v>2.7027027027027029E-2</v>
      </c>
      <c r="AN158" s="4">
        <f t="shared" si="20"/>
        <v>4.0934535444190883E-5</v>
      </c>
      <c r="AO158" s="3"/>
      <c r="AP158">
        <v>0</v>
      </c>
      <c r="AR158" t="s">
        <v>0</v>
      </c>
      <c r="AT158" s="2" t="s">
        <v>4</v>
      </c>
      <c r="AU158" s="1" t="e">
        <f t="shared" si="21"/>
        <v>#VALUE!</v>
      </c>
      <c r="AV158" s="1" t="e">
        <f t="shared" si="22"/>
        <v>#VALUE!</v>
      </c>
      <c r="AW158" s="1" t="e">
        <f t="shared" si="23"/>
        <v>#VALUE!</v>
      </c>
    </row>
    <row r="159" spans="1:49" x14ac:dyDescent="0.2">
      <c r="A159">
        <v>157</v>
      </c>
      <c r="B159" t="s">
        <v>493</v>
      </c>
      <c r="F159" t="s">
        <v>492</v>
      </c>
      <c r="G159" t="s">
        <v>3</v>
      </c>
      <c r="H159" t="s">
        <v>2</v>
      </c>
      <c r="I159" t="s">
        <v>491</v>
      </c>
      <c r="N159">
        <v>3</v>
      </c>
      <c r="O159" t="s">
        <v>490</v>
      </c>
      <c r="P159" t="s">
        <v>489</v>
      </c>
      <c r="Q159" t="s">
        <v>25</v>
      </c>
      <c r="R159" s="7">
        <v>31260</v>
      </c>
      <c r="S159" s="8">
        <f t="shared" si="16"/>
        <v>1985</v>
      </c>
      <c r="T159" s="8">
        <v>1985</v>
      </c>
      <c r="U159" s="8">
        <f t="shared" si="17"/>
        <v>37</v>
      </c>
      <c r="V159" s="7">
        <v>31260</v>
      </c>
      <c r="W159" t="s">
        <v>482</v>
      </c>
      <c r="X159" s="2" t="s">
        <v>4</v>
      </c>
      <c r="Y159" s="6" t="e">
        <f t="shared" si="18"/>
        <v>#VALUE!</v>
      </c>
      <c r="AA159">
        <v>87566648</v>
      </c>
      <c r="AB159">
        <v>74127</v>
      </c>
      <c r="AD159" t="s">
        <v>1</v>
      </c>
      <c r="AE159">
        <v>30</v>
      </c>
      <c r="AF159">
        <v>8</v>
      </c>
      <c r="AH159" t="s">
        <v>488</v>
      </c>
      <c r="AI159" t="s">
        <v>487</v>
      </c>
      <c r="AK159" t="s">
        <v>486</v>
      </c>
      <c r="AL159">
        <v>1</v>
      </c>
      <c r="AM159" s="5">
        <f t="shared" si="19"/>
        <v>2.7027027027027029E-2</v>
      </c>
      <c r="AN159" s="4">
        <f t="shared" si="20"/>
        <v>4.0934535444190883E-5</v>
      </c>
      <c r="AO159" s="3"/>
      <c r="AP159">
        <v>0</v>
      </c>
      <c r="AR159" t="s">
        <v>0</v>
      </c>
      <c r="AT159" s="2" t="s">
        <v>4</v>
      </c>
      <c r="AU159" s="1" t="e">
        <f t="shared" si="21"/>
        <v>#VALUE!</v>
      </c>
      <c r="AV159" s="1" t="e">
        <f t="shared" si="22"/>
        <v>#VALUE!</v>
      </c>
      <c r="AW159" s="1" t="e">
        <f t="shared" si="23"/>
        <v>#VALUE!</v>
      </c>
    </row>
    <row r="160" spans="1:49" x14ac:dyDescent="0.2">
      <c r="A160">
        <v>158</v>
      </c>
      <c r="B160" t="s">
        <v>485</v>
      </c>
      <c r="F160" t="s">
        <v>484</v>
      </c>
      <c r="G160" t="s">
        <v>3</v>
      </c>
      <c r="H160" t="s">
        <v>2</v>
      </c>
      <c r="I160" t="s">
        <v>201</v>
      </c>
      <c r="N160">
        <v>1</v>
      </c>
      <c r="O160" t="s">
        <v>483</v>
      </c>
      <c r="P160">
        <v>6603346090</v>
      </c>
      <c r="R160" s="7">
        <v>31260</v>
      </c>
      <c r="S160" s="8">
        <f t="shared" si="16"/>
        <v>1985</v>
      </c>
      <c r="T160" s="8">
        <v>1985</v>
      </c>
      <c r="U160" s="8">
        <f t="shared" si="17"/>
        <v>37</v>
      </c>
      <c r="V160" s="7">
        <v>31260</v>
      </c>
      <c r="W160" t="s">
        <v>482</v>
      </c>
      <c r="X160" s="2" t="s">
        <v>4</v>
      </c>
      <c r="Y160" s="6" t="e">
        <f t="shared" si="18"/>
        <v>#VALUE!</v>
      </c>
      <c r="AA160">
        <v>87566648</v>
      </c>
      <c r="AB160">
        <v>74127</v>
      </c>
      <c r="AD160" t="s">
        <v>1</v>
      </c>
      <c r="AE160">
        <v>30</v>
      </c>
      <c r="AF160">
        <v>8</v>
      </c>
      <c r="AH160" t="s">
        <v>114</v>
      </c>
      <c r="AI160" t="s">
        <v>481</v>
      </c>
      <c r="AK160" t="s">
        <v>480</v>
      </c>
      <c r="AL160">
        <v>0</v>
      </c>
      <c r="AM160" s="5">
        <f t="shared" si="19"/>
        <v>0</v>
      </c>
      <c r="AN160" s="4">
        <f t="shared" si="20"/>
        <v>0</v>
      </c>
      <c r="AO160" s="3"/>
      <c r="AP160">
        <v>0</v>
      </c>
      <c r="AR160" t="s">
        <v>0</v>
      </c>
      <c r="AT160" s="2" t="s">
        <v>4</v>
      </c>
      <c r="AU160" s="1" t="e">
        <f t="shared" si="21"/>
        <v>#VALUE!</v>
      </c>
      <c r="AV160" s="1" t="e">
        <f t="shared" si="22"/>
        <v>#VALUE!</v>
      </c>
      <c r="AW160" s="1" t="e">
        <f t="shared" si="23"/>
        <v>#VALUE!</v>
      </c>
    </row>
    <row r="161" spans="1:49" x14ac:dyDescent="0.2">
      <c r="A161">
        <v>159</v>
      </c>
      <c r="B161" t="s">
        <v>479</v>
      </c>
      <c r="F161" t="s">
        <v>112</v>
      </c>
      <c r="G161" t="s">
        <v>3</v>
      </c>
      <c r="H161" t="s">
        <v>2</v>
      </c>
      <c r="I161" t="s">
        <v>111</v>
      </c>
      <c r="J161">
        <v>100344380</v>
      </c>
      <c r="K161" t="s">
        <v>110</v>
      </c>
      <c r="L161" t="s">
        <v>33</v>
      </c>
      <c r="M161" t="s">
        <v>32</v>
      </c>
      <c r="N161">
        <v>1</v>
      </c>
      <c r="O161" t="s">
        <v>109</v>
      </c>
      <c r="P161">
        <v>55435770700</v>
      </c>
      <c r="Q161">
        <v>100344380</v>
      </c>
      <c r="R161" s="7">
        <v>31260</v>
      </c>
      <c r="S161" s="8">
        <f t="shared" si="16"/>
        <v>1985</v>
      </c>
      <c r="T161" s="8">
        <v>1985</v>
      </c>
      <c r="U161" s="8">
        <f t="shared" si="17"/>
        <v>37</v>
      </c>
      <c r="V161" s="7">
        <v>31260</v>
      </c>
      <c r="W161" t="s">
        <v>174</v>
      </c>
      <c r="X161" s="2" t="s">
        <v>4</v>
      </c>
      <c r="Y161" s="6" t="e">
        <f t="shared" si="18"/>
        <v>#VALUE!</v>
      </c>
      <c r="AA161">
        <v>2511096</v>
      </c>
      <c r="AB161">
        <v>26110</v>
      </c>
      <c r="AD161" t="s">
        <v>1</v>
      </c>
      <c r="AE161">
        <v>66</v>
      </c>
      <c r="AF161" t="s">
        <v>478</v>
      </c>
      <c r="AH161" t="s">
        <v>477</v>
      </c>
      <c r="AI161" t="s">
        <v>476</v>
      </c>
      <c r="AK161" t="s">
        <v>475</v>
      </c>
      <c r="AL161">
        <v>0</v>
      </c>
      <c r="AM161" s="5">
        <f t="shared" si="19"/>
        <v>0</v>
      </c>
      <c r="AN161" s="4">
        <f t="shared" si="20"/>
        <v>0</v>
      </c>
      <c r="AO161" s="3"/>
      <c r="AP161">
        <v>0</v>
      </c>
      <c r="AR161" t="s">
        <v>0</v>
      </c>
      <c r="AT161" s="2" t="s">
        <v>4</v>
      </c>
      <c r="AU161" s="1" t="e">
        <f t="shared" si="21"/>
        <v>#VALUE!</v>
      </c>
      <c r="AV161" s="1" t="e">
        <f t="shared" si="22"/>
        <v>#VALUE!</v>
      </c>
      <c r="AW161" s="1" t="e">
        <f t="shared" si="23"/>
        <v>#VALUE!</v>
      </c>
    </row>
    <row r="162" spans="1:49" x14ac:dyDescent="0.2">
      <c r="A162">
        <v>160</v>
      </c>
      <c r="B162" t="s">
        <v>474</v>
      </c>
      <c r="C162" t="s">
        <v>473</v>
      </c>
      <c r="F162" t="s">
        <v>472</v>
      </c>
      <c r="G162" t="s">
        <v>3</v>
      </c>
      <c r="H162" t="s">
        <v>2</v>
      </c>
      <c r="I162" t="s">
        <v>471</v>
      </c>
      <c r="J162">
        <v>60009037</v>
      </c>
      <c r="K162" t="s">
        <v>80</v>
      </c>
      <c r="L162" t="s">
        <v>79</v>
      </c>
      <c r="M162" t="s">
        <v>11</v>
      </c>
      <c r="N162">
        <v>1</v>
      </c>
      <c r="O162" t="s">
        <v>470</v>
      </c>
      <c r="P162">
        <v>6701562756</v>
      </c>
      <c r="Q162">
        <v>60009037</v>
      </c>
      <c r="R162" s="7">
        <v>31260</v>
      </c>
      <c r="S162" s="8">
        <f t="shared" si="16"/>
        <v>1985</v>
      </c>
      <c r="T162" s="8">
        <v>1985</v>
      </c>
      <c r="U162" s="8">
        <f t="shared" si="17"/>
        <v>37</v>
      </c>
      <c r="V162" s="7">
        <v>31260</v>
      </c>
      <c r="W162" t="s">
        <v>469</v>
      </c>
      <c r="X162" s="2">
        <v>0.82199999999999995</v>
      </c>
      <c r="Y162" s="6">
        <f t="shared" si="18"/>
        <v>2.1942820533354689E-2</v>
      </c>
      <c r="AA162">
        <v>17701</v>
      </c>
      <c r="AB162">
        <v>27975</v>
      </c>
      <c r="AC162">
        <v>15729532</v>
      </c>
      <c r="AD162" t="s">
        <v>1</v>
      </c>
      <c r="AE162">
        <v>17</v>
      </c>
      <c r="AF162">
        <v>8</v>
      </c>
      <c r="AH162" t="s">
        <v>468</v>
      </c>
      <c r="AI162" t="s">
        <v>467</v>
      </c>
      <c r="AK162" t="s">
        <v>466</v>
      </c>
      <c r="AL162">
        <v>19</v>
      </c>
      <c r="AM162" s="5">
        <f t="shared" si="19"/>
        <v>0.51351351351351349</v>
      </c>
      <c r="AN162" s="4">
        <f t="shared" si="20"/>
        <v>7.7775617343962659E-4</v>
      </c>
      <c r="AO162" s="3"/>
      <c r="AP162">
        <v>0</v>
      </c>
      <c r="AR162" t="s">
        <v>0</v>
      </c>
      <c r="AT162" s="2">
        <v>2.5129999999999999</v>
      </c>
      <c r="AU162" s="1">
        <f t="shared" si="21"/>
        <v>1.5593301225380169</v>
      </c>
      <c r="AV162" s="1">
        <f t="shared" si="22"/>
        <v>1.1360288353397159</v>
      </c>
      <c r="AW162" s="1">
        <f t="shared" si="23"/>
        <v>0.71272754814141448</v>
      </c>
    </row>
    <row r="163" spans="1:49" x14ac:dyDescent="0.2">
      <c r="A163">
        <v>161</v>
      </c>
      <c r="B163" t="s">
        <v>465</v>
      </c>
      <c r="C163" t="s">
        <v>464</v>
      </c>
      <c r="D163">
        <v>5272885900131</v>
      </c>
      <c r="F163" t="s">
        <v>463</v>
      </c>
      <c r="G163" t="s">
        <v>3</v>
      </c>
      <c r="H163" t="s">
        <v>2</v>
      </c>
      <c r="I163" t="s">
        <v>462</v>
      </c>
      <c r="J163">
        <v>60025641</v>
      </c>
      <c r="K163" t="s">
        <v>143</v>
      </c>
      <c r="L163" t="s">
        <v>142</v>
      </c>
      <c r="M163" t="s">
        <v>10</v>
      </c>
      <c r="N163">
        <v>4</v>
      </c>
      <c r="O163" t="s">
        <v>461</v>
      </c>
      <c r="P163" t="s">
        <v>460</v>
      </c>
      <c r="Q163" t="s">
        <v>459</v>
      </c>
      <c r="R163" s="7">
        <v>31245</v>
      </c>
      <c r="S163" s="8">
        <f t="shared" si="16"/>
        <v>1985</v>
      </c>
      <c r="T163" s="8">
        <v>1985</v>
      </c>
      <c r="U163" s="8">
        <f t="shared" si="17"/>
        <v>37</v>
      </c>
      <c r="V163" s="7">
        <v>31245</v>
      </c>
      <c r="W163" t="s">
        <v>166</v>
      </c>
      <c r="X163" s="2">
        <v>1.59</v>
      </c>
      <c r="Y163" s="6">
        <f t="shared" si="18"/>
        <v>4.2444141907583888E-2</v>
      </c>
      <c r="AA163">
        <v>52728</v>
      </c>
      <c r="AB163">
        <v>16791</v>
      </c>
      <c r="AD163" t="s">
        <v>1</v>
      </c>
      <c r="AE163">
        <v>808</v>
      </c>
      <c r="AF163">
        <v>2</v>
      </c>
      <c r="AH163" t="s">
        <v>458</v>
      </c>
      <c r="AI163" t="s">
        <v>457</v>
      </c>
      <c r="AJ163" t="s">
        <v>456</v>
      </c>
      <c r="AK163" t="s">
        <v>455</v>
      </c>
      <c r="AL163">
        <v>5</v>
      </c>
      <c r="AM163" s="5">
        <f t="shared" si="19"/>
        <v>0.13513513513513514</v>
      </c>
      <c r="AN163" s="4">
        <f t="shared" si="20"/>
        <v>2.046726772209544E-4</v>
      </c>
      <c r="AO163" s="3"/>
      <c r="AP163">
        <v>0</v>
      </c>
      <c r="AR163" t="s">
        <v>0</v>
      </c>
      <c r="AT163" s="2" t="s">
        <v>4</v>
      </c>
      <c r="AU163" s="1">
        <f t="shared" si="21"/>
        <v>2.9772301138475008</v>
      </c>
      <c r="AV163" s="1">
        <f t="shared" si="22"/>
        <v>2.1324407292402423</v>
      </c>
      <c r="AW163" s="1">
        <f t="shared" si="23"/>
        <v>1.2876513446329834</v>
      </c>
    </row>
    <row r="164" spans="1:49" x14ac:dyDescent="0.2">
      <c r="A164">
        <v>162</v>
      </c>
      <c r="B164" t="s">
        <v>454</v>
      </c>
      <c r="C164" t="s">
        <v>453</v>
      </c>
      <c r="D164">
        <v>5272885900179</v>
      </c>
      <c r="F164" t="s">
        <v>452</v>
      </c>
      <c r="G164" t="s">
        <v>3</v>
      </c>
      <c r="H164" t="s">
        <v>2</v>
      </c>
      <c r="I164" t="s">
        <v>451</v>
      </c>
      <c r="J164">
        <v>60025038</v>
      </c>
      <c r="K164" t="s">
        <v>22</v>
      </c>
      <c r="L164" t="s">
        <v>21</v>
      </c>
      <c r="M164" t="s">
        <v>11</v>
      </c>
      <c r="N164">
        <v>1</v>
      </c>
      <c r="O164" t="s">
        <v>450</v>
      </c>
      <c r="P164">
        <v>57203081985</v>
      </c>
      <c r="Q164">
        <v>60025038</v>
      </c>
      <c r="R164" s="7">
        <v>31245</v>
      </c>
      <c r="S164" s="8">
        <f t="shared" si="16"/>
        <v>1985</v>
      </c>
      <c r="T164" s="8">
        <v>1985</v>
      </c>
      <c r="U164" s="8">
        <f t="shared" si="17"/>
        <v>37</v>
      </c>
      <c r="V164" s="7">
        <v>31245</v>
      </c>
      <c r="W164" t="s">
        <v>166</v>
      </c>
      <c r="X164" s="2">
        <v>1.59</v>
      </c>
      <c r="Y164" s="6">
        <f t="shared" si="18"/>
        <v>4.2444141907583888E-2</v>
      </c>
      <c r="AA164">
        <v>52728</v>
      </c>
      <c r="AB164">
        <v>16791</v>
      </c>
      <c r="AD164" t="s">
        <v>1</v>
      </c>
      <c r="AE164">
        <v>808</v>
      </c>
      <c r="AF164">
        <v>2</v>
      </c>
      <c r="AH164" t="s">
        <v>449</v>
      </c>
      <c r="AI164" t="s">
        <v>448</v>
      </c>
      <c r="AJ164" t="s">
        <v>447</v>
      </c>
      <c r="AK164" t="s">
        <v>446</v>
      </c>
      <c r="AL164">
        <v>157</v>
      </c>
      <c r="AM164" s="5">
        <f t="shared" si="19"/>
        <v>4.243243243243243</v>
      </c>
      <c r="AN164" s="4">
        <f t="shared" si="20"/>
        <v>6.4267220647379678E-3</v>
      </c>
      <c r="AO164" s="3"/>
      <c r="AP164">
        <v>0</v>
      </c>
      <c r="AR164" t="s">
        <v>0</v>
      </c>
      <c r="AT164" s="2" t="s">
        <v>4</v>
      </c>
      <c r="AU164" s="1">
        <f t="shared" si="21"/>
        <v>3.1638915954730109</v>
      </c>
      <c r="AV164" s="1">
        <f t="shared" si="22"/>
        <v>2.4435431986160929</v>
      </c>
      <c r="AW164" s="1">
        <f t="shared" si="23"/>
        <v>1.7231948017591745</v>
      </c>
    </row>
    <row r="165" spans="1:49" x14ac:dyDescent="0.2">
      <c r="A165">
        <v>163</v>
      </c>
      <c r="B165" t="s">
        <v>445</v>
      </c>
      <c r="C165" t="s">
        <v>444</v>
      </c>
      <c r="F165" t="s">
        <v>443</v>
      </c>
      <c r="G165" t="s">
        <v>3</v>
      </c>
      <c r="H165" t="s">
        <v>2</v>
      </c>
      <c r="I165" t="s">
        <v>199</v>
      </c>
      <c r="J165">
        <v>60103678</v>
      </c>
      <c r="K165" t="s">
        <v>198</v>
      </c>
      <c r="L165" t="s">
        <v>136</v>
      </c>
      <c r="M165" t="s">
        <v>11</v>
      </c>
      <c r="N165">
        <v>1</v>
      </c>
      <c r="O165" t="s">
        <v>197</v>
      </c>
      <c r="P165">
        <v>7005669951</v>
      </c>
      <c r="Q165">
        <v>60103678</v>
      </c>
      <c r="R165" s="7">
        <v>31243</v>
      </c>
      <c r="S165" s="8">
        <f t="shared" si="16"/>
        <v>1985</v>
      </c>
      <c r="T165" s="8">
        <v>1985</v>
      </c>
      <c r="U165" s="8">
        <f t="shared" si="17"/>
        <v>37</v>
      </c>
      <c r="V165" s="7">
        <v>31243</v>
      </c>
      <c r="W165" t="s">
        <v>157</v>
      </c>
      <c r="X165" s="2">
        <v>0.66800000000000004</v>
      </c>
      <c r="Y165" s="6">
        <f t="shared" si="18"/>
        <v>1.7831878486959774E-2</v>
      </c>
      <c r="AA165" t="s">
        <v>156</v>
      </c>
      <c r="AB165">
        <v>29593</v>
      </c>
      <c r="AC165">
        <v>21553165</v>
      </c>
      <c r="AD165" t="s">
        <v>1</v>
      </c>
      <c r="AE165">
        <v>24</v>
      </c>
      <c r="AF165">
        <v>14</v>
      </c>
      <c r="AH165" t="s">
        <v>442</v>
      </c>
      <c r="AI165" t="s">
        <v>441</v>
      </c>
      <c r="AK165" t="s">
        <v>440</v>
      </c>
      <c r="AL165">
        <v>1</v>
      </c>
      <c r="AM165" s="5">
        <f t="shared" si="19"/>
        <v>2.7027027027027029E-2</v>
      </c>
      <c r="AN165" s="4">
        <f t="shared" si="20"/>
        <v>4.0934535444190883E-5</v>
      </c>
      <c r="AO165" s="3"/>
      <c r="AP165">
        <v>0</v>
      </c>
      <c r="AR165" t="s">
        <v>0</v>
      </c>
      <c r="AT165" s="2">
        <v>1.98</v>
      </c>
      <c r="AU165" s="1">
        <f t="shared" si="21"/>
        <v>1.2494595301505098</v>
      </c>
      <c r="AV165" s="1">
        <f t="shared" si="22"/>
        <v>0.8936406511201983</v>
      </c>
      <c r="AW165" s="1">
        <f t="shared" si="23"/>
        <v>0.53782177208988646</v>
      </c>
    </row>
    <row r="166" spans="1:49" x14ac:dyDescent="0.2">
      <c r="A166">
        <v>164</v>
      </c>
      <c r="B166" t="s">
        <v>439</v>
      </c>
      <c r="C166" t="s">
        <v>438</v>
      </c>
      <c r="F166" t="s">
        <v>437</v>
      </c>
      <c r="G166" t="s">
        <v>3</v>
      </c>
      <c r="H166" t="s">
        <v>2</v>
      </c>
      <c r="I166" t="s">
        <v>94</v>
      </c>
      <c r="J166">
        <v>60030526</v>
      </c>
      <c r="K166" t="s">
        <v>93</v>
      </c>
      <c r="L166" t="s">
        <v>39</v>
      </c>
      <c r="M166" t="s">
        <v>35</v>
      </c>
      <c r="N166">
        <v>3</v>
      </c>
      <c r="O166" t="s">
        <v>436</v>
      </c>
      <c r="P166" t="s">
        <v>435</v>
      </c>
      <c r="Q166" t="s">
        <v>92</v>
      </c>
      <c r="R166" s="7">
        <v>31232</v>
      </c>
      <c r="S166" s="8">
        <f t="shared" si="16"/>
        <v>1985</v>
      </c>
      <c r="T166" s="8">
        <v>1985</v>
      </c>
      <c r="U166" s="8">
        <f t="shared" si="17"/>
        <v>37</v>
      </c>
      <c r="V166" s="7">
        <v>31232</v>
      </c>
      <c r="W166" t="s">
        <v>34</v>
      </c>
      <c r="X166" s="2">
        <v>0.375</v>
      </c>
      <c r="Y166" s="6">
        <f t="shared" si="18"/>
        <v>1.0010410827260351E-2</v>
      </c>
      <c r="AA166">
        <v>135194</v>
      </c>
      <c r="AB166">
        <v>24918</v>
      </c>
      <c r="AD166" t="s">
        <v>1</v>
      </c>
      <c r="AE166">
        <v>21</v>
      </c>
      <c r="AF166">
        <v>14</v>
      </c>
      <c r="AH166" t="s">
        <v>434</v>
      </c>
      <c r="AI166" t="s">
        <v>433</v>
      </c>
      <c r="AJ166" t="s">
        <v>139</v>
      </c>
      <c r="AK166" t="s">
        <v>432</v>
      </c>
      <c r="AL166">
        <v>5</v>
      </c>
      <c r="AM166" s="5">
        <f t="shared" si="19"/>
        <v>0.13513513513513514</v>
      </c>
      <c r="AN166" s="4">
        <f t="shared" si="20"/>
        <v>2.046726772209544E-4</v>
      </c>
      <c r="AO166" s="3"/>
      <c r="AP166">
        <v>0</v>
      </c>
      <c r="AR166" t="s">
        <v>0</v>
      </c>
      <c r="AT166" s="2">
        <v>1.3140000000000001</v>
      </c>
      <c r="AU166" s="1">
        <f t="shared" si="21"/>
        <v>0.70686893822485319</v>
      </c>
      <c r="AV166" s="1">
        <f t="shared" si="22"/>
        <v>0.5107541752240653</v>
      </c>
      <c r="AW166" s="1">
        <f t="shared" si="23"/>
        <v>0.31463941222327735</v>
      </c>
    </row>
    <row r="167" spans="1:49" x14ac:dyDescent="0.2">
      <c r="A167">
        <v>165</v>
      </c>
      <c r="B167" t="s">
        <v>431</v>
      </c>
      <c r="C167" t="s">
        <v>430</v>
      </c>
      <c r="F167" t="s">
        <v>429</v>
      </c>
      <c r="G167" t="s">
        <v>3</v>
      </c>
      <c r="H167" t="s">
        <v>2</v>
      </c>
      <c r="I167" t="s">
        <v>428</v>
      </c>
      <c r="J167">
        <v>60032139</v>
      </c>
      <c r="K167" t="s">
        <v>427</v>
      </c>
      <c r="L167" t="s">
        <v>179</v>
      </c>
      <c r="M167" t="s">
        <v>32</v>
      </c>
      <c r="N167">
        <v>1</v>
      </c>
      <c r="O167" t="s">
        <v>426</v>
      </c>
      <c r="P167">
        <v>57203479342</v>
      </c>
      <c r="Q167">
        <v>60032139</v>
      </c>
      <c r="R167" s="7">
        <v>31232</v>
      </c>
      <c r="S167" s="8">
        <f t="shared" si="16"/>
        <v>1985</v>
      </c>
      <c r="T167" s="8">
        <v>1985</v>
      </c>
      <c r="U167" s="8">
        <f t="shared" si="17"/>
        <v>37</v>
      </c>
      <c r="V167" s="7">
        <v>31232</v>
      </c>
      <c r="W167" t="s">
        <v>34</v>
      </c>
      <c r="X167" s="2">
        <v>0.375</v>
      </c>
      <c r="Y167" s="6">
        <f t="shared" si="18"/>
        <v>1.0010410827260351E-2</v>
      </c>
      <c r="AA167">
        <v>135194</v>
      </c>
      <c r="AB167">
        <v>24918</v>
      </c>
      <c r="AD167" t="s">
        <v>1</v>
      </c>
      <c r="AE167">
        <v>21</v>
      </c>
      <c r="AF167">
        <v>14</v>
      </c>
      <c r="AH167" t="s">
        <v>425</v>
      </c>
      <c r="AI167" t="s">
        <v>424</v>
      </c>
      <c r="AJ167" t="s">
        <v>423</v>
      </c>
      <c r="AK167" t="s">
        <v>422</v>
      </c>
      <c r="AL167">
        <v>4</v>
      </c>
      <c r="AM167" s="5">
        <f t="shared" si="19"/>
        <v>0.10810810810810811</v>
      </c>
      <c r="AN167" s="4">
        <f t="shared" si="20"/>
        <v>1.6373814177676353E-4</v>
      </c>
      <c r="AO167" s="3"/>
      <c r="AP167">
        <v>0</v>
      </c>
      <c r="AR167" t="s">
        <v>0</v>
      </c>
      <c r="AT167" s="2">
        <v>1.3140000000000001</v>
      </c>
      <c r="AU167" s="1">
        <f t="shared" si="21"/>
        <v>0.70564090216152753</v>
      </c>
      <c r="AV167" s="1">
        <f t="shared" si="22"/>
        <v>0.50870744845185578</v>
      </c>
      <c r="AW167" s="1">
        <f t="shared" si="23"/>
        <v>0.31177399474218398</v>
      </c>
    </row>
    <row r="168" spans="1:49" x14ac:dyDescent="0.2">
      <c r="A168">
        <v>166</v>
      </c>
      <c r="B168" t="s">
        <v>421</v>
      </c>
      <c r="C168" t="s">
        <v>420</v>
      </c>
      <c r="F168" t="s">
        <v>419</v>
      </c>
      <c r="G168" t="s">
        <v>3</v>
      </c>
      <c r="H168" t="s">
        <v>2</v>
      </c>
      <c r="I168" t="s">
        <v>418</v>
      </c>
      <c r="J168">
        <v>60020306</v>
      </c>
      <c r="K168" t="s">
        <v>417</v>
      </c>
      <c r="L168" t="s">
        <v>416</v>
      </c>
      <c r="M168" t="s">
        <v>10</v>
      </c>
      <c r="N168">
        <v>1</v>
      </c>
      <c r="O168" t="s">
        <v>415</v>
      </c>
      <c r="P168">
        <v>7003584300</v>
      </c>
      <c r="Q168">
        <v>60020306</v>
      </c>
      <c r="R168" s="7">
        <v>31229</v>
      </c>
      <c r="S168" s="8">
        <f t="shared" si="16"/>
        <v>1985</v>
      </c>
      <c r="T168" s="8">
        <v>1985</v>
      </c>
      <c r="U168" s="8">
        <f t="shared" si="17"/>
        <v>37</v>
      </c>
      <c r="V168" s="7">
        <v>31229</v>
      </c>
      <c r="W168" t="s">
        <v>414</v>
      </c>
      <c r="X168" s="2">
        <v>0.46</v>
      </c>
      <c r="Y168" s="6">
        <f t="shared" si="18"/>
        <v>1.2279437281439364E-2</v>
      </c>
      <c r="AA168">
        <v>3014223</v>
      </c>
      <c r="AB168">
        <v>23257</v>
      </c>
      <c r="AD168" t="s">
        <v>1</v>
      </c>
      <c r="AE168">
        <v>12</v>
      </c>
      <c r="AF168">
        <v>3</v>
      </c>
      <c r="AH168" t="s">
        <v>413</v>
      </c>
      <c r="AI168" t="s">
        <v>412</v>
      </c>
      <c r="AJ168" t="s">
        <v>411</v>
      </c>
      <c r="AK168" t="s">
        <v>410</v>
      </c>
      <c r="AL168">
        <v>1</v>
      </c>
      <c r="AM168" s="5">
        <f t="shared" si="19"/>
        <v>2.7027027027027029E-2</v>
      </c>
      <c r="AN168" s="4">
        <f t="shared" si="20"/>
        <v>4.0934535444190883E-5</v>
      </c>
      <c r="AO168" s="3"/>
      <c r="AP168">
        <v>1</v>
      </c>
      <c r="AR168" t="s">
        <v>0</v>
      </c>
      <c r="AT168" s="2">
        <v>1.115</v>
      </c>
      <c r="AU168" s="1">
        <f t="shared" si="21"/>
        <v>0.8607886457640811</v>
      </c>
      <c r="AV168" s="1">
        <f t="shared" si="22"/>
        <v>0.61601859084417765</v>
      </c>
      <c r="AW168" s="1">
        <f t="shared" si="23"/>
        <v>0.37124853592427426</v>
      </c>
    </row>
    <row r="169" spans="1:49" x14ac:dyDescent="0.2">
      <c r="A169">
        <v>167</v>
      </c>
      <c r="B169" t="s">
        <v>409</v>
      </c>
      <c r="C169" t="s">
        <v>408</v>
      </c>
      <c r="F169" t="s">
        <v>407</v>
      </c>
      <c r="G169" t="s">
        <v>3</v>
      </c>
      <c r="H169" t="s">
        <v>2</v>
      </c>
      <c r="I169" t="s">
        <v>406</v>
      </c>
      <c r="J169">
        <v>60022148</v>
      </c>
      <c r="K169" t="s">
        <v>61</v>
      </c>
      <c r="L169" t="s">
        <v>60</v>
      </c>
      <c r="M169" t="s">
        <v>32</v>
      </c>
      <c r="N169">
        <v>1</v>
      </c>
      <c r="O169" t="s">
        <v>405</v>
      </c>
      <c r="P169">
        <v>7202841709</v>
      </c>
      <c r="Q169">
        <v>60022148</v>
      </c>
      <c r="R169" s="7">
        <v>31229</v>
      </c>
      <c r="S169" s="8">
        <f t="shared" si="16"/>
        <v>1985</v>
      </c>
      <c r="T169" s="8">
        <v>1985</v>
      </c>
      <c r="U169" s="8">
        <f t="shared" si="17"/>
        <v>37</v>
      </c>
      <c r="V169" s="7">
        <v>31229</v>
      </c>
      <c r="W169" t="s">
        <v>253</v>
      </c>
      <c r="X169" s="2">
        <v>0.33800000000000002</v>
      </c>
      <c r="Y169" s="6">
        <f t="shared" si="18"/>
        <v>9.0227169589706634E-3</v>
      </c>
      <c r="AA169">
        <v>34347</v>
      </c>
      <c r="AB169">
        <v>17722</v>
      </c>
      <c r="AC169">
        <v>19589395</v>
      </c>
      <c r="AD169" t="s">
        <v>1</v>
      </c>
      <c r="AE169">
        <v>40</v>
      </c>
      <c r="AF169" s="9">
        <v>44415</v>
      </c>
      <c r="AH169" t="s">
        <v>404</v>
      </c>
      <c r="AI169" t="s">
        <v>403</v>
      </c>
      <c r="AJ169" t="s">
        <v>402</v>
      </c>
      <c r="AK169" t="s">
        <v>401</v>
      </c>
      <c r="AL169">
        <v>1</v>
      </c>
      <c r="AM169" s="5">
        <f t="shared" si="19"/>
        <v>2.7027027027027029E-2</v>
      </c>
      <c r="AN169" s="4">
        <f t="shared" si="20"/>
        <v>4.0934535444190883E-5</v>
      </c>
      <c r="AO169" s="3"/>
      <c r="AP169">
        <v>0</v>
      </c>
      <c r="AR169" t="s">
        <v>0</v>
      </c>
      <c r="AT169" s="2" t="s">
        <v>4</v>
      </c>
      <c r="AU169" s="1">
        <f t="shared" si="21"/>
        <v>0.63281822319127212</v>
      </c>
      <c r="AV169" s="1">
        <f t="shared" si="22"/>
        <v>0.45318257472074269</v>
      </c>
      <c r="AW169" s="1">
        <f t="shared" si="23"/>
        <v>0.27354692625021326</v>
      </c>
    </row>
    <row r="170" spans="1:49" x14ac:dyDescent="0.2">
      <c r="A170">
        <v>168</v>
      </c>
      <c r="B170" t="s">
        <v>400</v>
      </c>
      <c r="C170" t="s">
        <v>399</v>
      </c>
      <c r="F170" t="s">
        <v>398</v>
      </c>
      <c r="G170" t="s">
        <v>3</v>
      </c>
      <c r="H170" t="s">
        <v>2</v>
      </c>
      <c r="I170" t="s">
        <v>397</v>
      </c>
      <c r="J170">
        <v>100996413</v>
      </c>
      <c r="K170" t="s">
        <v>396</v>
      </c>
      <c r="L170" t="s">
        <v>395</v>
      </c>
      <c r="M170" t="s">
        <v>123</v>
      </c>
      <c r="N170">
        <v>1</v>
      </c>
      <c r="O170" t="s">
        <v>394</v>
      </c>
      <c r="P170">
        <v>24787172500</v>
      </c>
      <c r="Q170">
        <v>100996413</v>
      </c>
      <c r="R170" s="7">
        <v>31229</v>
      </c>
      <c r="S170" s="8">
        <f t="shared" si="16"/>
        <v>1985</v>
      </c>
      <c r="T170" s="8">
        <v>1985</v>
      </c>
      <c r="U170" s="8">
        <f t="shared" si="17"/>
        <v>37</v>
      </c>
      <c r="V170" s="7">
        <v>31229</v>
      </c>
      <c r="W170" t="s">
        <v>144</v>
      </c>
      <c r="X170" s="2">
        <v>0.11700000000000001</v>
      </c>
      <c r="Y170" s="6">
        <f t="shared" si="18"/>
        <v>3.1232481781052297E-3</v>
      </c>
      <c r="AA170">
        <v>2179822</v>
      </c>
      <c r="AB170">
        <v>5300152612</v>
      </c>
      <c r="AC170">
        <v>19930615</v>
      </c>
      <c r="AD170" t="s">
        <v>1</v>
      </c>
      <c r="AE170">
        <v>2</v>
      </c>
      <c r="AF170">
        <v>3</v>
      </c>
      <c r="AH170" t="s">
        <v>393</v>
      </c>
      <c r="AI170" t="s">
        <v>392</v>
      </c>
      <c r="AK170" t="s">
        <v>391</v>
      </c>
      <c r="AL170">
        <v>0</v>
      </c>
      <c r="AM170" s="5">
        <f t="shared" si="19"/>
        <v>0</v>
      </c>
      <c r="AN170" s="4">
        <f t="shared" si="20"/>
        <v>0</v>
      </c>
      <c r="AO170" s="3"/>
      <c r="AP170">
        <v>0</v>
      </c>
      <c r="AR170" t="s">
        <v>0</v>
      </c>
      <c r="AT170" s="2" t="s">
        <v>4</v>
      </c>
      <c r="AU170" s="1">
        <f t="shared" si="21"/>
        <v>0.21862737246736608</v>
      </c>
      <c r="AV170" s="1">
        <f t="shared" si="22"/>
        <v>0.15616240890526148</v>
      </c>
      <c r="AW170" s="1">
        <f t="shared" si="23"/>
        <v>9.3697445343156896E-2</v>
      </c>
    </row>
    <row r="171" spans="1:49" x14ac:dyDescent="0.2">
      <c r="A171">
        <v>169</v>
      </c>
      <c r="B171" t="s">
        <v>390</v>
      </c>
      <c r="C171" t="s">
        <v>389</v>
      </c>
      <c r="F171" t="s">
        <v>388</v>
      </c>
      <c r="G171" t="s">
        <v>3</v>
      </c>
      <c r="H171" t="s">
        <v>2</v>
      </c>
      <c r="I171" t="s">
        <v>387</v>
      </c>
      <c r="J171">
        <v>60025578</v>
      </c>
      <c r="K171" t="s">
        <v>386</v>
      </c>
      <c r="L171" t="s">
        <v>385</v>
      </c>
      <c r="M171" t="s">
        <v>123</v>
      </c>
      <c r="N171">
        <v>1</v>
      </c>
      <c r="O171" t="s">
        <v>384</v>
      </c>
      <c r="P171">
        <v>24789057400</v>
      </c>
      <c r="Q171">
        <v>60025578</v>
      </c>
      <c r="R171" s="7">
        <v>31229</v>
      </c>
      <c r="S171" s="8">
        <f t="shared" si="16"/>
        <v>1985</v>
      </c>
      <c r="T171" s="8">
        <v>1985</v>
      </c>
      <c r="U171" s="8">
        <f t="shared" si="17"/>
        <v>37</v>
      </c>
      <c r="V171" s="7">
        <v>31229</v>
      </c>
      <c r="W171" t="s">
        <v>144</v>
      </c>
      <c r="X171" s="2">
        <v>0.11700000000000001</v>
      </c>
      <c r="Y171" s="6">
        <f t="shared" si="18"/>
        <v>3.1232481781052297E-3</v>
      </c>
      <c r="AA171">
        <v>2179822</v>
      </c>
      <c r="AB171">
        <v>5300152612</v>
      </c>
      <c r="AC171">
        <v>19930615</v>
      </c>
      <c r="AD171" t="s">
        <v>1</v>
      </c>
      <c r="AE171">
        <v>2</v>
      </c>
      <c r="AF171">
        <v>3</v>
      </c>
      <c r="AH171" t="s">
        <v>383</v>
      </c>
      <c r="AI171" t="s">
        <v>382</v>
      </c>
      <c r="AK171" t="s">
        <v>381</v>
      </c>
      <c r="AL171">
        <v>2</v>
      </c>
      <c r="AM171" s="5">
        <f t="shared" si="19"/>
        <v>5.4054054054054057E-2</v>
      </c>
      <c r="AN171" s="4">
        <f t="shared" si="20"/>
        <v>8.1869070888381765E-5</v>
      </c>
      <c r="AO171" s="3"/>
      <c r="AP171">
        <v>0</v>
      </c>
      <c r="AR171" t="s">
        <v>0</v>
      </c>
      <c r="AT171" s="2" t="s">
        <v>4</v>
      </c>
      <c r="AU171" s="1">
        <f t="shared" si="21"/>
        <v>0.22108344459401755</v>
      </c>
      <c r="AV171" s="1">
        <f t="shared" si="22"/>
        <v>0.16025586244968057</v>
      </c>
      <c r="AW171" s="1">
        <f t="shared" si="23"/>
        <v>9.9428280305343619E-2</v>
      </c>
    </row>
    <row r="172" spans="1:49" x14ac:dyDescent="0.2">
      <c r="A172">
        <v>170</v>
      </c>
      <c r="B172" t="s">
        <v>380</v>
      </c>
      <c r="C172" t="s">
        <v>379</v>
      </c>
      <c r="F172" t="s">
        <v>378</v>
      </c>
      <c r="G172" t="s">
        <v>3</v>
      </c>
      <c r="H172" t="s">
        <v>2</v>
      </c>
      <c r="I172" t="s">
        <v>377</v>
      </c>
      <c r="J172" t="s">
        <v>376</v>
      </c>
      <c r="K172" t="s">
        <v>375</v>
      </c>
      <c r="L172" t="s">
        <v>374</v>
      </c>
      <c r="M172" t="s">
        <v>13</v>
      </c>
      <c r="N172">
        <v>4</v>
      </c>
      <c r="O172" t="s">
        <v>373</v>
      </c>
      <c r="P172" t="s">
        <v>372</v>
      </c>
      <c r="Q172" t="s">
        <v>371</v>
      </c>
      <c r="R172" s="7">
        <v>31229</v>
      </c>
      <c r="S172" s="8">
        <f t="shared" si="16"/>
        <v>1985</v>
      </c>
      <c r="T172" s="8">
        <v>1985</v>
      </c>
      <c r="U172" s="8">
        <f t="shared" si="17"/>
        <v>37</v>
      </c>
      <c r="V172" s="7">
        <v>31229</v>
      </c>
      <c r="W172" t="s">
        <v>370</v>
      </c>
      <c r="X172" s="2">
        <v>0.85499999999999998</v>
      </c>
      <c r="Y172" s="6">
        <f t="shared" si="18"/>
        <v>2.28237366861536E-2</v>
      </c>
      <c r="AA172">
        <v>980331</v>
      </c>
      <c r="AB172">
        <v>23342</v>
      </c>
      <c r="AC172">
        <v>15731561</v>
      </c>
      <c r="AD172" t="s">
        <v>1</v>
      </c>
      <c r="AE172">
        <v>11</v>
      </c>
      <c r="AF172">
        <v>7</v>
      </c>
      <c r="AH172" t="s">
        <v>369</v>
      </c>
      <c r="AI172" t="s">
        <v>368</v>
      </c>
      <c r="AJ172" t="s">
        <v>367</v>
      </c>
      <c r="AK172" t="s">
        <v>366</v>
      </c>
      <c r="AL172">
        <v>18</v>
      </c>
      <c r="AM172" s="5">
        <f t="shared" si="19"/>
        <v>0.48648648648648651</v>
      </c>
      <c r="AN172" s="4">
        <f t="shared" si="20"/>
        <v>7.368216379954358E-4</v>
      </c>
      <c r="AO172" s="3"/>
      <c r="AP172">
        <v>0</v>
      </c>
      <c r="AR172" t="s">
        <v>0</v>
      </c>
      <c r="AT172" s="2">
        <v>2.6259999999999999</v>
      </c>
      <c r="AU172" s="1">
        <f t="shared" si="21"/>
        <v>1.6197662171706146</v>
      </c>
      <c r="AV172" s="1">
        <f t="shared" si="22"/>
        <v>1.1780279162074518</v>
      </c>
      <c r="AW172" s="1">
        <f t="shared" si="23"/>
        <v>0.7362896152442886</v>
      </c>
    </row>
    <row r="173" spans="1:49" x14ac:dyDescent="0.2">
      <c r="A173">
        <v>171</v>
      </c>
      <c r="B173" t="s">
        <v>365</v>
      </c>
      <c r="C173" t="s">
        <v>364</v>
      </c>
      <c r="F173" t="s">
        <v>363</v>
      </c>
      <c r="G173" t="s">
        <v>3</v>
      </c>
      <c r="H173" t="s">
        <v>2</v>
      </c>
      <c r="I173" t="s">
        <v>362</v>
      </c>
      <c r="J173">
        <v>60022002</v>
      </c>
      <c r="K173" t="s">
        <v>361</v>
      </c>
      <c r="L173" t="s">
        <v>360</v>
      </c>
      <c r="M173" t="s">
        <v>102</v>
      </c>
      <c r="N173">
        <v>1</v>
      </c>
      <c r="O173" t="s">
        <v>359</v>
      </c>
      <c r="P173">
        <v>7006099581</v>
      </c>
      <c r="Q173">
        <v>60022002</v>
      </c>
      <c r="R173" s="7">
        <v>31229</v>
      </c>
      <c r="S173" s="8">
        <f t="shared" si="16"/>
        <v>1985</v>
      </c>
      <c r="T173" s="8">
        <v>1985</v>
      </c>
      <c r="U173" s="8">
        <f t="shared" si="17"/>
        <v>37</v>
      </c>
      <c r="V173" s="7">
        <v>31229</v>
      </c>
      <c r="W173" t="s">
        <v>253</v>
      </c>
      <c r="X173" s="2">
        <v>0.33800000000000002</v>
      </c>
      <c r="Y173" s="6">
        <f t="shared" si="18"/>
        <v>9.0227169589706634E-3</v>
      </c>
      <c r="AA173">
        <v>34347</v>
      </c>
      <c r="AB173">
        <v>17722</v>
      </c>
      <c r="AC173">
        <v>19589395</v>
      </c>
      <c r="AD173" t="s">
        <v>1</v>
      </c>
      <c r="AE173">
        <v>40</v>
      </c>
      <c r="AF173" s="9">
        <v>44415</v>
      </c>
      <c r="AH173" t="s">
        <v>358</v>
      </c>
      <c r="AI173" t="s">
        <v>357</v>
      </c>
      <c r="AJ173" t="s">
        <v>356</v>
      </c>
      <c r="AK173" t="s">
        <v>355</v>
      </c>
      <c r="AL173">
        <v>1</v>
      </c>
      <c r="AM173" s="5">
        <f t="shared" si="19"/>
        <v>2.7027027027027029E-2</v>
      </c>
      <c r="AN173" s="4">
        <f t="shared" si="20"/>
        <v>4.0934535444190883E-5</v>
      </c>
      <c r="AO173" s="3"/>
      <c r="AP173">
        <v>0</v>
      </c>
      <c r="AR173" t="s">
        <v>0</v>
      </c>
      <c r="AT173" s="2" t="s">
        <v>4</v>
      </c>
      <c r="AU173" s="1">
        <f t="shared" si="21"/>
        <v>0.63281822319127212</v>
      </c>
      <c r="AV173" s="1">
        <f t="shared" si="22"/>
        <v>0.45318257472074269</v>
      </c>
      <c r="AW173" s="1">
        <f t="shared" si="23"/>
        <v>0.27354692625021326</v>
      </c>
    </row>
    <row r="174" spans="1:49" x14ac:dyDescent="0.2">
      <c r="A174">
        <v>172</v>
      </c>
      <c r="B174" t="s">
        <v>354</v>
      </c>
      <c r="F174" t="s">
        <v>353</v>
      </c>
      <c r="G174" t="s">
        <v>3</v>
      </c>
      <c r="H174" t="s">
        <v>2</v>
      </c>
      <c r="I174" t="s">
        <v>352</v>
      </c>
      <c r="N174">
        <v>1</v>
      </c>
      <c r="O174" t="s">
        <v>351</v>
      </c>
      <c r="P174">
        <v>6506476708</v>
      </c>
      <c r="R174" s="7">
        <v>31229</v>
      </c>
      <c r="S174" s="8">
        <f t="shared" si="16"/>
        <v>1985</v>
      </c>
      <c r="T174" s="8">
        <v>1985</v>
      </c>
      <c r="U174" s="8">
        <f t="shared" si="17"/>
        <v>37</v>
      </c>
      <c r="V174" s="7">
        <v>31229</v>
      </c>
      <c r="W174" t="s">
        <v>350</v>
      </c>
      <c r="X174" s="2" t="s">
        <v>4</v>
      </c>
      <c r="Y174" s="6" t="e">
        <f t="shared" si="18"/>
        <v>#VALUE!</v>
      </c>
      <c r="AA174" t="s">
        <v>349</v>
      </c>
      <c r="AB174">
        <v>13750</v>
      </c>
      <c r="AD174" t="s">
        <v>1</v>
      </c>
      <c r="AE174">
        <v>38</v>
      </c>
      <c r="AF174">
        <v>7</v>
      </c>
      <c r="AH174" t="s">
        <v>348</v>
      </c>
      <c r="AI174" t="s">
        <v>347</v>
      </c>
      <c r="AK174" t="s">
        <v>346</v>
      </c>
      <c r="AL174">
        <v>2</v>
      </c>
      <c r="AM174" s="5">
        <f t="shared" si="19"/>
        <v>5.4054054054054057E-2</v>
      </c>
      <c r="AN174" s="4">
        <f t="shared" si="20"/>
        <v>8.1869070888381765E-5</v>
      </c>
      <c r="AO174" s="3"/>
      <c r="AP174">
        <v>0</v>
      </c>
      <c r="AR174" t="s">
        <v>0</v>
      </c>
      <c r="AT174" s="2" t="s">
        <v>4</v>
      </c>
      <c r="AU174" s="1" t="e">
        <f t="shared" si="21"/>
        <v>#VALUE!</v>
      </c>
      <c r="AV174" s="1" t="e">
        <f t="shared" si="22"/>
        <v>#VALUE!</v>
      </c>
      <c r="AW174" s="1" t="e">
        <f t="shared" si="23"/>
        <v>#VALUE!</v>
      </c>
    </row>
    <row r="175" spans="1:49" x14ac:dyDescent="0.2">
      <c r="A175">
        <v>173</v>
      </c>
      <c r="B175" t="s">
        <v>345</v>
      </c>
      <c r="C175" t="s">
        <v>344</v>
      </c>
      <c r="F175" t="s">
        <v>343</v>
      </c>
      <c r="G175" t="s">
        <v>3</v>
      </c>
      <c r="H175" t="s">
        <v>2</v>
      </c>
      <c r="I175" t="s">
        <v>342</v>
      </c>
      <c r="J175">
        <v>60015815</v>
      </c>
      <c r="K175" t="s">
        <v>209</v>
      </c>
      <c r="L175" t="s">
        <v>208</v>
      </c>
      <c r="M175" t="s">
        <v>10</v>
      </c>
      <c r="N175">
        <v>1</v>
      </c>
      <c r="O175" t="s">
        <v>341</v>
      </c>
      <c r="P175">
        <v>7101686861</v>
      </c>
      <c r="Q175">
        <v>60015815</v>
      </c>
      <c r="R175" s="7">
        <v>31229</v>
      </c>
      <c r="S175" s="8">
        <f t="shared" si="16"/>
        <v>1985</v>
      </c>
      <c r="T175" s="8">
        <v>1985</v>
      </c>
      <c r="U175" s="8">
        <f t="shared" si="17"/>
        <v>37</v>
      </c>
      <c r="V175" s="7">
        <v>31229</v>
      </c>
      <c r="W175" t="s">
        <v>173</v>
      </c>
      <c r="X175" s="2">
        <v>0.61499999999999999</v>
      </c>
      <c r="Y175" s="6">
        <f t="shared" si="18"/>
        <v>1.6417073756706976E-2</v>
      </c>
      <c r="AA175">
        <v>1959271</v>
      </c>
      <c r="AB175">
        <v>12141</v>
      </c>
      <c r="AC175">
        <v>15729559</v>
      </c>
      <c r="AD175" t="s">
        <v>1</v>
      </c>
      <c r="AE175">
        <v>6</v>
      </c>
      <c r="AF175">
        <v>7</v>
      </c>
      <c r="AH175" t="s">
        <v>340</v>
      </c>
      <c r="AI175" t="s">
        <v>339</v>
      </c>
      <c r="AJ175" t="s">
        <v>338</v>
      </c>
      <c r="AK175" t="s">
        <v>337</v>
      </c>
      <c r="AL175">
        <v>19</v>
      </c>
      <c r="AM175" s="5">
        <f t="shared" si="19"/>
        <v>0.51351351351351349</v>
      </c>
      <c r="AN175" s="4">
        <f t="shared" si="20"/>
        <v>7.7775617343962659E-4</v>
      </c>
      <c r="AO175" s="3"/>
      <c r="AP175">
        <v>0</v>
      </c>
      <c r="AR175" t="s">
        <v>0</v>
      </c>
      <c r="AT175" s="2" t="s">
        <v>4</v>
      </c>
      <c r="AU175" s="1">
        <f t="shared" si="21"/>
        <v>1.1725278481726771</v>
      </c>
      <c r="AV175" s="1">
        <f t="shared" si="22"/>
        <v>0.85974149650733023</v>
      </c>
      <c r="AW175" s="1">
        <f t="shared" si="23"/>
        <v>0.54695514484198315</v>
      </c>
    </row>
    <row r="176" spans="1:49" x14ac:dyDescent="0.2">
      <c r="A176">
        <v>174</v>
      </c>
      <c r="B176" t="s">
        <v>336</v>
      </c>
      <c r="C176" t="s">
        <v>335</v>
      </c>
      <c r="F176" t="s">
        <v>334</v>
      </c>
      <c r="G176" t="s">
        <v>3</v>
      </c>
      <c r="H176" t="s">
        <v>2</v>
      </c>
      <c r="I176" t="s">
        <v>333</v>
      </c>
      <c r="J176">
        <v>60009386</v>
      </c>
      <c r="K176" t="s">
        <v>87</v>
      </c>
      <c r="L176" t="s">
        <v>86</v>
      </c>
      <c r="M176" t="s">
        <v>19</v>
      </c>
      <c r="N176">
        <v>2</v>
      </c>
      <c r="O176" t="s">
        <v>332</v>
      </c>
      <c r="P176" t="s">
        <v>331</v>
      </c>
      <c r="Q176" t="s">
        <v>85</v>
      </c>
      <c r="R176" s="7">
        <v>31229</v>
      </c>
      <c r="S176" s="8">
        <f t="shared" si="16"/>
        <v>1985</v>
      </c>
      <c r="T176" s="8">
        <v>1985</v>
      </c>
      <c r="U176" s="8">
        <f t="shared" si="17"/>
        <v>37</v>
      </c>
      <c r="V176" s="7">
        <v>31229</v>
      </c>
      <c r="W176" t="s">
        <v>173</v>
      </c>
      <c r="X176" s="2">
        <v>0.61499999999999999</v>
      </c>
      <c r="Y176" s="6">
        <f t="shared" si="18"/>
        <v>1.6417073756706976E-2</v>
      </c>
      <c r="AA176">
        <v>1959271</v>
      </c>
      <c r="AB176">
        <v>12141</v>
      </c>
      <c r="AC176">
        <v>15729559</v>
      </c>
      <c r="AD176" t="s">
        <v>1</v>
      </c>
      <c r="AE176">
        <v>6</v>
      </c>
      <c r="AF176">
        <v>7</v>
      </c>
      <c r="AH176" t="s">
        <v>330</v>
      </c>
      <c r="AI176" t="s">
        <v>329</v>
      </c>
      <c r="AK176" t="s">
        <v>328</v>
      </c>
      <c r="AL176">
        <v>4</v>
      </c>
      <c r="AM176" s="5">
        <f t="shared" si="19"/>
        <v>0.10810810810810811</v>
      </c>
      <c r="AN176" s="4">
        <f t="shared" si="20"/>
        <v>1.6373814177676353E-4</v>
      </c>
      <c r="AO176" s="3"/>
      <c r="AP176">
        <v>0</v>
      </c>
      <c r="AR176" t="s">
        <v>0</v>
      </c>
      <c r="AT176" s="2" t="s">
        <v>4</v>
      </c>
      <c r="AU176" s="1">
        <f t="shared" si="21"/>
        <v>1.154107307222791</v>
      </c>
      <c r="AV176" s="1">
        <f t="shared" si="22"/>
        <v>0.82904059492418702</v>
      </c>
      <c r="AW176" s="1">
        <f t="shared" si="23"/>
        <v>0.50397388262558274</v>
      </c>
    </row>
    <row r="177" spans="1:49" x14ac:dyDescent="0.2">
      <c r="A177">
        <v>175</v>
      </c>
      <c r="B177" t="s">
        <v>327</v>
      </c>
      <c r="F177" t="s">
        <v>326</v>
      </c>
      <c r="G177" t="s">
        <v>3</v>
      </c>
      <c r="H177" t="s">
        <v>2</v>
      </c>
      <c r="I177" t="s">
        <v>162</v>
      </c>
      <c r="J177">
        <v>60009254</v>
      </c>
      <c r="K177" t="s">
        <v>325</v>
      </c>
      <c r="L177" t="s">
        <v>324</v>
      </c>
      <c r="M177" t="s">
        <v>11</v>
      </c>
      <c r="N177">
        <v>2</v>
      </c>
      <c r="O177" t="s">
        <v>323</v>
      </c>
      <c r="P177" t="s">
        <v>161</v>
      </c>
      <c r="Q177" t="s">
        <v>322</v>
      </c>
      <c r="R177" s="7">
        <v>31229</v>
      </c>
      <c r="S177" s="8">
        <f t="shared" si="16"/>
        <v>1985</v>
      </c>
      <c r="T177" s="8">
        <v>1985</v>
      </c>
      <c r="U177" s="8">
        <f t="shared" si="17"/>
        <v>37</v>
      </c>
      <c r="V177" s="7">
        <v>31229</v>
      </c>
      <c r="W177" t="s">
        <v>47</v>
      </c>
      <c r="X177" s="2">
        <v>1.573</v>
      </c>
      <c r="Y177" s="6">
        <f t="shared" si="18"/>
        <v>4.1990336616748086E-2</v>
      </c>
      <c r="AA177">
        <v>7315090</v>
      </c>
      <c r="AB177">
        <v>29586</v>
      </c>
      <c r="AD177" t="s">
        <v>1</v>
      </c>
      <c r="AE177">
        <v>8</v>
      </c>
      <c r="AF177">
        <v>4</v>
      </c>
      <c r="AH177" t="s">
        <v>321</v>
      </c>
      <c r="AI177" t="s">
        <v>320</v>
      </c>
      <c r="AK177" t="s">
        <v>319</v>
      </c>
      <c r="AL177">
        <v>47</v>
      </c>
      <c r="AM177" s="5">
        <f t="shared" si="19"/>
        <v>1.2702702702702702</v>
      </c>
      <c r="AN177" s="4">
        <f t="shared" si="20"/>
        <v>1.9239231658769711E-3</v>
      </c>
      <c r="AO177" s="3"/>
      <c r="AP177">
        <v>0</v>
      </c>
      <c r="AR177" t="s">
        <v>0</v>
      </c>
      <c r="AT177" s="2" t="s">
        <v>4</v>
      </c>
      <c r="AU177" s="1">
        <f t="shared" si="21"/>
        <v>2.9970412581486752</v>
      </c>
      <c r="AV177" s="1">
        <f t="shared" si="22"/>
        <v>2.1957129891312528</v>
      </c>
      <c r="AW177" s="1">
        <f t="shared" si="23"/>
        <v>1.3943847201138304</v>
      </c>
    </row>
    <row r="178" spans="1:49" x14ac:dyDescent="0.2">
      <c r="A178">
        <v>176</v>
      </c>
      <c r="B178" t="s">
        <v>318</v>
      </c>
      <c r="F178" t="s">
        <v>317</v>
      </c>
      <c r="G178" t="s">
        <v>3</v>
      </c>
      <c r="H178" t="s">
        <v>2</v>
      </c>
      <c r="I178" t="s">
        <v>316</v>
      </c>
      <c r="N178">
        <v>7</v>
      </c>
      <c r="O178" t="s">
        <v>315</v>
      </c>
      <c r="P178" t="s">
        <v>314</v>
      </c>
      <c r="Q178" t="s">
        <v>130</v>
      </c>
      <c r="R178" s="7">
        <v>31229</v>
      </c>
      <c r="S178" s="8">
        <f t="shared" si="16"/>
        <v>1985</v>
      </c>
      <c r="T178" s="8">
        <v>1985</v>
      </c>
      <c r="U178" s="8">
        <f t="shared" si="17"/>
        <v>37</v>
      </c>
      <c r="V178" s="7">
        <v>31229</v>
      </c>
      <c r="W178" t="s">
        <v>170</v>
      </c>
      <c r="X178" s="2" t="s">
        <v>4</v>
      </c>
      <c r="Y178" s="6" t="e">
        <f t="shared" si="18"/>
        <v>#VALUE!</v>
      </c>
      <c r="AB178">
        <v>74127</v>
      </c>
      <c r="AD178" t="s">
        <v>1</v>
      </c>
      <c r="AE178">
        <v>30</v>
      </c>
      <c r="AF178">
        <v>7</v>
      </c>
      <c r="AH178" s="10">
        <v>42156</v>
      </c>
      <c r="AI178" t="s">
        <v>313</v>
      </c>
      <c r="AK178" t="s">
        <v>312</v>
      </c>
      <c r="AL178">
        <v>0</v>
      </c>
      <c r="AM178" s="5">
        <f t="shared" si="19"/>
        <v>0</v>
      </c>
      <c r="AN178" s="4">
        <f t="shared" si="20"/>
        <v>0</v>
      </c>
      <c r="AO178" s="3"/>
      <c r="AP178">
        <v>0</v>
      </c>
      <c r="AR178" t="s">
        <v>0</v>
      </c>
      <c r="AT178" s="2" t="s">
        <v>4</v>
      </c>
      <c r="AU178" s="1" t="e">
        <f t="shared" si="21"/>
        <v>#VALUE!</v>
      </c>
      <c r="AV178" s="1" t="e">
        <f t="shared" si="22"/>
        <v>#VALUE!</v>
      </c>
      <c r="AW178" s="1" t="e">
        <f t="shared" si="23"/>
        <v>#VALUE!</v>
      </c>
    </row>
    <row r="179" spans="1:49" x14ac:dyDescent="0.2">
      <c r="A179">
        <v>177</v>
      </c>
      <c r="B179" t="s">
        <v>311</v>
      </c>
      <c r="F179" t="s">
        <v>310</v>
      </c>
      <c r="G179" t="s">
        <v>3</v>
      </c>
      <c r="H179" t="s">
        <v>2</v>
      </c>
      <c r="I179" t="s">
        <v>309</v>
      </c>
      <c r="N179">
        <v>2</v>
      </c>
      <c r="O179" t="s">
        <v>308</v>
      </c>
      <c r="P179" t="s">
        <v>307</v>
      </c>
      <c r="Q179" t="s">
        <v>48</v>
      </c>
      <c r="R179" s="7">
        <v>31229</v>
      </c>
      <c r="S179" s="8">
        <f t="shared" si="16"/>
        <v>1985</v>
      </c>
      <c r="T179" s="8">
        <v>1985</v>
      </c>
      <c r="U179" s="8">
        <f t="shared" si="17"/>
        <v>37</v>
      </c>
      <c r="V179" s="7">
        <v>31229</v>
      </c>
      <c r="W179" t="s">
        <v>170</v>
      </c>
      <c r="X179" s="2" t="s">
        <v>4</v>
      </c>
      <c r="Y179" s="6" t="e">
        <f t="shared" si="18"/>
        <v>#VALUE!</v>
      </c>
      <c r="AB179">
        <v>74127</v>
      </c>
      <c r="AD179" t="s">
        <v>1</v>
      </c>
      <c r="AE179">
        <v>30</v>
      </c>
      <c r="AF179">
        <v>7</v>
      </c>
      <c r="AH179" t="s">
        <v>188</v>
      </c>
      <c r="AI179" t="s">
        <v>306</v>
      </c>
      <c r="AK179" t="s">
        <v>305</v>
      </c>
      <c r="AL179">
        <v>0</v>
      </c>
      <c r="AM179" s="5">
        <f t="shared" si="19"/>
        <v>0</v>
      </c>
      <c r="AN179" s="4">
        <f t="shared" si="20"/>
        <v>0</v>
      </c>
      <c r="AO179" s="3"/>
      <c r="AP179">
        <v>0</v>
      </c>
      <c r="AR179" t="s">
        <v>0</v>
      </c>
      <c r="AT179" s="2" t="s">
        <v>4</v>
      </c>
      <c r="AU179" s="1" t="e">
        <f t="shared" si="21"/>
        <v>#VALUE!</v>
      </c>
      <c r="AV179" s="1" t="e">
        <f t="shared" si="22"/>
        <v>#VALUE!</v>
      </c>
      <c r="AW179" s="1" t="e">
        <f t="shared" si="23"/>
        <v>#VALUE!</v>
      </c>
    </row>
    <row r="180" spans="1:49" x14ac:dyDescent="0.2">
      <c r="A180">
        <v>178</v>
      </c>
      <c r="B180" t="s">
        <v>304</v>
      </c>
      <c r="C180" t="s">
        <v>303</v>
      </c>
      <c r="F180" t="s">
        <v>302</v>
      </c>
      <c r="G180" t="s">
        <v>3</v>
      </c>
      <c r="H180" t="s">
        <v>2</v>
      </c>
      <c r="I180" t="s">
        <v>301</v>
      </c>
      <c r="N180">
        <v>1</v>
      </c>
      <c r="O180" t="s">
        <v>300</v>
      </c>
      <c r="P180">
        <v>7006089656</v>
      </c>
      <c r="R180" s="7">
        <v>31229</v>
      </c>
      <c r="S180" s="8">
        <f t="shared" si="16"/>
        <v>1985</v>
      </c>
      <c r="T180" s="8">
        <v>1985</v>
      </c>
      <c r="U180" s="8">
        <f t="shared" si="17"/>
        <v>37</v>
      </c>
      <c r="V180" s="7">
        <v>31229</v>
      </c>
      <c r="W180" t="s">
        <v>180</v>
      </c>
      <c r="X180" s="2">
        <v>0.318</v>
      </c>
      <c r="Y180" s="6">
        <f t="shared" si="18"/>
        <v>8.4888283815167786E-3</v>
      </c>
      <c r="AA180">
        <v>338443</v>
      </c>
      <c r="AB180">
        <v>27160</v>
      </c>
      <c r="AC180">
        <v>15739120</v>
      </c>
      <c r="AD180" t="s">
        <v>1</v>
      </c>
      <c r="AE180">
        <v>28</v>
      </c>
      <c r="AF180">
        <v>7</v>
      </c>
      <c r="AH180" t="s">
        <v>299</v>
      </c>
      <c r="AL180">
        <v>9</v>
      </c>
      <c r="AM180" s="5">
        <f t="shared" si="19"/>
        <v>0.24324324324324326</v>
      </c>
      <c r="AN180" s="4">
        <f t="shared" si="20"/>
        <v>3.684108189977179E-4</v>
      </c>
      <c r="AO180" s="3"/>
      <c r="AP180">
        <v>0</v>
      </c>
      <c r="AR180" t="s">
        <v>0</v>
      </c>
      <c r="AT180" s="2">
        <v>0.77</v>
      </c>
      <c r="AU180" s="1">
        <f t="shared" si="21"/>
        <v>0.60527031127610609</v>
      </c>
      <c r="AV180" s="1">
        <f t="shared" si="22"/>
        <v>0.44286196002572487</v>
      </c>
      <c r="AW180" s="1">
        <f t="shared" si="23"/>
        <v>0.28045360877534364</v>
      </c>
    </row>
    <row r="181" spans="1:49" x14ac:dyDescent="0.2">
      <c r="A181">
        <v>179</v>
      </c>
      <c r="B181" t="s">
        <v>298</v>
      </c>
      <c r="F181" t="s">
        <v>297</v>
      </c>
      <c r="G181" t="s">
        <v>3</v>
      </c>
      <c r="H181" t="s">
        <v>2</v>
      </c>
      <c r="I181" t="s">
        <v>296</v>
      </c>
      <c r="J181">
        <v>60024590</v>
      </c>
      <c r="K181" t="s">
        <v>295</v>
      </c>
      <c r="L181" t="s">
        <v>294</v>
      </c>
      <c r="M181" t="s">
        <v>11</v>
      </c>
      <c r="N181">
        <v>1</v>
      </c>
      <c r="O181" t="s">
        <v>293</v>
      </c>
      <c r="P181">
        <v>6701849643</v>
      </c>
      <c r="Q181">
        <v>60024590</v>
      </c>
      <c r="R181" s="7">
        <v>31229</v>
      </c>
      <c r="S181" s="8">
        <f t="shared" si="16"/>
        <v>1985</v>
      </c>
      <c r="T181" s="8">
        <v>1985</v>
      </c>
      <c r="U181" s="8">
        <f t="shared" si="17"/>
        <v>37</v>
      </c>
      <c r="V181" s="7">
        <v>31229</v>
      </c>
      <c r="W181" t="s">
        <v>189</v>
      </c>
      <c r="X181" s="2">
        <v>0.10100000000000001</v>
      </c>
      <c r="Y181" s="6">
        <f t="shared" si="18"/>
        <v>2.6961373161421215E-3</v>
      </c>
      <c r="AA181">
        <v>7452883</v>
      </c>
      <c r="AB181">
        <v>18563</v>
      </c>
      <c r="AD181" t="s">
        <v>1</v>
      </c>
      <c r="AE181">
        <v>24</v>
      </c>
      <c r="AF181">
        <v>7</v>
      </c>
      <c r="AH181" t="s">
        <v>292</v>
      </c>
      <c r="AI181" t="s">
        <v>291</v>
      </c>
      <c r="AK181" t="s">
        <v>290</v>
      </c>
      <c r="AL181">
        <v>3</v>
      </c>
      <c r="AM181" s="5">
        <f t="shared" si="19"/>
        <v>8.1081081081081086E-2</v>
      </c>
      <c r="AN181" s="4">
        <f t="shared" si="20"/>
        <v>1.2280360633257263E-4</v>
      </c>
      <c r="AO181" s="3"/>
      <c r="AP181">
        <v>0</v>
      </c>
      <c r="AR181" t="s">
        <v>0</v>
      </c>
      <c r="AT181" s="2" t="s">
        <v>4</v>
      </c>
      <c r="AU181" s="1">
        <f t="shared" si="21"/>
        <v>0.19241372031992568</v>
      </c>
      <c r="AV181" s="1">
        <f t="shared" si="22"/>
        <v>0.14094704612373471</v>
      </c>
      <c r="AW181" s="1">
        <f t="shared" si="23"/>
        <v>8.9480371927543725E-2</v>
      </c>
    </row>
    <row r="182" spans="1:49" x14ac:dyDescent="0.2">
      <c r="A182">
        <v>180</v>
      </c>
      <c r="B182" t="s">
        <v>289</v>
      </c>
      <c r="F182" t="s">
        <v>288</v>
      </c>
      <c r="G182" t="s">
        <v>3</v>
      </c>
      <c r="H182" t="s">
        <v>2</v>
      </c>
      <c r="I182" t="s">
        <v>287</v>
      </c>
      <c r="N182">
        <v>1</v>
      </c>
      <c r="O182" t="s">
        <v>286</v>
      </c>
      <c r="P182">
        <v>6603869177</v>
      </c>
      <c r="R182" s="7">
        <v>31229</v>
      </c>
      <c r="S182" s="8">
        <f t="shared" si="16"/>
        <v>1985</v>
      </c>
      <c r="T182" s="8">
        <v>1985</v>
      </c>
      <c r="U182" s="8">
        <f t="shared" si="17"/>
        <v>37</v>
      </c>
      <c r="V182" s="7">
        <v>31229</v>
      </c>
      <c r="W182" t="s">
        <v>170</v>
      </c>
      <c r="X182" s="2" t="s">
        <v>4</v>
      </c>
      <c r="Y182" s="6" t="e">
        <f t="shared" si="18"/>
        <v>#VALUE!</v>
      </c>
      <c r="AB182">
        <v>74127</v>
      </c>
      <c r="AD182" t="s">
        <v>1</v>
      </c>
      <c r="AE182">
        <v>30</v>
      </c>
      <c r="AF182">
        <v>7</v>
      </c>
      <c r="AH182" t="s">
        <v>285</v>
      </c>
      <c r="AI182" t="s">
        <v>284</v>
      </c>
      <c r="AK182" t="s">
        <v>283</v>
      </c>
      <c r="AL182">
        <v>0</v>
      </c>
      <c r="AM182" s="5">
        <f t="shared" si="19"/>
        <v>0</v>
      </c>
      <c r="AN182" s="4">
        <f t="shared" si="20"/>
        <v>0</v>
      </c>
      <c r="AO182" s="3"/>
      <c r="AP182">
        <v>0</v>
      </c>
      <c r="AR182" t="s">
        <v>0</v>
      </c>
      <c r="AT182" s="2" t="s">
        <v>4</v>
      </c>
      <c r="AU182" s="1" t="e">
        <f t="shared" si="21"/>
        <v>#VALUE!</v>
      </c>
      <c r="AV182" s="1" t="e">
        <f t="shared" si="22"/>
        <v>#VALUE!</v>
      </c>
      <c r="AW182" s="1" t="e">
        <f t="shared" si="23"/>
        <v>#VALUE!</v>
      </c>
    </row>
    <row r="183" spans="1:49" x14ac:dyDescent="0.2">
      <c r="A183">
        <v>181</v>
      </c>
      <c r="B183" t="s">
        <v>282</v>
      </c>
      <c r="F183" t="s">
        <v>281</v>
      </c>
      <c r="G183" t="s">
        <v>3</v>
      </c>
      <c r="H183" t="s">
        <v>2</v>
      </c>
      <c r="I183" t="s">
        <v>280</v>
      </c>
      <c r="N183">
        <v>1</v>
      </c>
      <c r="O183" t="s">
        <v>279</v>
      </c>
      <c r="P183">
        <v>57196476782</v>
      </c>
      <c r="R183" s="7">
        <v>31229</v>
      </c>
      <c r="S183" s="8">
        <f t="shared" si="16"/>
        <v>1985</v>
      </c>
      <c r="T183" s="8">
        <v>1985</v>
      </c>
      <c r="U183" s="8">
        <f t="shared" si="17"/>
        <v>37</v>
      </c>
      <c r="V183" s="7">
        <v>31229</v>
      </c>
      <c r="W183" t="s">
        <v>170</v>
      </c>
      <c r="X183" s="2" t="s">
        <v>4</v>
      </c>
      <c r="Y183" s="6" t="e">
        <f t="shared" si="18"/>
        <v>#VALUE!</v>
      </c>
      <c r="AB183">
        <v>74127</v>
      </c>
      <c r="AD183" t="s">
        <v>1</v>
      </c>
      <c r="AE183">
        <v>30</v>
      </c>
      <c r="AF183">
        <v>7</v>
      </c>
      <c r="AH183" t="s">
        <v>278</v>
      </c>
      <c r="AI183" t="s">
        <v>277</v>
      </c>
      <c r="AK183" t="s">
        <v>276</v>
      </c>
      <c r="AL183">
        <v>0</v>
      </c>
      <c r="AM183" s="5">
        <f t="shared" si="19"/>
        <v>0</v>
      </c>
      <c r="AN183" s="4">
        <f t="shared" si="20"/>
        <v>0</v>
      </c>
      <c r="AO183" s="3"/>
      <c r="AP183">
        <v>0</v>
      </c>
      <c r="AR183" t="s">
        <v>0</v>
      </c>
      <c r="AT183" s="2" t="s">
        <v>4</v>
      </c>
      <c r="AU183" s="1" t="e">
        <f t="shared" si="21"/>
        <v>#VALUE!</v>
      </c>
      <c r="AV183" s="1" t="e">
        <f t="shared" si="22"/>
        <v>#VALUE!</v>
      </c>
      <c r="AW183" s="1" t="e">
        <f t="shared" si="23"/>
        <v>#VALUE!</v>
      </c>
    </row>
    <row r="184" spans="1:49" x14ac:dyDescent="0.2">
      <c r="A184">
        <v>182</v>
      </c>
      <c r="B184" t="s">
        <v>275</v>
      </c>
      <c r="F184" t="s">
        <v>274</v>
      </c>
      <c r="G184" t="s">
        <v>3</v>
      </c>
      <c r="H184" t="s">
        <v>2</v>
      </c>
      <c r="I184" t="s">
        <v>273</v>
      </c>
      <c r="N184">
        <v>3</v>
      </c>
      <c r="O184" t="s">
        <v>272</v>
      </c>
      <c r="P184" t="s">
        <v>271</v>
      </c>
      <c r="Q184" t="s">
        <v>25</v>
      </c>
      <c r="R184" s="7">
        <v>31229</v>
      </c>
      <c r="S184" s="8">
        <f t="shared" si="16"/>
        <v>1985</v>
      </c>
      <c r="T184" s="8">
        <v>1985</v>
      </c>
      <c r="U184" s="8">
        <f t="shared" si="17"/>
        <v>37</v>
      </c>
      <c r="V184" s="7">
        <v>31229</v>
      </c>
      <c r="W184" t="s">
        <v>270</v>
      </c>
      <c r="X184" s="2" t="s">
        <v>4</v>
      </c>
      <c r="Y184" s="6" t="e">
        <f t="shared" si="18"/>
        <v>#VALUE!</v>
      </c>
      <c r="AA184">
        <v>4186338</v>
      </c>
      <c r="AB184">
        <v>34729</v>
      </c>
      <c r="AD184" t="s">
        <v>1</v>
      </c>
      <c r="AE184">
        <v>33</v>
      </c>
      <c r="AF184">
        <v>4</v>
      </c>
      <c r="AH184" t="s">
        <v>269</v>
      </c>
      <c r="AI184" t="s">
        <v>268</v>
      </c>
      <c r="AK184" t="s">
        <v>267</v>
      </c>
      <c r="AL184">
        <v>1</v>
      </c>
      <c r="AM184" s="5">
        <f t="shared" si="19"/>
        <v>2.7027027027027029E-2</v>
      </c>
      <c r="AN184" s="4">
        <f t="shared" si="20"/>
        <v>4.0934535444190883E-5</v>
      </c>
      <c r="AO184" s="3"/>
      <c r="AP184">
        <v>0</v>
      </c>
      <c r="AR184" t="s">
        <v>0</v>
      </c>
      <c r="AT184" s="2" t="s">
        <v>4</v>
      </c>
      <c r="AU184" s="1" t="e">
        <f t="shared" si="21"/>
        <v>#VALUE!</v>
      </c>
      <c r="AV184" s="1" t="e">
        <f t="shared" si="22"/>
        <v>#VALUE!</v>
      </c>
      <c r="AW184" s="1" t="e">
        <f t="shared" si="23"/>
        <v>#VALUE!</v>
      </c>
    </row>
    <row r="185" spans="1:49" x14ac:dyDescent="0.2">
      <c r="A185">
        <v>183</v>
      </c>
      <c r="B185" t="s">
        <v>266</v>
      </c>
      <c r="F185" t="s">
        <v>265</v>
      </c>
      <c r="G185" t="s">
        <v>3</v>
      </c>
      <c r="H185" t="s">
        <v>2</v>
      </c>
      <c r="I185" t="s">
        <v>264</v>
      </c>
      <c r="N185">
        <v>1</v>
      </c>
      <c r="O185" t="s">
        <v>263</v>
      </c>
      <c r="P185">
        <v>57198950903</v>
      </c>
      <c r="R185" s="7">
        <v>31229</v>
      </c>
      <c r="S185" s="8">
        <f t="shared" si="16"/>
        <v>1985</v>
      </c>
      <c r="T185" s="8">
        <v>1985</v>
      </c>
      <c r="U185" s="8">
        <f t="shared" si="17"/>
        <v>37</v>
      </c>
      <c r="V185" s="7">
        <v>31229</v>
      </c>
      <c r="W185" t="s">
        <v>262</v>
      </c>
      <c r="X185" s="2" t="s">
        <v>4</v>
      </c>
      <c r="Y185" s="6" t="e">
        <f t="shared" si="18"/>
        <v>#VALUE!</v>
      </c>
      <c r="AA185">
        <v>386340</v>
      </c>
      <c r="AB185">
        <v>12937</v>
      </c>
      <c r="AD185" t="s">
        <v>1</v>
      </c>
      <c r="AE185">
        <v>27</v>
      </c>
      <c r="AF185" s="9">
        <v>44415</v>
      </c>
      <c r="AH185" t="s">
        <v>261</v>
      </c>
      <c r="AI185" t="s">
        <v>260</v>
      </c>
      <c r="AK185" t="s">
        <v>259</v>
      </c>
      <c r="AL185">
        <v>0</v>
      </c>
      <c r="AM185" s="5">
        <f t="shared" si="19"/>
        <v>0</v>
      </c>
      <c r="AN185" s="4">
        <f t="shared" si="20"/>
        <v>0</v>
      </c>
      <c r="AO185" s="3"/>
      <c r="AP185">
        <v>0</v>
      </c>
      <c r="AR185" t="s">
        <v>0</v>
      </c>
      <c r="AT185" s="2" t="s">
        <v>4</v>
      </c>
      <c r="AU185" s="1" t="e">
        <f t="shared" si="21"/>
        <v>#VALUE!</v>
      </c>
      <c r="AV185" s="1" t="e">
        <f t="shared" si="22"/>
        <v>#VALUE!</v>
      </c>
      <c r="AW185" s="1" t="e">
        <f t="shared" si="23"/>
        <v>#VALUE!</v>
      </c>
    </row>
    <row r="186" spans="1:49" x14ac:dyDescent="0.2">
      <c r="A186">
        <v>184</v>
      </c>
      <c r="B186" t="s">
        <v>258</v>
      </c>
      <c r="C186" t="s">
        <v>257</v>
      </c>
      <c r="F186" t="s">
        <v>256</v>
      </c>
      <c r="G186" t="s">
        <v>3</v>
      </c>
      <c r="H186" t="s">
        <v>2</v>
      </c>
      <c r="I186" t="s">
        <v>255</v>
      </c>
      <c r="J186">
        <v>60108318</v>
      </c>
      <c r="K186" t="s">
        <v>118</v>
      </c>
      <c r="L186" t="s">
        <v>117</v>
      </c>
      <c r="M186" t="s">
        <v>11</v>
      </c>
      <c r="N186">
        <v>1</v>
      </c>
      <c r="O186" t="s">
        <v>254</v>
      </c>
      <c r="P186">
        <v>56883021600</v>
      </c>
      <c r="Q186">
        <v>60108318</v>
      </c>
      <c r="R186" s="7">
        <v>31229</v>
      </c>
      <c r="S186" s="8">
        <f t="shared" si="16"/>
        <v>1985</v>
      </c>
      <c r="T186" s="8">
        <v>1985</v>
      </c>
      <c r="U186" s="8">
        <f t="shared" si="17"/>
        <v>37</v>
      </c>
      <c r="V186" s="7">
        <v>31229</v>
      </c>
      <c r="W186" t="s">
        <v>253</v>
      </c>
      <c r="X186" s="2">
        <v>0.33800000000000002</v>
      </c>
      <c r="Y186" s="6">
        <f t="shared" si="18"/>
        <v>9.0227169589706634E-3</v>
      </c>
      <c r="AA186">
        <v>34347</v>
      </c>
      <c r="AB186">
        <v>17722</v>
      </c>
      <c r="AC186">
        <v>19589395</v>
      </c>
      <c r="AD186" t="s">
        <v>1</v>
      </c>
      <c r="AE186">
        <v>40</v>
      </c>
      <c r="AF186" s="9">
        <v>44415</v>
      </c>
      <c r="AH186" t="s">
        <v>252</v>
      </c>
      <c r="AI186" t="s">
        <v>251</v>
      </c>
      <c r="AJ186" t="s">
        <v>250</v>
      </c>
      <c r="AK186" t="s">
        <v>249</v>
      </c>
      <c r="AL186">
        <v>2</v>
      </c>
      <c r="AM186" s="5">
        <f t="shared" si="19"/>
        <v>5.4054054054054057E-2</v>
      </c>
      <c r="AN186" s="4">
        <f t="shared" si="20"/>
        <v>8.1869070888381765E-5</v>
      </c>
      <c r="AO186" s="3"/>
      <c r="AP186">
        <v>0</v>
      </c>
      <c r="AR186" t="s">
        <v>0</v>
      </c>
      <c r="AT186" s="2" t="s">
        <v>4</v>
      </c>
      <c r="AU186" s="1">
        <f t="shared" si="21"/>
        <v>0.63404625925459779</v>
      </c>
      <c r="AV186" s="1">
        <f t="shared" si="22"/>
        <v>0.45522930149295227</v>
      </c>
      <c r="AW186" s="1">
        <f t="shared" si="23"/>
        <v>0.27641234373130663</v>
      </c>
    </row>
    <row r="187" spans="1:49" x14ac:dyDescent="0.2">
      <c r="A187">
        <v>185</v>
      </c>
      <c r="B187" t="s">
        <v>248</v>
      </c>
      <c r="C187" t="s">
        <v>247</v>
      </c>
      <c r="F187" t="s">
        <v>246</v>
      </c>
      <c r="G187" t="s">
        <v>3</v>
      </c>
      <c r="H187" t="s">
        <v>2</v>
      </c>
      <c r="I187" t="s">
        <v>245</v>
      </c>
      <c r="J187">
        <v>60030807</v>
      </c>
      <c r="K187" t="s">
        <v>244</v>
      </c>
      <c r="L187" t="s">
        <v>141</v>
      </c>
      <c r="M187" t="s">
        <v>10</v>
      </c>
      <c r="N187">
        <v>2</v>
      </c>
      <c r="O187" t="s">
        <v>243</v>
      </c>
      <c r="P187" t="s">
        <v>242</v>
      </c>
      <c r="Q187" t="s">
        <v>241</v>
      </c>
      <c r="R187" s="7">
        <v>31229</v>
      </c>
      <c r="S187" s="8">
        <f t="shared" si="16"/>
        <v>1985</v>
      </c>
      <c r="T187" s="8">
        <v>1985</v>
      </c>
      <c r="U187" s="8">
        <f t="shared" si="17"/>
        <v>37</v>
      </c>
      <c r="V187" s="7">
        <v>31229</v>
      </c>
      <c r="W187" t="s">
        <v>240</v>
      </c>
      <c r="X187" s="2">
        <v>1.64</v>
      </c>
      <c r="Y187" s="6">
        <f t="shared" si="18"/>
        <v>4.3778863351218597E-2</v>
      </c>
      <c r="AA187" t="s">
        <v>239</v>
      </c>
      <c r="AB187">
        <v>18446</v>
      </c>
      <c r="AC187">
        <v>14320878</v>
      </c>
      <c r="AD187" t="s">
        <v>1</v>
      </c>
      <c r="AE187">
        <v>241</v>
      </c>
      <c r="AF187">
        <v>1</v>
      </c>
      <c r="AH187" t="s">
        <v>238</v>
      </c>
      <c r="AI187" t="s">
        <v>237</v>
      </c>
      <c r="AJ187" t="s">
        <v>236</v>
      </c>
      <c r="AK187" t="s">
        <v>235</v>
      </c>
      <c r="AL187">
        <v>10</v>
      </c>
      <c r="AM187" s="5">
        <f t="shared" si="19"/>
        <v>0.27027027027027029</v>
      </c>
      <c r="AN187" s="4">
        <f t="shared" si="20"/>
        <v>4.093453544419088E-4</v>
      </c>
      <c r="AO187" s="3"/>
      <c r="AP187">
        <v>0</v>
      </c>
      <c r="AR187" t="s">
        <v>0</v>
      </c>
      <c r="AT187" s="2">
        <v>5.2489999999999997</v>
      </c>
      <c r="AU187" s="1">
        <f t="shared" si="21"/>
        <v>3.0768007952185585</v>
      </c>
      <c r="AV187" s="1">
        <f t="shared" si="22"/>
        <v>2.2094104352830253</v>
      </c>
      <c r="AW187" s="1">
        <f t="shared" si="23"/>
        <v>1.3420200753474916</v>
      </c>
    </row>
    <row r="188" spans="1:49" x14ac:dyDescent="0.2">
      <c r="A188">
        <v>186</v>
      </c>
      <c r="B188" t="s">
        <v>234</v>
      </c>
      <c r="C188" t="s">
        <v>233</v>
      </c>
      <c r="F188" t="s">
        <v>232</v>
      </c>
      <c r="G188" t="s">
        <v>3</v>
      </c>
      <c r="H188" t="s">
        <v>2</v>
      </c>
      <c r="I188" t="s">
        <v>231</v>
      </c>
      <c r="J188">
        <v>60019782</v>
      </c>
      <c r="K188" t="s">
        <v>183</v>
      </c>
      <c r="L188" t="s">
        <v>182</v>
      </c>
      <c r="M188" t="s">
        <v>38</v>
      </c>
      <c r="N188">
        <v>4</v>
      </c>
      <c r="O188" t="s">
        <v>230</v>
      </c>
      <c r="P188" t="s">
        <v>229</v>
      </c>
      <c r="Q188" t="s">
        <v>228</v>
      </c>
      <c r="R188" s="7">
        <v>31229</v>
      </c>
      <c r="S188" s="8">
        <f t="shared" si="16"/>
        <v>1985</v>
      </c>
      <c r="T188" s="8">
        <v>1985</v>
      </c>
      <c r="U188" s="8">
        <f t="shared" si="17"/>
        <v>37</v>
      </c>
      <c r="V188" s="7">
        <v>31229</v>
      </c>
      <c r="W188" t="s">
        <v>181</v>
      </c>
      <c r="X188" s="2" t="s">
        <v>4</v>
      </c>
      <c r="Y188" s="6" t="e">
        <f t="shared" si="18"/>
        <v>#VALUE!</v>
      </c>
      <c r="AA188">
        <v>1051938</v>
      </c>
      <c r="AB188">
        <v>76824</v>
      </c>
      <c r="AD188" t="s">
        <v>1</v>
      </c>
      <c r="AE188">
        <v>50</v>
      </c>
      <c r="AF188">
        <v>4</v>
      </c>
      <c r="AH188" t="s">
        <v>227</v>
      </c>
      <c r="AI188" t="s">
        <v>226</v>
      </c>
      <c r="AJ188" t="s">
        <v>225</v>
      </c>
      <c r="AK188" t="s">
        <v>224</v>
      </c>
      <c r="AL188">
        <v>42</v>
      </c>
      <c r="AM188" s="5">
        <f t="shared" si="19"/>
        <v>1.1351351351351351</v>
      </c>
      <c r="AN188" s="4">
        <f t="shared" si="20"/>
        <v>1.7192504886560168E-3</v>
      </c>
      <c r="AO188" s="3"/>
      <c r="AP188">
        <v>1</v>
      </c>
      <c r="AR188" t="s">
        <v>0</v>
      </c>
      <c r="AT188" s="2" t="s">
        <v>4</v>
      </c>
      <c r="AU188" s="1" t="e">
        <f t="shared" si="21"/>
        <v>#VALUE!</v>
      </c>
      <c r="AV188" s="1" t="e">
        <f t="shared" si="22"/>
        <v>#VALUE!</v>
      </c>
      <c r="AW188" s="1" t="e">
        <f t="shared" si="23"/>
        <v>#VALUE!</v>
      </c>
    </row>
    <row r="189" spans="1:49" x14ac:dyDescent="0.2">
      <c r="A189">
        <v>187</v>
      </c>
      <c r="B189" t="s">
        <v>223</v>
      </c>
      <c r="C189" t="s">
        <v>222</v>
      </c>
      <c r="F189" t="s">
        <v>221</v>
      </c>
      <c r="G189" t="s">
        <v>3</v>
      </c>
      <c r="H189" t="s">
        <v>2</v>
      </c>
      <c r="I189" t="s">
        <v>220</v>
      </c>
      <c r="J189">
        <v>60000221</v>
      </c>
      <c r="K189" t="s">
        <v>219</v>
      </c>
      <c r="L189" t="s">
        <v>218</v>
      </c>
      <c r="M189" t="s">
        <v>11</v>
      </c>
      <c r="N189">
        <v>2</v>
      </c>
      <c r="O189" t="s">
        <v>217</v>
      </c>
      <c r="P189" t="s">
        <v>216</v>
      </c>
      <c r="Q189" t="s">
        <v>215</v>
      </c>
      <c r="R189" s="7">
        <v>31229</v>
      </c>
      <c r="S189" s="8">
        <f t="shared" si="16"/>
        <v>1985</v>
      </c>
      <c r="T189" s="8">
        <v>1985</v>
      </c>
      <c r="U189" s="8">
        <f t="shared" si="17"/>
        <v>37</v>
      </c>
      <c r="V189" s="7">
        <v>31229</v>
      </c>
      <c r="W189" t="s">
        <v>214</v>
      </c>
      <c r="X189" s="2">
        <v>3.5539999999999998</v>
      </c>
      <c r="Y189" s="6">
        <f t="shared" si="18"/>
        <v>9.4872000213555435E-2</v>
      </c>
      <c r="AA189">
        <v>320889</v>
      </c>
      <c r="AB189">
        <v>16615</v>
      </c>
      <c r="AC189">
        <v>15322548</v>
      </c>
      <c r="AD189" t="s">
        <v>1</v>
      </c>
      <c r="AE189">
        <v>78</v>
      </c>
      <c r="AF189">
        <v>3</v>
      </c>
      <c r="AH189" t="s">
        <v>213</v>
      </c>
      <c r="AI189" t="s">
        <v>212</v>
      </c>
      <c r="AK189" t="s">
        <v>211</v>
      </c>
      <c r="AL189">
        <v>50</v>
      </c>
      <c r="AM189" s="5">
        <f t="shared" si="19"/>
        <v>1.3513513513513513</v>
      </c>
      <c r="AN189" s="4">
        <f t="shared" si="20"/>
        <v>2.0467267722095437E-3</v>
      </c>
      <c r="AO189" s="3"/>
      <c r="AP189">
        <v>1</v>
      </c>
      <c r="AR189" t="s">
        <v>0</v>
      </c>
      <c r="AT189" s="2">
        <v>8.34</v>
      </c>
      <c r="AU189" s="1">
        <f t="shared" si="21"/>
        <v>6.7024418181151661</v>
      </c>
      <c r="AV189" s="1">
        <f t="shared" si="22"/>
        <v>4.845936349288249</v>
      </c>
      <c r="AW189" s="1">
        <f t="shared" si="23"/>
        <v>2.989430880461331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2021-11-11T11:58:06Z</dcterms:created>
  <dcterms:modified xsi:type="dcterms:W3CDTF">2022-01-19T19:31:36Z</dcterms:modified>
</cp:coreProperties>
</file>