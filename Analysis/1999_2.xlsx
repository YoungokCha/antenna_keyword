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1A205C37-3704-5C4D-827A-6EF5A0A4AD1D}" xr6:coauthVersionLast="47" xr6:coauthVersionMax="47" xr10:uidLastSave="{53C9FD81-7A29-EE42-B934-FB04B7A87D0A}"/>
  <bookViews>
    <workbookView xWindow="20440" yWindow="9760" windowWidth="27640" windowHeight="16940" xr2:uid="{F2CCF7A1-151C-0440-82FE-AB7052F3BA9C}"/>
  </bookViews>
  <sheets>
    <sheet name="199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c r="AU2" i="1" s="1"/>
  <c r="AV2" i="1"/>
  <c r="AW2" i="1"/>
  <c r="S3" i="1"/>
  <c r="U3" i="1"/>
  <c r="AM3" i="1" s="1"/>
  <c r="AN3" i="1" s="1"/>
  <c r="Y3" i="1"/>
  <c r="S4" i="1"/>
  <c r="U4" i="1"/>
  <c r="Y4" i="1"/>
  <c r="AM4" i="1"/>
  <c r="AN4" i="1" s="1"/>
  <c r="S5" i="1"/>
  <c r="U5" i="1"/>
  <c r="AM5" i="1" s="1"/>
  <c r="AN5" i="1" s="1"/>
  <c r="Y5" i="1"/>
  <c r="S6" i="1"/>
  <c r="U6" i="1"/>
  <c r="Y6" i="1"/>
  <c r="AM6" i="1"/>
  <c r="AN6" i="1" s="1"/>
  <c r="S7" i="1"/>
  <c r="U7" i="1"/>
  <c r="Y7" i="1"/>
  <c r="AM7" i="1"/>
  <c r="AN7" i="1" s="1"/>
  <c r="AU7" i="1" s="1"/>
  <c r="S8" i="1"/>
  <c r="U8" i="1"/>
  <c r="AM8" i="1" s="1"/>
  <c r="AN8" i="1" s="1"/>
  <c r="AU8" i="1" s="1"/>
  <c r="Y8" i="1"/>
  <c r="S9" i="1"/>
  <c r="U9" i="1"/>
  <c r="Y9" i="1"/>
  <c r="AM9" i="1"/>
  <c r="AN9" i="1" s="1"/>
  <c r="S10" i="1"/>
  <c r="U10" i="1"/>
  <c r="AM10" i="1" s="1"/>
  <c r="AN10" i="1" s="1"/>
  <c r="AU10" i="1" s="1"/>
  <c r="Y10" i="1"/>
  <c r="S11" i="1"/>
  <c r="U11" i="1"/>
  <c r="Y11" i="1"/>
  <c r="AM11" i="1"/>
  <c r="AN11" i="1" s="1"/>
  <c r="S12" i="1"/>
  <c r="U12" i="1"/>
  <c r="Y12" i="1"/>
  <c r="AM12" i="1"/>
  <c r="AN12" i="1" s="1"/>
  <c r="AU12" i="1" s="1"/>
  <c r="S13" i="1"/>
  <c r="U13" i="1"/>
  <c r="AM13" i="1" s="1"/>
  <c r="AN13" i="1" s="1"/>
  <c r="Y13" i="1"/>
  <c r="S14" i="1"/>
  <c r="U14" i="1"/>
  <c r="Y14" i="1"/>
  <c r="AM14" i="1"/>
  <c r="AN14" i="1" s="1"/>
  <c r="S15" i="1"/>
  <c r="U15" i="1"/>
  <c r="AM15" i="1" s="1"/>
  <c r="AN15" i="1" s="1"/>
  <c r="Y15" i="1"/>
  <c r="S16" i="1"/>
  <c r="U16" i="1"/>
  <c r="Y16" i="1"/>
  <c r="AM16" i="1"/>
  <c r="AN16" i="1" s="1"/>
  <c r="S17" i="1"/>
  <c r="U17" i="1"/>
  <c r="Y17" i="1"/>
  <c r="AM17" i="1"/>
  <c r="AN17" i="1" s="1"/>
  <c r="AU17" i="1" s="1"/>
  <c r="S18" i="1"/>
  <c r="U18" i="1"/>
  <c r="AM18" i="1" s="1"/>
  <c r="AN18" i="1" s="1"/>
  <c r="AU18" i="1" s="1"/>
  <c r="Y18" i="1"/>
  <c r="AV18" i="1" s="1"/>
  <c r="S19" i="1"/>
  <c r="U19" i="1"/>
  <c r="Y19" i="1"/>
  <c r="AM19" i="1"/>
  <c r="AN19" i="1" s="1"/>
  <c r="S20" i="1"/>
  <c r="U20" i="1"/>
  <c r="AM20" i="1" s="1"/>
  <c r="AN20" i="1" s="1"/>
  <c r="Y20" i="1"/>
  <c r="S21" i="1"/>
  <c r="U21" i="1"/>
  <c r="AM21" i="1" s="1"/>
  <c r="AN21" i="1" s="1"/>
  <c r="Y21" i="1"/>
  <c r="S22" i="1"/>
  <c r="U22" i="1"/>
  <c r="Y22" i="1"/>
  <c r="AM22" i="1"/>
  <c r="AN22" i="1"/>
  <c r="AU22" i="1" s="1"/>
  <c r="AV22" i="1"/>
  <c r="S23" i="1"/>
  <c r="U23" i="1"/>
  <c r="AM23" i="1" s="1"/>
  <c r="AN23" i="1" s="1"/>
  <c r="Y23" i="1"/>
  <c r="S24" i="1"/>
  <c r="U24" i="1"/>
  <c r="AM24" i="1" s="1"/>
  <c r="AN24" i="1" s="1"/>
  <c r="Y24" i="1"/>
  <c r="S25" i="1"/>
  <c r="U25" i="1"/>
  <c r="AM25" i="1" s="1"/>
  <c r="AN25" i="1" s="1"/>
  <c r="Y25" i="1"/>
  <c r="S26" i="1"/>
  <c r="U26" i="1"/>
  <c r="Y26" i="1"/>
  <c r="AM26" i="1"/>
  <c r="AN26" i="1" s="1"/>
  <c r="S27" i="1"/>
  <c r="U27" i="1"/>
  <c r="Y27" i="1"/>
  <c r="AM27" i="1"/>
  <c r="AN27" i="1" s="1"/>
  <c r="S28" i="1"/>
  <c r="U28" i="1"/>
  <c r="AM28" i="1" s="1"/>
  <c r="AN28" i="1" s="1"/>
  <c r="AU28" i="1" s="1"/>
  <c r="Y28" i="1"/>
  <c r="S29" i="1"/>
  <c r="U29" i="1"/>
  <c r="AM29" i="1" s="1"/>
  <c r="AN29" i="1" s="1"/>
  <c r="Y29" i="1"/>
  <c r="AU29" i="1" s="1"/>
  <c r="S30" i="1"/>
  <c r="U30" i="1"/>
  <c r="Y30" i="1"/>
  <c r="AM30" i="1"/>
  <c r="AN30" i="1" s="1"/>
  <c r="S31" i="1"/>
  <c r="U31" i="1"/>
  <c r="Y31" i="1"/>
  <c r="AM31" i="1"/>
  <c r="AN31" i="1" s="1"/>
  <c r="S32" i="1"/>
  <c r="U32" i="1"/>
  <c r="Y32" i="1"/>
  <c r="AM32" i="1"/>
  <c r="AN32" i="1" s="1"/>
  <c r="AU32" i="1" s="1"/>
  <c r="S33" i="1"/>
  <c r="U33" i="1"/>
  <c r="AM33" i="1" s="1"/>
  <c r="AN33" i="1" s="1"/>
  <c r="Y33" i="1"/>
  <c r="S34" i="1"/>
  <c r="U34" i="1"/>
  <c r="Y34" i="1"/>
  <c r="AM34" i="1"/>
  <c r="AN34" i="1" s="1"/>
  <c r="S35" i="1"/>
  <c r="U35" i="1"/>
  <c r="AM35" i="1" s="1"/>
  <c r="AN35" i="1" s="1"/>
  <c r="Y35" i="1"/>
  <c r="S36" i="1"/>
  <c r="U36" i="1"/>
  <c r="Y36" i="1"/>
  <c r="AM36" i="1"/>
  <c r="AN36" i="1" s="1"/>
  <c r="S37" i="1"/>
  <c r="U37" i="1"/>
  <c r="Y37" i="1"/>
  <c r="AM37" i="1"/>
  <c r="AN37" i="1"/>
  <c r="AU37" i="1" s="1"/>
  <c r="AV37" i="1"/>
  <c r="S38" i="1"/>
  <c r="U38" i="1"/>
  <c r="Y38" i="1"/>
  <c r="AM38" i="1"/>
  <c r="AN38" i="1"/>
  <c r="S39" i="1"/>
  <c r="U39" i="1"/>
  <c r="AM39" i="1" s="1"/>
  <c r="AN39" i="1" s="1"/>
  <c r="Y39" i="1"/>
  <c r="S40" i="1"/>
  <c r="U40" i="1"/>
  <c r="Y40" i="1"/>
  <c r="AM40" i="1"/>
  <c r="AN40" i="1" s="1"/>
  <c r="S41" i="1"/>
  <c r="U41" i="1"/>
  <c r="Y41" i="1"/>
  <c r="AM41" i="1"/>
  <c r="AN41" i="1" s="1"/>
  <c r="S42" i="1"/>
  <c r="U42" i="1"/>
  <c r="AM42" i="1" s="1"/>
  <c r="AN42" i="1" s="1"/>
  <c r="Y42" i="1"/>
  <c r="S43" i="1"/>
  <c r="U43" i="1"/>
  <c r="Y43" i="1"/>
  <c r="AM43" i="1"/>
  <c r="AN43" i="1"/>
  <c r="S44" i="1"/>
  <c r="U44" i="1"/>
  <c r="AM44" i="1" s="1"/>
  <c r="AN44" i="1" s="1"/>
  <c r="Y44" i="1"/>
  <c r="S45" i="1"/>
  <c r="U45" i="1"/>
  <c r="Y45" i="1"/>
  <c r="AM45" i="1"/>
  <c r="AN45" i="1"/>
  <c r="S46" i="1"/>
  <c r="U46" i="1"/>
  <c r="AM46" i="1" s="1"/>
  <c r="AN46" i="1" s="1"/>
  <c r="Y46" i="1"/>
  <c r="S47" i="1"/>
  <c r="U47" i="1"/>
  <c r="AM47" i="1" s="1"/>
  <c r="AN47" i="1" s="1"/>
  <c r="Y47" i="1"/>
  <c r="S48" i="1"/>
  <c r="U48" i="1"/>
  <c r="AM48" i="1" s="1"/>
  <c r="AN48" i="1" s="1"/>
  <c r="Y48" i="1"/>
  <c r="S49" i="1"/>
  <c r="U49" i="1"/>
  <c r="AM49" i="1" s="1"/>
  <c r="AN49" i="1" s="1"/>
  <c r="Y49" i="1"/>
  <c r="S50" i="1"/>
  <c r="U50" i="1"/>
  <c r="AM50" i="1" s="1"/>
  <c r="AN50" i="1" s="1"/>
  <c r="Y50" i="1"/>
  <c r="AU50" i="1" s="1"/>
  <c r="S51" i="1"/>
  <c r="U51" i="1"/>
  <c r="Y51" i="1"/>
  <c r="AM51" i="1"/>
  <c r="AN51" i="1" s="1"/>
  <c r="S52" i="1"/>
  <c r="U52" i="1"/>
  <c r="Y52" i="1"/>
  <c r="AM52" i="1"/>
  <c r="AN52" i="1" s="1"/>
  <c r="AV52" i="1" s="1"/>
  <c r="S53" i="1"/>
  <c r="U53" i="1"/>
  <c r="AM53" i="1" s="1"/>
  <c r="AN53" i="1" s="1"/>
  <c r="Y53" i="1"/>
  <c r="S54" i="1"/>
  <c r="U54" i="1"/>
  <c r="AM54" i="1" s="1"/>
  <c r="AN54" i="1" s="1"/>
  <c r="Y54" i="1"/>
  <c r="S55" i="1"/>
  <c r="U55" i="1"/>
  <c r="AM55" i="1" s="1"/>
  <c r="AN55" i="1" s="1"/>
  <c r="Y55" i="1"/>
  <c r="S56" i="1"/>
  <c r="U56" i="1"/>
  <c r="Y56" i="1"/>
  <c r="AM56" i="1"/>
  <c r="AN56" i="1" s="1"/>
  <c r="S57" i="1"/>
  <c r="U57" i="1"/>
  <c r="Y57" i="1"/>
  <c r="AM57" i="1"/>
  <c r="AN57" i="1"/>
  <c r="S58" i="1"/>
  <c r="U58" i="1"/>
  <c r="Y58" i="1"/>
  <c r="AM58" i="1"/>
  <c r="AN58" i="1" s="1"/>
  <c r="S59" i="1"/>
  <c r="U59" i="1"/>
  <c r="Y59" i="1"/>
  <c r="AM59" i="1"/>
  <c r="AN59" i="1" s="1"/>
  <c r="S60" i="1"/>
  <c r="U60" i="1"/>
  <c r="Y60" i="1"/>
  <c r="AM60" i="1"/>
  <c r="AN60" i="1"/>
  <c r="S61" i="1"/>
  <c r="U61" i="1"/>
  <c r="Y61" i="1"/>
  <c r="AM61" i="1"/>
  <c r="AN61" i="1" s="1"/>
  <c r="S62" i="1"/>
  <c r="U62" i="1"/>
  <c r="AM62" i="1" s="1"/>
  <c r="AN62" i="1" s="1"/>
  <c r="Y62" i="1"/>
  <c r="AV62" i="1" s="1"/>
  <c r="S63" i="1"/>
  <c r="U63" i="1"/>
  <c r="Y63" i="1"/>
  <c r="AM63" i="1"/>
  <c r="AN63" i="1"/>
  <c r="S64" i="1"/>
  <c r="U64" i="1"/>
  <c r="Y64" i="1"/>
  <c r="AM64" i="1"/>
  <c r="AN64" i="1" s="1"/>
  <c r="S65" i="1"/>
  <c r="U65" i="1"/>
  <c r="Y65" i="1"/>
  <c r="AM65" i="1"/>
  <c r="AN65" i="1" s="1"/>
  <c r="S66" i="1"/>
  <c r="U66" i="1"/>
  <c r="Y66" i="1"/>
  <c r="AM66" i="1"/>
  <c r="AN66" i="1" s="1"/>
  <c r="S67" i="1"/>
  <c r="U67" i="1"/>
  <c r="AM67" i="1" s="1"/>
  <c r="AN67" i="1" s="1"/>
  <c r="Y67" i="1"/>
  <c r="AV67" i="1" s="1"/>
  <c r="S68" i="1"/>
  <c r="U68" i="1"/>
  <c r="Y68" i="1"/>
  <c r="AM68" i="1"/>
  <c r="AN68" i="1" s="1"/>
  <c r="S69" i="1"/>
  <c r="U69" i="1"/>
  <c r="Y69" i="1"/>
  <c r="AM69" i="1"/>
  <c r="AN69" i="1" s="1"/>
  <c r="S70" i="1"/>
  <c r="U70" i="1"/>
  <c r="Y70" i="1"/>
  <c r="AM70" i="1"/>
  <c r="AN70" i="1" s="1"/>
  <c r="S71" i="1"/>
  <c r="U71" i="1"/>
  <c r="AM71" i="1" s="1"/>
  <c r="AN71" i="1" s="1"/>
  <c r="Y71" i="1"/>
  <c r="S72" i="1"/>
  <c r="U72" i="1"/>
  <c r="AM72" i="1" s="1"/>
  <c r="AN72" i="1" s="1"/>
  <c r="AV72" i="1" s="1"/>
  <c r="Y72" i="1"/>
  <c r="S73" i="1"/>
  <c r="U73" i="1"/>
  <c r="AM73" i="1" s="1"/>
  <c r="AN73" i="1" s="1"/>
  <c r="Y73" i="1"/>
  <c r="S74" i="1"/>
  <c r="U74" i="1"/>
  <c r="Y74" i="1"/>
  <c r="AM74" i="1"/>
  <c r="AN74" i="1" s="1"/>
  <c r="S75" i="1"/>
  <c r="U75" i="1"/>
  <c r="AM75" i="1" s="1"/>
  <c r="AN75" i="1" s="1"/>
  <c r="Y75" i="1"/>
  <c r="AU75" i="1" s="1"/>
  <c r="S76" i="1"/>
  <c r="U76" i="1"/>
  <c r="Y76" i="1"/>
  <c r="AM76" i="1"/>
  <c r="AN76" i="1" s="1"/>
  <c r="S77" i="1"/>
  <c r="U77" i="1"/>
  <c r="AM77" i="1" s="1"/>
  <c r="AN77" i="1" s="1"/>
  <c r="Y77" i="1"/>
  <c r="S78" i="1"/>
  <c r="U78" i="1"/>
  <c r="AM78" i="1" s="1"/>
  <c r="AN78" i="1" s="1"/>
  <c r="Y78" i="1"/>
  <c r="S79" i="1"/>
  <c r="U79" i="1"/>
  <c r="AM79" i="1" s="1"/>
  <c r="AN79" i="1" s="1"/>
  <c r="Y79" i="1"/>
  <c r="AU79" i="1" s="1"/>
  <c r="S80" i="1"/>
  <c r="U80" i="1"/>
  <c r="Y80" i="1"/>
  <c r="AM80" i="1"/>
  <c r="AN80" i="1"/>
  <c r="S81" i="1"/>
  <c r="U81" i="1"/>
  <c r="Y81" i="1"/>
  <c r="AM81" i="1"/>
  <c r="AN81" i="1" s="1"/>
  <c r="S82" i="1"/>
  <c r="U82" i="1"/>
  <c r="AM82" i="1" s="1"/>
  <c r="AN82" i="1" s="1"/>
  <c r="Y82" i="1"/>
  <c r="S83" i="1"/>
  <c r="U83" i="1"/>
  <c r="AM83" i="1" s="1"/>
  <c r="AN83" i="1" s="1"/>
  <c r="Y83" i="1"/>
  <c r="S84" i="1"/>
  <c r="U84" i="1"/>
  <c r="AM84" i="1" s="1"/>
  <c r="AN84" i="1" s="1"/>
  <c r="Y84" i="1"/>
  <c r="S85" i="1"/>
  <c r="U85" i="1"/>
  <c r="Y85" i="1"/>
  <c r="AM85" i="1"/>
  <c r="AN85" i="1"/>
  <c r="S86" i="1"/>
  <c r="U86" i="1"/>
  <c r="Y86" i="1"/>
  <c r="AM86" i="1"/>
  <c r="AN86" i="1" s="1"/>
  <c r="S87" i="1"/>
  <c r="U87" i="1"/>
  <c r="AM87" i="1" s="1"/>
  <c r="AN87" i="1" s="1"/>
  <c r="AV87" i="1" s="1"/>
  <c r="Y87" i="1"/>
  <c r="S88" i="1"/>
  <c r="U88" i="1"/>
  <c r="Y88" i="1"/>
  <c r="AM88" i="1"/>
  <c r="AN88" i="1" s="1"/>
  <c r="S89" i="1"/>
  <c r="U89" i="1"/>
  <c r="Y89" i="1"/>
  <c r="AM89" i="1"/>
  <c r="AN89" i="1" s="1"/>
  <c r="S90" i="1"/>
  <c r="U90" i="1"/>
  <c r="Y90" i="1"/>
  <c r="AM90" i="1"/>
  <c r="AN90" i="1" s="1"/>
  <c r="S91" i="1"/>
  <c r="U91" i="1"/>
  <c r="AM91" i="1" s="1"/>
  <c r="AN91" i="1" s="1"/>
  <c r="Y91" i="1"/>
  <c r="S92" i="1"/>
  <c r="U92" i="1"/>
  <c r="AM92" i="1" s="1"/>
  <c r="AN92" i="1" s="1"/>
  <c r="Y92" i="1"/>
  <c r="S93" i="1"/>
  <c r="U93" i="1"/>
  <c r="Y93" i="1"/>
  <c r="AM93" i="1"/>
  <c r="AN93" i="1" s="1"/>
  <c r="S94" i="1"/>
  <c r="U94" i="1"/>
  <c r="Y94" i="1"/>
  <c r="AM94" i="1"/>
  <c r="AN94" i="1" s="1"/>
  <c r="S95" i="1"/>
  <c r="U95" i="1"/>
  <c r="Y95" i="1"/>
  <c r="AM95" i="1"/>
  <c r="AN95" i="1" s="1"/>
  <c r="S96" i="1"/>
  <c r="U96" i="1"/>
  <c r="AM96" i="1" s="1"/>
  <c r="AN96" i="1" s="1"/>
  <c r="Y96" i="1"/>
  <c r="S97" i="1"/>
  <c r="U97" i="1"/>
  <c r="Y97" i="1"/>
  <c r="AM97" i="1"/>
  <c r="AN97" i="1" s="1"/>
  <c r="AV97" i="1" s="1"/>
  <c r="S98" i="1"/>
  <c r="U98" i="1"/>
  <c r="AM98" i="1" s="1"/>
  <c r="AN98" i="1" s="1"/>
  <c r="Y98" i="1"/>
  <c r="S99" i="1"/>
  <c r="U99" i="1"/>
  <c r="Y99" i="1"/>
  <c r="AM99" i="1"/>
  <c r="AN99" i="1" s="1"/>
  <c r="S100" i="1"/>
  <c r="U100" i="1"/>
  <c r="AM100" i="1" s="1"/>
  <c r="AN100" i="1" s="1"/>
  <c r="Y100" i="1"/>
  <c r="S101" i="1"/>
  <c r="U101" i="1"/>
  <c r="Y101" i="1"/>
  <c r="AM101" i="1"/>
  <c r="AN101" i="1" s="1"/>
  <c r="S102" i="1"/>
  <c r="U102" i="1"/>
  <c r="Y102" i="1"/>
  <c r="AM102" i="1"/>
  <c r="AN102" i="1" s="1"/>
  <c r="S103" i="1"/>
  <c r="U103" i="1"/>
  <c r="AM103" i="1" s="1"/>
  <c r="AN103" i="1" s="1"/>
  <c r="Y103" i="1"/>
  <c r="S104" i="1"/>
  <c r="U104" i="1"/>
  <c r="AM104" i="1" s="1"/>
  <c r="AN104" i="1" s="1"/>
  <c r="Y104" i="1"/>
  <c r="S105" i="1"/>
  <c r="U105" i="1"/>
  <c r="Y105" i="1"/>
  <c r="AM105" i="1"/>
  <c r="AN105" i="1"/>
  <c r="S106" i="1"/>
  <c r="U106" i="1"/>
  <c r="Y106" i="1"/>
  <c r="AM106" i="1"/>
  <c r="AN106" i="1" s="1"/>
  <c r="S107" i="1"/>
  <c r="U107" i="1"/>
  <c r="AM107" i="1" s="1"/>
  <c r="AN107" i="1" s="1"/>
  <c r="Y107" i="1"/>
  <c r="S108" i="1"/>
  <c r="U108" i="1"/>
  <c r="AM108" i="1" s="1"/>
  <c r="AN108" i="1" s="1"/>
  <c r="Y108" i="1"/>
  <c r="S109" i="1"/>
  <c r="U109" i="1"/>
  <c r="AM109" i="1" s="1"/>
  <c r="AN109" i="1" s="1"/>
  <c r="Y109" i="1"/>
  <c r="S110" i="1"/>
  <c r="U110" i="1"/>
  <c r="Y110" i="1"/>
  <c r="AM110" i="1"/>
  <c r="AN110" i="1"/>
  <c r="S111" i="1"/>
  <c r="U111" i="1"/>
  <c r="AM111" i="1" s="1"/>
  <c r="AN111" i="1" s="1"/>
  <c r="Y111" i="1"/>
  <c r="S112" i="1"/>
  <c r="U112" i="1"/>
  <c r="AM112" i="1" s="1"/>
  <c r="AN112" i="1" s="1"/>
  <c r="Y112" i="1"/>
  <c r="S113" i="1"/>
  <c r="U113" i="1"/>
  <c r="Y113" i="1"/>
  <c r="AM113" i="1"/>
  <c r="AN113" i="1" s="1"/>
  <c r="S114" i="1"/>
  <c r="U114" i="1"/>
  <c r="AM114" i="1" s="1"/>
  <c r="AN114" i="1" s="1"/>
  <c r="Y114" i="1"/>
  <c r="S115" i="1"/>
  <c r="U115" i="1"/>
  <c r="Y115" i="1"/>
  <c r="AM115" i="1"/>
  <c r="AN115" i="1"/>
  <c r="S116" i="1"/>
  <c r="U116" i="1"/>
  <c r="AM116" i="1" s="1"/>
  <c r="AN116" i="1" s="1"/>
  <c r="Y116" i="1"/>
  <c r="S117" i="1"/>
  <c r="U117" i="1"/>
  <c r="AM117" i="1" s="1"/>
  <c r="AN117" i="1" s="1"/>
  <c r="Y117" i="1"/>
  <c r="S118" i="1"/>
  <c r="U118" i="1"/>
  <c r="AM118" i="1" s="1"/>
  <c r="AN118" i="1" s="1"/>
  <c r="Y118" i="1"/>
  <c r="S119" i="1"/>
  <c r="U119" i="1"/>
  <c r="Y119" i="1"/>
  <c r="AM119" i="1"/>
  <c r="AN119" i="1" s="1"/>
  <c r="S120" i="1"/>
  <c r="U120" i="1"/>
  <c r="Y120" i="1"/>
  <c r="AM120" i="1"/>
  <c r="AN120" i="1"/>
  <c r="S121" i="1"/>
  <c r="U121" i="1"/>
  <c r="Y121" i="1"/>
  <c r="AM121" i="1"/>
  <c r="AN121" i="1" s="1"/>
  <c r="S122" i="1"/>
  <c r="U122" i="1"/>
  <c r="AM122" i="1" s="1"/>
  <c r="AN122" i="1" s="1"/>
  <c r="Y122" i="1"/>
  <c r="S123" i="1"/>
  <c r="U123" i="1"/>
  <c r="Y123" i="1"/>
  <c r="AM123" i="1"/>
  <c r="AN123" i="1" s="1"/>
  <c r="S124" i="1"/>
  <c r="U124" i="1"/>
  <c r="Y124" i="1"/>
  <c r="AM124" i="1"/>
  <c r="AN124" i="1" s="1"/>
  <c r="S125" i="1"/>
  <c r="U125" i="1"/>
  <c r="Y125" i="1"/>
  <c r="AM125" i="1"/>
  <c r="AN125" i="1"/>
  <c r="S126" i="1"/>
  <c r="U126" i="1"/>
  <c r="Y126" i="1"/>
  <c r="AM126" i="1"/>
  <c r="AN126" i="1" s="1"/>
  <c r="S127" i="1"/>
  <c r="U127" i="1"/>
  <c r="AM127" i="1" s="1"/>
  <c r="AN127" i="1" s="1"/>
  <c r="Y127" i="1"/>
  <c r="AU127" i="1" s="1"/>
  <c r="S128" i="1"/>
  <c r="U128" i="1"/>
  <c r="AM128" i="1" s="1"/>
  <c r="AN128" i="1" s="1"/>
  <c r="Y128" i="1"/>
  <c r="S129" i="1"/>
  <c r="U129" i="1"/>
  <c r="Y129" i="1"/>
  <c r="AM129" i="1"/>
  <c r="AN129" i="1" s="1"/>
  <c r="S130" i="1"/>
  <c r="U130" i="1"/>
  <c r="AM130" i="1" s="1"/>
  <c r="AN130" i="1" s="1"/>
  <c r="Y130" i="1"/>
  <c r="S131" i="1"/>
  <c r="U131" i="1"/>
  <c r="Y131" i="1"/>
  <c r="AM131" i="1"/>
  <c r="AN131" i="1" s="1"/>
  <c r="S132" i="1"/>
  <c r="U132" i="1"/>
  <c r="AM132" i="1" s="1"/>
  <c r="AN132" i="1" s="1"/>
  <c r="Y132" i="1"/>
  <c r="S133" i="1"/>
  <c r="U133" i="1"/>
  <c r="Y133" i="1"/>
  <c r="AM133" i="1"/>
  <c r="AN133" i="1" s="1"/>
  <c r="S134" i="1"/>
  <c r="U134" i="1"/>
  <c r="Y134" i="1"/>
  <c r="AM134" i="1"/>
  <c r="AN134" i="1" s="1"/>
  <c r="S135" i="1"/>
  <c r="U135" i="1"/>
  <c r="Y135" i="1"/>
  <c r="AM135" i="1"/>
  <c r="AN135" i="1" s="1"/>
  <c r="S136" i="1"/>
  <c r="U136" i="1"/>
  <c r="Y136" i="1"/>
  <c r="AM136" i="1"/>
  <c r="AN136" i="1" s="1"/>
  <c r="S137" i="1"/>
  <c r="U137" i="1"/>
  <c r="AM137" i="1" s="1"/>
  <c r="AN137" i="1" s="1"/>
  <c r="Y137" i="1"/>
  <c r="AU137" i="1" s="1"/>
  <c r="S138" i="1"/>
  <c r="U138" i="1"/>
  <c r="AM138" i="1" s="1"/>
  <c r="AN138" i="1" s="1"/>
  <c r="Y138" i="1"/>
  <c r="AU138" i="1" s="1"/>
  <c r="S139" i="1"/>
  <c r="U139" i="1"/>
  <c r="Y139" i="1"/>
  <c r="AM139" i="1"/>
  <c r="AN139" i="1" s="1"/>
  <c r="S140" i="1"/>
  <c r="U140" i="1"/>
  <c r="Y140" i="1"/>
  <c r="AM140" i="1"/>
  <c r="AN140" i="1" s="1"/>
  <c r="S141" i="1"/>
  <c r="U141" i="1"/>
  <c r="AM141" i="1" s="1"/>
  <c r="AN141" i="1" s="1"/>
  <c r="Y141" i="1"/>
  <c r="S142" i="1"/>
  <c r="U142" i="1"/>
  <c r="AM142" i="1" s="1"/>
  <c r="AN142" i="1" s="1"/>
  <c r="Y142" i="1"/>
  <c r="S143" i="1"/>
  <c r="U143" i="1"/>
  <c r="AM143" i="1" s="1"/>
  <c r="AN143" i="1" s="1"/>
  <c r="Y143" i="1"/>
  <c r="S144" i="1"/>
  <c r="U144" i="1"/>
  <c r="Y144" i="1"/>
  <c r="AM144" i="1"/>
  <c r="AN144" i="1" s="1"/>
  <c r="S145" i="1"/>
  <c r="U145" i="1"/>
  <c r="AM145" i="1" s="1"/>
  <c r="AN145" i="1" s="1"/>
  <c r="Y145" i="1"/>
  <c r="S146" i="1"/>
  <c r="U146" i="1"/>
  <c r="Y146" i="1"/>
  <c r="AM146" i="1"/>
  <c r="AN146" i="1" s="1"/>
  <c r="S147" i="1"/>
  <c r="U147" i="1"/>
  <c r="Y147" i="1"/>
  <c r="AM147" i="1"/>
  <c r="AN147" i="1"/>
  <c r="AV147" i="1"/>
  <c r="S148" i="1"/>
  <c r="U148" i="1"/>
  <c r="Y148" i="1"/>
  <c r="AM148" i="1"/>
  <c r="AN148" i="1"/>
  <c r="S149" i="1"/>
  <c r="U149" i="1"/>
  <c r="AM149" i="1" s="1"/>
  <c r="AN149" i="1" s="1"/>
  <c r="Y149" i="1"/>
  <c r="S150" i="1"/>
  <c r="U150" i="1"/>
  <c r="AM150" i="1" s="1"/>
  <c r="AN150" i="1" s="1"/>
  <c r="Y150" i="1"/>
  <c r="S151" i="1"/>
  <c r="U151" i="1"/>
  <c r="AM151" i="1" s="1"/>
  <c r="AN151" i="1" s="1"/>
  <c r="Y151" i="1"/>
  <c r="S152" i="1"/>
  <c r="U152" i="1"/>
  <c r="Y152" i="1"/>
  <c r="AM152" i="1"/>
  <c r="AN152" i="1" s="1"/>
  <c r="S153" i="1"/>
  <c r="U153" i="1"/>
  <c r="Y153" i="1"/>
  <c r="AM153" i="1"/>
  <c r="AN153" i="1"/>
  <c r="S154" i="1"/>
  <c r="U154" i="1"/>
  <c r="AM154" i="1" s="1"/>
  <c r="AN154" i="1" s="1"/>
  <c r="Y154" i="1"/>
  <c r="S155" i="1"/>
  <c r="U155" i="1"/>
  <c r="AM155" i="1" s="1"/>
  <c r="AN155" i="1" s="1"/>
  <c r="Y155" i="1"/>
  <c r="S156" i="1"/>
  <c r="U156" i="1"/>
  <c r="Y156" i="1"/>
  <c r="AM156" i="1"/>
  <c r="AN156" i="1" s="1"/>
  <c r="S157" i="1"/>
  <c r="U157" i="1"/>
  <c r="AM157" i="1" s="1"/>
  <c r="AN157" i="1" s="1"/>
  <c r="Y157" i="1"/>
  <c r="AV157" i="1" s="1"/>
  <c r="S158" i="1"/>
  <c r="U158" i="1"/>
  <c r="AM158" i="1" s="1"/>
  <c r="AN158" i="1" s="1"/>
  <c r="Y158" i="1"/>
  <c r="S159" i="1"/>
  <c r="U159" i="1"/>
  <c r="AM159" i="1" s="1"/>
  <c r="AN159" i="1" s="1"/>
  <c r="Y159" i="1"/>
  <c r="S160" i="1"/>
  <c r="U160" i="1"/>
  <c r="AM160" i="1" s="1"/>
  <c r="AN160" i="1" s="1"/>
  <c r="Y160" i="1"/>
  <c r="S161" i="1"/>
  <c r="U161" i="1"/>
  <c r="Y161" i="1"/>
  <c r="AM161" i="1"/>
  <c r="AN161" i="1" s="1"/>
  <c r="S162" i="1"/>
  <c r="U162" i="1"/>
  <c r="AM162" i="1" s="1"/>
  <c r="AN162" i="1" s="1"/>
  <c r="Y162" i="1"/>
  <c r="S163" i="1"/>
  <c r="U163" i="1"/>
  <c r="AM163" i="1" s="1"/>
  <c r="AN163" i="1" s="1"/>
  <c r="Y163" i="1"/>
  <c r="S164" i="1"/>
  <c r="U164" i="1"/>
  <c r="AM164" i="1" s="1"/>
  <c r="AN164" i="1" s="1"/>
  <c r="Y164" i="1"/>
  <c r="S165" i="1"/>
  <c r="U165" i="1"/>
  <c r="AM165" i="1" s="1"/>
  <c r="AN165" i="1" s="1"/>
  <c r="Y165" i="1"/>
  <c r="S166" i="1"/>
  <c r="U166" i="1"/>
  <c r="Y166" i="1"/>
  <c r="AM166" i="1"/>
  <c r="AN166" i="1" s="1"/>
  <c r="S167" i="1"/>
  <c r="U167" i="1"/>
  <c r="AM167" i="1" s="1"/>
  <c r="AN167" i="1" s="1"/>
  <c r="Y167" i="1"/>
  <c r="S168" i="1"/>
  <c r="U168" i="1"/>
  <c r="Y168" i="1"/>
  <c r="AM168" i="1"/>
  <c r="AN168" i="1" s="1"/>
  <c r="AV168" i="1" s="1"/>
  <c r="S169" i="1"/>
  <c r="U169" i="1"/>
  <c r="AM169" i="1" s="1"/>
  <c r="AN169" i="1" s="1"/>
  <c r="Y169" i="1"/>
  <c r="S170" i="1"/>
  <c r="U170" i="1"/>
  <c r="AM170" i="1" s="1"/>
  <c r="AN170" i="1" s="1"/>
  <c r="Y170" i="1"/>
  <c r="AU170" i="1" s="1"/>
  <c r="S171" i="1"/>
  <c r="U171" i="1"/>
  <c r="AM171" i="1" s="1"/>
  <c r="AN171" i="1" s="1"/>
  <c r="Y171" i="1"/>
  <c r="AU171" i="1" s="1"/>
  <c r="S172" i="1"/>
  <c r="U172" i="1"/>
  <c r="Y172" i="1"/>
  <c r="AM172" i="1"/>
  <c r="AN172" i="1" s="1"/>
  <c r="S173" i="1"/>
  <c r="U173" i="1"/>
  <c r="AM173" i="1" s="1"/>
  <c r="AN173" i="1" s="1"/>
  <c r="Y173" i="1"/>
  <c r="S174" i="1"/>
  <c r="U174" i="1"/>
  <c r="AM174" i="1" s="1"/>
  <c r="AN174" i="1" s="1"/>
  <c r="Y174" i="1"/>
  <c r="S175" i="1"/>
  <c r="U175" i="1"/>
  <c r="AM175" i="1" s="1"/>
  <c r="AN175" i="1" s="1"/>
  <c r="Y175" i="1"/>
  <c r="S176" i="1"/>
  <c r="U176" i="1"/>
  <c r="Y176" i="1"/>
  <c r="AM176" i="1"/>
  <c r="AN176" i="1" s="1"/>
  <c r="AV176" i="1" s="1"/>
  <c r="S177" i="1"/>
  <c r="U177" i="1"/>
  <c r="AM177" i="1" s="1"/>
  <c r="AN177" i="1" s="1"/>
  <c r="Y177" i="1"/>
  <c r="S178" i="1"/>
  <c r="U178" i="1"/>
  <c r="AM178" i="1" s="1"/>
  <c r="AN178" i="1" s="1"/>
  <c r="Y178" i="1"/>
  <c r="S179" i="1"/>
  <c r="U179" i="1"/>
  <c r="Y179" i="1"/>
  <c r="AM179" i="1"/>
  <c r="AN179" i="1" s="1"/>
  <c r="S180" i="1"/>
  <c r="U180" i="1"/>
  <c r="AM180" i="1" s="1"/>
  <c r="AN180" i="1" s="1"/>
  <c r="Y180" i="1"/>
  <c r="S181" i="1"/>
  <c r="U181" i="1"/>
  <c r="Y181" i="1"/>
  <c r="AM181" i="1"/>
  <c r="AN181" i="1" s="1"/>
  <c r="AV181" i="1" s="1"/>
  <c r="S182" i="1"/>
  <c r="U182" i="1"/>
  <c r="Y182" i="1"/>
  <c r="AM182" i="1"/>
  <c r="AN182" i="1" s="1"/>
  <c r="AV182" i="1" s="1"/>
  <c r="S183" i="1"/>
  <c r="U183" i="1"/>
  <c r="AM183" i="1" s="1"/>
  <c r="AN183" i="1" s="1"/>
  <c r="Y183" i="1"/>
  <c r="AU183" i="1" s="1"/>
  <c r="S184" i="1"/>
  <c r="U184" i="1"/>
  <c r="Y184" i="1"/>
  <c r="AM184" i="1"/>
  <c r="AN184" i="1" s="1"/>
  <c r="S185" i="1"/>
  <c r="U185" i="1"/>
  <c r="AM185" i="1" s="1"/>
  <c r="AN185" i="1" s="1"/>
  <c r="Y185" i="1"/>
  <c r="S186" i="1"/>
  <c r="U186" i="1"/>
  <c r="Y186" i="1"/>
  <c r="AM186" i="1"/>
  <c r="AN186" i="1" s="1"/>
  <c r="AV186" i="1" s="1"/>
  <c r="S187" i="1"/>
  <c r="U187" i="1"/>
  <c r="AM187" i="1" s="1"/>
  <c r="AN187" i="1" s="1"/>
  <c r="Y187" i="1"/>
  <c r="S188" i="1"/>
  <c r="U188" i="1"/>
  <c r="AM188" i="1" s="1"/>
  <c r="AN188" i="1" s="1"/>
  <c r="Y188" i="1"/>
  <c r="AU188" i="1" s="1"/>
  <c r="S189" i="1"/>
  <c r="U189" i="1"/>
  <c r="AM189" i="1" s="1"/>
  <c r="AN189" i="1" s="1"/>
  <c r="Y189" i="1"/>
  <c r="S190" i="1"/>
  <c r="U190" i="1"/>
  <c r="AM190" i="1" s="1"/>
  <c r="AN190" i="1" s="1"/>
  <c r="Y190" i="1"/>
  <c r="AU190" i="1" s="1"/>
  <c r="S191" i="1"/>
  <c r="U191" i="1"/>
  <c r="AM191" i="1" s="1"/>
  <c r="AN191" i="1" s="1"/>
  <c r="Y191" i="1"/>
  <c r="AU191" i="1" s="1"/>
  <c r="S192" i="1"/>
  <c r="U192" i="1"/>
  <c r="Y192" i="1"/>
  <c r="AM192" i="1"/>
  <c r="AN192" i="1"/>
  <c r="AV192" i="1"/>
  <c r="S193" i="1"/>
  <c r="U193" i="1"/>
  <c r="AM193" i="1" s="1"/>
  <c r="AN193" i="1" s="1"/>
  <c r="Y193" i="1"/>
  <c r="S194" i="1"/>
  <c r="U194" i="1"/>
  <c r="Y194" i="1"/>
  <c r="AM194" i="1"/>
  <c r="AN194" i="1" s="1"/>
  <c r="S195" i="1"/>
  <c r="U195" i="1"/>
  <c r="AM195" i="1" s="1"/>
  <c r="AN195" i="1" s="1"/>
  <c r="Y195" i="1"/>
  <c r="AU195" i="1" s="1"/>
  <c r="S196" i="1"/>
  <c r="U196" i="1"/>
  <c r="AM196" i="1" s="1"/>
  <c r="AN196" i="1" s="1"/>
  <c r="Y196" i="1"/>
  <c r="AU196" i="1" s="1"/>
  <c r="S197" i="1"/>
  <c r="U197" i="1"/>
  <c r="AM197" i="1" s="1"/>
  <c r="AN197" i="1" s="1"/>
  <c r="AV197" i="1" s="1"/>
  <c r="Y197" i="1"/>
  <c r="S198" i="1"/>
  <c r="U198" i="1"/>
  <c r="AM198" i="1" s="1"/>
  <c r="AN198" i="1" s="1"/>
  <c r="Y198" i="1"/>
  <c r="S199" i="1"/>
  <c r="U199" i="1"/>
  <c r="Y199" i="1"/>
  <c r="AM199" i="1"/>
  <c r="AN199" i="1" s="1"/>
  <c r="S200" i="1"/>
  <c r="U200" i="1"/>
  <c r="AM200" i="1" s="1"/>
  <c r="AN200" i="1" s="1"/>
  <c r="Y200" i="1"/>
  <c r="AU200" i="1" s="1"/>
  <c r="S201" i="1"/>
  <c r="U201" i="1"/>
  <c r="AM201" i="1" s="1"/>
  <c r="AN201" i="1" s="1"/>
  <c r="Y201" i="1"/>
  <c r="AU201" i="1" s="1"/>
  <c r="S202" i="1"/>
  <c r="U202" i="1"/>
  <c r="AM202" i="1" s="1"/>
  <c r="AN202" i="1" s="1"/>
  <c r="Y202" i="1"/>
  <c r="AV202" i="1" s="1"/>
  <c r="S203" i="1"/>
  <c r="U203" i="1"/>
  <c r="AM203" i="1" s="1"/>
  <c r="AN203" i="1" s="1"/>
  <c r="Y203" i="1"/>
  <c r="S204" i="1"/>
  <c r="U204" i="1"/>
  <c r="Y204" i="1"/>
  <c r="AM204" i="1"/>
  <c r="AN204" i="1" s="1"/>
  <c r="S205" i="1"/>
  <c r="U205" i="1"/>
  <c r="AM205" i="1" s="1"/>
  <c r="AN205" i="1" s="1"/>
  <c r="Y205" i="1"/>
  <c r="S206" i="1"/>
  <c r="U206" i="1"/>
  <c r="AM206" i="1" s="1"/>
  <c r="AN206" i="1" s="1"/>
  <c r="Y206" i="1"/>
  <c r="AU206" i="1" s="1"/>
  <c r="S207" i="1"/>
  <c r="U207" i="1"/>
  <c r="Y207" i="1"/>
  <c r="AM207" i="1"/>
  <c r="AN207" i="1" s="1"/>
  <c r="S208" i="1"/>
  <c r="U208" i="1"/>
  <c r="AM208" i="1" s="1"/>
  <c r="AN208" i="1" s="1"/>
  <c r="Y208" i="1"/>
  <c r="S209" i="1"/>
  <c r="U209" i="1"/>
  <c r="Y209" i="1"/>
  <c r="AM209" i="1"/>
  <c r="AN209" i="1" s="1"/>
  <c r="S210" i="1"/>
  <c r="U210" i="1"/>
  <c r="AM210" i="1" s="1"/>
  <c r="AN210" i="1" s="1"/>
  <c r="Y210" i="1"/>
  <c r="AU210" i="1" s="1"/>
  <c r="S211" i="1"/>
  <c r="U211" i="1"/>
  <c r="AM211" i="1" s="1"/>
  <c r="AN211" i="1" s="1"/>
  <c r="Y211" i="1"/>
  <c r="AU211" i="1" s="1"/>
  <c r="S212" i="1"/>
  <c r="U212" i="1"/>
  <c r="Y212" i="1"/>
  <c r="AM212" i="1"/>
  <c r="AN212" i="1"/>
  <c r="AV212" i="1" s="1"/>
  <c r="S213" i="1"/>
  <c r="U213" i="1"/>
  <c r="AM213" i="1" s="1"/>
  <c r="AN213" i="1" s="1"/>
  <c r="Y213" i="1"/>
  <c r="S214" i="1"/>
  <c r="U214" i="1"/>
  <c r="Y214" i="1"/>
  <c r="AM214" i="1"/>
  <c r="AN214" i="1" s="1"/>
  <c r="S215" i="1"/>
  <c r="U215" i="1"/>
  <c r="Y215" i="1"/>
  <c r="AM215" i="1"/>
  <c r="AN215" i="1" s="1"/>
  <c r="S216" i="1"/>
  <c r="U216" i="1"/>
  <c r="AM216" i="1" s="1"/>
  <c r="AN216" i="1" s="1"/>
  <c r="Y216" i="1"/>
  <c r="S217" i="1"/>
  <c r="U217" i="1"/>
  <c r="Y217" i="1"/>
  <c r="AM217" i="1"/>
  <c r="AN217" i="1" s="1"/>
  <c r="AV217" i="1" s="1"/>
  <c r="S218" i="1"/>
  <c r="U218" i="1"/>
  <c r="AM218" i="1" s="1"/>
  <c r="AN218" i="1" s="1"/>
  <c r="Y218" i="1"/>
  <c r="AU218" i="1" s="1"/>
  <c r="S219" i="1"/>
  <c r="U219" i="1"/>
  <c r="Y219" i="1"/>
  <c r="AM219" i="1"/>
  <c r="AN219" i="1" s="1"/>
  <c r="S220" i="1"/>
  <c r="U220" i="1"/>
  <c r="AM220" i="1" s="1"/>
  <c r="AN220" i="1" s="1"/>
  <c r="Y220" i="1"/>
  <c r="AU220" i="1" s="1"/>
  <c r="S221" i="1"/>
  <c r="U221" i="1"/>
  <c r="Y221" i="1"/>
  <c r="AM221" i="1"/>
  <c r="AN221" i="1" s="1"/>
  <c r="AV221" i="1" s="1"/>
  <c r="S222" i="1"/>
  <c r="U222" i="1"/>
  <c r="Y222" i="1"/>
  <c r="AM222" i="1"/>
  <c r="AN222" i="1" s="1"/>
  <c r="S223" i="1"/>
  <c r="U223" i="1"/>
  <c r="AM223" i="1" s="1"/>
  <c r="AN223" i="1" s="1"/>
  <c r="Y223" i="1"/>
  <c r="S224" i="1"/>
  <c r="U224" i="1"/>
  <c r="AM224" i="1" s="1"/>
  <c r="AN224" i="1" s="1"/>
  <c r="Y224" i="1"/>
  <c r="S225" i="1"/>
  <c r="U225" i="1"/>
  <c r="AM225" i="1" s="1"/>
  <c r="AN225" i="1" s="1"/>
  <c r="Y225" i="1"/>
  <c r="S226" i="1"/>
  <c r="U226" i="1"/>
  <c r="Y226" i="1"/>
  <c r="AM226" i="1"/>
  <c r="AN226" i="1" s="1"/>
  <c r="AV226" i="1" s="1"/>
  <c r="S227" i="1"/>
  <c r="U227" i="1"/>
  <c r="Y227" i="1"/>
  <c r="AM227" i="1"/>
  <c r="AN227" i="1" s="1"/>
  <c r="S228" i="1"/>
  <c r="U228" i="1"/>
  <c r="AM228" i="1" s="1"/>
  <c r="AN228" i="1" s="1"/>
  <c r="Y228" i="1"/>
  <c r="S229" i="1"/>
  <c r="U229" i="1"/>
  <c r="AM229" i="1" s="1"/>
  <c r="AN229" i="1" s="1"/>
  <c r="Y229" i="1"/>
  <c r="S230" i="1"/>
  <c r="U230" i="1"/>
  <c r="AM230" i="1" s="1"/>
  <c r="AN230" i="1" s="1"/>
  <c r="Y230" i="1"/>
  <c r="S231" i="1"/>
  <c r="U231" i="1"/>
  <c r="Y231" i="1"/>
  <c r="AM231" i="1"/>
  <c r="AN231" i="1" s="1"/>
  <c r="AV231" i="1" s="1"/>
  <c r="S232" i="1"/>
  <c r="U232" i="1"/>
  <c r="AM232" i="1" s="1"/>
  <c r="AN232" i="1" s="1"/>
  <c r="Y232" i="1"/>
  <c r="S233" i="1"/>
  <c r="U233" i="1"/>
  <c r="AM233" i="1" s="1"/>
  <c r="AN233" i="1" s="1"/>
  <c r="Y233" i="1"/>
  <c r="S234" i="1"/>
  <c r="U234" i="1"/>
  <c r="AM234" i="1" s="1"/>
  <c r="AN234" i="1" s="1"/>
  <c r="Y234" i="1"/>
  <c r="S235" i="1"/>
  <c r="U235" i="1"/>
  <c r="AM235" i="1" s="1"/>
  <c r="AN235" i="1" s="1"/>
  <c r="Y235" i="1"/>
  <c r="S236" i="1"/>
  <c r="U236" i="1"/>
  <c r="Y236" i="1"/>
  <c r="AM236" i="1"/>
  <c r="AN236" i="1" s="1"/>
  <c r="S237" i="1"/>
  <c r="U237" i="1"/>
  <c r="AM237" i="1" s="1"/>
  <c r="AN237" i="1" s="1"/>
  <c r="Y237" i="1"/>
  <c r="S238" i="1"/>
  <c r="U238" i="1"/>
  <c r="AM238" i="1" s="1"/>
  <c r="AN238" i="1" s="1"/>
  <c r="Y238" i="1"/>
  <c r="S239" i="1"/>
  <c r="U239" i="1"/>
  <c r="Y239" i="1"/>
  <c r="AM239" i="1"/>
  <c r="AN239" i="1" s="1"/>
  <c r="S240" i="1"/>
  <c r="U240" i="1"/>
  <c r="AM240" i="1" s="1"/>
  <c r="AN240" i="1" s="1"/>
  <c r="Y240" i="1"/>
  <c r="S241" i="1"/>
  <c r="U241" i="1"/>
  <c r="AM241" i="1" s="1"/>
  <c r="AN241" i="1" s="1"/>
  <c r="Y241" i="1"/>
  <c r="S242" i="1"/>
  <c r="U242" i="1"/>
  <c r="AM242" i="1" s="1"/>
  <c r="AN242" i="1" s="1"/>
  <c r="Y242" i="1"/>
  <c r="S243" i="1"/>
  <c r="U243" i="1"/>
  <c r="AM243" i="1" s="1"/>
  <c r="AN243" i="1" s="1"/>
  <c r="Y243" i="1"/>
  <c r="S244" i="1"/>
  <c r="U244" i="1"/>
  <c r="AM244" i="1" s="1"/>
  <c r="AN244" i="1" s="1"/>
  <c r="Y244" i="1"/>
  <c r="S245" i="1"/>
  <c r="U245" i="1"/>
  <c r="AM245" i="1" s="1"/>
  <c r="AN245" i="1" s="1"/>
  <c r="Y245" i="1"/>
  <c r="S246" i="1"/>
  <c r="U246" i="1"/>
  <c r="AM246" i="1" s="1"/>
  <c r="AN246" i="1" s="1"/>
  <c r="Y246" i="1"/>
  <c r="AV246" i="1" s="1"/>
  <c r="S247" i="1"/>
  <c r="U247" i="1"/>
  <c r="AM247" i="1" s="1"/>
  <c r="AN247" i="1" s="1"/>
  <c r="Y247" i="1"/>
  <c r="S248" i="1"/>
  <c r="U248" i="1"/>
  <c r="AM248" i="1" s="1"/>
  <c r="AN248" i="1" s="1"/>
  <c r="Y248" i="1"/>
  <c r="S249" i="1"/>
  <c r="U249" i="1"/>
  <c r="Y249" i="1"/>
  <c r="AM249" i="1"/>
  <c r="AN249" i="1" s="1"/>
  <c r="S250" i="1"/>
  <c r="U250" i="1"/>
  <c r="AM250" i="1" s="1"/>
  <c r="AN250" i="1" s="1"/>
  <c r="Y250" i="1"/>
  <c r="S251" i="1"/>
  <c r="U251" i="1"/>
  <c r="AM251" i="1" s="1"/>
  <c r="AN251" i="1" s="1"/>
  <c r="Y251" i="1"/>
  <c r="S252" i="1"/>
  <c r="U252" i="1"/>
  <c r="AM252" i="1" s="1"/>
  <c r="AN252" i="1" s="1"/>
  <c r="Y252" i="1"/>
  <c r="AV252" i="1"/>
  <c r="S253" i="1"/>
  <c r="U253" i="1"/>
  <c r="AM253" i="1" s="1"/>
  <c r="AN253" i="1" s="1"/>
  <c r="Y253" i="1"/>
  <c r="S254" i="1"/>
  <c r="U254" i="1"/>
  <c r="Y254" i="1"/>
  <c r="AM254" i="1"/>
  <c r="AN254" i="1" s="1"/>
  <c r="S255" i="1"/>
  <c r="U255" i="1"/>
  <c r="AM255" i="1" s="1"/>
  <c r="AN255" i="1" s="1"/>
  <c r="Y255" i="1"/>
  <c r="S256" i="1"/>
  <c r="U256" i="1"/>
  <c r="AM256" i="1" s="1"/>
  <c r="AN256" i="1" s="1"/>
  <c r="Y256" i="1"/>
  <c r="S257" i="1"/>
  <c r="U257" i="1"/>
  <c r="AM257" i="1" s="1"/>
  <c r="AN257" i="1" s="1"/>
  <c r="Y257" i="1"/>
  <c r="S258" i="1"/>
  <c r="U258" i="1"/>
  <c r="AM258" i="1" s="1"/>
  <c r="AN258" i="1" s="1"/>
  <c r="Y258" i="1"/>
  <c r="S259" i="1"/>
  <c r="U259" i="1"/>
  <c r="Y259" i="1"/>
  <c r="AM259" i="1"/>
  <c r="AN259" i="1" s="1"/>
  <c r="S260" i="1"/>
  <c r="U260" i="1"/>
  <c r="Y260" i="1"/>
  <c r="AM260" i="1"/>
  <c r="AN260" i="1" s="1"/>
  <c r="S261" i="1"/>
  <c r="U261" i="1"/>
  <c r="AM261" i="1" s="1"/>
  <c r="AN261" i="1" s="1"/>
  <c r="Y261" i="1"/>
  <c r="S262" i="1"/>
  <c r="U262" i="1"/>
  <c r="AM262" i="1" s="1"/>
  <c r="AN262" i="1" s="1"/>
  <c r="AV262" i="1" s="1"/>
  <c r="Y262" i="1"/>
  <c r="S263" i="1"/>
  <c r="U263" i="1"/>
  <c r="AM263" i="1" s="1"/>
  <c r="Y263" i="1"/>
  <c r="AN263" i="1"/>
  <c r="AV263" i="1" s="1"/>
  <c r="S264" i="1"/>
  <c r="U264" i="1"/>
  <c r="AM264" i="1" s="1"/>
  <c r="AN264" i="1" s="1"/>
  <c r="Y264" i="1"/>
  <c r="S265" i="1"/>
  <c r="U265" i="1"/>
  <c r="AM265" i="1" s="1"/>
  <c r="AN265" i="1" s="1"/>
  <c r="Y265" i="1"/>
  <c r="AV265" i="1" s="1"/>
  <c r="S266" i="1"/>
  <c r="U266" i="1"/>
  <c r="AM266" i="1" s="1"/>
  <c r="AN266" i="1" s="1"/>
  <c r="Y266" i="1"/>
  <c r="AV266" i="1"/>
  <c r="AW266" i="1"/>
  <c r="S267" i="1"/>
  <c r="U267" i="1"/>
  <c r="AM267" i="1" s="1"/>
  <c r="AN267" i="1" s="1"/>
  <c r="Y267" i="1"/>
  <c r="S268" i="1"/>
  <c r="U268" i="1"/>
  <c r="AM268" i="1" s="1"/>
  <c r="Y268" i="1"/>
  <c r="AN268" i="1"/>
  <c r="S269" i="1"/>
  <c r="U269" i="1"/>
  <c r="AM269" i="1" s="1"/>
  <c r="AN269" i="1" s="1"/>
  <c r="Y269" i="1"/>
  <c r="S270" i="1"/>
  <c r="U270" i="1"/>
  <c r="AM270" i="1" s="1"/>
  <c r="AN270" i="1" s="1"/>
  <c r="Y270" i="1"/>
  <c r="S271" i="1"/>
  <c r="U271" i="1"/>
  <c r="AM271" i="1" s="1"/>
  <c r="AN271" i="1" s="1"/>
  <c r="Y271" i="1"/>
  <c r="S272" i="1"/>
  <c r="U272" i="1"/>
  <c r="AM272" i="1" s="1"/>
  <c r="AN272" i="1" s="1"/>
  <c r="Y272" i="1"/>
  <c r="S273" i="1"/>
  <c r="U273" i="1"/>
  <c r="AM273" i="1" s="1"/>
  <c r="AN273" i="1" s="1"/>
  <c r="Y273" i="1"/>
  <c r="AV273" i="1" s="1"/>
  <c r="S274" i="1"/>
  <c r="U274" i="1"/>
  <c r="Y274" i="1"/>
  <c r="AM274" i="1"/>
  <c r="AN274" i="1" s="1"/>
  <c r="S275" i="1"/>
  <c r="U275" i="1"/>
  <c r="AM275" i="1" s="1"/>
  <c r="AN275" i="1" s="1"/>
  <c r="Y275" i="1"/>
  <c r="S276" i="1"/>
  <c r="U276" i="1"/>
  <c r="AM276" i="1" s="1"/>
  <c r="AN276" i="1" s="1"/>
  <c r="Y276" i="1"/>
  <c r="S277" i="1"/>
  <c r="U277" i="1"/>
  <c r="AM277" i="1" s="1"/>
  <c r="AN277" i="1" s="1"/>
  <c r="Y277" i="1"/>
  <c r="S278" i="1"/>
  <c r="U278" i="1"/>
  <c r="AM278" i="1" s="1"/>
  <c r="Y278" i="1"/>
  <c r="AN278" i="1"/>
  <c r="AV278" i="1" s="1"/>
  <c r="S279" i="1"/>
  <c r="U279" i="1"/>
  <c r="AM279" i="1" s="1"/>
  <c r="AN279" i="1" s="1"/>
  <c r="Y279" i="1"/>
  <c r="S280" i="1"/>
  <c r="U280" i="1"/>
  <c r="AM280" i="1" s="1"/>
  <c r="AN280" i="1" s="1"/>
  <c r="Y280" i="1"/>
  <c r="S281" i="1"/>
  <c r="U281" i="1"/>
  <c r="AM281" i="1" s="1"/>
  <c r="AN281" i="1" s="1"/>
  <c r="Y281" i="1"/>
  <c r="S282" i="1"/>
  <c r="U282" i="1"/>
  <c r="AM282" i="1" s="1"/>
  <c r="AN282" i="1" s="1"/>
  <c r="Y282" i="1"/>
  <c r="S283" i="1"/>
  <c r="U283" i="1"/>
  <c r="AM283" i="1" s="1"/>
  <c r="Y283" i="1"/>
  <c r="AN283" i="1"/>
  <c r="S284" i="1"/>
  <c r="U284" i="1"/>
  <c r="Y284" i="1"/>
  <c r="AM284" i="1"/>
  <c r="AN284" i="1" s="1"/>
  <c r="S285" i="1"/>
  <c r="U285" i="1"/>
  <c r="AM285" i="1" s="1"/>
  <c r="AN285" i="1" s="1"/>
  <c r="Y285" i="1"/>
  <c r="S286" i="1"/>
  <c r="U286" i="1"/>
  <c r="AM286" i="1" s="1"/>
  <c r="AN286" i="1" s="1"/>
  <c r="Y286" i="1"/>
  <c r="AW286" i="1"/>
  <c r="S287" i="1"/>
  <c r="U287" i="1"/>
  <c r="AM287" i="1" s="1"/>
  <c r="AN287" i="1" s="1"/>
  <c r="Y287" i="1"/>
  <c r="S288" i="1"/>
  <c r="U288" i="1"/>
  <c r="AM288" i="1" s="1"/>
  <c r="AN288" i="1" s="1"/>
  <c r="Y288" i="1"/>
  <c r="AV288" i="1" s="1"/>
  <c r="S289" i="1"/>
  <c r="U289" i="1"/>
  <c r="Y289" i="1"/>
  <c r="AM289" i="1"/>
  <c r="AN289" i="1" s="1"/>
  <c r="AV289" i="1"/>
  <c r="S290" i="1"/>
  <c r="U290" i="1"/>
  <c r="AM290" i="1" s="1"/>
  <c r="AN290" i="1" s="1"/>
  <c r="AV290" i="1" s="1"/>
  <c r="Y290" i="1"/>
  <c r="S291" i="1"/>
  <c r="U291" i="1"/>
  <c r="AM291" i="1" s="1"/>
  <c r="AN291" i="1" s="1"/>
  <c r="Y291" i="1"/>
  <c r="S292" i="1"/>
  <c r="U292" i="1"/>
  <c r="AM292" i="1" s="1"/>
  <c r="Y292" i="1"/>
  <c r="AN292" i="1"/>
  <c r="S293" i="1"/>
  <c r="U293" i="1"/>
  <c r="AM293" i="1" s="1"/>
  <c r="AN293" i="1" s="1"/>
  <c r="Y293" i="1"/>
  <c r="S294" i="1"/>
  <c r="U294" i="1"/>
  <c r="Y294" i="1"/>
  <c r="AM294" i="1"/>
  <c r="AN294" i="1" s="1"/>
  <c r="S295" i="1"/>
  <c r="U295" i="1"/>
  <c r="AM295" i="1" s="1"/>
  <c r="AN295" i="1" s="1"/>
  <c r="Y295" i="1"/>
  <c r="S296" i="1"/>
  <c r="U296" i="1"/>
  <c r="AM296" i="1" s="1"/>
  <c r="AN296" i="1" s="1"/>
  <c r="Y296" i="1"/>
  <c r="S297" i="1"/>
  <c r="U297" i="1"/>
  <c r="AM297" i="1" s="1"/>
  <c r="AN297" i="1" s="1"/>
  <c r="Y297" i="1"/>
  <c r="S298" i="1"/>
  <c r="U298" i="1"/>
  <c r="Y298" i="1"/>
  <c r="AM298" i="1"/>
  <c r="AN298" i="1" s="1"/>
  <c r="S299" i="1"/>
  <c r="U299" i="1"/>
  <c r="AM299" i="1" s="1"/>
  <c r="AN299" i="1" s="1"/>
  <c r="Y299" i="1"/>
  <c r="S300" i="1"/>
  <c r="U300" i="1"/>
  <c r="AM300" i="1" s="1"/>
  <c r="AN300" i="1" s="1"/>
  <c r="Y300" i="1"/>
  <c r="AU300" i="1" s="1"/>
  <c r="S301" i="1"/>
  <c r="U301" i="1"/>
  <c r="AM301" i="1" s="1"/>
  <c r="AN301" i="1" s="1"/>
  <c r="Y301" i="1"/>
  <c r="AW301" i="1" s="1"/>
  <c r="S302" i="1"/>
  <c r="U302" i="1"/>
  <c r="Y302" i="1"/>
  <c r="AM302" i="1"/>
  <c r="AN302" i="1" s="1"/>
  <c r="S303" i="1"/>
  <c r="U303" i="1"/>
  <c r="AM303" i="1" s="1"/>
  <c r="AN303" i="1" s="1"/>
  <c r="Y303" i="1"/>
  <c r="S304" i="1"/>
  <c r="U304" i="1"/>
  <c r="AM304" i="1" s="1"/>
  <c r="AN304" i="1" s="1"/>
  <c r="Y304" i="1"/>
  <c r="S305" i="1"/>
  <c r="U305" i="1"/>
  <c r="AM305" i="1" s="1"/>
  <c r="AN305" i="1" s="1"/>
  <c r="Y305" i="1"/>
  <c r="S306" i="1"/>
  <c r="U306" i="1"/>
  <c r="Y306" i="1"/>
  <c r="AM306" i="1"/>
  <c r="AN306" i="1"/>
  <c r="AU306" i="1" s="1"/>
  <c r="AW306" i="1"/>
  <c r="S307" i="1"/>
  <c r="U307" i="1"/>
  <c r="AM307" i="1" s="1"/>
  <c r="AN307" i="1" s="1"/>
  <c r="Y307" i="1"/>
  <c r="S308" i="1"/>
  <c r="U308" i="1"/>
  <c r="AM308" i="1" s="1"/>
  <c r="AN308" i="1" s="1"/>
  <c r="Y308" i="1"/>
  <c r="S309" i="1"/>
  <c r="U309" i="1"/>
  <c r="AM309" i="1" s="1"/>
  <c r="AN309" i="1" s="1"/>
  <c r="AU309" i="1" s="1"/>
  <c r="Y309" i="1"/>
  <c r="S310" i="1"/>
  <c r="U310" i="1"/>
  <c r="AM310" i="1" s="1"/>
  <c r="AN310" i="1" s="1"/>
  <c r="Y310" i="1"/>
  <c r="AU310" i="1" s="1"/>
  <c r="S311" i="1"/>
  <c r="U311" i="1"/>
  <c r="AM311" i="1" s="1"/>
  <c r="AN311" i="1" s="1"/>
  <c r="Y311" i="1"/>
  <c r="S312" i="1"/>
  <c r="U312" i="1"/>
  <c r="Y312" i="1"/>
  <c r="AM312" i="1"/>
  <c r="AN312" i="1" s="1"/>
  <c r="S313" i="1"/>
  <c r="U313" i="1"/>
  <c r="AM313" i="1" s="1"/>
  <c r="AN313" i="1" s="1"/>
  <c r="Y313" i="1"/>
  <c r="S314" i="1"/>
  <c r="U314" i="1"/>
  <c r="Y314" i="1"/>
  <c r="AM314" i="1"/>
  <c r="AN314" i="1"/>
  <c r="AU314" i="1" s="1"/>
  <c r="AW314" i="1"/>
  <c r="S315" i="1"/>
  <c r="U315" i="1"/>
  <c r="AM315" i="1" s="1"/>
  <c r="AN315" i="1" s="1"/>
  <c r="Y315" i="1"/>
  <c r="S316" i="1"/>
  <c r="U316" i="1"/>
  <c r="AM316" i="1" s="1"/>
  <c r="AN316" i="1" s="1"/>
  <c r="Y316" i="1"/>
  <c r="S317" i="1"/>
  <c r="U317" i="1"/>
  <c r="AM317" i="1" s="1"/>
  <c r="AN317" i="1" s="1"/>
  <c r="Y317" i="1"/>
  <c r="S318" i="1"/>
  <c r="U318" i="1"/>
  <c r="Y318" i="1"/>
  <c r="AM318" i="1"/>
  <c r="AN318" i="1" s="1"/>
  <c r="S319" i="1"/>
  <c r="U319" i="1"/>
  <c r="AM319" i="1" s="1"/>
  <c r="AN319" i="1" s="1"/>
  <c r="Y319" i="1"/>
  <c r="S320" i="1"/>
  <c r="U320" i="1"/>
  <c r="AM320" i="1" s="1"/>
  <c r="AN320" i="1" s="1"/>
  <c r="Y320" i="1"/>
  <c r="S321" i="1"/>
  <c r="U321" i="1"/>
  <c r="AM321" i="1" s="1"/>
  <c r="AN321" i="1" s="1"/>
  <c r="Y321" i="1"/>
  <c r="AW321" i="1" s="1"/>
  <c r="S322" i="1"/>
  <c r="U322" i="1"/>
  <c r="Y322" i="1"/>
  <c r="AM322" i="1"/>
  <c r="AN322" i="1" s="1"/>
  <c r="S323" i="1"/>
  <c r="U323" i="1"/>
  <c r="AM323" i="1" s="1"/>
  <c r="AN323" i="1" s="1"/>
  <c r="Y323" i="1"/>
  <c r="S324" i="1"/>
  <c r="U324" i="1"/>
  <c r="AM324" i="1" s="1"/>
  <c r="AN324" i="1" s="1"/>
  <c r="Y324" i="1"/>
  <c r="S325" i="1"/>
  <c r="U325" i="1"/>
  <c r="AM325" i="1" s="1"/>
  <c r="AN325" i="1" s="1"/>
  <c r="Y325" i="1"/>
  <c r="S326" i="1"/>
  <c r="U326" i="1"/>
  <c r="AM326" i="1" s="1"/>
  <c r="AN326" i="1" s="1"/>
  <c r="AU326" i="1" s="1"/>
  <c r="Y326" i="1"/>
  <c r="AW326" i="1" s="1"/>
  <c r="S327" i="1"/>
  <c r="U327" i="1"/>
  <c r="AM327" i="1" s="1"/>
  <c r="AN327" i="1" s="1"/>
  <c r="Y327" i="1"/>
  <c r="S328" i="1"/>
  <c r="U328" i="1"/>
  <c r="AM328" i="1" s="1"/>
  <c r="AN328" i="1" s="1"/>
  <c r="Y328" i="1"/>
  <c r="S329" i="1"/>
  <c r="U329" i="1"/>
  <c r="AM329" i="1" s="1"/>
  <c r="AN329" i="1" s="1"/>
  <c r="Y329" i="1"/>
  <c r="S330" i="1"/>
  <c r="U330" i="1"/>
  <c r="AM330" i="1" s="1"/>
  <c r="AN330" i="1" s="1"/>
  <c r="Y330" i="1"/>
  <c r="AU330" i="1" s="1"/>
  <c r="S331" i="1"/>
  <c r="U331" i="1"/>
  <c r="AM331" i="1" s="1"/>
  <c r="AN331" i="1" s="1"/>
  <c r="Y331" i="1"/>
  <c r="S332" i="1"/>
  <c r="U332" i="1"/>
  <c r="AM332" i="1" s="1"/>
  <c r="AN332" i="1" s="1"/>
  <c r="Y332" i="1"/>
  <c r="S333" i="1"/>
  <c r="U333" i="1"/>
  <c r="AM333" i="1" s="1"/>
  <c r="AN333" i="1" s="1"/>
  <c r="Y333" i="1"/>
  <c r="S334" i="1"/>
  <c r="U334" i="1"/>
  <c r="Y334" i="1"/>
  <c r="AM334" i="1"/>
  <c r="AN334" i="1"/>
  <c r="AU334" i="1" s="1"/>
  <c r="AW334" i="1"/>
  <c r="S335" i="1"/>
  <c r="U335" i="1"/>
  <c r="AM335" i="1" s="1"/>
  <c r="AN335" i="1" s="1"/>
  <c r="Y335" i="1"/>
  <c r="S336" i="1"/>
  <c r="U336" i="1"/>
  <c r="AM336" i="1" s="1"/>
  <c r="AN336" i="1" s="1"/>
  <c r="Y336" i="1"/>
  <c r="S337" i="1"/>
  <c r="U337" i="1"/>
  <c r="AM337" i="1" s="1"/>
  <c r="AN337" i="1" s="1"/>
  <c r="Y337" i="1"/>
  <c r="S338" i="1"/>
  <c r="U338" i="1"/>
  <c r="Y338" i="1"/>
  <c r="AM338" i="1"/>
  <c r="AN338" i="1"/>
  <c r="AW338" i="1"/>
  <c r="S339" i="1"/>
  <c r="U339" i="1"/>
  <c r="AM339" i="1" s="1"/>
  <c r="AN339" i="1" s="1"/>
  <c r="Y339" i="1"/>
  <c r="S340" i="1"/>
  <c r="U340" i="1"/>
  <c r="AM340" i="1" s="1"/>
  <c r="AN340" i="1" s="1"/>
  <c r="Y340" i="1"/>
  <c r="AU340" i="1" s="1"/>
  <c r="S341" i="1"/>
  <c r="U341" i="1"/>
  <c r="AM341" i="1" s="1"/>
  <c r="AN341" i="1" s="1"/>
  <c r="Y341" i="1"/>
  <c r="AW341" i="1" s="1"/>
  <c r="S342" i="1"/>
  <c r="U342" i="1"/>
  <c r="Y342" i="1"/>
  <c r="AM342" i="1"/>
  <c r="AN342" i="1" s="1"/>
  <c r="AU342" i="1" s="1"/>
  <c r="S343" i="1"/>
  <c r="U343" i="1"/>
  <c r="AM343" i="1" s="1"/>
  <c r="AN343" i="1" s="1"/>
  <c r="Y343" i="1"/>
  <c r="S344" i="1"/>
  <c r="U344" i="1"/>
  <c r="Y344" i="1"/>
  <c r="AM344" i="1"/>
  <c r="AN344" i="1" s="1"/>
  <c r="S345" i="1"/>
  <c r="U345" i="1"/>
  <c r="AM345" i="1" s="1"/>
  <c r="AN345" i="1" s="1"/>
  <c r="Y345" i="1"/>
  <c r="S346" i="1"/>
  <c r="U346" i="1"/>
  <c r="AM346" i="1" s="1"/>
  <c r="AN346" i="1" s="1"/>
  <c r="AU346" i="1" s="1"/>
  <c r="Y346" i="1"/>
  <c r="AW346" i="1" s="1"/>
  <c r="S347" i="1"/>
  <c r="U347" i="1"/>
  <c r="AM347" i="1" s="1"/>
  <c r="AN347" i="1" s="1"/>
  <c r="Y347" i="1"/>
  <c r="S348" i="1"/>
  <c r="U348" i="1"/>
  <c r="AM348" i="1" s="1"/>
  <c r="AN348" i="1" s="1"/>
  <c r="AW348" i="1" s="1"/>
  <c r="Y348" i="1"/>
  <c r="S349" i="1"/>
  <c r="U349" i="1"/>
  <c r="AM349" i="1" s="1"/>
  <c r="AN349" i="1" s="1"/>
  <c r="Y349" i="1"/>
  <c r="S350" i="1"/>
  <c r="U350" i="1"/>
  <c r="AM350" i="1" s="1"/>
  <c r="AN350" i="1" s="1"/>
  <c r="Y350" i="1"/>
  <c r="S351" i="1"/>
  <c r="U351" i="1"/>
  <c r="AM351" i="1" s="1"/>
  <c r="AN351" i="1" s="1"/>
  <c r="Y351" i="1"/>
  <c r="S352" i="1"/>
  <c r="U352" i="1"/>
  <c r="Y352" i="1"/>
  <c r="AM352" i="1"/>
  <c r="AN352" i="1" s="1"/>
  <c r="S353" i="1"/>
  <c r="U353" i="1"/>
  <c r="AM353" i="1" s="1"/>
  <c r="AN353" i="1" s="1"/>
  <c r="Y353" i="1"/>
  <c r="S354" i="1"/>
  <c r="U354" i="1"/>
  <c r="AM354" i="1" s="1"/>
  <c r="AN354" i="1" s="1"/>
  <c r="AU354" i="1" s="1"/>
  <c r="Y354" i="1"/>
  <c r="S355" i="1"/>
  <c r="U355" i="1"/>
  <c r="AM355" i="1" s="1"/>
  <c r="AN355" i="1" s="1"/>
  <c r="Y355" i="1"/>
  <c r="S356" i="1"/>
  <c r="U356" i="1"/>
  <c r="Y356" i="1"/>
  <c r="AM356" i="1"/>
  <c r="AN356" i="1" s="1"/>
  <c r="S357" i="1"/>
  <c r="U357" i="1"/>
  <c r="AM357" i="1" s="1"/>
  <c r="AN357" i="1" s="1"/>
  <c r="AU357" i="1" s="1"/>
  <c r="Y357" i="1"/>
  <c r="S358" i="1"/>
  <c r="U358" i="1"/>
  <c r="Y358" i="1"/>
  <c r="AM358" i="1"/>
  <c r="AN358" i="1"/>
  <c r="AW358" i="1" s="1"/>
  <c r="S359" i="1"/>
  <c r="U359" i="1"/>
  <c r="AM359" i="1" s="1"/>
  <c r="AN359" i="1" s="1"/>
  <c r="AU359" i="1" s="1"/>
  <c r="Y359" i="1"/>
  <c r="S360" i="1"/>
  <c r="U360" i="1"/>
  <c r="AM360" i="1" s="1"/>
  <c r="AN360" i="1" s="1"/>
  <c r="Y360" i="1"/>
  <c r="S361" i="1"/>
  <c r="U361" i="1"/>
  <c r="AM361" i="1" s="1"/>
  <c r="AN361" i="1" s="1"/>
  <c r="Y361" i="1"/>
  <c r="S362" i="1"/>
  <c r="U362" i="1"/>
  <c r="Y362" i="1"/>
  <c r="AM362" i="1"/>
  <c r="AN362" i="1" s="1"/>
  <c r="AU362" i="1" s="1"/>
  <c r="S363" i="1"/>
  <c r="U363" i="1"/>
  <c r="Y363" i="1"/>
  <c r="AM363" i="1"/>
  <c r="AN363" i="1" s="1"/>
  <c r="AW363" i="1" s="1"/>
  <c r="S364" i="1"/>
  <c r="U364" i="1"/>
  <c r="AM364" i="1" s="1"/>
  <c r="AN364" i="1" s="1"/>
  <c r="Y364" i="1"/>
  <c r="S365" i="1"/>
  <c r="U365" i="1"/>
  <c r="AM365" i="1" s="1"/>
  <c r="AN365" i="1" s="1"/>
  <c r="Y365" i="1"/>
  <c r="S366" i="1"/>
  <c r="U366" i="1"/>
  <c r="Y366" i="1"/>
  <c r="AM366" i="1"/>
  <c r="AN366" i="1"/>
  <c r="AU366" i="1" s="1"/>
  <c r="S367" i="1"/>
  <c r="U367" i="1"/>
  <c r="AM367" i="1" s="1"/>
  <c r="AN367" i="1" s="1"/>
  <c r="AU367" i="1" s="1"/>
  <c r="Y367" i="1"/>
  <c r="S368" i="1"/>
  <c r="U368" i="1"/>
  <c r="Y368" i="1"/>
  <c r="AM368" i="1"/>
  <c r="AN368" i="1" s="1"/>
  <c r="AW368" i="1" s="1"/>
  <c r="S369" i="1"/>
  <c r="U369" i="1"/>
  <c r="AM369" i="1" s="1"/>
  <c r="AN369" i="1" s="1"/>
  <c r="AW369" i="1" s="1"/>
  <c r="Y369" i="1"/>
  <c r="S370" i="1"/>
  <c r="U370" i="1"/>
  <c r="AM370" i="1" s="1"/>
  <c r="AN370" i="1" s="1"/>
  <c r="Y370" i="1"/>
  <c r="S371" i="1"/>
  <c r="U371" i="1"/>
  <c r="AM371" i="1" s="1"/>
  <c r="AN371" i="1" s="1"/>
  <c r="Y371" i="1"/>
  <c r="S372" i="1"/>
  <c r="U372" i="1"/>
  <c r="Y372" i="1"/>
  <c r="AM372" i="1"/>
  <c r="AN372" i="1" s="1"/>
  <c r="AU372" i="1" s="1"/>
  <c r="S373" i="1"/>
  <c r="U373" i="1"/>
  <c r="AM373" i="1" s="1"/>
  <c r="AN373" i="1" s="1"/>
  <c r="AW373" i="1" s="1"/>
  <c r="Y373" i="1"/>
  <c r="S374" i="1"/>
  <c r="U374" i="1"/>
  <c r="Y374" i="1"/>
  <c r="AM374" i="1"/>
  <c r="AN374" i="1" s="1"/>
  <c r="S375" i="1"/>
  <c r="U375" i="1"/>
  <c r="AM375" i="1" s="1"/>
  <c r="AN375" i="1" s="1"/>
  <c r="Y375" i="1"/>
  <c r="S376" i="1"/>
  <c r="U376" i="1"/>
  <c r="Y376" i="1"/>
  <c r="AM376" i="1"/>
  <c r="AN376" i="1" s="1"/>
  <c r="AU376" i="1" s="1"/>
  <c r="S377" i="1"/>
  <c r="U377" i="1"/>
  <c r="AM377" i="1" s="1"/>
  <c r="AN377" i="1" s="1"/>
  <c r="Y377" i="1"/>
  <c r="S378" i="1"/>
  <c r="U378" i="1"/>
  <c r="Y378" i="1"/>
  <c r="AM378" i="1"/>
  <c r="AN378" i="1" s="1"/>
  <c r="S379" i="1"/>
  <c r="U379" i="1"/>
  <c r="AM379" i="1" s="1"/>
  <c r="AN379" i="1" s="1"/>
  <c r="Y379" i="1"/>
  <c r="S380" i="1"/>
  <c r="U380" i="1"/>
  <c r="AM380" i="1" s="1"/>
  <c r="AN380" i="1" s="1"/>
  <c r="Y380" i="1"/>
  <c r="S381" i="1"/>
  <c r="U381" i="1"/>
  <c r="AM381" i="1" s="1"/>
  <c r="AN381" i="1" s="1"/>
  <c r="AU381" i="1" s="1"/>
  <c r="Y381" i="1"/>
  <c r="S382" i="1"/>
  <c r="U382" i="1"/>
  <c r="AM382" i="1" s="1"/>
  <c r="AN382" i="1" s="1"/>
  <c r="Y382" i="1"/>
  <c r="S383" i="1"/>
  <c r="U383" i="1"/>
  <c r="Y383" i="1"/>
  <c r="AM383" i="1"/>
  <c r="AN383" i="1" s="1"/>
  <c r="S384" i="1"/>
  <c r="U384" i="1"/>
  <c r="AM384" i="1" s="1"/>
  <c r="AN384" i="1" s="1"/>
  <c r="AU384" i="1" s="1"/>
  <c r="Y384" i="1"/>
  <c r="S385" i="1"/>
  <c r="U385" i="1"/>
  <c r="AM385" i="1" s="1"/>
  <c r="AN385" i="1" s="1"/>
  <c r="Y385" i="1"/>
  <c r="S386" i="1"/>
  <c r="U386" i="1"/>
  <c r="Y386" i="1"/>
  <c r="AM386" i="1"/>
  <c r="AN386" i="1" s="1"/>
  <c r="S387" i="1"/>
  <c r="U387" i="1"/>
  <c r="Y387" i="1"/>
  <c r="AM387" i="1"/>
  <c r="AN387" i="1" s="1"/>
  <c r="AU387" i="1" s="1"/>
  <c r="S388" i="1"/>
  <c r="U388" i="1"/>
  <c r="Y388" i="1"/>
  <c r="AM388" i="1"/>
  <c r="AN388" i="1" s="1"/>
  <c r="S389" i="1"/>
  <c r="U389" i="1"/>
  <c r="Y389" i="1"/>
  <c r="AM389" i="1"/>
  <c r="AN389" i="1" s="1"/>
  <c r="AU389" i="1" s="1"/>
  <c r="S390" i="1"/>
  <c r="U390" i="1"/>
  <c r="AM390" i="1" s="1"/>
  <c r="AN390" i="1" s="1"/>
  <c r="Y390" i="1"/>
  <c r="S391" i="1"/>
  <c r="U391" i="1"/>
  <c r="Y391" i="1"/>
  <c r="AM391" i="1"/>
  <c r="AN391" i="1" s="1"/>
  <c r="S392" i="1"/>
  <c r="U392" i="1"/>
  <c r="AM392" i="1" s="1"/>
  <c r="Y392" i="1"/>
  <c r="AN392" i="1"/>
  <c r="AV392" i="1" s="1"/>
  <c r="S393" i="1"/>
  <c r="U393" i="1"/>
  <c r="Y393" i="1"/>
  <c r="AM393" i="1"/>
  <c r="AN393" i="1" s="1"/>
  <c r="AW393" i="1" s="1"/>
  <c r="S394" i="1"/>
  <c r="U394" i="1"/>
  <c r="AM394" i="1" s="1"/>
  <c r="AN394" i="1" s="1"/>
  <c r="Y394" i="1"/>
  <c r="S395" i="1"/>
  <c r="U395" i="1"/>
  <c r="AM395" i="1" s="1"/>
  <c r="AN395" i="1" s="1"/>
  <c r="Y395" i="1"/>
  <c r="S396" i="1"/>
  <c r="U396" i="1"/>
  <c r="AM396" i="1" s="1"/>
  <c r="AN396" i="1" s="1"/>
  <c r="Y396" i="1"/>
  <c r="S397" i="1"/>
  <c r="U397" i="1"/>
  <c r="AM397" i="1" s="1"/>
  <c r="AN397" i="1" s="1"/>
  <c r="AU397" i="1" s="1"/>
  <c r="Y397" i="1"/>
  <c r="S398" i="1"/>
  <c r="U398" i="1"/>
  <c r="AM398" i="1" s="1"/>
  <c r="AN398" i="1" s="1"/>
  <c r="Y398" i="1"/>
  <c r="S399" i="1"/>
  <c r="U399" i="1"/>
  <c r="Y399" i="1"/>
  <c r="AM399" i="1"/>
  <c r="AN399" i="1" s="1"/>
  <c r="S400" i="1"/>
  <c r="U400" i="1"/>
  <c r="AM400" i="1" s="1"/>
  <c r="AN400" i="1" s="1"/>
  <c r="Y400" i="1"/>
  <c r="S401" i="1"/>
  <c r="U401" i="1"/>
  <c r="Y401" i="1"/>
  <c r="AM401" i="1"/>
  <c r="AN401" i="1" s="1"/>
  <c r="AW401" i="1" s="1"/>
  <c r="S402" i="1"/>
  <c r="U402" i="1"/>
  <c r="AM402" i="1" s="1"/>
  <c r="AN402" i="1" s="1"/>
  <c r="Y402" i="1"/>
  <c r="S403" i="1"/>
  <c r="U403" i="1"/>
  <c r="AM403" i="1" s="1"/>
  <c r="AN403" i="1" s="1"/>
  <c r="Y403" i="1"/>
  <c r="S404" i="1"/>
  <c r="U404" i="1"/>
  <c r="AM404" i="1" s="1"/>
  <c r="AN404" i="1" s="1"/>
  <c r="Y404" i="1"/>
  <c r="S405" i="1"/>
  <c r="U405" i="1"/>
  <c r="AM405" i="1" s="1"/>
  <c r="AN405" i="1" s="1"/>
  <c r="Y405" i="1"/>
  <c r="S406" i="1"/>
  <c r="U406" i="1"/>
  <c r="Y406" i="1"/>
  <c r="AM406" i="1"/>
  <c r="AN406" i="1" s="1"/>
  <c r="S407" i="1"/>
  <c r="U407" i="1"/>
  <c r="Y407" i="1"/>
  <c r="AM407" i="1"/>
  <c r="AN407" i="1" s="1"/>
  <c r="S408" i="1"/>
  <c r="U408" i="1"/>
  <c r="AM408" i="1" s="1"/>
  <c r="AN408" i="1" s="1"/>
  <c r="Y408" i="1"/>
  <c r="S409" i="1"/>
  <c r="U409" i="1"/>
  <c r="Y409" i="1"/>
  <c r="AM409" i="1"/>
  <c r="AN409" i="1" s="1"/>
  <c r="S410" i="1"/>
  <c r="U410" i="1"/>
  <c r="AM410" i="1" s="1"/>
  <c r="AN410" i="1" s="1"/>
  <c r="Y410" i="1"/>
  <c r="S411" i="1"/>
  <c r="U411" i="1"/>
  <c r="Y411" i="1"/>
  <c r="AM411" i="1"/>
  <c r="AN411" i="1" s="1"/>
  <c r="AW411" i="1" s="1"/>
  <c r="S412" i="1"/>
  <c r="U412" i="1"/>
  <c r="AM412" i="1" s="1"/>
  <c r="AN412" i="1" s="1"/>
  <c r="Y412" i="1"/>
  <c r="S413" i="1"/>
  <c r="U413" i="1"/>
  <c r="Y413" i="1"/>
  <c r="AM413" i="1"/>
  <c r="AN413" i="1" s="1"/>
  <c r="S414" i="1"/>
  <c r="U414" i="1"/>
  <c r="Y414" i="1"/>
  <c r="AM414" i="1"/>
  <c r="AN414" i="1" s="1"/>
  <c r="S415" i="1"/>
  <c r="U415" i="1"/>
  <c r="AM415" i="1" s="1"/>
  <c r="AN415" i="1" s="1"/>
  <c r="Y415" i="1"/>
  <c r="S416" i="1"/>
  <c r="U416" i="1"/>
  <c r="AM416" i="1" s="1"/>
  <c r="AN416" i="1" s="1"/>
  <c r="Y416" i="1"/>
  <c r="S417" i="1"/>
  <c r="U417" i="1"/>
  <c r="AM417" i="1" s="1"/>
  <c r="AN417" i="1" s="1"/>
  <c r="Y417" i="1"/>
  <c r="S418" i="1"/>
  <c r="U418" i="1"/>
  <c r="Y418" i="1"/>
  <c r="AM418" i="1"/>
  <c r="AN418" i="1" s="1"/>
  <c r="S419" i="1"/>
  <c r="U419" i="1"/>
  <c r="AM419" i="1" s="1"/>
  <c r="AN419" i="1" s="1"/>
  <c r="Y419" i="1"/>
  <c r="AU419" i="1" s="1"/>
  <c r="S420" i="1"/>
  <c r="U420" i="1"/>
  <c r="AM420" i="1" s="1"/>
  <c r="AN420" i="1" s="1"/>
  <c r="Y420" i="1"/>
  <c r="S421" i="1"/>
  <c r="U421" i="1"/>
  <c r="Y421" i="1"/>
  <c r="AM421" i="1"/>
  <c r="AN421" i="1" s="1"/>
  <c r="AU421" i="1" s="1"/>
  <c r="S422" i="1"/>
  <c r="U422" i="1"/>
  <c r="AM422" i="1" s="1"/>
  <c r="AN422" i="1" s="1"/>
  <c r="AU422" i="1" s="1"/>
  <c r="Y422" i="1"/>
  <c r="S423" i="1"/>
  <c r="U423" i="1"/>
  <c r="AM423" i="1" s="1"/>
  <c r="AN423" i="1" s="1"/>
  <c r="Y423" i="1"/>
  <c r="S424" i="1"/>
  <c r="U424" i="1"/>
  <c r="AM424" i="1" s="1"/>
  <c r="AN424" i="1" s="1"/>
  <c r="Y424" i="1"/>
  <c r="S425" i="1"/>
  <c r="U425" i="1"/>
  <c r="AM425" i="1" s="1"/>
  <c r="AN425" i="1" s="1"/>
  <c r="Y425" i="1"/>
  <c r="S426" i="1"/>
  <c r="U426" i="1"/>
  <c r="AM426" i="1" s="1"/>
  <c r="AN426" i="1" s="1"/>
  <c r="Y426" i="1"/>
  <c r="S427" i="1"/>
  <c r="U427" i="1"/>
  <c r="AM427" i="1" s="1"/>
  <c r="AN427" i="1" s="1"/>
  <c r="Y427" i="1"/>
  <c r="S428" i="1"/>
  <c r="U428" i="1"/>
  <c r="Y428" i="1"/>
  <c r="AM428" i="1"/>
  <c r="AN428" i="1" s="1"/>
  <c r="AW428" i="1" s="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Y436" i="1"/>
  <c r="AM436" i="1"/>
  <c r="AN436" i="1"/>
  <c r="S437" i="1"/>
  <c r="U437" i="1"/>
  <c r="AM437" i="1" s="1"/>
  <c r="AN437" i="1" s="1"/>
  <c r="Y437" i="1"/>
  <c r="S438" i="1"/>
  <c r="U438" i="1"/>
  <c r="Y438" i="1"/>
  <c r="AM438" i="1"/>
  <c r="AN438" i="1" s="1"/>
  <c r="S439" i="1"/>
  <c r="U439" i="1"/>
  <c r="Y439" i="1"/>
  <c r="AM439" i="1"/>
  <c r="AN439" i="1"/>
  <c r="AU439" i="1" s="1"/>
  <c r="AV439" i="1"/>
  <c r="S440" i="1"/>
  <c r="U440" i="1"/>
  <c r="AM440" i="1" s="1"/>
  <c r="AN440" i="1" s="1"/>
  <c r="Y440" i="1"/>
  <c r="S441" i="1"/>
  <c r="U441" i="1"/>
  <c r="Y441" i="1"/>
  <c r="AM441" i="1"/>
  <c r="AN441" i="1" s="1"/>
  <c r="S442" i="1"/>
  <c r="U442" i="1"/>
  <c r="Y442" i="1"/>
  <c r="AM442" i="1"/>
  <c r="AN442" i="1" s="1"/>
  <c r="S443" i="1"/>
  <c r="U443" i="1"/>
  <c r="AM443" i="1" s="1"/>
  <c r="AN443" i="1" s="1"/>
  <c r="Y443" i="1"/>
  <c r="AW443" i="1" s="1"/>
  <c r="S444" i="1"/>
  <c r="U444" i="1"/>
  <c r="AM444" i="1" s="1"/>
  <c r="AN444" i="1" s="1"/>
  <c r="Y444" i="1"/>
  <c r="S445" i="1"/>
  <c r="U445" i="1"/>
  <c r="AM445" i="1" s="1"/>
  <c r="AN445" i="1" s="1"/>
  <c r="Y445" i="1"/>
  <c r="S446" i="1"/>
  <c r="U446" i="1"/>
  <c r="AM446" i="1" s="1"/>
  <c r="AN446" i="1" s="1"/>
  <c r="Y446" i="1"/>
  <c r="S447" i="1"/>
  <c r="U447" i="1"/>
  <c r="AM447" i="1" s="1"/>
  <c r="AN447" i="1" s="1"/>
  <c r="AU447" i="1" s="1"/>
  <c r="Y447" i="1"/>
  <c r="S448" i="1"/>
  <c r="U448" i="1"/>
  <c r="AM448" i="1" s="1"/>
  <c r="AN448" i="1" s="1"/>
  <c r="AW448" i="1" s="1"/>
  <c r="Y448" i="1"/>
  <c r="S449" i="1"/>
  <c r="U449" i="1"/>
  <c r="AM449" i="1" s="1"/>
  <c r="AN449" i="1" s="1"/>
  <c r="Y449" i="1"/>
  <c r="S450" i="1"/>
  <c r="U450" i="1"/>
  <c r="AM450" i="1" s="1"/>
  <c r="AN450" i="1" s="1"/>
  <c r="Y450" i="1"/>
  <c r="S451" i="1"/>
  <c r="U451" i="1"/>
  <c r="Y451" i="1"/>
  <c r="AV451" i="1" s="1"/>
  <c r="AM451" i="1"/>
  <c r="AN451" i="1"/>
  <c r="AU451" i="1" s="1"/>
  <c r="S452" i="1"/>
  <c r="U452" i="1"/>
  <c r="AM452" i="1" s="1"/>
  <c r="AN452" i="1" s="1"/>
  <c r="Y452" i="1"/>
  <c r="S453" i="1"/>
  <c r="U453" i="1"/>
  <c r="AM453" i="1" s="1"/>
  <c r="AN453" i="1" s="1"/>
  <c r="Y453" i="1"/>
  <c r="AW453" i="1" s="1"/>
  <c r="S454" i="1"/>
  <c r="U454" i="1"/>
  <c r="AM454" i="1" s="1"/>
  <c r="AN454" i="1" s="1"/>
  <c r="Y454" i="1"/>
  <c r="S455" i="1"/>
  <c r="U455" i="1"/>
  <c r="AM455" i="1" s="1"/>
  <c r="AN455" i="1" s="1"/>
  <c r="Y455" i="1"/>
  <c r="AV455" i="1" s="1"/>
  <c r="S456" i="1"/>
  <c r="U456" i="1"/>
  <c r="AM456" i="1" s="1"/>
  <c r="AN456" i="1" s="1"/>
  <c r="Y456" i="1"/>
  <c r="S457" i="1"/>
  <c r="U457" i="1"/>
  <c r="AM457" i="1" s="1"/>
  <c r="AN457" i="1" s="1"/>
  <c r="Y457" i="1"/>
  <c r="S458" i="1"/>
  <c r="U458" i="1"/>
  <c r="AM458" i="1" s="1"/>
  <c r="AN458" i="1" s="1"/>
  <c r="AW458" i="1" s="1"/>
  <c r="Y458" i="1"/>
  <c r="S459" i="1"/>
  <c r="U459" i="1"/>
  <c r="AM459" i="1" s="1"/>
  <c r="AN459" i="1" s="1"/>
  <c r="Y459" i="1"/>
  <c r="S460" i="1"/>
  <c r="U460" i="1"/>
  <c r="AM460" i="1" s="1"/>
  <c r="AN460" i="1" s="1"/>
  <c r="Y460" i="1"/>
  <c r="AV460" i="1"/>
  <c r="S461" i="1"/>
  <c r="U461" i="1"/>
  <c r="Y461" i="1"/>
  <c r="AM461" i="1"/>
  <c r="AN461" i="1" s="1"/>
  <c r="S462" i="1"/>
  <c r="U462" i="1"/>
  <c r="AM462" i="1" s="1"/>
  <c r="AN462" i="1" s="1"/>
  <c r="Y462" i="1"/>
  <c r="S463" i="1"/>
  <c r="U463" i="1"/>
  <c r="Y463" i="1"/>
  <c r="AM463" i="1"/>
  <c r="AN463" i="1" s="1"/>
  <c r="S464" i="1"/>
  <c r="U464" i="1"/>
  <c r="AM464" i="1" s="1"/>
  <c r="AN464" i="1" s="1"/>
  <c r="Y464" i="1"/>
  <c r="S465" i="1"/>
  <c r="U465" i="1"/>
  <c r="AM465" i="1" s="1"/>
  <c r="AN465" i="1" s="1"/>
  <c r="Y465" i="1"/>
  <c r="S466" i="1"/>
  <c r="U466" i="1"/>
  <c r="Y466" i="1"/>
  <c r="AM466" i="1"/>
  <c r="AN466" i="1" s="1"/>
  <c r="AU466" i="1" s="1"/>
  <c r="S467" i="1"/>
  <c r="U467" i="1"/>
  <c r="AM467" i="1" s="1"/>
  <c r="AN467" i="1" s="1"/>
  <c r="Y467" i="1"/>
  <c r="S468" i="1"/>
  <c r="U468" i="1"/>
  <c r="AM468" i="1" s="1"/>
  <c r="AN468" i="1" s="1"/>
  <c r="Y468" i="1"/>
  <c r="S469" i="1"/>
  <c r="U469" i="1"/>
  <c r="AM469" i="1" s="1"/>
  <c r="AN469" i="1" s="1"/>
  <c r="Y469" i="1"/>
  <c r="S470" i="1"/>
  <c r="U470" i="1"/>
  <c r="AM470" i="1" s="1"/>
  <c r="AN470" i="1" s="1"/>
  <c r="Y470" i="1"/>
  <c r="S471" i="1"/>
  <c r="U471" i="1"/>
  <c r="AM471" i="1" s="1"/>
  <c r="AN471" i="1" s="1"/>
  <c r="Y471" i="1"/>
  <c r="S472" i="1"/>
  <c r="U472" i="1"/>
  <c r="Y472" i="1"/>
  <c r="AM472" i="1"/>
  <c r="AN472" i="1" s="1"/>
  <c r="S473" i="1"/>
  <c r="U473" i="1"/>
  <c r="AM473" i="1" s="1"/>
  <c r="AN473" i="1" s="1"/>
  <c r="Y473" i="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AW478" i="1" s="1"/>
  <c r="S479" i="1"/>
  <c r="U479" i="1"/>
  <c r="AM479" i="1" s="1"/>
  <c r="Y479" i="1"/>
  <c r="AN479" i="1"/>
  <c r="AV479" i="1" s="1"/>
  <c r="S480" i="1"/>
  <c r="U480" i="1"/>
  <c r="AM480" i="1" s="1"/>
  <c r="AN480" i="1" s="1"/>
  <c r="Y480" i="1"/>
  <c r="S481" i="1"/>
  <c r="U481" i="1"/>
  <c r="AM481" i="1" s="1"/>
  <c r="AN481" i="1" s="1"/>
  <c r="Y481" i="1"/>
  <c r="S482" i="1"/>
  <c r="U482" i="1"/>
  <c r="AM482" i="1" s="1"/>
  <c r="AN482" i="1" s="1"/>
  <c r="AV482" i="1" s="1"/>
  <c r="Y482" i="1"/>
  <c r="S483" i="1"/>
  <c r="U483" i="1"/>
  <c r="Y483" i="1"/>
  <c r="AM483" i="1"/>
  <c r="AN483" i="1"/>
  <c r="S484" i="1"/>
  <c r="U484" i="1"/>
  <c r="Y484" i="1"/>
  <c r="AM484" i="1"/>
  <c r="AN484" i="1" s="1"/>
  <c r="S485" i="1"/>
  <c r="U485" i="1"/>
  <c r="AM485" i="1" s="1"/>
  <c r="AN485" i="1" s="1"/>
  <c r="Y485" i="1"/>
  <c r="S486" i="1"/>
  <c r="U486" i="1"/>
  <c r="AM486" i="1" s="1"/>
  <c r="AN486" i="1" s="1"/>
  <c r="Y486" i="1"/>
  <c r="S487" i="1"/>
  <c r="U487" i="1"/>
  <c r="AM487" i="1" s="1"/>
  <c r="AN487" i="1" s="1"/>
  <c r="Y487" i="1"/>
  <c r="S488" i="1"/>
  <c r="U488" i="1"/>
  <c r="Y488" i="1"/>
  <c r="AM488" i="1"/>
  <c r="AN488" i="1"/>
  <c r="S489" i="1"/>
  <c r="U489" i="1"/>
  <c r="AM489" i="1" s="1"/>
  <c r="AN489" i="1" s="1"/>
  <c r="Y489" i="1"/>
  <c r="S490" i="1"/>
  <c r="U490" i="1"/>
  <c r="AM490" i="1" s="1"/>
  <c r="AN490" i="1" s="1"/>
  <c r="Y490" i="1"/>
  <c r="S491" i="1"/>
  <c r="U491" i="1"/>
  <c r="Y491" i="1"/>
  <c r="AM491" i="1"/>
  <c r="AN491" i="1" s="1"/>
  <c r="AV491" i="1" s="1"/>
  <c r="S492" i="1"/>
  <c r="U492" i="1"/>
  <c r="AM492" i="1" s="1"/>
  <c r="AN492" i="1" s="1"/>
  <c r="Y492" i="1"/>
  <c r="S493" i="1"/>
  <c r="U493" i="1"/>
  <c r="AM493" i="1" s="1"/>
  <c r="AN493" i="1" s="1"/>
  <c r="Y493" i="1"/>
  <c r="S494" i="1"/>
  <c r="U494" i="1"/>
  <c r="AM494" i="1" s="1"/>
  <c r="AN494" i="1" s="1"/>
  <c r="Y494" i="1"/>
  <c r="S495" i="1"/>
  <c r="U495" i="1"/>
  <c r="Y495" i="1"/>
  <c r="AM495" i="1"/>
  <c r="AN495" i="1" s="1"/>
  <c r="AW495" i="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Y500" i="1"/>
  <c r="S501" i="1"/>
  <c r="U501" i="1"/>
  <c r="Y501" i="1"/>
  <c r="AM501" i="1"/>
  <c r="AN501" i="1" s="1"/>
  <c r="AU501" i="1" s="1"/>
  <c r="S502" i="1"/>
  <c r="U502" i="1"/>
  <c r="AM502" i="1" s="1"/>
  <c r="AN502" i="1" s="1"/>
  <c r="Y502" i="1"/>
  <c r="S503" i="1"/>
  <c r="U503" i="1"/>
  <c r="AM503" i="1" s="1"/>
  <c r="Y503" i="1"/>
  <c r="AN503" i="1"/>
  <c r="S504" i="1"/>
  <c r="U504" i="1"/>
  <c r="AM504" i="1" s="1"/>
  <c r="AN504" i="1" s="1"/>
  <c r="AV504" i="1" s="1"/>
  <c r="Y504" i="1"/>
  <c r="S505" i="1"/>
  <c r="U505" i="1"/>
  <c r="AM505" i="1" s="1"/>
  <c r="AN505" i="1" s="1"/>
  <c r="Y505" i="1"/>
  <c r="S506" i="1"/>
  <c r="U506" i="1"/>
  <c r="AM506" i="1" s="1"/>
  <c r="AN506" i="1" s="1"/>
  <c r="Y506" i="1"/>
  <c r="S507" i="1"/>
  <c r="U507" i="1"/>
  <c r="AM507" i="1" s="1"/>
  <c r="AN507" i="1" s="1"/>
  <c r="Y507" i="1"/>
  <c r="S508" i="1"/>
  <c r="U508" i="1"/>
  <c r="AM508" i="1" s="1"/>
  <c r="AN508" i="1" s="1"/>
  <c r="AV508" i="1" s="1"/>
  <c r="Y508" i="1"/>
  <c r="S509" i="1"/>
  <c r="U509" i="1"/>
  <c r="Y509" i="1"/>
  <c r="AM509" i="1"/>
  <c r="AN509" i="1" s="1"/>
  <c r="S510" i="1"/>
  <c r="U510" i="1"/>
  <c r="AM510" i="1" s="1"/>
  <c r="AN510" i="1" s="1"/>
  <c r="Y510" i="1"/>
  <c r="S511" i="1"/>
  <c r="U511" i="1"/>
  <c r="Y511" i="1"/>
  <c r="AM511" i="1"/>
  <c r="AN511" i="1"/>
  <c r="S512" i="1"/>
  <c r="U512" i="1"/>
  <c r="Y512" i="1"/>
  <c r="AM512" i="1"/>
  <c r="AN512" i="1" s="1"/>
  <c r="AV512" i="1" s="1"/>
  <c r="S513" i="1"/>
  <c r="U513" i="1"/>
  <c r="AM513" i="1" s="1"/>
  <c r="AN513" i="1" s="1"/>
  <c r="Y513" i="1"/>
  <c r="S514" i="1"/>
  <c r="U514" i="1"/>
  <c r="AM514" i="1" s="1"/>
  <c r="Y514" i="1"/>
  <c r="AN514" i="1"/>
  <c r="S515" i="1"/>
  <c r="U515" i="1"/>
  <c r="AM515" i="1" s="1"/>
  <c r="AN515" i="1" s="1"/>
  <c r="Y515" i="1"/>
  <c r="S516" i="1"/>
  <c r="U516" i="1"/>
  <c r="AM516" i="1" s="1"/>
  <c r="AN516" i="1" s="1"/>
  <c r="Y516" i="1"/>
  <c r="S517" i="1"/>
  <c r="U517" i="1"/>
  <c r="Y517" i="1"/>
  <c r="AM517" i="1"/>
  <c r="AN517" i="1" s="1"/>
  <c r="S518" i="1"/>
  <c r="U518" i="1"/>
  <c r="AM518" i="1" s="1"/>
  <c r="Y518" i="1"/>
  <c r="AN518" i="1"/>
  <c r="S519" i="1"/>
  <c r="U519" i="1"/>
  <c r="Y519" i="1"/>
  <c r="AM519" i="1"/>
  <c r="AN519" i="1" s="1"/>
  <c r="S520" i="1"/>
  <c r="U520" i="1"/>
  <c r="AM520" i="1" s="1"/>
  <c r="AN520" i="1" s="1"/>
  <c r="Y520" i="1"/>
  <c r="S521" i="1"/>
  <c r="U521" i="1"/>
  <c r="AM521" i="1" s="1"/>
  <c r="AN521" i="1" s="1"/>
  <c r="Y521" i="1"/>
  <c r="S522" i="1"/>
  <c r="U522" i="1"/>
  <c r="AM522" i="1" s="1"/>
  <c r="AN522" i="1" s="1"/>
  <c r="Y522" i="1"/>
  <c r="S523" i="1"/>
  <c r="U523" i="1"/>
  <c r="AM523" i="1" s="1"/>
  <c r="AN523" i="1" s="1"/>
  <c r="Y523" i="1"/>
  <c r="S524" i="1"/>
  <c r="U524" i="1"/>
  <c r="Y524" i="1"/>
  <c r="AM524" i="1"/>
  <c r="AN524" i="1" s="1"/>
  <c r="S525" i="1"/>
  <c r="U525" i="1"/>
  <c r="AM525" i="1" s="1"/>
  <c r="AN525" i="1" s="1"/>
  <c r="Y525" i="1"/>
  <c r="S526" i="1"/>
  <c r="U526" i="1"/>
  <c r="AM526" i="1" s="1"/>
  <c r="AN526" i="1" s="1"/>
  <c r="Y526" i="1"/>
  <c r="S527" i="1"/>
  <c r="U527" i="1"/>
  <c r="AM527" i="1" s="1"/>
  <c r="AN527" i="1" s="1"/>
  <c r="Y527" i="1"/>
  <c r="S528" i="1"/>
  <c r="U528" i="1"/>
  <c r="Y528" i="1"/>
  <c r="AM528" i="1"/>
  <c r="AN528" i="1"/>
  <c r="S529" i="1"/>
  <c r="U529" i="1"/>
  <c r="AM529" i="1" s="1"/>
  <c r="AN529" i="1" s="1"/>
  <c r="Y529" i="1"/>
  <c r="S530" i="1"/>
  <c r="U530" i="1"/>
  <c r="AM530" i="1" s="1"/>
  <c r="AN530" i="1" s="1"/>
  <c r="Y530" i="1"/>
  <c r="S531" i="1"/>
  <c r="U531" i="1"/>
  <c r="AM531" i="1" s="1"/>
  <c r="AN531" i="1" s="1"/>
  <c r="Y531" i="1"/>
  <c r="S532" i="1"/>
  <c r="U532" i="1"/>
  <c r="AM532" i="1" s="1"/>
  <c r="AN532" i="1" s="1"/>
  <c r="AU532" i="1" s="1"/>
  <c r="Y532" i="1"/>
  <c r="S533" i="1"/>
  <c r="U533" i="1"/>
  <c r="AM533" i="1" s="1"/>
  <c r="AN533" i="1" s="1"/>
  <c r="AW533" i="1" s="1"/>
  <c r="Y533" i="1"/>
  <c r="S534" i="1"/>
  <c r="U534" i="1"/>
  <c r="AM534" i="1" s="1"/>
  <c r="AN534" i="1" s="1"/>
  <c r="Y534" i="1"/>
  <c r="S535" i="1"/>
  <c r="U535" i="1"/>
  <c r="Y535" i="1"/>
  <c r="AM535" i="1"/>
  <c r="AN535" i="1" s="1"/>
  <c r="AU535" i="1" s="1"/>
  <c r="S536" i="1"/>
  <c r="U536" i="1"/>
  <c r="AM536" i="1" s="1"/>
  <c r="AN536" i="1" s="1"/>
  <c r="Y536" i="1"/>
  <c r="S537" i="1"/>
  <c r="U537" i="1"/>
  <c r="Y537" i="1"/>
  <c r="AM537" i="1"/>
  <c r="AN537" i="1" s="1"/>
  <c r="AV537" i="1" s="1"/>
  <c r="S538" i="1"/>
  <c r="U538" i="1"/>
  <c r="AM538" i="1" s="1"/>
  <c r="AN538" i="1" s="1"/>
  <c r="Y538" i="1"/>
  <c r="S539" i="1"/>
  <c r="U539" i="1"/>
  <c r="AM539" i="1" s="1"/>
  <c r="AN539" i="1" s="1"/>
  <c r="Y539" i="1"/>
  <c r="S540" i="1"/>
  <c r="U540" i="1"/>
  <c r="Y540" i="1"/>
  <c r="AM540" i="1"/>
  <c r="AN540" i="1" s="1"/>
  <c r="AU540" i="1" s="1"/>
  <c r="S541" i="1"/>
  <c r="U541" i="1"/>
  <c r="Y541" i="1"/>
  <c r="AM541" i="1"/>
  <c r="AN541" i="1" s="1"/>
  <c r="S542" i="1"/>
  <c r="U542" i="1"/>
  <c r="Y542" i="1"/>
  <c r="AM542" i="1"/>
  <c r="AN542" i="1" s="1"/>
  <c r="S543" i="1"/>
  <c r="U543" i="1"/>
  <c r="AM543" i="1" s="1"/>
  <c r="AN543" i="1" s="1"/>
  <c r="AW543" i="1" s="1"/>
  <c r="Y543" i="1"/>
  <c r="S544" i="1"/>
  <c r="U544" i="1"/>
  <c r="AM544" i="1" s="1"/>
  <c r="AN544" i="1" s="1"/>
  <c r="Y544" i="1"/>
  <c r="S545" i="1"/>
  <c r="U545" i="1"/>
  <c r="Y545" i="1"/>
  <c r="AM545" i="1"/>
  <c r="AN545" i="1"/>
  <c r="AU545" i="1" s="1"/>
  <c r="S546" i="1"/>
  <c r="U546" i="1"/>
  <c r="Y546" i="1"/>
  <c r="AM546" i="1"/>
  <c r="AN546" i="1" s="1"/>
  <c r="S547" i="1"/>
  <c r="U547" i="1"/>
  <c r="Y547" i="1"/>
  <c r="AM547" i="1"/>
  <c r="AN547" i="1" s="1"/>
  <c r="S548" i="1"/>
  <c r="U548" i="1"/>
  <c r="AM548" i="1" s="1"/>
  <c r="AN548" i="1" s="1"/>
  <c r="Y548" i="1"/>
  <c r="AU548" i="1" s="1"/>
  <c r="S549" i="1"/>
  <c r="U549" i="1"/>
  <c r="AM549" i="1" s="1"/>
  <c r="AN549" i="1" s="1"/>
  <c r="Y549" i="1"/>
  <c r="S550" i="1"/>
  <c r="U550" i="1"/>
  <c r="Y550" i="1"/>
  <c r="AM550" i="1"/>
  <c r="AN550" i="1" s="1"/>
  <c r="AU550" i="1" s="1"/>
  <c r="S551" i="1"/>
  <c r="U551" i="1"/>
  <c r="AM551" i="1" s="1"/>
  <c r="AN551" i="1" s="1"/>
  <c r="Y551" i="1"/>
  <c r="S552" i="1"/>
  <c r="U552" i="1"/>
  <c r="Y552" i="1"/>
  <c r="AM552" i="1"/>
  <c r="AN552" i="1" s="1"/>
  <c r="S553" i="1"/>
  <c r="U553" i="1"/>
  <c r="AM553" i="1" s="1"/>
  <c r="AN553" i="1" s="1"/>
  <c r="Y553" i="1"/>
  <c r="S554" i="1"/>
  <c r="U554" i="1"/>
  <c r="AM554" i="1" s="1"/>
  <c r="AN554" i="1" s="1"/>
  <c r="Y554" i="1"/>
  <c r="S555" i="1"/>
  <c r="U555" i="1"/>
  <c r="Y555" i="1"/>
  <c r="AM555" i="1"/>
  <c r="AN555" i="1" s="1"/>
  <c r="AU555" i="1" s="1"/>
  <c r="S556" i="1"/>
  <c r="U556" i="1"/>
  <c r="AM556" i="1" s="1"/>
  <c r="AN556" i="1" s="1"/>
  <c r="Y556" i="1"/>
  <c r="S557" i="1"/>
  <c r="U557" i="1"/>
  <c r="AM557" i="1" s="1"/>
  <c r="AN557" i="1" s="1"/>
  <c r="Y557" i="1"/>
  <c r="S558" i="1"/>
  <c r="U558" i="1"/>
  <c r="AM558" i="1" s="1"/>
  <c r="AN558" i="1" s="1"/>
  <c r="AW558" i="1" s="1"/>
  <c r="Y558" i="1"/>
  <c r="AV558" i="1" s="1"/>
  <c r="S559" i="1"/>
  <c r="U559" i="1"/>
  <c r="AM559" i="1" s="1"/>
  <c r="AN559" i="1" s="1"/>
  <c r="Y559" i="1"/>
  <c r="S560" i="1"/>
  <c r="U560" i="1"/>
  <c r="Y560" i="1"/>
  <c r="AM560" i="1"/>
  <c r="AN560" i="1" s="1"/>
  <c r="S561" i="1"/>
  <c r="U561" i="1"/>
  <c r="Y561" i="1"/>
  <c r="AM561" i="1"/>
  <c r="AN561" i="1" s="1"/>
  <c r="S562" i="1"/>
  <c r="U562" i="1"/>
  <c r="AM562" i="1" s="1"/>
  <c r="AN562" i="1" s="1"/>
  <c r="AU562" i="1" s="1"/>
  <c r="Y562" i="1"/>
  <c r="S563" i="1"/>
  <c r="U563" i="1"/>
  <c r="AM563" i="1" s="1"/>
  <c r="AN563" i="1" s="1"/>
  <c r="Y563" i="1"/>
  <c r="AU563" i="1" s="1"/>
  <c r="S564" i="1"/>
  <c r="U564" i="1"/>
  <c r="AM564" i="1" s="1"/>
  <c r="AN564" i="1" s="1"/>
  <c r="Y564" i="1"/>
  <c r="AU564" i="1" s="1"/>
  <c r="S565" i="1"/>
  <c r="U565" i="1"/>
  <c r="AM565" i="1" s="1"/>
  <c r="AN565" i="1" s="1"/>
  <c r="Y565" i="1"/>
  <c r="S566" i="1"/>
  <c r="U566" i="1"/>
  <c r="Y566" i="1"/>
  <c r="AM566" i="1"/>
  <c r="AN566" i="1" s="1"/>
  <c r="S567" i="1"/>
  <c r="U567" i="1"/>
  <c r="Y567" i="1"/>
  <c r="AM567" i="1"/>
  <c r="AN567" i="1"/>
  <c r="AU567" i="1" s="1"/>
  <c r="S568" i="1"/>
  <c r="U568" i="1"/>
  <c r="AM568" i="1" s="1"/>
  <c r="AN568" i="1" s="1"/>
  <c r="Y568" i="1"/>
  <c r="AU568" i="1" s="1"/>
  <c r="S569" i="1"/>
  <c r="U569" i="1"/>
  <c r="AM569" i="1" s="1"/>
  <c r="AN569" i="1" s="1"/>
  <c r="Y569" i="1"/>
  <c r="S570" i="1"/>
  <c r="U570" i="1"/>
  <c r="AM570" i="1" s="1"/>
  <c r="AN570" i="1" s="1"/>
  <c r="AU570" i="1" s="1"/>
  <c r="Y570" i="1"/>
  <c r="S571" i="1"/>
  <c r="U571" i="1"/>
  <c r="Y571" i="1"/>
  <c r="AM571" i="1"/>
  <c r="AN571" i="1" s="1"/>
  <c r="S572" i="1"/>
  <c r="U572" i="1"/>
  <c r="Y572" i="1"/>
  <c r="AM572" i="1"/>
  <c r="AN572" i="1" s="1"/>
  <c r="S573" i="1"/>
  <c r="U573" i="1"/>
  <c r="AM573" i="1" s="1"/>
  <c r="AN573" i="1" s="1"/>
  <c r="Y573" i="1"/>
  <c r="S574" i="1"/>
  <c r="U574" i="1"/>
  <c r="AM574" i="1" s="1"/>
  <c r="AN574" i="1" s="1"/>
  <c r="Y574" i="1"/>
  <c r="S575" i="1"/>
  <c r="U575" i="1"/>
  <c r="AM575" i="1" s="1"/>
  <c r="AN575" i="1" s="1"/>
  <c r="Y575" i="1"/>
  <c r="S576" i="1"/>
  <c r="U576" i="1"/>
  <c r="AM576" i="1" s="1"/>
  <c r="AN576" i="1" s="1"/>
  <c r="Y576" i="1"/>
  <c r="S577" i="1"/>
  <c r="U577" i="1"/>
  <c r="Y577" i="1"/>
  <c r="AM577" i="1"/>
  <c r="AN577" i="1" s="1"/>
  <c r="S578" i="1"/>
  <c r="U578" i="1"/>
  <c r="AM578" i="1" s="1"/>
  <c r="AN578" i="1" s="1"/>
  <c r="Y578" i="1"/>
  <c r="S579" i="1"/>
  <c r="U579" i="1"/>
  <c r="AM579" i="1" s="1"/>
  <c r="AN579" i="1" s="1"/>
  <c r="Y579" i="1"/>
  <c r="S580" i="1"/>
  <c r="U580" i="1"/>
  <c r="Y580" i="1"/>
  <c r="AM580" i="1"/>
  <c r="AN580" i="1" s="1"/>
  <c r="AU580" i="1" s="1"/>
  <c r="S581" i="1"/>
  <c r="U581" i="1"/>
  <c r="AM581" i="1" s="1"/>
  <c r="AN581" i="1" s="1"/>
  <c r="Y581" i="1"/>
  <c r="S582" i="1"/>
  <c r="U582" i="1"/>
  <c r="AM582" i="1" s="1"/>
  <c r="AN582" i="1" s="1"/>
  <c r="Y582" i="1"/>
  <c r="S583" i="1"/>
  <c r="U583" i="1"/>
  <c r="AM583" i="1" s="1"/>
  <c r="AN583" i="1" s="1"/>
  <c r="Y583" i="1"/>
  <c r="S584" i="1"/>
  <c r="U584" i="1"/>
  <c r="AM584" i="1" s="1"/>
  <c r="AN584" i="1" s="1"/>
  <c r="Y584" i="1"/>
  <c r="S585" i="1"/>
  <c r="U585" i="1"/>
  <c r="Y585" i="1"/>
  <c r="AM585" i="1"/>
  <c r="AN585" i="1" s="1"/>
  <c r="S586" i="1"/>
  <c r="U586" i="1"/>
  <c r="Y586" i="1"/>
  <c r="AM586" i="1"/>
  <c r="AN586" i="1"/>
  <c r="S587" i="1"/>
  <c r="U587" i="1"/>
  <c r="Y587" i="1"/>
  <c r="AM587" i="1"/>
  <c r="AN587" i="1" s="1"/>
  <c r="S588" i="1"/>
  <c r="U588" i="1"/>
  <c r="AM588" i="1" s="1"/>
  <c r="AN588" i="1" s="1"/>
  <c r="Y588" i="1"/>
  <c r="AU588" i="1" s="1"/>
  <c r="S589" i="1"/>
  <c r="U589" i="1"/>
  <c r="AM589" i="1" s="1"/>
  <c r="AN589" i="1" s="1"/>
  <c r="Y589" i="1"/>
  <c r="S590" i="1"/>
  <c r="U590" i="1"/>
  <c r="AM590" i="1" s="1"/>
  <c r="AN590" i="1" s="1"/>
  <c r="AU590" i="1" s="1"/>
  <c r="Y590" i="1"/>
  <c r="S591" i="1"/>
  <c r="U591" i="1"/>
  <c r="Y591" i="1"/>
  <c r="AM591" i="1"/>
  <c r="AN591" i="1"/>
  <c r="S592" i="1"/>
  <c r="U592" i="1"/>
  <c r="AM592" i="1" s="1"/>
  <c r="AN592" i="1" s="1"/>
  <c r="Y592" i="1"/>
  <c r="S593" i="1"/>
  <c r="U593" i="1"/>
  <c r="AM593" i="1" s="1"/>
  <c r="AN593" i="1" s="1"/>
  <c r="Y593" i="1"/>
  <c r="AU593" i="1" s="1"/>
  <c r="S594" i="1"/>
  <c r="U594" i="1"/>
  <c r="AM594" i="1" s="1"/>
  <c r="AN594" i="1" s="1"/>
  <c r="Y594" i="1"/>
  <c r="S595" i="1"/>
  <c r="U595" i="1"/>
  <c r="AM595" i="1" s="1"/>
  <c r="AN595" i="1" s="1"/>
  <c r="AU595" i="1" s="1"/>
  <c r="Y595" i="1"/>
  <c r="S596" i="1"/>
  <c r="U596" i="1"/>
  <c r="Y596" i="1"/>
  <c r="AM596" i="1"/>
  <c r="AN596" i="1" s="1"/>
  <c r="S597" i="1"/>
  <c r="U597" i="1"/>
  <c r="AM597" i="1" s="1"/>
  <c r="AN597" i="1" s="1"/>
  <c r="AU597" i="1" s="1"/>
  <c r="Y597" i="1"/>
  <c r="S598" i="1"/>
  <c r="U598" i="1"/>
  <c r="AM598" i="1" s="1"/>
  <c r="AN598" i="1" s="1"/>
  <c r="Y598" i="1"/>
  <c r="AU598" i="1" s="1"/>
  <c r="S599" i="1"/>
  <c r="U599" i="1"/>
  <c r="AM599" i="1" s="1"/>
  <c r="AN599" i="1" s="1"/>
  <c r="Y599" i="1"/>
  <c r="AU599" i="1" s="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AU604" i="1" s="1"/>
  <c r="S605" i="1"/>
  <c r="U605" i="1"/>
  <c r="Y605" i="1"/>
  <c r="AM605" i="1"/>
  <c r="AN605" i="1" s="1"/>
  <c r="AU605" i="1" s="1"/>
  <c r="S606" i="1"/>
  <c r="U606" i="1"/>
  <c r="Y606" i="1"/>
  <c r="AM606" i="1"/>
  <c r="AN606" i="1" s="1"/>
  <c r="S607" i="1"/>
  <c r="U607" i="1"/>
  <c r="Y607" i="1"/>
  <c r="AM607" i="1"/>
  <c r="AN607" i="1" s="1"/>
  <c r="S608" i="1"/>
  <c r="U608" i="1"/>
  <c r="AM608" i="1" s="1"/>
  <c r="AN608" i="1" s="1"/>
  <c r="Y608" i="1"/>
  <c r="S609" i="1"/>
  <c r="U609" i="1"/>
  <c r="AM609" i="1" s="1"/>
  <c r="AN609" i="1" s="1"/>
  <c r="Y609" i="1"/>
  <c r="S610" i="1"/>
  <c r="U610" i="1"/>
  <c r="Y610" i="1"/>
  <c r="AM610" i="1"/>
  <c r="AN610" i="1" s="1"/>
  <c r="AU610" i="1" s="1"/>
  <c r="S611" i="1"/>
  <c r="U611" i="1"/>
  <c r="Y611" i="1"/>
  <c r="AM611" i="1"/>
  <c r="AN611" i="1" s="1"/>
  <c r="S612" i="1"/>
  <c r="U612" i="1"/>
  <c r="Y612" i="1"/>
  <c r="AM612" i="1"/>
  <c r="AN612" i="1" s="1"/>
  <c r="AW612" i="1"/>
  <c r="S613" i="1"/>
  <c r="U613" i="1"/>
  <c r="Y613" i="1"/>
  <c r="AM613" i="1"/>
  <c r="AN613" i="1" s="1"/>
  <c r="AV613" i="1" s="1"/>
  <c r="S614" i="1"/>
  <c r="U614" i="1"/>
  <c r="AM614" i="1" s="1"/>
  <c r="AN614" i="1" s="1"/>
  <c r="Y614" i="1"/>
  <c r="S615" i="1"/>
  <c r="U615" i="1"/>
  <c r="Y615" i="1"/>
  <c r="AM615" i="1"/>
  <c r="AN615" i="1"/>
  <c r="AU615" i="1" s="1"/>
  <c r="S616" i="1"/>
  <c r="U616" i="1"/>
  <c r="Y616" i="1"/>
  <c r="AM616" i="1"/>
  <c r="AN616" i="1" s="1"/>
  <c r="S617" i="1"/>
  <c r="U617" i="1"/>
  <c r="AM617" i="1" s="1"/>
  <c r="AN617" i="1" s="1"/>
  <c r="Y617" i="1"/>
  <c r="S618" i="1"/>
  <c r="U618" i="1"/>
  <c r="AM618" i="1" s="1"/>
  <c r="AN618" i="1" s="1"/>
  <c r="Y618" i="1"/>
  <c r="AU618" i="1" s="1"/>
  <c r="S619" i="1"/>
  <c r="U619" i="1"/>
  <c r="AM619" i="1" s="1"/>
  <c r="AN619" i="1" s="1"/>
  <c r="Y619" i="1"/>
  <c r="S620" i="1"/>
  <c r="U620" i="1"/>
  <c r="AM620" i="1" s="1"/>
  <c r="AN620" i="1" s="1"/>
  <c r="Y620" i="1"/>
  <c r="S621" i="1"/>
  <c r="U621" i="1"/>
  <c r="Y621" i="1"/>
  <c r="AM621" i="1"/>
  <c r="AN621" i="1" s="1"/>
  <c r="S622" i="1"/>
  <c r="U622" i="1"/>
  <c r="AM622" i="1" s="1"/>
  <c r="AN622" i="1" s="1"/>
  <c r="AU622" i="1" s="1"/>
  <c r="Y622" i="1"/>
  <c r="S623" i="1"/>
  <c r="U623" i="1"/>
  <c r="AM623" i="1" s="1"/>
  <c r="AN623" i="1" s="1"/>
  <c r="Y623" i="1"/>
  <c r="S624" i="1"/>
  <c r="U624" i="1"/>
  <c r="AM624" i="1" s="1"/>
  <c r="AN624" i="1" s="1"/>
  <c r="Y624" i="1"/>
  <c r="S625" i="1"/>
  <c r="U625" i="1"/>
  <c r="Y625" i="1"/>
  <c r="AM625" i="1"/>
  <c r="AN625" i="1" s="1"/>
  <c r="AU625" i="1" s="1"/>
  <c r="S626" i="1"/>
  <c r="U626" i="1"/>
  <c r="Y626" i="1"/>
  <c r="AM626" i="1"/>
  <c r="AN626" i="1" s="1"/>
  <c r="S627" i="1"/>
  <c r="U627" i="1"/>
  <c r="Y627" i="1"/>
  <c r="AM627" i="1"/>
  <c r="AN627" i="1" s="1"/>
  <c r="AU627" i="1" s="1"/>
  <c r="S628" i="1"/>
  <c r="U628" i="1"/>
  <c r="AM628" i="1" s="1"/>
  <c r="AN628" i="1" s="1"/>
  <c r="Y628" i="1"/>
  <c r="S629" i="1"/>
  <c r="U629" i="1"/>
  <c r="AM629" i="1" s="1"/>
  <c r="AN629" i="1" s="1"/>
  <c r="Y629" i="1"/>
  <c r="S630" i="1"/>
  <c r="U630" i="1"/>
  <c r="Y630" i="1"/>
  <c r="AM630" i="1"/>
  <c r="AN630" i="1" s="1"/>
  <c r="AU630" i="1" s="1"/>
  <c r="S631" i="1"/>
  <c r="U631" i="1"/>
  <c r="AM631" i="1" s="1"/>
  <c r="AN631" i="1" s="1"/>
  <c r="Y631" i="1"/>
  <c r="S632" i="1"/>
  <c r="U632" i="1"/>
  <c r="Y632" i="1"/>
  <c r="AM632" i="1"/>
  <c r="AN632" i="1" s="1"/>
  <c r="AU632" i="1" s="1"/>
  <c r="S633" i="1"/>
  <c r="U633" i="1"/>
  <c r="AM633" i="1" s="1"/>
  <c r="AN633" i="1" s="1"/>
  <c r="Y633" i="1"/>
  <c r="AU633" i="1" s="1"/>
  <c r="S634" i="1"/>
  <c r="U634" i="1"/>
  <c r="AM634" i="1" s="1"/>
  <c r="AN634" i="1" s="1"/>
  <c r="Y634" i="1"/>
  <c r="S635" i="1"/>
  <c r="U635" i="1"/>
  <c r="AM635" i="1" s="1"/>
  <c r="AN635" i="1" s="1"/>
  <c r="AU635" i="1" s="1"/>
  <c r="Y635" i="1"/>
  <c r="S636" i="1"/>
  <c r="U636" i="1"/>
  <c r="AM636" i="1" s="1"/>
  <c r="AN636" i="1" s="1"/>
  <c r="Y636" i="1"/>
  <c r="S637" i="1"/>
  <c r="U637" i="1"/>
  <c r="AM637" i="1" s="1"/>
  <c r="AN637" i="1" s="1"/>
  <c r="Y637" i="1"/>
  <c r="S638" i="1"/>
  <c r="U638" i="1"/>
  <c r="AM638" i="1" s="1"/>
  <c r="AN638" i="1" s="1"/>
  <c r="Y638" i="1"/>
  <c r="AU638" i="1" s="1"/>
  <c r="S639" i="1"/>
  <c r="U639" i="1"/>
  <c r="AM639" i="1" s="1"/>
  <c r="AN639" i="1" s="1"/>
  <c r="Y639" i="1"/>
  <c r="S640" i="1"/>
  <c r="U640" i="1"/>
  <c r="Y640" i="1"/>
  <c r="AM640" i="1"/>
  <c r="AN640" i="1" s="1"/>
  <c r="AU640" i="1" s="1"/>
  <c r="S641" i="1"/>
  <c r="U641" i="1"/>
  <c r="AM641" i="1" s="1"/>
  <c r="AN641" i="1" s="1"/>
  <c r="Y641" i="1"/>
  <c r="S642" i="1"/>
  <c r="U642" i="1"/>
  <c r="Y642" i="1"/>
  <c r="AM642" i="1"/>
  <c r="AN642" i="1"/>
  <c r="AU642" i="1" s="1"/>
  <c r="S643" i="1"/>
  <c r="U643" i="1"/>
  <c r="AM643" i="1" s="1"/>
  <c r="AN643" i="1" s="1"/>
  <c r="Y643" i="1"/>
  <c r="S644" i="1"/>
  <c r="U644" i="1"/>
  <c r="AM644" i="1" s="1"/>
  <c r="AN644" i="1" s="1"/>
  <c r="Y644" i="1"/>
  <c r="AU644" i="1" s="1"/>
  <c r="S645" i="1"/>
  <c r="U645" i="1"/>
  <c r="Y645" i="1"/>
  <c r="AM645" i="1"/>
  <c r="AN645" i="1" s="1"/>
  <c r="AU645" i="1" s="1"/>
  <c r="S646" i="1"/>
  <c r="U646" i="1"/>
  <c r="AM646" i="1" s="1"/>
  <c r="AN646" i="1" s="1"/>
  <c r="Y646" i="1"/>
  <c r="S647" i="1"/>
  <c r="U647" i="1"/>
  <c r="AM647" i="1" s="1"/>
  <c r="Y647" i="1"/>
  <c r="AN647" i="1"/>
  <c r="AU647" i="1" s="1"/>
  <c r="S648" i="1"/>
  <c r="U648" i="1"/>
  <c r="AM648" i="1" s="1"/>
  <c r="AN648" i="1" s="1"/>
  <c r="Y648" i="1"/>
  <c r="S649" i="1"/>
  <c r="U649" i="1"/>
  <c r="AM649" i="1" s="1"/>
  <c r="AN649" i="1" s="1"/>
  <c r="Y649" i="1"/>
  <c r="S650" i="1"/>
  <c r="U650" i="1"/>
  <c r="AM650" i="1" s="1"/>
  <c r="AN650" i="1" s="1"/>
  <c r="AU650" i="1" s="1"/>
  <c r="Y650" i="1"/>
  <c r="S651" i="1"/>
  <c r="U651" i="1"/>
  <c r="AM651" i="1" s="1"/>
  <c r="AN651" i="1" s="1"/>
  <c r="Y651" i="1"/>
  <c r="S652" i="1"/>
  <c r="U652" i="1"/>
  <c r="Y652" i="1"/>
  <c r="AM652" i="1"/>
  <c r="AN652" i="1" s="1"/>
  <c r="AU652" i="1" s="1"/>
  <c r="S653" i="1"/>
  <c r="U653" i="1"/>
  <c r="AM653" i="1" s="1"/>
  <c r="AN653" i="1" s="1"/>
  <c r="Y653" i="1"/>
  <c r="S654" i="1"/>
  <c r="U654" i="1"/>
  <c r="AM654" i="1" s="1"/>
  <c r="AN654" i="1" s="1"/>
  <c r="Y654" i="1"/>
  <c r="AU654" i="1" s="1"/>
  <c r="S655" i="1"/>
  <c r="U655" i="1"/>
  <c r="AM655" i="1" s="1"/>
  <c r="AN655" i="1" s="1"/>
  <c r="Y655" i="1"/>
  <c r="S656" i="1"/>
  <c r="U656" i="1"/>
  <c r="AM656" i="1" s="1"/>
  <c r="AN656" i="1" s="1"/>
  <c r="Y656" i="1"/>
  <c r="S657" i="1"/>
  <c r="U657" i="1"/>
  <c r="Y657" i="1"/>
  <c r="AM657" i="1"/>
  <c r="AN657" i="1" s="1"/>
  <c r="AU657" i="1" s="1"/>
  <c r="S658" i="1"/>
  <c r="U658" i="1"/>
  <c r="AM658" i="1" s="1"/>
  <c r="AN658" i="1" s="1"/>
  <c r="Y658" i="1"/>
  <c r="AU658" i="1" s="1"/>
  <c r="S659" i="1"/>
  <c r="U659" i="1"/>
  <c r="AM659" i="1" s="1"/>
  <c r="AN659" i="1" s="1"/>
  <c r="Y659" i="1"/>
  <c r="AU659" i="1" s="1"/>
  <c r="S660" i="1"/>
  <c r="U660" i="1"/>
  <c r="Y660" i="1"/>
  <c r="AM660" i="1"/>
  <c r="AN660" i="1" s="1"/>
  <c r="S661" i="1"/>
  <c r="U661" i="1"/>
  <c r="Y661" i="1"/>
  <c r="AM661" i="1"/>
  <c r="AN661" i="1"/>
  <c r="S662" i="1"/>
  <c r="U662" i="1"/>
  <c r="AM662" i="1" s="1"/>
  <c r="AN662" i="1" s="1"/>
  <c r="Y662" i="1"/>
  <c r="S663" i="1"/>
  <c r="U663" i="1"/>
  <c r="AM663" i="1" s="1"/>
  <c r="AN663" i="1" s="1"/>
  <c r="AV663" i="1" s="1"/>
  <c r="Y663" i="1"/>
  <c r="S664" i="1"/>
  <c r="U664" i="1"/>
  <c r="AM664" i="1" s="1"/>
  <c r="AN664" i="1" s="1"/>
  <c r="Y664" i="1"/>
  <c r="S665" i="1"/>
  <c r="U665" i="1"/>
  <c r="AM665" i="1" s="1"/>
  <c r="AN665" i="1" s="1"/>
  <c r="Y665" i="1"/>
  <c r="S666" i="1"/>
  <c r="U666" i="1"/>
  <c r="Y666" i="1"/>
  <c r="AM666" i="1"/>
  <c r="AN666" i="1"/>
  <c r="S667" i="1"/>
  <c r="U667" i="1"/>
  <c r="AM667" i="1" s="1"/>
  <c r="AN667" i="1" s="1"/>
  <c r="AU667" i="1" s="1"/>
  <c r="Y667" i="1"/>
  <c r="S668" i="1"/>
  <c r="U668" i="1"/>
  <c r="AM668" i="1" s="1"/>
  <c r="AN668" i="1" s="1"/>
  <c r="Y668" i="1"/>
  <c r="S669" i="1"/>
  <c r="U669" i="1"/>
  <c r="AM669" i="1" s="1"/>
  <c r="AN669" i="1" s="1"/>
  <c r="Y669" i="1"/>
  <c r="AU669" i="1" s="1"/>
  <c r="S670" i="1"/>
  <c r="U670" i="1"/>
  <c r="AM670" i="1" s="1"/>
  <c r="AN670" i="1" s="1"/>
  <c r="Y670" i="1"/>
  <c r="S671" i="1"/>
  <c r="U671" i="1"/>
  <c r="Y671" i="1"/>
  <c r="AM671" i="1"/>
  <c r="AN671" i="1" s="1"/>
  <c r="S672" i="1"/>
  <c r="U672" i="1"/>
  <c r="AM672" i="1" s="1"/>
  <c r="AN672" i="1" s="1"/>
  <c r="Y672" i="1"/>
  <c r="S673" i="1"/>
  <c r="U673" i="1"/>
  <c r="AM673" i="1" s="1"/>
  <c r="AN673" i="1" s="1"/>
  <c r="AW673" i="1" s="1"/>
  <c r="Y673" i="1"/>
  <c r="S674" i="1"/>
  <c r="U674" i="1"/>
  <c r="AM674" i="1" s="1"/>
  <c r="AN674" i="1" s="1"/>
  <c r="Y674" i="1"/>
  <c r="S675" i="1"/>
  <c r="U675" i="1"/>
  <c r="AM675" i="1" s="1"/>
  <c r="Y675" i="1"/>
  <c r="AN675" i="1"/>
  <c r="S676" i="1"/>
  <c r="U676" i="1"/>
  <c r="Y676" i="1"/>
  <c r="AM676" i="1"/>
  <c r="AN676" i="1" s="1"/>
  <c r="S677" i="1"/>
  <c r="U677" i="1"/>
  <c r="Y677" i="1"/>
  <c r="AM677" i="1"/>
  <c r="AN677" i="1"/>
  <c r="AU677" i="1" s="1"/>
  <c r="S678" i="1"/>
  <c r="U678" i="1"/>
  <c r="AM678" i="1" s="1"/>
  <c r="AN678" i="1" s="1"/>
  <c r="Y678" i="1"/>
  <c r="S679" i="1"/>
  <c r="U679" i="1"/>
  <c r="AM679" i="1" s="1"/>
  <c r="AN679" i="1" s="1"/>
  <c r="Y679" i="1"/>
  <c r="S680" i="1"/>
  <c r="U680" i="1"/>
  <c r="Y680" i="1"/>
  <c r="AM680" i="1"/>
  <c r="AN680" i="1"/>
  <c r="S681" i="1"/>
  <c r="U681" i="1"/>
  <c r="AM681" i="1" s="1"/>
  <c r="AN681" i="1" s="1"/>
  <c r="Y681" i="1"/>
  <c r="AV681" i="1" s="1"/>
  <c r="S682" i="1"/>
  <c r="U682" i="1"/>
  <c r="Y682" i="1"/>
  <c r="AM682" i="1"/>
  <c r="AN682" i="1"/>
  <c r="AU682" i="1" s="1"/>
  <c r="S683" i="1"/>
  <c r="U683" i="1"/>
  <c r="AM683" i="1" s="1"/>
  <c r="AN683" i="1" s="1"/>
  <c r="Y683" i="1"/>
  <c r="S684" i="1"/>
  <c r="U684" i="1"/>
  <c r="AM684" i="1" s="1"/>
  <c r="AN684" i="1" s="1"/>
  <c r="Y684" i="1"/>
  <c r="S685" i="1"/>
  <c r="U685" i="1"/>
  <c r="AM685" i="1" s="1"/>
  <c r="AN685" i="1" s="1"/>
  <c r="Y685" i="1"/>
  <c r="S686" i="1"/>
  <c r="U686" i="1"/>
  <c r="AM686" i="1" s="1"/>
  <c r="AN686" i="1" s="1"/>
  <c r="Y686" i="1"/>
  <c r="S687" i="1"/>
  <c r="U687" i="1"/>
  <c r="Y687" i="1"/>
  <c r="AM687" i="1"/>
  <c r="AN687" i="1" s="1"/>
  <c r="AU687" i="1" s="1"/>
  <c r="S688" i="1"/>
  <c r="U688" i="1"/>
  <c r="AM688" i="1" s="1"/>
  <c r="Y688" i="1"/>
  <c r="AN688" i="1"/>
  <c r="AV688" i="1" s="1"/>
  <c r="S689" i="1"/>
  <c r="U689" i="1"/>
  <c r="AM689" i="1" s="1"/>
  <c r="AN689" i="1" s="1"/>
  <c r="Y689" i="1"/>
  <c r="S690" i="1"/>
  <c r="U690" i="1"/>
  <c r="Y690" i="1"/>
  <c r="AM690" i="1"/>
  <c r="AN690" i="1"/>
  <c r="S691" i="1"/>
  <c r="U691" i="1"/>
  <c r="AM691" i="1" s="1"/>
  <c r="AN691" i="1" s="1"/>
  <c r="Y691" i="1"/>
  <c r="AV691" i="1" s="1"/>
  <c r="S692" i="1"/>
  <c r="U692" i="1"/>
  <c r="AM692" i="1" s="1"/>
  <c r="AN692" i="1" s="1"/>
  <c r="Y692" i="1"/>
  <c r="S693" i="1"/>
  <c r="U693" i="1"/>
  <c r="Y693" i="1"/>
  <c r="AM693" i="1"/>
  <c r="AN693" i="1"/>
  <c r="AV693" i="1" s="1"/>
  <c r="S694" i="1"/>
  <c r="U694" i="1"/>
  <c r="AM694" i="1" s="1"/>
  <c r="AN694" i="1" s="1"/>
  <c r="Y694" i="1"/>
  <c r="S695" i="1"/>
  <c r="U695" i="1"/>
  <c r="AM695" i="1" s="1"/>
  <c r="AN695" i="1" s="1"/>
  <c r="Y695" i="1"/>
  <c r="S696" i="1"/>
  <c r="U696" i="1"/>
  <c r="AM696" i="1" s="1"/>
  <c r="AN696" i="1" s="1"/>
  <c r="AV696" i="1" s="1"/>
  <c r="Y696" i="1"/>
  <c r="S697" i="1"/>
  <c r="U697" i="1"/>
  <c r="Y697" i="1"/>
  <c r="AM697" i="1"/>
  <c r="AN697" i="1" s="1"/>
  <c r="AU697" i="1" s="1"/>
  <c r="S698" i="1"/>
  <c r="U698" i="1"/>
  <c r="AM698" i="1" s="1"/>
  <c r="Y698" i="1"/>
  <c r="AN698" i="1"/>
  <c r="AV698" i="1" s="1"/>
  <c r="S699" i="1"/>
  <c r="U699" i="1"/>
  <c r="AM699" i="1" s="1"/>
  <c r="AN699" i="1" s="1"/>
  <c r="Y699" i="1"/>
  <c r="S700" i="1"/>
  <c r="U700" i="1"/>
  <c r="Y700" i="1"/>
  <c r="AM700" i="1"/>
  <c r="AN700" i="1" s="1"/>
  <c r="S701" i="1"/>
  <c r="U701" i="1"/>
  <c r="AM701" i="1" s="1"/>
  <c r="AN701" i="1" s="1"/>
  <c r="AV701" i="1" s="1"/>
  <c r="Y701" i="1"/>
  <c r="S702" i="1"/>
  <c r="U702" i="1"/>
  <c r="Y702" i="1"/>
  <c r="AM702" i="1"/>
  <c r="AN702" i="1"/>
  <c r="AU702" i="1" s="1"/>
  <c r="S703" i="1"/>
  <c r="U703" i="1"/>
  <c r="AM703" i="1" s="1"/>
  <c r="AN703" i="1" s="1"/>
  <c r="Y703" i="1"/>
  <c r="S704" i="1"/>
  <c r="U704" i="1"/>
  <c r="AM704" i="1" s="1"/>
  <c r="AN704" i="1" s="1"/>
  <c r="Y704" i="1"/>
  <c r="S705" i="1"/>
  <c r="U705" i="1"/>
  <c r="Y705" i="1"/>
  <c r="AM705" i="1"/>
  <c r="AN705" i="1"/>
  <c r="S706" i="1"/>
  <c r="U706" i="1"/>
  <c r="AM706" i="1" s="1"/>
  <c r="AN706" i="1" s="1"/>
  <c r="Y706" i="1"/>
  <c r="S707" i="1"/>
  <c r="U707" i="1"/>
  <c r="Y707" i="1"/>
  <c r="AM707" i="1"/>
  <c r="AN707" i="1"/>
  <c r="AU707" i="1" s="1"/>
  <c r="S708" i="1"/>
  <c r="U708" i="1"/>
  <c r="AM708" i="1" s="1"/>
  <c r="AN708" i="1" s="1"/>
  <c r="Y708" i="1"/>
  <c r="S709" i="1"/>
  <c r="U709" i="1"/>
  <c r="AM709" i="1" s="1"/>
  <c r="AN709" i="1" s="1"/>
  <c r="Y709" i="1"/>
  <c r="S710" i="1"/>
  <c r="U710" i="1"/>
  <c r="AM710" i="1" s="1"/>
  <c r="AN710" i="1" s="1"/>
  <c r="Y710" i="1"/>
  <c r="S711" i="1"/>
  <c r="U711" i="1"/>
  <c r="Y711" i="1"/>
  <c r="AM711" i="1"/>
  <c r="AN711" i="1" s="1"/>
  <c r="S712" i="1"/>
  <c r="U712" i="1"/>
  <c r="Y712" i="1"/>
  <c r="AM712" i="1"/>
  <c r="AN712" i="1" s="1"/>
  <c r="AU712" i="1" s="1"/>
  <c r="S713" i="1"/>
  <c r="U713" i="1"/>
  <c r="AM713" i="1" s="1"/>
  <c r="AN713" i="1" s="1"/>
  <c r="Y713" i="1"/>
  <c r="S714" i="1"/>
  <c r="U714" i="1"/>
  <c r="AM714" i="1" s="1"/>
  <c r="AN714" i="1" s="1"/>
  <c r="Y714" i="1"/>
  <c r="S715" i="1"/>
  <c r="U715" i="1"/>
  <c r="Y715" i="1"/>
  <c r="AM715" i="1"/>
  <c r="AN715" i="1"/>
  <c r="AV715" i="1"/>
  <c r="S716" i="1"/>
  <c r="U716" i="1"/>
  <c r="AM716" i="1" s="1"/>
  <c r="AN716" i="1" s="1"/>
  <c r="AU716" i="1" s="1"/>
  <c r="Y716" i="1"/>
  <c r="S717" i="1"/>
  <c r="U717" i="1"/>
  <c r="AM717" i="1" s="1"/>
  <c r="AN717" i="1" s="1"/>
  <c r="Y717" i="1"/>
  <c r="S718" i="1"/>
  <c r="U718" i="1"/>
  <c r="AM718" i="1" s="1"/>
  <c r="AN718" i="1" s="1"/>
  <c r="Y718" i="1"/>
  <c r="S719" i="1"/>
  <c r="U719" i="1"/>
  <c r="AM719" i="1" s="1"/>
  <c r="AN719" i="1" s="1"/>
  <c r="Y719" i="1"/>
  <c r="S720" i="1"/>
  <c r="U720" i="1"/>
  <c r="AM720" i="1" s="1"/>
  <c r="AN720" i="1" s="1"/>
  <c r="Y720" i="1"/>
  <c r="S721" i="1"/>
  <c r="U721" i="1"/>
  <c r="Y721" i="1"/>
  <c r="AM721" i="1"/>
  <c r="AN721" i="1" s="1"/>
  <c r="S722" i="1"/>
  <c r="U722" i="1"/>
  <c r="AM722" i="1" s="1"/>
  <c r="AN722" i="1" s="1"/>
  <c r="Y722" i="1"/>
  <c r="S723" i="1"/>
  <c r="U723" i="1"/>
  <c r="AM723" i="1" s="1"/>
  <c r="AN723" i="1" s="1"/>
  <c r="Y723" i="1"/>
  <c r="S724" i="1"/>
  <c r="U724" i="1"/>
  <c r="AM724" i="1" s="1"/>
  <c r="AN724" i="1" s="1"/>
  <c r="Y724" i="1"/>
  <c r="S725" i="1"/>
  <c r="U725" i="1"/>
  <c r="AM725" i="1" s="1"/>
  <c r="AN725" i="1" s="1"/>
  <c r="AW725" i="1" s="1"/>
  <c r="Y725" i="1"/>
  <c r="S726" i="1"/>
  <c r="U726" i="1"/>
  <c r="Y726" i="1"/>
  <c r="AM726" i="1"/>
  <c r="AN726" i="1"/>
  <c r="AU726" i="1" s="1"/>
  <c r="S727" i="1"/>
  <c r="U727" i="1"/>
  <c r="Y727" i="1"/>
  <c r="AM727" i="1"/>
  <c r="AN727" i="1"/>
  <c r="S728" i="1"/>
  <c r="U728" i="1"/>
  <c r="Y728" i="1"/>
  <c r="AM728" i="1"/>
  <c r="AN728" i="1" s="1"/>
  <c r="S729" i="1"/>
  <c r="U729" i="1"/>
  <c r="AM729" i="1" s="1"/>
  <c r="AN729" i="1" s="1"/>
  <c r="Y729" i="1"/>
  <c r="S730" i="1"/>
  <c r="U730" i="1"/>
  <c r="Y730" i="1"/>
  <c r="AM730" i="1"/>
  <c r="AN730" i="1"/>
  <c r="AU730" i="1" s="1"/>
  <c r="AV730" i="1"/>
  <c r="S731" i="1"/>
  <c r="U731" i="1"/>
  <c r="AM731" i="1" s="1"/>
  <c r="AN731" i="1" s="1"/>
  <c r="AU731" i="1" s="1"/>
  <c r="Y731" i="1"/>
  <c r="S732" i="1"/>
  <c r="U732" i="1"/>
  <c r="Y732" i="1"/>
  <c r="AM732" i="1"/>
  <c r="AN732" i="1"/>
  <c r="S733" i="1"/>
  <c r="U733" i="1"/>
  <c r="AM733" i="1" s="1"/>
  <c r="AN733" i="1" s="1"/>
  <c r="Y733" i="1"/>
  <c r="AW627" i="1" l="1"/>
  <c r="AV207" i="1"/>
  <c r="AW413" i="1"/>
  <c r="AW318" i="1"/>
  <c r="AV172" i="1"/>
  <c r="AV47" i="1"/>
  <c r="AW298" i="1"/>
  <c r="AV468" i="1"/>
  <c r="AW642" i="1"/>
  <c r="AU620" i="1"/>
  <c r="AW398" i="1"/>
  <c r="AV382" i="1"/>
  <c r="AV142" i="1"/>
  <c r="AU136" i="1"/>
  <c r="AV112" i="1"/>
  <c r="AU61" i="1"/>
  <c r="AV523" i="1"/>
  <c r="AV248" i="1"/>
  <c r="AW587" i="1"/>
  <c r="AU522" i="1"/>
  <c r="AV282" i="1"/>
  <c r="AV213" i="1"/>
  <c r="AU91" i="1"/>
  <c r="AU215" i="1"/>
  <c r="AU57" i="1"/>
  <c r="AU672" i="1"/>
  <c r="AW323" i="1"/>
  <c r="AV237" i="1"/>
  <c r="AU86" i="1"/>
  <c r="AW293" i="1"/>
  <c r="AV270" i="1"/>
  <c r="AV253" i="1"/>
  <c r="AV247" i="1"/>
  <c r="AU232" i="1"/>
  <c r="AW577" i="1"/>
  <c r="AW597" i="1"/>
  <c r="AU565" i="1"/>
  <c r="AU521" i="1"/>
  <c r="AV470" i="1"/>
  <c r="AW403" i="1"/>
  <c r="AW343" i="1"/>
  <c r="AW281" i="1"/>
  <c r="AV223" i="1"/>
  <c r="AU169" i="1"/>
  <c r="AU104" i="1"/>
  <c r="AU25" i="1"/>
  <c r="AV533" i="1"/>
  <c r="AU515" i="1"/>
  <c r="AU386" i="1"/>
  <c r="AU320" i="1"/>
  <c r="AW309" i="1"/>
  <c r="AV284" i="1"/>
  <c r="AW713" i="1"/>
  <c r="AV427" i="1"/>
  <c r="AU166" i="1"/>
  <c r="AV243" i="1"/>
  <c r="AV272" i="1"/>
  <c r="AU126" i="1"/>
  <c r="AU575" i="1"/>
  <c r="AW418" i="1"/>
  <c r="AV258" i="1"/>
  <c r="AV228" i="1"/>
  <c r="AU156" i="1"/>
  <c r="AU600" i="1"/>
  <c r="AW683" i="1"/>
  <c r="AW328" i="1"/>
  <c r="AV242" i="1"/>
  <c r="AU552" i="1"/>
  <c r="AU514" i="1"/>
  <c r="AU436" i="1"/>
  <c r="AU407" i="1"/>
  <c r="AW303" i="1"/>
  <c r="AW551" i="1"/>
  <c r="AU329" i="1"/>
  <c r="AW501" i="1"/>
  <c r="AW433" i="1"/>
  <c r="AV277" i="1"/>
  <c r="AU692" i="1"/>
  <c r="AU371" i="1"/>
  <c r="AW308" i="1"/>
  <c r="AV173" i="1"/>
  <c r="AV92" i="1"/>
  <c r="AW18" i="1"/>
  <c r="AU194" i="1"/>
  <c r="AU66" i="1"/>
  <c r="AV117" i="1"/>
  <c r="AV733" i="1"/>
  <c r="AV132" i="1"/>
  <c r="AV236" i="1"/>
  <c r="AW607" i="1"/>
  <c r="AW601" i="1"/>
  <c r="AV257" i="1"/>
  <c r="AV227" i="1"/>
  <c r="AV216" i="1"/>
  <c r="AU189" i="1"/>
  <c r="AW406" i="1"/>
  <c r="AW524" i="1"/>
  <c r="AU655" i="1"/>
  <c r="AV703" i="1"/>
  <c r="AV478" i="1"/>
  <c r="AV377" i="1"/>
  <c r="AW451" i="1"/>
  <c r="AU161" i="1"/>
  <c r="AU23" i="1"/>
  <c r="AU662" i="1"/>
  <c r="AV673" i="1"/>
  <c r="AU573" i="1"/>
  <c r="AV525" i="1"/>
  <c r="AU508" i="1"/>
  <c r="AW502" i="1"/>
  <c r="AV490" i="1"/>
  <c r="AU379" i="1"/>
  <c r="AV357" i="1"/>
  <c r="AV267" i="1"/>
  <c r="AU205" i="1"/>
  <c r="AV178" i="1"/>
  <c r="AU107" i="1"/>
  <c r="AU13" i="1"/>
  <c r="AV493" i="1"/>
  <c r="AV510" i="1"/>
  <c r="AU547" i="1"/>
  <c r="AW547" i="1"/>
  <c r="AW493" i="1"/>
  <c r="AU493" i="1"/>
  <c r="AV710" i="1"/>
  <c r="AV454" i="1"/>
  <c r="AW454" i="1"/>
  <c r="AU299" i="1"/>
  <c r="AW299" i="1"/>
  <c r="AU442" i="1"/>
  <c r="AV442" i="1"/>
  <c r="AU321" i="1"/>
  <c r="AU720" i="1"/>
  <c r="AV720" i="1"/>
  <c r="AW720" i="1"/>
  <c r="AU426" i="1"/>
  <c r="AV426" i="1"/>
  <c r="AW426" i="1"/>
  <c r="AU349" i="1"/>
  <c r="AW349" i="1"/>
  <c r="AV387" i="1"/>
  <c r="AU725" i="1"/>
  <c r="AV725" i="1"/>
  <c r="AU304" i="1"/>
  <c r="AW304" i="1"/>
  <c r="AW359" i="1"/>
  <c r="AU454" i="1"/>
  <c r="AU392" i="1"/>
  <c r="AU316" i="1"/>
  <c r="AW316" i="1"/>
  <c r="AV287" i="1"/>
  <c r="AW591" i="1"/>
  <c r="AW586" i="1"/>
  <c r="AU527" i="1"/>
  <c r="AV527" i="1"/>
  <c r="AW527" i="1"/>
  <c r="AW733" i="1"/>
  <c r="AU602" i="1"/>
  <c r="AW602" i="1"/>
  <c r="AV708" i="1"/>
  <c r="AU617" i="1"/>
  <c r="AW617" i="1"/>
  <c r="AU612" i="1"/>
  <c r="AU519" i="1"/>
  <c r="AV519" i="1"/>
  <c r="AV723" i="1"/>
  <c r="AW723" i="1"/>
  <c r="AV716" i="1"/>
  <c r="AU572" i="1"/>
  <c r="AW572" i="1"/>
  <c r="AW556" i="1"/>
  <c r="AV676" i="1"/>
  <c r="AW626" i="1"/>
  <c r="AW621" i="1"/>
  <c r="AU721" i="1"/>
  <c r="AU577" i="1"/>
  <c r="AW641" i="1"/>
  <c r="AU582" i="1"/>
  <c r="AW582" i="1"/>
  <c r="AW616" i="1"/>
  <c r="AW596" i="1"/>
  <c r="AU560" i="1"/>
  <c r="AW364" i="1"/>
  <c r="AU5" i="1"/>
  <c r="AV5" i="1"/>
  <c r="AW5" i="1"/>
  <c r="AV441" i="1"/>
  <c r="AU441" i="1"/>
  <c r="AU585" i="1"/>
  <c r="AU503" i="1"/>
  <c r="AV475" i="1"/>
  <c r="AW353" i="1"/>
  <c r="AV222" i="1"/>
  <c r="AV191" i="1"/>
  <c r="AV162" i="1"/>
  <c r="AU54" i="1"/>
  <c r="AU374" i="1"/>
  <c r="AV374" i="1"/>
  <c r="AU347" i="1"/>
  <c r="AV347" i="1"/>
  <c r="AU331" i="1"/>
  <c r="AW331" i="1"/>
  <c r="AV196" i="1"/>
  <c r="AU639" i="1"/>
  <c r="AU524" i="1"/>
  <c r="AW519" i="1"/>
  <c r="AV463" i="1"/>
  <c r="AW463" i="1"/>
  <c r="AW423" i="1"/>
  <c r="AV407" i="1"/>
  <c r="AU336" i="1"/>
  <c r="AW336" i="1"/>
  <c r="AU319" i="1"/>
  <c r="AW319" i="1"/>
  <c r="AV201" i="1"/>
  <c r="AV206" i="1"/>
  <c r="AV706" i="1"/>
  <c r="AV683" i="1"/>
  <c r="AV502" i="1"/>
  <c r="AU457" i="1"/>
  <c r="AV457" i="1"/>
  <c r="AU446" i="1"/>
  <c r="AV446" i="1"/>
  <c r="AW446" i="1"/>
  <c r="AU417" i="1"/>
  <c r="AV417" i="1"/>
  <c r="AV379" i="1"/>
  <c r="AU341" i="1"/>
  <c r="AU324" i="1"/>
  <c r="AW324" i="1"/>
  <c r="AV211" i="1"/>
  <c r="AV167" i="1"/>
  <c r="AU128" i="1"/>
  <c r="AV102" i="1"/>
  <c r="AV13" i="1"/>
  <c r="AV726" i="1"/>
  <c r="AW553" i="1"/>
  <c r="AV553" i="1"/>
  <c r="AU313" i="1"/>
  <c r="AW313" i="1"/>
  <c r="AV77" i="1"/>
  <c r="AU3" i="1"/>
  <c r="AV3" i="1"/>
  <c r="AW3" i="1"/>
  <c r="AW730" i="1"/>
  <c r="AU648" i="1"/>
  <c r="AU543" i="1"/>
  <c r="AV543" i="1"/>
  <c r="AW538" i="1"/>
  <c r="AV473" i="1"/>
  <c r="AW384" i="1"/>
  <c r="AW329" i="1"/>
  <c r="AU296" i="1"/>
  <c r="AW296" i="1"/>
  <c r="AV82" i="1"/>
  <c r="AV42" i="1"/>
  <c r="AU663" i="1"/>
  <c r="AU538" i="1"/>
  <c r="AV538" i="1"/>
  <c r="AV416" i="1"/>
  <c r="AU416" i="1"/>
  <c r="AW632" i="1"/>
  <c r="AW552" i="1"/>
  <c r="AU394" i="1"/>
  <c r="AV394" i="1"/>
  <c r="AW394" i="1"/>
  <c r="AW378" i="1"/>
  <c r="AU356" i="1"/>
  <c r="AW356" i="1"/>
  <c r="AU351" i="1"/>
  <c r="AW351" i="1"/>
  <c r="AU301" i="1"/>
  <c r="AV261" i="1"/>
  <c r="AV718" i="1"/>
  <c r="AU637" i="1"/>
  <c r="AW637" i="1"/>
  <c r="AW622" i="1"/>
  <c r="AU557" i="1"/>
  <c r="AW557" i="1"/>
  <c r="AU542" i="1"/>
  <c r="AW542" i="1"/>
  <c r="AU456" i="1"/>
  <c r="AW456" i="1"/>
  <c r="AV421" i="1"/>
  <c r="AU27" i="1"/>
  <c r="AV27" i="1"/>
  <c r="AV488" i="1"/>
  <c r="AW488" i="1"/>
  <c r="AW383" i="1"/>
  <c r="AU339" i="1"/>
  <c r="AW339" i="1"/>
  <c r="AV32" i="1"/>
  <c r="AV17" i="1"/>
  <c r="AU613" i="1"/>
  <c r="AU587" i="1"/>
  <c r="AW567" i="1"/>
  <c r="AW562" i="1"/>
  <c r="AU537" i="1"/>
  <c r="AW537" i="1"/>
  <c r="AV532" i="1"/>
  <c r="AW532" i="1"/>
  <c r="AV466" i="1"/>
  <c r="AU377" i="1"/>
  <c r="AU361" i="1"/>
  <c r="AW361" i="1"/>
  <c r="AV171" i="1"/>
  <c r="AU100" i="1"/>
  <c r="AU511" i="1"/>
  <c r="AV511" i="1"/>
  <c r="AW511" i="1"/>
  <c r="AU344" i="1"/>
  <c r="AW344" i="1"/>
  <c r="AW646" i="1"/>
  <c r="AW636" i="1"/>
  <c r="AW631" i="1"/>
  <c r="AU607" i="1"/>
  <c r="AU592" i="1"/>
  <c r="AW592" i="1"/>
  <c r="AW466" i="1"/>
  <c r="AU333" i="1"/>
  <c r="AW333" i="1"/>
  <c r="AU311" i="1"/>
  <c r="AW311" i="1"/>
  <c r="AU489" i="1"/>
  <c r="AV450" i="1"/>
  <c r="AU438" i="1"/>
  <c r="AU408" i="1"/>
  <c r="AU388" i="1"/>
  <c r="AW379" i="1"/>
  <c r="AV372" i="1"/>
  <c r="AV276" i="1"/>
  <c r="AU271" i="1"/>
  <c r="AU262" i="1"/>
  <c r="AU252" i="1"/>
  <c r="AU152" i="1"/>
  <c r="AU133" i="1"/>
  <c r="AU123" i="1"/>
  <c r="AU83" i="1"/>
  <c r="AU58" i="1"/>
  <c r="AU33" i="1"/>
  <c r="AU352" i="1"/>
  <c r="AV281" i="1"/>
  <c r="AU238" i="1"/>
  <c r="AV233" i="1"/>
  <c r="AV166" i="1"/>
  <c r="AU118" i="1"/>
  <c r="AU147" i="1"/>
  <c r="AU113" i="1"/>
  <c r="AU87" i="1"/>
  <c r="AU62" i="1"/>
  <c r="AU41" i="1"/>
  <c r="AU428" i="1"/>
  <c r="AW372" i="1"/>
  <c r="AU368" i="1"/>
  <c r="AU348" i="1"/>
  <c r="AV286" i="1"/>
  <c r="AV275" i="1"/>
  <c r="AV232" i="1"/>
  <c r="AV137" i="1"/>
  <c r="AV127" i="1"/>
  <c r="AU108" i="1"/>
  <c r="AU95" i="1"/>
  <c r="AU70" i="1"/>
  <c r="AV57" i="1"/>
  <c r="AU45" i="1"/>
  <c r="AU20" i="1"/>
  <c r="AW531" i="1"/>
  <c r="AW523" i="1"/>
  <c r="AU479" i="1"/>
  <c r="AU433" i="1"/>
  <c r="AU328" i="1"/>
  <c r="AU308" i="1"/>
  <c r="AU242" i="1"/>
  <c r="AU228" i="1"/>
  <c r="AU223" i="1"/>
  <c r="AV122" i="1"/>
  <c r="AU117" i="1"/>
  <c r="AU103" i="1"/>
  <c r="AU78" i="1"/>
  <c r="AU53" i="1"/>
  <c r="AU403" i="1"/>
  <c r="AU237" i="1"/>
  <c r="AU383" i="1"/>
  <c r="AU82" i="1"/>
  <c r="AW581" i="1"/>
  <c r="AW546" i="1"/>
  <c r="AU488" i="1"/>
  <c r="AU483" i="1"/>
  <c r="AV465" i="1"/>
  <c r="AW436" i="1"/>
  <c r="AU363" i="1"/>
  <c r="AV285" i="1"/>
  <c r="AV218" i="1"/>
  <c r="AV183" i="1"/>
  <c r="AV107" i="1"/>
  <c r="AU90" i="1"/>
  <c r="AU65" i="1"/>
  <c r="AU40" i="1"/>
  <c r="AU530" i="1"/>
  <c r="AU518" i="1"/>
  <c r="AU513" i="1"/>
  <c r="AV436" i="1"/>
  <c r="AU398" i="1"/>
  <c r="AW347" i="1"/>
  <c r="AW327" i="1"/>
  <c r="AV241" i="1"/>
  <c r="AU98" i="1"/>
  <c r="AU73" i="1"/>
  <c r="AU48" i="1"/>
  <c r="AU594" i="1"/>
  <c r="AW576" i="1"/>
  <c r="AU558" i="1"/>
  <c r="AU526" i="1"/>
  <c r="AV509" i="1"/>
  <c r="AW464" i="1"/>
  <c r="AW439" i="1"/>
  <c r="AW427" i="1"/>
  <c r="AW354" i="1"/>
  <c r="AU343" i="1"/>
  <c r="AU323" i="1"/>
  <c r="AU303" i="1"/>
  <c r="AU178" i="1"/>
  <c r="AU173" i="1"/>
  <c r="AU15" i="1"/>
  <c r="AW473" i="1"/>
  <c r="AU443" i="1"/>
  <c r="AU423" i="1"/>
  <c r="AU227" i="1"/>
  <c r="AU222" i="1"/>
  <c r="AV208" i="1"/>
  <c r="AV203" i="1"/>
  <c r="AV198" i="1"/>
  <c r="AV193" i="1"/>
  <c r="AV188" i="1"/>
  <c r="AU140" i="1"/>
  <c r="AU130" i="1"/>
  <c r="AU106" i="1"/>
  <c r="AU102" i="1"/>
  <c r="AU81" i="1"/>
  <c r="AU77" i="1"/>
  <c r="AU56" i="1"/>
  <c r="AU52" i="1"/>
  <c r="AW571" i="1"/>
  <c r="AV517" i="1"/>
  <c r="AV397" i="1"/>
  <c r="AU378" i="1"/>
  <c r="AU231" i="1"/>
  <c r="AU135" i="1"/>
  <c r="AU125" i="1"/>
  <c r="AU85" i="1"/>
  <c r="AU60" i="1"/>
  <c r="AU35" i="1"/>
  <c r="AW541" i="1"/>
  <c r="AU533" i="1"/>
  <c r="AU482" i="1"/>
  <c r="AU468" i="1"/>
  <c r="AU418" i="1"/>
  <c r="AU358" i="1"/>
  <c r="AU217" i="1"/>
  <c r="AU182" i="1"/>
  <c r="AU168" i="1"/>
  <c r="AU120" i="1"/>
  <c r="AU93" i="1"/>
  <c r="AU68" i="1"/>
  <c r="AU43" i="1"/>
  <c r="AW666" i="1"/>
  <c r="AW566" i="1"/>
  <c r="AU549" i="1"/>
  <c r="AU512" i="1"/>
  <c r="AW508" i="1"/>
  <c r="AU504" i="1"/>
  <c r="AV495" i="1"/>
  <c r="AU491" i="1"/>
  <c r="AV283" i="1"/>
  <c r="AV187" i="1"/>
  <c r="AV177" i="1"/>
  <c r="AV163" i="1"/>
  <c r="AU144" i="1"/>
  <c r="AU115" i="1"/>
  <c r="AU14" i="1"/>
  <c r="AU553" i="1"/>
  <c r="AW525" i="1"/>
  <c r="AU338" i="1"/>
  <c r="AU318" i="1"/>
  <c r="AU298" i="1"/>
  <c r="AU226" i="1"/>
  <c r="AU153" i="1"/>
  <c r="AU139" i="1"/>
  <c r="AU129" i="1"/>
  <c r="AU110" i="1"/>
  <c r="AU101" i="1"/>
  <c r="AU97" i="1"/>
  <c r="AU76" i="1"/>
  <c r="AU72" i="1"/>
  <c r="AU51" i="1"/>
  <c r="AU47" i="1"/>
  <c r="AU26" i="1"/>
  <c r="AU624" i="1"/>
  <c r="AW611" i="1"/>
  <c r="AU579" i="1"/>
  <c r="AW561" i="1"/>
  <c r="AU544" i="1"/>
  <c r="AV520" i="1"/>
  <c r="AU393" i="1"/>
  <c r="AU212" i="1"/>
  <c r="AU207" i="1"/>
  <c r="AU202" i="1"/>
  <c r="AU197" i="1"/>
  <c r="AU192" i="1"/>
  <c r="AU172" i="1"/>
  <c r="AU105" i="1"/>
  <c r="AU80" i="1"/>
  <c r="AU55" i="1"/>
  <c r="AU30" i="1"/>
  <c r="AW661" i="1"/>
  <c r="AU528" i="1"/>
  <c r="AW503" i="1"/>
  <c r="AW421" i="1"/>
  <c r="AU293" i="1"/>
  <c r="AU148" i="1"/>
  <c r="AU88" i="1"/>
  <c r="AU63" i="1"/>
  <c r="AU38" i="1"/>
  <c r="AW656" i="1"/>
  <c r="AW606" i="1"/>
  <c r="AV503" i="1"/>
  <c r="AW438" i="1"/>
  <c r="AU413" i="1"/>
  <c r="AW408" i="1"/>
  <c r="AW388" i="1"/>
  <c r="AU373" i="1"/>
  <c r="AU248" i="1"/>
  <c r="AV152" i="1"/>
  <c r="AU683" i="1"/>
  <c r="AW651" i="1"/>
  <c r="AW536" i="1"/>
  <c r="AW494" i="1"/>
  <c r="AV485" i="1"/>
  <c r="AW471" i="1"/>
  <c r="AU353" i="1"/>
  <c r="AW337" i="1"/>
  <c r="AW317" i="1"/>
  <c r="AW297" i="1"/>
  <c r="AU267" i="1"/>
  <c r="AU258" i="1"/>
  <c r="AU243" i="1"/>
  <c r="AV238" i="1"/>
  <c r="AU167" i="1"/>
  <c r="AU162" i="1"/>
  <c r="AU157" i="1"/>
  <c r="AU143" i="1"/>
  <c r="AU109" i="1"/>
  <c r="AU96" i="1"/>
  <c r="AU92" i="1"/>
  <c r="AU71" i="1"/>
  <c r="AU67" i="1"/>
  <c r="AU46" i="1"/>
  <c r="AU42" i="1"/>
  <c r="AU21" i="1"/>
  <c r="AW678" i="1"/>
  <c r="AV678" i="1"/>
  <c r="AV713" i="1"/>
  <c r="AV721" i="1"/>
  <c r="AV728" i="1"/>
  <c r="AW728" i="1"/>
  <c r="AV731" i="1"/>
  <c r="AW711" i="1"/>
  <c r="AU711" i="1"/>
  <c r="AU660" i="1"/>
  <c r="AV660" i="1"/>
  <c r="AW660" i="1"/>
  <c r="AV623" i="1"/>
  <c r="AW623" i="1"/>
  <c r="AU614" i="1"/>
  <c r="AV578" i="1"/>
  <c r="AW578" i="1"/>
  <c r="AU569" i="1"/>
  <c r="AU694" i="1"/>
  <c r="AV694" i="1"/>
  <c r="AW694" i="1"/>
  <c r="AU690" i="1"/>
  <c r="AV690" i="1"/>
  <c r="AW690" i="1"/>
  <c r="AU539" i="1"/>
  <c r="AU498" i="1"/>
  <c r="AV498" i="1"/>
  <c r="AW498" i="1"/>
  <c r="AU412" i="1"/>
  <c r="AV412" i="1"/>
  <c r="AU718" i="1"/>
  <c r="AU698" i="1"/>
  <c r="AW686" i="1"/>
  <c r="AU686" i="1"/>
  <c r="AU664" i="1"/>
  <c r="AV618" i="1"/>
  <c r="AW618" i="1"/>
  <c r="AV573" i="1"/>
  <c r="AW573" i="1"/>
  <c r="AU507" i="1"/>
  <c r="AU484" i="1"/>
  <c r="AV484" i="1"/>
  <c r="AW484" i="1"/>
  <c r="AW399" i="1"/>
  <c r="AU399" i="1"/>
  <c r="AV399" i="1"/>
  <c r="AU714" i="1"/>
  <c r="AV714" i="1"/>
  <c r="AW714" i="1"/>
  <c r="AU673" i="1"/>
  <c r="AU461" i="1"/>
  <c r="AV461" i="1"/>
  <c r="AW461" i="1"/>
  <c r="AU728" i="1"/>
  <c r="AU710" i="1"/>
  <c r="AW710" i="1"/>
  <c r="AU668" i="1"/>
  <c r="AU609" i="1"/>
  <c r="AV568" i="1"/>
  <c r="AW568" i="1"/>
  <c r="AU559" i="1"/>
  <c r="AU449" i="1"/>
  <c r="AV449" i="1"/>
  <c r="AW449" i="1"/>
  <c r="AU437" i="1"/>
  <c r="AV437" i="1"/>
  <c r="AU424" i="1"/>
  <c r="AV424" i="1"/>
  <c r="AW424" i="1"/>
  <c r="AU717" i="1"/>
  <c r="AV717" i="1"/>
  <c r="AW717" i="1"/>
  <c r="AW706" i="1"/>
  <c r="AU706" i="1"/>
  <c r="AU685" i="1"/>
  <c r="AV685" i="1"/>
  <c r="AW685" i="1"/>
  <c r="AV668" i="1"/>
  <c r="AW668" i="1"/>
  <c r="AU506" i="1"/>
  <c r="AV506" i="1"/>
  <c r="AW506" i="1"/>
  <c r="AU474" i="1"/>
  <c r="AU444" i="1"/>
  <c r="AW731" i="1"/>
  <c r="AW721" i="1"/>
  <c r="AU689" i="1"/>
  <c r="AV689" i="1"/>
  <c r="AW689" i="1"/>
  <c r="AW681" i="1"/>
  <c r="AU681" i="1"/>
  <c r="AV563" i="1"/>
  <c r="AW563" i="1"/>
  <c r="AU497" i="1"/>
  <c r="AU469" i="1"/>
  <c r="AV469" i="1"/>
  <c r="AW469" i="1"/>
  <c r="AU727" i="1"/>
  <c r="AV727" i="1"/>
  <c r="AW727" i="1"/>
  <c r="AU724" i="1"/>
  <c r="AV724" i="1"/>
  <c r="AW724" i="1"/>
  <c r="AU693" i="1"/>
  <c r="AU649" i="1"/>
  <c r="AU608" i="1"/>
  <c r="AU534" i="1"/>
  <c r="AU705" i="1"/>
  <c r="AV705" i="1"/>
  <c r="AW705" i="1"/>
  <c r="AV608" i="1"/>
  <c r="AW608" i="1"/>
  <c r="AU713" i="1"/>
  <c r="AU709" i="1"/>
  <c r="AV709" i="1"/>
  <c r="AW709" i="1"/>
  <c r="AW701" i="1"/>
  <c r="AU701" i="1"/>
  <c r="AU680" i="1"/>
  <c r="AV680" i="1"/>
  <c r="AW680" i="1"/>
  <c r="AV658" i="1"/>
  <c r="AW658" i="1"/>
  <c r="AU653" i="1"/>
  <c r="AU603" i="1"/>
  <c r="AU554" i="1"/>
  <c r="AU496" i="1"/>
  <c r="AV496" i="1"/>
  <c r="AU492" i="1"/>
  <c r="AU432" i="1"/>
  <c r="AV432" i="1"/>
  <c r="AU402" i="1"/>
  <c r="AV402" i="1"/>
  <c r="AU684" i="1"/>
  <c r="AV684" i="1"/>
  <c r="AW684" i="1"/>
  <c r="AW676" i="1"/>
  <c r="AU676" i="1"/>
  <c r="AV653" i="1"/>
  <c r="AW653" i="1"/>
  <c r="AV603" i="1"/>
  <c r="AW603" i="1"/>
  <c r="AW496" i="1"/>
  <c r="AU452" i="1"/>
  <c r="AV452" i="1"/>
  <c r="AU382" i="1"/>
  <c r="AU688" i="1"/>
  <c r="AV648" i="1"/>
  <c r="AW648" i="1"/>
  <c r="AU643" i="1"/>
  <c r="AU509" i="1"/>
  <c r="AU487" i="1"/>
  <c r="AV487" i="1"/>
  <c r="AU464" i="1"/>
  <c r="AV464" i="1"/>
  <c r="AU459" i="1"/>
  <c r="AV459" i="1"/>
  <c r="AU431" i="1"/>
  <c r="AV431" i="1"/>
  <c r="AW431" i="1"/>
  <c r="AU414" i="1"/>
  <c r="AV414" i="1"/>
  <c r="AW414" i="1"/>
  <c r="AU700" i="1"/>
  <c r="AV700" i="1"/>
  <c r="AW700" i="1"/>
  <c r="AV643" i="1"/>
  <c r="AW643" i="1"/>
  <c r="AU634" i="1"/>
  <c r="AV598" i="1"/>
  <c r="AW598" i="1"/>
  <c r="AU589" i="1"/>
  <c r="AW459" i="1"/>
  <c r="AU704" i="1"/>
  <c r="AV704" i="1"/>
  <c r="AW704" i="1"/>
  <c r="AW696" i="1"/>
  <c r="AU696" i="1"/>
  <c r="AU675" i="1"/>
  <c r="AV675" i="1"/>
  <c r="AW675" i="1"/>
  <c r="AW671" i="1"/>
  <c r="AU671" i="1"/>
  <c r="AV671" i="1"/>
  <c r="AU529" i="1"/>
  <c r="AV529" i="1"/>
  <c r="AW529" i="1"/>
  <c r="AU517" i="1"/>
  <c r="AU733" i="1"/>
  <c r="AU723" i="1"/>
  <c r="AW716" i="1"/>
  <c r="AU708" i="1"/>
  <c r="AU679" i="1"/>
  <c r="AV679" i="1"/>
  <c r="AW679" i="1"/>
  <c r="AV638" i="1"/>
  <c r="AW638" i="1"/>
  <c r="AU629" i="1"/>
  <c r="AV593" i="1"/>
  <c r="AW593" i="1"/>
  <c r="AU584" i="1"/>
  <c r="AU472" i="1"/>
  <c r="AV472" i="1"/>
  <c r="AW409" i="1"/>
  <c r="AU409" i="1"/>
  <c r="AV409" i="1"/>
  <c r="AW726" i="1"/>
  <c r="AU719" i="1"/>
  <c r="AV719" i="1"/>
  <c r="AW719" i="1"/>
  <c r="AU695" i="1"/>
  <c r="AV695" i="1"/>
  <c r="AW695" i="1"/>
  <c r="AU670" i="1"/>
  <c r="AV670" i="1"/>
  <c r="AW670" i="1"/>
  <c r="AV633" i="1"/>
  <c r="AW633" i="1"/>
  <c r="AV588" i="1"/>
  <c r="AW588" i="1"/>
  <c r="AV500" i="1"/>
  <c r="AW500" i="1"/>
  <c r="AU486" i="1"/>
  <c r="AU481" i="1"/>
  <c r="AV481" i="1"/>
  <c r="AW481" i="1"/>
  <c r="AU732" i="1"/>
  <c r="AV732" i="1"/>
  <c r="AW732" i="1"/>
  <c r="AU729" i="1"/>
  <c r="AV729" i="1"/>
  <c r="AW729" i="1"/>
  <c r="AU722" i="1"/>
  <c r="AV722" i="1"/>
  <c r="AW722" i="1"/>
  <c r="AV711" i="1"/>
  <c r="AU699" i="1"/>
  <c r="AV699" i="1"/>
  <c r="AW699" i="1"/>
  <c r="AU665" i="1"/>
  <c r="AV665" i="1"/>
  <c r="AW665" i="1"/>
  <c r="AU628" i="1"/>
  <c r="AU583" i="1"/>
  <c r="AU516" i="1"/>
  <c r="AV516" i="1"/>
  <c r="AW516" i="1"/>
  <c r="AU476" i="1"/>
  <c r="AV476" i="1"/>
  <c r="AU467" i="1"/>
  <c r="AV467" i="1"/>
  <c r="AU715" i="1"/>
  <c r="AW715" i="1"/>
  <c r="AU703" i="1"/>
  <c r="AW691" i="1"/>
  <c r="AU691" i="1"/>
  <c r="AU674" i="1"/>
  <c r="AV674" i="1"/>
  <c r="AW674" i="1"/>
  <c r="AV628" i="1"/>
  <c r="AW628" i="1"/>
  <c r="AU619" i="1"/>
  <c r="AV583" i="1"/>
  <c r="AW583" i="1"/>
  <c r="AU574" i="1"/>
  <c r="AV548" i="1"/>
  <c r="AW548" i="1"/>
  <c r="AU499" i="1"/>
  <c r="AU494" i="1"/>
  <c r="AV494" i="1"/>
  <c r="AW476" i="1"/>
  <c r="AU471" i="1"/>
  <c r="AV471" i="1"/>
  <c r="AW718" i="1"/>
  <c r="AV686" i="1"/>
  <c r="AU678" i="1"/>
  <c r="AU623" i="1"/>
  <c r="AU578" i="1"/>
  <c r="AU462" i="1"/>
  <c r="AV462" i="1"/>
  <c r="AU434" i="1"/>
  <c r="AU429" i="1"/>
  <c r="AV429" i="1"/>
  <c r="AW429" i="1"/>
  <c r="AU404" i="1"/>
  <c r="AV404" i="1"/>
  <c r="AW404" i="1"/>
  <c r="AV666" i="1"/>
  <c r="AV661" i="1"/>
  <c r="AV656" i="1"/>
  <c r="AV651" i="1"/>
  <c r="AV646" i="1"/>
  <c r="AV641" i="1"/>
  <c r="AV636" i="1"/>
  <c r="AV631" i="1"/>
  <c r="AV626" i="1"/>
  <c r="AV621" i="1"/>
  <c r="AV616" i="1"/>
  <c r="AV611" i="1"/>
  <c r="AV606" i="1"/>
  <c r="AV601" i="1"/>
  <c r="AV596" i="1"/>
  <c r="AV591" i="1"/>
  <c r="AV586" i="1"/>
  <c r="AV581" i="1"/>
  <c r="AV576" i="1"/>
  <c r="AV571" i="1"/>
  <c r="AV566" i="1"/>
  <c r="AV561" i="1"/>
  <c r="AV556" i="1"/>
  <c r="AV551" i="1"/>
  <c r="AV546" i="1"/>
  <c r="AV541" i="1"/>
  <c r="AV536" i="1"/>
  <c r="AV531" i="1"/>
  <c r="AU505" i="1"/>
  <c r="AU480" i="1"/>
  <c r="AW480" i="1"/>
  <c r="AU396" i="1"/>
  <c r="AV396" i="1"/>
  <c r="AW396" i="1"/>
  <c r="AV352" i="1"/>
  <c r="AU666" i="1"/>
  <c r="AU661" i="1"/>
  <c r="AU656" i="1"/>
  <c r="AU651" i="1"/>
  <c r="AU646" i="1"/>
  <c r="AU641" i="1"/>
  <c r="AU636" i="1"/>
  <c r="AU631" i="1"/>
  <c r="AU626" i="1"/>
  <c r="AU621" i="1"/>
  <c r="AU616" i="1"/>
  <c r="AU611" i="1"/>
  <c r="AU606" i="1"/>
  <c r="AU601" i="1"/>
  <c r="AU596" i="1"/>
  <c r="AU591" i="1"/>
  <c r="AU586" i="1"/>
  <c r="AU581" i="1"/>
  <c r="AU576" i="1"/>
  <c r="AU571" i="1"/>
  <c r="AU566" i="1"/>
  <c r="AU561" i="1"/>
  <c r="AU556" i="1"/>
  <c r="AU551" i="1"/>
  <c r="AU546" i="1"/>
  <c r="AU541" i="1"/>
  <c r="AU536" i="1"/>
  <c r="AU531" i="1"/>
  <c r="AW528" i="1"/>
  <c r="AU523" i="1"/>
  <c r="AW515" i="1"/>
  <c r="AW507" i="1"/>
  <c r="AU502" i="1"/>
  <c r="AW499" i="1"/>
  <c r="AV456" i="1"/>
  <c r="AW434" i="1"/>
  <c r="AU406" i="1"/>
  <c r="AV406" i="1"/>
  <c r="AV367" i="1"/>
  <c r="AV528" i="1"/>
  <c r="AV515" i="1"/>
  <c r="AU510" i="1"/>
  <c r="AV507" i="1"/>
  <c r="AV499" i="1"/>
  <c r="AW477" i="1"/>
  <c r="AU465" i="1"/>
  <c r="AW465" i="1"/>
  <c r="AU450" i="1"/>
  <c r="AW450" i="1"/>
  <c r="AV434" i="1"/>
  <c r="AU425" i="1"/>
  <c r="AV425" i="1"/>
  <c r="AW425" i="1"/>
  <c r="AW374" i="1"/>
  <c r="AW352" i="1"/>
  <c r="AW708" i="1"/>
  <c r="AW703" i="1"/>
  <c r="AW698" i="1"/>
  <c r="AW693" i="1"/>
  <c r="AW688" i="1"/>
  <c r="AW663" i="1"/>
  <c r="AW613" i="1"/>
  <c r="AW520" i="1"/>
  <c r="AW512" i="1"/>
  <c r="AW504" i="1"/>
  <c r="AW491" i="1"/>
  <c r="AW479" i="1"/>
  <c r="AU453" i="1"/>
  <c r="AV453" i="1"/>
  <c r="AW447" i="1"/>
  <c r="AW422" i="1"/>
  <c r="AU385" i="1"/>
  <c r="AV385" i="1"/>
  <c r="AW385" i="1"/>
  <c r="AW382" i="1"/>
  <c r="AU332" i="1"/>
  <c r="AV332" i="1"/>
  <c r="AU312" i="1"/>
  <c r="AV312" i="1"/>
  <c r="AW462" i="1"/>
  <c r="AW367" i="1"/>
  <c r="AW332" i="1"/>
  <c r="AW312" i="1"/>
  <c r="AV291" i="1"/>
  <c r="AW291" i="1"/>
  <c r="AW517" i="1"/>
  <c r="AW509" i="1"/>
  <c r="AU395" i="1"/>
  <c r="AV395" i="1"/>
  <c r="AW395" i="1"/>
  <c r="AU355" i="1"/>
  <c r="AV355" i="1"/>
  <c r="AW355" i="1"/>
  <c r="AV280" i="1"/>
  <c r="AU520" i="1"/>
  <c r="AU485" i="1"/>
  <c r="AW485" i="1"/>
  <c r="AU440" i="1"/>
  <c r="AV440" i="1"/>
  <c r="AW440" i="1"/>
  <c r="AU415" i="1"/>
  <c r="AV415" i="1"/>
  <c r="AW415" i="1"/>
  <c r="AU405" i="1"/>
  <c r="AV405" i="1"/>
  <c r="AW405" i="1"/>
  <c r="AW392" i="1"/>
  <c r="AU370" i="1"/>
  <c r="AV370" i="1"/>
  <c r="AW370" i="1"/>
  <c r="AW655" i="1"/>
  <c r="AW650" i="1"/>
  <c r="AW645" i="1"/>
  <c r="AW640" i="1"/>
  <c r="AW635" i="1"/>
  <c r="AW630" i="1"/>
  <c r="AW625" i="1"/>
  <c r="AW620" i="1"/>
  <c r="AW615" i="1"/>
  <c r="AW610" i="1"/>
  <c r="AW605" i="1"/>
  <c r="AW600" i="1"/>
  <c r="AW595" i="1"/>
  <c r="AW590" i="1"/>
  <c r="AW585" i="1"/>
  <c r="AW580" i="1"/>
  <c r="AW575" i="1"/>
  <c r="AW570" i="1"/>
  <c r="AW565" i="1"/>
  <c r="AW560" i="1"/>
  <c r="AW555" i="1"/>
  <c r="AW550" i="1"/>
  <c r="AW545" i="1"/>
  <c r="AW540" i="1"/>
  <c r="AW535" i="1"/>
  <c r="AW530" i="1"/>
  <c r="AW522" i="1"/>
  <c r="AW514" i="1"/>
  <c r="AW437" i="1"/>
  <c r="AW412" i="1"/>
  <c r="AW402" i="1"/>
  <c r="AV384" i="1"/>
  <c r="AV362" i="1"/>
  <c r="AV655" i="1"/>
  <c r="AV650" i="1"/>
  <c r="AV645" i="1"/>
  <c r="AV640" i="1"/>
  <c r="AV635" i="1"/>
  <c r="AV630" i="1"/>
  <c r="AV625" i="1"/>
  <c r="AV620" i="1"/>
  <c r="AV615" i="1"/>
  <c r="AV610" i="1"/>
  <c r="AV605" i="1"/>
  <c r="AV600" i="1"/>
  <c r="AV595" i="1"/>
  <c r="AV590" i="1"/>
  <c r="AV585" i="1"/>
  <c r="AV580" i="1"/>
  <c r="AV575" i="1"/>
  <c r="AV570" i="1"/>
  <c r="AV565" i="1"/>
  <c r="AV560" i="1"/>
  <c r="AV555" i="1"/>
  <c r="AV550" i="1"/>
  <c r="AV545" i="1"/>
  <c r="AV540" i="1"/>
  <c r="AV535" i="1"/>
  <c r="AV530" i="1"/>
  <c r="AU525" i="1"/>
  <c r="AV522" i="1"/>
  <c r="AV514" i="1"/>
  <c r="AV501" i="1"/>
  <c r="AW482" i="1"/>
  <c r="AU470" i="1"/>
  <c r="AW470" i="1"/>
  <c r="AU427" i="1"/>
  <c r="AU335" i="1"/>
  <c r="AU327" i="1"/>
  <c r="AV327" i="1"/>
  <c r="AU315" i="1"/>
  <c r="AU307" i="1"/>
  <c r="AV307" i="1"/>
  <c r="AU295" i="1"/>
  <c r="AU473" i="1"/>
  <c r="AU455" i="1"/>
  <c r="AW455" i="1"/>
  <c r="AU391" i="1"/>
  <c r="AV391" i="1"/>
  <c r="AW391" i="1"/>
  <c r="AW307" i="1"/>
  <c r="AW467" i="1"/>
  <c r="AU458" i="1"/>
  <c r="AV458" i="1"/>
  <c r="AW452" i="1"/>
  <c r="AU430" i="1"/>
  <c r="AV430" i="1"/>
  <c r="AW430" i="1"/>
  <c r="AU369" i="1"/>
  <c r="AV369" i="1"/>
  <c r="AW362" i="1"/>
  <c r="AW712" i="1"/>
  <c r="AW707" i="1"/>
  <c r="AW702" i="1"/>
  <c r="AW697" i="1"/>
  <c r="AW692" i="1"/>
  <c r="AW687" i="1"/>
  <c r="AW682" i="1"/>
  <c r="AW677" i="1"/>
  <c r="AW672" i="1"/>
  <c r="AW667" i="1"/>
  <c r="AW662" i="1"/>
  <c r="AW657" i="1"/>
  <c r="AW652" i="1"/>
  <c r="AW647" i="1"/>
  <c r="AU411" i="1"/>
  <c r="AV411" i="1"/>
  <c r="AU401" i="1"/>
  <c r="AV401" i="1"/>
  <c r="AU380" i="1"/>
  <c r="AV380" i="1"/>
  <c r="AW380" i="1"/>
  <c r="AW377" i="1"/>
  <c r="AU350" i="1"/>
  <c r="AV350" i="1"/>
  <c r="AW350" i="1"/>
  <c r="AU294" i="1"/>
  <c r="AV294" i="1"/>
  <c r="AW294" i="1"/>
  <c r="AV712" i="1"/>
  <c r="AV707" i="1"/>
  <c r="AV702" i="1"/>
  <c r="AV697" i="1"/>
  <c r="AV692" i="1"/>
  <c r="AV687"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24" i="1"/>
  <c r="AU490" i="1"/>
  <c r="AW490" i="1"/>
  <c r="AU365" i="1"/>
  <c r="AV365" i="1"/>
  <c r="AW365" i="1"/>
  <c r="AV342" i="1"/>
  <c r="AU322" i="1"/>
  <c r="AV322" i="1"/>
  <c r="AU302" i="1"/>
  <c r="AV302" i="1"/>
  <c r="AW487" i="1"/>
  <c r="AU475" i="1"/>
  <c r="AW475" i="1"/>
  <c r="AU445" i="1"/>
  <c r="AV445" i="1"/>
  <c r="AW445" i="1"/>
  <c r="AU420" i="1"/>
  <c r="AV420" i="1"/>
  <c r="AW420" i="1"/>
  <c r="AU390" i="1"/>
  <c r="AV390" i="1"/>
  <c r="AW390" i="1"/>
  <c r="AW342" i="1"/>
  <c r="AW322" i="1"/>
  <c r="AW302" i="1"/>
  <c r="AW669" i="1"/>
  <c r="AW664" i="1"/>
  <c r="AW659" i="1"/>
  <c r="AW654" i="1"/>
  <c r="AW649" i="1"/>
  <c r="AW644" i="1"/>
  <c r="AW639" i="1"/>
  <c r="AW634" i="1"/>
  <c r="AW629" i="1"/>
  <c r="AW624" i="1"/>
  <c r="AW619" i="1"/>
  <c r="AW614" i="1"/>
  <c r="AW609" i="1"/>
  <c r="AW604" i="1"/>
  <c r="AW599" i="1"/>
  <c r="AW594" i="1"/>
  <c r="AW589" i="1"/>
  <c r="AW584" i="1"/>
  <c r="AW579" i="1"/>
  <c r="AW574" i="1"/>
  <c r="AW569" i="1"/>
  <c r="AW564" i="1"/>
  <c r="AW559" i="1"/>
  <c r="AW554" i="1"/>
  <c r="AW549" i="1"/>
  <c r="AW544" i="1"/>
  <c r="AW539" i="1"/>
  <c r="AW534" i="1"/>
  <c r="AW521" i="1"/>
  <c r="AW513" i="1"/>
  <c r="AW492" i="1"/>
  <c r="AW489" i="1"/>
  <c r="AU478" i="1"/>
  <c r="AW442" i="1"/>
  <c r="AW417" i="1"/>
  <c r="AW387" i="1"/>
  <c r="AV669" i="1"/>
  <c r="AV664" i="1"/>
  <c r="AV659" i="1"/>
  <c r="AV654" i="1"/>
  <c r="AV649" i="1"/>
  <c r="AV644" i="1"/>
  <c r="AV639" i="1"/>
  <c r="AV634" i="1"/>
  <c r="AV629" i="1"/>
  <c r="AV624" i="1"/>
  <c r="AV619" i="1"/>
  <c r="AV614" i="1"/>
  <c r="AV609" i="1"/>
  <c r="AV604" i="1"/>
  <c r="AV599" i="1"/>
  <c r="AV594" i="1"/>
  <c r="AV589" i="1"/>
  <c r="AV584" i="1"/>
  <c r="AV579" i="1"/>
  <c r="AV574" i="1"/>
  <c r="AV569" i="1"/>
  <c r="AV564" i="1"/>
  <c r="AV559" i="1"/>
  <c r="AV554" i="1"/>
  <c r="AV549" i="1"/>
  <c r="AV544" i="1"/>
  <c r="AV539" i="1"/>
  <c r="AV534" i="1"/>
  <c r="AV521" i="1"/>
  <c r="AV513" i="1"/>
  <c r="AU495" i="1"/>
  <c r="AV492" i="1"/>
  <c r="AV489" i="1"/>
  <c r="AW472" i="1"/>
  <c r="AU460" i="1"/>
  <c r="AW460" i="1"/>
  <c r="AU448" i="1"/>
  <c r="AU410" i="1"/>
  <c r="AV410" i="1"/>
  <c r="AW410" i="1"/>
  <c r="AU400" i="1"/>
  <c r="AV400" i="1"/>
  <c r="AW400" i="1"/>
  <c r="AU364" i="1"/>
  <c r="AV364" i="1"/>
  <c r="AW357" i="1"/>
  <c r="AW526" i="1"/>
  <c r="AW518" i="1"/>
  <c r="AW505" i="1"/>
  <c r="AW497" i="1"/>
  <c r="AW486" i="1"/>
  <c r="AW483" i="1"/>
  <c r="AW474" i="1"/>
  <c r="AU463" i="1"/>
  <c r="AW457" i="1"/>
  <c r="AW444" i="1"/>
  <c r="AW419" i="1"/>
  <c r="AW407" i="1"/>
  <c r="AW397" i="1"/>
  <c r="AW389" i="1"/>
  <c r="AU345" i="1"/>
  <c r="AV345" i="1"/>
  <c r="AW345" i="1"/>
  <c r="AV526" i="1"/>
  <c r="AV518" i="1"/>
  <c r="AV505" i="1"/>
  <c r="AU500" i="1"/>
  <c r="AV497" i="1"/>
  <c r="AV486" i="1"/>
  <c r="AV483" i="1"/>
  <c r="AV477" i="1"/>
  <c r="AV474" i="1"/>
  <c r="AV444" i="1"/>
  <c r="AW441" i="1"/>
  <c r="AU435" i="1"/>
  <c r="AV435" i="1"/>
  <c r="AW435" i="1"/>
  <c r="AV419" i="1"/>
  <c r="AW416" i="1"/>
  <c r="AV389" i="1"/>
  <c r="AU337" i="1"/>
  <c r="AV337" i="1"/>
  <c r="AU325" i="1"/>
  <c r="AU317" i="1"/>
  <c r="AV317" i="1"/>
  <c r="AU305" i="1"/>
  <c r="AU297" i="1"/>
  <c r="AV297" i="1"/>
  <c r="AW510" i="1"/>
  <c r="AV480" i="1"/>
  <c r="AU477" i="1"/>
  <c r="AW468" i="1"/>
  <c r="AV447" i="1"/>
  <c r="AW432" i="1"/>
  <c r="AV422" i="1"/>
  <c r="AU375" i="1"/>
  <c r="AV375" i="1"/>
  <c r="AW375" i="1"/>
  <c r="AU360" i="1"/>
  <c r="AV360" i="1"/>
  <c r="AW360" i="1"/>
  <c r="AW276" i="1"/>
  <c r="AU264" i="1"/>
  <c r="AV264" i="1"/>
  <c r="AW264" i="1"/>
  <c r="AU256" i="1"/>
  <c r="AW256" i="1"/>
  <c r="AU185" i="1"/>
  <c r="AU180" i="1"/>
  <c r="AU175" i="1"/>
  <c r="AU292" i="1"/>
  <c r="AU268" i="1"/>
  <c r="AW268" i="1"/>
  <c r="AU251" i="1"/>
  <c r="AW251" i="1"/>
  <c r="AU224" i="1"/>
  <c r="AV224" i="1"/>
  <c r="AW224" i="1"/>
  <c r="AU276" i="1"/>
  <c r="AU272" i="1"/>
  <c r="AU260" i="1"/>
  <c r="AW260" i="1"/>
  <c r="AV161" i="1"/>
  <c r="AW161" i="1"/>
  <c r="AV156" i="1"/>
  <c r="AW156" i="1"/>
  <c r="AU142" i="1"/>
  <c r="AV91" i="1"/>
  <c r="AW91" i="1"/>
  <c r="AV66" i="1"/>
  <c r="AW66" i="1"/>
  <c r="AV41" i="1"/>
  <c r="AW41" i="1"/>
  <c r="AU288" i="1"/>
  <c r="AW288" i="1"/>
  <c r="AU284" i="1"/>
  <c r="AW284" i="1"/>
  <c r="AU280" i="1"/>
  <c r="AW280" i="1"/>
  <c r="AU255" i="1"/>
  <c r="AV255" i="1"/>
  <c r="AW255" i="1"/>
  <c r="AU246" i="1"/>
  <c r="AW246" i="1"/>
  <c r="AU4" i="1"/>
  <c r="AV359" i="1"/>
  <c r="AV354" i="1"/>
  <c r="AV349" i="1"/>
  <c r="AV344" i="1"/>
  <c r="AV339" i="1"/>
  <c r="AV334" i="1"/>
  <c r="AV329" i="1"/>
  <c r="AV324" i="1"/>
  <c r="AV319" i="1"/>
  <c r="AV314" i="1"/>
  <c r="AV309" i="1"/>
  <c r="AV304" i="1"/>
  <c r="AV299" i="1"/>
  <c r="AU250" i="1"/>
  <c r="AV250" i="1"/>
  <c r="AW250" i="1"/>
  <c r="AU219" i="1"/>
  <c r="AV219" i="1"/>
  <c r="AW219" i="1"/>
  <c r="AU184" i="1"/>
  <c r="AU179" i="1"/>
  <c r="AU174" i="1"/>
  <c r="AV151" i="1"/>
  <c r="AW151" i="1"/>
  <c r="AU132" i="1"/>
  <c r="AU122" i="1"/>
  <c r="AU99" i="1"/>
  <c r="AU74" i="1"/>
  <c r="AU49" i="1"/>
  <c r="AU24" i="1"/>
  <c r="AV16" i="1"/>
  <c r="AW16" i="1"/>
  <c r="AW271" i="1"/>
  <c r="AU263" i="1"/>
  <c r="AW263" i="1"/>
  <c r="AU151" i="1"/>
  <c r="AV141" i="1"/>
  <c r="AW141" i="1"/>
  <c r="AU16" i="1"/>
  <c r="AV271" i="1"/>
  <c r="AU259" i="1"/>
  <c r="AV259" i="1"/>
  <c r="AW259" i="1"/>
  <c r="AU245" i="1"/>
  <c r="AV245" i="1"/>
  <c r="AW245" i="1"/>
  <c r="AU165" i="1"/>
  <c r="AU160" i="1"/>
  <c r="AU155" i="1"/>
  <c r="AV146" i="1"/>
  <c r="AW146" i="1"/>
  <c r="AU141" i="1"/>
  <c r="AV136" i="1"/>
  <c r="AW136" i="1"/>
  <c r="AV126" i="1"/>
  <c r="AW126" i="1"/>
  <c r="AU112" i="1"/>
  <c r="AV86" i="1"/>
  <c r="AW86" i="1"/>
  <c r="AV61" i="1"/>
  <c r="AW61" i="1"/>
  <c r="AV36" i="1"/>
  <c r="AW36" i="1"/>
  <c r="AW386" i="1"/>
  <c r="AW381" i="1"/>
  <c r="AW376" i="1"/>
  <c r="AW371" i="1"/>
  <c r="AW366" i="1"/>
  <c r="AU279" i="1"/>
  <c r="AV279" i="1"/>
  <c r="AW279" i="1"/>
  <c r="AU275" i="1"/>
  <c r="AW275" i="1"/>
  <c r="AU254" i="1"/>
  <c r="AV254" i="1"/>
  <c r="AW254" i="1"/>
  <c r="AU241" i="1"/>
  <c r="AW241" i="1"/>
  <c r="AU214" i="1"/>
  <c r="AV214" i="1"/>
  <c r="AW214" i="1"/>
  <c r="AU209" i="1"/>
  <c r="AU204" i="1"/>
  <c r="AU199" i="1"/>
  <c r="AU146" i="1"/>
  <c r="AV131" i="1"/>
  <c r="AW131" i="1"/>
  <c r="AV121" i="1"/>
  <c r="AW121" i="1"/>
  <c r="AU36" i="1"/>
  <c r="AV386" i="1"/>
  <c r="AV381" i="1"/>
  <c r="AV376" i="1"/>
  <c r="AV371" i="1"/>
  <c r="AV366" i="1"/>
  <c r="AV361" i="1"/>
  <c r="AV356" i="1"/>
  <c r="AV351" i="1"/>
  <c r="AV346" i="1"/>
  <c r="AV341" i="1"/>
  <c r="AV336" i="1"/>
  <c r="AV331" i="1"/>
  <c r="AV326" i="1"/>
  <c r="AV321" i="1"/>
  <c r="AV316" i="1"/>
  <c r="AV311" i="1"/>
  <c r="AV306" i="1"/>
  <c r="AV301" i="1"/>
  <c r="AV296" i="1"/>
  <c r="AU291" i="1"/>
  <c r="AU287" i="1"/>
  <c r="AW287" i="1"/>
  <c r="AU283" i="1"/>
  <c r="AW283" i="1"/>
  <c r="AU249" i="1"/>
  <c r="AV249" i="1"/>
  <c r="AW249" i="1"/>
  <c r="AU150" i="1"/>
  <c r="AU131" i="1"/>
  <c r="AU121" i="1"/>
  <c r="AV116" i="1"/>
  <c r="AW116" i="1"/>
  <c r="AU94" i="1"/>
  <c r="AU69" i="1"/>
  <c r="AU44" i="1"/>
  <c r="AU19" i="1"/>
  <c r="AV11" i="1"/>
  <c r="AW11" i="1"/>
  <c r="AU236" i="1"/>
  <c r="AW236" i="1"/>
  <c r="AU116" i="1"/>
  <c r="AV111" i="1"/>
  <c r="AW111" i="1"/>
  <c r="AU11" i="1"/>
  <c r="AU244" i="1"/>
  <c r="AV244" i="1"/>
  <c r="AW244" i="1"/>
  <c r="AU240" i="1"/>
  <c r="AV240" i="1"/>
  <c r="AW240" i="1"/>
  <c r="AU213" i="1"/>
  <c r="AU208" i="1"/>
  <c r="AU203" i="1"/>
  <c r="AU198" i="1"/>
  <c r="AU193" i="1"/>
  <c r="AU164" i="1"/>
  <c r="AU159" i="1"/>
  <c r="AU154" i="1"/>
  <c r="AU145" i="1"/>
  <c r="AU111" i="1"/>
  <c r="AV106" i="1"/>
  <c r="AW106" i="1"/>
  <c r="AV81" i="1"/>
  <c r="AW81" i="1"/>
  <c r="AV56" i="1"/>
  <c r="AW56" i="1"/>
  <c r="AV31" i="1"/>
  <c r="AW31" i="1"/>
  <c r="AU274" i="1"/>
  <c r="AV274" i="1"/>
  <c r="AW274" i="1"/>
  <c r="AU31" i="1"/>
  <c r="AV6" i="1"/>
  <c r="AW6" i="1"/>
  <c r="AV448" i="1"/>
  <c r="AV443" i="1"/>
  <c r="AV438" i="1"/>
  <c r="AV433" i="1"/>
  <c r="AV428" i="1"/>
  <c r="AV423" i="1"/>
  <c r="AV418" i="1"/>
  <c r="AV413" i="1"/>
  <c r="AV408" i="1"/>
  <c r="AV403" i="1"/>
  <c r="AV398" i="1"/>
  <c r="AV393" i="1"/>
  <c r="AV388" i="1"/>
  <c r="AV383" i="1"/>
  <c r="AV378" i="1"/>
  <c r="AV373" i="1"/>
  <c r="AV368" i="1"/>
  <c r="AV363" i="1"/>
  <c r="AV358" i="1"/>
  <c r="AV353" i="1"/>
  <c r="AV348" i="1"/>
  <c r="AV343" i="1"/>
  <c r="AV338" i="1"/>
  <c r="AV333" i="1"/>
  <c r="AV328" i="1"/>
  <c r="AV323" i="1"/>
  <c r="AV318" i="1"/>
  <c r="AV313" i="1"/>
  <c r="AV308" i="1"/>
  <c r="AV303" i="1"/>
  <c r="AV298" i="1"/>
  <c r="AV293" i="1"/>
  <c r="AU278" i="1"/>
  <c r="AW278" i="1"/>
  <c r="AU270" i="1"/>
  <c r="AW270" i="1"/>
  <c r="AU266" i="1"/>
  <c r="AU253" i="1"/>
  <c r="AU235" i="1"/>
  <c r="AU149" i="1"/>
  <c r="AU89" i="1"/>
  <c r="AU64" i="1"/>
  <c r="AU39" i="1"/>
  <c r="AU6" i="1"/>
  <c r="AU290" i="1"/>
  <c r="AW290" i="1"/>
  <c r="AU286" i="1"/>
  <c r="AU282" i="1"/>
  <c r="AW282" i="1"/>
  <c r="AU230" i="1"/>
  <c r="AU187" i="1"/>
  <c r="AU177" i="1"/>
  <c r="AU163" i="1"/>
  <c r="AU158" i="1"/>
  <c r="AU239" i="1"/>
  <c r="AV239" i="1"/>
  <c r="AW239" i="1"/>
  <c r="AV101" i="1"/>
  <c r="AW101" i="1"/>
  <c r="AV76" i="1"/>
  <c r="AW76" i="1"/>
  <c r="AV51" i="1"/>
  <c r="AW51" i="1"/>
  <c r="AV26" i="1"/>
  <c r="AW26" i="1"/>
  <c r="AW340" i="1"/>
  <c r="AW335" i="1"/>
  <c r="AW330" i="1"/>
  <c r="AW325" i="1"/>
  <c r="AW320" i="1"/>
  <c r="AW315" i="1"/>
  <c r="AW310" i="1"/>
  <c r="AW305" i="1"/>
  <c r="AW300" i="1"/>
  <c r="AW295" i="1"/>
  <c r="AU257" i="1"/>
  <c r="AU221" i="1"/>
  <c r="AV340" i="1"/>
  <c r="AV335" i="1"/>
  <c r="AV330" i="1"/>
  <c r="AV325" i="1"/>
  <c r="AV320" i="1"/>
  <c r="AV315" i="1"/>
  <c r="AV310" i="1"/>
  <c r="AV305" i="1"/>
  <c r="AV300" i="1"/>
  <c r="AV295" i="1"/>
  <c r="AU273" i="1"/>
  <c r="AW273" i="1"/>
  <c r="AU269" i="1"/>
  <c r="AV269" i="1"/>
  <c r="AW269" i="1"/>
  <c r="AU265" i="1"/>
  <c r="AW265" i="1"/>
  <c r="AU261" i="1"/>
  <c r="AW261" i="1"/>
  <c r="AU234" i="1"/>
  <c r="AV234" i="1"/>
  <c r="AW234" i="1"/>
  <c r="AU134" i="1"/>
  <c r="AU124" i="1"/>
  <c r="AU84" i="1"/>
  <c r="AU59" i="1"/>
  <c r="AU34" i="1"/>
  <c r="AU277" i="1"/>
  <c r="AU229" i="1"/>
  <c r="AV229" i="1"/>
  <c r="AW229" i="1"/>
  <c r="AU225" i="1"/>
  <c r="AU186" i="1"/>
  <c r="AU181" i="1"/>
  <c r="AU176" i="1"/>
  <c r="AU119" i="1"/>
  <c r="AW292" i="1"/>
  <c r="AU289" i="1"/>
  <c r="AW289" i="1"/>
  <c r="AU285" i="1"/>
  <c r="AW285" i="1"/>
  <c r="AU281" i="1"/>
  <c r="AV256" i="1"/>
  <c r="AU247" i="1"/>
  <c r="AU216" i="1"/>
  <c r="AU114" i="1"/>
  <c r="AV96" i="1"/>
  <c r="AW96" i="1"/>
  <c r="AV71" i="1"/>
  <c r="AW71" i="1"/>
  <c r="AV46" i="1"/>
  <c r="AW46" i="1"/>
  <c r="AV21" i="1"/>
  <c r="AW21" i="1"/>
  <c r="AU9" i="1"/>
  <c r="AV292" i="1"/>
  <c r="AV268" i="1"/>
  <c r="AV260" i="1"/>
  <c r="AV251" i="1"/>
  <c r="AU233" i="1"/>
  <c r="AW231" i="1"/>
  <c r="AW226" i="1"/>
  <c r="AW221" i="1"/>
  <c r="AW216" i="1"/>
  <c r="AW211" i="1"/>
  <c r="AW206" i="1"/>
  <c r="AW201" i="1"/>
  <c r="AW196" i="1"/>
  <c r="AW191" i="1"/>
  <c r="AW186" i="1"/>
  <c r="AW181" i="1"/>
  <c r="AW176" i="1"/>
  <c r="AW171" i="1"/>
  <c r="AW166" i="1"/>
  <c r="AW258" i="1"/>
  <c r="AW253" i="1"/>
  <c r="AW248" i="1"/>
  <c r="AW243" i="1"/>
  <c r="AW238" i="1"/>
  <c r="AW233" i="1"/>
  <c r="AW228" i="1"/>
  <c r="AW223" i="1"/>
  <c r="AW218" i="1"/>
  <c r="AW213" i="1"/>
  <c r="AW208" i="1"/>
  <c r="AW203" i="1"/>
  <c r="AW198" i="1"/>
  <c r="AW193" i="1"/>
  <c r="AW188" i="1"/>
  <c r="AW183" i="1"/>
  <c r="AW178" i="1"/>
  <c r="AW173" i="1"/>
  <c r="AW168"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3" i="1"/>
  <c r="AW8" i="1"/>
  <c r="AV158" i="1"/>
  <c r="AV153" i="1"/>
  <c r="AV148" i="1"/>
  <c r="AV143" i="1"/>
  <c r="AV138" i="1"/>
  <c r="AV133" i="1"/>
  <c r="AV128" i="1"/>
  <c r="AV123" i="1"/>
  <c r="AV118" i="1"/>
  <c r="AV113" i="1"/>
  <c r="AV108" i="1"/>
  <c r="AV103" i="1"/>
  <c r="AV98" i="1"/>
  <c r="AV93" i="1"/>
  <c r="AV88" i="1"/>
  <c r="AV83" i="1"/>
  <c r="AV78" i="1"/>
  <c r="AV73" i="1"/>
  <c r="AV68" i="1"/>
  <c r="AV63" i="1"/>
  <c r="AV58" i="1"/>
  <c r="AV53" i="1"/>
  <c r="AV48" i="1"/>
  <c r="AV43" i="1"/>
  <c r="AV38" i="1"/>
  <c r="AV33" i="1"/>
  <c r="AV28" i="1"/>
  <c r="AV23" i="1"/>
  <c r="AV8" i="1"/>
  <c r="AW235" i="1"/>
  <c r="AW230" i="1"/>
  <c r="AW225" i="1"/>
  <c r="AW220" i="1"/>
  <c r="AW215" i="1"/>
  <c r="AW210" i="1"/>
  <c r="AW205" i="1"/>
  <c r="AW200" i="1"/>
  <c r="AW195" i="1"/>
  <c r="AW190" i="1"/>
  <c r="AW185" i="1"/>
  <c r="AW180"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V235" i="1"/>
  <c r="AV230" i="1"/>
  <c r="AV225" i="1"/>
  <c r="AV220" i="1"/>
  <c r="AV215" i="1"/>
  <c r="AV210" i="1"/>
  <c r="AV205" i="1"/>
  <c r="AV200" i="1"/>
  <c r="AV195" i="1"/>
  <c r="AV190" i="1"/>
  <c r="AV185" i="1"/>
  <c r="AV180" i="1"/>
  <c r="AV175" i="1"/>
  <c r="AV170" i="1"/>
  <c r="AV165" i="1"/>
  <c r="AV160" i="1"/>
  <c r="AV155" i="1"/>
  <c r="AV150" i="1"/>
  <c r="AV145" i="1"/>
  <c r="AV140" i="1"/>
  <c r="AV135" i="1"/>
  <c r="AV130" i="1"/>
  <c r="AV125" i="1"/>
  <c r="AV120" i="1"/>
  <c r="AV115" i="1"/>
  <c r="AV110" i="1"/>
  <c r="AV105" i="1"/>
  <c r="AV100" i="1"/>
  <c r="AV95" i="1"/>
  <c r="AV90" i="1"/>
  <c r="AV85" i="1"/>
  <c r="AV80" i="1"/>
  <c r="AV75" i="1"/>
  <c r="AV70" i="1"/>
  <c r="AV65" i="1"/>
  <c r="AV60" i="1"/>
  <c r="AV55" i="1"/>
  <c r="AV50" i="1"/>
  <c r="AV45" i="1"/>
  <c r="AV40" i="1"/>
  <c r="AV35" i="1"/>
  <c r="AV30" i="1"/>
  <c r="AV25" i="1"/>
  <c r="AV20" i="1"/>
  <c r="AV15" i="1"/>
  <c r="AV10" i="1"/>
  <c r="AW277" i="1"/>
  <c r="AW272" i="1"/>
  <c r="AW267" i="1"/>
  <c r="AW262" i="1"/>
  <c r="AW257" i="1"/>
  <c r="AW252" i="1"/>
  <c r="AW247" i="1"/>
  <c r="AW242" i="1"/>
  <c r="AW237" i="1"/>
  <c r="AW232" i="1"/>
  <c r="AW227" i="1"/>
  <c r="AW222" i="1"/>
  <c r="AW217" i="1"/>
  <c r="AW212" i="1"/>
  <c r="AW207" i="1"/>
  <c r="AW202" i="1"/>
  <c r="AW197" i="1"/>
  <c r="AW192" i="1"/>
  <c r="AW187" i="1"/>
  <c r="AW182" i="1"/>
  <c r="AW177"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W7" i="1"/>
  <c r="AV12" i="1"/>
  <c r="AV7" i="1"/>
  <c r="AW209" i="1"/>
  <c r="AW204" i="1"/>
  <c r="AW199" i="1"/>
  <c r="AW194" i="1"/>
  <c r="AW189" i="1"/>
  <c r="AW184" i="1"/>
  <c r="AW179" i="1"/>
  <c r="AW174" i="1"/>
  <c r="AW169" i="1"/>
  <c r="AW164"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209" i="1"/>
  <c r="AV204" i="1"/>
  <c r="AV199" i="1"/>
  <c r="AV194" i="1"/>
  <c r="AV189" i="1"/>
  <c r="AV184" i="1"/>
  <c r="AV179" i="1"/>
  <c r="AV174" i="1"/>
  <c r="AV169" i="1"/>
  <c r="AV164" i="1"/>
  <c r="AV159"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<sst xmlns="http://schemas.openxmlformats.org/spreadsheetml/2006/main" count="14288" uniqueCount="9006">
  <si>
    <t>n</t>
  </si>
  <si>
    <t>undefined</t>
  </si>
  <si>
    <t>Journal</t>
  </si>
  <si>
    <t>United States</t>
  </si>
  <si>
    <t>Ann Arbor</t>
  </si>
  <si>
    <t>Article</t>
  </si>
  <si>
    <t>ar</t>
  </si>
  <si>
    <t>Japan</t>
  </si>
  <si>
    <t>Tsukuba</t>
  </si>
  <si>
    <t>Electrotechnical Laboratory</t>
  </si>
  <si>
    <t>60003892;60003892;60003892</t>
  </si>
  <si>
    <t>Tempe</t>
  </si>
  <si>
    <t>Arizona State University</t>
  </si>
  <si>
    <t>Italy</t>
  </si>
  <si>
    <t>1070664X</t>
  </si>
  <si>
    <t>Physics of Plasmas</t>
  </si>
  <si>
    <t>Madison</t>
  </si>
  <si>
    <t>University of Wisconsin-Madison</t>
  </si>
  <si>
    <t>Japan;Japan</t>
  </si>
  <si>
    <t>United States;United States;United States</t>
  </si>
  <si>
    <t>60027550;60027550;60027550</t>
  </si>
  <si>
    <t>Los Angeles</t>
  </si>
  <si>
    <t>University of California, Los Angeles</t>
  </si>
  <si>
    <t>Spain</t>
  </si>
  <si>
    <t>Zaragoza</t>
  </si>
  <si>
    <t>CSIC - Estacion Experimental de Aula Dei EEAD</t>
  </si>
  <si>
    <t>United States;Germany</t>
  </si>
  <si>
    <t>United States;United States;United States;United States</t>
  </si>
  <si>
    <t>International Journal of Electronics</t>
  </si>
  <si>
    <t>Turkey</t>
  </si>
  <si>
    <t>United States;United States</t>
  </si>
  <si>
    <t>Kim S.</t>
  </si>
  <si>
    <t>Tokyo</t>
  </si>
  <si>
    <t>Nippon Telegraph and Telephone Corporation</t>
  </si>
  <si>
    <t>Netherlands</t>
  </si>
  <si>
    <t>Amsterdam</t>
  </si>
  <si>
    <t>Ion flux | Planar waveguide | Plasma density | Plasma process | Radial line slot antenna</t>
  </si>
  <si>
    <t>Japanese Journal of Applied Physics, Part 1: Regular Papers and Short Notes and Review Papers</t>
  </si>
  <si>
    <t>56380745400;8359347400;35495699200;7201747933;7202476162;36045550500</t>
  </si>
  <si>
    <t>Yamamoto, Tetsuya;Chien, Nguyen Thang;Ando, Makoto;Goto, Naohisa;Hirayama, Masaki;Ohmi, Tadahiro</t>
  </si>
  <si>
    <t>Japan;Japan;Japan</t>
  </si>
  <si>
    <t>Tokyo;Sendai;Tokyo</t>
  </si>
  <si>
    <t>Yamamoto T.</t>
  </si>
  <si>
    <t>Bucci O.</t>
  </si>
  <si>
    <t>Conway G.</t>
  </si>
  <si>
    <t>South Korea</t>
  </si>
  <si>
    <t>Journal of Geophysical Research: Space Physics</t>
  </si>
  <si>
    <t>France</t>
  </si>
  <si>
    <t>Paris</t>
  </si>
  <si>
    <t>South Africa</t>
  </si>
  <si>
    <t>60025555;60025555</t>
  </si>
  <si>
    <t>Comisi√≥n Interministerial de Ciencia y Tecnolog√≠a</t>
  </si>
  <si>
    <t>CICYT</t>
  </si>
  <si>
    <t>IEEE Antennas and Propagation Magazine</t>
  </si>
  <si>
    <t>Murray</t>
  </si>
  <si>
    <t>Nokia Bell Labs</t>
  </si>
  <si>
    <t>1 II</t>
  </si>
  <si>
    <t>Japan;Japan;Japan;Japan</t>
  </si>
  <si>
    <t>United Kingdom</t>
  </si>
  <si>
    <t>Bristol</t>
  </si>
  <si>
    <t>University of Bristol</t>
  </si>
  <si>
    <t>Electronics and Communications in Japan, Part I: Communications (English translation of Denshi Tsushin Gakkai Ronbunshi)</t>
  </si>
  <si>
    <t>Tokyo;Tokyo</t>
  </si>
  <si>
    <t>60025272;60025272</t>
  </si>
  <si>
    <t>The University of Tokyo</t>
  </si>
  <si>
    <t>Germany</t>
  </si>
  <si>
    <t>Radio Science</t>
  </si>
  <si>
    <t>Australia</t>
  </si>
  <si>
    <t>Canberra</t>
  </si>
  <si>
    <t>Gif-sur-Yvette</t>
  </si>
  <si>
    <t>60005681;60005681</t>
  </si>
  <si>
    <t>Israel</t>
  </si>
  <si>
    <t>Tel Aviv-Yafo</t>
  </si>
  <si>
    <t>Tel Aviv University</t>
  </si>
  <si>
    <t>Switzerland</t>
  </si>
  <si>
    <t>Netherlands;Russian Federation</t>
  </si>
  <si>
    <t>Canada;Canada</t>
  </si>
  <si>
    <t>Ray J.</t>
  </si>
  <si>
    <t>China</t>
  </si>
  <si>
    <t>Beijing</t>
  </si>
  <si>
    <t>Tsinghua University</t>
  </si>
  <si>
    <t>Brazil;Brazil</t>
  </si>
  <si>
    <t>Poland</t>
  </si>
  <si>
    <t>National Science Council</t>
  </si>
  <si>
    <t>NSC</t>
  </si>
  <si>
    <t>;</t>
  </si>
  <si>
    <t>Lee C.</t>
  </si>
  <si>
    <t>AEU-Archiv fur Elektronik und Ubertragungstechnik</t>
  </si>
  <si>
    <t>Ankara</t>
  </si>
  <si>
    <t>IEEE Transactions on Vehicular Technology</t>
  </si>
  <si>
    <t>Schaumburg</t>
  </si>
  <si>
    <t>Motorola</t>
  </si>
  <si>
    <t>San Antonio</t>
  </si>
  <si>
    <t>AT&amp;T Inc.</t>
  </si>
  <si>
    <t>Gaithersburg</t>
  </si>
  <si>
    <t>Deutsche Forschungsgemeinschaft</t>
  </si>
  <si>
    <t>DFG</t>
  </si>
  <si>
    <t>Wireless Personal Communications</t>
  </si>
  <si>
    <t>Denmark</t>
  </si>
  <si>
    <t>Aalborg</t>
  </si>
  <si>
    <t>Aalborg University</t>
  </si>
  <si>
    <t>Japanese Journal of Applied Physics, Part 2: Letters</t>
  </si>
  <si>
    <t>Koganei</t>
  </si>
  <si>
    <t>Ministry of Posts and Telecommunications, Japan</t>
  </si>
  <si>
    <t>Kyoto</t>
  </si>
  <si>
    <t>Yokosuka</t>
  </si>
  <si>
    <t>National Defense Academy of Japan</t>
  </si>
  <si>
    <t>Pasadena</t>
  </si>
  <si>
    <t>60027550;60027550</t>
  </si>
  <si>
    <t>Boulder</t>
  </si>
  <si>
    <t>Dayton</t>
  </si>
  <si>
    <t>Palo Alto</t>
  </si>
  <si>
    <t>;;;</t>
  </si>
  <si>
    <t>Stanford University</t>
  </si>
  <si>
    <t>India</t>
  </si>
  <si>
    <t>Bengaluru</t>
  </si>
  <si>
    <t>Air Force Research Laboratory</t>
  </si>
  <si>
    <t>Santiago de Compostela</t>
  </si>
  <si>
    <t>Universidad de Santiago de Compostela</t>
  </si>
  <si>
    <t>Seoul National University</t>
  </si>
  <si>
    <t>South Korea;South Korea</t>
  </si>
  <si>
    <t>Natural Sciences and Engineering Research Council of Canada</t>
  </si>
  <si>
    <t>NSERC</t>
  </si>
  <si>
    <t>0018926X</t>
  </si>
  <si>
    <t>IEEE Transactions on Antennas and Propagation</t>
  </si>
  <si>
    <t>Canada</t>
  </si>
  <si>
    <t>Ah M.</t>
  </si>
  <si>
    <t>Russian Federation</t>
  </si>
  <si>
    <t>60014153;60014153</t>
  </si>
  <si>
    <t>Mumbai</t>
  </si>
  <si>
    <t>Indian Institute of Technology Bombay</t>
  </si>
  <si>
    <t>Chiba</t>
  </si>
  <si>
    <t>Chiba University</t>
  </si>
  <si>
    <t>Taiwan</t>
  </si>
  <si>
    <t>Taipei</t>
  </si>
  <si>
    <t>National Taiwan University</t>
  </si>
  <si>
    <t>IEEE Transactions on Plasma Science</t>
  </si>
  <si>
    <t>Cambridge</t>
  </si>
  <si>
    <t>France;United States</t>
  </si>
  <si>
    <t>Proceedings of the IEEE</t>
  </si>
  <si>
    <t>97-100</t>
  </si>
  <si>
    <t>University Park</t>
  </si>
  <si>
    <t>Pennsylvania State University</t>
  </si>
  <si>
    <t>Werner D.</t>
  </si>
  <si>
    <t>Berlin</t>
  </si>
  <si>
    <t>IEE Proceedings: Microwaves, Antennas and Propagation</t>
  </si>
  <si>
    <t>Brisbane</t>
  </si>
  <si>
    <t>The University of Queensland</t>
  </si>
  <si>
    <t>Sydney</t>
  </si>
  <si>
    <t>Greece</t>
  </si>
  <si>
    <t>Athens</t>
  </si>
  <si>
    <t>National Technical University of Athens</t>
  </si>
  <si>
    <t>37-44</t>
  </si>
  <si>
    <t>Journal of Spacecraft Technology</t>
  </si>
  <si>
    <t>Indian Space Research Organization</t>
  </si>
  <si>
    <t>60025778;60025778</t>
  </si>
  <si>
    <t>University of Michigan, Ann Arbor</t>
  </si>
  <si>
    <t>60030526;60030526</t>
  </si>
  <si>
    <t>Hosei University</t>
  </si>
  <si>
    <t>Office of Naval Research</t>
  </si>
  <si>
    <t>ONR</t>
  </si>
  <si>
    <t>13-15</t>
  </si>
  <si>
    <t>Microwave and Optical Technology Letters</t>
  </si>
  <si>
    <t>Pretoria</t>
  </si>
  <si>
    <t>University of Pretoria</t>
  </si>
  <si>
    <t>IEEE Transactions on Electromagnetic Compatibility</t>
  </si>
  <si>
    <t>International Journal of RF and Microwave Computer-Aided Engineering</t>
  </si>
  <si>
    <t>IEEE Transactions on Communications</t>
  </si>
  <si>
    <t>ARC</t>
  </si>
  <si>
    <t>Australia;United States</t>
  </si>
  <si>
    <t>National Aeronautics and Space Administration</t>
  </si>
  <si>
    <t>NASA</t>
  </si>
  <si>
    <t>International Journal of Infrared and Millimeter Waves</t>
  </si>
  <si>
    <t>Nakano H.</t>
  </si>
  <si>
    <t>IEEE Transactions on Microwave Theory and Techniques</t>
  </si>
  <si>
    <t>Agrawal A.</t>
  </si>
  <si>
    <t>Choi, Jinho</t>
  </si>
  <si>
    <t>Choi J.</t>
  </si>
  <si>
    <t>Annales des Telecommunications/Annals of Telecommunications</t>
  </si>
  <si>
    <t>Rennes</t>
  </si>
  <si>
    <t>India;India</t>
  </si>
  <si>
    <t>60008673;60008673;60008673</t>
  </si>
  <si>
    <t>Nizhny Novgorod</t>
  </si>
  <si>
    <t>Lobachevsky State University of Nizhni Novgorod</t>
  </si>
  <si>
    <t>60025488;60025488;60025488</t>
  </si>
  <si>
    <t>Salt Lake City</t>
  </si>
  <si>
    <t>The University of Utah</t>
  </si>
  <si>
    <t>Lazzi G.</t>
  </si>
  <si>
    <t>Belgium</t>
  </si>
  <si>
    <t>1053587X</t>
  </si>
  <si>
    <t>IEEE Transactions on Signal Processing</t>
  </si>
  <si>
    <t>Dallas</t>
  </si>
  <si>
    <t>Southern Methodist University</t>
  </si>
  <si>
    <t>Waltham</t>
  </si>
  <si>
    <t>Raytheon</t>
  </si>
  <si>
    <t>Army Research Office</t>
  </si>
  <si>
    <t>ARO</t>
  </si>
  <si>
    <t>Tucson</t>
  </si>
  <si>
    <t>The University of Arizona</t>
  </si>
  <si>
    <t>60012370;60012370</t>
  </si>
  <si>
    <t>Hsinchu</t>
  </si>
  <si>
    <t>National Chiao Tung University</t>
  </si>
  <si>
    <t>Wang C.</t>
  </si>
  <si>
    <t>Germany;Germany</t>
  </si>
  <si>
    <t>National Science Foundation</t>
  </si>
  <si>
    <t>NSF</t>
  </si>
  <si>
    <t>Silver Spring</t>
  </si>
  <si>
    <t>Cleveland</t>
  </si>
  <si>
    <t>60000745;60000745</t>
  </si>
  <si>
    <t>7005816353;7403588231</t>
  </si>
  <si>
    <t>Jiao, Dan;Jin, Jian Ming</t>
  </si>
  <si>
    <t>Urbana</t>
  </si>
  <si>
    <t>University of Illinois Urbana-Champaign</t>
  </si>
  <si>
    <t>Jiao D.</t>
  </si>
  <si>
    <t>60008673;60008673</t>
  </si>
  <si>
    <t>6603246966;55354871700</t>
  </si>
  <si>
    <t>60011357;60011357</t>
  </si>
  <si>
    <t>Kaohsiung</t>
  </si>
  <si>
    <t>National Sun Yat-Sen University</t>
  </si>
  <si>
    <t>Washington, D.C.</t>
  </si>
  <si>
    <t>Naval Research Laboratory</t>
  </si>
  <si>
    <t>Netherlands;India</t>
  </si>
  <si>
    <t>60110693;60110693</t>
  </si>
  <si>
    <t>Nice</t>
  </si>
  <si>
    <t>Universit√© C√¥te d'Azur</t>
  </si>
  <si>
    <t>114-117</t>
  </si>
  <si>
    <t>1 PART 1</t>
  </si>
  <si>
    <t>Electronics Letters</t>
  </si>
  <si>
    <t>6603148382;7102762205</t>
  </si>
  <si>
    <t>Tefiku F.</t>
  </si>
  <si>
    <t>Japan;United States</t>
  </si>
  <si>
    <t>IEEE Transactions on Information Theory</t>
  </si>
  <si>
    <t>Robert Jensen, J.</t>
  </si>
  <si>
    <t>Baltimore</t>
  </si>
  <si>
    <t>Johns Hopkins University</t>
  </si>
  <si>
    <t>Robert Jensen J.</t>
  </si>
  <si>
    <t>Microwave Journal</t>
  </si>
  <si>
    <t xml:space="preserve">Anon, </t>
  </si>
  <si>
    <t>Anon</t>
  </si>
  <si>
    <t>IEEE Journal on Selected Areas in Communications</t>
  </si>
  <si>
    <t>Air Force Office of Scientific Research</t>
  </si>
  <si>
    <t>AFOSR</t>
  </si>
  <si>
    <t>60028419;60028419;60028419</t>
  </si>
  <si>
    <t>Hansen R.</t>
  </si>
  <si>
    <t>60110755;60110755</t>
  </si>
  <si>
    <t>Sophia Antipolis</t>
  </si>
  <si>
    <t>Laboratoire D'√©lectronique, Antennes et T√©l√©communications</t>
  </si>
  <si>
    <t>Canadian Journal of Electrical and Computer Engineering</t>
  </si>
  <si>
    <t>60009697;60009697</t>
  </si>
  <si>
    <t>Winnipeg</t>
  </si>
  <si>
    <t>University of Manitoba</t>
  </si>
  <si>
    <t>Engineering and Physical Sciences Research Council</t>
  </si>
  <si>
    <t>EPSRC</t>
  </si>
  <si>
    <t>993-1000</t>
  </si>
  <si>
    <t>Takechi S.</t>
  </si>
  <si>
    <t>Florence</t>
  </si>
  <si>
    <t>Universit√† degli Studi di Firenze</t>
  </si>
  <si>
    <t>Chicago</t>
  </si>
  <si>
    <t>University of Illinois at Chicago</t>
  </si>
  <si>
    <t>Seoul</t>
  </si>
  <si>
    <t>Hanyang University</t>
  </si>
  <si>
    <t>France;France</t>
  </si>
  <si>
    <t>3077-3080</t>
  </si>
  <si>
    <t>IEEE Transactions on Applied Superconductivity</t>
  </si>
  <si>
    <t>60016074;60016074;60016074</t>
  </si>
  <si>
    <t>Yamagata</t>
  </si>
  <si>
    <t>Yamagata University</t>
  </si>
  <si>
    <t>Ali M.</t>
  </si>
  <si>
    <t>Superconducting patch array antenna on both-side YBCO thin film for satellite communication</t>
  </si>
  <si>
    <t>10.1109/77.783679</t>
  </si>
  <si>
    <t>Varanasi</t>
  </si>
  <si>
    <t>60009037;60009037;60009037</t>
  </si>
  <si>
    <t>7004263090;6701483584;7103208478</t>
  </si>
  <si>
    <t>Pogorzelski, Ronald J.;Maccarini, Paolo F.;York, Robert A.</t>
  </si>
  <si>
    <t>Jet Propulsion Laboratory</t>
  </si>
  <si>
    <t>Pogorzelski R.</t>
  </si>
  <si>
    <t>IEEE Spectrum</t>
  </si>
  <si>
    <t>Pittsburgh</t>
  </si>
  <si>
    <t>Carnegie Mellon University</t>
  </si>
  <si>
    <t>Edinburgh</t>
  </si>
  <si>
    <t>60014264;60014264;60014264</t>
  </si>
  <si>
    <t>Duisburg</t>
  </si>
  <si>
    <t>Universit√§t Duisburg-Essen</t>
  </si>
  <si>
    <t>IEEE Aerospace and Electronic Systems Magazine</t>
  </si>
  <si>
    <t>Birmingham</t>
  </si>
  <si>
    <t>University of Birmingham</t>
  </si>
  <si>
    <t>Stuttgart</t>
  </si>
  <si>
    <t>Thin Solid Films</t>
  </si>
  <si>
    <t>Morikawa O.</t>
  </si>
  <si>
    <t>Sweden</t>
  </si>
  <si>
    <t>Gothenburg</t>
  </si>
  <si>
    <t>Chalmers University of Technology</t>
  </si>
  <si>
    <t>Turin</t>
  </si>
  <si>
    <t>Politecnico di Torino</t>
  </si>
  <si>
    <t>Vecchi G.</t>
  </si>
  <si>
    <t>Defense Advanced Research Projects Agency</t>
  </si>
  <si>
    <t>F19628-95-C-0002</t>
  </si>
  <si>
    <t>DARPA</t>
  </si>
  <si>
    <t>Massachusetts Institute of Technology</t>
  </si>
  <si>
    <t>Melbourne</t>
  </si>
  <si>
    <t>RMIT University</t>
  </si>
  <si>
    <t>Daejeon</t>
  </si>
  <si>
    <t>Korea Advanced Institute of Science and Technology</t>
  </si>
  <si>
    <t>7006035284;35570164700</t>
  </si>
  <si>
    <t>Karmakar, Nemai C.;Bialkowski, Marek E.</t>
  </si>
  <si>
    <t>Singapore</t>
  </si>
  <si>
    <t>Singapore City</t>
  </si>
  <si>
    <t>Karmakar N.</t>
  </si>
  <si>
    <t>Orlando</t>
  </si>
  <si>
    <t>University of Central Florida</t>
  </si>
  <si>
    <t>Taiwan;Taiwan</t>
  </si>
  <si>
    <t>Busan</t>
  </si>
  <si>
    <t>6603088639;6701836992</t>
  </si>
  <si>
    <t>Turki, Y.;Staraj, R.</t>
  </si>
  <si>
    <t>Turki Y.</t>
  </si>
  <si>
    <t>Zhang Y.</t>
  </si>
  <si>
    <t>60031293;60031293</t>
  </si>
  <si>
    <t>7003753877;7005871907</t>
  </si>
  <si>
    <t>Desclos, Laurent;Madihian, Mohammad</t>
  </si>
  <si>
    <t>NEC Corporation</t>
  </si>
  <si>
    <t>Desclos L.</t>
  </si>
  <si>
    <t>60013983;60013983;60013983</t>
  </si>
  <si>
    <t>Hong Kong</t>
  </si>
  <si>
    <t>Kowloon</t>
  </si>
  <si>
    <t>City University of Hong Kong</t>
  </si>
  <si>
    <t>Lan K.</t>
  </si>
  <si>
    <t>European Commission</t>
  </si>
  <si>
    <t>60021032;60021032</t>
  </si>
  <si>
    <t>Atlanta</t>
  </si>
  <si>
    <t>Georgia Institute of Technology</t>
  </si>
  <si>
    <t>Proceedings of the National Science Council, Republic of China, Part A: Physical Science and Engineering</t>
  </si>
  <si>
    <t>Hong, Cheng Shong</t>
  </si>
  <si>
    <t>Changhua</t>
  </si>
  <si>
    <t>Chien-Kuo Junior Coll of Technology</t>
  </si>
  <si>
    <t>Hong C.</t>
  </si>
  <si>
    <t>United Kingdom;United Kingdom</t>
  </si>
  <si>
    <t>Bradford</t>
  </si>
  <si>
    <t>University of Bradford</t>
  </si>
  <si>
    <t>Abd-Alhameed R.</t>
  </si>
  <si>
    <t>60017161;60017161;60017161;60017161</t>
  </si>
  <si>
    <t>National University of Singapore</t>
  </si>
  <si>
    <t>60022134;60022134;60022134</t>
  </si>
  <si>
    <t>Ottawa</t>
  </si>
  <si>
    <t>IEEE Journal of Quantum Electronics</t>
  </si>
  <si>
    <t>West Lafayette</t>
  </si>
  <si>
    <t>Park S.</t>
  </si>
  <si>
    <t>Italy;United States</t>
  </si>
  <si>
    <t>60030553;60030553;60030553</t>
  </si>
  <si>
    <t>6603211799;7003723658;7202044329</t>
  </si>
  <si>
    <t>Lafond, O.;Himdi, M.;Daniel, J. P.</t>
  </si>
  <si>
    <t>Universite de Rennes 1</t>
  </si>
  <si>
    <t>Lafond O.</t>
  </si>
  <si>
    <t>New Zealand</t>
  </si>
  <si>
    <t>Lower Hutt</t>
  </si>
  <si>
    <t>Tsoulos, G. V.</t>
  </si>
  <si>
    <t>60017161;60017161;60017161;60017161;60017161</t>
  </si>
  <si>
    <t>Li L.W.</t>
  </si>
  <si>
    <t>Industrial Research Limited of New Zealand</t>
  </si>
  <si>
    <t>Vaughan R.</t>
  </si>
  <si>
    <t>Syracuse</t>
  </si>
  <si>
    <t>N00014-89-J-1007</t>
  </si>
  <si>
    <t>Columbus</t>
  </si>
  <si>
    <t>The Ohio State University</t>
  </si>
  <si>
    <t>Taiwan;Taiwan;Taiwan</t>
  </si>
  <si>
    <t>Wang X.</t>
  </si>
  <si>
    <t>CCR-9803850</t>
  </si>
  <si>
    <t>Auburn</t>
  </si>
  <si>
    <t>Auburn University</t>
  </si>
  <si>
    <t>60032144;60032144</t>
  </si>
  <si>
    <t>60013983;60013983;60006173</t>
  </si>
  <si>
    <t>7102876278;55510527400;7501501369</t>
  </si>
  <si>
    <t>Mak, C. L.;Luk, K. M.;Lee, K. F.</t>
  </si>
  <si>
    <t>Hong Kong;United States</t>
  </si>
  <si>
    <t>Kowloon;Columbia</t>
  </si>
  <si>
    <t>City University of Hong Kong;University of Missouri</t>
  </si>
  <si>
    <t>60013983;60006173</t>
  </si>
  <si>
    <t>157-160</t>
  </si>
  <si>
    <t>Beer Sheba</t>
  </si>
  <si>
    <t>Ben-Gurion University of the Negev</t>
  </si>
  <si>
    <t>Delft</t>
  </si>
  <si>
    <t>Delft University of Technology</t>
  </si>
  <si>
    <t>Middle East Technical University (METU)</t>
  </si>
  <si>
    <t>International Journal of Satellite Communications</t>
  </si>
  <si>
    <t>Spain;United States</t>
  </si>
  <si>
    <t>Government of Canada</t>
  </si>
  <si>
    <t>Puteaux</t>
  </si>
  <si>
    <t>Thales Group</t>
  </si>
  <si>
    <t>MIP-9408154</t>
  </si>
  <si>
    <t>Fouresti√© B.</t>
  </si>
  <si>
    <t>Tomasic B.</t>
  </si>
  <si>
    <t>Chofu</t>
  </si>
  <si>
    <t>The University of Electro-Communications</t>
  </si>
  <si>
    <t>Varennes</t>
  </si>
  <si>
    <t>Neto A.</t>
  </si>
  <si>
    <t>DAAH04-96-1-0005</t>
  </si>
  <si>
    <t>Los Angeles;Malibu</t>
  </si>
  <si>
    <t>University of California, Los Angeles;HRL Laboratories</t>
  </si>
  <si>
    <t>60027550;60021939</t>
  </si>
  <si>
    <t>Deal W.</t>
  </si>
  <si>
    <t>7 PART 1</t>
  </si>
  <si>
    <t>Nanjing</t>
  </si>
  <si>
    <t>Nanjing University of Science and Technology</t>
  </si>
  <si>
    <t>Photosynthesis Research</t>
  </si>
  <si>
    <t>IEEE Transactions on Aerospace and Electronic Systems</t>
  </si>
  <si>
    <t>Journal of the Geodetic Society of Japan</t>
  </si>
  <si>
    <t>159-164</t>
  </si>
  <si>
    <t>Australian Museum</t>
  </si>
  <si>
    <t>New Zealand;New Zealand</t>
  </si>
  <si>
    <t>Amherst MA</t>
  </si>
  <si>
    <t>University of Massachusetts Amherst</t>
  </si>
  <si>
    <t>Uppsala</t>
  </si>
  <si>
    <t>Sveriges lantbruksuniversitet</t>
  </si>
  <si>
    <t>Canada;United States</t>
  </si>
  <si>
    <t>Applied Microwave and Wireless</t>
  </si>
  <si>
    <t>['station antenna', 'sight cases', 'propagation loss', 'mhz band', 'excess loss', 'base station', '320 khz', '11 buildings']</t>
  </si>
  <si>
    <t>35586565700;6602131146;7005540034</t>
  </si>
  <si>
    <t>Ichitsubo S.</t>
  </si>
  <si>
    <t>Correlation bandwidth characteristics for paths between base station and building roofs</t>
  </si>
  <si>
    <t>60025555;60025555;60025555</t>
  </si>
  <si>
    <t>7102629706;7004509352;7103260019</t>
  </si>
  <si>
    <t>Taga, Tokio;Furuno, Tatsuo;Suwa, Keisuke</t>
  </si>
  <si>
    <t>Taga T.</t>
  </si>
  <si>
    <t>Channel modeling for 2-GHz-band urban line-of-sight street microcells</t>
  </si>
  <si>
    <t>Grantov√° Agentura ƒåesk√© Republiky</t>
  </si>
  <si>
    <t>GA ƒåR</t>
  </si>
  <si>
    <t>Czech Republic</t>
  </si>
  <si>
    <t>Prague</t>
  </si>
  <si>
    <t>Natural Environment Research Council</t>
  </si>
  <si>
    <t>NERC</t>
  </si>
  <si>
    <t>Journal of Insect Physiology</t>
  </si>
  <si>
    <t>AIR3-CT94-1973</t>
  </si>
  <si>
    <t>Russian Foundation for Basic Research</t>
  </si>
  <si>
    <t>–†–§–§–ò</t>
  </si>
  <si>
    <t>60007457;60008734;60008734</t>
  </si>
  <si>
    <t>7004238663;6602135863;35599806700</t>
  </si>
  <si>
    <t>Novoderezhkin, Vladimir;Monshouwer, Ren√©;Van Grondelle, Rienk</t>
  </si>
  <si>
    <t>Amsterdam;Moscow</t>
  </si>
  <si>
    <t>Vrije Universiteit Amsterdam;Lomonosov Moscow State University</t>
  </si>
  <si>
    <t>60008734;60007457</t>
  </si>
  <si>
    <t>Novoderezhkin V.</t>
  </si>
  <si>
    <t>Biotechnology and Biological Sciences Research Council</t>
  </si>
  <si>
    <t>BBSRC</t>
  </si>
  <si>
    <t>['vehicle speed', 'station antennas', 'specified value', 'smaller cells', 'selection diversity', 'second path', 'results showing', 'receiver structures', 'receiver ),', 'power received', 'overly stringent', 'noise ratio', 'multipath fading', 'mountainous environments', 'mobile positions', 'joint distribution', 'h ).', 'first path', 'extensive set', 'equalization requirement', 'diversity handsets', 'directional base', 'differential detection', 'coherent detection', 'cell area', 'average signal', '200 km', '136 handsets']</t>
  </si>
  <si>
    <t>6603784345;7404528567;7003706051;7004878411;6601972735</t>
  </si>
  <si>
    <t>Bahai, Ahmad;Clark, Martin V.;Erceg, Vinko;Greenstein, Larry J.;Kasturia, Sanjay</t>
  </si>
  <si>
    <t>Bahai A.</t>
  </si>
  <si>
    <t>Link reliability for IS-54/136 handsets with different receiver structures</t>
  </si>
  <si>
    <t>ECE 94-57735</t>
  </si>
  <si>
    <t>Stockholm</t>
  </si>
  <si>
    <t>Auckland;Auckland</t>
  </si>
  <si>
    <t>London</t>
  </si>
  <si>
    <t>Imperial College London</t>
  </si>
  <si>
    <t>United States;United Kingdom;United States</t>
  </si>
  <si>
    <t>39-50</t>
  </si>
  <si>
    <t>Auckland</t>
  </si>
  <si>
    <t>60026134;60026134;60026134</t>
  </si>
  <si>
    <t>Vigo</t>
  </si>
  <si>
    <t>Universidade de Vigo</t>
  </si>
  <si>
    <t>Zurich</t>
  </si>
  <si>
    <t>Nishimura T.</t>
  </si>
  <si>
    <t>Planta</t>
  </si>
  <si>
    <t>Italy;Italy</t>
  </si>
  <si>
    <t>United Kingdom;United Kingdom;United Kingdom;United Kingdom</t>
  </si>
  <si>
    <t>National Natural Science Foundation of China</t>
  </si>
  <si>
    <t>NSFC</t>
  </si>
  <si>
    <t>Monbusho</t>
  </si>
  <si>
    <t>Journal of Neuroscience</t>
  </si>
  <si>
    <t>EC</t>
  </si>
  <si>
    <t>Natl. Inst. Sericultural E.</t>
  </si>
  <si>
    <t>292-294</t>
  </si>
  <si>
    <t>60011754;60011754</t>
  </si>
  <si>
    <t>Moscow</t>
  </si>
  <si>
    <t>Lomonosov Moscow State University</t>
  </si>
  <si>
    <t>65-70</t>
  </si>
  <si>
    <t>Spain;Germany</t>
  </si>
  <si>
    <t>Russian Federation;Russian Federation</t>
  </si>
  <si>
    <t>Moscow;Moscow</t>
  </si>
  <si>
    <t>Fukuoka</t>
  </si>
  <si>
    <t>Kyushu University</t>
  </si>
  <si>
    <t>60013983;60013983;60013983;60013983</t>
  </si>
  <si>
    <t>Luk K.M.</t>
  </si>
  <si>
    <t>Gupta S.</t>
  </si>
  <si>
    <t>Lexington</t>
  </si>
  <si>
    <t>University of Kentucky</t>
  </si>
  <si>
    <t>Liu G.</t>
  </si>
  <si>
    <t>Finland</t>
  </si>
  <si>
    <t>Espoo</t>
  </si>
  <si>
    <t>Aalto University</t>
  </si>
  <si>
    <t>Australia;Australia</t>
  </si>
  <si>
    <t>Brisbane;</t>
  </si>
  <si>
    <t>The University of Queensland;Filtronic Components</t>
  </si>
  <si>
    <t>Robinson A.</t>
  </si>
  <si>
    <t>Sendai</t>
  </si>
  <si>
    <t>Tohoku Institute of Technology</t>
  </si>
  <si>
    <t>Netherlands;Netherlands</t>
  </si>
  <si>
    <t>Ukraine</t>
  </si>
  <si>
    <t>Kharkiv</t>
  </si>
  <si>
    <t>Landesa L.</t>
  </si>
  <si>
    <t>Canada;Canada;Canada</t>
  </si>
  <si>
    <t>New Delhi;Tezpur</t>
  </si>
  <si>
    <t>University of Delhi;Tezpur University</t>
  </si>
  <si>
    <t>60029284;60007709</t>
  </si>
  <si>
    <t>Srivastava G.</t>
  </si>
  <si>
    <t>;;</t>
  </si>
  <si>
    <t>Universit√† degli Studi di Pavia</t>
  </si>
  <si>
    <t>Kaohsiung;Hsinchu</t>
  </si>
  <si>
    <t>Fortune Institute of Technology Taiwan;National Chiao Tung University</t>
  </si>
  <si>
    <t>60072380;60012370</t>
  </si>
  <si>
    <t>60011001;60011001;60011001;60031126;60031126;60003336;60077785;60077785</t>
  </si>
  <si>
    <t>56102798000;7004163729;7202817049;35495699200;56380745400;7201747933;7402368273;7401488078</t>
  </si>
  <si>
    <t>Minato;Tokyo;Kyoto;Tokyo</t>
  </si>
  <si>
    <t>Tokyo Electron Limited;Tokyo Institute of Technology;Kyoto University;Takushoku University</t>
  </si>
  <si>
    <t>60077785;60031126;60011001;60003336</t>
  </si>
  <si>
    <t>Yasaka Y.</t>
  </si>
  <si>
    <t>Koganei;Tokyo</t>
  </si>
  <si>
    <t>60004176;60004176;60004176</t>
  </si>
  <si>
    <t>Nagoya;Takarazuka</t>
  </si>
  <si>
    <t>Nagoya University;Nissin Inc.</t>
  </si>
  <si>
    <t>60000264;100448192</t>
  </si>
  <si>
    <t>Ghanashev I.</t>
  </si>
  <si>
    <t>60019983;60019983</t>
  </si>
  <si>
    <t>36978435000;35592137500</t>
  </si>
  <si>
    <t>Saga</t>
  </si>
  <si>
    <t>Saga University</t>
  </si>
  <si>
    <t>Nasser M.</t>
  </si>
  <si>
    <t>60032987;60032987;60032987</t>
  </si>
  <si>
    <t>Griffith University</t>
  </si>
  <si>
    <t>Southeast University</t>
  </si>
  <si>
    <t>Jiang G.</t>
  </si>
  <si>
    <t>7404201926;9042159400</t>
  </si>
  <si>
    <t>Zhu, Lei;Wu, Ke</t>
  </si>
  <si>
    <t>Zhu L.</t>
  </si>
  <si>
    <t>Tohoku University</t>
  </si>
  <si>
    <t>7201563348;16634588600</t>
  </si>
  <si>
    <t>IEEE Transactions on Broadcasting</t>
  </si>
  <si>
    <t>57198926864;55510527400;7501501369</t>
  </si>
  <si>
    <t>Guo, Y. X.;Luk, K. M.;Lee, K. F.</t>
  </si>
  <si>
    <t>Guo Y.</t>
  </si>
  <si>
    <t>Xi'an</t>
  </si>
  <si>
    <t>Xidian University</t>
  </si>
  <si>
    <t>Chen J.</t>
  </si>
  <si>
    <t>National Institute of Standards and Technology</t>
  </si>
  <si>
    <t>Zhang W.</t>
  </si>
  <si>
    <t>Rome</t>
  </si>
  <si>
    <t>Boeing Corporation</t>
  </si>
  <si>
    <t>New Delhi</t>
  </si>
  <si>
    <t>France;France;France</t>
  </si>
  <si>
    <t>Sweden;Sweden</t>
  </si>
  <si>
    <t>60016418;60016418</t>
  </si>
  <si>
    <t>York</t>
  </si>
  <si>
    <t>University of York</t>
  </si>
  <si>
    <t>57198926864;55510527400;56415172000</t>
  </si>
  <si>
    <t>Guo, Y. X.;Luk, K. M.;Leung, K. W.</t>
  </si>
  <si>
    <t>60025778;60025778;60025778</t>
  </si>
  <si>
    <t>Mitsubishi Electric Corporation</t>
  </si>
  <si>
    <t>Taipei;Taipei</t>
  </si>
  <si>
    <t>60010365;60010365</t>
  </si>
  <si>
    <t>7201839350;7003354840</t>
  </si>
  <si>
    <t>Cheung, Hong D.;Jull, Edward V.</t>
  </si>
  <si>
    <t>Vancouver</t>
  </si>
  <si>
    <t>The University of British Columbia</t>
  </si>
  <si>
    <t>Cheung H.</t>
  </si>
  <si>
    <t>60028634;60010065</t>
  </si>
  <si>
    <t>55248392100;7006392487</t>
  </si>
  <si>
    <t>Auzanneau, Fabrice;Ziolkowski, Richard W.</t>
  </si>
  <si>
    <t>Le Barp;Tucson</t>
  </si>
  <si>
    <t>CEA Cesta;The University of Arizona</t>
  </si>
  <si>
    <t>Auzanneau F.</t>
  </si>
  <si>
    <t>Israel;Israel</t>
  </si>
  <si>
    <t>60013682;60013682</t>
  </si>
  <si>
    <t>Blaunstein N.</t>
  </si>
  <si>
    <t>Plasma Physics and Controlled Fusion</t>
  </si>
  <si>
    <t>Kawai Y.</t>
  </si>
  <si>
    <t>75-79</t>
  </si>
  <si>
    <t>60022195;60022195</t>
  </si>
  <si>
    <t>135-145</t>
  </si>
  <si>
    <t>60000745;60000745;60000745</t>
  </si>
  <si>
    <t>Ling F.</t>
  </si>
  <si>
    <t>60070264;60014153</t>
  </si>
  <si>
    <t>56003150900;7202418704</t>
  </si>
  <si>
    <t>Ray, K. P.;Kumar, Girish</t>
  </si>
  <si>
    <t>Chennai;Mumbai</t>
  </si>
  <si>
    <t>SAMEER-Centre for Electromagnetics India;Indian Institute of Technology Bombay</t>
  </si>
  <si>
    <t>Ray K.</t>
  </si>
  <si>
    <t>Uysal S.</t>
  </si>
  <si>
    <t>60030718;60030718;60030718</t>
  </si>
  <si>
    <t>Freie Universit√§t Berlin</t>
  </si>
  <si>
    <t>Barcelona</t>
  </si>
  <si>
    <t>Toho University</t>
  </si>
  <si>
    <t>United Kingdom;United Kingdom;United Kingdom</t>
  </si>
  <si>
    <t>Brazil</t>
  </si>
  <si>
    <t>69-73</t>
  </si>
  <si>
    <t>Spain;Spain</t>
  </si>
  <si>
    <t>Rodr√≠guez J.</t>
  </si>
  <si>
    <t>67-72</t>
  </si>
  <si>
    <t>;60002642</t>
  </si>
  <si>
    <t>Arlington</t>
  </si>
  <si>
    <t>Kaohsiung;Kaohsiung</t>
  </si>
  <si>
    <t>National Kaohsiung University of Science and Technology;National Sun Yat-Sen University</t>
  </si>
  <si>
    <t>60116768;60011357</t>
  </si>
  <si>
    <t>Bialkowski M.</t>
  </si>
  <si>
    <t>60001439;60001439;60001439</t>
  </si>
  <si>
    <t>Agenzia Spaziale Italiana</t>
  </si>
  <si>
    <t>ASI</t>
  </si>
  <si>
    <t>Menzel W.</t>
  </si>
  <si>
    <t>Lann A.</t>
  </si>
  <si>
    <t>¬†Cologne</t>
  </si>
  <si>
    <t>Deutsches Zentrum fur Luft- Und Raumfahrt</t>
  </si>
  <si>
    <t>Ukraine;Ukraine</t>
  </si>
  <si>
    <t>Z√ºrcher J.</t>
  </si>
  <si>
    <t>Germany;United States</t>
  </si>
  <si>
    <t>60028186;60028186;60028186;60028186</t>
  </si>
  <si>
    <t>Lausanne</t>
  </si>
  <si>
    <t>Swiss Federal Institute of Technology Lausanne</t>
  </si>
  <si>
    <t>1559128X</t>
  </si>
  <si>
    <t>Applied Optics</t>
  </si>
  <si>
    <t>Fumeaux C.</t>
  </si>
  <si>
    <t>Journal of Communications Technology and Electronics</t>
  </si>
  <si>
    <t>60068504;60068504</t>
  </si>
  <si>
    <t>Institute of Radio Astronomy National Academy of Sciences of Ukraine</t>
  </si>
  <si>
    <t>120-132</t>
  </si>
  <si>
    <t>Czech Republic;Czech Republic</t>
  </si>
  <si>
    <t>Sheffield</t>
  </si>
  <si>
    <t>The University of Sheffield</t>
  </si>
  <si>
    <t>60101699;60101699;60101699;60101699</t>
  </si>
  <si>
    <t>Naito I.</t>
  </si>
  <si>
    <t>42-50</t>
  </si>
  <si>
    <t>National Science Center Kharkov Institute of Physics and Technology</t>
  </si>
  <si>
    <t>76-79</t>
  </si>
  <si>
    <t>Tokyo;Kyoto</t>
  </si>
  <si>
    <t>Mitsubishi Electric Corporation;Kyoto University</t>
  </si>
  <si>
    <t>60101699;60011001</t>
  </si>
  <si>
    <t>Schejbal V.</t>
  </si>
  <si>
    <t>Astronomy and Astrophysics Supplement Series</t>
  </si>
  <si>
    <t>Astone P.</t>
  </si>
  <si>
    <t>He≈ôman, Pavel;Barv√≠k, Ivan</t>
  </si>
  <si>
    <t>Prague Praha;Hradec Kralove</t>
  </si>
  <si>
    <t>Charles University;University of Education</t>
  </si>
  <si>
    <t>He≈ôman P.</t>
  </si>
  <si>
    <t>1020-1025</t>
  </si>
  <si>
    <t>United States;Canada</t>
  </si>
  <si>
    <t>GPS Solutions</t>
  </si>
  <si>
    <t>Italy;Italy;Italy</t>
  </si>
  <si>
    <t>RFBR</t>
  </si>
  <si>
    <t>Radiophysics and Quantum Electronics</t>
  </si>
  <si>
    <t>27-31</t>
  </si>
  <si>
    <t>Biochimica et Biophysica Acta - Bioenergetics</t>
  </si>
  <si>
    <t>Journal of Physical Chemistry B</t>
  </si>
  <si>
    <t>60008524;60008524;60008524;60008524</t>
  </si>
  <si>
    <t>Saitama;Yokohama</t>
  </si>
  <si>
    <t>Saitama University;Nihon Koshuha Co., Ltd.</t>
  </si>
  <si>
    <t>60028263;100438704</t>
  </si>
  <si>
    <t>Shirai H.</t>
  </si>
  <si>
    <t>48-53</t>
  </si>
  <si>
    <t>Journal of the American Chemical Society</t>
  </si>
  <si>
    <t>60013983;60013983</t>
  </si>
  <si>
    <t>United States;Sweden</t>
  </si>
  <si>
    <t>60011357;60011357;60011357</t>
  </si>
  <si>
    <t>60009037;60009037</t>
  </si>
  <si>
    <t>26643518100;7005370045;7005780321</t>
  </si>
  <si>
    <t>Liu Y.</t>
  </si>
  <si>
    <t>Manara G.</t>
  </si>
  <si>
    <t>60027550;60027550;60027550;60027550</t>
  </si>
  <si>
    <t>101-103</t>
  </si>
  <si>
    <t>7003333302;8092251400</t>
  </si>
  <si>
    <t>Clenet, M.;Shafai, L.</t>
  </si>
  <si>
    <t>Clenet M.</t>
  </si>
  <si>
    <t>Applied Physics Letters</t>
  </si>
  <si>
    <t>Hanscom AFB</t>
  </si>
  <si>
    <t>96-99</t>
  </si>
  <si>
    <t>Physics in Medicine and Biology</t>
  </si>
  <si>
    <t>Coleraine</t>
  </si>
  <si>
    <t>Ulster University</t>
  </si>
  <si>
    <t>60011047;60011047</t>
  </si>
  <si>
    <t>36836462400;7102082310</t>
  </si>
  <si>
    <t>Takechi, Seiji;Shinohara, Shunjiro</t>
  </si>
  <si>
    <t>New Delhi;New Delhi</t>
  </si>
  <si>
    <t>Plasma Sources Science and Technology</t>
  </si>
  <si>
    <t>Ecological Society of America</t>
  </si>
  <si>
    <t>ESA</t>
  </si>
  <si>
    <t>De Gaudenzi R.</t>
  </si>
  <si>
    <t>University of Colorado Boulder</t>
  </si>
  <si>
    <t>IEEE Photonics Technology Letters</t>
  </si>
  <si>
    <t>Geophysical Research Letters</t>
  </si>
  <si>
    <t>40-42</t>
  </si>
  <si>
    <t>IEEE Communications Letters</t>
  </si>
  <si>
    <t>Telefonaktiebolaget LM Ericsson</t>
  </si>
  <si>
    <t>Bottomley G.</t>
  </si>
  <si>
    <t>60115148;60115148</t>
  </si>
  <si>
    <t>Kstovo</t>
  </si>
  <si>
    <t>The Institute for Physics of Microstructures of the Russian Academy of Sciences</t>
  </si>
  <si>
    <t>Saint Petersburg (ex Leningrad)</t>
  </si>
  <si>
    <t>Medical Engineering and Physics</t>
  </si>
  <si>
    <t>Vulto S.I.E.</t>
  </si>
  <si>
    <t>Waterhouse R.B.</t>
  </si>
  <si>
    <t>Cangellaris A.</t>
  </si>
  <si>
    <t>Proceedings of the Entomological Society of Washington</t>
  </si>
  <si>
    <t>Optics Letters</t>
  </si>
  <si>
    <t>Journal of Geophysical Research: Oceans</t>
  </si>
  <si>
    <t>60070034;60070034;60070034;60025063</t>
  </si>
  <si>
    <t>7006317749;6701507381;7004409861;7005545716</t>
  </si>
  <si>
    <t>Soliman, E. A.;Brebels, S.;Beyne, E.;Vandenbosch, G. A.E.</t>
  </si>
  <si>
    <t>Belgium;Belgium</t>
  </si>
  <si>
    <t>Leuven;3000 Leuven</t>
  </si>
  <si>
    <t>Interuniversity Micro-Electronics Center at Leuven;KU Leuven</t>
  </si>
  <si>
    <t>60070034;60025063</t>
  </si>
  <si>
    <t>Soliman E.</t>
  </si>
  <si>
    <t>60103653;60103653;60103653</t>
  </si>
  <si>
    <t>6603070082;7003817193;35809669200</t>
  </si>
  <si>
    <t>Sehm T.</t>
  </si>
  <si>
    <t>282-284</t>
  </si>
  <si>
    <t>36930605500;7403366748;56043263000</t>
  </si>
  <si>
    <t>Xia, J.;Tan, S. H.;Arichandran, K.</t>
  </si>
  <si>
    <t>Xia J.</t>
  </si>
  <si>
    <t>France;Italy</t>
  </si>
  <si>
    <t>Ribero J.M.</t>
  </si>
  <si>
    <t>Biochemistry</t>
  </si>
  <si>
    <t>Boekema E.</t>
  </si>
  <si>
    <t>60012708;60012708</t>
  </si>
  <si>
    <t>Journal of the Communications Research Laboratory</t>
  </si>
  <si>
    <t>183-186</t>
  </si>
  <si>
    <t>;;;;;;</t>
  </si>
  <si>
    <t>Physiological Entomology</t>
  </si>
  <si>
    <t>Lund</t>
  </si>
  <si>
    <t>Lunds Universitet</t>
  </si>
  <si>
    <t>103-112</t>
  </si>
  <si>
    <t>0949944X</t>
  </si>
  <si>
    <t>Development Genes and Evolution</t>
  </si>
  <si>
    <t>Berlin;Berlin</t>
  </si>
  <si>
    <t>Charit√© ‚Äì Universit√§tsmedizin Berlin;Technical University of Berlin</t>
  </si>
  <si>
    <t>60026245;60011604</t>
  </si>
  <si>
    <t>Wust P.</t>
  </si>
  <si>
    <t>1063780X</t>
  </si>
  <si>
    <t>Plasma Physics Reports</t>
  </si>
  <si>
    <t>Applied Computational Electromagnetics Society Journal</t>
  </si>
  <si>
    <t>30-38</t>
  </si>
  <si>
    <t>60074719;60074719</t>
  </si>
  <si>
    <t>Lincolnshire</t>
  </si>
  <si>
    <t>Zenith Electronics Corporation</t>
  </si>
  <si>
    <t>Eilers C.</t>
  </si>
  <si>
    <t>Journal of Lightwave Technology</t>
  </si>
  <si>
    <t>399-410</t>
  </si>
  <si>
    <t>Insect Biochemistry and Molecular Biology</t>
  </si>
  <si>
    <t>Journal of Experimental Biology</t>
  </si>
  <si>
    <t>Journal of Optics A: Pure and Applied Optics</t>
  </si>
  <si>
    <t>60029225;60029225;60029225;60029225</t>
  </si>
  <si>
    <t>Kotelnikov Institute of Radioengineering and Electronics (IRE) of Russian Academy of Sciences</t>
  </si>
  <si>
    <t>51-60</t>
  </si>
  <si>
    <t>Plant Science</t>
  </si>
  <si>
    <t>Lu, Jui Han</t>
  </si>
  <si>
    <t>National Kaohsiung University of Science and Technology</t>
  </si>
  <si>
    <t>Lu J.</t>
  </si>
  <si>
    <t>Luk K.</t>
  </si>
  <si>
    <t>333-336</t>
  </si>
  <si>
    <t>Luxey C.</t>
  </si>
  <si>
    <t>304-306</t>
  </si>
  <si>
    <t>National Institutes of Health</t>
  </si>
  <si>
    <t>NIH</t>
  </si>
  <si>
    <t>National Institute of Neurological Disorders and Stroke</t>
  </si>
  <si>
    <t>P01NS028495</t>
  </si>
  <si>
    <t>NINDS</t>
  </si>
  <si>
    <t>Journal of Neurobiology</t>
  </si>
  <si>
    <t>60010065;60010065;60010065;60010065</t>
  </si>
  <si>
    <t>R√∂ssler W.</t>
  </si>
  <si>
    <t>0302766X</t>
  </si>
  <si>
    <t>Cell and Tissue Research</t>
  </si>
  <si>
    <t>Journal of Comparative Neurology</t>
  </si>
  <si>
    <t>Nature</t>
  </si>
  <si>
    <t>IEE Colloquium (Digest)</t>
  </si>
  <si>
    <t>Journal of Applied Physics</t>
  </si>
  <si>
    <t>Smart Materials and Structures</t>
  </si>
  <si>
    <t>60028333;60028333</t>
  </si>
  <si>
    <t>UNSW Sydney</t>
  </si>
  <si>
    <t>Chinese Journal of Electronics</t>
  </si>
  <si>
    <t>Valencia</t>
  </si>
  <si>
    <t>Universitat Polit√®cnica de Val√®ncia</t>
  </si>
  <si>
    <t>Ooi B.</t>
  </si>
  <si>
    <t>San Diego</t>
  </si>
  <si>
    <t>0960667X</t>
  </si>
  <si>
    <t>Microwave Engineering Europe</t>
  </si>
  <si>
    <t>Ashburton</t>
  </si>
  <si>
    <t>Motorola Inc., UK</t>
  </si>
  <si>
    <t>IEEE Potentials</t>
  </si>
  <si>
    <t>International Journal of Insect Morphology and Embryology</t>
  </si>
  <si>
    <t>Acta Zoologica</t>
  </si>
  <si>
    <t>Bremen</t>
  </si>
  <si>
    <t>Universit√§t Bremen</t>
  </si>
  <si>
    <t>18-25</t>
  </si>
  <si>
    <t>Hsinchu;Kaohsiung</t>
  </si>
  <si>
    <t>Chen W.</t>
  </si>
  <si>
    <t>Journal of Physical Chemistry A</t>
  </si>
  <si>
    <t>Journal of Biological Chemistry</t>
  </si>
  <si>
    <t>Werner D.H.</t>
  </si>
  <si>
    <t>Adelaide</t>
  </si>
  <si>
    <t>Transactions of the Japan Society for Aeronautical and Space Sciences</t>
  </si>
  <si>
    <t>San Jose</t>
  </si>
  <si>
    <t>National Cancer Institute</t>
  </si>
  <si>
    <t>NCI</t>
  </si>
  <si>
    <t>International Journal of Hyperthermia</t>
  </si>
  <si>
    <t>Paulsen K.</t>
  </si>
  <si>
    <t>1015-1022</t>
  </si>
  <si>
    <t>Doklady Physics</t>
  </si>
  <si>
    <t>1059910X</t>
  </si>
  <si>
    <t>Microscopy Research and Technique</t>
  </si>
  <si>
    <t>7006079995;7004071808</t>
  </si>
  <si>
    <t>L√∂tter, Michiel P.;Van Rooyen, Pieter</t>
  </si>
  <si>
    <t>Nokia Corporation</t>
  </si>
  <si>
    <t>L√∂tter M.</t>
  </si>
  <si>
    <t>Gutjahr-L√∂ser T.</t>
  </si>
  <si>
    <t>Australian Journal of Entomology</t>
  </si>
  <si>
    <t>Braunschweig</t>
  </si>
  <si>
    <t>Technische Universit√§t Braunschweig</t>
  </si>
  <si>
    <t>Marg R.</t>
  </si>
  <si>
    <t>60017161;60017161;60017161</t>
  </si>
  <si>
    <t>60031004;60005510</t>
  </si>
  <si>
    <t>Australia;Singapore</t>
  </si>
  <si>
    <t>Brisbane;Singapore City</t>
  </si>
  <si>
    <t>The University of Queensland;Nanyang Technological University</t>
  </si>
  <si>
    <t>El Haj Sleimen M.</t>
  </si>
  <si>
    <t>Proceedings of the National Academy of Sciences of the United States of America</t>
  </si>
  <si>
    <t>Corral J.</t>
  </si>
  <si>
    <t>60002014;60002014</t>
  </si>
  <si>
    <t>The Royal Institute of Technology (KTH)</t>
  </si>
  <si>
    <t>Chair R.</t>
  </si>
  <si>
    <t>United States;Brazil</t>
  </si>
  <si>
    <t>7601561423;35460663000</t>
  </si>
  <si>
    <t>Lu, Jui Han;Wong, Kin Lu</t>
  </si>
  <si>
    <t>Centro Studi e Laboratori Telecomunicazioni, Turin</t>
  </si>
  <si>
    <t>60103653;60103653</t>
  </si>
  <si>
    <t>Zaragoza;Barcelona</t>
  </si>
  <si>
    <t>Universidad de Zaragoza Centro Politecnico Superior;Universitat Polit√®cnica de Catalunya</t>
  </si>
  <si>
    <t>60025316;60007592</t>
  </si>
  <si>
    <t>Gonz√°lez J.</t>
  </si>
  <si>
    <t>Australia;Australia;Australia</t>
  </si>
  <si>
    <t>IEEE Personal Communications</t>
  </si>
  <si>
    <t>Gauthier, Gildas P.</t>
  </si>
  <si>
    <t>60031004-60005510;60031004</t>
  </si>
  <si>
    <t>60032179;60032179;60032179;60032179;60032179</t>
  </si>
  <si>
    <t>R01ES008051</t>
  </si>
  <si>
    <t>IEEE Transactions on Biomedical Engineering</t>
  </si>
  <si>
    <t>King, Ronold W.P.</t>
  </si>
  <si>
    <t>Harvard University</t>
  </si>
  <si>
    <t>Physics Letters, Section A: General, Atomic and Solid State Physics</t>
  </si>
  <si>
    <t>0006324X</t>
  </si>
  <si>
    <t>Proceedings of the Biological Society of Washington</t>
  </si>
  <si>
    <t>European Journal of Biochemistry</t>
  </si>
  <si>
    <t>Italy;Italy;Italy;Italy</t>
  </si>
  <si>
    <t>60008447;60008447;60008447</t>
  </si>
  <si>
    <t>Limoges</t>
  </si>
  <si>
    <t>Universite de Limoges</t>
  </si>
  <si>
    <t>60009697;60009697;60009697</t>
  </si>
  <si>
    <t>60011357;60072417;60011357</t>
  </si>
  <si>
    <t>56093321900;7406886947;35460663000</t>
  </si>
  <si>
    <t>Pingtung;Kaohsiung</t>
  </si>
  <si>
    <t>Yung-Ta Institute of Technology and Commerce;National Sun Yat-Sen University</t>
  </si>
  <si>
    <t>60072417;60011357</t>
  </si>
  <si>
    <t>Wu J.</t>
  </si>
  <si>
    <t>60019702;60019702;60019702</t>
  </si>
  <si>
    <t>7406965609;57213425197;7201658579</t>
  </si>
  <si>
    <t>Lee, E.;Hall, P. S.;Gardner, P.</t>
  </si>
  <si>
    <t>Lee E.</t>
  </si>
  <si>
    <t>Queen Mary University of London</t>
  </si>
  <si>
    <t>Carlsbergfondet</t>
  </si>
  <si>
    <t>Hachioji</t>
  </si>
  <si>
    <t>Tokyo Metropolitan University</t>
  </si>
  <si>
    <t>Frigaard N.</t>
  </si>
  <si>
    <t>['users simultaneously', 'squares version', 'spatial position', 'simulation results', 'separated due', 'performance improvements', 'paper reviews', 'multiuser detection', 'multiple users', 'first contribution', 'explicit decorrelation', 'convergence rate', 'cma technique', 'adaptive procedure']</t>
  </si>
  <si>
    <t>This paper reviews and proposes blind multiuser detection techniques for space division multiple access systems. In this case, multiple users can be separated due to their spatial position by means of an adaptive antenna array. The constant modulus algorithm is employed in the array weights computation together with the concept of explicit decorrelation, for the sake to recover all users simultaneously. In order to improve the convergence rate and the steady-state error behavior, two new features are introduced. The first contribution is the proposition of a least-squares version of the CMA technique for multiuser detection. Afterwards an adaptive procedure is proposed to provide an improved explicit decorrelation. The performance improvements are confirmed by some simulation results.</t>
  </si>
  <si>
    <t>411-419</t>
  </si>
  <si>
    <t>60029570;60029570</t>
  </si>
  <si>
    <t>7005534283;14032097800</t>
  </si>
  <si>
    <t>Cavalcanti, Francisco R.P.;Romano, Jo√£o M.T.</t>
  </si>
  <si>
    <t>Campinas</t>
  </si>
  <si>
    <t>Universidade Estadual de Campinas</t>
  </si>
  <si>
    <t>Cavalcanti F.</t>
  </si>
  <si>
    <t>Blind multiuser detection in space division multiple access systems</t>
  </si>
  <si>
    <t>2-s2.0-0032594212</t>
  </si>
  <si>
    <t>['symbol periods', 'stationary vector', 'spreading sequence', 'received signal', 'propagation channel', 'processing gain', 'order statistics', 'multiple sensors', 'intersymbol interference', 'inducing memory', 'fir length', 'desired user', 'certain number']</t>
  </si>
  <si>
    <t>An asynchronous direct sequence CDMA (DS-CDMA) system employing periodic spreading sequences is operating in a frequency selective channel. The cyclostationary spread signal is received at multiple sensors and is sampled multiple times per chip, leading to a stationary vector-valued received signal. Depending on the FIR length of the propagation channel, and the processing gain, the channel of a certain user spans a certain number of symbol periods, inducing memory or intersymbol interference in the received signal. The desired user's multipath channel estimate is obtained by means of a new blind technique which exploits the spreading sequence of the user and the second-order statistics of the received signal.</t>
  </si>
  <si>
    <t>379-391</t>
  </si>
  <si>
    <t>;60029859</t>
  </si>
  <si>
    <t>6603786949;7006207071</t>
  </si>
  <si>
    <t>Ghauri, Irfan;Slock, Dirk T.M.</t>
  </si>
  <si>
    <t>EURECOM Ecole d'Ing√©nieur et Centre de Recherche en Sciences du Num√©rique</t>
  </si>
  <si>
    <t>Ghauri I.</t>
  </si>
  <si>
    <t>Blind decentralized projection receiver for asynchronous CDMA in multipath channels</t>
  </si>
  <si>
    <t>2-s2.0-0032594221</t>
  </si>
  <si>
    <t>['submicrometer resolution', 'method uses', 'laser beam', 'good agreement', 'field distributions', 'experimental setup', 'dipole antenna', 'dimensions comparable', 'dimensional scan']</t>
  </si>
  <si>
    <t>The spatial impulse response of antenna-coupled infrared detectors with dimensions comparable with the wavelength is obtained from a two-dimensional scan of a tightly focused CO2-laser beam. The method uses an experimental setup with submicrometer resolution and an iterative deconvolution algorithm. The measured spatial response is compared with numerically computed near-field distributions of a dipole antenna, with good agreement. ¬© 1999 Optical Society of America.</t>
  </si>
  <si>
    <t>3993-4000</t>
  </si>
  <si>
    <t>60022144-60027282;60022144;60022144;60022144;60022144</t>
  </si>
  <si>
    <t>7007155487;6603761497;6603120992;7201747077;7006366203</t>
  </si>
  <si>
    <t>Alda, Javier;Fumeaux, Christophe;Codreanu, Iulian;Schaefer, Jason A.;Boreman, Glenn D.</t>
  </si>
  <si>
    <t>Madrid;Orlando</t>
  </si>
  <si>
    <t>Universidad Complutense de Madrid;University of Central Florida</t>
  </si>
  <si>
    <t>60027282;60022144</t>
  </si>
  <si>
    <t>Alda J.</t>
  </si>
  <si>
    <t>Deconvolution method for two-dimensional spatial-response mapping of lithographic infrared antennas</t>
  </si>
  <si>
    <t>10.1364/AO.38.003993</t>
  </si>
  <si>
    <t>2-s2.0-0032613613</t>
  </si>
  <si>
    <t>['woodbury facility', 'seti institute', 'seti ).', 'satellite communications', 'sat idle', 'radio astronomy', 'potential set', 'potential resource', 'paper discusses', 'large antennas', 'intervening years', 'georgia institute', 'fully renovated', 'facility consists', 'facilities remain', 'extraterrestrial intelligence', 'early 1980s', 'atlanta near', 'antennas built', 'although many']</t>
  </si>
  <si>
    <t>A class of large satellite communication antennas built in the 1970s for commercial purposes comprises a potential set of large antennas useful for education, research, satellite communications, or radio astronomy upon upgrade. Many of these facilities were abandoned as the advent of low-noise electronics obviated the need for such large antennas with their associated maintenance costs. Although many have sat idle and decaying over the intervening years, these facilities remain a potential resource for research and education. One such facility located south of Atlanta near the town of Woodbury, Georgia, was acquired for use by the Georgia Institute of Technology. This facility consists of a pair of 30-m antennas built in the mid-1970s that were used by AT&amp;T through the early 1980s for satellite communications. Initially as a set of small-scale student projects and later as a full-scale project funded by the SETI Institute, one of the 30-m antennas has recently been fully renovated and used for radio astronomy and the search for extraterrestrial intelligence (SETI). This paper discusses the process and results of refurbishing the Woodbury facility.</t>
  </si>
  <si>
    <t>991-1003</t>
  </si>
  <si>
    <t>7005954631;6602186930</t>
  </si>
  <si>
    <t>DeBoer, David R.;Steffes, Paul G.</t>
  </si>
  <si>
    <t>DeBoer D.</t>
  </si>
  <si>
    <t>Performance and uses of a refurbished 30-m former satellite communications antenna: The Georgia Tech Woodbury Research Facility</t>
  </si>
  <si>
    <t>10.1029/1999RS900033</t>
  </si>
  <si>
    <t>2-s2.0-0032631935</t>
  </si>
  <si>
    <t>['sporadic e', 'scatter caused', 'scale profiles', 'roughly correlated', 'results indicate', 'receiver stations', 'radio links', 'propagation path', 'probe signals', 'probe experiment', 'path midpoints', 'ny alesund', 'normal distribution', 'nearly aligned', 'lower edge', 'low elevation', 'latitude ionosphere', 'isotropic spread', 'imaging riometer', 'geomagnetic meridian', 'geomagnetic activity', 'experiments conducted', 'electron density', 'duty cycles', 'dominant power', 'common 30', 'bursty behavior', 'beam antenna', 'auroral oval', 'auroral e', 'april 1994', 'approximately 5', 'aligned irregularities', '2 days']</t>
  </si>
  <si>
    <t>A probe experiment, consisting of radio links between a common 30-MHz transmitter located at Murmansk, Russia, and two receivers used as the imaging riometer (two-dimensional 64 multiple-beam antenna) located at Ny Alesund, Svalbard, and Tjornes, Iceland, was carried out to characterize wave scatter in the high-latitude ionosphere. They are nearly aligned with and perpendicular to the geomagnetic meridian, respectively. In experiments conducted in March-April 1994, the 30-MHz probe signals were identified at nighttime more frequently than during the day at both receiver stations during periods of increased geomagnetic activity near the path midpoints, indicating that a relationship between the propagation path and the location of the auroral oval controls signal identification. For the nighttime propagation paths within or crossing through the auroral oval, duty cycles of the probe signals were roughly correlated with increases in geomagnetic activity. Their arrival directions showed a spread with a dominant power on the low elevation and a normal distribution in azimuth. These results indicate that the probe signals are characterized as nonmeteoric `auroral E' scatter caused by irregular, large-scale profiles of electron density enhancements at the lower edge of the ionosphere. However, on 2 days of weak geomagnetic activity, strong probe signals with bursty behavior were identified by an extremely high duty cycle (approximately 98%) for the nighttime meridian path only, and their arrival directions showed an isotropic spread in azimuth. Such nonmeteoric probe signals are characterized as `coherent' scatter caused by small-scale (approximately 5 m) field-aligned irregularities in electron density in the E region ionosphere, related to `sporadic E' occurrence.</t>
  </si>
  <si>
    <t>883-898</t>
  </si>
  <si>
    <t>60000264;60021331-101727309;60020739;60006790;60021255</t>
  </si>
  <si>
    <t>8640625100;6602608356;57198782080;7201640168;55601186600</t>
  </si>
  <si>
    <t>Nishino, M.;Gorokhov, N.;Tanaka, Y.;Yamagishi, H.;Hansen, T.</t>
  </si>
  <si>
    <t>Russian Federation;Norway;Japan;Japan;Japan;Russian Federation</t>
  </si>
  <si>
    <t>Moscow;Tromso;Yamaguchi;Tokyo;Nagoya;Moscow</t>
  </si>
  <si>
    <t>Russian Academy of Sciences;UiT The Arctic University of Norway;Yamaguchi University;National Institute of Polar Research;Nagoya University;MDARC</t>
  </si>
  <si>
    <t>60021331;60021255;60020739;60006790;60000264;101727309</t>
  </si>
  <si>
    <t>Nishino M.</t>
  </si>
  <si>
    <t>Probe experiment characterizing 30-MHz radio wave scatter in the high-latitude ionosphere</t>
  </si>
  <si>
    <t>10.1029/1999RS900015</t>
  </si>
  <si>
    <t>2-s2.0-0032633635</t>
  </si>
  <si>
    <t>['¬© 1999', 'zero value', 'wave scattering', 'surface roughness', 'sufficiently small', 'sound scattering', 'solving many', 'second power', 'sea surface', 'scattering event', 'scattering amplitude', 'scattered directions', 'rights reserved', 'result obtained', 'remote sensing', 'receiving antennae', 'rayleigh parameter', 'radar observation', 'particular problem', 'order approximation', 'narrow beams', 'model corresponds', 'main result', 'main questions', 'great interest', 'grazing angles', 'grazing angle', 'given direction', 'generating line', 'francis group', 'fourth power', 'finite non', 'distance propagation', 'directed along', 'cylindrical surface', 'born approximation', 'applied problems']</t>
  </si>
  <si>
    <t>The particular problem of wave scattering at low grazing angles is of great interest because of its importance for the long-distance propagation of radio waves along the Earth's surface, radar observation of near surface objects, as well as solving many other fundamental and applied problems of remote sensing. One of the main questions is: how do the scattering amplitude and specific cross section behave for extremely small grazing angles? We consider the process of wave scattering by a statistically rough surface with the Neumann boundary condition. This model corresponds to sound scattering from a perfectly ‚Äòhard‚Äô surface (for example, the interface between air and the sea surface) or ‚Äòvertically‚Äô polarized electromagnetic waves scattered by a perfectly conducting one-dimensional (i.e. cylindrical) surface when the magnetic field vector is directed along the generating line of this cylindrical surface. We assume that the surface roughness is sufficiently small (in the sense of the Rayleigh parameter) and the surface is rigorously statistically homogeneous and therefore, infinite. We confine ourselves only to the first-order approximation of small perturbation theory and therefore consider every act of wave scattering in the Born approximation when the Bragg scattering process takes place. Only one resonant Fourier component of surface roughness is responsible for the scattering in a given direction. However, we take into account the attenuation of incident and scattered waves due to the multiple scattering processes on the path ‚Äòbefore‚Äô and ‚Äòafter‚Äô a scattering event in a given direction. Also we consider every one of these multiple scattering events only in the Born approximation. The main result we have obtained is that for small grazing angles the scattering cross section of the diffuse component decreases as the second power of the grazing angles with respect to the incident and scattered directions, and as the fourth power of the grazing angle for the backscattering (radar) situation. Generalizing our results from plane-wave scattering to finite beams allows us to obtain the criterion on the beamwidth. For sufficiently narrow beams the multiple scattering processes do not play any role because of a short ‚Äòinteraction path‚Äô, and only single Bragg scattering determines the scattering amplitude (which does not tend to zero for small grazing angles). However, for sufficiently wide beams the result obtained for infinite plane waves becomes valid: due to the above-mentioned multiple scattering processes, the scattering amplitude tends to zero for small grazing angles. Consequently, the behaviour of the scattering cross section for small grazing angles depends on the radiation pattern width of the transmitting and receiving antennae: for sufficiently wide beams the scattering cross section decreases to zero at small grazing angles, but for narrow beams it tends to the finite non-zero value. ¬© 1999, Taylor &amp; Francis Group, LLC. All rights reserved.</t>
  </si>
  <si>
    <t>295-305</t>
  </si>
  <si>
    <t>Waves Random Media</t>
  </si>
  <si>
    <t>60000221-100326559;60000221</t>
  </si>
  <si>
    <t>7005627286;7006614678</t>
  </si>
  <si>
    <t>Fuks, Iosif M.;Tatarskii, Valerian I.</t>
  </si>
  <si>
    <t>Boulder;Los Altos</t>
  </si>
  <si>
    <t>University of Colorado Boulder;CODAR Ocean Sensors, Ltd.</t>
  </si>
  <si>
    <t>60000221;100326559</t>
  </si>
  <si>
    <t>Fuks I.M.</t>
  </si>
  <si>
    <t>Behaviour of scattering from a rough surface at small grazing angles</t>
  </si>
  <si>
    <t>10.1088/0959-7174/9/3/302</t>
  </si>
  <si>
    <t>2-s2.0-0032635105</t>
  </si>
  <si>
    <t>['paper describes', 'experimental work', 'electrically small', 'design frequency', 'computed examples']</t>
  </si>
  <si>
    <t>Volume loading means placing conductively enclosed volumes at the ends of the arms of a short linear antenna to increase and control the capacitance of the structure. This technique allows tuning the antenna to make it series-resonant at a design frequency for which it is electrically small. This paper describes the discovery and development of the concept, gives some computed examples to illustrate the relation between shape and performance, and describes some experimental work, including a 900 MHz cordless phone demonstration design.</t>
  </si>
  <si>
    <t>Miron, Douglas B.</t>
  </si>
  <si>
    <t>Brookings</t>
  </si>
  <si>
    <t>Siouxland Scientific Computing</t>
  </si>
  <si>
    <t>Miron D.B.</t>
  </si>
  <si>
    <t>Volume loading - a new principle for small antennas</t>
  </si>
  <si>
    <t>2-s2.0-0032638077</t>
  </si>
  <si>
    <t>['typical forest', 'trunk layer', 'receiving points', 'radio losses', 'nonhomogeneous media', 'major role', 'layered geometry', 'lateral waves', 'large distances', 'index terms', 'horizontally stratified', 'green function', 'forest model', 'forest environments', 'field constituents', 'electromagnetic waves', 'electromagnetic propagation', 'electromagnetic fields', 'direct wave', 'dipole antennas', 'consist primarily', 'anisotropic media', 'anisotropic four', 'analytical results']</t>
  </si>
  <si>
    <t>Propagation of electromagnetic waves in forest environments is examined in which both the transmitting and receiving points are located in the trunk layer of a four-layered anisotropic forest model. This propagation model considers the forest as a horizontally stratified, anisotropic media of canopy and trunk, bounded by ground below and air above. The electromagnetic fields are obtained using dyadic Green's functions in their eigenfunction expansion forms for an anisotropic four-layered geometry. Analytical results are found for the fields, which consist primarily of three wave modes: a direct wave, multiply reflected waves, and lateral waves. These field constituents are compared, and their domains of preponderance are calculated; it is found that the lateral wave plays a major role in communication at large distances. Radio losses for typical forest are calculated to illustrate numerical application of the forest model. Index Terms-Anisotropic media, dipole antennas, electromagnetic propagation, Green function, nonhomogeneous media. ¬© 1999 IEEE.</t>
  </si>
  <si>
    <t>1967-1979</t>
  </si>
  <si>
    <t>IEEE Transactions on Geoscience and Remote Sensing</t>
  </si>
  <si>
    <t>7501449136;7201756986;7102523120;7102006113</t>
  </si>
  <si>
    <t>Li, Le Wei;Koh, Jin Hou;Yeo, Tat Soon;Leong, Mook Seng</t>
  </si>
  <si>
    <t>Analysis of radiowave propagation in a four-layered anisotropie forest environment</t>
  </si>
  <si>
    <t>S0196289299043399</t>
  </si>
  <si>
    <t>10.1109/36.774708</t>
  </si>
  <si>
    <t>2-s2.0-0032642299</t>
  </si>
  <si>
    <t>['zenith beam', 'quarter wavelength', 'proposed equations', 'offset angle', 'lenses developed', 'incident ray', 'half wavelength', 'focusing characteristics', 'developed surface', 'design equations', 'beam antenna', 'axis approximation', 'artificial dielectric', 'aperture efficiency', 'another lens', '6 dbi', '5 dbi', '47 %.', '30 ¬∞', '15 ¬∞']</t>
  </si>
  <si>
    <t>Reflector lens antennas consisting of an artificial dielectric are proposed. The design equations of the lens surface using geometrical optics under the thin/near-axis approximation are introduced. The focusing characteristics of the lenses developed by the proposed equations are estimated by the ray tracing method. From the results, the developed surface of the lens for normal incidence converges 100% of the incident ray in a circle with a diameter of a quarter wavelength, and another lens for an offset angle of 30¬∞ converges about 90% of the rays in a diameter of a half wavelength. A reflector lens antenna with an offset angle of 30¬∞ having a diameter of 12.5 wavelength yields a gain of 28.6 dBi and an aperture efficiency of 47%. A three-beam antenna with the same size having a zenith beam and beam tilted toward the north and east at 15¬∞ for use in a wind profile radar shows a gain of 27.5 dBi.</t>
  </si>
  <si>
    <t>44-52</t>
  </si>
  <si>
    <t>60002561;101569422;60002561</t>
  </si>
  <si>
    <t>6507075402;7102428744;35554356600</t>
  </si>
  <si>
    <t>Mukoh, Yoshinosuke;Nojima, Tomoyuki;Hasebe, Nozomu</t>
  </si>
  <si>
    <t>Nihon University;Takaoka Electric Mfg. Co., Ltd.</t>
  </si>
  <si>
    <t>60002561;101569422</t>
  </si>
  <si>
    <t>Mukoh Y.</t>
  </si>
  <si>
    <t>Reflector lens antenna consisting of an artificial dielectric</t>
  </si>
  <si>
    <t>10.1002/(SICI)1520-6424(199907)82:7&lt;44::AID-ECJA5&gt;3.0.CO;2-L</t>
  </si>
  <si>
    <t>2-s2.0-0032657504</t>
  </si>
  <si>
    <t>['surface reflection', 'shaped reflectors', 'respectively analyzed', 'radiation pattern', 'paper presents', 'greco code', 'edge diffraction', 'cad software', 'arbitrary geometries']</t>
  </si>
  <si>
    <t>This paper presents the application of GRECO code to obtain the radiation pattern of single reflector antennas. Shaped reflectors with arbitrary geometries are modelled by CAD software. The GRECO graphical processing technique is used in order to extract the relevant geometrical information from the CAD geometry database. Surface reflection and edge diffraction are respectively analyzed by Physical Optics approximation and Equivalent Edge Currents method.</t>
  </si>
  <si>
    <t>45-51</t>
  </si>
  <si>
    <t>60007592;60007592;60007592;60007592</t>
  </si>
  <si>
    <t>7006933058;6602926234;7006739775;6701335577</t>
  </si>
  <si>
    <t>Rius, J. M.;Vall-Llossera, Merc√®;Salazar, C.;Cardama, A.</t>
  </si>
  <si>
    <t>Universitat Polit√®cnica de Catalunya</t>
  </si>
  <si>
    <t>Rius J.</t>
  </si>
  <si>
    <t>Shaped reflector antenna analysis by graphical processing methods</t>
  </si>
  <si>
    <t>2-s2.0-0032657851</t>
  </si>
  <si>
    <t>['proposed scheme', 'paper presents', 'numerical examples', 'novel algorithm', 'hybrid integral', 'arbitrarily shaped']</t>
  </si>
  <si>
    <t>This paper presents a novel algorithm for analyzing transient radiation from multielement wire systems mounted on arbitrarily shaped, three-dimensional, perfectly conducting bodies. The algorithm simultaneously characterizes the transient radiation properties of the antenna and the performance of the feed network via a hybrid integral-equation/finite difference scheme. Numerical examples that validate and demonstrate the efficacy of the proposed scheme are presented.</t>
  </si>
  <si>
    <t>781-796</t>
  </si>
  <si>
    <t>60000745;60000745;60000745;60000745;60000745</t>
  </si>
  <si>
    <t>6603880695;7401755331;56240230800;7005779927;7005196479</t>
  </si>
  <si>
    <t>Ayg√ºn, Kemal;Fisher, Stephen E.;Ergin, A. Arif;Shanker, Balasubramaniam;Michielssen, Eric</t>
  </si>
  <si>
    <t>Ayg√ºn K.</t>
  </si>
  <si>
    <t>Transient analysis of multielement wire antennas mounted on arbitrarily shaped perfectly conducting bodies</t>
  </si>
  <si>
    <t>10.1029/1998RS900040</t>
  </si>
  <si>
    <t>2-s2.0-0032662173</t>
  </si>
  <si>
    <t>['waveguide gratings', 'ten times', 'spectral resolution', 'original channels', 'optical switches', 'new type', 'different arrayed', 'cascade connection', 'available channels']</t>
  </si>
  <si>
    <t>A new type of optical spectrum analyzer is proposed that features the cascade connection of different arrayed-waveguide gratings (AWG's) with different channel spacings through optical switches. The spectral resolution of our system is determined by the narrowest channel spacing and its available channels are ten times the original channels of the AWG with the spacing. We demonstrate the analyzer using 100- and 10-GHz spaced AWG's.</t>
  </si>
  <si>
    <t>863-864</t>
  </si>
  <si>
    <t>7403090672;54680420200;35418711700</t>
  </si>
  <si>
    <t>Takada, K.;Yamada, H.;Okamoto, K.</t>
  </si>
  <si>
    <t>Takada K.</t>
  </si>
  <si>
    <t>Optical spectrum analyzer using cascaded AWG's with different channel spacings</t>
  </si>
  <si>
    <t>10.1109/68.769733</t>
  </si>
  <si>
    <t>2-s2.0-0032662944</t>
  </si>
  <si>
    <t>['spectral estimation', 'scheme based', 'priori knowledge', 'platform velocity', 'ground clutter', 'antenna direction']</t>
  </si>
  <si>
    <t>An airborne adaptive moving target indication (AAMTI) scheme based on maximum entropy method (MEM) spectral estimation and a priori knowledge of platform velocity and antenna direction is described. The AAMTI scheme effectively prevents the whitening of target and shows a superior ground clutter suppression performance. Its disadvantage is attenuating the target signal whose Doppler frequency is close to the mean Doppler frequency of ground clutter.</t>
  </si>
  <si>
    <t>19-21</t>
  </si>
  <si>
    <t>60025278;60025278;60025278</t>
  </si>
  <si>
    <t>57220613071;6507640462;6506665328</t>
  </si>
  <si>
    <t>Yong, Huang;Yingning, Peng;Xiqin, Wang</t>
  </si>
  <si>
    <t>Yong H.</t>
  </si>
  <si>
    <t>Airborne adaptive MTI scheme with preventing the whitening of the target</t>
  </si>
  <si>
    <t>10.1109/62.774898</t>
  </si>
  <si>
    <t>2-s2.0-0032670647</t>
  </si>
  <si>
    <t>['weight coefficients', 'spatial aperture', 'simulated annealing', 'results show', 'required task', 'proposed method', 'powerful way', 'optimized design', 'notable versatility', 'main reason', 'lobe level', 'linear array', 'latter goal', 'important novelty', 'great freedom', 'great flexibility', 'grating lobes', 'good results', 'energy function', 'beam pattern', 'array characteristics', 'aperiodic arrays']</t>
  </si>
  <si>
    <t>In conventional beamforming systems, the use of aperiodic arrays is a powerful way to obtain high resolution employing few elements and avoiding the presence of grating lobes. The optimized design of such arrays is a required task in order to control the side-lobe level and distribution. In this paper, an optimization method aimed at designing aperiodic linear sparse arrays with great flexibility is proposed. Simulated annealing, which is a stochastic optimization methodology, has been utilized to synthesize the positions and the weight coefficients of the elements of a linear array in order to minimize the peak of the sidelobes and to obtain a beam pattern that meets given requirements. An important novelty is the fact that the latter goal can be achieved in parallel to the minimization of both the number of elements and the spatial aperture, resulting in a `global' optimization of the array characteristics. The great freedom that simulated annealing allows in defining the energy function to be minimized is the main reason for the notable versatility and the good results of the proposed method. Such results show an improvement in the array characteristics and performances over those reported in the literature.</t>
  </si>
  <si>
    <t>291-298</t>
  </si>
  <si>
    <t>IEEE Journal of Oceanic Engineering</t>
  </si>
  <si>
    <t>60025153;60032256</t>
  </si>
  <si>
    <t>7007035725;7006595496</t>
  </si>
  <si>
    <t>Trucco, Andrea;Murino, Vittorio</t>
  </si>
  <si>
    <t>Verona;Genoa</t>
  </si>
  <si>
    <t>Universit√† degli Studi di Verona;Universit√† degli Studi di Genova</t>
  </si>
  <si>
    <t>60032256;60025153</t>
  </si>
  <si>
    <t>Trucco A.</t>
  </si>
  <si>
    <t>Stochastic optimization of linear sparse arrays</t>
  </si>
  <si>
    <t>10.1109/48.775291</t>
  </si>
  <si>
    <t>2-s2.0-0032688009</t>
  </si>
  <si>
    <t>6.4/26</t>
  </si>
  <si>
    <t>['vlf atmospherics', 'using linearly', 'underwater field', 'transfer function', 'spatial filter', 'seawater layer', 'sea surface', 'polarization effects', 'ionosphere waveguide']</t>
  </si>
  <si>
    <t>Atmospheric | Polarization | Radio wave | Seawater | VLF</t>
  </si>
  <si>
    <t>Our study of electromagnetic wave penetration into the seawater was based on wide-band synchronous measurements of ELF/VLF atmospherics on the sea surface and underwater. Two crossed horizontal magnetic field components just above the sea surface and one horizontal electric component of underwater field have been examined to find the transfer function of a seawater layer of some 15 m in thickness. Using linearly-polarized antennae caused a number of polarization effects in the transfer function. The most prominent of the effects is that the water layer behaves as a spatial filter for modes in the Earth-ionosphere waveguide, making the transfer function irregular.</t>
  </si>
  <si>
    <t>237-244</t>
  </si>
  <si>
    <t>Atmospheric Research</t>
  </si>
  <si>
    <t>60032315-60068535;60032315;60068535</t>
  </si>
  <si>
    <t>6506372590;55145417300;9250016300</t>
  </si>
  <si>
    <t>Rafalsky, V. A.;Hayakawa, M.;Shvets, A. V.</t>
  </si>
  <si>
    <t>Ukraine;Japan</t>
  </si>
  <si>
    <t>Kharkiv;Chofu</t>
  </si>
  <si>
    <t>O. Ya. Usikov Institute for Radiophysics and Electronics of the National Academy of Sciences of Ukraine;The University of Electro-Communications</t>
  </si>
  <si>
    <t>60068535;60032315</t>
  </si>
  <si>
    <t>Rafalsky V.</t>
  </si>
  <si>
    <t>Polarization effects for subionospheric ELF/VLF signals penetrated into the seawater</t>
  </si>
  <si>
    <t>S0169809599000101</t>
  </si>
  <si>
    <t>10.1016/S0169-8095(99)00010-1</t>
  </si>
  <si>
    <t>2-s2.0-0032693837</t>
  </si>
  <si>
    <t>National Institute of General Medical Sciences</t>
  </si>
  <si>
    <t>R01GM035463</t>
  </si>
  <si>
    <t>NIGMS</t>
  </si>
  <si>
    <t>['results suggest', 'punctated distribution', 'protein within', 'pleiotropic phenotype', 'pc mutations', 'order organization', 'new member', 'mdg4 ),', 'lawc protein', 'interacts genetically', 'gypsy insulator', 'g mutations', 'effect variegation']</t>
  </si>
  <si>
    <t>Mutations in the lawc gene result in a pleiotropic phenotype that includes homeotic transformation of the arista into leg, lawc mutations enhance the phenotype of trx-G mutations and suppress the phenotype of Pc mutations. Mutations in lawc affect homeotic gene transcription, causing ectopic expression of Antennapedia in the eye-antenna imaginal disc. These results suggest that lawc is a new member of the trithorax-family. The lawc gene behaves as an enhancer of position-effect variegation and interacts genetically with mod(mdg4), which is a component of the gypsy insulator. In addition, mutations in the lawc gene cause alterations in the punctated distribution of mod(mdg4) protein within the nucleus. These results suggest that the lawc protein is involved in regulating the higher-order organization of chromatin.</t>
  </si>
  <si>
    <t>1045-1055</t>
  </si>
  <si>
    <t>Genetics</t>
  </si>
  <si>
    <t>60005248;60005248;60005248</t>
  </si>
  <si>
    <t>6701600150;7005286434;7005756818</t>
  </si>
  <si>
    <t>Zorin, Izanne D.;Gerasimova, Tatiana I.;Corces, Victor G.</t>
  </si>
  <si>
    <t>Zorin I.</t>
  </si>
  <si>
    <t>The lawc gene is a new member of the trithorax-group that affects the function of the gypsy insulator of Drosophila</t>
  </si>
  <si>
    <t>2-s2.0-0032812492</t>
  </si>
  <si>
    <t>['ventral habitus', 'sao paulo', 'platyscytus reuter', 'male genitalia', 'ficus sp', 'female antennae', 'amazonophilus carvalho']</t>
  </si>
  <si>
    <t>Bergmannae | Brazil | Heteroptera | Insecta | Miridae | New genus | New species | Phylinae | Platyscytisca</t>
  </si>
  <si>
    <t>The new genus Platyscytisca is described to accommodate the new species P. bergmannae, collected in Sao Paulo, Brazil, on Ficus sp. A dorsal and ventral habitus, male genitalia, male genital capsule, and male and female antennae are illustrated to help with recognition. Amazonophilus Carvalho and Costa is resurrected from synonymy under Platyscytus Reuter, and its relationship to Platyscytisca is discussed.</t>
  </si>
  <si>
    <t>490-495</t>
  </si>
  <si>
    <t>60000036;60001989</t>
  </si>
  <si>
    <t>14057749100;7102043646</t>
  </si>
  <si>
    <t>Costa, Luiz A.A.;Henry, Thomas J.</t>
  </si>
  <si>
    <t>Washington, D.C.;Rio de Janeiro</t>
  </si>
  <si>
    <t>USDA Agricultural Research Service;Universidade Federal do Rio de Janeiro</t>
  </si>
  <si>
    <t>60001989;60000036</t>
  </si>
  <si>
    <t>Costa L.</t>
  </si>
  <si>
    <t>Platyscytisca bergmannae, a new genus and species of neotropical plant bug resembling species of Platyscytus reuter (Heteroptera: Miridae: Phylinae)</t>
  </si>
  <si>
    <t>2-s2.0-0032815189</t>
  </si>
  <si>
    <t>['visits associated', 'videotaped data', 'three methods', 'supplement diet', 'single animal', 'rf systems', 'rf system', 'rf interference', 'relate attendance', 'radio frequency', 'one considered', 'observations suggest', 'metal material', 'include non', 'highly correlated', 'future studies', 'feeding time', 'feeding activity', 'feed intake', 'errors due', 'correction factor', 'bunk visits', 'bunk attendance', 'better indicator', 'barley silage', 'averaging 88', 'approximately 84', 'ab ).', '96 ).']</t>
  </si>
  <si>
    <t>Cattle | Feeding behaviour | Identification | Radio frequency | Validation</t>
  </si>
  <si>
    <t>The feed bunk attendance patterns of six crossbred beef heifers (averaging 481¬±22 kg) and six crossbred beef steers (averaging 471¬±44 kg) being fed an 80% steam-rolled barley grain:15% barley silage and 5% supplement diet were monitored for 52 days using a radio frequency (RF) system (GrowSafe¬Æ Systems Ltd., Airdrie, AB). The system was validated by three methods: (1) comparing the duration and frequency of feeding visits recorded by the RF system against those calculated from video surveillance data; (2) comparing the bunk attendance data provided by two separate RF transponders can-led by a single animal; and (3) documenting the relationship between bunk attendance and actual feeding time. When one considered the ability of the RF system to monitor the presence or absence of an animal, total daily error in the RF system was 6% as compared to the videotaped data. Incidence of errors due to RF interference and false antennae readings were 2.4 and 3.6%, respectively. The RF system was concluded to be a highly effective tool for documenting bunk attendance. Feeding durations documented by animals bearing two transponders were highly correlated, averaging 88.4¬±1.5 and 84.5¬±1.5 min day-1 (R2 = 0.96). Frequency of bunk visits was also highly correlated (R2 = 0.96). Approximately 84% of total bunk attendance time was spent consuming feed; 16% was spent on non-feeding activity. On average, the cattle made 29¬±11.8 visits day-1, with 55.8% of visits associated with feeding activity and 44.2% with non-feeding activity. These observations suggest that attendance duration may be a better indicator of an animal's feed intake than frequency of attendance at the bunk. Future studies with GrowSafe¬Æ or other RF systems that do not automatically record feed intake should incorporate a correction factor to relate attendance to feeding time. Factors were identified that could introduce errors with the GrowSafe¬Æ system. These include non-grounded, metal material (connected in a loop configuration), particularly when associated with the feed bunk area.</t>
  </si>
  <si>
    <t>Livestock Production Science</t>
  </si>
  <si>
    <t>60014549;100761456;60014549</t>
  </si>
  <si>
    <t>6602136874;6507883065;7102068695</t>
  </si>
  <si>
    <t>Schwartzkopf-Genswein, K. S.;Huisma, C.;McAllister, T. A.</t>
  </si>
  <si>
    <t>Lethbridge;</t>
  </si>
  <si>
    <t>Lethbridge Research and Development Centre;GrowSafe Systems Ltd.</t>
  </si>
  <si>
    <t>60014549;100761456</t>
  </si>
  <si>
    <t>Schwartzkopf-Genswein K.S.</t>
  </si>
  <si>
    <t>Validation of a radio frequency identification system for monitoring the feeding patterns of feedlot cattle</t>
  </si>
  <si>
    <t>S0301622699000470</t>
  </si>
  <si>
    <t>10.1016/S0301-6226(99)00047-0</t>
  </si>
  <si>
    <t>2-s2.0-0033041964</t>
  </si>
  <si>
    <t>['tm10 mode', 'slot size', 'significantly enhanced', 'significant decrease', 'resonant frequency', 'resistor loading', 'rectangular patch', 'radiating edge', 'field point', 'experimental results', 'easily achieved', 'e .,', 'broadband operation', 'also seen']</t>
  </si>
  <si>
    <t>Broadband operation of a slot-coupled compact rectangular microstrip antenna with a chip-resistor loading is demonstrated. By loading a chip-resistor at the radiating edge, a significant decrease in the resonant frequency of the rectangular microstrip antenna is achieved, which can result in a large antenna size reduction, and the operating impedance bandwidth is also seen to be significantly enhanced, as compared with the shorting-pin loading case. Good impedance matching can be easily achieved by adjusting the coupling-slot size, with the slot center fixed at the null-field point of the TM10 mode, i.e., the center of the rectangular patch. Also, it is found that the required slot size increases with increasing loading resistance. Typical antenna designs and experimental results are presented and discussed.</t>
  </si>
  <si>
    <t>550-554</t>
  </si>
  <si>
    <t>Broadband operation of a slot-coupled compact rectangular microstrip antenna with a chip-resistor loading</t>
  </si>
  <si>
    <t>2-s2.0-0033153945</t>
  </si>
  <si>
    <t>['wave approach', 'various aspects', 'thus confirming', 'second category', 'resonant frequencies', 'propagation characteristics', 'printed antennas', 'patch antenna', 'paper confirms', 'order modes', 'multiple leaky', 'mode lines', 'microstrip line', 'microstrip discovered', 'microstrip belong', 'like currents', 'leaky modes', 'leaky line', 'investigated throughout', 'first category', 'experimentally proved', 'either viewed', 'differential tdr', 'current definition', 'corresponding guided', 'coexist simultaneously', 'bound mode', 'accurate assessment']</t>
  </si>
  <si>
    <t>This paper confirms that the guided-wave approach for effective integrated antenna design is applicable by exploring the various aspects of the propagation characteristics of the leaky modes. The (suspended) microstrip line is investigated throughout the paper because of its simplicity and popularity. The first category of leaky modes stems from the higher-order modes on microstrip discovered by Oliner et al. Careful analyses show that these higher-order leaky modes are periodical and coincident with the patch antenna's resonant frequencies. When multiple leaky-mode lines are employed to form an array, the circuit model based on the mode-coupling of the leaky modes can result in very accurate assessment of the far-field radiation pattern. The leaky modes carrying dominant-mode-like currents and displaying very similar transverse field patterns surrounding the (suspended) microstrip belong to the second category. These newly found modes are experimentally proved to coexist simultaneously with the dominant, bound mode. Differential TDR (time-domain-reflectometry) experiment on the leaky line shows excellent agreement with the time-domain step response obtained by invoking the transmission line model characterized by complex propagation constant and complex characteristic impedance using the power-current definition, thus confirming the applicability of complex characteristic impedance of a leaky line. Throughout the paper, printed antennas are either viewed as waveguides or designed by the corresponding guided, complex, leaky modes.</t>
  </si>
  <si>
    <t>544-549</t>
  </si>
  <si>
    <t>Tzuang, Ching Kuang C.</t>
  </si>
  <si>
    <t>Tzuang C.</t>
  </si>
  <si>
    <t>Leaky mode perspective on printed antenna</t>
  </si>
  <si>
    <t>2-s2.0-0033153946</t>
  </si>
  <si>
    <t>['right antennas', 'polarized waves', 'polarimetry function', 'operated simultaneously', 'jointly developed', 'interferometry function', 'former developing', 'dimensional imaging', 'class levels', 'band section', 'band features']</t>
  </si>
  <si>
    <t>The Communications Research Laboratory (CRL) and the National Space Development Agency of Japan (NASDA) have jointly developed an X/L-band airborne imaging radar system, with the former developing the X-band section and the latter the L-band section. Both sections employ synthetic aperture radar. The X-band has an interferometry function, which features and the three-dimensional imaging of terrain through a pair of left/right antennas, and a polarimetry function that can perform detailed discrimination through polarized waves. The resolution of the image is about 1.5 m. The L-band features a resolution of about 3 m and has a polarimetry function like the X-band. All of these functions can be operated simultaneously at world-class levels of performance.</t>
  </si>
  <si>
    <t>245-252</t>
  </si>
  <si>
    <t>6603993313;55724281200;7202736529;7005098920;6601996780;7005158379;35473149000</t>
  </si>
  <si>
    <t>Uratsuka, Seiho;Kobayashi, Tatsuharu;Satake, Makoto;Umehara, Toshihiko;Nadai, Akitsugu;Masuko, Harunobu;Shimada, Masanobu</t>
  </si>
  <si>
    <t>Uratsuka S.</t>
  </si>
  <si>
    <t>Development of three-dimensional high-resolution airborne imaging radar</t>
  </si>
  <si>
    <t>2-s2.0-0033156971</t>
  </si>
  <si>
    <t>['successful pre', 'successful operationalization', 'spacecraft subsystems', 'spacecraft require', 'software processes', 'software forms', 'software embedded', 'seldom static', 'reliable operation', 'qualified microprocessors', 'paper presents', 'operational lives', 'onboard software', 'major part', 'launch operations', 'flexibility offered', 'dependable software', 'critical computer', 'continuously improved', 'based systems']</t>
  </si>
  <si>
    <t>Every spacecraft operation requires the use of computer-based systems in some form or the other. Successful pre-launch, launch and post-launch operations and operational lives of the spacecraft require a number of these critical computer-based ground support systems. Software forms a major part of these systems. Further, due to the flexibility offered by the processor-based systems, more and more spacecraft subsystems are being designed using space-qualified microprocessors. The Indian spacecraft subsystems that are processor-based include systems for attitude and orbit control sensors, telecommand, phased array antenna and power. Reliable operation of the software embedded in these subsystems is crucial to the successful operationalization of the spacecraft. These high integrity software, namely, onboard software and the critical ground software must exhibit very high dependability characteristics. Adopting sound software engineering principles ensures the development of dependable software. The software engineering processes are seldom static and the processes are continuously improved. This paper presents the evolution of the software processes for developing high integrity applications at ISRO Satellite Centre and the ongoing efforts towards improving them.</t>
  </si>
  <si>
    <t>Balaji, S.</t>
  </si>
  <si>
    <t>Balaji S.</t>
  </si>
  <si>
    <t>Software processes for developing high integrity applications at ISAC: Past, present and future</t>
  </si>
  <si>
    <t>2-s2.0-0033157447</t>
  </si>
  <si>
    <t>['viable alternative', 'type antennas', 'surprising amount', 'readily integrated', 'planar antennas', 'mobile handsets', 'low profile', 'higher directivity', 'functionality possible', 'frequency scanning', 'compact size', 'broad bandwidth', 'antennas based', 'active arrays']</t>
  </si>
  <si>
    <t>A variety of planar antennas for microwave and millimeter wave communications are described. Resonant-type antennas, such as the patch and the slot, are low profile and compact and can be readily integrated into large, active arrays. Their broad patterns also make them useful in mobile handsets. Other more exotic planar antennas, like the microstrip leaky wave, have higher directivity and the ability for frequency scanning. The quasi-Yagi antenna demonstrates the surprising amount of functionality possible with planar antennas. Its compact size, broad bandwidth and good patterns provide a viable alternative to antennas based on other technologies.</t>
  </si>
  <si>
    <t>60027550;60027550;60027550;60021939</t>
  </si>
  <si>
    <t>7006826516;37019491200;36041035600;7003812689</t>
  </si>
  <si>
    <t>Deal, W. R.;Qian, Y.;Itoh, T.;Radisic, V.</t>
  </si>
  <si>
    <t>Planar integrated antenna technology</t>
  </si>
  <si>
    <t>2-s2.0-0033164617</t>
  </si>
  <si>
    <t>['theoretical results', 'segmentation method', 'rotman lenses', 'rotman lens', 'readily predicted', 'new techniques', 'mutual couplings', 'method far', 'internal reflections', 'good agreement', 'frequently used', 'experimental ones', 'every junction', 'ecm systems', 'dummy ports', 'design example', 'computationally efficient']</t>
  </si>
  <si>
    <t>Rotman lenses are frequently used as multiple beamforming networks (BFN) in ECM systems and personal communication systems. In this paper, the contour integral method along with the segmentation method are applied to analyze the Rotman lenses fabricated on microstrips. All mutual couplings, internal reflections between ports and the discontinuity at every junction are taken into account. Some new techniques are used to make the method far more computationally efficient. The effects of the three individual design parameters on the shape and performance of the Rotman lens are investigated by the method. The effect of the dummy ports can be readily predicted too. A design example for selecting these parameters is given and the theoretical results are in good agreement with the experimental ones, which proves the method to be correct.</t>
  </si>
  <si>
    <t>321-325</t>
  </si>
  <si>
    <t>60025578;60025578;60025578</t>
  </si>
  <si>
    <t>7005006467;7403280923;7103207472</t>
  </si>
  <si>
    <t>Yuan, Ning;Liang, Changhong;Nie, Xiaochun</t>
  </si>
  <si>
    <t>Yuan N.</t>
  </si>
  <si>
    <t>Analysis and design for Rotman lenses</t>
  </si>
  <si>
    <t>2-s2.0-0033164728</t>
  </si>
  <si>
    <t>['therefore confirmed', 'sem investigation', 'segment iv', 'segment iii', 'sacculinid species', 'sacculinid form', 'rhizocephalan cyprids', 'reared cyprids', 'host crab', 'gill lamellae', 'female larvae', 'female h', 'detailed features', 'cypris antennules', 'attachment organ']</t>
  </si>
  <si>
    <t>Antennule | Cyprid | Heterosaccus lunatus | Rhizocephala | SEM</t>
  </si>
  <si>
    <t>SEM investigation of laboratory-reared cyprids of the parasitic barnacle Heterosaccus lunatus has revealed morphological differences between the male and female larvae, particularly the attachment organ of their antennules. The detailed features of the attachment organ (segment III) and segment IV for each sex are described and compared with those of other rhizocephalan cyprids, particularly Sacculina carcini, a reportedly closely related species. The absence of the large posterior sac from segment III in the H. lunatus male highlights the need for careful larval investigations on other sacculinid species. Settlement of female H. lunatus cyprids occurred on the gill lamellae of the host crab with the subsequent kentrogon stage taking the sacculinid form. The inclusion of H. lunatus in the Sacculinidae was therefore confirmed, based on the morphology of the cypris antennules and kentrogon.</t>
  </si>
  <si>
    <t>209-217</t>
  </si>
  <si>
    <t>Walker, Graham</t>
  </si>
  <si>
    <t>Bangor</t>
  </si>
  <si>
    <t>Bangor University</t>
  </si>
  <si>
    <t>Walker G.</t>
  </si>
  <si>
    <t>The cypris larvae of the rhizocephalan barnacle Heterosaccus lunatus with particular reference to antennular morphology</t>
  </si>
  <si>
    <t>10.1046/j.1463-6395.1999.00018.x</t>
  </si>
  <si>
    <t>2-s2.0-0033166345</t>
  </si>
  <si>
    <t>['reflection obtained', 'physical experiment', 'large number', 'horn antenna', 'amplitude characteristics', 'also presented']</t>
  </si>
  <si>
    <t>A description is given of the conditions under which measurements of the amplitude characteristics of reflection obtained for a large number of frequencies with a horn antenna as the probe can be used to synthesize the same signal that is synthesized on the basis of the relation for the complex reflection coefficient. The results of a physical experiment are also presented.</t>
  </si>
  <si>
    <t>545-551</t>
  </si>
  <si>
    <t>Russian Journal of Nondestructive Testing</t>
  </si>
  <si>
    <t>Drobakhin, O. O.</t>
  </si>
  <si>
    <t>Drobakhin O.</t>
  </si>
  <si>
    <t>Realization of a method for synthesizing the envelope of a radio-frequency pulse based on amplitude measurements made with a horn antenna</t>
  </si>
  <si>
    <t>2-s2.0-0033234836</t>
  </si>
  <si>
    <t>['wild type', 'total chlorophyll', 'tomato plant', 'structural organization', 'somatic hybridization', 'revealed previously', 'reconstructed chondriome', 'psi antenna', 'ps ii', 'protein complexes', 'photosynthetic rate', 'photosynthetic pigments', 'photosynthetic characteristics', 'photosynthetic apparatus', 'photochemical activity', 'phenotypic level', 'peruvianum var', 'parental species', 'page showed', 'nucleocytoplasmic incompatibility', 'nuclear genome', 'line 3767', 'functional activity', 'esculentum mill', 'electron transfer', 'dentatum dun', 'dark metabolism', 'cytoplasmic hybrid', 'chlorophyll forms', 'b content', '9 lower', '6 lower']</t>
  </si>
  <si>
    <t>Co -exchange 2 | Cytoplasmic hybrid | Fluorescence | Lycopersicon | Nucleocytoplasmic incompatibility | Thylakoids</t>
  </si>
  <si>
    <t>Photosynthetic characteristics of cytoplasmic hybrid Lycopersicon esculentum + L. peruvianum var. dentatum, which had been constructed by means of somatic hybridization, were investigated. This hybrid contained L. peruvianum var. dentatum Dun. plastome, reconstructed chondriome, and possessed phenotypic traits of nucleocytoplasmic incompatibility. Investigation of the content of photosynthetic pigments in the cytoplasmic hybrid L. esculentum + L. peruvianum var. dentatum, tomato plant L. esculentum Mill, (cultivars Quedlinburger Fr√ºhe Liebe,), and a wild species L. peruvianum var. dentatum Dun. (line 3767) showed that the total chlorophyll a and b content was 1.2-1.6 lower in the hybrid than in parental species. Analysis of chlorophyll-protein complexes by SDS-PAGE showed that the content of PS I reaction center complexes (CP1a and CP1) was reduced in the cytoplasmic hybrid. Analysis of fluorescence induction curves of leaves and low-temperature fluorescence spectra of chloroplasts revealed significant changes in the structural organization and functional activity of the photosynthetic apparatus in the cytoplasmic hybrid L. esculentum + L. peruvianum var. dentatum. The hybrid exhibited changes in chlorophyll forms of the PSI antenna, a decrease in photochemical activity and the efficiency of dark metabolism, as well as the impairment of electron transfer between PS I and PS II. The genotypes examined markedly differed in CO2 exchange rate. Photosynthetic rate was 1.3 and 1.9 lower in the cytoplasmic hybrid than in tomato plant and wild type, respectively. These alterations in the photosynthetic apparatus of the cytoplasmic hybrid of cultured tomato confirm the incompatibility of the nuclear genome of L. esculentum with plasmagenes of L. peruvianum var. dentatum, which was revealed previously at the phenotypic level.</t>
  </si>
  <si>
    <t>474-481</t>
  </si>
  <si>
    <t>Russian Journal of Plant Physiology</t>
  </si>
  <si>
    <t>60104367;60104367;60011313;60011313;60011313;60011313;60104367</t>
  </si>
  <si>
    <t>6602658703;6506804148;7003935923;6506490640;57196358932;7003340068;7003670117</t>
  </si>
  <si>
    <t>Kochevenko, A. S.;Ratushnyak, Ya I.;Korneev, D. Yu;Stasik, O. O.;Shevchenko, V. V.;Kochubei, S. M.;Gleba, Yu Yu</t>
  </si>
  <si>
    <t>Kiev;Kiev</t>
  </si>
  <si>
    <t>Institute of Cell Biology and Genetic Engineering, National Academy of Sciences of Ukraine;National Academy of Sciences in Ukraine</t>
  </si>
  <si>
    <t>60104367;60011313</t>
  </si>
  <si>
    <t>Kochevenko A.</t>
  </si>
  <si>
    <t>Photosynthetic apparatus in a cytoplasmic hybrid of cultured tomato carrying the nucleocytoplasmic incompatibility trait</t>
  </si>
  <si>
    <t>2-s2.0-0033238386</t>
  </si>
  <si>
    <t>['symbol energy', 'results indicate', 'rake structure', 'perform optimally', 'multipath environment', 'multipath components', 'indoor channels', 'indoor channel', 'gaussian dqpsk', 'excess delay', 'demonstrated along', 'data rates', 'css system', 'channel multipath', '200 ns', '20 mb']</t>
  </si>
  <si>
    <t>The principles of chirp spread spectrum (CSS) are explained. The three elements required for a CSS system to perform optimally in the multipath environment are presented: a chirp surface acoustic wave (SAW) spreader/correlator for resolution of the channel multipath, a phase-differential modulation scheme to co-phase the multipath components, and a RAKE structure for recovery and recombination of the symbol energy. The advantage of CSS is that all three of these elements can be implemented with simple analogue hardware. A prototype CSS system is demonstrated along with simulated and measured performance plots in the indoor channel. The results indicate that CSS can perform within 2 dB of Gaussian DQPSK in 10-m non-line-of-sight (NLOS) indoor channels with excess delay &gt;200 ns, down to bit error rates of 10-7 with single omni antennas in transmitter and receiver and no coding, at data rates of 20 Mb/s.</t>
  </si>
  <si>
    <t>121-125</t>
  </si>
  <si>
    <t>60002306;60002306;60002306;60002306</t>
  </si>
  <si>
    <t>7007024444;7006683405;7102291345;6701712257</t>
  </si>
  <si>
    <t>Pinkney, John Q.;Sesay, Abu B.;Nichols, Spence;Behin, Rayhan</t>
  </si>
  <si>
    <t>Calgary</t>
  </si>
  <si>
    <t>University of Calgary</t>
  </si>
  <si>
    <t>Pinkney J.</t>
  </si>
  <si>
    <t>Robust high-speed indoor wireless communications system using chirp spread spectrum</t>
  </si>
  <si>
    <t>2-s2.0-0033343591</t>
  </si>
  <si>
    <t>['noise ratio', 'many factors', 'known expression', 'fading correlation', 'diversity antennas', 'derived specifies', 'density function', 'conditional probability', 'ary psk', 'arbitrary number']</t>
  </si>
  <si>
    <t>The effect of fading correlation on the symbol error rate (SER) performance of M-ary phase shift keying (PSK) with maximal ratio combining (MRC) for an arbitrary number of diversity antennas is investigated. The degree and distribution of fading correlation is determined by many factors. The fading correlation matrix from which the density function for the combined symbol signal-to-noise ratio (SNR) is derived specifies it. The performance evaluation uses the known expression for the SER of M-ary PSK in additive white Gaussian noise (AWGN) as the conditional probability, then averages it over the density function for the combined symbol SNR.</t>
  </si>
  <si>
    <t>199-201</t>
  </si>
  <si>
    <t>7404468952;37960931800</t>
  </si>
  <si>
    <t>Cho, Youngkwon;Lee, Jae Hong</t>
  </si>
  <si>
    <t>Cho Y.</t>
  </si>
  <si>
    <t>Effect of fading correlation on the SER performance of M-ary PSK with maximal ratio combining</t>
  </si>
  <si>
    <t>10.1109/4234.775253</t>
  </si>
  <si>
    <t>2-s2.0-0033361430</t>
  </si>
  <si>
    <t>['spherical lenses', 'noise temperature', 'different types', 'dielectric parameters', 'comparative estimation']</t>
  </si>
  <si>
    <t>The basic factors determining the equivalent noise temperature of spherical lens antennas are considered. The antenna noise temperature is calculated for different types of spherical lenses as a function of the dielectric parameters. A comparative estimation of the noise temperature of reflector and spherical lens antennas is performed.</t>
  </si>
  <si>
    <t>780-781</t>
  </si>
  <si>
    <t>Kharlanov, Yu Ya</t>
  </si>
  <si>
    <t>Kharlanov Y.</t>
  </si>
  <si>
    <t>Noise Temperature of Spherical Lens Antennas</t>
  </si>
  <si>
    <t>2-s2.0-0041597236</t>
  </si>
  <si>
    <t>['transmitting antenna', 'surface satisfies', 'existing requirements']</t>
  </si>
  <si>
    <t>Radiation of the transmitting antenna of a solar space power system (SSPS) formed by independent square radiating units is analyzed. Conditions at which the power density distribution on the Earth's surface satisfies the existing requirements are determined.</t>
  </si>
  <si>
    <t>775-779</t>
  </si>
  <si>
    <t>7005742634;7004652700</t>
  </si>
  <si>
    <t>Fadeev, V. G.;Vanke, V. A.</t>
  </si>
  <si>
    <t>Fadeev V.</t>
  </si>
  <si>
    <t>Optimization of the Transmitting Antenna of Solar Space Power System</t>
  </si>
  <si>
    <t>2-s2.0-0041598334</t>
  </si>
  <si>
    <t>['waveguiding applications', 'pbg materials', 'electromagnetic analysis', 'efficient tool']</t>
  </si>
  <si>
    <t>Since photonic band gap structures (PBG) have been built for the millimetre frequencies scientists have tried to use such PBG materials to solve their electromagnetic problems concerning antennas or waveguiding applications. The finite difference time domain (FDTD) method is an efficient tool for electromagnetic analysis and can be used to study PBG structures. In this paper we present different electromagnetic analyses using FDTD to study PBG materials.</t>
  </si>
  <si>
    <t>495-500</t>
  </si>
  <si>
    <t>7004028651;7004363654;7006402070</t>
  </si>
  <si>
    <t>Th√®venot, M.;Reineix, A.;Jecko, B.</t>
  </si>
  <si>
    <t>Th√®venot M.</t>
  </si>
  <si>
    <t>FDTD approach for modelling PBG structures</t>
  </si>
  <si>
    <t>10.1088/1464-4258/1/4/314</t>
  </si>
  <si>
    <t>2-s2.0-0043184017</t>
  </si>
  <si>
    <t>Universidade de S√£o Paulo</t>
  </si>
  <si>
    <t>USP</t>
  </si>
  <si>
    <t>['vertical definition', 'present form', 'position solutions', 'level results', 'jpl service', 'individual dual', 'frequency receivers', 'entirely automated', 'electronic center', 'data submission', 'computed repeatedly', 'available via', '24 hours', '1 hour', '0 ).']</t>
  </si>
  <si>
    <t>Data Analysis | Electronic Center | Observation Time | Present Form | Reference Station</t>
  </si>
  <si>
    <t>The Jet Propulsion Laboratory's (JPL's) automated GPS data analysis service, which is available via the Internet, has been tested. This service is attractive not only because data submission and retrieval are entirely automated on the Internet, but also because it makes centimeter positioning possible for individual dual-frequency receivers. To learn more about this service, the repeatability of position solutions were investigated by means of two simple experiments. The positions of a continuously operating reference station have been computed repeatedly for observation times ranging from 1 hour to 24 hours. In addition, short baseline repeatability and accuracy were tested. Centimeter-level results were obtained. The difference in the vertical definition of the electronic center for antennas of different types could readily be identified. The JPL service is easy to use, even in its present form (which one might label version 1.0). ¬© 1999 John Wiley &amp; Sons, Inc.</t>
  </si>
  <si>
    <t>73-76</t>
  </si>
  <si>
    <t>60008279;60008279</t>
  </si>
  <si>
    <t>56181241700;22635358800</t>
  </si>
  <si>
    <t>Witchayangkoon, Boon;Segantine, Paulo C.L.</t>
  </si>
  <si>
    <t>Orono</t>
  </si>
  <si>
    <t>University of Maine</t>
  </si>
  <si>
    <t>Witchayangkoon B.</t>
  </si>
  <si>
    <t>Testing JPL's PPP Service</t>
  </si>
  <si>
    <t>10.1007/PL00012782</t>
  </si>
  <si>
    <t>2-s2.0-0242529284</t>
  </si>
  <si>
    <t>['vertical errors', 'stable point', 'satellite elevation', 'physical point', 'physical monuments', 'phase center', 'information may', 'gps baseline', 'gps antenna', 'generally assumed', 'changing direction', 'azimuthal effects', 'avoid problems', 'antenna variations', 'antenna offsets', '10 cm']</t>
  </si>
  <si>
    <t>Center Variation | Local Environment | Phase Center | Physical Point | Stable Point</t>
  </si>
  <si>
    <t>The precise point whose position is being measured when a GPS baseline is determined is generally assumed to be the phase center of the GPS antenna. However, the phase center of a GPS antenna is neither a physical point nor a stable point. For any given GPS antenna, the phase center will change with the changing direction of the signal from a satellite. Ideally, most of this phase center variation depends on satellite elevation. Azimuthal effects are only introduced by the local environment around each individual antenna site. These phase center variations affect the antenna offsets that are needed to connect GPS measurements to physical monuments. Ignoring these phase center variations can lead to serious (up to 10 cm) vertical errors. This article will describe the procedure by which the National Geodetic Survey is calibrating GPS antennas and how this information may be obtained and used to avoid problems from these antenna variations. ¬© 1999 John Wiley &amp; Sons, Inc.</t>
  </si>
  <si>
    <t>50-58</t>
  </si>
  <si>
    <t>Mader, Gerald L.</t>
  </si>
  <si>
    <t>National Geodetic Survey N/NG56</t>
  </si>
  <si>
    <t>Mader G.</t>
  </si>
  <si>
    <t>GPS Antenna Calibration at the National Geodetic Survey</t>
  </si>
  <si>
    <t>10.1007/PL00012780</t>
  </si>
  <si>
    <t>2-s2.0-0342917314</t>
  </si>
  <si>
    <t>['time gps', 'success rate', 'results indicate', 'pseudorange observations', 'pseudorange data', 'one antenna', 'minimum delay', 'lambda method', 'integer ambiguities', 'implemented within', 'epoch basis', 'cost fiberoptic', 'carrier phase', 'attitude angles', 'article describes', 'adaptive procedure', 'accuracy real']</t>
  </si>
  <si>
    <t>Ambiguity Resolution | Attitude Determination | Carrier Phase | Integer Ambiguity | Lambda Method</t>
  </si>
  <si>
    <t>High-accuracy real-time GPS-based attitude determination requires that integer ambiguities be resolved very quickly so that the attitude angles can be output with minimum delay. This article describes an attitude determination algorithm that can resolve integer ambiguities instantaneously, relative to one antenna of a multi-antenna array configuration. The carrier phase and pseudorange observations are used with fixed baseline length constraints and fiberoptic gyro data. Real-time stochastic model improvement using empirical elevation-dependent standard deviation function and an estimated scale factor are a feature of this algorithm. Integer ambiguity search using the LAMBDA method, sophisticated validation criteria, and an adaptive procedure has also been implemented within the software. An experiment was carried out using four Leica dual-frequency GPS receivers (but only the L1 carrier phase and pseudorange data were used) and a low-cost fiberoptic on a car. The results indicate that integer ambiguities can be resolved on a single-epoch basis with a 98.9% success rate. ¬© 1999 John Wiley &amp; Sons, Inc.</t>
  </si>
  <si>
    <t>7405946544;56247563100</t>
  </si>
  <si>
    <t>Han, Shaowei;Rizos, Chris</t>
  </si>
  <si>
    <t>Han S.</t>
  </si>
  <si>
    <t>Single-Epoch Ambiguity Resolution for Real-Time GPS Attitude Determination with the Aid of One-Dimensional Optical Fiber Gyro</t>
  </si>
  <si>
    <t>10.1007/PL00012779</t>
  </si>
  <si>
    <t>2-s2.0-1642289071</t>
  </si>
  <si>
    <t>5B1</t>
  </si>
  <si>
    <t>['xanthophyll cycle', 'two species', 'scenedesmus exhibited', 'regulatory factor', 'photosystem ii', 'photochemical quenching', 'overall non', 'outdoor conditions', 'lower sensitivity', 'limited extent', 'larger xanthophyll', 'larger pool', 'laboratory cultures', 'key role', 'higher plants', 'higher capacity', 'high irradiance', 'grown outdoors', 'elucidate whether', 'efficient quenching', 'cycle pool', 'cycle pigments', 'chlorella sorokiniana', 'chlorella represents', 'appreciable role', 'absorbed light']</t>
  </si>
  <si>
    <t>Chlorella | Electron transport rate | Non-photochemical quenching | Photosynthesis | Scenedesmus | Xanthophyll cycle</t>
  </si>
  <si>
    <t>The role of the xanthophyll cycle in the adaptation of two chlorococcal algae Scenedesmus quadricauda and Chlorella sorokiniana to high irradiance was studied under laboratory and outdoor conditions. We wished to elucidate whether the xanthophyll cycle plays a key role in dissipating the excesses of absorbed light, as in higher plants, and to characterise the relationship between chlorophyll fluorescence parameters and the content of xanthophyll-cycle pigments. The xanthophyll cycle was found to be operative in both species; however, its contribution to overall non-photochemical quenching (NPQ) could only be distinguished in Scenedesmus (15-20% of total NPQ). The Scenedesmus cultures showed a larger pool of xanthophyll-cycle pigments than Chlorella, and lower sensitivity to photoinhibition as judged from the reduction of maximum quantum yield of photosystem II. In general, both algae had a larger xanthophyll-cycle pool when grown outdoors than in laboratory cultures. Comparing the two species, Scenedesmus exhibited a higher capacity to adapt to high irradiance, due to an effective quenching mechanism and high photosynthetic capacity; in contrast, Chlorella represents a species with a larger antennae system, less-efficient quenching and lower photosynthetic performance. Non-photochemical quenching (NPQ) induced through the xanthophyll cycle can, to a limited extent, represent a regulatory factor in diluted algal cultures grown in outdoor solar photobioreactors, as well as in natural algal phytoplankton populations exposed transiently to high irradiance. However, it does not play an appreciable role in dense, well-mixed microalgal suspensions.</t>
  </si>
  <si>
    <t>126-135</t>
  </si>
  <si>
    <t>60027611;60021199;60027611-60009424;60027611;60021199;60021199;60027611</t>
  </si>
  <si>
    <t>6701575788;6701414060;55890512800;22962130300;7005425489;15919933300;55023133800</t>
  </si>
  <si>
    <t>Masoj√≠dek, Ji≈ô√≠;Torzillo, Giuseppe;Kobl√≠≈æek, Miehal;Kopeck√Ω, Ji≈ô√≠;Bernardini, Paola;Sacchi, Angelo;Komenda, Josef</t>
  </si>
  <si>
    <t>Czech Republic;Italy;Czech Republic</t>
  </si>
  <si>
    <t>Prague;Rome;Ceske Budejovice</t>
  </si>
  <si>
    <t>Institute of Microbiology of the Academy of Sciences of the Czech Republic;Consiglio Nazionale delle Ricerche;Jihoƒçesk√° Univerzita v ƒåesk√Ωch Budƒõjovic√≠ch</t>
  </si>
  <si>
    <t>60027611;60021199;60009424</t>
  </si>
  <si>
    <t>Masoj√≠dek J.</t>
  </si>
  <si>
    <t>Photoadaptation of two members of the Chlorophyta (Scenedesmus and Chlorella) in laboratory and outdoor cultures: Changes in chlorophyll fluorescence quenching and the xanthophyll cycle</t>
  </si>
  <si>
    <t>10.1007/s004250050614</t>
  </si>
  <si>
    <t>2-s2.0-18744435664</t>
  </si>
  <si>
    <t>['subfamily sympycninae', 'ryukyus ),', 'oriental region', 'like arista', 'highly reduced', 'gratiosa becker', 'dolichopodidae ).', 'comb .,']</t>
  </si>
  <si>
    <t>Diptera | Dolichopodidae | Mastigomyia | Oriental fauna</t>
  </si>
  <si>
    <t>The genus Mastigomyia Becker is redefined, and is a member of subfamily Sympycninae (Diptera: Dolichopodidae). The genus is based on male secondary sexual characters of the antenna: an elongate first flagellomere, which bears a highly reduced and bristle-like arista. Mastigomyia is known only from the Oriental region, and comprises four species, M. gratiosa Becker, from Taiwan, Laos and Japan (Ryukyus), M. anomalicerus (Hollis), n. comb., from Nepal, and two new species, M. trangensis from Thailand, and M. amami from the Ryukyus.</t>
  </si>
  <si>
    <t>287-294</t>
  </si>
  <si>
    <t>Raffles Bulletin of Zoology</t>
  </si>
  <si>
    <t>Bickel, Daniel J.</t>
  </si>
  <si>
    <t>Bickel D.</t>
  </si>
  <si>
    <t>The oriental genus Mastigomyia becker (Diptera: Dolichopodidae)</t>
  </si>
  <si>
    <t>2-s2.0-0033444849</t>
  </si>
  <si>
    <t>['two subarrays', 'sierpinski carpet', 'produce either', 'particular example', 'fractal subarrays', 'difference patterns', 'difference pattern', 'difference modes']</t>
  </si>
  <si>
    <t>In this letter, we explore the potential for the application of fractal subarrays to the generation of sum and difference patterns. For the purposes of this investigation, a standard planar array is decomposed into two subarrays: one in the form of a Sierpinski carpet, and the other consisting of its complement. A methodology is then introduced for feeding the two subarrays in order to produce either a sum or a difference pattern. A particular example is considered in which directive gain plots are obtained for both the sum and difference modes of a 27√ó27 planar array.</t>
  </si>
  <si>
    <t>54-57</t>
  </si>
  <si>
    <t>60001439;60001439;60136252</t>
  </si>
  <si>
    <t>55925714300;6504440126;56036142700</t>
  </si>
  <si>
    <t>Werner, D. H.;Anushko, K. C.;Werner, P. L.</t>
  </si>
  <si>
    <t>Dubois;University Park</t>
  </si>
  <si>
    <t>Penn State DuBois;Pennsylvania State University</t>
  </si>
  <si>
    <t>60136252;60001439</t>
  </si>
  <si>
    <t>Generation of sum and difference patterns using fractal subarrays</t>
  </si>
  <si>
    <t>10.1002/(SICI)1098-2760(19990705)22:1&lt;54::AID-MOP14&gt;3.0.CO;2-B</t>
  </si>
  <si>
    <t>2-s2.0-0033360482</t>
  </si>
  <si>
    <t>['widely applied', 'transient excitation', 'slot antenna', 'numerically efficient', 'important aspect', 'fdtd calculation', 'domain method', 'difference time', 'cpw folded', 'cps circuits', 'complex structures', 'analyzing cpw']</t>
  </si>
  <si>
    <t>The finite-difference time-domain method (FDTD) is widely applied for the analysis of various microwave circuits. In this letter, an important aspect of an internal resistive source modeling is emphasized for reducing the number of time steps required for the FDTD calculation to converge, especially for transient excitation. A CPW folded-slot antenna and CPS bandstop filter are chosen as complex structures to illustrate the advantage of an internal resistive source modeling. The numerical results show that the internal resistive source modeling is numerically efficient and accurate in analyzing CPW and CPS circuits.</t>
  </si>
  <si>
    <t>78-81</t>
  </si>
  <si>
    <t>60024872;60024872;60024872</t>
  </si>
  <si>
    <t>56948177600;57199475372;56535582400</t>
  </si>
  <si>
    <t>Kim, Kyu Sung;Ji, Jeong Keun;Choi, Jaehoon</t>
  </si>
  <si>
    <t>Kim K.</t>
  </si>
  <si>
    <t>Application of an internal resistive source modeling for the FDTD analysis of CPW and CPS circuits</t>
  </si>
  <si>
    <t>10.1002/(SICI)1098-2760(19990705)22:1&lt;78::AID-MOP20&gt;3.0.CO;2-C</t>
  </si>
  <si>
    <t>2-s2.0-0033360614</t>
  </si>
  <si>
    <t>['wire line', 'te sources', 'radiation properties', 'quantitatively describe', 'oriented perpendicular', 'optimal route', 'loop sources', 'independent antennas', 'given combination', 'fed due', 'depend upon', 'compound antennas']</t>
  </si>
  <si>
    <t>Electrically small compound antennas consisting of thin-wire line (TM) and loop (TE) dipoles are analyzed to quantitatively describe the actual current distributions along the elements and the effects of mutual between TM and TE sources. When the line and loop sources are combined, it was found that they acted as independent antennas; when their moments are oriented perpendicular to each other, radiation properties are found to depend upon where the loop is fed due to interelement electromagnetic coupling. In addition, single feed structures that can generate a given combination of the lowest order TM and TE modes appear to optimal route for the construction of compound antennas.</t>
  </si>
  <si>
    <t>16-21</t>
  </si>
  <si>
    <t>60015941;60015941</t>
  </si>
  <si>
    <t>Tefiku, Faton;Grimes, Craig A.</t>
  </si>
  <si>
    <t>Coupling between elements of electrically small compound antennas</t>
  </si>
  <si>
    <t>10.1002/(SICI)1098-2760(19990705)22:1&lt;16::AID-MOP5&gt;3.0.CO;2-X</t>
  </si>
  <si>
    <t>2-s2.0-0033362361</t>
  </si>
  <si>
    <t>['tie patch', 'reactive load', 'proposed antenna', 'optimal dimensions', 'microstrip structure', 'microstrip antennas', 'line sections', 'experimentally determined', 'experimental results', 'cascaded microstrip', 'broadband operation']</t>
  </si>
  <si>
    <t>By integrating a microstrip structure of cascaded microstrip-line sections into a bow-tie microstrip path, compact broadband operation of microstrip antennas can be obtained. The cascaded microstrip-line sections serve as a reactive load for the bow-tie patch, and its optimal dimensions for broadband operation have been experimentally determined in this study. The proposed antenna, with a patch linear dimension 15% smaller and an operating bandwidth two times larger, compared to a corresponding conventional rectangular microstrip antenna, has been implemented. Details of the experimental results are presented.</t>
  </si>
  <si>
    <t>69-71</t>
  </si>
  <si>
    <t>35460663000;7401774071</t>
  </si>
  <si>
    <t>Wong, Kin Lu;Kuo, Jieh Sen</t>
  </si>
  <si>
    <t>Wong K.</t>
  </si>
  <si>
    <t>Bandwidth enhancement of bow-tie microstrip antennas using integrated reactive loading</t>
  </si>
  <si>
    <t>10.1002/(SICI)1098-2760(19990705)22:1&lt;69::AID-MOP17&gt;3.0.CO;2-V</t>
  </si>
  <si>
    <t>2-s2.0-0033363247</t>
  </si>
  <si>
    <t>['results demonstrate', 'radiated beam', 'different structures', 'changes must', 'appropriately selecting', 'antenna bandwidth', 'also show', 'already working']</t>
  </si>
  <si>
    <t>This paper presents experimental results on a dipole antenna placed inside metallic photonic bandgap materials. Different structures are proposed with single or mixed MPBG configurations. These results demonstrate that a radiated beam can be shaped by appropriately selecting the MPBG. They also show that the antenna bandwidth can be improved by changing the periodicity of the MPBG. These changes must be progressive in order not to disturb the antenna input impedance in the band where it was already working.</t>
  </si>
  <si>
    <t>60030553;60030553;60030553;60030553;60110235;60031293</t>
  </si>
  <si>
    <t>6603881468;6701365631;6603795399;7006272544;35618853800;7003753877</t>
  </si>
  <si>
    <t>Poilasne, G.;Pouliguen, P.;Mahdjoubi, K.;Terret, C.;Gelin, Ph;Desclos, L.</t>
  </si>
  <si>
    <t>France;Japan;France</t>
  </si>
  <si>
    <t>Nantes;Tokyo;Rennes</t>
  </si>
  <si>
    <t>IMT Atlantique;NEC Corporation;Universite de Rennes 1</t>
  </si>
  <si>
    <t>60110235;60031293;60030553</t>
  </si>
  <si>
    <t>Poilasne G.</t>
  </si>
  <si>
    <t>Experimental radiation pattern of dipole inside metallic photonic bandgap material</t>
  </si>
  <si>
    <t>10.1002/(SICI)1098-2760(19990705)22:1&lt;10::AID-MOP4&gt;3.0.CO;2-H</t>
  </si>
  <si>
    <t>2-s2.0-0033363707</t>
  </si>
  <si>
    <t>['studied using', 'perpendicular feed', 'input impedance', 'fdtd method']</t>
  </si>
  <si>
    <t>The input impedance of a superstrate-loaded slot antenna with a perpendicular feed is studied using the FDTD method. Measurement was carried out to verify the theory. The effects of the slot and superstrate on the input impedance are investigated.</t>
  </si>
  <si>
    <t>21-24</t>
  </si>
  <si>
    <t>60013983;60013983;60013983;60013983;60013983</t>
  </si>
  <si>
    <t>56415172000;35813024600;57224515697;55510527400;7101878862</t>
  </si>
  <si>
    <t>Leung, K. W.;Lo, Terry K.;Wong, W. C.;Luk, K. M.;Yung, Edward K.N.</t>
  </si>
  <si>
    <t>Leung K.W.</t>
  </si>
  <si>
    <t>FDTD analysis of superstrate-loaded slot antenna with a perpendicular feed</t>
  </si>
  <si>
    <t>10.1002/(SICI)1098-2760(19990705)22:1&lt;21::AID-MOP6&gt;3.0.CO;2-7</t>
  </si>
  <si>
    <t>2-s2.0-0033365152</t>
  </si>
  <si>
    <t>['several patches', 'microwave radiometry']</t>
  </si>
  <si>
    <t>A kind of planar applicator called the multiapplicator is developed for external microwave hyperthermia controlled by microwave radiometry. The possibility to obtain larger heating patterns than with other applicators with several patches is investigated.</t>
  </si>
  <si>
    <t>57-63</t>
  </si>
  <si>
    <t>60026113;60026113;60026113;60026113</t>
  </si>
  <si>
    <t>6602495219;7102611104;7004583077;56255060000</t>
  </si>
  <si>
    <t>Cresson, P. Y.;Dubois, L.;Chive, M.;Pribetich, J.</t>
  </si>
  <si>
    <t>Villeneuve-d'Ascq</t>
  </si>
  <si>
    <t>Institut d'Electronique de Micro√©lectronique et de Nanotechnologie (IEMN)</t>
  </si>
  <si>
    <t>Cresson P.Y.</t>
  </si>
  <si>
    <t>Design and modeling using the FDTD method of planar multiapplicators for microwave hyperthermia</t>
  </si>
  <si>
    <t>10.1002/(SICI)1098-2760(19990705)22:1&lt;57::AID-MOP15&gt;3.0.CO;2-5</t>
  </si>
  <si>
    <t>2-s2.0-0033365153</t>
  </si>
  <si>
    <t>['radius ratio', 'paper presents', 'novel single', 'inner radii', 'feed position', 'feed annular', 'achieve left', '64 ¬∞,']</t>
  </si>
  <si>
    <t>This paper presents a novel circular polarization (CP) design of single-feed annular-ring-sector microstrip antennas. Experimental results indicate that, for the annular-ring-sector microstrip antenna with a flare angle less than about 64¬∞, there exist a radius ratio (ratio between the patch's outer and inner radii) and a single-feed position to achieve left-hand or right-hand CP radiation. Details of the novel single-feed CP design are described, and obtained CP performances are presented and analyzed.</t>
  </si>
  <si>
    <t>8396240400;35460663000</t>
  </si>
  <si>
    <t>Hsu, Wen Hsiu;Wong, Kin Lu</t>
  </si>
  <si>
    <t>Hsu W.H.</t>
  </si>
  <si>
    <t>Single-feed annular-ring-sector microstrip antenna for circular polarization</t>
  </si>
  <si>
    <t>10.1002/(SICI)1098-2760(19990705)22:1&lt;7::AID-MOP3&gt;3.0.CO;2-Y</t>
  </si>
  <si>
    <t>2-s2.0-0033366408</t>
  </si>
  <si>
    <t>['two layers', 'slot transitions', 'sidelobe level', 'radiation properties', 'radiated fields', 'printed array', 'pattern symmetry', 'paper deals', 'microstrip transition', 'first presented']</t>
  </si>
  <si>
    <t>This paper deals with millimeter-wave microstrip antenna arrays. The objectives were to develop and optimize a microstrip-to-thick-slot-line transition near 40 GHz, and to feed a printed array with this kind of transition. The influence of such a transition between the two layers, and its effect on the radiation properties (pattern symmetry, sidelobe level) have been checked. A study of the microstrip/thick-slot/microstrip transition is first presented. Then, a comparison is made between radiated fields of arrays fed directly and through slot transitions.</t>
  </si>
  <si>
    <t>51-53</t>
  </si>
  <si>
    <t>60030553;60030553;60030553;60026113;60026113</t>
  </si>
  <si>
    <t>6508372965;7003723658;7202044329;6603646407;7103185654</t>
  </si>
  <si>
    <t>El Haj Sleimen, M.;Himdi, M.;Daniel, J. P.;Haese, N.;Rolland, P. A.</t>
  </si>
  <si>
    <t>Rennes;Villeneuve-d'Ascq</t>
  </si>
  <si>
    <t>Universite de Rennes 1;Institut d'Electronique de Micro√©lectronique et de Nanotechnologie (IEMN)</t>
  </si>
  <si>
    <t>60030553;60026113</t>
  </si>
  <si>
    <t>Millimeter-wave array fed through thick slots filled with dielectric</t>
  </si>
  <si>
    <t>10.1002/(SICI)1098-2760(19990705)22:1&lt;51::AID-MOP13&gt;3.0.CO;2-H</t>
  </si>
  <si>
    <t>2-s2.0-0343431522</t>
  </si>
  <si>
    <t>['used solid', 'top worker', 'six weeks', 'reproductive division', 'reproductive conflicts', 'relative proportions', 'regulated behaviourally', 'recognition occurs', 'produces offspring', 'phase microextraction', 'ovarian activity', 'measure changes', 'mates involved', 'less 9', 'laying ability', 'insect societies', 'infertile workers', 'infertile nest', 'gas chromatography', 'enabling ants', 'directional nature', 'different classes', '11 individuals']</t>
  </si>
  <si>
    <t>Dinoponera quadriceps | Dominance | Oogenesis | Pheromones | Ponerinae | Reproduction</t>
  </si>
  <si>
    <t>Reproductive division of labour is regulated behaviourally in social insects lacking morphologically specialized castes. The directional nature of dominance interactions shows that recognition occurs, but little is known about its basis. In the queenless ant Dinoponera quadriceps, the top worker in the hierarchy ('alpha') mates and produces offspring in each colony, while other workers remain virgin. Dominant ants frequently rub one antenna of subordinates against their own cuticle, and alpha and infertile nest-mates consistently differ in their relative proportions of the cuticular hydrocarbon 9-hentriacontene (9-C31) The second-ranking 'beta' occasionally lays unfertilized eggs and we show that she has less 9-C31 than the alpha but more than infertile workers. To investigate further the link between 9-C31 and ovarian activity, we experimentally removed alpha workers (n = 11 individuals) and used solid-phase microextraction (SPME) with gas chromatography to measure changes in 9-C31 on live beta workers which attained alpha status. The proportion of 9-C31 on the replacement alpha increased significantly after six weeks, in parallel with her gain in fecundity. We discuss whether 9-C31 provides honest information about egg-laying ability, enabling ants to recognize the different classes of nest-mates involved in reproductive conflicts. Such fertility cues could reliably underpin the antagonistic interactions occurring in insect societies.</t>
  </si>
  <si>
    <t>1323-1327</t>
  </si>
  <si>
    <t>Proceedings of the Royal Society B: Biological Sciences</t>
  </si>
  <si>
    <t>60009647-60008134;60009647-60001881;60003274</t>
  </si>
  <si>
    <t>7005511647;6603190633;7003910259</t>
  </si>
  <si>
    <t>Peeters, Christian;Monnin, Thibaud;Malosse, Christian</t>
  </si>
  <si>
    <t>France;France;France;United Kingdom</t>
  </si>
  <si>
    <t>Villetaneuse;Paris;Versailles;Sheffield</t>
  </si>
  <si>
    <t>University Sorbonne Paris Nord;CNRS Centre National de la Recherche Scientifique;Centre de recherche √éle-de-France-Versailles - Grignon;The University of Sheffield</t>
  </si>
  <si>
    <t>60009647;60008134;60003274;60001881</t>
  </si>
  <si>
    <t>Peeters C.</t>
  </si>
  <si>
    <t>Cuticular hydrocarbons correlated with reproductive status in a queenless ant</t>
  </si>
  <si>
    <t>10.1098/rspb.1999.0782</t>
  </si>
  <si>
    <t>2-s2.0-0033532967</t>
  </si>
  <si>
    <t>['two patches', 'two l', 'mode gsm', 'bandwidth characteristics']</t>
  </si>
  <si>
    <t>A dual-band microstrip composed of two patches and two L-probes is proposed. The antenna displays wide-bandwidth characteristics and can be implemented as a dual-mode GSM/PCS base station antenna.</t>
  </si>
  <si>
    <t>1123-1124</t>
  </si>
  <si>
    <t>55510527400;7403085893;7501501369</t>
  </si>
  <si>
    <t>Luk, K. M.;Lai, C. H.;Lee, K. F.</t>
  </si>
  <si>
    <t>Wideband L-probe-feed patch antenna with dual-band operation for GSM/PCS base stations</t>
  </si>
  <si>
    <t>10.1049/el:19990819</t>
  </si>
  <si>
    <t>2-s2.0-0032648459</t>
  </si>
  <si>
    <t>['uniform distribution', 'mutual coupling', 'good agreement', 'electric fields', 'coaxial antennas', 'calculated results']</t>
  </si>
  <si>
    <t>An improved fixed gap model is proposed for multiple wide slots in coaxial antennas. The mutual coupling and the non-uniform distribution of the electric fields in the slots are considered. The calculated results are in good agreement with experiments.</t>
  </si>
  <si>
    <t>1121-1122</t>
  </si>
  <si>
    <t>60024542;60013983;60013983;60005465</t>
  </si>
  <si>
    <t>57225867449;7006849191;12794245400;7404095526</t>
  </si>
  <si>
    <t>Xie, Z. M.;Yung, K. N.;Chen, R. S.;Han, Y. F.</t>
  </si>
  <si>
    <t>China;Hong Kong;China</t>
  </si>
  <si>
    <t>Guangzhou;Kowloon;Chengdu</t>
  </si>
  <si>
    <t>South China University of Technology;City University of Hong Kong;University of Electronic Science and Technology of China</t>
  </si>
  <si>
    <t>60024542;60013983;60005465</t>
  </si>
  <si>
    <t>Xie Z.M.</t>
  </si>
  <si>
    <t>Efficient modelling of multiple wide slots on coaxial antenna</t>
  </si>
  <si>
    <t>10.1049/el:19990803</t>
  </si>
  <si>
    <t>2-s2.0-0032656722</t>
  </si>
  <si>
    <t>['slope behaviour', 'experimental studies', 'excellent agreement', 'breakpoint distance', 'best way']</t>
  </si>
  <si>
    <t>Experimental studies of path loss distance dependency in line-of-sight microcellular propagation almost always show a dual-slope behaviour. However, there is disagreement in the literature over the best way to predict the breakpoint distance that delineates the change in path loss distance dependency. A new breakpoint equation is presented, the predictions of which are in excellent agreement with breakpoint distances observed in various propagation studies.</t>
  </si>
  <si>
    <t>1135-1136</t>
  </si>
  <si>
    <t>60099616;60005686;60005686</t>
  </si>
  <si>
    <t>7006663509;7202701174;7103090339</t>
  </si>
  <si>
    <t>Perera, S. C.M.;Williamson, A. G.;Rowe, G. B.</t>
  </si>
  <si>
    <t>Spark New Zealand;The University of Auckland</t>
  </si>
  <si>
    <t>60099616;60005686</t>
  </si>
  <si>
    <t>Perera S.C.M.</t>
  </si>
  <si>
    <t>Prediction of breakpoint distance in microcellular environments</t>
  </si>
  <si>
    <t>10.1049/el:19990834</t>
  </si>
  <si>
    <t>2-s2.0-0032656725</t>
  </si>
  <si>
    <t>['numerical examples', 'hybrid finite', 'fast technique', 'element boundary', 'dispersive substrate']</t>
  </si>
  <si>
    <t>A fast technique that combines the method of asymptotic waveform evaluation (AWE) and the hybrid finite-element boundary-integral (FE-BI) method is introduced for the analysis of cavity-backed microstrip patch antennas residing on a dispersive substrate. Numerical examples are given to demonstrate the accuracy and efficiency of the technique.</t>
  </si>
  <si>
    <t>1122-1123</t>
  </si>
  <si>
    <t>Fast frequency-sweep analysis of microstrip antennas on dispersive substrate</t>
  </si>
  <si>
    <t>10.1049/el:19990793</t>
  </si>
  <si>
    <t>2-s2.0-0032676114</t>
  </si>
  <si>
    <t>['two states', 'time constants', 'three states', 'temperature dependencies', 'state lifetimes', 'level systems', 'homogeneous widths', 'fmo trimer', 'energetically inequivalent', 'data leads', 'data indicate', 'chlorobium tepidum', 'antenna complex', '827 nm', '54 ps', '2 ns', '117 ps', '10 k', '0 k']</t>
  </si>
  <si>
    <t>Temperature-dependent (1.8-10 K) spectral hole burning results are presented for the three lowest Qy-states of the Fenna-Matthews-Olson (FMO) bacteriochlorophyll a antenna complex of Chlorobium tepidum that contribute to the 825 nm absorption band. Both holewidth and hole growth kinetic data are presented. The data indicate that the three states lie at 823, 825, and 827 nm and, furthermore, that they are associated with the lowest energy state of the subunit of the FMO trimer. Structural heterogeneity results in the three states being energetically inequivalent. The time constants for downward energy transfer from the 823 and 825 nm states are 37 and 117 ps, respectively. It is argued that the time constants for the 823 nm ‚Üí 825 and 823 nm ‚Üí 827 nm pathways are 117 and 54 ps, respectively. The dispersive hole growth kinetic data for the three states obtained at 1.8 and 9.0 K are shown to be consistent with the excited-state lifetimes and homogeneous widths of the zero-phonon absorption lines. Analysis of the data leads to a lifetime of 2 ns for the 827 nm state. The temperature dependencies of the zero-phonon lines associated with this and the other two states are identical and characteristic of coupling to the two-level systems of the protein.</t>
  </si>
  <si>
    <t>5736-5741</t>
  </si>
  <si>
    <t>60008023;60003892;60008023</t>
  </si>
  <si>
    <t>6701692882;57203046340;7202142626</t>
  </si>
  <si>
    <t>R√§tsep, M.;Blankenship, R. E.;Small, G. J.</t>
  </si>
  <si>
    <t>Ames;Tempe</t>
  </si>
  <si>
    <t>Ames Laboratory;Arizona State University</t>
  </si>
  <si>
    <t>60008023;60003892</t>
  </si>
  <si>
    <t>R√§tsep M.</t>
  </si>
  <si>
    <t>Energy Transfer and Spectral Dynamics of the Three Lowest Energy Q&lt;inf&gt;y&lt;/inf&gt;-States of the Fenna-Matthews-Olson Antenna Complex</t>
  </si>
  <si>
    <t>10.1021/jp990918g</t>
  </si>
  <si>
    <t>2-s2.0-0342860355</t>
  </si>
  <si>
    <t>National Institute of Allergy and Infectious Diseases</t>
  </si>
  <si>
    <t>R01AI023253</t>
  </si>
  <si>
    <t>NIAID</t>
  </si>
  <si>
    <t>['specific features', 'shape growth', 'sensory axons', 'route taken', 'relative position', 'perturbed conditions', 'organized neuropil', 'labial palps', 'interneuronal arborizations', 'identified glomerulus', 'high degree', 'glomerular position', 'gain insight', 'findings suggest', 'antennal lobe', 'afferent innervation', 'afferent axons', 'afferent axon']</t>
  </si>
  <si>
    <t>Cell-cell interactions | Insect nervous system | Interneurons | Olfactory lobe | Sensory neuropil</t>
  </si>
  <si>
    <t>Iterated neuropil modules called glomeruli are characteristic of primary olfactory centers in both vertebrates and invertebrates. To gain insight into the developmental mechanisms underlying the formation of such structured, organized neuropil, we have examined the development of an identified glomerulus in the olfactory (antennal) lobe of the moth Manduca sexta. The labial pit organ glomerulus (LPOG) receives bilateral sensory projections from the labial pit organs in the labial palps of the mouthparts, while other glomeruli in the antennal lobe receive unilateral projections from the antenna. Here, we chronicle the development of the LPOG under normal and perturbed conditions. Our findings suggest that the sensory axons of the labial pit organ, like those of the antenna, induce and shape growth of interneuronal arborizations, but specific features of interneuronal arborizations such as the relative position of glomerular arborizations within the antennal lobe are independent of both classes of afferent innervation. Labial pit organ axons and antennal axons exhibit a high degree of specificity for their respective target regions, independent of the presence or absence of the other class of afferent axon or the route taken to the antennal lobe. Specification of glomerular position is intrinsic to the antennal lobe rather than a consequence of competition between afferent axons.</t>
  </si>
  <si>
    <t>28-44</t>
  </si>
  <si>
    <t>60016733;60023324;60023324</t>
  </si>
  <si>
    <t>7202068631;7004335896;7102653635</t>
  </si>
  <si>
    <t>Kent, Karla S.;Oland, Lynne A.;Hildebrand, John G.</t>
  </si>
  <si>
    <t>Tucson;Portland</t>
  </si>
  <si>
    <t>Arizona Research Laboratories;Oregon Health &amp; Science University</t>
  </si>
  <si>
    <t>60023324;60016733</t>
  </si>
  <si>
    <t>Kent K.</t>
  </si>
  <si>
    <t>Development of the labial pit organ glomerulus in the antennal lobe of the moth Manduca sexta: The role of afferent projections in the formation of identifiable olfactory glomeruli</t>
  </si>
  <si>
    <t>10.1002/(SICI)1097-4695(199907)40:1&lt;28::AID-NEU3&gt;3.0.CO;2-E</t>
  </si>
  <si>
    <t>2-s2.0-0033015198</t>
  </si>
  <si>
    <t>MCB-9630179</t>
  </si>
  <si>
    <t>['tribolium protein', 'thoracic segments', 'tc dfd', 'tc deformed', 'rescue defects', 'normal target', 'mouth hooks', 'maxillary segments', 'gnathal segments', 'gives rise', 'gal4 system', 'function abnormalities', 'fly proteins', 'first demonstration', 'expression pattern', 'ectopically activated', 'drosophila embryos', 'dorsal ridge', 'directly regulate', 'cause gain', 'antennal segment', 'also compared']</t>
  </si>
  <si>
    <t>Deformed | Drosophila | Embryogenesis | Tribolium</t>
  </si>
  <si>
    <t>We have analyzed the Tribolium castaneum ortholog of the Drosophila homeotic gene Deformed (Dfd) and determined its expression pattern during embryogenesis in this beetle. Tc Deformed (Tc Dfd) is expressed in the blastoderm and the condensing germ rudiment in a region that gives rise to gnathal segments. During germ band extension Tc Dfd is expressed in the mandibular and maxillary segments, their appendages, and the dorsal ridge. Comparison of insect Dfd protein sequences reveals several highly conserved regions. To determine whether common molecular features reflect conserved regulatory functions we used the Gal4 system to express the Tribolium protein in Drosophila embryos. When Tc Dfd is expressed throughout embryonic ectoderm under the control of P69B, the beetle protein autoregulates the endogenous Dfd gene. In addition, the Drosophila proboscipedia gene (a normal target of Dfd) is ectopically activated in the antennal and thoracic segments. We also compared the ability of the beetle and fly proteins to rescue defects in Dfd - mutants by expressing each throughout the embryonic during embryogenesis. Both proteins rescued Dfd - defects to the same extent in that they each restore the development of mouth hooks and cirri, as well as cause gain-of-function abnormalities of posterior mouth parts. As before, pb was ectopically activated in the antennal segment. This is the first demonstration of the ability of a heterologous homeotic selector protein to directly regulate a target gene independent of an endogenous Drosophila autoregulatory loop.</t>
  </si>
  <si>
    <t>389-398</t>
  </si>
  <si>
    <t>60000689;60021121;60021121-60009470;60000689</t>
  </si>
  <si>
    <t>7501419302;7101820398;35396515200;7003910465</t>
  </si>
  <si>
    <t>Brown, S.;Holtzman, S.;Kaufman, T.;Denell, R.</t>
  </si>
  <si>
    <t>Bloomington;Chevy Chase;Manhattan</t>
  </si>
  <si>
    <t>Indiana University Bloomington;Howard Hughes Medical Institute;Kansas State University</t>
  </si>
  <si>
    <t>60021121;60009470;60000689</t>
  </si>
  <si>
    <t>Brown S.</t>
  </si>
  <si>
    <t>Characterization of the Tribolium Deformed ortholog and its ability to directly regulate Deformed target genes in the rescue of a Drosophila Deformed null mutant</t>
  </si>
  <si>
    <t>10.1007/s004270050269</t>
  </si>
  <si>
    <t>2-s2.0-0033058156</t>
  </si>
  <si>
    <t>GM10704</t>
  </si>
  <si>
    <t>['threefold axis', 'therefore ubiquitous', 'reversibly catalyzes', 'oxidative deamination', 'negative cooperativity', 'nad +-', 'mitochondrial matrix', 'mitochondrial enzyme', 'major difference', 'lower organisms', 'large number', 'gdh represents', 'extensive contacts', 'enzymes within', 'comparable efficacy', 'closed conformation', 'clearly observed', 'catalytic cleft', 'biosynthetic pathways', 'binding domains', 'atomic structure', 'antennae within', 'antenna serves', 'allosteric regulation', 'allosteric effectors', 'active site']</t>
  </si>
  <si>
    <t>Allostery | Glutamate dehydrogenase | Negative cooperativity</t>
  </si>
  <si>
    <t>Background: Bovine glutamate dehydrogenase (boGDH) is a homohexameric, mitochondrial enzyme that reversibly catalyzes the oxidative deamination of L-glutamate to 2-oxoglutarate using either NADP(H) or NAD(H) with comparable efficacy. GDH represents a key enzymatic link between catabolic and biosynthetic pathways, and is therefore ubiquitous in both higher and lower organisms. Only mammalian GDH exhibits strong negative cooperativity with respect to the coenzyme, however, and is regulated by a large number of allosteric effectors. Results: The atomic structure of boGDH in complex with NADH, glutamate, and the allosteric inhibitor GTP has been determined to 2.8 √Ö resolution. The major difference between the bacterial and bovine GDH structures is the presence of an additional 'antenna' in boGDH that protrudes from each trimer, twisting counterclockwise along the threefold axis. NADH and glutamate are clearly observed in the active site, but the contacts differ slightly from those observed in Clostridium symbiosum GDH. A second, inhibitory NADH molecule lies buried in the core of the hexamer. Finally, two GTP molecules bind near the hinge region connecting the NAD+- and glutamate-binding domains. Conclusions: We propose that the antenna serves as an intersubunit communication conduit during negative cooperativity and allosteric regulation. GTP and NADH inhibit GDH by keeping the catalytic cleft in a closed conformation. In contrast, ADP probably binds to the back of the NAD+-binding domain and activates the enzyme by keeping the catalytic cleft open. Extensive contacts between antennae within the crystal lattice may represent hexamer interactions in solution and, perhaps, with other enzymes within the mitochondrial matrix.</t>
  </si>
  <si>
    <t>769-782</t>
  </si>
  <si>
    <t>Structure</t>
  </si>
  <si>
    <t>60028629;60028629</t>
  </si>
  <si>
    <t>7402598657;35406650200</t>
  </si>
  <si>
    <t>Peterson, Peter E.;Smith, Thomas J.</t>
  </si>
  <si>
    <t>College of Science</t>
  </si>
  <si>
    <t>Peterson P.E.</t>
  </si>
  <si>
    <t>The structure of bovine glutamate dehydrogenase provides insights into the mechanism of allostery</t>
  </si>
  <si>
    <t>S0969212699801014</t>
  </si>
  <si>
    <t>10.1016/S0969-2126(99)80101-4</t>
  </si>
  <si>
    <t>2-s2.0-0033565447</t>
  </si>
  <si>
    <t>Appalachian Regional Commission</t>
  </si>
  <si>
    <t>['wide variety', 'stomatopods may', 'stomatopod crustaceans', 'remains obscure', 'pv ).', 'polarised light', 'polarisation sensitivity', 'photographic methods', 'one function', 'marine species', 'mantis shrimps', 'local navigation', 'first demonstration', 'examine stomatopods', 'contrast enhancement', 'allow perception', '9 ].', '18 ].', '12 ].', '10 ],', '1 ].']</t>
  </si>
  <si>
    <t>Polarisation sensitivity (PS) - the ability to detect the orientation of polarised light - occurs in a wide variety of invertebrates [1,2] and vertebrates [3-5], many of which are marine species [1]. Of these, the crustacea are particularly well documented in terms of their structural [6] and neural [7,8] adaptations for PS. The few behavioural studies conducted on crustaceans demonstrate orientation to, or local navigation with, polarised sky patterns [9]. Aside from this, the function of PS in crustaceans, and indeed in most animals, remains obscure. Where PS can be shown to allow perception of polarised light as a 'special sensory quality' [1], separate from intensity or colour, it has been termed polarisation vision (PV). Here, within the remarkable visual system of the stomatopod crustaceans (mantis shrimps) [10], we provide the first demonstration of PV in the crustacea and the first convincing evidence for learning the orientation of polarised light in any animal. Using new polarimetric [11] and photographic methods to examine stomatopods, we found striking patterns of polarisation on their antennae and telson, suggesting that one function of PV in stomatopods may be communication [12]. PV may also be used for tasks such as navigation [5,9,13], location of reflective water surfaces [14] and contrast enhancement [1,15-18]. It is possible that the stomatopod PV system also contributes to some of these functions.</t>
  </si>
  <si>
    <t>755-758</t>
  </si>
  <si>
    <t>Current Biology</t>
  </si>
  <si>
    <t>60031004;60031004;60031004;60031004</t>
  </si>
  <si>
    <t>7102430789;7102710025;55947940200;23044986200</t>
  </si>
  <si>
    <t>Marshall, J.;Cronin, T. W.;Shashar, N.;Land, M.</t>
  </si>
  <si>
    <t>Marshall J.</t>
  </si>
  <si>
    <t>Behavioural evidence for polarisation vision in stomatopods reveals a potential channel for communication</t>
  </si>
  <si>
    <t>S0960982299803364</t>
  </si>
  <si>
    <t>10.1016/S0960-9822(99)80336-4</t>
  </si>
  <si>
    <t>2-s2.0-0033565963</t>
  </si>
  <si>
    <t>NSC-87-2311-B-001-106</t>
  </si>
  <si>
    <t>['thereby preventing', 'several hom', 'proximodistal development', 'proximodistal axis', 'nuclear localization', 'leg transformations', 'homeobox gene', 'drosophila hom', 'common mechanism', 'cause duplication', 'c genes', 'binding homeodomain', 'also show']</t>
  </si>
  <si>
    <t>Antenna | Drosophila | HOM-C | Homeotic transformation | Homothorax | Proximodistal axis</t>
  </si>
  <si>
    <t>The Drosophila HOM-C genes encode transcription factors containing the DNA-binding homeodomain. Mutations in the HOM-C genes can cause specific homeotic transformation, suggesting that the HOM-C genes determine segmental identities by acting on different target genes. However, misexpression of several HOM-C genes in the antenna disc causes similar antenna-to-leg transformations. Here we show that the Scr, Antp, Ubx, and abd-A HOM-C genes all exert their effects through a common mechanism: suppressing the transcription of the homothorax (hth) homeobox gene and thereby preventing the nuclear localization of the Extradenticle homeodomain protein. We also show that ectopic hth expression can cause duplication of the proximodistal axis of the antenna, suggesting that it is involved in proximodistal development of the antenna.</t>
  </si>
  <si>
    <t>268-276</t>
  </si>
  <si>
    <t>Developmental Biology</t>
  </si>
  <si>
    <t>60069716-60092446;60069716;60092446;60069716-60092446</t>
  </si>
  <si>
    <t>15064605700;7004548643;7102490686;26421401800</t>
  </si>
  <si>
    <t>Yao, Li Chin;Liaw, Gwo Jen;Pai, Chi Yun;Sun, Y. Henry</t>
  </si>
  <si>
    <t>Academia Sinica, Institute of Molecular Biology;National Yang-Ming University Taiwan</t>
  </si>
  <si>
    <t>60092446;60069716</t>
  </si>
  <si>
    <t>Yao L.</t>
  </si>
  <si>
    <t>A common mechanism for antenna-to-leg transformation in Drosophila: Suppression of homothorax transcription by four HOM-C genes</t>
  </si>
  <si>
    <t>S0012160699993090</t>
  </si>
  <si>
    <t>10.1006/dbio.1999.9309</t>
  </si>
  <si>
    <t>2-s2.0-0033566050</t>
  </si>
  <si>
    <t>['small changes', 'optical cell', 'optic crystal', 'northern alabama', 'laser light', 'five thunderstorms', 'field deployment']</t>
  </si>
  <si>
    <t>The design, alignment, calibration, and field deployment of a solid-state lightning detector is described. The primary sensing component of the detector is a potassium dihydrogen phosphate electro-optic crystal that is attached in series to a flat-plate aluminum antenna; the antenna is exposed to the ambient thundercloud electric field. A semiconductor laser diode (Œª = 685 nm), polarizing optics, and the crystal are arranged in a Pockels cell configuration. Lightning-caused electric field changes are related to small changes in the transmission of laser light through the optical cell. Several hundred lightning electric field change excursions were recorded during five thunderstorms that occurred in the summer of 1998 at the NASA Marshall Space Flight Center in northern Alabama. ¬© 1999 Optical Society of America.</t>
  </si>
  <si>
    <t>4623-4634</t>
  </si>
  <si>
    <t>60011779;60020417</t>
  </si>
  <si>
    <t>6603369413;6602352355</t>
  </si>
  <si>
    <t>Koshak, William J.;Solakiewicz, Richard J.</t>
  </si>
  <si>
    <t>Chicago;Huntsville</t>
  </si>
  <si>
    <t>Chicago State University;NASA Marshall Space Flight Center</t>
  </si>
  <si>
    <t>60020417;60011779</t>
  </si>
  <si>
    <t>Koshak W.</t>
  </si>
  <si>
    <t>Electro-optic lightning detector</t>
  </si>
  <si>
    <t>10.1364/AO.38.004623</t>
  </si>
  <si>
    <t>2-s2.0-0032606336</t>
  </si>
  <si>
    <t>['timedelay equalization', 'sevenfold increase', 'rf signal', 'resulting advantage', 'required interconnects', 'phased arrays', 'optical interconnects', 'optical domain', 'lowest number', 'intermediate frequency', 'interconnects reported', 'interconnect hardware', 'important factor', 'frequency downconverts', 'forming architecture', 'beam capacity', 'beam array', 'based beam', '4 ghz']</t>
  </si>
  <si>
    <t>A new wavelength division multiplexing grating-based beam-forming architecture for phased arrays that can achieve the minimum possible number of optical interconnects is presented. A reduction in interconnect hardware of 99.6% is obtained for a 512-beam array, which is, as far as we know, the lowest number of interconnects reported to date. Analysis of the ultimate beam capacity limit of the beam former shows that the beat noise interference limitation is the most important factor. We present a new hybrid frequency-converting optical beam former that removes the fundamental beat noise limitation. This frequency downconverts the rf signal to an intermediate frequency before performing the true-timedelay equalization in the optical domain. The resulting advantage of reduced optical bandwidth per channel enables more wavelengths to be used for a given wavelength span, resulting in an increased beam capacity. A greater than sevenfold increase in beam capacity is demonstrated through the use of the frequency conversion technique, with 960 beams synthesized at 12.4 GHz, showing a 99.8% reduction in required interconnects. ¬© 1999 Optical Society of America.</t>
  </si>
  <si>
    <t>4665-4670</t>
  </si>
  <si>
    <t>60090755;60090755</t>
  </si>
  <si>
    <t>56034273300;7004211082</t>
  </si>
  <si>
    <t>Minasian, Robert A.;Alameh, Kamal E.</t>
  </si>
  <si>
    <t>Faculty of Engineering</t>
  </si>
  <si>
    <t>Minasian R.A.</t>
  </si>
  <si>
    <t>High capacity optical beam forming for phased arrays with fiber gratings and frequency conversion for beat noise control</t>
  </si>
  <si>
    <t>10.1364/AO.38.004665</t>
  </si>
  <si>
    <t>2-s2.0-0032614013</t>
  </si>
  <si>
    <t>['wave patch', 'three times', 'think substrate', 'thickness 5', 'square quarter', 'polarization characteristics', 'oblique angles', 'investigated experimentally', 'impedance bandwidth', 'foam substrate', 'cross polarization', '54 %,']</t>
  </si>
  <si>
    <t>The impedance bandwidth and cross-polarization characteristics of quarter-wave shorted patch antennas are investigated experimentally. It is found that, for a square quarter-wave patch on foam substrate of thickness 5.8% of wavelength, the bandwidth is 18.54%, which is more than three times that of the half-wave patch. The cross polarization in the H-plane is very large at oblique angles, even if a think substrate is used.</t>
  </si>
  <si>
    <t>60013983;60006173;60013983</t>
  </si>
  <si>
    <t>35569904600;7501501369;55510527400</t>
  </si>
  <si>
    <t>Chair, Ricky;Lee, K. F.;Luk, K. M.</t>
  </si>
  <si>
    <t>Bandwidth and cross-polarization characteristics of quarter-wave shorted patch antennas</t>
  </si>
  <si>
    <t>10.1002/(SICI)1098-2760(19990720)22:2&lt;101::AID-MOP7&gt;3.0.CO;2-X</t>
  </si>
  <si>
    <t>2-s2.0-0033311489</t>
  </si>
  <si>
    <t>['wave antennas', 'wave antenna', 'strongly dependent', 'scanning leaky', 'scanning capability', 'scanning angle', 'scanning ability', 'predicted 13', 'operating frequency', 'new method', 'mode region', 'fundamental frequency', 'frequency variation', 'data show', 'agrees well', 'active leaky', '7 ¬∞,', '13 ¬∞,']</t>
  </si>
  <si>
    <t>A new method which can enhance the scanning angle and elevate the operating frequency for active scanning leaky-wave antennas is proposed in this paper. We know that the characteristics and performance of scanning leaky-wave antennas are strongly dependent on the variation of the operating frequency within the leaky-mode region. The self-oscillating doubler without external oscillator sources provides double-frequency variation at the second-harmonic frequency instead of one-frequency variation at the fundamental frequency. Therefore the antenna scanning range can be enhanced and the operating frequency can be elevated. The measured scanning angle of this antenna is 13¬∞, which agrees well with the predicted 13.7¬∞, and the data show that the frequency-scanning ability of the leaky-wave antenna using a self-oscillating doubler increases as predicted. This self-oscillating doubler design is very simple, and it not only can improve the scanning capability of the active leaky-wave antenna, but it is also very suitable for millimeter-wave active antenna design.</t>
  </si>
  <si>
    <t>108-111</t>
  </si>
  <si>
    <t>60012370;60012370;112347287</t>
  </si>
  <si>
    <t>7501637046;7005109058;56123316200</t>
  </si>
  <si>
    <t>Wang, Chien Jen;Jou, Christina F.;Wu, Jin Jei</t>
  </si>
  <si>
    <t>National Chiao Tung University;Kao Yuan College of Technology and Commerce</t>
  </si>
  <si>
    <t>60012370;112347287</t>
  </si>
  <si>
    <t>Scanning leaky-wave antenna integrated with self-oscillating doubler</t>
  </si>
  <si>
    <t>10.1002/(SICI)1098-2760(19990720)22:2&lt;108::AID-MOP9&gt;3.0.CO;2-6</t>
  </si>
  <si>
    <t>2-s2.0-0033322345</t>
  </si>
  <si>
    <t>['suitable position', 'square disk', 'rectangular slot', 'profile square', 'open circuited', 'impedance matching', 'experimentally studied', 'experimental results', 'electromagnetic energy', 'disk dr', 'coupling slot', 'coplanar waveguide', 'also serves', 'also obtained']</t>
  </si>
  <si>
    <t>Characteristics of a low-profile square-disk dielectric resonator (DR) antenna with a very high permittivity excited by a coplanar waveguide (CPW) are experimentally studied. The CPW is open circuited by a rectangular slot which also serves a coupling slot for coupling the electromagnetic energy from the CPW to the square-disk DR. Also, it is found that, simply by placing the square disk in a suitable position on the CPW, impedance matching can easily be achieved, and good radiation characteristics are also obtained. Details of the experimental results are presented and discussed.</t>
  </si>
  <si>
    <t>96-97</t>
  </si>
  <si>
    <t>Wu, Jian Yi;Huang, Chih Yu;Wong, Kin Lu</t>
  </si>
  <si>
    <t>Low-profile, very-high-permittivity dielectric resonator antenna excited by a coplanar waveguide</t>
  </si>
  <si>
    <t>10.1002/(SICI)1098-2760(19990720)22:2&lt;96::AID-MOP5&gt;3.0.CO;2-0</t>
  </si>
  <si>
    <t>2-s2.0-0033341856</t>
  </si>
  <si>
    <t>['triangle tip', 'present dual', 'polarization planes', 'novel dual', 'frequency design', 'feed equilateral', 'experimental results', 'design concept', 'bent slots', 'bent slot', 'approximately 1']</t>
  </si>
  <si>
    <t>By loading a bent slot of 60¬∞ close to each triangle tip, a novel dual-frequency design of a single-feed equilateral-triangular microstrip antenna is proposed and studied. By varying the length of the bent slots, the present dual-frequency design can have a tunable frequency ratio of approximately 1.4-2.0, with the two operating frequencies having the same polarization planes and similar radiation characteristics. Details of the design concept and experimental results are presented and discussed.</t>
  </si>
  <si>
    <t>133-136</t>
  </si>
  <si>
    <t>Novel dual-frequency design of single-feed equilateral-triangular microstrip antenna</t>
  </si>
  <si>
    <t>10.1002/(SICI)1098-2760(19990720)22:2&lt;133::AID-MOP16&gt;3.0.CO;2-Q</t>
  </si>
  <si>
    <t>2-s2.0-0033344043</t>
  </si>
  <si>
    <t>['results showed', 'minor axes', 'input impedance', 'general green', 'exact impedance', 'elliptical patch', 'coaxial probe', 'circular polarization', 'attachment mode']</t>
  </si>
  <si>
    <t>In this paper, we present the characteristics of circular polarization of an elliptical microstrip patch fed by a coaxial probe through the method of moments in conjunction with the reaction integration method. After obtaining the general Green's function, the input impedance was calculated by superposition of two circular patches whose radii pertain to the major and minor axes of the elliptical patch, respectively, and then the characteristics of circular polarization are shown. The attachment mode was contained to ensure the continuity and singularity of the currents at the patch-probe conjunction point, and plays a role in accelerating the convergence for solving matrix equations. Results showed that the elliptical patch can be used to generate circular polarization characteristics with one probe feed, and attachment modes also should be contained in the formulation to obtain the exact impedance.</t>
  </si>
  <si>
    <t>111-113</t>
  </si>
  <si>
    <t>60014156;60014156</t>
  </si>
  <si>
    <t>7403027887;6508105199</t>
  </si>
  <si>
    <t>Jung, Hooin;Chulhun, Seo</t>
  </si>
  <si>
    <t>Soongsil University</t>
  </si>
  <si>
    <t>Jung H.</t>
  </si>
  <si>
    <t>Characteristics of circular polarization of elliptical microstrip antenna with full-wave analysis considering the attachment mode</t>
  </si>
  <si>
    <t>10.1002/(SICI)1098-2760(19990720)22:2&lt;111::AID-MOP10&gt;3.0.CO;2-F</t>
  </si>
  <si>
    <t>2-s2.0-0343090818</t>
  </si>
  <si>
    <t>['patch antenna', 'intrinsic properties', 'dimensional rectangular', 'cover antenna']</t>
  </si>
  <si>
    <t>The intrinsic properties of two-dimensional rectangular and three-dimensional parallelepipedic lattice photonic bandgap material to design a cover antenna are utilized. The interest in such a device for increasing the directivity of a patch antenna is demonstrated.</t>
  </si>
  <si>
    <t>136-139</t>
  </si>
  <si>
    <t>60008447;60008447;60008447;60008447</t>
  </si>
  <si>
    <t>7004028651;7202200613;7004363654;7006402070</t>
  </si>
  <si>
    <t>Th√®venot, M.;Denis, M. S.;Reineix, A.;Jecko, B.</t>
  </si>
  <si>
    <t>Design of a new photonic cover to increase antenna directivity</t>
  </si>
  <si>
    <t>10.1002/(SICI)1098-2760(19990720)22:2&lt;136::AID-MOP17&gt;3.0.CO;2-K</t>
  </si>
  <si>
    <t>2-s2.0-0343526830</t>
  </si>
  <si>
    <t>['understood within', 'transition dipole', 'strong interaction', 'present case', 'physical sizes', 'phonon coupling', 'order perturbation', 'nearby bchls', 'mutual distance', 'much larger', 'molecular aggregates', 'luminescence spectrum', 'increasing weakly', 'good agreement', 'formula differs', 'excited states', 'energy transfer', 'consistent second', 'calculated rates', 'bchls ),', 'bacteriochlorophyll molecules', 'acceptor aggregates', 'absorption spectrum']</t>
  </si>
  <si>
    <t>Excitation-energy transfer (EET) has been observed to be very rapid from B800 to B850, between two circular aggregates of bacteriochlorophyll molecules (BChls), in the light-harvesting antenna complex LH2 of photosynthetic purple bacteria. This rapid EET cannot be understood within the framework of F√∂rster's formula, since the luminescence spectrum of B800 overlaps little with the absorption spectrum of B850. The present work shows that it can be rationalized on the basis of a recently proposed formula for EET between molecular aggregates. The formula differs from F√∂rster's one when excited states are excitonic at least in one of the donor and the acceptor aggregates with a mutual distance not much larger than their physical sizes, as in the present case. Excited states of B850 are regarded as excitonic, while those of B800 as monomeric. The exciton-phonon coupling was taken into account over all orders for B800 and within a self-consistent second-order perturbation for B850. Calculated rates of the EET are in the range of 1011-1012 s-1, increasing weakly with temperature, in good agreement with experiments. We demonstrate that this rapid EET occurs to optically forbidden exciton states of B850, without total transition dipole, due to strong interaction of a transition dipole on a BChl in B800 with those on nearby BChls in B850.</t>
  </si>
  <si>
    <t>6096-6102</t>
  </si>
  <si>
    <t>60031701;60031701;60014256</t>
  </si>
  <si>
    <t>7202718421;56245343500;56276178400</t>
  </si>
  <si>
    <t>Mukai, Koichiro;Abe, Shuji;Sumi, Hitoshi</t>
  </si>
  <si>
    <t>Tsukuba;Tsukuba</t>
  </si>
  <si>
    <t>Electrotechnical Laboratory;University of Tsukuba</t>
  </si>
  <si>
    <t>60031701;60014256</t>
  </si>
  <si>
    <t>Mukai K.</t>
  </si>
  <si>
    <t>Theory of Rapid Excitation-Energy Transfer from B800 to Optically-Forbidden Exciton States of B850 in the Antenna System LH2 of Photosynthetic Purple Bacteria</t>
  </si>
  <si>
    <t>10.1021/jp984469g</t>
  </si>
  <si>
    <t>2-s2.0-0001644215</t>
  </si>
  <si>
    <t>['squares processor', 'path arrivals', 'optimal least', 'future directions', 'complex amplitude', 'anechoic chamber']</t>
  </si>
  <si>
    <t>The design and construction of a 2.4GHz antenna array suitable for measurement of the time, angle, and complex amplitude of path arrivals in an indoor radio channel are described. Calibration of the array is facilitated with the aid of an anechoic chamber. An optimal least-squares processor is derived, which compensates for systematic calibration errors. Early measurement results are presented, and future directions of the research are indicated.</t>
  </si>
  <si>
    <t>1211-1212</t>
  </si>
  <si>
    <t>60017198;60011410</t>
  </si>
  <si>
    <t>6603332407;35613861900</t>
  </si>
  <si>
    <t>Tingley, R.;Pahlavan, K.</t>
  </si>
  <si>
    <t>Cambridge;Worcester</t>
  </si>
  <si>
    <t>Charles Stark Draper Lab Inc;Worcester Polytechnic Institute</t>
  </si>
  <si>
    <t>Tingley R.</t>
  </si>
  <si>
    <t>Propagation measurement using antenna array</t>
  </si>
  <si>
    <t>10.1049/el:19990829</t>
  </si>
  <si>
    <t>2-s2.0-0032640267</t>
  </si>
  <si>
    <t>['time reversal', 'optical dispersion']</t>
  </si>
  <si>
    <t>The optically assisted time reversal of broadband microwave signals is demonstrated. Time reversal is obtained by imposing a wideband optical chirp onto the microwave signal followed by optical dispersion.</t>
  </si>
  <si>
    <t>1230-1232</t>
  </si>
  <si>
    <t>7003295996;7003657520;7004889917</t>
  </si>
  <si>
    <t>Coppinger, F.;Bhushan, A. S.;Jalali, B.</t>
  </si>
  <si>
    <t>Coppinger F.</t>
  </si>
  <si>
    <t>Time reversal of broadband microwave signals</t>
  </si>
  <si>
    <t>10.1049/el:19990869</t>
  </si>
  <si>
    <t>2-s2.0-0032649558</t>
  </si>
  <si>
    <t>['phone chassis', 'open termination', 'much closer', 'measurement results', 'isolated handset', 'induced currents', 'ferrite chokes']</t>
  </si>
  <si>
    <t>It is shown that in measurements of mobile handset antennas a cap on the coaxial feed cable inserted relatively close to the handset acts practically like an open termination to the induced currents on the surface of the phone chassis. Therefore, the measurement results with the cap are much closer to those of an isolated handset than without any countermeasures or with ferrite chokes.</t>
  </si>
  <si>
    <t>1212-1214</t>
  </si>
  <si>
    <t>6603413948;6701831104;7005441452</t>
  </si>
  <si>
    <t>Icheln, C.;Ollikainen, J.;Vainikainen, P.</t>
  </si>
  <si>
    <t>Icheln C.</t>
  </si>
  <si>
    <t>Reducing the influence of feed cables on small antenna measurements</t>
  </si>
  <si>
    <t>10.1049/el:19990851</t>
  </si>
  <si>
    <t>2-s2.0-0032688416</t>
  </si>
  <si>
    <t>['broad bandwidth', '1 vswr']</t>
  </si>
  <si>
    <t>A microstrip slot loop antenna with a three-stub hybrid coupler feed network is proposed for generating broadband circular polarisation. A very broad bandwidth of 55.6% at 2:1 VSWR and 22.2% bandwidth for &lt; 3dB axial ratio was achieved.</t>
  </si>
  <si>
    <t>1210-1211</t>
  </si>
  <si>
    <t>60007284;60007284</t>
  </si>
  <si>
    <t>7006326283;7004839408</t>
  </si>
  <si>
    <t>Qing, X. M.;Chia, Y. W.M.</t>
  </si>
  <si>
    <t>Centre for Wireless Communications, Singapore</t>
  </si>
  <si>
    <t>Qing X.</t>
  </si>
  <si>
    <t>Broadband circularly polarised slot loop antenna fed by three-stub hybrid coupler</t>
  </si>
  <si>
    <t>10.1049/el:19990857</t>
  </si>
  <si>
    <t>2-s2.0-0032690267</t>
  </si>
  <si>
    <t>['vertebrates consists', 'type flies', 'two classes', 'tim null', 'tim ).', 'social interactions', 'sensory modality', 'profound effects', 'predator avoidance', 'peripheral oscillators', 'per expression', 'per 7', 'organ culture', 'optic lobe', 'olfactory stimuli', 'olfactory rhythms', 'olfactory responses', 'mutant flies', 'many animals', 'locomotor behaviour', 'lateral neurons', 'lack rhythms', 'including period', 'fruitfly drosophila', 'food acquisition', 'express per', 'electrophysiological responses', 'dark cycles', 'core mechanism', 'constant darkness', 'circadian timekeeping', 'circadian rhythms', 'circadian regulation', 'circadian oscillations', 'chemosensory cells', 'also abolished', 'adult emergence', '2 flies']</t>
  </si>
  <si>
    <t>The core mechanism of circadian timekeeping in arthropods and vertebrates consists of feedback loops involving several clock genes, including period (per) and timeless (tim). In the fruitfly Drosophila, circadian oscillations in per expression occur in chemosensory cells of the antennae, even when the antennae are excised and maintained in isolated' organ culture. Here we demonstrate a robust circadian rhythm in Drosophila in electrophysiological responses to two classes of olfactory stimuli. These rhythms are observed in wild-type flies during light-dark cycles and in constant darkness, but are abolished in per or tim null-mutant flies (per01 and tim01) which lack rhythms in adult emergence and locomotor behaviour. Olfactory rhythms are also abolished in the per 7.2:2 transgenic line in which per expression is restricted to the lateral neurons of the optic lobe. Because per 7.2:2 flies do not express per in peripheral oscillators, our results provide evidence that peripheral circadian oscillators are necessary for circadian rhythms in olfactory responses. As olfaction is essential for food acquisition, social interactions and predator avoidance in many animals, circadian regulation of olfactory systems could have profound effects on the behaviour of organisms that rely on this sensory modality.</t>
  </si>
  <si>
    <t>375-378</t>
  </si>
  <si>
    <t>60005837;60005837;60005837</t>
  </si>
  <si>
    <t>35619607600;7005724545;7005469873</t>
  </si>
  <si>
    <t>Krishnan, Balajl;Dryer, Stuart E.;Hardin, Paul E.</t>
  </si>
  <si>
    <t>Houston</t>
  </si>
  <si>
    <t>University of Houston</t>
  </si>
  <si>
    <t>Krishnan B.</t>
  </si>
  <si>
    <t>Circadian rhythms in olfactory responses of Drosophila melanogaster</t>
  </si>
  <si>
    <t>10.1038/22566</t>
  </si>
  <si>
    <t>2-s2.0-0033595225</t>
  </si>
  <si>
    <t>['urgently sought', 'trimannosyl core', 'secreted protein', 'previous work', 'present study', 'onchocerca volvulus', 'novel target', 'new drugs', 'ms analysis', 'linked glycans', 'including collision', 'first report', 'eukaryotic glycoprotein', 'acetylglucosamine residues']</t>
  </si>
  <si>
    <t>N-Type glycans containing phosphorylcholine (PC-glycans), unusual structures found in the important human pathogens filarial nematodes, represent a novel target for chemotherapy. Previous work in our laboratories produced compositional information on the PC-glycan of ES-62, a secreted protein of the rodent parasite Acanthocheilonema viteae. In particular, we established using fast atom bombardment mass spectrometry (MS) analysis that PC was attached to a glycan with a trimannosyl core, with and without core fucosylation, carrying between one and four additional N-acetylglucosamine residues. In the present study, we demonstrate that this structure is conserved among filarial nematodes, including the parasite of humans, Onchocerca volvulus, for which new drugs are most urgently sought. Furthermore, by employing a variety of procedures, including collision- activated dissociation MS-MS analysis and matrix-assisted laser desorption MS analysis, we reveal that surprisingly, filarial nematodes also contain N- linked glycans, the antennae of which are composed of chito-oligomers. To our knowledge, this is the first report of such structures in a eukaryotic glycoprotein.</t>
  </si>
  <si>
    <t>20953-20960</t>
  </si>
  <si>
    <t>60015150;60024724;60024724;100359531;60015150;60015150</t>
  </si>
  <si>
    <t>7005784726;7005889760;7005050736;6603872128;7401534652;7103412653</t>
  </si>
  <si>
    <t>Haslam, Stuart M.;Houston, Katrina M.;Harnett, William;Reason, Andrew J.;Morris, Howard R.;Dell, Anne</t>
  </si>
  <si>
    <t>Glasgow;London;Ascot</t>
  </si>
  <si>
    <t>University of Strathclyde;Imperial College London;M-Scan Ltd</t>
  </si>
  <si>
    <t>60024724;60015150;100359531</t>
  </si>
  <si>
    <t>Haslam S.M.</t>
  </si>
  <si>
    <t>Structural studies of N-glycans of filarial parasites. Conservation of phosphorylcholine-substituted glycans among species and discovery of novel chito-oligomers</t>
  </si>
  <si>
    <t>10.1074/jbc.274.30.20953</t>
  </si>
  <si>
    <t>2-s2.0-0033597847</t>
  </si>
  <si>
    <t>['wind measured', 'turbulent activity', 'statistical properties', 'results obtained', 'radio astronomical', 'pwv fluctuations', 'phase differences', 'observation results', 'morning hours', 'microwave frequencies', 'meteorological tower', 'large array', 'interferometer consists', 'copyright 1999', 'cbl ).', 'antennas receive', 'antenna pairs', 'also derived', '7 ghz', '45 cm']</t>
  </si>
  <si>
    <t>At microwave frequencies, each centimeter of precipitable water vapor (PWV) causes about 6.45 cm of extra electrical path length relative to the "dry" air. The fluctuations of the water vapor dominate the changes of the effective path length through the atmosphere in a relatively short time period of a few hours. In this paper we describe a microwave interferometer developed for water vapor investigations and present the observation results. The interferometer consists of 10 antennas along two orthogonal 400-m arms that form many baselines (antenna pairs) ranging from 100 to 400 m. All the antennas receive a common CW signal (11.7 GHz) from a geostationary television satellite, and phase differences between pairs of antennas are measured. The phase differences reflect the column-integrated water vapor differences from the top of the atmosphere to the spatially separated antennas at the ground. The interferometric, baseline-differential measurements allow us to study the statistical properties of the PWV fluctuations, as well as the turbulent activity of the convective boundary layer (CBL). Structure function analysis of the interferometer measurements shows good agreement with results obtained from the Very Large Array (VLA) and with a theoretical model developed for radio astronomical very long baseline interferometry (VLBI), reported previously by other investigators. The diurnally varying structure constant correlates remarkably well with the combination of the latent and sensible heat fluxes measured simultaneously from a 10-m meteorological tower. The average drift velocity of the PWV over the interferometer was also derived from the measurements. The derived velocity agrees well during the morning hours with the wind measured by an anemometer at the center of the interferometer. Copyright 1999 by the American Geophysical Union.</t>
  </si>
  <si>
    <t>16729-16740</t>
  </si>
  <si>
    <t>1999JD900263</t>
  </si>
  <si>
    <t>D14</t>
  </si>
  <si>
    <t>Journal of Geophysical Research Atmospheres</t>
  </si>
  <si>
    <t>60006164;60006164;60006164;60006164;60006164</t>
  </si>
  <si>
    <t>7202920419;7005569742;7004472183;35116696600;7403204511</t>
  </si>
  <si>
    <t>Shao, X. M.;Carlos, R. C.;Kirkland, M. W.;Kao, C. Y.J.;Jacobson, A. R.</t>
  </si>
  <si>
    <t>Los Alamos</t>
  </si>
  <si>
    <t>Los Alamos National Laboratory</t>
  </si>
  <si>
    <t>Shao X.M.</t>
  </si>
  <si>
    <t>Observations of precipitable water vapor fluctuations in convective boundary layer via microwave interferometry</t>
  </si>
  <si>
    <t>10.1029/1999JD900263</t>
  </si>
  <si>
    <t>2-s2.0-16444373012</t>
  </si>
  <si>
    <t>['zero field', 'uphill rate', 'two complexes', 'two clusters', 'temperature range', 'reorganization energies', 'quantitatively evaluated', 'pcp goes', 'pcp ),', 'monomer relationship', 'lowest temperatures', 'local 2', 'line shapes', 'kinetics conform', 'ground state', 'four peridinins', 'exchange rates', 'energy difference', 'downhill rate', 'decay rate', 'coupling parameters', 'conveniently discussed', '5 cm', '41 cm', '40 k', '300 mhz', '20 mhz', '005 mhz']</t>
  </si>
  <si>
    <t>Triplet-triplet energy transfer among peridinin molecules in peridinin-chlorophyll-protein (PCP) complexes from two different dinoflagellate species is quantitatively evaluated by the use of the optically detected magnetic resonance technique supplemented by triplet-state decay rate measurements. The two complexes are related by a dimer-monomer relationship in the sense that the four peridinins-one chlorophyll cluster of the Heterocapsa pygmeae PCP (H-PCP) is a copy of the two clusters contained in the larger protein Amphidinium carterae PCP (A-PCP), which are related by a local 2-fold symmetry axis. The system is conveniently discussed as a multistate Frenkel exciton system performing stochastic jumps from one exciton state to another. The rate of triplet-triplet energy exchange among peridinin molecules is obtained through the simulation of the spectral line shapes of optically detected magnetic resonance in zero field. Measurements were collected in a range of temperatures between 2 and 40 K and supplemented by the determination of the decay rate of the triplet to ground state in the same temperature range. The latter is of the order of 0.005 MHz and is relevant in determining the line shapes, especially at the lowest temperatures where the exchange rates are low. Exchange rates within the four-member peridinin cluster of H-PCP exactly match those within each of the two clusters of A-PCP and span a range from 0 to 20 MHz for the uphill rate and from 10 to 300 MHz for the downhill rate, corresponding to an energy difference of 41 cm-1. The intercluster exchange rate in A-PCP goes from 0 to 12 MHz uphill and from 0.05 to 30 MHz downhill, with an energy difference of only 12.5 cm-1. The kinetics conform to phonon-stimulated radiationless transition theory, and coupling parameters and reorganization energies are evaluated and discussed. ¬© 1999 American Chemical Society.</t>
  </si>
  <si>
    <t>6357-6362</t>
  </si>
  <si>
    <t>60000481;60000481;60004591-60021199;60013959;60015815</t>
  </si>
  <si>
    <t>7003388117;16207173300;6603784365;6603789154;35884300000</t>
  </si>
  <si>
    <t>Carbonera, Donatella;Giacometti, Giovanni;Segre, Ulderico;Angerhofer, Alexander;Gross, Ulrich</t>
  </si>
  <si>
    <t>Italy;Germany;United States;Italy;Italy</t>
  </si>
  <si>
    <t>Rome;Stuttgart;Gainesville;Modena;Padua</t>
  </si>
  <si>
    <t>Consiglio Nazionale delle Ricerche;Universit√§t Stuttgart;University of Florida;Universit√† degli Studi di Modena e Reggio Emilia;Universit√† degli Studi di Padova</t>
  </si>
  <si>
    <t>60021199;60015815;60013959;60004591;60000481</t>
  </si>
  <si>
    <t>Carbonera D.</t>
  </si>
  <si>
    <t>Model for triplet-triplet energy transfer in natural clusters of peridinin molecules contained in Dinoflagellate's outer antenna proteins</t>
  </si>
  <si>
    <t>10.1021/jp984641g</t>
  </si>
  <si>
    <t>2-s2.0-0038613232</t>
  </si>
  <si>
    <t>['vibrational quenching', 'triplet state', 'solvent molecules', 'significant fraction', 'sensitized luminescence', 'polydentate ligand', 'oxygen dependence', 'organic groups', 'luminescent state', 'luminescence lifetimes', 'lanthanide ion', 'infrared luminescence', 'deutero dimethylsulfoxide', 'complexes functionalized', '6 œºs', '5 œºs', '4 œºs']</t>
  </si>
  <si>
    <t>Hexa-deutero dimethylsulfoxide (DMSO-d6) solutions of terphenyl-based Nd3+, Yb3+, and Er3+ complexes functionalized with a triphenylene antenna chromophore exhibit room temperature near-infrared luminescence at wavelengths of interest for the optical telecommunication network (‚àº1330 and ‚àº1550 nm). The sensitizing process takes place through the triplet state of triphenylene as can be concluded from the oxygen dependence of the sensitized luminescence. A significant fraction of the excited triphenylene triplet state is quenched by oxygen, instead of contributing to the population of the luminescent state of the lanthanide ion. The luminescence lifetimes of the triphenylene-functionalized lanthanide complexes ((2)Ln) are in the range of microseconds with a lifetime of 18.6 Œºs for (2)Yb, 3.4 Œºs for (2)Er, and 2.5 Œºs for (2)Nd in DMSO-d6. These luminescence lifetimes seem almost completely dominated by the vibrational quenching by the organic groups in the polydentate ligand and solvent molecules, which leads to low overall luminescence quantum yields. ¬© 1999 American Institute of Physics.</t>
  </si>
  <si>
    <t>1181-1185</t>
  </si>
  <si>
    <t>60084325;60084325;60084325;60084325;60084325;60005398;60005398;60024415-60016561</t>
  </si>
  <si>
    <t>55897125000;6603654302;6603583338;7005239265;35467605800;6603377345;7006276494;7006241440</t>
  </si>
  <si>
    <t>Klink, S. I.;Hebbink, G. A.;Grave, L.;Van Veggel, F. C.J.M.;Reinhoudt, D. N.;Slooff, L. H.;Polman, A.;Hofstraat, J. W.</t>
  </si>
  <si>
    <t>Netherlands;Netherlands;Netherlands;Netherlands</t>
  </si>
  <si>
    <t>Enschede;Amsterdam;Eindhoven;Amsterdam</t>
  </si>
  <si>
    <t>MESA+ Instituut;Akzo Nobel N.V.;Philips Research;FOM Institute for Atomic and Molecular Physics - AMOLF</t>
  </si>
  <si>
    <t>60084325;60024415;60016561;60005398</t>
  </si>
  <si>
    <t>Klink S.</t>
  </si>
  <si>
    <t>Sensitized near-infrared luminescence from polydentate triphenylene-functionalized Nd&lt;sup&gt;3+&lt;/sup&gt;, Yb&lt;sup&gt;3+&lt;/sup&gt;, and Er&lt;sup&gt;3+&lt;/sup&gt; complexes</t>
  </si>
  <si>
    <t>10.1063/1.370867</t>
  </si>
  <si>
    <t>2-s2.0-0001553091</t>
  </si>
  <si>
    <t>96-15-96591</t>
  </si>
  <si>
    <t>['vlf band', 'validity criteria', 'linear antenna', 'line theory', 'ionospheric conditions', 'given e', 'eigenmode guided', 'determined mainly', 'current distribution', 'antenna current']</t>
  </si>
  <si>
    <t>We obtain, solution for the current distribution on a linear antenna excited by a given e.m.f. The antenna is an infinitely, long, perfectly conducting cylinder immersed in a plasma and aligned with an external magnetic field. The obtained current distribution in the VLF band is contributed by the eigenmode guided by the cylinder and waves of the continuous spatial spectrum. We show that the current distribution of a sufficiently thin antenna is determined mainly by the eigenmode. The antenna current is calculated both analytically and numerically under ionospheric conditions. The validity criteria for using the transmission-line theory to obtain the current distribution on a linear antenna in a magnetoplasma are discussed.</t>
  </si>
  <si>
    <t>660-673</t>
  </si>
  <si>
    <t>6701600128;7103405138;8099023900</t>
  </si>
  <si>
    <t>Zaboronkova, T. M.;Kudrin, A. V.;Petrov, E. Yu</t>
  </si>
  <si>
    <t>Zaboronkova T.</t>
  </si>
  <si>
    <t>VHF current distribution on a cylindrical VLF antenna in a magnetoplasma</t>
  </si>
  <si>
    <t>10.1007/BF02676852</t>
  </si>
  <si>
    <t>2-s2.0-0008480727</t>
  </si>
  <si>
    <t>['simplified design', 'secondary patterns', 'quick design', 'performance analysis', 'optics analysis', 'derived equations', 'beam isolation', 'beam antennas', 'beam analysis', 'area directivity', 'analysis given', 'analysis equations', 'also presented']</t>
  </si>
  <si>
    <t>Antenna radiation patterns | Aperture antennas | Lens antennas | Multiple beam antennas | Offset reflector antennas | Reflector antennas | Satellite communication | Shaped beam antennas | Space vehicle communication</t>
  </si>
  <si>
    <t>Simplified design and analysis equations are presented for multiple-beam reflector antennas based on the Gaussian-beam analysis of the primary and secondary patterns. The derived equations are useful for the quick design and performance analysis in terms of the coverage-area directivity and the inter-beam isolation of multiple-beam antenna systems. Results of the analysis given in this paper agree well with rigorous computations based on physical-optics analysis of the reflector-antenna radiation patterns. Extension of the analysis to multiple-beam lens antennas, and to shaped/contoured-beam antennas, is also presented.</t>
  </si>
  <si>
    <t>53-69</t>
  </si>
  <si>
    <t>Rao, Sudhakar K.</t>
  </si>
  <si>
    <t>Rao S.</t>
  </si>
  <si>
    <t>Design and analysis of multiple-beam reflector antennas</t>
  </si>
  <si>
    <t>10.1109/74.789737</t>
  </si>
  <si>
    <t>2-s2.0-0032595039</t>
  </si>
  <si>
    <t>['waveguide antenna', 'temperature changes', 'stationary room', 'station figure', 'station configuration', 'space communications', 'shape design', 'repair purposes', 'progressive improvements', 'older designs', 'new dual', 'new antennas', 'modeling used', 'measurement technique', 'main reflector', 'historical evolution', 'goldstone dss', 'gain divided', 'focal point', 'feed package', 'elevation angle', 'efficiency measurements', 'configuration changes', 'bwg ),', 'beam waveguide', 'band antenna', 'article reports', 'analysis processing', 'also described', 'aging antennas', '13 research', '13 ka']</t>
  </si>
  <si>
    <t>Beam waveguides | Multireflector antennas | Reflector antenna feeds | Reflector antennas | Satellite communication earth terminals | Space vehicle communication</t>
  </si>
  <si>
    <t>New antennas for the NASA Deep Space Network (DSN) have been built to replace the aging antennas of older designs for deep-space communications. These new antennas incorporate a new dual-shape design as well as a beam waveguide (BWG), which utilize a series of additional secondary mirrors to relocate the focal point into a stationary room below the main reflector. The advantages of using such a design include increased isolation of the feed package from outside environmental factors, such as moisture, wind, and temperature changes; and ease of access to the equipment for maintenance, troubleshooting and repair purposes. This article reports on the performance of a beam waveguide antenna at X-band and Ka-band microwave frequencies. The Ka-Band Antenna Performance Experiment (KaAP) antenna-efficiency measurements presented in this article were acquired at the Goldstone DSS-13 Research and Development (R&amp;D) beam-waveguide antenna between December, 1993, and November, 1995. The measured antenna efficiency and ground-station figure-of-merit (gain divided by operating system noise temperature) as a function of elevation angle and their uncertainties are presented. Also described are the station configuration, the measurement technique, the modeling used in the analysis processing, and the historical evolution of the DSS-13 Ka-band antenna-efficiency measurements as progressive improvements and configuration changes were implemented. ¬©1999 IEEE.</t>
  </si>
  <si>
    <t>23-34</t>
  </si>
  <si>
    <t>Morabito, David D.</t>
  </si>
  <si>
    <t>Morabito D.</t>
  </si>
  <si>
    <t>The characterization of a 34-meter beam-waveguide antenna at Ka band (32.0 GHz) and X band (8.4 GHz)</t>
  </si>
  <si>
    <t>10.1109/74.789734</t>
  </si>
  <si>
    <t>2-s2.0-0032595044</t>
  </si>
  <si>
    <t>['wall conditioning', 'successfully developed', 'rf power', 'plasma performance', 'plasma discharges', 'new technique', 'longer lifetime', 'ion temperature', 'icrf boronization', 'first wall', 'especially useful', 'encouraging results', 'carborane molecules', '2 kev', '10 kw', '1 pa']</t>
  </si>
  <si>
    <t>A new technique for wall conditioning that will be especially useful for future larger superconducting tokamaks, such as ITER, has been successfully developed and encouraging results have been obtained. Solid carborane powder, which is non-toxic and non-explosive, was used. Pulsed RF plasma was produced by a non-Faraday shielding RF antenna with RF power of 10 kW. The ion temperature was about 2 keV with a toroidal magnetic field of 1.8 T and a pressure of 3 √ó 10-1 Pa. Energetic ions broke up the carborane molecules, and the resulting boron ions struck and were deposited on the first wall. In comparison with glow discharge cleaning boronization, the B/C coating film show higher adhesion, more uniformity and longer lifetime during plasma discharges. The plasma performance was improved after ICRF boronization.</t>
  </si>
  <si>
    <t>973-977</t>
  </si>
  <si>
    <t>Nuclear Fusion</t>
  </si>
  <si>
    <t>60020697;60020697;60020697;60020697;60020697;60020697;60020697;60020697;60020697;60020697;60020697;60020697;60020697;60020697;60020697;60020697;60020697;60020697;60020697;60020697;60020697;60020697;60020697;60020697;60020697;60020697;60020697;60020697;60020697;60020697;60020697;60020697;60020697;60020697;60020697;60020697;60020697;60020697</t>
  </si>
  <si>
    <t>57214207311;8060486400;7403203702;57246125800;7102316730;57192505653;7404182649;7201999035;7402994295;7402417149;7006306779;35277522700;55620153300;35225916400;57033178100;57184502500;57224615570;7401999720;35225739000;57192612953;25924829500;7202679624;23498059200;55683815000;9275170100;55463439800;35187288700;7402764310;7402727759;7409370945;35226037800;35168068600;56307487400;57220920580;7403508625;35226049000;7403456386;57213477115</t>
  </si>
  <si>
    <t>Li, Jiangang;Zhao, Yan Ping;Gu, Xue Mao;Li, Chen Fu;Wan, Bao Nian;Zhang, Xiao Dong;Luo, Jia Rong;Gong, Xian Zhu;Xie, Ji Kang;Wan, Yuan Xi;Qin, Ping Jian;Wang, Xiao Ming;Meng, Yue Dong;Li, Shen Fa;Gao, Xiang;Yang, Yu;Xue, Di Yie;Mao, Yu Zhou;Den, Xu;Chen, Lei;Fang, Yin Cui;Yin, Fu Xian;Liu, Sheng Xia;Yang, Xiao Kang;Xu, De Zhen;Ding, Jia Yi;Jie, Yin Xian;Zhao, Qing Chu;Mao, Jian Shan;Zhang, Shou Ying;Zhao, Jun Yi;Hu, Jian Shen;Fan, Hen Yu;Wei, Ming Shen;Lin, Bi Li;Wang, Guang Xing;Fang, Yu De;Shen, Wei Chi</t>
  </si>
  <si>
    <t>Hefei</t>
  </si>
  <si>
    <t>Institute of Plasma Physics Chinese Academy of Sciences</t>
  </si>
  <si>
    <t>Li J.</t>
  </si>
  <si>
    <t>ICRF boronization - a new technique towards high efficiency wall coating for superconducting tokamak reactors</t>
  </si>
  <si>
    <t>10.1088/0029-5515/39/8/302</t>
  </si>
  <si>
    <t>2-s2.0-0032598246</t>
  </si>
  <si>
    <t>['used even', 'interference signal', 'input signal', 'impulsive signals', 'impulsive signal', 'desired signal', 'correlation exists', 'computer simulations', 'adaptive filter']</t>
  </si>
  <si>
    <t>In the conventional echo canceler based on an adaptive filter, echo suppression performance is degraded when a correlation exists between the interference signal (echo) and the desired signal. In this paper, we propose a novel echo canceler, which can be used even if a strong correlation exists between the interference signal and the desired signal. In the proposed echo canceler, the input signal to the adaptive filter is converted into impulsive signals, and then the weights are calculated. By conversion to an impulsive signal, the overlap in time between the interference signal pulse and the desired signal pulse is minimized, which helps to secure the interference signal suppression performance of the adaptive filter. The performance of the proposed echo canceler is demonstrated by computer simulations.</t>
  </si>
  <si>
    <t>22-31</t>
  </si>
  <si>
    <t>56535753000;7103344347;7003883695;7006380481</t>
  </si>
  <si>
    <t>Suzuki, Nobuhiro;Okamura, Atsushi;Kirimoto, Tetsuo;Mano, Seiji</t>
  </si>
  <si>
    <t>Suzuki N.</t>
  </si>
  <si>
    <t>Echo canceler to suppress interference pulses closely correlated to desired pulses</t>
  </si>
  <si>
    <t>10.1002/(SICI)1520-6424(199908)82:8&lt;22::AID-ECJA3&gt;3.0.CO;2-V</t>
  </si>
  <si>
    <t>2-s2.0-0032636485</t>
  </si>
  <si>
    <t>['spatial profiles', 'necessary requirements', 'ion density', 'helicon wave', '0 mode']</t>
  </si>
  <si>
    <t>The spatial profiles of ion density and wavefields are investigated in a plasma processing reactor using a single loop antenna which couples to the m = 0 mode of a helicon wave in the low magnetic field regime. An increase in ion density away from the antenna is observed. The wavefields of the helicon modes present are seen to be a superposition of higher order radial modes and their reflections from the endplate. It is found that the single loop antenna can generate a plasma with parameters that have the necessary requirements for use as a general processing plasma source.</t>
  </si>
  <si>
    <t>432-439</t>
  </si>
  <si>
    <t>57198467205;6603493195</t>
  </si>
  <si>
    <t>Carter, C.;Khachan, J.</t>
  </si>
  <si>
    <t>Carter C.</t>
  </si>
  <si>
    <t>Downstream plasma characteristics from a single loop antenna in a helicon processing reactor</t>
  </si>
  <si>
    <t>10.1088/0963-0252/8/3/313</t>
  </si>
  <si>
    <t>2-s2.0-0032643966</t>
  </si>
  <si>
    <t>['studied ar', 'still applicable', 'square root', 'small amount', 'slot antenna', 'ring resonator', 'plasma source', 'plasma chamber', 'microwave power', 'like films', 'electron density', 'downstream region', 'added downstream']</t>
  </si>
  <si>
    <t>The absolute electron density in the downstream region of a 2.45 GHz microwave plasma source has been measured by the plasma oscillation method. In the plasma oscillation method a weak electron beam injected into the plasma excites electrostatic electron waves oscillating at the electron plasma frequency, which is proportional to the square root of the electron density. The plasma source is a slot antenna (SLAN) type, that is the microwave power is coupled from a ring resonator through equidistantly positioned resonant coupling slots into the plasma chamber which is made of quartz. The results of the plasma oscillation method are compared with the results of single and double Langmuir probe (LP) measurements. In Ar and Ar:O2 mixtures reasonable agreement between the two diagnostic methods is found. However, in depositing plasmas traditional LPs cannot be used with confidence. We studied Ar:O2 gas mixtures with hexamethyldisiloxane (HMDSO) added downstream for the deposition of quartz-like films. We found that even a small amount of HMDSO in the gas mixture leads to erroneous LP measurements due to probe surface coating, while the plasma oscillation method is still applicable here.</t>
  </si>
  <si>
    <t>440-447</t>
  </si>
  <si>
    <t>60022995;60022995;60022995;60022995</t>
  </si>
  <si>
    <t>6603582631;6603326885;7006130405;7005887088</t>
  </si>
  <si>
    <t>Schwabedissen, A.;Soll, C.;Brockhaus, A.;Engemann, J.</t>
  </si>
  <si>
    <t>Wuppertal</t>
  </si>
  <si>
    <t>Bergische Universit√§t Wuppertal</t>
  </si>
  <si>
    <t>Schwabedissen A.</t>
  </si>
  <si>
    <t>Electron density measurements in a slot antenna microwave plasma source by means of the plasma oscillation method</t>
  </si>
  <si>
    <t>10.1088/0963-0252/8/3/314</t>
  </si>
  <si>
    <t>2-s2.0-0032645353</t>
  </si>
  <si>
    <t>['white matters', 'validated using', 'system uses', 'stepper motor', 'specific fluids', 'slab model', 'shaped tissue', 'shaped protrusion', 'radiating device', 'peak 1', 'obtained using', 'neck region', 'neck part', 'measurement system', 'lossy ear', 'kg ).', 'kci solution', 'implantable e', 'g sar', 'field probe', 'experimental setup', 'epoxy laced', 'difference time', 'dielectric constant', 'compliance testing', 'center frequencies', 'calibrated using', 'appropriate frequency', 'anatomical model', '23 db', '1900 mhz', '10 w']</t>
  </si>
  <si>
    <t>Experimental phantom with lossy ear | Safety compliance testing | Validation against computed SAR</t>
  </si>
  <si>
    <t>An automated specific absorption rate (SAR) measurement system has been developed for compliance testing of personal wireless devices. Unlike other systems, this system uses a model with a lossy ear-shaped protrusion and the accuracy of this experimental setup has been checked by comparing the peak 1-g SAR's for ten cellular telephones, five each at 835 and 1900 MHz, with the results obtained using a 15-tissue anatomically based model with the finite-difference time-domain (FDTD) numerical electromagnetic technique. The SAR measurement system uses a three-dimensional (3-D) stepper motor to move a Narda Model 8021 E-field probe to measure the SAR distribution inside a head-shaped tissue-simulant phantom near the radiating device. The head and neck part of the model with an ear-shaped protrusion of 3 mm thickness is made of a lossy outer shell of 5-7 mm thickness of epoxy laced with KCI solution. The phantom is filled with appropriate frequency-specific fluids with measured electrical properties (dielectric constant and conductivity) that are dose to the average for gray and white matters of the brain at the center frequencies of interest (835 and 1900 MHz). The implantable E-field probe is calibrated using the FDTD-calculated SAR variations for a slab model at two commonly used frequencies, 835 and 1900 MHz and is checked to have good isotropic characteristics (¬±0.23 dB) and a wide dynamic range (0.01-10 W/kg). The system is validated using a 223-mm-diameter sphere model. Peak 1-g SAR's for ten telephones using different antennas are within ¬±1 dB of those obtained using the FDTD numerical method for the anatomical model of the head and neck region.</t>
  </si>
  <si>
    <t>234-245</t>
  </si>
  <si>
    <t>60025488;60000251-60025488;60000251-60025488;60025488</t>
  </si>
  <si>
    <t>7402947671;7103082601;56955110900;7404297360</t>
  </si>
  <si>
    <t>Yu, Qishan;Gandhi, Om P.;Aronsson, Magnus;Wu, Ding</t>
  </si>
  <si>
    <t>Salt Lake City;New York</t>
  </si>
  <si>
    <t>The University of Utah;IEEE</t>
  </si>
  <si>
    <t>60025488;60000251</t>
  </si>
  <si>
    <t>Yu Q.</t>
  </si>
  <si>
    <t>An automated SAR measurement system for compliance testing of personal wireless devices</t>
  </si>
  <si>
    <t>S0018937599067186</t>
  </si>
  <si>
    <t>10.1109/15.784158</t>
  </si>
  <si>
    <t>2-s2.0-0032646204</t>
  </si>
  <si>
    <t>['speed two', 'pmf ).', 'new configuration', 'maintaining fibers', 'linbo3 substrate', 'grating lobe', 'gif lens', 'gain coefficient', 'element fiber', 'element array', 'element antennas', 'element antenna', 'db bandwidth', 'antenna elements', '924 mhz', '5 db', '2 ¬∞;']</t>
  </si>
  <si>
    <t>A fiber-type optical phased array antenna is proposed as a new configuration of phased array antennas operating in the optical frequency domain. The proposed antenna consists of fibers that connect an optical beamforming network consisting of integrated optical waveguides to an array antenna consisting of microlenses as the element antenna. High-speed two-dimensional optical beam steering can be achieved by reducing the relative phase fluctuation between element antennas and the generation of the grating lobe. In an experiment on the three-element fiber-type optical phased array antenna, three 1 √ó 2 variable power dividers and four variable phase shifters are integrated on a LiNbO3 substrate as the optical beamforming network, and graded-index-fiber (GIF) lenses are used as the antenna elements. These components are connected through polarization-maintaining fibers (PMF). The 3-dB bandwidth of the integrated variable phase shifter is from dc to 924 MHz, and the optical beam steering range of the three-element array is 0.2¬∞; they are arranged in a triangle. The parameters of the GIF lens are optimized and it is estimated that at the maximum gain coefficient a grating lobe level of -14.5 dB and a gain coefficient of 0.815 can be obtained.</t>
  </si>
  <si>
    <t>42-51</t>
  </si>
  <si>
    <t>60001271;60001271</t>
  </si>
  <si>
    <t>35465779800;7102618328</t>
  </si>
  <si>
    <t>Inagaki, Keizo;Karasawa, Yoshio</t>
  </si>
  <si>
    <t>Advanced Telecommunications Research Institute International (ATR)</t>
  </si>
  <si>
    <t>Inagaki K.</t>
  </si>
  <si>
    <t>Three-element fiber-type optical phased array antenna with high-speed two-dimensional optical beam steering</t>
  </si>
  <si>
    <t>10.1002/(SICI)1520-6424(199908)82:8&lt;42::AID-ECJA5&gt;3.0.CO;2-J</t>
  </si>
  <si>
    <t>2-s2.0-0032649609</t>
  </si>
  <si>
    <t>['wider range', 'wave source', 'visualized result', 'results show', 'reconstructed image', 'receiving antenna', 'receiver antenna', 'real system', 'partitioned planes', 'paper discusses', 'observation frequency', 'numerical integration', 'method presented', 'metal cabinet', 'measuring plane', 'fresnel approximation', 'fraunhofer approximation', 'dipole antenna', 'conventional method', 'computer simulation', 'application example', '200 cm']</t>
  </si>
  <si>
    <t>This paper discusses a method in which a wave source is visualized by electromagnetic wave holography by scanning the receiver antenna on a plane. The method presented in this paper does not use the Fresnel approximation or the Fraunhofer approximation, and there is no constraint on the distance between the measuring plane and the object of observation. By partitioning the object of observation, the method can be applied, even if the object of observation is larger than the hologram measuring plane. The two-dimensional fast Fourier transform is introduced to each of the partitioned planes, so that the speed of the numerical integration is improved. To improve the accuracy of the intensity of the reconstructed image, the directivity of the receiving antenna is considered. For observation of the leaked electromagnetic wave in a real system, a hologram observation system is proposed in which some variation of the observation frequency can be tolerated. Using the proposed observation system, the radiation from a dipole antenna is observed, and a computer simulation is performed. These results show that the resolution is improved and that a wider range of observation is realized than in the conventional method. Lastly, as an application example, the leaked electromagnetic waves from a metal cabinet are observed on a 57 cm √ó 57 cm plane at a distance of 200 cm, and a visualized result for 285 cm √ó 285 cm is presented.</t>
  </si>
  <si>
    <t>52-60</t>
  </si>
  <si>
    <t>60081240;60008435</t>
  </si>
  <si>
    <t>6603962317;35598806700</t>
  </si>
  <si>
    <t>Kitayoshi, Hitoshi;Sawaya, Kunio</t>
  </si>
  <si>
    <t>Tokyo;Sendai</t>
  </si>
  <si>
    <t>Advantest Corporation;Tohoku University</t>
  </si>
  <si>
    <t>Kitayoshi H.</t>
  </si>
  <si>
    <t>Electromagnetic-wave visualization for EMI using a new holographic method</t>
  </si>
  <si>
    <t>10.1002/(SICI)1520-6424(199908)82:8&lt;52::AID-ECJA6&gt;3.0.CO;2-D</t>
  </si>
  <si>
    <t>2-s2.0-0032666987</t>
  </si>
  <si>
    <t>['weak non', 'wave plasma', 'wave frequency', 'theoretical expectations', 'resonance layer', 'power 13', 'plasma boundary', 'original surface', 'might contribute', 'may become', 'local resonance', 'landau damping', 'ionizing 2', 'involve collisions', 'accompanying space']</t>
  </si>
  <si>
    <t>The paper presents space-resolved microwave intensity measurements in a surface-wave plasma device clearly demonstrating the existence of a local resonance in a resonance layer where the local electron plasma frequency is equal to the surface-wave frequency. It has already been suggested in the literature that Landau damping of electron plasma waves excited in such a resonance layer and/or stochastic electron heating there might contribute to the surface-wave plasma energy balance. Since this does not involve collisions, it may become an important energy channel at low gas pressures. In order to avoid having the resonance layer too close to the plasma boundary, the measurements were performed not in the original surface-wave plasma, but using a weak non-ionizing 2.4 GHz microwave propagating in an inductively coupled plasma created by an internal loop antenna fed by a high-power 13.56 MHz generator. Still the original surface-wave plasma source geometry, including the microwave input port, was preserved. The resonance layer was identified by the microwave intensity peak, which was found to shift on changing the plasma density profile and/or the wave driving frequency in compliance with theoretical expectations. Accompanying space-resolved plasma density measurements confirmed this interpretation.</t>
  </si>
  <si>
    <t>363-369</t>
  </si>
  <si>
    <t>60000264;60000264;60000264;100448192</t>
  </si>
  <si>
    <t>6701807338;7101665824;35594076200;7102323755</t>
  </si>
  <si>
    <t>Ghanashev, I.;Sugai, H.;Morita, S.;Toyoda, N.</t>
  </si>
  <si>
    <t>Local resonant excitation of plasma oscillations in a planar surface-wave plasma device</t>
  </si>
  <si>
    <t>10.1088/0963-0252/8/3/304</t>
  </si>
  <si>
    <t>2-s2.0-0032683801</t>
  </si>
  <si>
    <t>['plasma impedance', 'measured wavevectors', 'higher modes', 'helicon wave', 'h ),', 'density distribution']</t>
  </si>
  <si>
    <t>Five distinct discharge modes are observed in a cylindrically-symmetric helicon reactor. Each mode is characterized by its plasma impedance, wave mode structure, density distribution and floating potential structure. It is shown that the lowest two modes are capacitive (E) and inductive (H), while higher modes are helicon wave (W) modes. Successive wave modes are found to correspond to helicon wave cavity resonances of the plasma-filled vacuum vessel, each with a well defined wavevector, density and impedance. Measured wavevectors and densities are in agreement with the helicon wave dispersion relation. The first helicon discharge mode is found to be an m = ¬±1 mode, as expected for a double saddle field antenna. Unexpectedly, the second and third helicon modes have an m = 0 azimuthal symmetry.</t>
  </si>
  <si>
    <t>421-431</t>
  </si>
  <si>
    <t>60008950-60003780;60008950;60008950</t>
  </si>
  <si>
    <t>7102221539;7101963373;7103354742</t>
  </si>
  <si>
    <t>Chi, Kyeong Koo;Sheridan, T. E.;Boswell, R. W.</t>
  </si>
  <si>
    <t>Australia;South Korea</t>
  </si>
  <si>
    <t>Canberra;Suwon</t>
  </si>
  <si>
    <t>The Australian National University;Samsung Electronics Co. Ltd.</t>
  </si>
  <si>
    <t>60008950;60003780</t>
  </si>
  <si>
    <t>Chi K.</t>
  </si>
  <si>
    <t>Resonant cavity modes of a bounded helicon discharge</t>
  </si>
  <si>
    <t>10.1088/0963-0252/8/3/312</t>
  </si>
  <si>
    <t>2-s2.0-0032691444</t>
  </si>
  <si>
    <t>['wave nature', 'using fft', 'sweep periods', 'spatial resolution', 'received signal', 'power components', 'peak power', 'numerical methods', 'multilayer formations', 'modelling fm', 'lossy medium', 'lossless media', 'inversion formulation', 'high resolution', 'cw radar', 'conductivity less', 'center wavelength', 'also studied', '30 ms', '2d cases', '2 ms', '2 ghz', '10 ms', '1 ms']</t>
  </si>
  <si>
    <t>FM-CW | Formation | Imaging | Inversion | Radar | Spectrum</t>
  </si>
  <si>
    <t>FM-CW radar is capable of detecting subsurface anomalies by using linear sweep frequency transmission of a periodically repetitive continuous FM signal. Due to the continuous-wave nature, the peak power of the FM-CW radar is usually in the range of hundreds of milliwatts. In cases where high resolution is necessary, the FM-CW radar is preferred because of the simple hardware structure and the availability of low-power components. The distance from the antenna to an anomaly can be determined by FM-CW radar in lossless media. In this paper, we present both analytical and numerical methods for modelling FM-CW radar performance in lossless and lossy layered formations for 1D and 2D cases. The FM-CW operating frequency is set in the range of 1-2 GHz, and the sweep periods are 10 ms and 2 ms, respectively. An inversion formulation is discussed to invert the distance and dielectric constant simultaneously from the spectrum of the received signal by using FFT and the 'range equation'. The spatial resolution is about one-third of the center wavelength and the depth of penetration is about 4 m in a medium having a conductivity less than 1 mS/m. The FM-CW radar technique cannot be used in a lossy medium having conductivity more than 30 mS/m. The spectrum and images of multilayer formations is also studied.</t>
  </si>
  <si>
    <t>23-33</t>
  </si>
  <si>
    <t>Journal of Applied Geophysics</t>
  </si>
  <si>
    <t>60005837;60005837</t>
  </si>
  <si>
    <t>7102363990;8256166200</t>
  </si>
  <si>
    <t>Deng, Ruili;Liu, Ce</t>
  </si>
  <si>
    <t>Deng R.</t>
  </si>
  <si>
    <t>FM-CW radar performance in a lossy layered medium</t>
  </si>
  <si>
    <t>S0926985199000117</t>
  </si>
  <si>
    <t>10.1016/S0926-9851(99)00011-7</t>
  </si>
  <si>
    <t>2-s2.0-0032702362</t>
  </si>
  <si>
    <t>Wellcome Trust</t>
  </si>
  <si>
    <t>WT</t>
  </si>
  <si>
    <t>['weight ).', 'truncation resulted', 'tenascin family', 'significant potential', 'repulsive properties', 'oligomannosidic n', 'multivalent display', 'may contribute', 'low abundance', 'located exclusively', 'known concerning', 'either absent', 'disialylated structure', 'contrary functions', 'cns either', 'carbohydrate conjugated', 'brain tissue', 'bisecting n', 'axonal stabilization', 'antennae truncation', 'activated microglia']</t>
  </si>
  <si>
    <t>CNS | Extracellular matrix | N- and O-glycans | Sialylation | Tenascin-R</t>
  </si>
  <si>
    <t>As a member of the tenascin family of extracellular matrix glycoproteins, tenascin-R is located exclusively in the CNS. It is believed to play a role in myelination and axonal stabilization and, through repulsive properties, may contribute to the lack of regeneration of CNS axons following damage. The contrary functions of the tenascins have been localized to the different structural domains of the protein. However, little is known concerning the influence of the carbohydrate conjugated to the many potential sites for N- and O-glycosylation (10-20% by weight). As a first analytical requirement, we show that &gt; 80% of the N-glycans in tenascin-R are neutral and dominated by complex biantennary structures. These display the 'brain-type' characteristics of outer-arm- and core-fucosylation, a bisecting N-acetylglucosamine and, significantly, an abundance of antennae truncation. In some structures, truncation resulted in only a single mannose residue remaining on the 3-arm, a particularly unusual consequence of the N-glycan processing pathway. In contrast to brain tissue, hybrid and oligomannosidic N-glycans were either absent or in low abundance. A high relative abundance of O-linked sialylated glycans was found. This was associated with a significant potential for O-linked glycosylation sites and multivalent display of the sialic acid residues. These O-glycans were dominated by the disialylated structure, NeuAcŒ±2-3GalŒ≤1-3(NeuAcŒ±2-6)GalNAc. The possibility that these O-glycans enable tenascin-R to interact in the CNS either with the myelin associated glycoprotein or with sialoadhesin on activated microglia is discussed.</t>
  </si>
  <si>
    <t>823-831</t>
  </si>
  <si>
    <t>Glycobiology</t>
  </si>
  <si>
    <t>60002634-60026324;60002634;60025858-60007493;60002634;60025858-60005036;60002634;60002634</t>
  </si>
  <si>
    <t>6701842103;7202064593;7003576306;35508998200;7203055860;35399298000;7007068113</t>
  </si>
  <si>
    <t>Zamze, Susanne;Harvey, David J.;Pesheva, Penka;Mattu, Taj S.;Schachner, Melitta;Dwek, Raymond A.;Wing, David R.</t>
  </si>
  <si>
    <t>United Kingdom;Switzerland;Germany;Germany;United Kingdom</t>
  </si>
  <si>
    <t>Compton;Zurich ZH,;Bonn;Hamburg;Oxford</t>
  </si>
  <si>
    <t>Edward Jenner Institute for Vaccine Research;ETH Zurich;Universit√§t Bonn;Universit√§tsklinikum Hamburg-Eppendorf;University of Oxford Medical Sciences Division</t>
  </si>
  <si>
    <t>60026324;60025858;60007493;60005036;60002634</t>
  </si>
  <si>
    <t>Zamze S.</t>
  </si>
  <si>
    <t>Glycosylation of a CNS-specific extracellular matrix glycoprotein, tenascin-R, is dominated by O-linked sialylated glycans and 'brain-type' neutral N-glycans</t>
  </si>
  <si>
    <t>10.1093/glycob/9.8.823</t>
  </si>
  <si>
    <t>2-s2.0-0032789158</t>
  </si>
  <si>
    <t>['twist project', 'standard ones', 'smart antennas', 'rf architectures', 'rf architecture', 'performance include', 'one developed', 'main candidate', 'enhanced service', 'emerging applications', 'direct requirements', 'dect standard']</t>
  </si>
  <si>
    <t>The DECT standard is considered as the main candidate for wireless local loop applications. Its capability for data transmission makes the design of DECT-based wireless local area networks interesting. These emerging applications, together with enhanced service in standard ones, address a number of direct requirements of what can be referred as Advanced DECT based station (ABS) or DECT+BS, like the one developed in the TWIST project. This performance include: increased traffic capability; A-priori antenna diversity; cost; smart antennas; extended bit rate; terminations; RF architectures for terminations; and RF architecture for ABS.</t>
  </si>
  <si>
    <t>AUG./SEPT.</t>
  </si>
  <si>
    <t>60028442;60028442;60028442;60028442;60028442;60028442;60028442</t>
  </si>
  <si>
    <t>6602386444;7801475866;57224279756;6503981714;6505740881;6504562954;7007133503</t>
  </si>
  <si>
    <t>Burgos-Garcia, M.;Gismero-Menoyo, J.;Fernandez-Duran, A.;Llamazares-Alberola, J.;Notario-Perez, B.;Nunez-Leon, G.;Asensio-Lopez, A.</t>
  </si>
  <si>
    <t>Madrid</t>
  </si>
  <si>
    <t>Universidad Polit√©cnica de Madrid</t>
  </si>
  <si>
    <t>Burgos-Garcia M.</t>
  </si>
  <si>
    <t>RF architectures for the near future evolution of DECT</t>
  </si>
  <si>
    <t>2-s2.0-0033170402</t>
  </si>
  <si>
    <t>['sufficient conditions', 'suburban environment', 'spatial signatures', 'results show', 'receiver calibration', 'phase responses', 'like estimator', 'form esprit', 'antenna array']</t>
  </si>
  <si>
    <t>The problem of spatial signature estimation using a uniform linear array (ULA) with unknown receiver gain and phase responses is studied. Sufficient conditions for identifying the spatial signatures are derived, and a closed-form ESPRIT-like estimator is proposed. The performance of the method is investigated by means of simulations and on experimental data collected with an antenna array in a suburban environment. The results show that the absence of receiver calibration is not critical for uplink signal waveform estimation using a plane wave model.</t>
  </si>
  <si>
    <t>2128-2138</t>
  </si>
  <si>
    <t>60002014;60006832;60002014</t>
  </si>
  <si>
    <t>7801374772;55665154800;7007005676</t>
  </si>
  <si>
    <t>Ast√©ly, David;Lee Swindlehurst, A.;Ottersten, Bj√∂rn</t>
  </si>
  <si>
    <t>Provo;Stockholm</t>
  </si>
  <si>
    <t>Brigham Young University;The Royal Institute of Technology (KTH)</t>
  </si>
  <si>
    <t>60006832;60002014</t>
  </si>
  <si>
    <t>Ast√©ly D.</t>
  </si>
  <si>
    <t>Spatial signature estimation for uniform linear arrays with unknown receiver gains and phases</t>
  </si>
  <si>
    <t>10.1109/78.774751</t>
  </si>
  <si>
    <t>2-s2.0-0033171249</t>
  </si>
  <si>
    <t>['would empower', 'strong requirements', 'simultaneously cope', 'signal characteristics', 'reconfigurable hardware', 'receiver architecture', 'great advantage', 'dynamic range', 'digital front', 'based terminal']</t>
  </si>
  <si>
    <t>When expanding digital signal processing of mobile communications terminals toward the antenna while making the terminal more wideband in order to be able to cope with different mobile communications standards in a software-radio-based terminal, the designer is faced with strong requirements such as bandwidth and dynamic range. Many publications claim that only reconfigurable hardware such as FPGAs can simultaneously cope with such diversity and requirements. Starting with considerations of the receiver architecture, we describe key functionalities of the digital front-end and highlight how signal characteristics of mobile communications signals and commonalities among different signal processing operations can be exploited to great advantage, eventually enabling implementations on an ASIC that, although not reconfigurable, would empower the software radio concept.</t>
  </si>
  <si>
    <t>40-46</t>
  </si>
  <si>
    <t>60018353-60011520-60026638-101799476;60018353;60018353-60016653-60009253-100384942-101600021-60000251</t>
  </si>
  <si>
    <t>55971240400;57220290126;7007049752</t>
  </si>
  <si>
    <t>Hentschel, Tim;Henker, Matthias;Fettweis, Gerhard</t>
  </si>
  <si>
    <t>Finland;Germany;Germany;United Kingdom;United States;United States;;Germany;United States</t>
  </si>
  <si>
    <t>Espoo;Dresden;Aachen;London;San Jose;New York;;;Berkeley</t>
  </si>
  <si>
    <t>Nokia Corporation;Technische Universit√§t Dresden;Rheinisch-Westf√§lische Technische Hochschule Aachen;King's College London;IBM Research - Almaden;IEEE;Mobile Communications Systems;SSC Society;TCSI</t>
  </si>
  <si>
    <t>60026638;60018353;60016653;60011520;60009253;60000251;101799476;101600021;100384942</t>
  </si>
  <si>
    <t>Hentschel T.</t>
  </si>
  <si>
    <t>Digital front-end of software radio terminals</t>
  </si>
  <si>
    <t>10.1109/98.788214</t>
  </si>
  <si>
    <t>2-s2.0-0033171257</t>
  </si>
  <si>
    <t>9404677-PHY</t>
  </si>
  <si>
    <t>['thz waveforms', 'thz emission', 'thick layer', 'strong dependence', 'saturation theory', 'pulse excitation', 'power narrow', 'lifetime low', 'interpulse spacing', 'insulating gaas', 'grown gaas', 'generate high', 'direct comparison', 'data demonstrate', 'carrier lifetime', 'band terahertz', 'aperture photoconductors']</t>
  </si>
  <si>
    <t>Large-aperture biased photoconductive emitters which can generate high-power narrow-band terahertz (THz) radiation are developed. These emitters avoid saturation at high fluence excitation and achieve enhanced peak power spectral density by employing a thick layer of short-lifetime low-temperature-grown GaAs (LT-GaAs) photoconductor and multiple-pulse excitation. THz waveforms are calculated from the saturation theory of large-aperture photoconductors, and a comparison is made between theory and measurement. A direct comparison of the multiple-pulse saturation properties of THz emission from semi-insulating GaAs and LT-GaAs emitters reveals a strong dependence on the carrier lifetime. In particular, the data demonstrate that saturation is avoided only when the interpulse spacing is longer than the carrier lifetime.</t>
  </si>
  <si>
    <t>1257-1268</t>
  </si>
  <si>
    <t>60009254-60014300;60009254-60022195;60009254;60006164-60030612;60006164-60002214;60006164</t>
  </si>
  <si>
    <t>7501836105;35416950700;35510435500;7004054484;7003951036;7405889826</t>
  </si>
  <si>
    <t>Park, Sang Gyu;Weiner, A. M.;Melloch, Michael R.;Siders, Craig W.;Siders, Jennifer L.W.;Taylor, Antoinette J.</t>
  </si>
  <si>
    <t>United States;United States;United States;United States;United States;United States</t>
  </si>
  <si>
    <t>San Diego;Cambridge;San Antonio;West Lafayette;Los Alamos;San Diego</t>
  </si>
  <si>
    <t>University of California, San Diego;Massachusetts Institute of Technology;AT&amp;T Inc.;Purdue University;Los Alamos National Laboratory;University of San Diego</t>
  </si>
  <si>
    <t>60030612;60022195;60014300;60009254;60006164;60002214</t>
  </si>
  <si>
    <t>High-power narrow-band terahertz generation using large-aperture photoconductors</t>
  </si>
  <si>
    <t>10.1109/3.777228</t>
  </si>
  <si>
    <t>2-s2.0-0033171352</t>
  </si>
  <si>
    <t>['tuberizing plants', 'thylakoid pigment', 'thylakoid membranes', 'subunit complex', 'stunted growth', 'strongly upregulated', 'strong homology', 'specific association', 'results indicate', 'reduced levels', 'preferential association', 'potato cdsp34', 'photosystem ii', 'photochemical quenching', 'pepper fruit', 'pepper fibrillin', 'light hours', 'leaf expression', 'increased levels', 'functional role', 'expression patterns', 'drought stress', 'dimensional analysis', 'cucumber flowers', 'comparative analysis', 'chloroplastic location', 'cdna clone', 'antisense plants', 'antenna complex', '4 showed', '4 protein']</t>
  </si>
  <si>
    <t>Comparative analysis by differential RNA display (DDRTPCR) of the expression patterns of potato plants induced and non-induced to tuberize, led to the isolation of a cDNA clone, C40.4, that is strongly upregulated in the leaves of tuberizing plants. Leaf expression of this transcript was shown to be light-dependent, with increased levels of mRNA and protein being detected during the light hours. Sequence analysis revealed near complete identity to potato CDSP34, a thylakoid protein induced by drought stress, and strong homology to the carotenoid-associated proteins fibrillin, ChrB and PAP from pepper fruit, and CHRC from cucumber flowers. By using an antibody against pepper fibrillin, we were able to demonstrate a chloroplastic location of the C40.4 protein in association with the thylakoid membranes. Two-dimensional analysis of thylakoid pigment-protein complexes showed a specific association of the protein with the photosystem II (PSII) multi-subunit complex. Antisense plants with reduced levels of accumulation of C40.4 showed a stunted growth and decreased tuber yield and exhibited reduced values of non-photochemical quenching of chlorophyll a fluorescence. Altogether, these results indicate a preferential association of the C40.4 protein with the light harvesting complex of photosystem II (LHCII) antenna pigment complexes, and suggest a functional role of this protein in photosynthesis, by modulating photosynthetic efficiency and dissipation of excess absorbed light energy within the antenna complex.</t>
  </si>
  <si>
    <t>Plant Journal</t>
  </si>
  <si>
    <t>60030327;60030327;60030327</t>
  </si>
  <si>
    <t>7003504462;35589193700;7003423407</t>
  </si>
  <si>
    <t>Monte, Elena;Ludevid, Dolors;Prat, Salom√©</t>
  </si>
  <si>
    <t>CSIC - Instituto de Biologia Molecular de Barcelona (IBMB)</t>
  </si>
  <si>
    <t>Monte E.</t>
  </si>
  <si>
    <t>Leaf C40.4: A carotenoid-associated protein involved in the modulation of photosynthetic efficiency?</t>
  </si>
  <si>
    <t>10.1046/j.1365-313X.1999.00537.x</t>
  </si>
  <si>
    <t>2-s2.0-0033180504</t>
  </si>
  <si>
    <t>['spherical tokamak', 'dimensional geometry']</t>
  </si>
  <si>
    <t>A code is developed that is capable of modeling the conditions of ion cyclotron resonance heating experiments in the Globus-M spherical tokamak in one-dimensional geometry. The features revealed may serve as a basis for choosing operation scenarios and designing antenna arrays.</t>
  </si>
  <si>
    <t>601-609</t>
  </si>
  <si>
    <t>60000297;60000297;60000297</t>
  </si>
  <si>
    <t>6603600927;7801407960;6603415983</t>
  </si>
  <si>
    <t>Irzak, M. A.;Tregubova, E. N.;Shcherbinin, O. N.</t>
  </si>
  <si>
    <t>Ioffe Institute</t>
  </si>
  <si>
    <t>Irzak M.</t>
  </si>
  <si>
    <t>Modeling of ICRH experiments in the Globus-M spherical tokamak</t>
  </si>
  <si>
    <t>2-s2.0-0033247617</t>
  </si>
  <si>
    <t>['yaw angle', 'well verified', 'presented stochastically', 'outer information', 'ordinary estimation', 'new design', 'mars approach', 'ground surface', 'future navigation', 'beams emitted', 'attitude sensor', 'angular rate']</t>
  </si>
  <si>
    <t>A new topographical algorithm is presented stochastically or geometrically to estimate the high-order state vector of attitude, angular rate, thrust, and dynamic parameters needed for spacecraft control beyond the ordinary estimation of position and velocity. Without the vehicle inner information of a gyroscope and an accelerometer, only the outer information of the reflection wave measurement from a ground surface is considered with the discrimination for the multi-beams emitted from several antennas equipped on a vehicle. The simulation for a Mars approach and landing were so excellent that the effectiveness of this algorithm was well verified to conquer the difficulty of yaw angle (heading) estimation, even in place of the attitude sensor. This paper gives one fundamental guideline not only for the new design of future navigation and ground control systems of aircraft, space-planes, or planet-surveyors, but also for the identification of planetary surface models.</t>
  </si>
  <si>
    <t>49-62</t>
  </si>
  <si>
    <t>Ono, Shuji</t>
  </si>
  <si>
    <t>Japan Aerospace Exploration Agency</t>
  </si>
  <si>
    <t>Ono S.</t>
  </si>
  <si>
    <t>Topographical algorithm for high-order state estimation of spacecraft without IMU data</t>
  </si>
  <si>
    <t>2-s2.0-0033359706</t>
  </si>
  <si>
    <t>['wave spectra', 'system simultaneously', 'radar configuration', 'new scheme', 'making use', 'improved coverage', 'first application', 'different points', 'coastal seas', 'coastal applications', 'area covered']</t>
  </si>
  <si>
    <t>HF radar | Inversion | Measurement | Modelling | Sea surface waves</t>
  </si>
  <si>
    <t>A new scheme for retrieval of wave spectra in coastal seas from HF radar data has been developed which is capable of measuring directional wave spectra even from the data of the single antenna array. It does this by making use of a wave propagation model to link wave spectra, and therefore also HF radar Doppler spectra at different points in space. The resulting scheme processes all HF radar data within the area covered by the system simultaneously. In coastal applications, the method offers increased flexibility in the radar configuration and improved coverage. Tests are reported on simulated HF radar data, and a first application to HF radar data collected near Holderness on the English east coast is reported.</t>
  </si>
  <si>
    <t>431-453</t>
  </si>
  <si>
    <t>Coastal Engineering</t>
  </si>
  <si>
    <t>60001300;;;;</t>
  </si>
  <si>
    <t>6603256905;6603607021;6508214959;6506312642;7004228488</t>
  </si>
  <si>
    <t>De Valk, Cees;Reniers, Ad;Atanga, John;Vizinho, Ascension;Vogelzang, Jur</t>
  </si>
  <si>
    <t>Marknesse</t>
  </si>
  <si>
    <t>ARGOSS</t>
  </si>
  <si>
    <t>De Valk C.</t>
  </si>
  <si>
    <t>Monitoring surface waves in coastal waters by integrating HF radar measurement and modelling</t>
  </si>
  <si>
    <t>S037838399900037X</t>
  </si>
  <si>
    <t>10.1016/S0378-3839(99)00037-X</t>
  </si>
  <si>
    <t>2-s2.0-0033405062</t>
  </si>
  <si>
    <t>MAS2-CT94-0103</t>
  </si>
  <si>
    <t>['wave spectra', 'transmitting frequency', 'technique avoids', 'technical design', 'sea state', 'receive antennas', 'range resolution', 'linear array', 'hf radars', 'fixed resolution', 'current mapping', 'continuous wave', 'coastal radar', 'chirps instead', 'blind range', '3 km', '2 km']</t>
  </si>
  <si>
    <t>HF radar | Ocean remote sensing | Surface current</t>
  </si>
  <si>
    <t>HF radars can be used to measure surface currents and wave spectra. The Coastal Radar (CODAR) used by the University of Hamburg was designed for current mapping only. It has been operated for 15 field experiments during the past 15 years. Recently, a new HF radar called Wellen Radar (WERA) has been developed at the University of Hamburg. One main advantage of the system is the possibility of connecting different configurations of receive antennas. When operated with a linear array, information on the sea state can be obtained via second-order spectral bands. A further advantage is the flexibility in range resolution between 0.3 and 1.2 km, instead of the fixed resolution of about 2 km of CODAR. This is achieved by transmitting frequency-modulated continuous wave (FMCW) chirps instead of continuous wave (CW) pulses. In addition, this technique avoids the blind range of about 3 km in front of the CODAR. The technical design of WERA is described and first experimental results are presented.</t>
  </si>
  <si>
    <t>219-234</t>
  </si>
  <si>
    <t>60028229;60028229;60028229;60028229</t>
  </si>
  <si>
    <t>6701740049;6507296097;57212825129;7006648278</t>
  </si>
  <si>
    <t>Gurgel, K. W.;Antonischki, G.;Essen, H. H.;Schlick, T.</t>
  </si>
  <si>
    <t>Hamburg</t>
  </si>
  <si>
    <t>Universit√§t Hamburg</t>
  </si>
  <si>
    <t>Gurgel K.</t>
  </si>
  <si>
    <t>Wellen Radar (WERA): A new ground-wave HF radar for ocean remote sensing</t>
  </si>
  <si>
    <t>S0378383999000277</t>
  </si>
  <si>
    <t>10.1016/S0378-3839(99)00027-7</t>
  </si>
  <si>
    <t>2-s2.0-0033430081</t>
  </si>
  <si>
    <t>F3CR07-G1-02</t>
  </si>
  <si>
    <t>['wellen radar', 'useful accuracy', 'upper end', 'temporal coverage', 'temporal availability', 'spectral performance', 'spatial coverage', 'relative bias', 'radio band', 'primarily confined', 'parameter accuracy', 'measurements show', 'high sea', 'high frequency', 'good potential', 'frequency range', 'direction biases', 'antenna sidelobes', '15 ¬∞.']</t>
  </si>
  <si>
    <t>Directional spectrum | HF radar | OSCR | Wave measurement | WERA</t>
  </si>
  <si>
    <t>The spatial coverage, temporal availability and spectral and parameter accuracy of wave measurements using radars operating at the upper end of the high frequency (HF) radio band are discussed. The two radars used are the Ocean Surface Current Radar (OSCR) developed in the UK and the Wellen Radar (WERA) developed in Germany. The measurements show that useful accuracy is obtainable with very good potential for operational coastal monitoring. Direction biases over most of the frequency range are less than 15¬∞. The relative bias in significant waveheight estimation in high sea-states is within ¬±5%. Although there is some deterioration in spectral performance in high sea-states, this is primarily confined to amplitudes at the higher ocean wave frequencies where a modelling approach could be adopted. Gaps in spatial and temporal coverage and some reduction in accuracy in mean direction estimation are due to surface current variability or antenna sidelobes.</t>
  </si>
  <si>
    <t>259-282</t>
  </si>
  <si>
    <t>60001881;60001881;60001881</t>
  </si>
  <si>
    <t>7005447246;56314959800;57198256905</t>
  </si>
  <si>
    <t>Wyatt, L. R.;Thompson, S. P.;Burton, R. R.</t>
  </si>
  <si>
    <t>Wyatt L.R.</t>
  </si>
  <si>
    <t>Evaluation of high frequency radar wave measurement</t>
  </si>
  <si>
    <t>S0378383999000290</t>
  </si>
  <si>
    <t>10.1016/S0378-3839(99)00029-0</t>
  </si>
  <si>
    <t>2-s2.0-0033431699</t>
  </si>
  <si>
    <t>['rectangular aperture', 'planar screen', 'main attention', 'kirchhoff method', 'gaussian pulse', 'eps propagating', 'electromagnetic pulse', 'analytical huygens']</t>
  </si>
  <si>
    <t>Diffraction of an arbitrarily shaped TEM-pulse by an aperture in a planar screen is investigated by the analytical Huygens-Kirchhoff method. Evolution of an electromagnetic pulse (EP) radiated from the rectangular aperture is studied in the case of a Gaussian pulse. The main attention is paid to the consideration of modes of the formation of EPs propagating with an anomalously low energy decay.</t>
  </si>
  <si>
    <t>869-876</t>
  </si>
  <si>
    <t>60008794;60008794</t>
  </si>
  <si>
    <t>8070632000;6603224274</t>
  </si>
  <si>
    <t>Balakirev, V. A.;Sidel'nikov, G. L.</t>
  </si>
  <si>
    <t>Balakirev V.</t>
  </si>
  <si>
    <t>Formation of Electromagnetic Pulse by Aperture Antennas</t>
  </si>
  <si>
    <t>2-s2.0-0041597176</t>
  </si>
  <si>
    <t>['two antennas', 'transmitting mode', 'surrounding space', 'obtained relationships', 'mutual impedance', 'mutual electric', 'mean values', 'magnetic energies', 'directional characteristic', 'arbitrary antenna']</t>
  </si>
  <si>
    <t>It is shown that the energy of interaction (the difference of the mean values of the mutual electric and magnetic energies) of the field of radiation of an arbitrary antenna and its scattering field stored in the surrounding space is determined by the directional characteristic of this antenna in the transmitting mode. The applicability of the obtained relationships are illustrated by an example of calculating the mutual impedance of two antennas.</t>
  </si>
  <si>
    <t>888-893</t>
  </si>
  <si>
    <t>6701816402;6505882369</t>
  </si>
  <si>
    <t>Erokhin, G. A.;Kocherzhevskii, V. G.</t>
  </si>
  <si>
    <t>Erokhin G.</t>
  </si>
  <si>
    <t>The Second Antenna Theorem in Problems of Electromagnetic Wave Scattering</t>
  </si>
  <si>
    <t>2-s2.0-0042599193</t>
  </si>
  <si>
    <t>['providing low', 'peak control', 'leeper arrays']</t>
  </si>
  <si>
    <t>Relative difference sets (RDSs) are applied to the design of periodic binary sequences (BSs) providing low-loss sidelobe suppression and nonuniformly spaced antenna arrays with sidelobe-peak control. Two new families of asymptotically optimum binary codes and several interesting configurations of Leeper arrays are described.</t>
  </si>
  <si>
    <t>894-897</t>
  </si>
  <si>
    <t>7004205175;6603888993</t>
  </si>
  <si>
    <t>Ipatov, V. P.;Samoilov, I. M.</t>
  </si>
  <si>
    <t>Ipatov V.</t>
  </si>
  <si>
    <t>Binary Sequences and Nonuniformly Spaced Antenna Arrays from Relative Difference Sets</t>
  </si>
  <si>
    <t>2-s2.0-0043100047</t>
  </si>
  <si>
    <t>Comunidad de Madrid</t>
  </si>
  <si>
    <t>08.9/0001/1998</t>
  </si>
  <si>
    <t>['ventral appendages', 'two primordia', 'two components', 'study reports', 'results suggest', 'located downstream', 'leg disc', 'hindgut formation', 'genital disc', 'fundamental role', 'expression pattern', 'evolutive consideration', 'eve domain', 'dpp ).', 'dll requirement', 'dll function', 'dll activity', 'combined action', 'antennal part', 'ancestral appendage', 'analia arise', 'anal tissue', 'anal primordium', 'anal plates']</t>
  </si>
  <si>
    <t>Distal-less | Drosophila | Even-skipped | Genital disc | Hedgehog pathway</t>
  </si>
  <si>
    <t>In Drosophila, the homeotic gene Distal-less (Dll) has a fundamental role in the establishment of the identity of ventral appendages such as the leg and antenna. This study reports the expression pattern of Dll in the genital disc, the requirement of Dll activity for the development of the terminalia and the activation of Dll by the combined action of the morphogenetic signals Wingless (Wg) and Decapentaplegic (Dpp). During the development of the two components of the anal primordium - the hindgut and the analia - only the latter is dependent on Dll and hedgehog (hh) functions. The hindgut is defined by the expression of the homeobox gene even-skipped. The lack of Dll function in the anal primordia transforms the anal tissue into hindgut by the extension of the eve domain. Meanwhile targeted ectopic Dll represses eve expression and hindgut formation. The Dll requirement for the development of both anal plates in males and only for the dorsal anal plate in females, provides further evidence for the previously held idea that the analia arise from two primordia. In addition, evaluation was made of the requirement for the optomotor-blind (omb) gene which, as in the leg and antenna, is located downstream to Dpp. These results suggest that the terminalia show similar behaviour to the leg disc or the antennal part of the eye-antennal disc consistent with both the proposed ventral origin of the genital disc and the evolutive consideration of the terminalia as an ancestral appendage. Copyright (C) 1999 Elsevier Science Ireland Ltd.</t>
  </si>
  <si>
    <t>113-123</t>
  </si>
  <si>
    <t>Mechanisms of Development</t>
  </si>
  <si>
    <t>60018505;60009305;60018505</t>
  </si>
  <si>
    <t>6603249181;7202051380;7006977191</t>
  </si>
  <si>
    <t>Gorfinkiel, Nicole;S√°nchez, Lucas;Guerrero, Isabel</t>
  </si>
  <si>
    <t>Madrid;Madrid</t>
  </si>
  <si>
    <t>CSIC-UAM - Centro de Biolog√≠a Molecular Severo Ochoa (CBM);CSIC - Centro de Investigaciones Biol√≥gicas Margarita Salas (CIB)</t>
  </si>
  <si>
    <t>60018505;60009305</t>
  </si>
  <si>
    <t>Gorfinkiel N.</t>
  </si>
  <si>
    <t>Drosophila terminalia as an appendage-like structure</t>
  </si>
  <si>
    <t>S0925477399001227</t>
  </si>
  <si>
    <t>10.1016/S0925-4773(99)00122-7</t>
  </si>
  <si>
    <t>2-s2.0-0344500700</t>
  </si>
  <si>
    <t>['wireless modems', 'portable hand', 'multifeed points', 'may also', 'human body', 'held gps', 'free space', 'different single', 'different combinations', 'cellular phones', 'band duplexers']</t>
  </si>
  <si>
    <t>Compact multiband internal integrated microstrip antennas have been developed for different combinations of portable hand-held GPS, satellite, personal communication systems (PCS) and cellular phones, PCMCIA communication cards and wireless modems. These antennas are designed with only one feed point to be used with one multiband duplexer, and may also have multifeed points to be used with different single-band duplexers. Multiband internal integrated microstrip antennas are sensitive to both vertically and horizontally polarized waves with good radiation pattern characteristics in free space as well as next to the human body.</t>
  </si>
  <si>
    <t>100459681;100459681</t>
  </si>
  <si>
    <t>7004817270;57203438438</t>
  </si>
  <si>
    <t>Sanad, Mohamed;Hassan, Noha</t>
  </si>
  <si>
    <t>El Reno</t>
  </si>
  <si>
    <t>AMANT</t>
  </si>
  <si>
    <t>Sanad M.</t>
  </si>
  <si>
    <t>Compact internal multiband microstrip antennas for portable GPS, PCS, cellular and satellite phones</t>
  </si>
  <si>
    <t>2-s2.0-18744417568</t>
  </si>
  <si>
    <t>['inexpensive materials', 'axial ratio', 'antenna beamwidth']</t>
  </si>
  <si>
    <t>The performance of two low cost antenna arrays, namely, a two-element metallic disc linear array antenna and a 2√ó2 element sequentially fed aperture-coupled planar array antenna, were investigated. The two-element antenna array demonstrated satisfactory performance in terms of antenna beamwidth, gain and axial ratio. The 2√ó2 element antenna array appears to be advantageous in terms of its fully planar design, assembly using tiered layers without probe soldering, lower cost due to the use of inexpensive materials and readily available components, and suitability of portable briefcase terminal.</t>
  </si>
  <si>
    <t>60005510;60005510-60031004</t>
  </si>
  <si>
    <t>Low cost briefcase satphone terminal antennas</t>
  </si>
  <si>
    <t>2-s2.0-18744419119</t>
  </si>
  <si>
    <t>Aircraft | Hepco Slide Systems | Military | Rig testing</t>
  </si>
  <si>
    <t>493-498</t>
  </si>
  <si>
    <t>Aircraft Engineering and Aerospace Technology</t>
  </si>
  <si>
    <t>Antennae test rig</t>
  </si>
  <si>
    <t>10.1108/aeat.1999.12771daf.008</t>
  </si>
  <si>
    <t>2-s2.0-85003047308</t>
  </si>
  <si>
    <t>['symmetrical cross', 'local measurement', 'least œª', 'hall mobility', 'field probe', 'circular waveguide']</t>
  </si>
  <si>
    <t>A near-field probe is applied to perform microwave polarimetric measurements with a subwavelength spatial resolution. The probe is a symmetrical cross-slit antenna formed by two very thin orthogonal slits at the end of a circular waveguide. The mapping is phase-sensitive and can be done with a subwavelength spatial resolution of at least Œª/16 in conductors. The probe may also be used for local measurement of Hall mobility in semiconductors.</t>
  </si>
  <si>
    <t>603-605</t>
  </si>
  <si>
    <t>60007903;60007903;60007903;101769926</t>
  </si>
  <si>
    <t>6602696932;7004092573;56021982000;7103403304</t>
  </si>
  <si>
    <t>Lann, A. F.;Golosovsky, M.;Davidov, D.;Frenkel, A.</t>
  </si>
  <si>
    <t>Jerusalem;Tel Aviv-Yafo</t>
  </si>
  <si>
    <t>Hebrew University of Jerusalem;MSI Engineering Software, Ltd.</t>
  </si>
  <si>
    <t>60007903;101769926</t>
  </si>
  <si>
    <t>Microwave near-field polarimetry</t>
  </si>
  <si>
    <t>10.1063/1.124454</t>
  </si>
  <si>
    <t>2-s2.0-0032614124</t>
  </si>
  <si>
    <t>['spectral separation', 'saturation length', 'pump frequency', 'pulse two', 'pulse pump', 'probe spectrum', 'probe spectra', 'probe pulse', 'participation ratio', 'linear scaling', 'latter applies', 'indeed proportional', 'heuristic arguments', 'exciton transitions', 'disordered molecular', 'delocalization length', 'color pump', 'b850 ring']</t>
  </si>
  <si>
    <t>Using numerical simulations, we investigate to what extent the pump-probe spectrum can be used as a tool to determine the exciton delocalization length in disordered molecular (J) aggregates. We compare the delocalization length obtained through heuristic arguments from the spectral separation between the bleaching and the one- to two-exciton induced absorption features in this spectrum to the delocalization length obtained from the participation ratio at the J band center. We find that up to a certain saturation length these two delocalization lengths are indeed proportional. In the case of long-pulse two-color pump-probe spectra, the slope of this linear scaling is insensitive to the pump frequency; it is sensitive to the width of the probe pulse. Beyond the saturation length, which is determined by the homogeneous line width of the exciton transitions, both the two-color and the short-pulse pump-probe spectra saturate and no longer can be used as a measure for the delocalization length. The latter applies to the B850 ring of bacterial antenna complexes.</t>
  </si>
  <si>
    <t>6620-6628</t>
  </si>
  <si>
    <t>60070755;60070755</t>
  </si>
  <si>
    <t>6506982340;7004572132</t>
  </si>
  <si>
    <t>Bakalis, Lisette D.;Knoester, Jasper</t>
  </si>
  <si>
    <t>Groningen</t>
  </si>
  <si>
    <t>University of Groningen, Van Swinderen Institute for Particle Physics and Gravity</t>
  </si>
  <si>
    <t>Bakalis L.D.</t>
  </si>
  <si>
    <t>Pump-Probe Spectroscopy and the Exciton Delocalization Length in Molecular Aggregates</t>
  </si>
  <si>
    <t>10.1021/jp990354g</t>
  </si>
  <si>
    <t>2-s2.0-0000787195</t>
  </si>
  <si>
    <t>['radiating element', 'array configuration', '15 %,']</t>
  </si>
  <si>
    <t>A wideband single layer microstrip antenna, fed by two different networks, is presented. A bandwidth of approx. 15%, for SWR &lt; 2 is obtained. As its dimensions are the same as those of a conventional 2 √ó 2 sub-array, this radiating element can be used in array configuration.</t>
  </si>
  <si>
    <t>1292-1293</t>
  </si>
  <si>
    <t>Wideband single layer microstrip antenna for array applications</t>
  </si>
  <si>
    <t>10.1049/el:19990958</t>
  </si>
  <si>
    <t>2-s2.0-0032682081</t>
  </si>
  <si>
    <t>['water environment', 'uniform tem', 'transverse electromagnetic', 'transmission cell', 'technique employs', 'research area', 'nonperturbing e', 'frequency range', 'filled tem', 'field sensors', 'established inside', '1 ghz']</t>
  </si>
  <si>
    <t>Compact and nonperturbing E-field sensors are used for antenna near field measurements. For application in the research area of hyperthermia these sensors are used in a water environment. Owing to the high dielectric constant of water in the frequency range from DC to approx. 1 GHz the sensitivity is changed. To perform a calibration of E-field sensors, a water-filled TEM-cell has been developed. The technique employs a transverse electromagnetic (TEM) transmission cell that operates as a 50W impedance matched system. A uniform TEM-field is established inside the cell.</t>
  </si>
  <si>
    <t>1317-1318</t>
  </si>
  <si>
    <t>60011604-60026245;60011604;60011604;60011604;60011604;60011604</t>
  </si>
  <si>
    <t>7403413129;6507016508;6602265580;6602002794;7004987139;57202644444</t>
  </si>
  <si>
    <t>Berger, J.;Pouhe, D.;M√∂nich, G.;F√§hling, H.;Wust, P.;Petermann, K.</t>
  </si>
  <si>
    <t>Berger J.</t>
  </si>
  <si>
    <t>Calibration cell for E-field sensors in water environment</t>
  </si>
  <si>
    <t>10.1049/el:19990924</t>
  </si>
  <si>
    <t>2-s2.0-0032685279</t>
  </si>
  <si>
    <t>['significantly broadens', 'shaped microstrip', 'patch edge', 'antenna bandwidth', 'achieved owing']</t>
  </si>
  <si>
    <t>A design of broadband circular microstrip antenna with embedded reactive loading directly matched to a 50 Œ© microstrip feed line is presented. This design is achieved owing to the integrated reactive loading, a T-shaped microstrip-line section embedded in a nearly rectangular slot cut near the patch edge, which significantly broadens the antenna bandwidth and makes the input impedance seen along the patch boundary varied. The latter behavior makes direct matching of the proposed broadband circular microstrip antenna with a 50 Œ© microstrip feed line feasible.</t>
  </si>
  <si>
    <t>200-202</t>
  </si>
  <si>
    <t>7102693589;35460663000</t>
  </si>
  <si>
    <t>Jan, Jen Yea;Wong, Kin Lu</t>
  </si>
  <si>
    <t>Jan J.</t>
  </si>
  <si>
    <t>Microstrip-line-fed broadband circular microstrip antenna with embedded reactive loading</t>
  </si>
  <si>
    <t>10.1002/(SICI)1098-2760(19990805)22:3&lt;200::AID-MOP14&gt;3.0.CO;2-Q</t>
  </si>
  <si>
    <t>2-s2.0-0033359570</t>
  </si>
  <si>
    <t>['significant advantage', 'mom solution', 'dr strip', 'dr material', 'domain method', 'domain free', 'antenna fed', 'also found']</t>
  </si>
  <si>
    <t>The MoM solution by using the space-domain free-space dyadic Green's functions is obtained for a dielectric-loaded slot antenna which is fed by a microstrip line laid on top of a DR strip. The simplicity and effectiveness of this method are demonstrated in this study. The flexibility of using a DR-strip microstrip line is found in its adaptability to both flat and slightly curved surfaces. While the performance of this antenna is found to be as good as the same antenna fed by a conventional microstrip line, the high dielectric constant endowed with the DR material has a significant advantage over conventional microstrip lines in providing a better impedance matching for dielectric-loaded slot antennas. The versatility of the space-domain analysis method is also found to be greater than the spectral-domain method.</t>
  </si>
  <si>
    <t>202-205</t>
  </si>
  <si>
    <t>7005913291;7101878862</t>
  </si>
  <si>
    <t>Hui, H. T.;Yung, Edward K.N.</t>
  </si>
  <si>
    <t>Hui H.</t>
  </si>
  <si>
    <t>Space-domain moment-method solution of a dielectric-loaded slot antenna fed by a microstrip line laid on a DR strip</t>
  </si>
  <si>
    <t>10.1002/(SICI)1098-2760(19990805)22:3&lt;202::AID-MOP15&gt;3.0.CO;2-L</t>
  </si>
  <si>
    <t>2-s2.0-0033361957</t>
  </si>
  <si>
    <t>['small spacing', 'small antenna', 'ring slot', 'polarization planes', 'novel dual', 'gain differences', 'frequency ratio', 'frequency performances', 'frequency operation', 'frequency design', 'experimental results', 'embedded close', 'circular patch', 'antenna design']</t>
  </si>
  <si>
    <t>A novel dual-frequency design of a single-layer, single-feed circular microstrip antenna with an open-ring slot s demonstrated. The open-ring slot is embedded close to the boundary of the circular patch, and has a small spacing between the two open ends of the slot. By selecting suitable widths of the open-ring slot, a dual-frequency operation with its two operating frequencies having similar broadside radiation patterns, the same polarization planes, and small antenna-gain differences can be obtained. The frequency ratio between the two frequencies within a range of about 1.23-1.32 has also been obtained. Details of the antenna design and experimental results for the dual-frequency performances are presented.</t>
  </si>
  <si>
    <t>Single-feed dual-frequency circular microstrip antenna with an open-ring slot</t>
  </si>
  <si>
    <t>10.1002/(SICI)1098-2760(19990805)22:3&lt;157::AID-MOP3&gt;3.0.CO;2-J</t>
  </si>
  <si>
    <t>2-s2.0-0033364157</t>
  </si>
  <si>
    <t>['satellite communication', 'pattern deformation', 'patch antenna', 'normal pattern', 'matching better', 'frequency band', 'dipole type', 'circular polarization', 'axial ratio', 'antennas dedicated', '4 dbc', '20 db', '2 db']</t>
  </si>
  <si>
    <t>The present paper concerns a class of antennas dedicated to multimode mobile systems. A patch antenna is used to cover an S frequency band with circular polarization for satellite communication, and a dipole type is used to cover terrestrial links. The structured patch presents a normal pattern with a gain of 4 dBc, an axial ratio of 2 dB, and a matching better than 20 dB over a 15 MHz band, while the dipole does not show any pattern deformation.</t>
  </si>
  <si>
    <t>165-167</t>
  </si>
  <si>
    <t>Patch- and dipole-type configurations for multimode mobile systems</t>
  </si>
  <si>
    <t>10.1002/(SICI)1098-2760(19990805)22:3&lt;165::AID-MOP5&gt;3.0.CO;2-I</t>
  </si>
  <si>
    <t>2-s2.0-0033366198</t>
  </si>
  <si>
    <t>['tubular aggregate', 'theoretical one', 'spectral hole', 'six exciton', 'pigment organization', 'original model', 'model implies', 'measured temperature', 'intact cells', 'good agreement', 'et al', 'demonstrated temperature', 'burning studies', '1999 federation', '1010 ).']</t>
  </si>
  <si>
    <t>Antenna pigment organization | Bacterial photosynthesis | Bacteriochlorophyll c | Green bacterium</t>
  </si>
  <si>
    <t>We have demonstrated temperature-dependence of the steady-state fluorescence lineshape of the bacteriochlorophyll (BChl) c band measured for intact cells of the green bacterium Chloroflexus aurantiacus over the 1.8-293 K range. The measured temperature-dependence has been shown to be in good agreement with the theoretical one, calculated for our original model of pigment organization in the chlorosomal oligomeric antenna of green photosynthetic bacteria based on spectral hole-burning studies (Fetisova, Z.G. et al. (1996) Biophys. J. 71, 995-1010). This model implies that the BChl c antenna unit is a tubular aggregate of six exciton-coupled linear pigment chains having the exciton level structure with strongly allowed higher levels. Copyright (C) 1999 Federation of European Biochemical Societies.</t>
  </si>
  <si>
    <t>239-242</t>
  </si>
  <si>
    <t>FEBS Letters</t>
  </si>
  <si>
    <t>106793712;60007457;60007457;60007457</t>
  </si>
  <si>
    <t>56624809700;7004238663;7004150114;7003830809</t>
  </si>
  <si>
    <t>Mauring, K.;Novoderezhkin, V.;Taisova, A.;Fetisova, Z.</t>
  </si>
  <si>
    <t>Russian Federation;Estonia</t>
  </si>
  <si>
    <t>Moscow;Tartu</t>
  </si>
  <si>
    <t>Lomonosov Moscow State University;Estonian Acad Sci</t>
  </si>
  <si>
    <t>60007457;106793712</t>
  </si>
  <si>
    <t>Mauring K.</t>
  </si>
  <si>
    <t>Exciton levels structure of antenna bacteriochlorophyll c aggregates in the green bacterium Chloroflexus aurantiacus as probed by 1.8-293 K fluorescence spectroscopy</t>
  </si>
  <si>
    <t>S0014579399009539</t>
  </si>
  <si>
    <t>10.1016/S0014-5793(99)00953-9</t>
  </si>
  <si>
    <t>2-s2.0-0032811938</t>
  </si>
  <si>
    <t>['wave focal', 'uniform bandwidth', 'mixing elements', 'lowest double', 'frequency range', 'central element', 'axis elements', 'array operates', 'area 9', 'antenna impedance', '52 k', '30 ghz', '210 ghz', '190 ghz', '100 k']</t>
  </si>
  <si>
    <t>Results from a 3 X 3 micromachined millimeter-wave focal-plane imaging array with superconducting tunnel junctions as mixing elements are presented. The array operates in a frequency range of 170-210 GHz. The imaging array chip uses relatively large-area 9/Œºm2 and low-impedance (4-5 Œ©) junctions. Integrated tuning structures are implemented to match the devices to the antenna impedance. Noise measurements yielded the lowest double-sideband noise temperature of 52 K (at 190 GHz) from the central element. The lowest noise temperatures from the off-axis elements are in the range of 60-100 K, with a uniform bandwidth of 30 GHz. Antenna beam patterns with an essentially Gaussian profile have been measured for on-and off-axis elements. ¬© 1999 American Institute of Physics.</t>
  </si>
  <si>
    <t>868-870</t>
  </si>
  <si>
    <t>60022195;60022195;60022195</t>
  </si>
  <si>
    <t>24288157900;7801501849;7403214762</t>
  </si>
  <si>
    <t>De Lange, Gert;Konistis, Konstantinos;Hu, Qing</t>
  </si>
  <si>
    <t>De Lange G.</t>
  </si>
  <si>
    <t>A 3 x 3 millimeter-wave micromachined imaging array with superconductor-insulator-superconductor mixers</t>
  </si>
  <si>
    <t>10.1063/1.124540</t>
  </si>
  <si>
    <t>2-s2.0-0012143414</t>
  </si>
  <si>
    <t>['thz power', 'thz output', 'theoretical methods', 'standard photomixer', 'planar antennas', 'photocarriers generated', 'interdigitated electrodes', 'induce resonant', 'increased gain', 'dielectric mirror', 'arises primarily', '34 œºm']</t>
  </si>
  <si>
    <t>Theoretical methods are used to evaluate the THz output from photomixer structures consisting of interdigitated electrodes and planar antennas on top of a low-temperature-grown GaAs layer. Consistent with experiment, the THz power from a standard photomixer is found to be limited by low external quantum efficiency (‚àº1%). This arises primarily from low photoconductive gain, which is attributed to a long transit time (between electrodes) for the majority of photocarriers generated in the structure. The modeling is then applied to an improved structure containing a thinner absorbing layer (‚âà0.34 Œºm for Œª=0.85 Œºm pump) with a dielectric mirror below it to induce resonant-cavity absorption near the surface where the gain is higher. Through increased gain and absorptivity, the model predicts ‚âà7X greater THz output for the same optical pump power. ¬© 1999 American Institute of Physics.</t>
  </si>
  <si>
    <t>769-771</t>
  </si>
  <si>
    <t>Brown, E. R.</t>
  </si>
  <si>
    <t>Brown E.R.</t>
  </si>
  <si>
    <t>A photoconductive model for superior GaAs THz photomixers</t>
  </si>
  <si>
    <t>10.1063/1.124507</t>
  </si>
  <si>
    <t>2-s2.0-0032606681</t>
  </si>
  <si>
    <t>DMR-9410709</t>
  </si>
  <si>
    <t>['unusual photophysical', 'unique geometric', 'unexpected wavelength', 'steady state', 'shown rapid', 'photochemical characteristics', 'novel set', 'molecular locus', 'energetic attributes', 'dimer formations']</t>
  </si>
  <si>
    <t>Excimers | Hydrocarbon dendrimers | Photoactive antenna | Photobleaching protection | Supermolecules</t>
  </si>
  <si>
    <t>A novel set of purely hydrocarbon dendrimer supermolecules has been studied, providing direct evidence of unusual photophysical and photochemical characteristics. The molecular structure gives rise to discrete exciton localization, allowing the formation of a highly photoactive antenna with a discrete energetic funnel. Steady state and fluorescence lifetime measurements have shown rapid and efficient exciton trapping at the molecular locus. Unique geometric and energetic attributes are observed which provide a means of protection from photobleaching, enhancing the longevity of these molecules. In addition, unexpected wavelength-dependent excimer formations are seen, suggesting unusual excitation-induced intermolecular interactions and dimer formations in more than one single excited state.</t>
  </si>
  <si>
    <t>585-597</t>
  </si>
  <si>
    <t>485-486</t>
  </si>
  <si>
    <t>Journal of Molecular Structure</t>
  </si>
  <si>
    <t>60025778;60025778;60000745;60000745</t>
  </si>
  <si>
    <t>6602680059;23031154900;7405240192;6603637946</t>
  </si>
  <si>
    <t>Swallen, S. F.;Kopelman, R.;Moore, J. S.;Devadoss, C.</t>
  </si>
  <si>
    <t>Ann Arbor;Urbana</t>
  </si>
  <si>
    <t>University of Michigan, Ann Arbor;University of Illinois Urbana-Champaign</t>
  </si>
  <si>
    <t>60025778;60000745</t>
  </si>
  <si>
    <t>Swallen S.</t>
  </si>
  <si>
    <t>Dendrimer photoantenna supermolecules: Energetic funnels, exciton hopping and correlated excimer formation</t>
  </si>
  <si>
    <t>S002228609900188X</t>
  </si>
  <si>
    <t>10.1016/S0022-2860(99)00188-X</t>
  </si>
  <si>
    <t>2-s2.0-0033543146</t>
  </si>
  <si>
    <t>Medical Research Council Canada</t>
  </si>
  <si>
    <t>MRC</t>
  </si>
  <si>
    <t>['soma diameters', 'several weeks', 'several days', 'recognizes neurofilaments', 'presumably derived', 'positively identified', 'positive pressures', 'monoclonal antibody', 'mechanoreceptor neurons', 'intact preparations', 'first day', 'electrical stimuli', 'dissociated neurons', 'differentiated neurons', 'cell properties', 'bipolar neurons', 'became stronger', 'basal portion', 'antennae could', '25 œºm']</t>
  </si>
  <si>
    <t>Antenna | Cell culture | Johnston's organ | Manduca sexta (Insecta) | Mechanoreceptor | Mechanosensitive ion channel</t>
  </si>
  <si>
    <t>We have developed a primary cell culture system of antennal mechanoreceptor neurons from early-stage pupal sphinx moth Manduca sexta. Dissociated neurons from the moth antennae differentiated, grew and survived for several weeks in a conditioned culture medium. Bipolar neurons with soma diameters of 10-25 Œºm from the basal portion of the antennae could be positively identified as mechanoreceptor neurons, presumably derived from Johnston's organ, using a monoclonal antibody that recognizes neurofilaments in these neurons. The immunoreactivity was clear and specific from the first day after dissociation and became stronger during several days in culture. These neurons appeared healthy and showed normal whole-cell properties only a few days after plating. We found numerous mechanosensitive ion channels responding to both negative and positive pressures on the somata and neurites of differentiated neurons. This new culture system provides access to mechanoreceptor neurons that has never been possible before, allowing the use of both mechanical and electrical stimuli on neurons that are free from the accessory structures surrounding them in intact preparations.</t>
  </si>
  <si>
    <t>301-309</t>
  </si>
  <si>
    <t>60015913;60015913</t>
  </si>
  <si>
    <t>6603898393;7202095039</t>
  </si>
  <si>
    <t>Torkkeli, P√§ivi H.;French, Andrew S.</t>
  </si>
  <si>
    <t>Halifax</t>
  </si>
  <si>
    <t>Dalhousie University</t>
  </si>
  <si>
    <t>Torkkeli P.</t>
  </si>
  <si>
    <t>Primary culture of antennal mechanoreceptor neurons of Manduca sexta</t>
  </si>
  <si>
    <t>10.1007/s004410051358</t>
  </si>
  <si>
    <t>2-s2.0-0032768894</t>
  </si>
  <si>
    <t>R01HD031642</t>
  </si>
  <si>
    <t>['significant amount', 'optic lobe', 'mitotic domain', 'including bolwig', 'gives rise', 'drosophila embryos', 'central region', 'cell loss', 'also observed']</t>
  </si>
  <si>
    <t>Drosophila | Fate map | Larval visual system | Mitotic domain | p35 | RicinA | Œ≤- galactosidase</t>
  </si>
  <si>
    <t>In an attempt to study the fates of cells in the dorsal head region of Drosophila embryos at gastrulation, we used the photoactivated gene expression system to mark small numbers of cells in selected mitotic domains. We found that mitotic domain 20, which is a cluster of approximately 30 cells on the dorsal posterior surface, gives rise to various ectodermal cell types in the head, including dorsal pouch epithelium, the optic lobe, and head sensory organs, including Bolwig's organ, the larval photoreceptor organ. We found that the optic lobe and larval photoreceptors share the same origin of a few adjacent cells near the center of mitotic domain 20, suggesting that within the mitotic domain, there is a subdomain from which the larval visual system is specified. In addition to the components of the larval visual system, this central region of mitotic domain 20 also generates a part of the eye-antennal disc placode; cells that gives rise to the adult visual system. We also observed that a significant amount of cell death occurred within this domain and used cell ablation experiments to determine the ability of the embryo to compensate for cell loss.</t>
  </si>
  <si>
    <t>465-476</t>
  </si>
  <si>
    <t>60027950;60027950</t>
  </si>
  <si>
    <t>7004521399;6701830760</t>
  </si>
  <si>
    <t>Namba, Ruria;Minden, Jonathan S.</t>
  </si>
  <si>
    <t>Namba R.</t>
  </si>
  <si>
    <t>Fate mapping of Drosophila embryonic mitotic domain 20 reveals that the larval visual system is derived from a subdomain of a few cells</t>
  </si>
  <si>
    <t>S0012160699993491</t>
  </si>
  <si>
    <t>10.1006/dbio.1999.9349</t>
  </si>
  <si>
    <t>2-s2.0-0033566597</t>
  </si>
  <si>
    <t>['three species', 'southern venezuela', 'share nothing', 'scales start', 'pyrgine hesperiids', 'pseudodrephalys males', 'pseudodrephalys belongs', 'ovipositor lobes', 'one male', 'new species', 'metatibial tufts', 'french guiana', 'evans treated', 'eastern peru', 'e group', 'dentate hook', 'deep notches', 'closely related', 'b group']</t>
  </si>
  <si>
    <t>Genitalia (male and female) | Metatibial tufts (whose hairs widen) | Mimicry | Ovipositor lobes (with deep notches) | Palpi</t>
  </si>
  <si>
    <t>Drephalys is polyphyletic: it includes morphologic misfits (closely related to each other) that share nothing but showy color patterns with some real Drephalys species. The convergence may involve mimicry. Removed from Drephalys, the new genus Pseudodrephalys has highly distinctive genitalia, marked most of all by an enormous, dentate hook on the valva of the male and by deep notches (perhaps unique among hesperiids) in the ovipositor lobes of the female. Palpi, antennae, and male secondary sex characters of Pseudodrephalys differ greatly from those of Drephalys. The metatibial tufts of Pseudodrephalys males (lacking in males of Drephalys and its relatives) are extraordinary because the scales start out hairlike (and pale) but then broaden (and darken) instead of coming to a point. While Drephalys rightfully goes in the middle of Evans's B Group of pyrgine hesperiids, Pseudodrephalys belongs in Evans's E Group. The three species of Pseudodrephalys are P. atinas (Mabille), new combination (type species), P. hypargus (Mabille), new combination, and P. sohni, new species (known from one male that Evans treated as the male of Drephalys hypargus). Pseudodrephalys is recorded from southern Venezuela, Guyana, French Guiana, Brazil (Amazonas, Par√°, Mato Grosso, Rond√¥nia), and eastern Peru.</t>
  </si>
  <si>
    <t>364-380</t>
  </si>
  <si>
    <t>Journal of the Lepidopterists' Society</t>
  </si>
  <si>
    <t>Burns, John M.</t>
  </si>
  <si>
    <t>Smithsonian National Museum of Natural History</t>
  </si>
  <si>
    <t>Burns J.</t>
  </si>
  <si>
    <t>Pseudodrephalys: A new genus comprising three showy, neotropical species (one new) removed from - And quite remote from - Drephalys (hesperiidae: pyrginae)</t>
  </si>
  <si>
    <t>2-s2.0-0010733773</t>
  </si>
  <si>
    <t>N00014-96-1-0594</t>
  </si>
  <si>
    <t>['using morphometric', 'surrounding fluid', 'stomatopods alter', 'simple arrangement', 'setal dimension', 'setal array', 'sampling motions', 'receptors inside', 'prey items', 'preferred habitat', 'olfactory appendages', 'odorants around', 'kinematic measurements', 'fold range', 'fluid flow', 'flow rate', 'distant sources', 'different odor', 'antennule speed', 'animals increased', 'animals increase', 'aesthetascs varies', 'aesthetasc array']</t>
  </si>
  <si>
    <t>Aesthetasc | Antennule flicking | Boundary layer | Chemosensory | Hydrodynamic | Reynolds number | Stomatopod</t>
  </si>
  <si>
    <t>Many crustaceans detect odors from distant sources (such as conspecifics or prey items) by using chemosensory sensillae (aesthetascs) on their antennules. The morphology and arrangement of the aesthetascs on the antennule and the movement of the antennule through the surrounding fluid during olfactory sampling affect the flow of odorants around the sensillae and thus odorant access to receptors inside the aesthetascs. We examined fluid flow around the olfactory appendages of the stomatopod Gonodactylus mutatus, a crustacean with excellent olfactory capabilities, a simple arrangement of aesthetascs on their antennules, and a 10-fold range in post- metamorphic body sizes. Using morphometric and kinematic measurements, we calculated several hydrodynamic parameters including the aesthetasc Reynolds number (Re), the leakiness of the setal array, and flow rate through aesthetascs and determined how these descriptors of fluid flow changed as the animals increased in size. We found that G. mutatus aesthetascs operate over a range of Re where the leakiness of the aesthetasc array is very sensitive to changes in antennule speed and setal dimension. As a result, the rate of fluid flow through the array of aesthetascs varies by a factor of two during different odor-sampling motions of the antennule, and changes over 200-fold as the animals increase in size. The increases in Re, leakiness, and flow rate as the stomatopods grow suggest that stomatopods alter their odor sampling paradigm as they mature, corresponding to changes in diet, preferred habitat and behavior.</t>
  </si>
  <si>
    <t>235-261</t>
  </si>
  <si>
    <t>Journal of Experimental Marine Biology and Ecology</t>
  </si>
  <si>
    <t>60025038;60025038;</t>
  </si>
  <si>
    <t>7005540009;7005360614;7402328929</t>
  </si>
  <si>
    <t>Mead, K. S.;Koehl, M. A.R.;O'Donnell, M. J.</t>
  </si>
  <si>
    <t>Berkeley</t>
  </si>
  <si>
    <t>University of California, Berkeley</t>
  </si>
  <si>
    <t>Mead K.</t>
  </si>
  <si>
    <t>Stomatopod sniffing: The scaling of chemosensory sensillae and flicking behavior with body size</t>
  </si>
  <si>
    <t>S0022098199000878</t>
  </si>
  <si>
    <t>10.1016/S0022-0981(99)00087-8</t>
  </si>
  <si>
    <t>2-s2.0-0033578484</t>
  </si>
  <si>
    <t>['throughput determination', 'throughput behavior', 'slotted aloha', 'shadowing effects', 'nakagami fading', 'general expression', 'detailed insight']</t>
  </si>
  <si>
    <t>The throughput behavior of slotted ALOHA under Nakagami fading with two different environments was investigated. The effects of shadowing and the user spatial distribution are obtained. With generalized fading conditions, a more detailed insight into the problem of the throughput determination can be obtained. A general expression of the throughput of slotted ALOHA under Nakagami fading conditions with spatially distributed users is presented. The simulation results show that the shadowing effects are substantial under different fading conditions.</t>
  </si>
  <si>
    <t>1419-1421</t>
  </si>
  <si>
    <t>60009506;60009506</t>
  </si>
  <si>
    <t>6506712002;6701401887</t>
  </si>
  <si>
    <t>Grami, N.;Al-Semari, S. A.</t>
  </si>
  <si>
    <t>Saudi Arabia</t>
  </si>
  <si>
    <t>Dhahran</t>
  </si>
  <si>
    <t>King Fahd University of Petroleum and Minerals</t>
  </si>
  <si>
    <t>Grami N.</t>
  </si>
  <si>
    <t>Capacity of slotted ALOHA under Nakagami fading with near-far and shadowing effects</t>
  </si>
  <si>
    <t>10.1049/el:19991000</t>
  </si>
  <si>
    <t>2-s2.0-0032634570</t>
  </si>
  <si>
    <t>['shaped subreflectors', 'quiet zone', 'polarization performance', 'polarization level', 'physical optics', 'optimized based', 'optimal design', 'low cross']</t>
  </si>
  <si>
    <t>For a tri-reflector compact antenna test range (CATR) with spherical main reflector and shaped subreflectors, the cross-polarization performance is optimized based on the beam-mode expansion method. For optimal design, the physical optics (PO) calculations of the quiet zone fields are presented and it is shown that a tradeoff has to be made between a low cross-polarization level and a low amplitude ripple in the quiet zone.</t>
  </si>
  <si>
    <t>1403-1404</t>
  </si>
  <si>
    <t>60022109;60022109;60022109</t>
  </si>
  <si>
    <t>57193541994;7006149584;7005244140</t>
  </si>
  <si>
    <t>Rieckmann, C.;Rayner, M. R.;Parini, C. G.</t>
  </si>
  <si>
    <t>Rieckmann C.</t>
  </si>
  <si>
    <t>Optimization of cross-polarization performance for tri-reflector CATR with spherical main reflector</t>
  </si>
  <si>
    <t>10.1049/el:19990967</t>
  </si>
  <si>
    <t>2-s2.0-0032635857</t>
  </si>
  <si>
    <t>['substantial reduction', 'measurements need', 'intermodulation distortion', 'cancellation circuit', 'anechoic chamber', 'also functions', '93 ghz', '35 dbc', '23 db']</t>
  </si>
  <si>
    <t>A circular patch antenna operating at 1.93 GHz which also functions as a four way combiner and an intermodulation distortion (IMD) cancellation circuit is presented. It is showed that all IMDs can be kept below -35 dBc with a substantial reduction of 23 dB for the third order IMD at the -1 dB gcp. Reflections from nearby obstacles affect the residual IMD results significantly and the measurements need to be carried out in an anechoic chamber.</t>
  </si>
  <si>
    <t>1401-1403</t>
  </si>
  <si>
    <t>56176069100;37041919100;7403918312</t>
  </si>
  <si>
    <t>Yang, Chi Chung;Chan, Wing Le;Chan, Wing Shing</t>
  </si>
  <si>
    <t>Yang C.</t>
  </si>
  <si>
    <t>Low IMD, antenna combined, circularly polarized, integrated antenna</t>
  </si>
  <si>
    <t>10.1049/el:19990959</t>
  </si>
  <si>
    <t>2-s2.0-0032651471</t>
  </si>
  <si>
    <t>['simple design', 'one end', 'line shorted', 'ground plane', 'frequency separation', '3 ghz']</t>
  </si>
  <si>
    <t>A simple design for a dual-band microstrip antenna operating at 3 GHz is presented. The dual band operation is obtained when the antenna is loaded with a cross-line shorted with a ground plane at one end. The frequency separation is found to be very sensitive to the position of the cross-line.</t>
  </si>
  <si>
    <t>1397-1399</t>
  </si>
  <si>
    <t>60029284;60029284-60007709;60029284</t>
  </si>
  <si>
    <t>16470169900;7404284098;7003839738</t>
  </si>
  <si>
    <t>Srivastava, G. P.;Bhattacharya, S.;Padhi, S. K.</t>
  </si>
  <si>
    <t>Dual band tunable microstrip patch antenna</t>
  </si>
  <si>
    <t>10.1049/el:19990876</t>
  </si>
  <si>
    <t>2-s2.0-0032663701</t>
  </si>
  <si>
    <t>['wireless communications', 'recently proposed', 'individual channels', 'form expression', 'explicit closed', 'channel correlation', 'channel capacity', 'blast architecture', 'author reports']</t>
  </si>
  <si>
    <t>The BLAST architecture has been recently proposed as an extremely efficient tool for wireless communications in rich multipath environments. However, the channel capacity of the BLAST architecture strongly depends on the correlation between individual channels. The author reports an explicit closed-form expression of the channel capacity of a two-antenna BLAST architecture as a function of the channel correlation.</t>
  </si>
  <si>
    <t>1421-1422</t>
  </si>
  <si>
    <t>60028186-60043973</t>
  </si>
  <si>
    <t>Loyka, S. L.</t>
  </si>
  <si>
    <t>Belarus;Switzerland</t>
  </si>
  <si>
    <t>Minsk;Lausanne</t>
  </si>
  <si>
    <t>Belarusian State University of Informatics and Radioelectronics;Swiss Federal Institute of Technology Lausanne</t>
  </si>
  <si>
    <t>60043973;60028186</t>
  </si>
  <si>
    <t>Loyka S.L.</t>
  </si>
  <si>
    <t>Channel capacity of two-antenna BLAST architecture</t>
  </si>
  <si>
    <t>10.1049/el:19990987</t>
  </si>
  <si>
    <t>2-s2.0-0032664346</t>
  </si>
  <si>
    <t>['requisite frequency', 'polarization performance', 'parameters controlling', 'genetic algorithm']</t>
  </si>
  <si>
    <t>An optimization procedure based on the genetic algorithm (GA) is applied to the design of frequency selective surfaces (FSS) fabricated by printed circuit technology. The inclusion of the shape of the mask in the set of parameters controlling the optimization scheme enables the requisite frequency and polarization performance to be obtained.</t>
  </si>
  <si>
    <t>1400-1401</t>
  </si>
  <si>
    <t>60028868;60028868;60001439</t>
  </si>
  <si>
    <t>7006025870;7004132913;55197051100</t>
  </si>
  <si>
    <t>Manara, G.;Monorchio, A.;Mittra, R.</t>
  </si>
  <si>
    <t>Pisa;University Park</t>
  </si>
  <si>
    <t>Universit√† di Pisa;Pennsylvania State University</t>
  </si>
  <si>
    <t>60028868;60001439</t>
  </si>
  <si>
    <t>Frequency selective surface design based on genetic algorithm</t>
  </si>
  <si>
    <t>10.1049/el:19990991</t>
  </si>
  <si>
    <t>2-s2.0-0032665032</t>
  </si>
  <si>
    <t>['power incident', 'multiple reflections', 'ipdp ).', 'increased demand', 'fast internet', 'data services', 'base station']</t>
  </si>
  <si>
    <t>The increased demand for fast Internet and other data services has resulted in severe bandwidth requirements for future fixed wireless loop (FWL) systems. Scattering, diffraction and multiple reflections of transmission from subscribers in actual environments could result in a wide angular spectrum of power incident on the base station, referred to as the incident power density pattern (IPDP). The importance of the IPDP for future FWL systems is discussed. In addition, some of the important S/I implications of the IPDP for proper system capacity simulations is presented.</t>
  </si>
  <si>
    <t>1422-1424</t>
  </si>
  <si>
    <t>7006813926;7202183081;7003808036;7101611306</t>
  </si>
  <si>
    <t>Gans, M. J.;Yeh, Y. S.;Amitay, N.;Valenzuela, R. A.</t>
  </si>
  <si>
    <t>Gans M.</t>
  </si>
  <si>
    <t>Co-channel interference in high capacity fixed wireless loops (FWL)</t>
  </si>
  <si>
    <t>10.1049/el:19990996</t>
  </si>
  <si>
    <t>2-s2.0-0032675661</t>
  </si>
  <si>
    <t>['wave frequencies', 'strong effect', 'several antennas', 'impedance matching', 'ground plane', 'finite thickness', 'experimental results', 'close agreement', 'cavity model', 'calculated results']</t>
  </si>
  <si>
    <t>The finite thickness of the ground plane is taken into account in the cavity model to analyze some aperture coupled microstrip patch antennas at millimetre-wave frequencies (60 GHz). The thickness has a strong effect on impedance matching at high frequencies owing to the ratio between the thickness and the wavelength, which increases with frequency. The calculated results are compared to those obtained by experiment for several antennas with different input impedances due to different slot lengths. Close agreement is found between the calculated and experimental results.</t>
  </si>
  <si>
    <t>1394-1395</t>
  </si>
  <si>
    <t>Aperture coupled microstrip patch antenna with thick ground plane in millimetre waves</t>
  </si>
  <si>
    <t>10.1049/el:19990970</t>
  </si>
  <si>
    <t>2-s2.0-0032687977</t>
  </si>
  <si>
    <t>['microstrip antenna', 'easily extended', 'antenna lead']</t>
  </si>
  <si>
    <t>A wideband, dual-frequency and dual-polarized (WDFDP) microstrip antenna is proposed and designed to enable the transmission and reception of differently polarized wideband signals simultaneously with a single antenna system. It can be used in compact portable terminals with a single antenna system and the characteristics of the resonators in this antenna lead to a greatly enhanced bandwidth. Also, this antenna can be easily extended to two-dimensional arrays due to the use of hybrid feeding structures.</t>
  </si>
  <si>
    <t>1399-1400</t>
  </si>
  <si>
    <t>60016912;60016912;60016912</t>
  </si>
  <si>
    <t>56984343300;14822760600;7402126718</t>
  </si>
  <si>
    <t>Kim, Yeunjeong;Yun, Wansuk;Yoon, Youngjoong</t>
  </si>
  <si>
    <t>Yonsei University</t>
  </si>
  <si>
    <t>Kim Y.</t>
  </si>
  <si>
    <t>Dual-frequency and dual-polarization wideband microstrip antenna</t>
  </si>
  <si>
    <t>10.1049/el:19990995</t>
  </si>
  <si>
    <t>2-s2.0-0032687978</t>
  </si>
  <si>
    <t>['slot lengths', 'readily generalizable', 'planar arrays', 'offsets corresponding', 'microstrip dipoles', 'excitation distribution']</t>
  </si>
  <si>
    <t>An integrated optimization procedure for determining the slot lengths and offsets corresponding to an excitation distribution that generates the desired power pattern but includes no elements with excessively weak excitation is presented. It allows the synthesis of demanding power pattern diagrams by efficient, feed-matched linear arrays of longitudinal waveguide slots. The method is readily generalizable to planar arrays and to other equivalent source elements such as microstrip dipoles or slanting waveguide slots.</t>
  </si>
  <si>
    <t>1396-1397</t>
  </si>
  <si>
    <t>60028419;60028419;60028419;</t>
  </si>
  <si>
    <t>7003391894;7006865572;7202825573;7006413404</t>
  </si>
  <si>
    <t>Rodr√≠guez, J. A.;Ares, F.;Moreno, E.;Franceschetti, G.</t>
  </si>
  <si>
    <t>Design of shunt slot arrays without weak excitations</t>
  </si>
  <si>
    <t>10.1049/el:19990971</t>
  </si>
  <si>
    <t>2-s2.0-0344286124</t>
  </si>
  <si>
    <t>['similar properties', 'infrared thermography', 'experimental verification', 'different bands']</t>
  </si>
  <si>
    <t>The surface current distribution of a Sierpinski fractal antenna shows a self-similar behaviour determined by the self-similar properties of its geometry. The application of infrared thermography to electromagnetic near field detection allows the experimental verification of the active region scaling of a fractal antenna operating at different bands.</t>
  </si>
  <si>
    <t>1393-1394</t>
  </si>
  <si>
    <t>60025316;60007592;60007592;60007592;60007592</t>
  </si>
  <si>
    <t>57061364500;56211766100;7006058796;56883021900;6602371416</t>
  </si>
  <si>
    <t>Gonz√°lez, J. M.;Navarro, M.;Puente, C.;Romeu, J.;Aguasca, A.</t>
  </si>
  <si>
    <t>Active zone self-similarity of fractal-Sierpinski antenna verified using infra-red thermograms</t>
  </si>
  <si>
    <t>10.1049/el:19990943</t>
  </si>
  <si>
    <t>2-s2.0-0344286125</t>
  </si>
  <si>
    <t>['weber type', 'terrestrial noise', 'rotating platform', 'results show', 'long periods', 'higher frequency', 'gravitational waves', 'expected sensitivity', 'evaluate orders', 'buried within', 'binary pulsars']</t>
  </si>
  <si>
    <t>The gravitational waves (GWs) emitted by binary pulsars have very long periods, and are buried within the terrestrial noise. We propose to shift their signals to higher frequency by modulating the amplitude, using a resonant of the Weber type on a rotating platform, and using phase locked detection. We evaluate orders of magnitude of the expected sensitivity and noise. The results show that the signals from PSRB1913 + 16 can be detected by long term observation and digital spectral filtering with a small, rather inexpensive antenna.</t>
  </si>
  <si>
    <t>1733-1738</t>
  </si>
  <si>
    <t>Modern Physics Letters A</t>
  </si>
  <si>
    <t>Brautti, G.</t>
  </si>
  <si>
    <t>Bari</t>
  </si>
  <si>
    <t>Istituto Nazionale di Fisica Nucleare, Sezione di Bari</t>
  </si>
  <si>
    <t>Brautti G.</t>
  </si>
  <si>
    <t>Heterodyne detection of gravitational waves emitted from binary pulsars</t>
  </si>
  <si>
    <t>10.1142/S0217732399001838</t>
  </si>
  <si>
    <t>2-s2.0-0009506635</t>
  </si>
  <si>
    <t>['passive illuminating', 'optimal spacing', 'novel configurations', 'maximum power', 'intercepting arrays', 'combining efficiency', 'combine power']</t>
  </si>
  <si>
    <t>Novel configurations of planar power combiners, which use microstrip patch transmit arrays to combine power from microwave transistor amplifiers, are presented. Investigations are performed into optimal spacing between active transmit arrays and passive illuminating/intercepting arrays to obtain the maximum power-combining efficiency.</t>
  </si>
  <si>
    <t>284-287</t>
  </si>
  <si>
    <t>35570164700;7404037594</t>
  </si>
  <si>
    <t>Bialkowski, Marek E.;Song, Hyok J.</t>
  </si>
  <si>
    <t>Investigations into power-combining efficiency of microstrip patch transmit arrays</t>
  </si>
  <si>
    <t>10.1002/(SICI)1098-2760(19990820)22:4&lt;284::AID-MOP20&gt;3.0.CO;2-L</t>
  </si>
  <si>
    <t>2-s2.0-0342322673</t>
  </si>
  <si>
    <t>['type antenna', 'terrestrial link', 'satellite communication', 'revolution center', 'multimode systems', 'merged together', 'helical antenna', 'circular polarization']</t>
  </si>
  <si>
    <t>The present paper concerns a class of compact size antennas dedicated to multimode systems. A helical antenna covering an S-band with circular polarization for satellite communication and a dipole-type antenna for a terrestrial link are merged together. The dipole is placed in the revolution center of the helical. It is shown that the dipole has to be positioned at half the height of the helical, giving, in this case, less than 1 dB change for the gain of the helical antenna.</t>
  </si>
  <si>
    <t>262-265</t>
  </si>
  <si>
    <t>Dual-mode handy-phone antenna using helical and dipole structures</t>
  </si>
  <si>
    <t>10.1002/(SICI)1098-2760(19990820)22:4&lt;262::AID-MOP14&gt;3.0.CO;2-I</t>
  </si>
  <si>
    <t>2-s2.0-0342757517</t>
  </si>
  <si>
    <t>['two frequencies', 'proposed antenna', 'patch boundary', 'paper presents', 'offset slot', 'much lower', 'frequency operation', 'frequency design', 'experimental results', 'either one', 'circular patch', 'behavior makes', 'antenna design', 'achieved using', '62 times']</t>
  </si>
  <si>
    <t>This paper presents a new, compact, dual-frequency design of single-feed circular microstrip antennas with an offset circular slot placed close to the patch boundary. It is found that, when the radius of the offset slot is about 0.38-0.62 times the radius of the circular patch, dual-frequency operation can be achieved using a single probe feed. The two operating frequencies have orthogonal polarization planes, and have a low frequency ratio of about 1.15-1.18. The two frequencies can also be much lower than the fundamental resonant frequency of a corresponding simple circular patch antenna without the offset slot. This behavior makes the proposed antenna have a reduced antenna size as compared to a simple circular patch antenna operated at either one of the two frequencies. Details of the antenna design and experimental results are presented.</t>
  </si>
  <si>
    <t>254-256</t>
  </si>
  <si>
    <t>Compact dual-frequency circular microstrip antenna with an offset circular slot</t>
  </si>
  <si>
    <t>10.1002/(SICI)1098-2760(19990820)22:4&lt;254::AID-MOP11&gt;3.0.CO;2-S</t>
  </si>
  <si>
    <t>2-s2.0-0342757518</t>
  </si>
  <si>
    <t>['transmission line', 'time domain', 'reflected wave', 'lossless ones', 'including one', 'incident wave', 'higher accuracy', 'frequency domain', 'domain analysis', 'computer expense']</t>
  </si>
  <si>
    <t>Two signal extraction techniques, including one in the frequency domain and one in the time-domain, are developed for the time-domain analysis of microwave devices fed by a transmission line, for which only one FDTD calculation is needed, and an incident wave and a reflected wave in both the time domain and frequency domain can be acquired from time-domain total waves. The former is applicable to dispersive and lossy transmission lines, and the latter is applicable to only nondispersive and lossless ones, but the latter has higher accuracy than the former. By comparison with two FDTD calculations, time-domain analysis in combination with two signal extraction techniques can reduce the computer expense.</t>
  </si>
  <si>
    <t>256-260</t>
  </si>
  <si>
    <t>60025578;60025578</t>
  </si>
  <si>
    <t>36823626100;7403280923</t>
  </si>
  <si>
    <t>Yuan, Weiliang;Liang, Changhong</t>
  </si>
  <si>
    <t>Yuan W.</t>
  </si>
  <si>
    <t>Signal extraction techniques for time-domain analysis</t>
  </si>
  <si>
    <t>10.1002/(SICI)1098-2760(19990820)22:4&lt;256::AID-MOP12&gt;3.0.CO;2-N</t>
  </si>
  <si>
    <t>2-s2.0-0343192209</t>
  </si>
  <si>
    <t>['wave signals', 'photonic device', 'phase shifting', 'incoming microwave', 'harmonic photonic', 'forming applications', 'easily integrated', 'device may', 'attractive alternative']</t>
  </si>
  <si>
    <t>A photonic device which achieves both phase shifting and harmonic photonic up/down-conversion of outgoing/incoming microwave/millimeter-wave signals is presented. This device may be easily integrated, becoming an attractive alternative for phased-array antenna beam-forming applications.</t>
  </si>
  <si>
    <t>247-249</t>
  </si>
  <si>
    <t>60011476;60011476;60011476;60011476</t>
  </si>
  <si>
    <t>57205120343;55948266500;7102958075;12645208200</t>
  </si>
  <si>
    <t>Fuster, J. M.;Marti, J.;Corral, J. L.;Candelas, P.</t>
  </si>
  <si>
    <t>Fuster J.</t>
  </si>
  <si>
    <t>Harmonic up/down-conversion through photonic RF phase shifters in phased-array antenna beam-forming applications</t>
  </si>
  <si>
    <t>10.1002/(SICI)1098-2760(19990820)22:4&lt;247::AID-MOP9&gt;3.0.CO;2-W</t>
  </si>
  <si>
    <t>2-s2.0-0343192210</t>
  </si>
  <si>
    <t>['nonradiating edges', 'new configuration', 'center line', 'bandwidth enhancement', 'antenna bandwidth', 'also observed', '8 times']</t>
  </si>
  <si>
    <t>Bandwidth enhancement of a single-layer, single-patch rectangular microstrip antenna can be achieved by embedding a pair of double-bent slots close to the patch's nonradiating edges and an additional bent slot centered to the patch's center line. This new configuration of a slotted rectangular microstrip antenna can have an antenna bandwidth up to about 2.8 times that of a corresponding conventional rectangular patch antenna without slots. Good radiation characteristics for the operating frequencies within the antenna bandwidth are also observed. Details of the proposed antenna configuration and the obtained broadband performance are presented.</t>
  </si>
  <si>
    <t>234-236</t>
  </si>
  <si>
    <t>35249332900;35460663000</t>
  </si>
  <si>
    <t>Sze, Jia Yi;Wong, Kin Lu</t>
  </si>
  <si>
    <t>Sze J.</t>
  </si>
  <si>
    <t>Single-layer single-patch broadband rectangular microstrip antenna</t>
  </si>
  <si>
    <t>10.1002/(SICI)1098-2760(19990820)22:4&lt;234::AID-MOP5&gt;3.0.CO;2-H</t>
  </si>
  <si>
    <t>2-s2.0-0343603656</t>
  </si>
  <si>
    <t>['second resonances', 'return loss', 'results include', 'resonance frequencies', 'radiation patterns', 'proposed antenna', 'planar antenna', 'new design', 'good agreement', 'frequency operation', 'current distribution', 'array applications', 'antenna gain']</t>
  </si>
  <si>
    <t>In this letter, a new design for a planar antenna is introduced. The antenna is built using coplanar technology. It has dual-frequency operation: the first and second resonances are in the X- and Ku-bands, respectively. The proposed antenna has wideband behavior around both resonance frequencies. It has a dipole-like radiation pattern, which makes it suitable for phased-array applications. The analysis is carried out both theoretically and experimentally, and very good agreement is observed. The results include the return loss, the current distribution, the radiation patterns, and the antenna gain.</t>
  </si>
  <si>
    <t>288-290</t>
  </si>
  <si>
    <t>CPW-FED CUSP antenna</t>
  </si>
  <si>
    <t>10.1002/(SICI)1098-2760(19990820)22:4&lt;288::AID-MOP21&gt;3.0.CO;2-E</t>
  </si>
  <si>
    <t>2-s2.0-0343627714</t>
  </si>
  <si>
    <t>['subwavelength precision', 'shell thickness', 'selectively driven', 'remote coupling', 'nanoscale machines', 'multilayer structures', 'metal nanoshells', 'incident light', 'electromagnetic signals', 'core size', 'controllable redirection']</t>
  </si>
  <si>
    <t>Metal nanoshells are nanoscale optical components that allow for the controllable redirection of electromagnetic radiation via careful engineering of their multilayer structures. By varying the core size and shell thickness of these nanoparticles, nanoscale "antennas" are constructed that can be selectively driven into a dipolar or quadrupolar oscillation pattern. With scattering cross sections many times larger than their physical cross section, these antennas efficiently couple to the incident electromagnetic wave. These structures can focus, redirect, or split the incident light with subwavelength precision, and may find useful applications in the remote coupling of electromagnetic signals into nanoscale machines or devices. ¬© 1999 American Institute of Physics.</t>
  </si>
  <si>
    <t>1063-1065</t>
  </si>
  <si>
    <t>60005286;60005286;60005286;60005286</t>
  </si>
  <si>
    <t>6701533422;7102753586;7404116442;7005064558</t>
  </si>
  <si>
    <t>Oldenburg, S. J.;Hale, G. D.;Jackson, J. B.;Halas, N. J.</t>
  </si>
  <si>
    <t>Rice University</t>
  </si>
  <si>
    <t>Oldenburg S.</t>
  </si>
  <si>
    <t>Light scattering from dipole and quadrupole nanoshell antennas</t>
  </si>
  <si>
    <t>10.1063/1.124597</t>
  </si>
  <si>
    <t>2-s2.0-0000114130</t>
  </si>
  <si>
    <t>['x ).', 'two phylloquinones', 'two hypotheses', 'two branches', 'time resolution', 'sulfur cluster', 'similar amplitude', 'reoxidation rate', 'relative position', 'reaction centers', 'ps ii', 'phase oxidation', 'peripheric antennae', 'oxidation suggests', 'likely associated', 'equal amplitude', 'electron transfer', 'chlorella sorokiniana', 'b ))', 'absorption decrease', 'a1 -.', '515 nm', '5 ns', '377 nm', '160 ns']</t>
  </si>
  <si>
    <t>Electron transfer within PSI reaction centers has been analyzed in vivo in a mutant of Chlorella sorokiniana which lacks most of the PS II and of the peripheric antennae, using a new spectrophotometric technique with a time resolution of ~5 ns. Absorption changes associated with the oxidation of semiphylloquinone (acceptor A1-) have been characterized in the 371-545 nm spectral range. The oxidation of A1- and the reduction of an iron-sulfur cluster (F(X), F(A)F(B)) is monitored by an absorption decrease at 377 nm (semiphylloquinone absorption band) and by the decrease of two positive absorption bands around 480 and 515 nm, respectively, very likely associated with a local electrochromic shift induced by A1- on a carotenoid molecule localized in its vicinity. A1- undergoes a two-phase oxidation of about equal amplitude with half-times of ~18 and ~160 ns, respectively. Two hypotheses are proposed to interpret these data: (1) Photosystem I reaction centers are present under two conformational states which differ by the reoxidation rate of A1-. (2) The two phylloquinones corresponding to the two branches of the PS I heterodimer are involved in the electron transfer. The similar amplitude of the two phases implies that the rates of electron transfer from P700 to each of the phylloquinones are about equal. The two different rate constants measured for A1- oxidation suggests some asymmetry in the relative position of the two phylloquinones with respect to F(X).</t>
  </si>
  <si>
    <t>11130-11136</t>
  </si>
  <si>
    <t>60014849;60014849</t>
  </si>
  <si>
    <t>7003761323;7004367510</t>
  </si>
  <si>
    <t>Joliot, Pierre;Joliot, Anne</t>
  </si>
  <si>
    <t>Institut de Biologie Physico-Chimique</t>
  </si>
  <si>
    <t>Joliot P.</t>
  </si>
  <si>
    <t>In vivo analysis of the electron transfer within photosystem I: Are the two phylloquinones involved</t>
  </si>
  <si>
    <t>10.1021/bi990857c</t>
  </si>
  <si>
    <t>2-s2.0-0033600564</t>
  </si>
  <si>
    <t>['œ ±-', 'two bch1', 'systematic analysis', 'recently published', 'raman spectrosc', 'purple bacteria', 'photosynthetic complexes', 'pentacoordinate bch1', 'obtain information', 'noticeable differences', 'molecules responsible', 'molecules constituting', 'molecular conformations', 'lh1 proteins', 'investigated using', 'harvesting lh2', 'distinguish distortions', 'diethyl ether', 'considerably distorted', 'conformation close', 'bacteriochlorin macrocycle', 'absorbing bch1', '880 nm', '604 ].']</t>
  </si>
  <si>
    <t>Fourier transform near-infrared resonance Raman spectroscopy can be used to obtain information on the bacteriochlorophyll a (BCh1 a) molecules responsible for the redmost absorption band in photosynthetic complexes from purple bacteria. This technique is able to distinguish distortions of the bacteriochlorin macrocycle as small as 0.02 √Ö, and a systematic analysis of those vibrational modes sensitive to BCh1 a macrocycle conformational changes was recently published [Naveke et al. (1997) J. Raman Spectrosc. 28, 599- 604]. The conformation of the two BCh1 a molecules constituting the primary electron donor in bacterial reaction centers, and of the 850 and 880 nm- absorbing BCh1 a molecules in the light-harvesting LH2 and LH1 proteins, has been investigated using this technique. From this study it can be concluded that both BCh1 a molecules of the primary electron donor in the photochemical reaction center are in a conformation close to the relaxed conformation observed for pentacoordinate BCh1 a in diethyl ether. In contrast, the BCh1 a molecules responsible for the long-wavelength absorption transition in both LH1 and LH2 antenna complexes are considerably distorted, and furthermore there are noticeable differences between the conformations of the BCh1 molecules bound to the Œ±- and Œ≤-apoproteins. The molecular conformations of the pigments are very similar in all the antenna complexes investigated.</t>
  </si>
  <si>
    <t>11115-11121</t>
  </si>
  <si>
    <t>60008134;60008134;60008134;60008134;60008134;60028717;60008134-60210091;60008134-100724821;60008134</t>
  </si>
  <si>
    <t>6602550801;7801328971;7004341328;6603806628;7103083586;57216047370;7004230215;7004214593;7103125115</t>
  </si>
  <si>
    <t>Lapouge, Karine;N√§veke, Arne;Gall, Andrew;Ivancich, Anabella;Seguin, J√©r√¥me;Scheer, Hugo;Sturgis, James N.;Mattioli, Tony A.;Robert, Bruno</t>
  </si>
  <si>
    <t>France;Germany;France;Canada</t>
  </si>
  <si>
    <t>Marseille;Munich;Paris;Nepean</t>
  </si>
  <si>
    <t>Laboratoire d'Ing√©nierie des Syst√®mes Macromol√©culaires;Ludwig-Maximilians-Universit√§t M√ºnchen;CNRS Centre National de la Recherche Scientifique;IDS Intelligent Detection Systems</t>
  </si>
  <si>
    <t>60210091;60028717;60008134;100724821</t>
  </si>
  <si>
    <t>Lapouge K.</t>
  </si>
  <si>
    <t>Conformation of bacteriochlorophyll molecules in photosynthetic proteins from purple bacteria</t>
  </si>
  <si>
    <t>10.1021/bi990723z</t>
  </si>
  <si>
    <t>2-s2.0-0344200081</t>
  </si>
  <si>
    <t>['widespread use', 'vehicles owes', 'tinted glass', 'subsequently bent', 'solar glazing', 'solar energy', 'rights reserved', 'glass industry', 'fuel efficiency', 'environmental concerns', 'efficient way', 'e coatings', 'control cost', 'coated low', 'building industries', 'automotive market', 'automotive glazing', 'automotive designers']</t>
  </si>
  <si>
    <t>Low emissivity coating | Multilayers | Solar reduction | Sputtering</t>
  </si>
  <si>
    <t>Automotive companies continue to pressure their suppliers to control cost, and the glass industry, in particular, has had a difficult time penetrating the automotive market with new, innovative, added value products. An exception where both the customer's needs and the supplier's ability to meet these needs have been satisfied is the application of coatings for automotive glazing to efficiently reduce solar heat load in vehicles. Automotive designers are pushing the limits on steep installation angles and increasing glazing areas in vehicles, while the demand for fuel efficiency and environmental concerns are driving the downsizing and efficiency of air conditioning units. Under these conditions the use of tinted glass, which absorbs solar energy, is limited in adequately providing driver comfort. The use of low-E coatings, which reflect the solar energy, is a more efficient way of reducing the solar heat buildup. The widespread use of coated low-E for solar glazing in vehicles owes its existence to a cost effective manufacturing process which requires that the glass is first coated flat, rather than bent. The flat coated glass is then subsequently bent and laminated, or tempered. Heat treatable multilayer coatings have been developed containing two layers of silver that are finding wide use today in both the automotive and building industries. In addition, since the coating is conductive, a windshield, e.g. can serve a range of functions such as antenna, or defroster and deicer. ¬© 1999 Elsevier Science S.A. All rights reserved.</t>
  </si>
  <si>
    <t>264-273</t>
  </si>
  <si>
    <t>Finley, J. J.</t>
  </si>
  <si>
    <t>PPG Industries, Inc.</t>
  </si>
  <si>
    <t>Finley J.</t>
  </si>
  <si>
    <t>Heat treatment and bending of low-E glass</t>
  </si>
  <si>
    <t>S0040609099000875</t>
  </si>
  <si>
    <t>10.1016/S0040-6090(99)00087-5</t>
  </si>
  <si>
    <t>2-s2.0-0033170233</t>
  </si>
  <si>
    <t>['sensitive probe', 'powerful tool', 'plasma parameters', 'negative ions', 'also found']</t>
  </si>
  <si>
    <t>The plasma parameters of an ECR silane plasma were measured with both a heated Langmuir probe and an 8 mm microwave interferometer. It was found that the heated Langmuir probe is a powerful tool for measuring the plasma parameters. Many negative ions were also found to be produced in the plasma. An attempt of ion temperature measurements in an ECR hydrogen plasma was made with an ion-sensitive probe and negative ions were found to exist.</t>
  </si>
  <si>
    <t>230-234</t>
  </si>
  <si>
    <t>92-93</t>
  </si>
  <si>
    <t>Journal of Materials Processing Technology</t>
  </si>
  <si>
    <t>60011047;60011047;60011047;60011047;60011047</t>
  </si>
  <si>
    <t>55572797300;35331347100;7202520762;6602750446;6602578787</t>
  </si>
  <si>
    <t>Kawai, Y.;Ueda, Y.;Morimoto, M.;Hiejima, S.;Katsumata, I.</t>
  </si>
  <si>
    <t>Measurements of ECR silane plasma parameters</t>
  </si>
  <si>
    <t>S0924013699001715</t>
  </si>
  <si>
    <t>10.1016/S0924-0136(99)00171-5</t>
  </si>
  <si>
    <t>2-s2.0-0342733558</t>
  </si>
  <si>
    <t>['xanthophyll cycle', 'using site', 'two xanthophyll', 'transfer rates', 'thus opening', 'thus obtaining', 'symmetrical domain', 'relatively stable', 'purified pigments', 'porphyrin coordination', 'mixed chl', 'individual chromophores', 'four porphyrin', 'eight porphyrins', 'directed mutagenesis', 'binding sites', 'binding residues', 'binding properties', 'bind violaxanthin', 'b specificity']</t>
  </si>
  <si>
    <t>Chlorophyll | CP29 | Photosynthesis | Protein folding</t>
  </si>
  <si>
    <t>The chromophore-binding properties of the higher plant light-harvesting protein CP29 have been studied by using site-directed mutagenesis of pigment- binding residues. Overexpression of the apoproteins in bacteria was followed by reconstitution in vitro with purified pigments, thus obtaining a family of mutant CP29 proteins lacking individual chromophore-binding sites. Biochemical characterization allowed identification of the eight porphyrins and two xanthophyll-binding sites. It is shown that the four porphyrin- binding sites (A1, A2, A4, and AS) situated in the central, twofold- symmetrical domain of the protein are selective for Chl-a, whereas the four peripheral sites (A3, B3, B5, and B6) have mixed Chl-a-Chl-b specificity. Within a site, porphyrin coordination by glutamine increases affinity for Chl-b as compared with glutamate. Xanthophyll site L1 is occupied by lutein, whereas site L2 can bind violaxanthin or neoxanthin. The protein is relatively stable when site L2 site is empty, suggesting that xanthophylls can be exchanged during operation of xanthophyll cycle-dependent photoprotection mechanism. Differential absorption spectroscopy allowed determination of transition energy levels for individual chromophores, thus opening the way to calculation of energy-transfer rates between Chl in higher plant antenna proteins.</t>
  </si>
  <si>
    <t>10056-10061</t>
  </si>
  <si>
    <t>60032256;60032256;60032256;60032256</t>
  </si>
  <si>
    <t>35553979700;7005812451;57217972311;6603761118</t>
  </si>
  <si>
    <t>Bassi, Roberto;Croce, Roberta;Cugini, Daniela;Sandon√†, Dorianna</t>
  </si>
  <si>
    <t>Verona</t>
  </si>
  <si>
    <t>Universit√† degli Studi di Verona</t>
  </si>
  <si>
    <t>Bassi R.</t>
  </si>
  <si>
    <t>Mutational analysis of a higher plant antenna protein provides identification of chromophores bound into multiple sites</t>
  </si>
  <si>
    <t>10.1073/pnas.96.18.10056</t>
  </si>
  <si>
    <t>2-s2.0-0033621082</t>
  </si>
  <si>
    <t>['synthetic antenna', 'spatial undersampling', 'proposed method', 'aliased data', 'achieved via']</t>
  </si>
  <si>
    <t>Spatial undersampling | Synthetic aperture</t>
  </si>
  <si>
    <t>High resolution ultrasonic imaging may be achieved via the synthetic aperture focusing technique, provided that the synthetic antenna should be correctly spatially sampled. We show that a spatial undersampling is possible, using a digital spotlighting technique that permits to recover correct reconstructed images from the aliased data. The proposed method is applied to experimental ultrasonic data. ¬© 1999 IEEE.</t>
  </si>
  <si>
    <t>1309-1313</t>
  </si>
  <si>
    <t>IEEE Transactions on Image Processing</t>
  </si>
  <si>
    <t>60008134;60008134;60058068</t>
  </si>
  <si>
    <t>6602828038;6701381975;6701615889</t>
  </si>
  <si>
    <t>Rastello, Thierry;Vray, Didier;Chatillon, Jacques</t>
  </si>
  <si>
    <t>Villeurbanne;Paris</t>
  </si>
  <si>
    <t>CPE Lyon;CNRS Centre National de la Recherche Scientifique</t>
  </si>
  <si>
    <t>60058068;60008134</t>
  </si>
  <si>
    <t>Rastello T.</t>
  </si>
  <si>
    <t>Spatial undersampling for synthetic aperture ultrasonic imaging via digital spotlighting technique</t>
  </si>
  <si>
    <t>S1057714999068190</t>
  </si>
  <si>
    <t>10.1109/83.784445</t>
  </si>
  <si>
    <t>2-s2.0-0003087507</t>
  </si>
  <si>
    <t>['various aberrations', 'simple expressions', 'simple expression', 'result obtained', 'proposed method', 'polarization component', 'performance degradation', 'parabolic antennas', 'numerical examples', 'gain degradation', 'edge level', 'derived expression', 'arises due', 'aberration produced']</t>
  </si>
  <si>
    <t>In parabolic antennas with a defocused primary radiator, performance degradation, such as gain degradation and increased sidelobe levels, arises due to aberration in the aperture. In this paper, the aberration produced in the aperture is determined by beam mode expansion, and it is shown that various aberrations can be represented by simple expressions by considering the dominant beam mode. Using the derived expression for the aberrations, a formula for the beam deflection characteristics is derived for the co-polarization component by the aperture distribution method. A simple expression is derived for the gain degradation under the condition that F/D is large and the edge level is low. The result obtained by the proposed method is compared by numerical examples to that of the strict current distribution method, and the validity of the proposed method is demonstrated.</t>
  </si>
  <si>
    <t>57217478454;7403067757;7003628822;6701467402</t>
  </si>
  <si>
    <t>Miyahara, Norio;Makino, Shigeru;Urasaki, Shuji;Betsudan, Shin Ichi</t>
  </si>
  <si>
    <t>Miyahara N.</t>
  </si>
  <si>
    <t>Analysis of beam deflection characteristics of offset parabolic antennas by beam mode expansion</t>
  </si>
  <si>
    <t>10.1002/(SICI)1520-6424(199909)82:9&lt;39::AID-ECJA5&gt;3.0.CO;2-B</t>
  </si>
  <si>
    <t>2-s2.0-0032625965</t>
  </si>
  <si>
    <t>['unknown response', 'subarray consisting', 'order statistics', 'joint estimation', 'element array', 'computationally efficient', 'certain fashion', 'based method', 'arrival parameters', '3 elements']</t>
  </si>
  <si>
    <t>Antenna arrays | Cumulants | Direction of arrival estimation | Higher order statistics | Polarization | Short dipole</t>
  </si>
  <si>
    <t>A fourth-order statistics-based method is presented for joint estimation of polarization and direction of arrival parameters of as many as M - 1 narrowband signals with an M -element array having M - 3 elements that are of arbitrary and unknown response and geometry and a subarray consisting of three short dipole antennas configured in a certain fashion. The method is computationally efficient and offers considerable savings in hardware over a recently published second-order statistics-based method. ¬© 1999 IEEE.</t>
  </si>
  <si>
    <t>2589-2592</t>
  </si>
  <si>
    <t>100513476-60029311;100513476-60029311</t>
  </si>
  <si>
    <t>6603052081;7102747808</t>
  </si>
  <si>
    <t>G√≥nen, Egemen;Mendel, Jerry M.</t>
  </si>
  <si>
    <t>Los Angeles;San Jose</t>
  </si>
  <si>
    <t>University of Southern California;Globalstar L.P</t>
  </si>
  <si>
    <t>60029311;100513476</t>
  </si>
  <si>
    <t>G√≥nen E.</t>
  </si>
  <si>
    <t>Applications of cumulants to array processing-part VI: polarization and direction of arrival estimation with minimally constrained arrays</t>
  </si>
  <si>
    <t>S1053587X99067689</t>
  </si>
  <si>
    <t>10.1109/78.782216</t>
  </si>
  <si>
    <t>2-s2.0-0032642140</t>
  </si>
  <si>
    <t>['transmitting power', 'term fading', 'standard deviation', 'reverse link', 'process gain', 'path diversity', 'mobile station', 'microcellular ds', 'link capacity', 'evaluation method', 'derived based', 'combining space', 'antenna branches']</t>
  </si>
  <si>
    <t>A microcellular DS-CDMA radio link design methodology and an evaluation method are proposed in this paper. The normalized link capacity (link capacity/process gain) and maximum average transmitting power of a mobile station are analyzed for the reverse link in a wideband propagation environment. The bit error rate (BER) is derived for an exponential delay profile with the parameter of normalized transmission bandwidth (transmission bandwidth B √ó delay spread œÑs). The average interference noise power of the other users from their own cells and that from other cells are derived based on power control error and the standard deviation of short-term fading. From these results, we derive the normalized link capacity and the maximum average mobile station transmitting power. The transmitting power is reduced by more than 40% for BœÑs ‚â§ 2 by combining space and path diversity. The link capacity is proportional to the number of antenna branches.</t>
  </si>
  <si>
    <t>7103260019;35894987100</t>
  </si>
  <si>
    <t>Suwa, Keisuke;Kawasaki, Ryoji</t>
  </si>
  <si>
    <t>Suwa K.</t>
  </si>
  <si>
    <t>Radio link design and reverse link capacity on microcellular DS-CDMA wideband transmission systems</t>
  </si>
  <si>
    <t>10.1002/(SICI)1520-6424(199909)82:9&lt;51::AID-ECJA6&gt;3.0.CO;2-A</t>
  </si>
  <si>
    <t>2-s2.0-0032653475</t>
  </si>
  <si>
    <t>['type pager', 'slot antenna', 'radiation characteristics', 'positively utilize', 'peak gain', 'paper proposes', 'human body', 'highly affected', 'flat slot', 'flat shapes', 'body effect', 'also studied', '13 dbd']</t>
  </si>
  <si>
    <t>Recently, the downsizing of portable radio equipment has been progressing, and wristwatch portable radio equipment is now available. The antenna for such equipment is highly affected by the human body, but a slot antenna can positively utilize the body effect. This paper proposes a small slot antenna installed in the band of a wristwatch-type pager. The radiation characteristics were measured and calculated for cylindrical and flat shapes. The peak gain was -13 dBd for a cylindrical slot antenna (peak gain for a flat slot was -22 dBd). The effect of curvature of the cylindrical antenna element was also studied.</t>
  </si>
  <si>
    <t>60002787;60002787</t>
  </si>
  <si>
    <t>7202082502;55445582500</t>
  </si>
  <si>
    <t>Okano, Yoshinobu;Ito, Koichi</t>
  </si>
  <si>
    <t>Okano Y.</t>
  </si>
  <si>
    <t>Gain characteristics of a small slot antenna for wristwatch portable radio equipment</t>
  </si>
  <si>
    <t>10.1002/(SICI)1520-6424(199909)82:9&lt;30::AID-ECJA4&gt;3.0.CO;2-N</t>
  </si>
  <si>
    <t>2-s2.0-0032674723</t>
  </si>
  <si>
    <t>['separate operation', 'prepared arrays', 'neighbouring channels', 'modulation loop', 'layer washer', 'input coil', 'field sensitivity', 'field resolution', 'device array', 'current sensors', 'current resolution', 'chip configuration', 'build three', '5 %.', '1 hz', '1 depending']</t>
  </si>
  <si>
    <t>We have prepared arrays of single-layer washer-type dc superconducting quantum interference devices (SQUIDs) on 10 mm√ó10 mm bicrystal substrates. Each SQUID in the array is equipped with its own modulation loop, which makes a separate operation of them possible. Arrays containing nine or 11 dc SQUIDs have been tested and the crosstalk between neighbouring channels has been found to be 5%. The field sensitivity of the SQUIDs is 85 nT Œ¶0-1 and 105 nT Œ¶0-1 for the nine- and 11-device array, respectively. The equivalent flux noise is typically ‚â§20 ŒºŒ¶0 Hz-1/2 down to 1 Hz with ac bias reversal. A field resolution of less than 2.1 pT Hz-1/2 has been obtained for at least eight channels on a chip. By using multiturn YBa2Cu3O7-Œ¥ input coils and mounting them in a flip-chip configuration together with the single-layer dc SQUIDs we have been able to build three-channel current sensors. The current sensitivity equals 3-3.5 ŒºA Œ¶0-1 depending on the alignment of the flip-chip configuration. The current resolution of the devices is &lt;70 pA Hz-1/2. We show the possibility of building sensitive magnetometers by connecting the input coil of these current sensors to a normal-conducting pickup antenna.</t>
  </si>
  <si>
    <t>597-600</t>
  </si>
  <si>
    <t>Superconductor Science and Technology</t>
  </si>
  <si>
    <t>60074072;60074072;60074072;60074072;60074072;60074072;60074072;60074072</t>
  </si>
  <si>
    <t>8150022300;7004558260;6701542137;7004085770;7004334631;6601910219;57213460316;7404225970</t>
  </si>
  <si>
    <t>Ramos, J.;Zakosarenko, V.;Ijsselsteijn, R.;Stolz, R.;Schultze, V.;Chwala, A.;Hoenig, H. E.;Meyer, H. G.</t>
  </si>
  <si>
    <t>Jena</t>
  </si>
  <si>
    <t>Institut f√ºr Photonische Technologien</t>
  </si>
  <si>
    <t>Ramos J.</t>
  </si>
  <si>
    <t>YBa&lt;inf&gt;2&lt;/inf&gt;Cu&lt;inf&gt;3&lt;/inf&gt;O&lt;inf&gt;7-Œ¥&lt;/inf&gt; dc SQUID array for multichannel magnetometry and multichannel flip-chip current sensors</t>
  </si>
  <si>
    <t>10.1088/0953-2048/12/9/304</t>
  </si>
  <si>
    <t>2-s2.0-0032683569</t>
  </si>
  <si>
    <t>['various rooms', 'urban hospital', 'type cellphone', 'sufficiently separated', 'spectrum analyzer', 'special zones', 'special approval', 'space propagation', 'side operation', 'separation criteria', 'rf sources', 'repeatedly measured', 'practical utility', 'particular source', 'operating sources', 'medical devices', 'latter regions', 'ideal case', 'hospital corridors', 'gyprock rooms', 'ground sections', 'ground corridors', 'given immunities', 'fields due', 'electromagnetic interference', 'data obtained', 'corridors within', 'conservative management', 'block walls', 'block rooms', 'block construction', 'along corridors']</t>
  </si>
  <si>
    <t>Electromagnetic interference (EMI) from radiofrequency (RF) sources can cause medical device malfunction. It has been proposed that such EMI be minimized by only operating sources of given RF powers when sufficiently separated from medical devices of given immunities. Such minimum separation criteria are estimated assuming free-space propagation, which is only valid in the ideal case. Yet proposed medical device EMC standards will require that minimum separation criteria be listed in equipment manuals accompanying all new medical devices. It is essential that the practical utility of such minimum-separation criteria be evaluated. Fields due to an 800-MHz-type cellphone were measured in various rooms and corridors within an urban hospital, having both new (gyprock) and old (clay-block) wings. Data obtained from a calibrated antenna attached to a spectrum analyzer were repeatedly measured and averaged. Results were compared to those predicted by free-space propagation. Free-space predictions tended to overestimate measured fields in gyprock rooms and along corridors of both gyprock and clay-block construction. However, the free-space model tended to underestimate field levels predicted in clay-block rooms and in below-ground corridors. Usage of separation criteria to ensure EMC appeared useful in gyprock rooms and hospital corridors, but less so in rooms with clay-block walls or in below- ground sections of the hospital. This suggested that the latter regions should be considered as being special zones where side-by-side operation of RF sources and medical devices would require more conservative management (e.g., restriction or special approval of particular source or medical device).</t>
  </si>
  <si>
    <t>411-416</t>
  </si>
  <si>
    <t>Biomedical Instrumentation and Technology</t>
  </si>
  <si>
    <t>60018916;60002494-60018916;60002494</t>
  </si>
  <si>
    <t>55463193000;7102467618;6701902518</t>
  </si>
  <si>
    <t>Davis, Don;Segal, Bernard;Pavl√°sek, Tom√°≈°</t>
  </si>
  <si>
    <t>Montreal;Montreal</t>
  </si>
  <si>
    <t>Sir Mortimer B. Davis Jewish General Hospital;Universit√© McGill</t>
  </si>
  <si>
    <t>60018916;60002494</t>
  </si>
  <si>
    <t>Davis D.</t>
  </si>
  <si>
    <t>Can minimum separation criteria ensure electromagnetic compatibility in hospitals? An experimental study</t>
  </si>
  <si>
    <t>2-s2.0-0032831865</t>
  </si>
  <si>
    <t>Verband der Chemischen Industrie</t>
  </si>
  <si>
    <t>SFB 366</t>
  </si>
  <si>
    <t>VCI</t>
  </si>
  <si>
    <t>['unusual numbers', 'tumor suppression', 'sialic acids', 'rat liver', 'rat c', 'primary sequence', 'oligosaccharide structures', 'mainly bi', 'linkage seemed', 'intercellular adhesion', 'human counterpart', 'heterogeneous glycosylation', 'glycosylation sites', 'glycans results', 'fluorescently labeled', 'enzymatically released', 'enzymatic sequencing', 'dimensional hplc', 'cam immunopurified', 'biliary glycoprotein', 'approximately 20']</t>
  </si>
  <si>
    <t>C-CAM | Carcinoembryonic antigen | Glycoprotein | N-glycan structure | Sialylation</t>
  </si>
  <si>
    <t>Rat C-CAM is a ubiquitous, transmembrane and carcinoembryonic antigen related cell adhesion molecule. The human counterpart is known as biliary glycoprotein (BGP) or CD66a. It is involved in different cellular functions ranging from intercellular adhesion, microbial receptor activity, signaling and tumor suppression. In the present study N-glycosylation of C-CAM immunopurified from rat liver was analyzed in detail. The primary sequence of rat C-CAM contains 15 potential N-glycosylation sites. The N-glycans were enzymatically released from glycopeptides, fluorescently labeled with 2-aminobenzamide, and separated by two-dimensional HPLC. Oligosaccharide structures were characterized by enzymatic sequencing and MALDI-TOF-MS. Mainly bi- and triantennary complex structures were identified. The presence of type I and type II chains in the antennae of these glycans results in heterogeneous glycosylation of C-CAM. Sialylation of the sugars was found to be unusual; bi- and triantennary glycans contained three and four sialic acid residues, respectively, and this linkage seemed to be restricted to the type I chain in the antennae. Approximately 20% of the detected sugars contain these unusual numbers of sialic acids. C-CAM is the first transmembrane protein found to be oversialylated.</t>
  </si>
  <si>
    <t>897-906</t>
  </si>
  <si>
    <t>60030718;60030718;60030718;60030718;60030718</t>
  </si>
  <si>
    <t>6602824090;6603829032;6701849142;16496819300;36978124700</t>
  </si>
  <si>
    <t>Kannicht, Christoph;Lucka, Lothar;Nuck, Rolf;Reutter, Werner;Gohlke, Martin</t>
  </si>
  <si>
    <t>Kannicht C.</t>
  </si>
  <si>
    <t>N-glycosylation of the carcinoembryonic antigen related cell adhesion molecule, C-CAM, from rat liver: Detection of oversialylated bi- and triantennary structures</t>
  </si>
  <si>
    <t>10.1093/glycob/9.9.897</t>
  </si>
  <si>
    <t>2-s2.0-0032859957</t>
  </si>
  <si>
    <t>['zoo veterinarians', 'researchers using', 'percutaneous antenna', 'mortality associated', 'low levels', 'level lower', 'implanted radios', 'harlequin ducks', 'essential tool', 'elevated platform', 'doppler ultrasound', 'copyright 1999', 'body temperature', 'attachment methods', 'anesthetic technique', 'anesthetic recovery', 'american association', 'abdominal implantation', '307 radio']</t>
  </si>
  <si>
    <t>Anesthesia | Harlequin duck | Histrionicus histrionicus | Radiotelemetry | Transmitters</t>
  </si>
  <si>
    <t>Radiotelemetry is an essential tool in the study of free-ranging bird populations, and a variety of transmitter-attachment methods have been developed. A promising new method is abdominal implantation of a transmitter with a percutaneous antenna. Researchers using this technique should be concerned about and aware of mortality during surgery and during the immediate postrelease period (the 14-day period following surgery). Of 307 radio-implant surgeries performed between 1995 and 1997 in harlequin ducks (Histrionicus histrionicus), 7 (2.3%) deaths were documented during surgery or anesthetic recovery. Of 295 birds released with implanted radios, 10 (3.4%) died during the immediate postrelease period. Modifications to anesthetic procedures used in the 204 surgeries performed in 1996 and 1997 reduced mortality to 1.5% during surgery and 1.5% during the immediate postrelease period. Anesthetic modifications included intubation of all birds, placement of birds on an elevated platform that allowed the head to rest at a level lower than the body during surgery, placement of a heated water blanket under the birds during surgery, monitoring of body temperature, and use of electrocardiogram and Doppler ultrasound to monitor heart rates and arrhythmias. Low levels of mortality associated with abdominal implantation of radio transmitters may be unavoidable, but mortality can be minimized with adjustments to anesthetic technique. Copyright 1999 by American Association of Zoo Veterinarians.</t>
  </si>
  <si>
    <t>397-401</t>
  </si>
  <si>
    <t>Journal of Zoo and Wildlife Medicine</t>
  </si>
  <si>
    <t>60011347;60011347</t>
  </si>
  <si>
    <t>7103157866;7003297918</t>
  </si>
  <si>
    <t>Mulcahy, Daniel M.;Esler, Daniel</t>
  </si>
  <si>
    <t>Reston</t>
  </si>
  <si>
    <t>United States Geological Survey</t>
  </si>
  <si>
    <t>Mulcahy D.</t>
  </si>
  <si>
    <t>Surgical and immediate postrelease mortality of harlequin ducks (Histrionicus histrionicus) implanted with abdominal radio transmitters with percutaneous antennae</t>
  </si>
  <si>
    <t>2-s2.0-0033183170</t>
  </si>
  <si>
    <t>['selectivity parameters', 'receiving height', 'propagation models', 'propagation channel', 'path loss', 'flexible deployment', 'experimental setting', 'competitive context', '5 ghz', '2 ghz']</t>
  </si>
  <si>
    <t>Within a competitive context the wireless local loop is emerging as an alternative to the traditional wireline network. This solution is attractive because of its low capital cost and its flexible deployment. Nevertheless a propagation channel study has to be performed so as to develop specific engineering tools and propagation models. This paper presents wideband propagation measurement results carried out in Mulhouse in a small cell environment at 2.2 GHz and 3.5 GHz. Under different propagation scenarios, the propagation channel is characterized in terms of path loss and wideband selectivity parameters. Because of the experimental setting, the influence of the receiving height, the frequency and the receiving antenna pattern on the deviations of the path loss and the selectivity parameters have been investigated.</t>
  </si>
  <si>
    <t>464-478</t>
  </si>
  <si>
    <t>60104081;60104081</t>
  </si>
  <si>
    <t>6602918355;15128095600</t>
  </si>
  <si>
    <t>Siaud, Isabelle;Morin, Bertrand</t>
  </si>
  <si>
    <t>Issy-les-Moulineaux</t>
  </si>
  <si>
    <t>Orange Labs</t>
  </si>
  <si>
    <t>Siaud I.</t>
  </si>
  <si>
    <t>Investigations on radio propagation channel measurements at 2.2 GHz and 3.5 GHz for the fixed wireless access in an urban area</t>
  </si>
  <si>
    <t>2-s2.0-0033184758</t>
  </si>
  <si>
    <t>['terminal sequencing', 'specifically expressed', 'social insect', 'recombinant asp1', 'pichia pastoris', 'physiological role', 'pheromone detection', 'pheromone binding', 'perireceptor events', 'olfactory neurons', 'nondenaturing electrophoresis', 'native protein', 'might play', 'mate attraction', 'mass spectrometry', 'least one', 'functional maturation', 'first time', 'exact characteristics', 'divergent member', 'crucial role', 'colony organization', 'cdna cloning', 'called asp2', 'binding proteins', 'asp1 interacts', 'asp1 ),', '2 weeks']</t>
  </si>
  <si>
    <t>Antenna | Binding protein | Honeybee | Olfaction | Pichia pastoris expression | Queen pheromone | Sensilla</t>
  </si>
  <si>
    <t>Odorant-binding proteins (OBPs) are small abundant extracellular proteins thought to participate in perireceptor events of odor-pheromone detection by carrying, deactivating, and/or selecting odor stimuli. The honeybee queen pheromone is known to play a crucial role in colony organization, in addition to drone sex attraction. We identified, for the first time in a social insect, a binding protein called antennal-specific protein 1 (ASP1), which binds at least one of the major queen pheromone components. ASP1 was characterized by cDNA cloning, expression in Pichia pastoris, and pheromone binding, in situ hybridization showed that it is specifically expressed in the auxiliary cell layer of the antennal olfactory sensilla. The ASP1 sequence revealed it as a divergent member of the insect OBP family. The recombinant protein presented the exact characteristics of the native protein, as shown by mass spectrometry, and N-terminal sequencing and exclusion-diffusion chromatography showed that recombinant ASP1 is dimeric. ASP1 interacts with queen pheromone major components, opposite to another putative honeybee OBP, called ASP2. ASP1 biosynthetic accumulation, followed by nondenaturing electrophoresis during development, starts at day I before emergence, in concomitance with the functional maturation of olfactory neurons. The isobar ASP1b isoform appears simultaneously to ASP1a in workers, but only at ~2 weeks after emergence in drones. Comparison of in vivo and heterologous expressions suggests that the difference between ASP1 isoforms might be because of dimerization, which might play a physiological role in relation with mate attraction.</t>
  </si>
  <si>
    <t>7468-7475</t>
  </si>
  <si>
    <t>60008134;60111811;60008134;60111811;60008134;60111811;60008134;60111811;60111811;60008134;60111811</t>
  </si>
  <si>
    <t>6602943948;7006613081;6507916595;7102790277;7202727363;6508062032;57197373663;57195567451;6505977193;7202664000;7005103856</t>
  </si>
  <si>
    <t>Danty, Emmanuelle;Briand, Lo√Øc;Michard-Vanh√©e, Christine;Perez, Val√©rie;Arnold, G√©rard;Gaudemer, Odile;Huet, Dominique;Huet, Jean Claude;Ouali, Christian;Masson, Claudine;Pernollet, Jean Claude</t>
  </si>
  <si>
    <t>Jouy-en-Josas;Paris</t>
  </si>
  <si>
    <t>Centre de Recherche INRAE √éle-de-France - Jouy-en-Josas - Antony;CNRS Centre National de la Recherche Scientifique</t>
  </si>
  <si>
    <t>60111811;60008134</t>
  </si>
  <si>
    <t>Danty E.</t>
  </si>
  <si>
    <t>Cloning and expression of a queen pheromone-binding protein in the honeybee: An olfactory-specific, developmentally regulated protein</t>
  </si>
  <si>
    <t>10.1523/jneurosci.19-17-07468.1999</t>
  </si>
  <si>
    <t>2-s2.0-0033198221</t>
  </si>
  <si>
    <t>['strength tests', 'practical example', 'piezoelectric antenna', 'calculation method', 'arbitrary shape', 'analytical method', '154b aircraft']</t>
  </si>
  <si>
    <t>We consider an analytical method for calculating the coordinates of an acoustic emission source using a piezoelectric antenna of arbitrary shape. We present the basic computational relationships. As a practical example of the use of this calculation method, we give the results of strength tests for the fulcrum of the nose landing gear of the Tu-154B aircraft.</t>
  </si>
  <si>
    <t>682-688</t>
  </si>
  <si>
    <t>7102960194;7103276882;7004139366</t>
  </si>
  <si>
    <t>Stepanova, L. N.;Lebedev, E. Yu;Kabanov, S. I.</t>
  </si>
  <si>
    <t>Stepanova L.</t>
  </si>
  <si>
    <t>Localization of acoustic emission signals in strength testing of engineered structures using a piezoelectric antenna of arbitrary shape</t>
  </si>
  <si>
    <t>2-s2.0-0033235750</t>
  </si>
  <si>
    <t>610-614</t>
  </si>
  <si>
    <t>60029225;60029225;60109573</t>
  </si>
  <si>
    <t>55943071100;7006220090;7101834392</t>
  </si>
  <si>
    <t>Kravchenko, V. F.;Pustovoit, V. I.;Timoshenko, V. V.</t>
  </si>
  <si>
    <t>Scientific and Technological Centre of Unique Instrumentation of the Russian Academy of Sciences;Kotelnikov Institute of Radioengineering and Electronics (IRE) of Russian Academy of Sciences</t>
  </si>
  <si>
    <t>60109573;60029225</t>
  </si>
  <si>
    <t>Kravchenko V.</t>
  </si>
  <si>
    <t>Spectral characteristics of atomic functions and approximation of directivity patterns for linear antennas</t>
  </si>
  <si>
    <t>2-s2.0-0033245728</t>
  </si>
  <si>
    <t>['wavelength properties', 'simple diagram', 'sidetap filters', 'results show', 'peak wavelength', 'peak attenuation', 'matching condition', 'longitudinal variation', 'index modulation', 'incident field', 'good agreement', 'fraunhofer diffraction', 'first time', 'filter sidelobes', 'filter length', 'filter bandwidth', 'filter attenuation', 'fiber core', 'experimental results', 'cause asymmetry', 'attenuation spectrum', 'attenuation increases', 'antenna theory']</t>
  </si>
  <si>
    <t>This paper presents theoretical and experimental results on the wavelength properties of sidetap grating filters written in single-mode optical fibers. A simple theoretical model based on Fraunhofer diffraction and antenna theory is used, modified to take into account the longitudinal variation of the incident field. Expressions are derived for the filter attenuation and bandwidth, and good agreement is demonstrated with experiment. The results show that the shape of the attenuation spectrum does not change with the filter length or index modulation, but that the magnitude of the attenuation increases with both parameters. The results also show that the effect of decreasing the fiber core-cladding index difference is to increase the peak attenuation and reduce the filter bandwidth. The existence of a strict longitudinal phase-matching condition is shown to cause asymmetry in the shape of the spectrum. Comparison with the properties of bulk sidetap gratings shows there to be a shift in the peak wavelength and apodization of the filter sidelobes. A simple diagram for the design of sidetap filters is presented for the first time.</t>
  </si>
  <si>
    <t>1353-1365</t>
  </si>
  <si>
    <t>1077260X</t>
  </si>
  <si>
    <t>IEEE Journal on Selected Topics in Quantum Electronics</t>
  </si>
  <si>
    <t>60011520;60014174;60014174</t>
  </si>
  <si>
    <t>7202025768;57225396526;35374952200</t>
  </si>
  <si>
    <t>Holmes, Melanie J.;Kashyap, Raman;Wyatt, Richard</t>
  </si>
  <si>
    <t>Ipswich;London</t>
  </si>
  <si>
    <t>British Telecom Research Lab;King's College London</t>
  </si>
  <si>
    <t>60014174;60011520</t>
  </si>
  <si>
    <t>Holmes M.J.</t>
  </si>
  <si>
    <t>Physical properties of optical fiber sidetap grating filters: Free-space model</t>
  </si>
  <si>
    <t>10.1109/2944.806761</t>
  </si>
  <si>
    <t>2-s2.0-0033326325</t>
  </si>
  <si>
    <t>['result implied', 'quartz wall', 'important part', 'important factor', 'icp production', 'edge level', 'discharge power', 'deeper region', 'closely related', 'antenna bottom']</t>
  </si>
  <si>
    <t>In order to study the plasma production mechanism, the profiles of the inductive electromotive forces (IEMF) penetrated in the inductively coupled plasma (ICP) are discussed. Magnetic probe measurements were performed in the high dense argon ICP using different types of antenna. The IEMF is an important factor to heat the electrons in the ICP production and is closely related to the ICP production efficiency. The edge type antenna gave the deep IEMF penetration, which showed a high plasma production efficiency at the same discharge power. The deep IEMF penetration could introduce the energy in the deeper region of the plasma and contributed to the efficient ICP production due to the suppression of the heated electron extinction at the quartz wall. The 100 mm wide antenna showed that the IEMF attenuation coefficient at the antenna center level was higher than that at the antenna bottom-edge level, and it was the same as the IEMF attenuation coefficient of the edge type antenna. This result implied that the antenna bottom-edges were an important part of the ICP production.</t>
  </si>
  <si>
    <t>139-144</t>
  </si>
  <si>
    <t>Research Reports on Information Science and Electrical Engineering of Kyushu University</t>
  </si>
  <si>
    <t>57208363785;7004209225;7102007564</t>
  </si>
  <si>
    <t>Takagi, Ken Ichi;Iwatani, Kazuki;Kuroki, Yukinori</t>
  </si>
  <si>
    <t>Takagi K.</t>
  </si>
  <si>
    <t>Study of ICP production mechanism by an alternative magnetic field measurement</t>
  </si>
  <si>
    <t>2-s2.0-0033335715</t>
  </si>
  <si>
    <t>['wanted path', 'tropical paths', 'transmission loss', 'results show', 'parameter gives', 'paper presents', 'many factors', 'joint occurrence', 'intersystem interference', 'intersecting paths', 'interfering station', 'interference due', 'interfered terminal', 'interfered station', 'ice region', 'hydrometeor scatter', 'frequencies higher', 'cumulative distribution', 'common volume', 'better assessment', 'antenna gain', 'antenna beams', '30 ghz', '20 ghz', '100 km', '10 ghz']</t>
  </si>
  <si>
    <t>Evaluation of bistatic transmission loss cumulative distribution is very useful in assessing the effect of interference due to hydrometeor scatter between the communication links operating at the same frequency. Out of the many factors that could be responsible for the intersystem interference between the microwave communication systems, this paper presents the result of computation of intersystem interference resulting from the hydrometeor scatter on tropical paths. Interference is computed in terms of the cumulative distribution of transmission loss. The effect of varying common volume formed by the intersection of the antenna beams on the transmission loss is investigated. Results show that at frequencies higher than 10 GHz, for antenna separation longer than 100 km, common volume will be in the ice region, leading to a higher interference level at the interfered terminal. Also, results obtained show that because total path attenuation at 30 GHz is lower than at 20 GHz (this is due to the decrease in water vapour attenuation in the 22¬∑2-30 GHz window), transmission loss tends to be higher at 20 GHz than at 30 GHz. In addition, increasing the antenna gain of the interfering station will result in the increasing interference level at the interfered station. Evaluation of the effective transmission loss shows that this parameter gives a better assessment of interference on the tropical propagation paths noted for high-intensity convective precipitation. In this case, the effective transmission loss has been evaluated in terms of the joint occurrence of additional rain attenuation on the wanted path, and the cumulative distribution of transmission loss on the intersecting paths.</t>
  </si>
  <si>
    <t>339-356</t>
  </si>
  <si>
    <t>60023571;60023571;60011031-60031745</t>
  </si>
  <si>
    <t>35608308400;6507828358;7004677965</t>
  </si>
  <si>
    <t>Ajewole, M. O.;Kolawole, L. B.;Ajayi, G. O.</t>
  </si>
  <si>
    <t>Italy;Nigeria;Nigeria</t>
  </si>
  <si>
    <t>Trieste;Akure;Ife</t>
  </si>
  <si>
    <t>Abdus Salam International Centre for Theoretical Physics;Federal University of Technology, Akure;Obafemi Awolowo University</t>
  </si>
  <si>
    <t>60031745;60023571;60011031</t>
  </si>
  <si>
    <t>Ajewole M.</t>
  </si>
  <si>
    <t>Evaluation of bistatic intersystem interference due to scattering by hydrometeors on tropical paths</t>
  </si>
  <si>
    <t>10.1002/(SICI)1099-1247(199909/10)17:5&lt;339::AID-SAT643&gt;3.0.CO;2-A</t>
  </si>
  <si>
    <t>2-s2.0-0033360659</t>
  </si>
  <si>
    <t>['two complex', 'size system', 'reflector configuration', 'engineering required', 'bandwidth performance']</t>
  </si>
  <si>
    <t>To improve both the sensitivity and bandwidth performance of the Nancay radio telescope, the existing Hoghorn feeds are to be replaced by a dual-reflector feed system originally designed and tested on a 1/20th scale model at CSIRO. The full-size system has now been completed and we describe here the engineering required to implement it. We give an overview of the design, manufacture and results from the testing of the various components comprising two compact corrugated horns and their associated orthomode transducers and two complex-shaped reflectors forming the dual-reflector configuration.</t>
  </si>
  <si>
    <t>111-121</t>
  </si>
  <si>
    <t>Journal of Electrical and Electronics Engineering, Australia</t>
  </si>
  <si>
    <t>7003474509;7201399131;6507490194</t>
  </si>
  <si>
    <t>Granet, C.;James, G. L.;Pezzani, J.</t>
  </si>
  <si>
    <t>Granet C.</t>
  </si>
  <si>
    <t>Full-size dual-reflector feed system for the Nancay radio telescope</t>
  </si>
  <si>
    <t>2-s2.0-0033362694</t>
  </si>
  <si>
    <t>['user burst', 'two passes', 'synchronization algorithm', 'subspace spanned', 'square error', 'signals impinging', 'second pass', 'resulting weights', 'remaining portions', 'performance analytically', 'intersymbol interference', 'form expressions', 'division multiple', 'direction vectors', 'direction vector', 'current signal', 'corresponding interferers', 'cochannel scenario', 'cochannel interferers', 'beamforming algorithm', 'beamformer weights', 'antenna array']</t>
  </si>
  <si>
    <t>In this paper, we describe an adaptive subspace method for separating cochannel time-division multiple-access (TDMA) signals impinging on an antenna array and evaluate its performance analytically. A frame-synchronization algorithm is employed to identify the cochannel scenario and is followed by a beamforming algorithm that processes the data in two passes. Each beamformer weight vector computed in the first pass lies in a subspace that contains the direction vector of the current signal of interest and is orthogonal to the subspace spanned by the direction vectors of the corresponding interferers. The resulting weights are used to beamform a portion of each user burst. In the second pass, the first-pass weight vectors are modified by projecting them onto an appropriate subspace determined by the cochannel interferers. These weights are used to beamform the remaining portions of each user burst. A linear equalizer compensates for the intersymbol interference before detection. In the analysis, closed-form expressions are derived for the beamformer weights and the mean-square error in terms of the signal direction vectors. ¬© 1999 IEEE.</t>
  </si>
  <si>
    <t>60029241;60029241</t>
  </si>
  <si>
    <t>7006808986;7005641508</t>
  </si>
  <si>
    <t>Chandrasekaran, Rajiv;Shynk, John J.</t>
  </si>
  <si>
    <t>Santa Barbara</t>
  </si>
  <si>
    <t>University of California, Santa Barbara</t>
  </si>
  <si>
    <t>Chandrasekaran R.</t>
  </si>
  <si>
    <t>A subspace algorithm for cochannel signal separation in short-burst wireless communications</t>
  </si>
  <si>
    <t>S1053587X99064363</t>
  </si>
  <si>
    <t>2-s2.0-33747802761</t>
  </si>
  <si>
    <t>96-02-19462</t>
  </si>
  <si>
    <t>['reflector antenna', 'pulsed fields', 'planar aperture', 'near zone', 'field components', 'dipole feed', 'briefly discussed']</t>
  </si>
  <si>
    <t>We propose a technique for calculation of the pulsed transient field of a parabolic-reflector antenna with a dipole feed. The expressions for electric-field components in the near zone of the antenna are presented. The difference between pulsed fields of a reflector antenna and a planar aperture is briefly discussed.</t>
  </si>
  <si>
    <t>780-786</t>
  </si>
  <si>
    <t>60008673;60011774</t>
  </si>
  <si>
    <t>Skulkin, S. P.;Turchin, V. I.</t>
  </si>
  <si>
    <t>Nizhny Novgorod;Nizhny Novgorod</t>
  </si>
  <si>
    <t>Institute of Applied Physics of the Russian Academy of Sciences;Lobachevsky State University of Nizhni Novgorod</t>
  </si>
  <si>
    <t>60011774;60008673</t>
  </si>
  <si>
    <t>Skulkin S.P.</t>
  </si>
  <si>
    <t>Pulsed transient fields of a reflector antenna in the near zone</t>
  </si>
  <si>
    <t>10.1007/BF02676864</t>
  </si>
  <si>
    <t>2-s2.0-62249208159</t>
  </si>
  <si>
    <t>97-0--8.1-27</t>
  </si>
  <si>
    <t>['wavelike stratification', 'usually reduced', 'tikhonov principle', 'suggest methods', 'refraction index', 'problems based', 'posed problems', 'ozone content', 'numerical simulations', 'microwave sounding', 'measured value', 'limb refractometry', 'inverse problems', 'inverse problem', 'generalized residual', 'fixed direction', 'finite width', 'concerns cases', 'antenna pattern']</t>
  </si>
  <si>
    <t>We consider inverse problems of limb refractometry and microwave sounding. Such problems are usually reduced to Abel-type integral equations and solved by virtue of the known inverse transform. However, this method does not yield a solution for some formulations of the problem. In particular, this concerns cases where the measured value is known at only a fraction of the impact height range in which the solution is searched for. In refractometry, this situation is inevitable if a wavelike stratification of the atmosphere takes place. Other examples of ill-posed problems are the inverse problem of limb microwave sounding with account of the finite width of the antenna pattern and the problem of reconstruction of a gas component profile along a fixed direction from the thermal radiation spectrum. We suggest methods of solution for such problems based on the Tikhonov principle of generalized residual. Numerical simulations of height profile reconstruction are presented for the refraction index and ozone content in inverse problems of refractometry and microwave sounding, respectively.</t>
  </si>
  <si>
    <t>753-763</t>
  </si>
  <si>
    <t>7003967651;8308388800</t>
  </si>
  <si>
    <t>Gaikovich, K. P.;Chernyaeva, M. B.</t>
  </si>
  <si>
    <t>Gaikovich K.</t>
  </si>
  <si>
    <t>Ill-posed inverse problems of the limb remote sounding of the atmosphere</t>
  </si>
  <si>
    <t>10.1007/BF02676861</t>
  </si>
  <si>
    <t>2-s2.0-85050525905</t>
  </si>
  <si>
    <t>['two problems', 'successive solution', 'solved numerically', 'second kinds', 'reflector antenna', 'radome system', 'optics approximation', 'obtained esas', 'numerically calculate', 'iterative procedure', 'iterative approach', 'general problem', 'exact calculation', 'diffraction problem', 'dielectric radome', 'cylindrical radome', 'calculations based']</t>
  </si>
  <si>
    <t>We propose a technique for exact calculation of the effective scattering area (ESA) of a two-dimensional, parabolic-reflector antenna with a dielectric radome. This technique is based on an iterative approach in which the general problem is reduced to a successive solution of the diffraction problem for separately the antenna and its radome. These two problems are formulated in terms of Fredholm integral equations of the first and second kinds, and are solved numerically. Convergence of the iterative procedure is studied. We numerically calculate the ESA of an antenna having a cylindrical radome and fed from an open-ended planar waveguide. The obtained ESAs of the antenna and the antenna-radome system are compared with the results of calculations based on the physical-optics approximation.</t>
  </si>
  <si>
    <t>773-779</t>
  </si>
  <si>
    <t>120999632;120999632;120999632</t>
  </si>
  <si>
    <t>57197938040;6508149869;6504233407</t>
  </si>
  <si>
    <t>Mikhailov, G. D.;Kutishchev, S. N.;Kiryanov, O. E.</t>
  </si>
  <si>
    <t>Voronezh</t>
  </si>
  <si>
    <t>The 5th Central Research and Test Institute of the Ministry of Defense of the Russian Federation</t>
  </si>
  <si>
    <t>Mikhailov G.</t>
  </si>
  <si>
    <t>Effective scattering area of a reflector antenna with a dielectric radome</t>
  </si>
  <si>
    <t>10.1007/BF02676863</t>
  </si>
  <si>
    <t>2-s2.0-85050531208</t>
  </si>
  <si>
    <t>['v ).', 'two types', 'time course', 'supramolecular structures', 'scattering measurements', 'resonance raman', 'regular solution', 'phase separation', 'one mentioned', 'epimeric mixtures', 'epimer pair', 'dynamic light', 'disaggregation behavior', 'colloidal particle', 'bacteriochlorophylls c', 'assembles simultaneously', 'also discussed', 'aggregation behaviors', 'aggregated states', 'aggregate structures', 'aggregate colloid', '750 nm', '700 nm']</t>
  </si>
  <si>
    <t>The aggregation behaviors of mixtures of chlorophylls (Chl) a and a‚Ä≤, the C132-(R) and -(S) epimers, were examined in 2-propanol/water = 26/74 (v/v). In the aggregated states, the epimeric mixtures of Chl a/a‚Ä≤ at molar ratios ranging from 70:30 to 30:70 gave two distinct Qy absorption bands (at ca. 700 and 750 nm) characteristic of the aggregate colloid of each epimer. On the other hand, a single 750 nm (700 nm) band was observed in the range of the epimeric composition ranges outside the one mentioned above. The time course of the aggregation, disaggregation behavior, filtrations of the colloidal solutions combined with dynamic light-scattering measurements, and fluorescence, resonance Raman, and circular dichroism spectroscopies demonstrated the coexistence of two types of aggregate structures in each colloidal particle. This is the first report suggesting that an epimer pair of chlorophyllous pigments self-assembles simultaneously through limited diastereoselective separation. The phenomenon was rationalized in terms of the phase separation of a regular solution. The diastereocontrol in the self-assembly of other type Chl diastereomers, bacteriochlorophylls c, d, and e possessing chirality at the C31-position, was also discussed in relation to supramolecular structures of the self-aggregates in antenna of green photosynthetic bacteria. ¬© 1999 American Chemical Society.</t>
  </si>
  <si>
    <t>7398-7405</t>
  </si>
  <si>
    <t>60180342;60105159-60010742;60105159;60180342</t>
  </si>
  <si>
    <t>7401781486;7102898528;7006346090;8609482600</t>
  </si>
  <si>
    <t>Furukawa, Hiroyasu;Oba, Toru;Tamiaki, Hitoshi;Watanabe, Tadashi</t>
  </si>
  <si>
    <t>Tokyo;Kusatsu;Utsunomiya</t>
  </si>
  <si>
    <t>Institute of Industrial Science;Ritsumeikan University Biwako-Kusatsu Campus;Utsunomiya University</t>
  </si>
  <si>
    <t>60180342;60105159;60010742</t>
  </si>
  <si>
    <t>Furukawa H.</t>
  </si>
  <si>
    <t>Diastereoselectiye self-assemblies of chlorophylls a and a‚Ä≤</t>
  </si>
  <si>
    <t>2-s2.0-0001680603</t>
  </si>
  <si>
    <t>['single layer', 'medium sized', 'gain bandwidth', 'ehf band']</t>
  </si>
  <si>
    <t>A single layer, medium sized, microstrip patch array for wide bandwidth operation at EHF band has been realised which is suitable as a medium gain terrestrial wireless subscriber antenna. The gain bandwidth is greater than that of a previous design due to the introduction of a 180¬∞ delay line.</t>
  </si>
  <si>
    <t>1499-1501</t>
  </si>
  <si>
    <t>7403494038;8092251400</t>
  </si>
  <si>
    <t>Gray, D. P.;Shafai, L.</t>
  </si>
  <si>
    <t>Gray D.</t>
  </si>
  <si>
    <t>Effect of 180¬∞ delay line on 16 √ó 16 EHF microstrip array</t>
  </si>
  <si>
    <t>10.1049/el:19991048</t>
  </si>
  <si>
    <t>2-s2.0-0033362132</t>
  </si>
  <si>
    <t>['two patches', 'radiating edges', 'one patch', 'dual frequency', 'copper strip', 'broadband operation']</t>
  </si>
  <si>
    <t>Hybrid-coupled (both gap and direct) shorted rectangular microstrip antennas have been investigated. Only one patch is fed and the other patch is parasitically coupled along the radiating and the non-radiating edges, respectively. Dual frequency and broadband operation has been obtained by optimising the coupling between the two patches through a copper strip.</t>
  </si>
  <si>
    <t>1501-1502</t>
  </si>
  <si>
    <t>7102877308;7202418704</t>
  </si>
  <si>
    <t>Kapur, R.;Kumar, G.</t>
  </si>
  <si>
    <t>Kapur R.</t>
  </si>
  <si>
    <t>Hybrid-coupled shorted rectangular microstrip antennas</t>
  </si>
  <si>
    <t>10.1049/el:19991097</t>
  </si>
  <si>
    <t>2-s2.0-0033363112</t>
  </si>
  <si>
    <t>['space technique', 'new high', 'frequency free', 'field backscattered', 'dielectric layer', 'complex permittivity']</t>
  </si>
  <si>
    <t>Explicit physical optics expressions for a field backscattered by triangular trihedral corners having one internal face coated with a dielectric layer are derived and applied to develop a new high-frequency free-space technique for determining the complex permittivity of dielectrics.</t>
  </si>
  <si>
    <t>361-367</t>
  </si>
  <si>
    <t>126744016;60007061;126744016;60007061;60007061</t>
  </si>
  <si>
    <t>7006318221;57206755151;7102694227;7003785247;57194244447</t>
  </si>
  <si>
    <t>Corona, P.;D'Agostino, F.;Ferrara, G.;Gennarelli, C.;Riccio, G.</t>
  </si>
  <si>
    <t>Salerno;Naples</t>
  </si>
  <si>
    <t>Universit√† degli Studi di Salerno;Ist. Teoria Tec. Onde E.</t>
  </si>
  <si>
    <t>60007061;126744016</t>
  </si>
  <si>
    <t>Corona P.</t>
  </si>
  <si>
    <t>Backscattering by dielectric-loaded trihedral corners and application to permittivity measurements</t>
  </si>
  <si>
    <t>10.1002/(SICI)1098-2760(19990905)22:5&lt;361::AID-MOP20&gt;3.0.CO;2-C</t>
  </si>
  <si>
    <t>2-s2.0-0033527099</t>
  </si>
  <si>
    <t>['two gap', 'six times', 'proposed antenna', 'new design', 'experimentally studied', 'experimental results', 'compact configuration', 'broadband performance']</t>
  </si>
  <si>
    <t>A new design of a rectangular microstrip antenna with a directly coupled patch and two gap-coupled parasitic patches for achieving broadband operation is proposed and experimentally studied. The proposed broadband antenna has a compact configuration such that the required realty space for implementing the antenna is minimized. Experimental results show that the proposed antenna can have an antenna bandwidth greater than six times that of a single rectangular microstrip antenna. Details of the proposed antenna are described, and experimental results of the broadband performance are presented and discussed.</t>
  </si>
  <si>
    <t>348-349</t>
  </si>
  <si>
    <t>7501662373;35460663000</t>
  </si>
  <si>
    <t>Wu, Chun Kun;Wong, Kin Lu</t>
  </si>
  <si>
    <t>Wu C.</t>
  </si>
  <si>
    <t>Broadband microstrip antenna with directly coupled and parasitic patches</t>
  </si>
  <si>
    <t>10.1002/(SICI)1098-2760(19990905)22:5&lt;348::AID-MOP16&gt;3.0.CO;2-V</t>
  </si>
  <si>
    <t>2-s2.0-0033527104</t>
  </si>
  <si>
    <t>['small antennas', 'rf absorbers', 'radiation characteristics', 'considerable effect', 'absorbers placed', '8 ghz', '100 mm']</t>
  </si>
  <si>
    <t>The influence of RF absorbers in the vicinity of small antennas was investigated. Absorbers placed more than 100 mm from an antenna have no considerable effect on its radiation characteristics at 1.8 GHz. Results were confirmed by measurements and simulations, indicating the possibility of using small anechoic chambers for small antenna measurements.</t>
  </si>
  <si>
    <t>328-330</t>
  </si>
  <si>
    <t>Effect of RF absorbers in the vicinity of small antennas</t>
  </si>
  <si>
    <t>10.1002/(SICI)1098-2760(19990905)22:5&lt;328::AID-MOP11&gt;3.0.CO;2-F</t>
  </si>
  <si>
    <t>2-s2.0-0033527105</t>
  </si>
  <si>
    <t>['wavelength comparable', 'underground cavity', 'medium parameters', 'measurement distance', 'lossy medium', 'forward region', 'field points', 'diffraction pattern']</t>
  </si>
  <si>
    <t>The diffraction pattern of the total field scattered by a cylindrical cavity excited by the electric line source in a lossy medium is analyzed in the forward region for a wavelength comparable to the radius of the cavity. It is shown hat double nulls and strong double dips, which may be useful in identifying the underground cavity, exist in the forward diffraction pattern, and their dependences on the position of the source and the field points and the medium parameters are analyzed by using the forward scattering width normalized by the measurement distance.</t>
  </si>
  <si>
    <t>335-340</t>
  </si>
  <si>
    <t>60028270;60032144</t>
  </si>
  <si>
    <t>35226403700;7006884400</t>
  </si>
  <si>
    <t>Kang, Jin Seob;Ra, Jung Woong</t>
  </si>
  <si>
    <t>Daejeon;Yusong</t>
  </si>
  <si>
    <t>Korea Advanced Institute of Science and Technology;Korea Research Institute of Standards and Science</t>
  </si>
  <si>
    <t>60032144;60028270</t>
  </si>
  <si>
    <t>Kang J.</t>
  </si>
  <si>
    <t>Forward diffraction pattern by cylindrical cavity in lossy medium</t>
  </si>
  <si>
    <t>10.1002/(SICI)1098-2760(19990905)22:5&lt;335::AID-MOP13&gt;3.0.CO;2-9</t>
  </si>
  <si>
    <t>2-s2.0-0033527106</t>
  </si>
  <si>
    <t>['zigzagged edges', 'small length', 'side length', 'proposed antenna', 'experimental results', 'easily formed', 'circular polarization', '01 times']</t>
  </si>
  <si>
    <t>By zigzagging two side edges of an equilateral-triangular microstrip patch, a novel circularly polarized triangular microstrip antenna is proposed. The zigzagged edges are easily formed by indenting a small length of approx. 0.01 times the patch's side length at the center of the edges. Circular polarization (CP) operation of the proposed antenna can be achieved by using a single probe feed. Experimental results of the proposed antenna are presented and analyzed.</t>
  </si>
  <si>
    <t>340-343</t>
  </si>
  <si>
    <t>Single-feed circularly polarized triangular microstrip antenna with zigzagged edges</t>
  </si>
  <si>
    <t>10.1002/(SICI)1098-2760(19990905)22:5&lt;340::AID-MOP14&gt;3.0.CO;2-8</t>
  </si>
  <si>
    <t>2-s2.0-0033527107</t>
  </si>
  <si>
    <t>['radiation patterns', 'omnidirectional degree', 'method code', 'measured results', 'grid antennas', 'grid antenna', 'effectively utilized', 'azimuthal plane', 'automobile body', 'antenna design', '2 moment']</t>
  </si>
  <si>
    <t>The optimum feeding point for a heater-grid antenna is selected from the radiation pattern results by the NEC-2 moment-method code. A skeletal box plot is employed to measure the omnidirectional degree of the calculated radiation patterns of heater-grid antennas in the azimuthal plane. It is shown from a comparison between calculated and measured results of radiation patterns that this approach can be effectively utilized in the advanced initial stage of the automobile body and antenna design for optimum FM reception.</t>
  </si>
  <si>
    <t>310-314</t>
  </si>
  <si>
    <t>60032330;60032330;60032330;60032330;60032330;60032330</t>
  </si>
  <si>
    <t>56659536400;23103389500;37960936000;24487790000;37022172100;57188926977</t>
  </si>
  <si>
    <t>Shim, Jaeruen;Lee, Sung Shin;Lee, Joon Ho;Kang, Jeong Gook;Koo, Ja Chun;Kim, Hyo Tae</t>
  </si>
  <si>
    <t>Pohang</t>
  </si>
  <si>
    <t>Pohang University of Science and Technology</t>
  </si>
  <si>
    <t>Shim J.</t>
  </si>
  <si>
    <t>Selection of the optimum feeding point of heater-grid antennas using NEC-2 moment-method code</t>
  </si>
  <si>
    <t>10.1002/(SICI)1098-2760(19990905)22:5&lt;310::AID-MOP6&gt;3.0.CO;2-M</t>
  </si>
  <si>
    <t>2-s2.0-0033527112</t>
  </si>
  <si>
    <t>['vitro support', 'stages examined', 'stage 5', 'stage 2', 'small population', 'significantly higher', 'severe depletion', 'right antenna', 'report examines', 'rapid growth', 'nine stages', 'neurons within', 'neurite outgrowth', 'lobe neuropil', 'lobe neurons', 'immunoreactive neurons', 'honey bee', 'first detected', 'exhibit immunostaining', 'electrochemical detection', 'early appearance', 'dopaminergic system', 'dopamine plays', 'dopamine immunoreactivity', 'developing brain', 'cells derived', 'apis mellifera', 'antibodies raised', 'antennal lobes', '50 œºm']</t>
  </si>
  <si>
    <t>Catecholamine | Immunohistochemistry | Olfactory bulb insect | Sensory input</t>
  </si>
  <si>
    <t>This report examines the development of the dopaminergic system in the primary antennosensory centres (antennal lobes) of the brain of the honey bee, Apis mellifera, and the effects of dopamine on neurite outgrowth of antennal-lobe neurons in vitro. Antibodies raised against dopamine were used to follow the development of a small population of dopamine-immunoreactive neurons that invade the antennal lobes during metamorphic adult development. Immunopositive somata associated with the antennal lobes were first detected at stage 2 of the nine stages of metamorphic adult development, but processes of these neurons within the antennal-lobe neuropil did not exhibit immunostaining until pupal stage 3. Severe depletion of primary sensory input to the right antennal lobe early in metamorphic adult development or removal of the right antenna from newly emerged bees did not alter the expression of dopamine immunoreactivity in the antennal-lobe neuropil. The presence of dopamine in developing antennal lobes was confirmed by using high performance liquid chromatography with electrochemical detection. Levels of dopamine were significantly higher at pupal stage 4 than at all other stages examined. This surge in dopamine levels coincided with rapid growth and compartmentalisation of the antennal-lobe neuropil. Exogenously applied dopamine (50 ŒºM) enhanced the growth of antennal-lobe neurons in vitro, but only in cells derived from pupae at stage 5 of metamorphic adult development. The early appearance of dopamine-immunoreactive neurons and the effects of dopamine on stage 5 antennal-lobe neurons in vitro support the view that dopamine plays a role in the developing brain of the honey bee.</t>
  </si>
  <si>
    <t>643-653</t>
  </si>
  <si>
    <t>60017311;60012556;60017311</t>
  </si>
  <si>
    <t>7006285837;7003707070;7102052083</t>
  </si>
  <si>
    <t>Kirchhof, B. S.;Homberg, U.;Mercer, A. R.</t>
  </si>
  <si>
    <t>New Zealand;Germany</t>
  </si>
  <si>
    <t>Dunedin;Marburg</t>
  </si>
  <si>
    <t>University of Otago;Philipps-Universit√§t Marburg</t>
  </si>
  <si>
    <t>60017311;60012556</t>
  </si>
  <si>
    <t>Kirchhof B.</t>
  </si>
  <si>
    <t>Development of dopamine-immunoreactive neurons associated with the antennal lobes of the honey bee, Apis mellifera</t>
  </si>
  <si>
    <t>10.1002/(SICI)1096-9861(19990906)411:4&lt;643::AID-CNE8&gt;3.0.CO;2-O</t>
  </si>
  <si>
    <t>2-s2.0-0033530084</t>
  </si>
  <si>
    <t>['weakly dependent', 'vellate arbors', 'two classes', 'synaptic neuropil', 'somewhat shorter', 'simple glia', 'shaped cells', 'olfactory glomeruli', 'nonstimulated conditions', 'neuropil glia', 'multiple expansions', 'metamorphic development', 'mature lobe', 'long processes', 'less branched', 'layer glia', 'greatly reduce', 'glial processes', 'glial cells', 'extensively dye', 'electron microscopy', 'complex glia', 'closely associated', 'basic structure', 'axon fascicles', 'antennal lobe', 'adult form']</t>
  </si>
  <si>
    <t>Antennal lobe | Laser scanning confocal microscopy | Manduca sexta (Insecta) | Olfactory bulb | Slice preparation</t>
  </si>
  <si>
    <t>The antennal lobe of the moth contains several classes of glial cells that are likely to play functional roles in both the developing and mature lobe. In this study, confocal and electron microscopy were used to examine in detail the morphology of two classes of glial cells, those associated with olfactory receptor axons as they course to their targets in the lobe and those that form borders around the synaptic neuropil of the olfactory glomeruli. The former, the nerve-layer glia, have long processes with multiple expansions that enwrap axon fascicles; the latter, the neuropil glia, constitute two subgroups: complex glia with large cell bodies and branching, vellate arbors; and simple glia, with multiple, mostly unbranched processes with many lamellate expansions along their lengths. The processes of complex glia appear to be closely associated with axon fascicles as they enter the glomeruli, while those of the simple glia surround the glomeruli as part of a multi-lamellar glial envelope, their processes rarely invading the synaptic neuropil of the body of the glomerulus. The full morphological development of antennal-lobe glial cells requires more than two-thirds of metamorphic development. During this period, cells that began as cuboidal or spindle-shaped cells that were extensively dye-coupled to one another gradually assume their adult form and, at least under nonstimulated conditions, greatly reduce their coupling. These changes are only weakly dependent on the presence of olfactory receptor axons. Glial processes are somewhat shorter and less branched in the absence of these axons, but basic structure and degree of dye-coupling are unchanged.</t>
  </si>
  <si>
    <t>527-545</t>
  </si>
  <si>
    <t>60023324;60023324-60024063;60023324</t>
  </si>
  <si>
    <t>7004335896;6602998808;8129589600</t>
  </si>
  <si>
    <t>Oland, L. A.;Marrero, H. G.;Burger, I.</t>
  </si>
  <si>
    <t>Boston;Tucson</t>
  </si>
  <si>
    <t>University of Massachusetts Boston;Arizona Research Laboratories</t>
  </si>
  <si>
    <t>60024063;60023324</t>
  </si>
  <si>
    <t>Oland L.</t>
  </si>
  <si>
    <t>Glial cells in the developing and adult olfactory lobe of the moth Manduca sexta</t>
  </si>
  <si>
    <t>10.1007/s004410051379</t>
  </si>
  <si>
    <t>2-s2.0-0032824905</t>
  </si>
  <si>
    <t>Royal Swedish Academy of Sciences</t>
  </si>
  <si>
    <t>KVA</t>
  </si>
  <si>
    <t>['wave spectrometer', 'three methods', 'temperature superconducting', 'subtraction operations', 'spectrometer includes', 'simple shift', 'response measurements', 'response corresponds', 'periodic antenna', 'new method', 'method consists', 'josephson high', 'investigated using', 'intermediate frequency', 'hilbert spectroscopy', 'high sensitivity', 'high resolution', 'generation line', 'experimentally investigated', 'emission spectrum', 'detector response', 'bicrystalline boundary', '4 ghz', '1250 ghz']</t>
  </si>
  <si>
    <t>A Josephson high-temperature superconducting (HTSC) submillimeter-wave spectrometer is designed, built, and experimentally investigated. The integrated detection structure of the spectrometer includes a YBCO Josephson junction on a bicrystalline boundary, a double-slot or log-periodic antenna, and a low-inductance resistive shunt. The selective detector response and the response at an intermediate frequency of 1.4 GHz are measured under the action of a signal in the frequency range 350-1250 GHz. Three methods of spectroscopy are investigated using this setup: 1) a method of Hilbert spectroscopy with processing of the detector response is implemented; 2) it is found that for a wide Josephson line at intermediate frequency (IF) the response has the same form as the detector response, making it possible to obtain a spectrum and the width of the generation line from IF response measurements; 3) for a narrow Josephson line the IF response corresponds to the regime of conversion with self-pumping. A new method is proposed for calculating the emission spectrum. The method consists of simple shift, summation and subtraction operations. The advantages of the method are simplicity, high sensitivity, and high resolution. ¬© 1999 American Institute of Physics.</t>
  </si>
  <si>
    <t>340-345</t>
  </si>
  <si>
    <t>JETP Letters</t>
  </si>
  <si>
    <t>60029225;60029225;60029225;60029225;60075234;60009114;60070881;60007774;60007774;60000990</t>
  </si>
  <si>
    <t>7006847399;6701925863;56635691700;7005834598;56629037600;35566604900;7003397976;7004225265;6701431703;7005238756</t>
  </si>
  <si>
    <t>Tarasov, M.;Shul'man, A.;Polyanski«ê, O.;Vystavkin, A.;Kosarev, E.;Golubev, D.;Stepantsov, E.;Darula, M.;Harnack, O.;Ivanov, Z.</t>
  </si>
  <si>
    <t>Russian Federation;Russian Federation;Russian Federation;Russian Federation;Germany;Sweden</t>
  </si>
  <si>
    <t>Moscow;Moscow;Moscow;Moscow;J√ºlich;Gothenburg</t>
  </si>
  <si>
    <t>P.L. Kapitza Institute for Physical Problems of Russian Academy of Sciences;Shubnikov Institute of Crystallography, Russian Academy of Sciences;Kotelnikov Institute of Radioengineering and Electronics (IRE) of Russian Academy of Sciences;P.N. Lebedev Physical Institute of the Russian Academy of Sciences;Forschungszentrum J√ºlich (FZJ);Chalmers University of Technology</t>
  </si>
  <si>
    <t>60075234;60070881;60029225;60009114;60007774;60000990</t>
  </si>
  <si>
    <t>Tarasov M.</t>
  </si>
  <si>
    <t>Submillimeter-wave Josephson spectroscopy</t>
  </si>
  <si>
    <t>10.1134/1.568177</t>
  </si>
  <si>
    <t>2-s2.0-0009900202</t>
  </si>
  <si>
    <t>['ultra large', 'smaller length', 'notable change', 'multimode antenna', 'lower pressures', 'integrated circuit', 'induction field', 'fabrication processes', 'energy reduction', 'electron energy', 'electron density', 'azimuthal mode', 'also confirmed', '1 mode']</t>
  </si>
  <si>
    <t>A method of electron energy control was studied in an inductively coupled plasma employing a multimode antenna, for high etching performance in ultra large-scale-integrated circuit (ULSI) fabrication processes. Electron energy was reduced by changing the azimuthal mode of the antenna from m = 0 to m = 1 with no notable change in electron density. The electron energy reduction at the m = 1 mode was found by Langmuir probe measurement. This behavior was also confirmed by optical emission spectroscopy. Since the energy reduction was more remarkable at lower pressures, it was considered to be due to the reverse of the induction field with a smaller length in the higher mode antenna.</t>
  </si>
  <si>
    <t>9 A/B</t>
  </si>
  <si>
    <t>60009885;60009885;60009885;60025272;100432932</t>
  </si>
  <si>
    <t>7102728941;7003365423;55186822000;7006633555;7401814502</t>
  </si>
  <si>
    <t>Shindo, Haruo;Urayama, Takuya;Fujii, Takashi;Horiike, Yasuhiro;Fujii, Syuitsu</t>
  </si>
  <si>
    <t>Tokyo;Tokyo;Fukuyama</t>
  </si>
  <si>
    <t>The University of Tokyo;Tokai University;ADTEC Co., Ltd.</t>
  </si>
  <si>
    <t>60025272;60009885;100432932</t>
  </si>
  <si>
    <t>Shindo H.</t>
  </si>
  <si>
    <t>Electron energy control in inductively coupled plasma employing multimode antenna</t>
  </si>
  <si>
    <t>10.1143/jjap.38.l1066</t>
  </si>
  <si>
    <t>2-s2.0-0033341819</t>
  </si>
  <si>
    <t>['wind conditions', 'viscous dampening', 'resonant capillary', 'rapid decrease', 'qualitative agreement', 'pierson suggests', 'measurements show', 'low winds', 'large upwind', 'ii models', 'gravity waves', 'crosswind direction', 'crosswind backscatter', 'copyright 1999', 'based scatterometers', 'backscatter response']</t>
  </si>
  <si>
    <t>Airborne ocean backscatter measurements at C and Ku band wavelengths obtained in low to moderate-wind conditions are presented. The differences between the low-wind backscatter data and the CMOD4 and SASS-II models are reported. The measurements show that the upwind/crosswind backscatter ratio is greater than predicted. These large upwind/crosswind backscatter ratios are attributed to a rapid decrease in the crosswind backscatter at low winds. Qualitative agreement with the composite surface model proposed by Donelan and Pierson suggests the rapid decrease in the crosswind backscatter may be caused by viscous dampening of the Bragg-resonant capillary-gravity waves. We show that for larger antenna footprints typical of satellite-based scatterometers, the variability in the observed wind field smooths out the backscatter response such that the rapid decrease in the crosswind direction is not observed. Copyright 1999 by the American Geophysical Union.</t>
  </si>
  <si>
    <t>20687-20701</t>
  </si>
  <si>
    <t>1999JC900140</t>
  </si>
  <si>
    <t>C9</t>
  </si>
  <si>
    <t>60014313;60014313;60014313;60011484;60006337</t>
  </si>
  <si>
    <t>7005802462;15750748300;7103288212;7005180960;7003724199</t>
  </si>
  <si>
    <t>Carswell, James R.;Donnelly, William J.;McIntosh, Robert E.;Donelan, Mark A.;Vandemark, Douglas C.</t>
  </si>
  <si>
    <t>Amherst MA;Miami;Greenbelt</t>
  </si>
  <si>
    <t>University of Massachusetts Amherst;Rosenstiel School of Marine and Atmospheric Science;NASA Goddard Space Flight Center</t>
  </si>
  <si>
    <t>60014313;60011484;60006337</t>
  </si>
  <si>
    <t>Carswell J.R.</t>
  </si>
  <si>
    <t>Analysis of C and Ku band ocean backscatter measurements under low-wind conditions</t>
  </si>
  <si>
    <t>10.1029/1999jc900140</t>
  </si>
  <si>
    <t>2-s2.0-0033567599</t>
  </si>
  <si>
    <t>['z1 1', 'western blotting', 'two pbps', 'terminal sequencing', 'tentatively identified', 'structural analogue', 'specific pheromone', 'space group', 'small proteins', 'sensillum lymph', 'recombinant protein', 'recombinant mbrapbp1', 'nondenaturing conditions', 'nmr studies', 'molecular content', 'mbrapbp1 confirm', 'mbrapbp1 ).', 'mass spectrometry', 'lepidoptera antennae', 'key role', 'gel filtration', 'escherichia coli', 'displacement experiments', 'different species', 'circular dichroism', 'binding site', '17 kda']</t>
  </si>
  <si>
    <t>Circular dichroism | Crystallization | Insect pheromones | NMR | Pheromone binding protein</t>
  </si>
  <si>
    <t>Pheromone binding proteins (PBPs) are small proteins (17 kDa on average) present at high concentrations (‚âÉ 10 mM) in the sensillum lymph of Lepidoptera antennae, where they play a key role in the perception of pheromones. By expression in Escherichia coli, we have obtained large quantities (2-3 mg¬∑L-1) of pure, soluble, Mamestra brassicae PBP1 (MbraPBP1). These quantities are compatible with the requirements of X-ray and NMR studies. The recombinant protein has been characterized by native- polyacrylamide gel electrophoresis, Western blotting, N-terminal sequencing, mass spectrometry, gel filtration, circular dichroism, and NMR. Moreover, the recombinant MbraPBP1 has been shown to be able to bind the specific pheromone and a structural analogue, Z1 1-16:TFMK (cis-11-hexadecenyl trifluoromethyl ketone), in displacement experiments. Our results on MbraPBP1 confirm and extend previous findings on PBPs. MbraPBP1 and two PBPS from different species have been found to exist as dimers under nondenaturing conditions. The CD and structural prediction data confirm a markedly helical structure for insect PBPs rather than the Œ≤-barrel fold found in Vertebrates odorant binding proteins. We have tentatively identified the location of the helices and the short Œ≤-strands with respect to the binding site. Currently we have obtained small diffracting crystals of the recombinant MbraPBP1 and determined their space group and molecular content.</t>
  </si>
  <si>
    <t>707-716</t>
  </si>
  <si>
    <t>60101370;60101370;60003274;60101370;60101370</t>
  </si>
  <si>
    <t>6602896947;57203069695;6603379544;7006765066;56211778600</t>
  </si>
  <si>
    <t>Campanacci, Val√©rie;Longhi, Sonia;Nagnan-Le Meillour, Patricia;Cambillau, Christian;Tegoni, Mariella</t>
  </si>
  <si>
    <t>Marseille;Versailles</t>
  </si>
  <si>
    <t>Architecture et Fonction des Macromol√©cules Biologiques, Marseille;Centre de recherche √éle-de-France-Versailles - Grignon</t>
  </si>
  <si>
    <t>60101370;60003274</t>
  </si>
  <si>
    <t>Campanacci V.</t>
  </si>
  <si>
    <t>Recombinant pheromone binding protein 1 from Mamestra brassicae (MbraPBP1). Functional and structural characterization</t>
  </si>
  <si>
    <t>10.1046/j.1432-1327.1999.00666.x</t>
  </si>
  <si>
    <t>2-s2.0-0033568124</t>
  </si>
  <si>
    <t>['small patch', 'rigorous solution', 'radiating patch', 'patches allows', 'network model', 'lumped components', 'ground plane', 'element consists', 'coaxial probe', 'capacitive coupling']</t>
  </si>
  <si>
    <t>A network model is presented for the capacitively fed microstrip antenna element. This element consists of a ground plane a radiating patch, and a small patch located between the ground plane and radiating patch. The small patch is fed by a coaxial probe. The capacitive coupling between the patches allows the antenna to be matched. The network model is derived from rigorous solution. The relationship between the lumped components of the network model and the physical working mechanism of the structure is described.</t>
  </si>
  <si>
    <t>1597-1599</t>
  </si>
  <si>
    <t>Vandenbosch, G. A.E.</t>
  </si>
  <si>
    <t>3000 Leuven</t>
  </si>
  <si>
    <t>KU Leuven</t>
  </si>
  <si>
    <t>Vandenbosch G.</t>
  </si>
  <si>
    <t>Network model for capacitively fed microstrip element</t>
  </si>
  <si>
    <t>10.1049/el:19991093</t>
  </si>
  <si>
    <t>2-s2.0-0032644468</t>
  </si>
  <si>
    <t>['suppressing ppm', 'radiation efficiency', 'radiating element', 'numerical investigation', 'lateral extension', 'lateral dimensions', 'cavity backing', 'array element']</t>
  </si>
  <si>
    <t>The parallel plate mode (PPM) is a major loss mechanism within triplate arrays, and placing a cavity under each array element is a means of suppressing PPM. A numerical investigation as to the effect of extending the lateral dimensions of the cavity backing a single triplate element using Ansoft HFSS version 6 is presented. The directivity and radiation efficiency of the radiating element have been found to vary with the lateral extension of the cavity. The optimal cavity lateral size in terms of radiation efficiency and directivity are identified for two cavity depths.</t>
  </si>
  <si>
    <t>1599-1600</t>
  </si>
  <si>
    <t>Numerical study of undercut cavity under triplate array element</t>
  </si>
  <si>
    <t>10.1049/el:19991110</t>
  </si>
  <si>
    <t>2-s2.0-0032646067</t>
  </si>
  <si>
    <t>['virtually expanding', 'steering matrix', 'simulation results', 'sensor spacing', 'sensor array', 'resolution capability', 'proposed approach', 'new method', 'basic idea']</t>
  </si>
  <si>
    <t>A new method for improving the resolution capability of a sensor array is presented. The basic idea of the proposed approach is to increase the effective aperture size by virtually expanding the sensor spacing of the original antenna array and then to construct the steering matrix of the virtual array using the proper transformation matrix. Superior resolution capabilities achieved with this method in comparison with the standard MUSIC algorithm are shown by simulation results for narrowband incoherent signals incident on a uniform circular array.</t>
  </si>
  <si>
    <t>1596-1597</t>
  </si>
  <si>
    <t>60001873;60001873</t>
  </si>
  <si>
    <t>57120757400;55699572900</t>
  </si>
  <si>
    <t>Kim, Young Soo;Kim, Young Su</t>
  </si>
  <si>
    <t>Kyung Hee University</t>
  </si>
  <si>
    <t>Improved resolution capability via virtual expansion of array</t>
  </si>
  <si>
    <t>10.1049/el:19991108</t>
  </si>
  <si>
    <t>2-s2.0-0032685463</t>
  </si>
  <si>
    <t>['two sub', 'nec code', 'inhomogeneous part', 'fdtd method', 'equivalence theorem']</t>
  </si>
  <si>
    <t>A new hybrid technique is presented, which combines the method of moments with the finite difference time domain (FDTD) method to analyse electrically short, thin-wire antennas located in the vicinity of inhomogeneous dielectric bodies. The antennas are dealt with in the frequency domain using the NEC code, while the FDTD method is used to analyse the inhomogeneous part of the problem. The two sub-problems are combined by invoking the equivalence theorem.</t>
  </si>
  <si>
    <t>1594-1596</t>
  </si>
  <si>
    <t>6701414738;55197051100;7003589064</t>
  </si>
  <si>
    <t>Bretones, A. Rubio;Mittra, R.;Mart√≠n, R. G√≥mez</t>
  </si>
  <si>
    <t>Bretones A.R.</t>
  </si>
  <si>
    <t>Hybrid NEC/FDTD approach for analysing electrically short thin-wire antennas located in proximity of inhomogeneous scatterers</t>
  </si>
  <si>
    <t>10.1049/el:19991106</t>
  </si>
  <si>
    <t>2-s2.0-0345633612</t>
  </si>
  <si>
    <t>['thiolate gives', 'sodium thiolates', 'ring opening', 'products resulting', 'latter predominating', 'full regio', 'form 3', 'epoxy sulfide']</t>
  </si>
  <si>
    <t>Procedures are reported for the conversion of 2,3-epoxysulfides to 3-hydroxy-1,2-dithioethers. Conventional nucleophilic ring opening using a thiolate gives a mixture of products resulting from ring opening at C-2 and C-3, with the latter predominating. With sodium thiolates in DMF a competing Œ≤-elimination process is observed to form 3-hydroxy-1-alkenylthioethers. Alternatively, Lewis acid induced thiiranium ion generation from a 2,3-epoxy sulfide, and nucleophilic ring opening with S-trimethylsilylthiophenol gives 3-hydroxy-1,2-dithioethers with full regio- and stereo-control.</t>
  </si>
  <si>
    <t>7015-7018</t>
  </si>
  <si>
    <t>Tetrahedron Letters</t>
  </si>
  <si>
    <t>60012070;60017265;60012070</t>
  </si>
  <si>
    <t>6507932378;7103032541;7102179253</t>
  </si>
  <si>
    <t>Forristal, Ian;Lawson, Kevin R.;Rayner, Christopher M.</t>
  </si>
  <si>
    <t>Switzerland;United Kingdom</t>
  </si>
  <si>
    <t>Basel;Leeds</t>
  </si>
  <si>
    <t>Syngenta International AG;University of Leeds</t>
  </si>
  <si>
    <t>60017265;60012070</t>
  </si>
  <si>
    <t>Forristal I.</t>
  </si>
  <si>
    <t>Optically active 2,3-epoxy sulfides as precursors to 3-hydroxy-1,2-dithioethers and 3-hydroxy-1-alkenylthioethers</t>
  </si>
  <si>
    <t>S0040403999014276</t>
  </si>
  <si>
    <t>10.1016/S0040-4039(99)01427-6</t>
  </si>
  <si>
    <t>2-s2.0-0033578599</t>
  </si>
  <si>
    <t>['zp ))', 'zc ),', 'time constant', 'resolved absorption', 'quantum yield', 'methyltetrahydrofuran solution', 'light absorbed', 'emission studies', 'electron transfer', 'basic functions', '70 based', '50 ps', '3 ps', '240 ps', '1330 ps']</t>
  </si>
  <si>
    <t>A model photosynthetic antenna consisting of four covalently linked zinc tetraarylporphyrins, (P(ZP))3-P(ZC), has been joined to a free base porphyrin-fullerene artificial photosynthetic reaction center, P-C60, to form a (P(ZP))3-P(ZC)-PC60 hexad. As revealed by time-resolved absorption and emission studies, excitation of any peripheral zinc porphyrin moiety (P(ZP)) in 2-methyltetrahydrofuran solution is followed by singlet-singlet energy transfer to the central zinc porphyrin to give (P(ZP))3-1P(ZC)-P- C60 with a time constant of ~50 ps. The excitation is passed on to the free base porphyrin in 240 ps to produce (P(ZP))3-P(ZC)-1P-C60, which decays by electron transfer to the fullerene with a time constant of 3 ps. The (P(ZP))3-P(ZC)-P(¬∑)+-C60(¬∑)- charge-separated state thus formed has a lifetime of 1330 ps, and is generated with a quantum yield of 0.70 based on light absorbed by the zinc porphyrin antenna. The complex thus mimics the basic functions of natural photosynthetic antenna systems and reaction center complexes.</t>
  </si>
  <si>
    <t>8604-8614</t>
  </si>
  <si>
    <t>60003892;60003892;60003892;60004923-60029747;60004923;60004923;60003892;60003892;60003892</t>
  </si>
  <si>
    <t>55904486700;56530415100;7407162691;36848677500;6602920130;7201528924;35598466200;7403336040;26643239600</t>
  </si>
  <si>
    <t>Kuciauskas, Darius;Liddell, Paul A.;Lin, Su;Johnson, Thomas E.;Weghorn, Steven J.;Lindsey, Jonathan S.;Moore, Ana L.;Moore, Thomas A.;Gust, Devens</t>
  </si>
  <si>
    <t>Athens;Raleigh;Tempe</t>
  </si>
  <si>
    <t>University of Georgia;NC State University;Arizona State University</t>
  </si>
  <si>
    <t>60029747;60004923;60003892</t>
  </si>
  <si>
    <t>Kuciauskas D.</t>
  </si>
  <si>
    <t>An artificial photosynthetic antenna-reaction center complex</t>
  </si>
  <si>
    <t>10.1021/ja991255j</t>
  </si>
  <si>
    <t>2-s2.0-0033595462</t>
  </si>
  <si>
    <t>['various wavelengths', 'state dynamics', 'protein complexes', 'probe measurements', 'previous publications', 'perturbation term', 'measured dynamics', 'low temperature', 'less satisfactory', 'fmo complex', 'exciton states', 'exciton model', 'electronic structure', 'cryogenic temperature', '9577 ).', '.; miller', '.; louwe']</t>
  </si>
  <si>
    <t>We have simulated the excited state dynamics of the FMO (Fenna - Matthews - Olson) bacteriochlorophyll a-protein complexes of the green sulfur bacteria Chlorobium (C.) tepidum and Prosthecochloris (P.) aestuarii at cryogenic temperature in terms of an exciton model. The simulation is based on the electronic structure, as described in previous publications (Louwe, R. J. W.; Vrieze, J.; Hoff, A. J.; Aartsma, T. J.; J. Phys. Chem. 1997, 101, 11280. Vulto, S. I. E.; de Baat, M. A.; Louwe, R. J. W.; Permentier, H. P.; Neef, T.; Miller, M.; van Amerongen, H.; Aartsma, T. J. J. Phys. Chem. 1998, 102, 9577). Relaxation between exciton states is described by linear electron phonon coupling as a perturbation term in the Hamiltonian of the system. The simulation was compared with experimental data obtained by pump - probe measurements with various wavelengths of excitation. For C. tepidum, a quite good agreement was obtained between the calculated and measured dynamics. For P. aestuarii, the simulations are less satisfactory but they can be improved by including static disorder. We conclude that not only the steady-state optical spectra but also the excited-state dynamics in the FMO complex at low temperature can be described with a simple exciton model. ¬© 1999 American Chemical Society.</t>
  </si>
  <si>
    <t>8153-8161</t>
  </si>
  <si>
    <t>60003878;60003878;60003878;60003878;60008734;60003878;60003878</t>
  </si>
  <si>
    <t>6602136756;6508353583;6603765104;57214514481;7007181446;7004456032;7003777767</t>
  </si>
  <si>
    <t>Vulto, Simone I.E.;De Baat, Michiel A.;Neerken, Sieglinde;Nowak, Frank R.;Van Amerongen, Herbert;Amesz, Jan;Aartsma, Thijs J.</t>
  </si>
  <si>
    <t>Amsterdam;Leiden</t>
  </si>
  <si>
    <t>Vrije Universiteit Amsterdam;Sterrewacht Leiden</t>
  </si>
  <si>
    <t>60008734;60003878</t>
  </si>
  <si>
    <t>Excited state dynamics in FMO antenna complexes from photosynthetic green sulfur bacteria: A kinetic model</t>
  </si>
  <si>
    <t>10.1021/jp984702a</t>
  </si>
  <si>
    <t>2-s2.0-0001426123</t>
  </si>
  <si>
    <t>['unusual pheromone', 'unusual alkaloid', 'sex pheromone', 'scarab beetle', 'requires nad', 'rapidly degraded', 'phyllopertha diversa', 'pheromone degradation', 'p450 system', 'male p', 'enzyme responsible', 'diversa antennae', 'brown chafer', 'aromatic ring', '1999 federation', '1 position']</t>
  </si>
  <si>
    <t>Olfaction | Pheromone inactivation | Pheromone-degrading enzyme | Scarab beetle</t>
  </si>
  <si>
    <t>The pale-brown chafer, Phyllopertha diversa, utilizes an unusual alkaloid, 1,3-dimethyl-2,4-(1H,3H)-quinazolinedione, as its sex pheromone. This compound is rapidly degraded in vitro by the antennal protein extracts from this scarab beetle. Demethylation at the N-1 position and hydroxylation of the aromatic ring have been identified as the major catabolic pathways. The enzyme responsible for the pheromone degradation is membrane-bound, requires NAD(P)H for activity and is sensitive to cytochrome P450 inhibitors, such as proadifen and metyrapone. The ability to metabolize this unusual pheromone was not detected in 12 species tested, indicating that the P450 system, specific to male P. diversa antennae, has evolved as a mechanism for olfactory signal inactivation. Copyright (C) 1999 Federation of European Biochemical Societies.</t>
  </si>
  <si>
    <t>100310442;100310442</t>
  </si>
  <si>
    <t>6701686418;35569644800</t>
  </si>
  <si>
    <t>Wojtasek, Hubert;Leal, Walter S.</t>
  </si>
  <si>
    <t>Wojtasek H.</t>
  </si>
  <si>
    <t>Degradation of an alkaloid pheromone from the pale-brown chafer, Phyllopertha diversa (Coleoptera: Scarabaeidae), by an insect olfactory cytochrome P450</t>
  </si>
  <si>
    <t>S0014579399011783</t>
  </si>
  <si>
    <t>10.1016/S0014-5793(99)01178-3</t>
  </si>
  <si>
    <t>2-s2.0-0032827713</t>
  </si>
  <si>
    <t>['term downregulation', 'supersaturating light', 'study zeaxanthin', 'strong light', 'results show', 'qi transition', 'qi quenching', 'qi mechanism', 'qe quenching', 'ps ii', 'proton gradient', 'picosecond resolution', 'photochemical quenching', 'particular form', 'isolated thylakoids', 'heterogeneous exciton', 'ground state', 'data suggest', 'conditions used', 'completely assigned', 'also located', 'also evident', 'adapted leaves', '350 ].']</t>
  </si>
  <si>
    <t>The fast and slow reversible components of non-photochemical chlorophyll fluorescence quenching commonly assigned to the qE and the qI mechanism have been studied in isolated pea thylakoids which were prepared from leaves after a moderate photoinhibitory treatment. Chlorophyll fluorescence decays were measured at picosecond resolution and analyzed on the basis of the heterogeneous exciton/radical pair equilibrium model. Our results show that the fast reversible non-photochemical quenching is completely assigned to the PS II antenna and is related to zeaxanthin. The slow reversible qI type quenching is located at the PS II reaction center and involves enhanced nonradiative decay of the primary charge separated state to its ground state and/or triplet excited state. Apart from its independence from the proton gradient, the qI quenching shows striking similarities to a particular form of qE quenching which is also located at the PS II reaction center and has recently been resolved in isolated thylakoids from dark-adapted leaves [Wagner, B., et al. (1996) J. Photochem. Photobiol., B 36, 339-350]. Our data suggest that during exposure to the supersaturating light the reaction center qE component was replaced by qI quenching. This qE to qI transition is supposed to be part of the mechanism of the long- term downregulation of PS II during photoinhibition. It is also evident that under the conditions used in our study zeaxanthin- dependent antenna quenching is not involved in the slow reversible downregulation of PS II but that it retains its dependence on the proton gradient during exposure to strong light.</t>
  </si>
  <si>
    <t>12718-12726</t>
  </si>
  <si>
    <t>60031216;60008042;60072290;60072285</t>
  </si>
  <si>
    <t>57196729134;7006587933;7402577973;35501122300</t>
  </si>
  <si>
    <t>Richter, Michael;Goss, Reimund;Wagner, Birgit;Holzwarth, Alfred R.</t>
  </si>
  <si>
    <t>Germany;Germany;Germany;Germany</t>
  </si>
  <si>
    <t>Jena;Mulheim an der Ruhr;Mainz;Leipzig</t>
  </si>
  <si>
    <t>Leibniz Institute on Aging - Fritz Lipmann Institute;Max Planck Institute for Chemical Energy Conversion;Johannes Gutenberg-Universit√§t Mainz;Universit√§t Leipzig</t>
  </si>
  <si>
    <t>60072290;60072285;60031216;60008042</t>
  </si>
  <si>
    <t>Richter M.</t>
  </si>
  <si>
    <t>Characterization of the fast and slow reversible components of non-photochemical quenching in isolated pea thylakoids by picosecond time-resolved chlorophyll fluorescence analysis</t>
  </si>
  <si>
    <t>10.1021/bi983009a</t>
  </si>
  <si>
    <t>2-s2.0-0033613157</t>
  </si>
  <si>
    <t>['‚ äô', 'young outflow', 'total mass', 'simple model', 'rotating disk', 'range 4', 'present cs', 'optical depth', 'nma data', 'motion around', 'gh2o 092', 'gh20 092', 'early steps', 'dust condensation', 'disk respectively', 'cs abundance', 'central object']</t>
  </si>
  <si>
    <t>ISM: clouds | ISM: jets and outflows | Stars: formation | Stars: individual: GH2O 092.67+03.07</t>
  </si>
  <si>
    <t>We present CS(J=2-1) interferometric observations obtained with the Nobeyama Millimeter Array (NMA) toward a protostar (GH20 092.67 + 03.07) in the Cygnus OB7 giant molecular cloud (distance=800 pc). The data clearly indicate the presence of a compact (size ‚âÉ 8 103 AU) and young outflow with dynamical time scale ‚âÉ 3500 year. The outflow is surrounded by a massive gas condensation. The analysis of the gas dynamics shows the signature of an infalling and rotating disk, which could be the first clear detection of such motion around a young high mass star. Single dish data obtained with the Nobeyama 45m antenna in several molecular lines are used to derive the CS abundance and the optical depth of the CS(J=2-1) toward GH2O 092.67 + 03.07. We derive a total mass of ‚âÉ 0.6 M‚äô and ‚âÉ 12 M‚äô for the outflow and disk respectively. The comparison of the NMA data with a simple model of infalling disk indicates a mass of the central object in the range 4.0 &lt; M* &lt; 7.5 M‚äô. We propose that GH2O 092.67 + 03.07 is a dust condensation in the very early steps of forming a high mass star.</t>
  </si>
  <si>
    <t>197-203</t>
  </si>
  <si>
    <t>Astronomy and Astrophysics</t>
  </si>
  <si>
    <t>60011439;60027276;60029701</t>
  </si>
  <si>
    <t>35405956200;7101953157;7004360912</t>
  </si>
  <si>
    <t>Bernard, J. P.;Dobashi, K.;Momose, M.</t>
  </si>
  <si>
    <t>Japan;Japan;France</t>
  </si>
  <si>
    <t>Mitaka;Koganei;Orsay</t>
  </si>
  <si>
    <t>National Institutes of Natural Sciences - National Astronomical Observatory of Japan;Tokyo Gakugei University;Institut d'Astrophysique Spatiale</t>
  </si>
  <si>
    <t>60029701;60027276;60011439</t>
  </si>
  <si>
    <t>Bernard J.</t>
  </si>
  <si>
    <t>Outflow and disk around the very young massive star GH2O 092.67+03.07</t>
  </si>
  <si>
    <t>2-s2.0-0007287921</t>
  </si>
  <si>
    <t>['zero baseline', 'theory necessary', 'temperature variations', 'technique originates', 'taking advantage', 'tai ).', 'synchronization offset', 'second setup', 'recent studies', 'receiver configuration', 'present setup', 'one day', 'necessary information', 'main limitation', 'igs network', 'igs ).', 'hydrogen maser', 'gps receivers', 'gps code', 'frequency stability', 'degrees celsius', 'combined use', 'carrier phases', 'brus ),', 'averaging times', '140 ps']</t>
  </si>
  <si>
    <t>Carrier Phase | Carrier Phase Observation | Frequency Transfer | Global Position System | Global Position System Receiver</t>
  </si>
  <si>
    <t>Recent studies have shown the capabilities of Global Positioning System (GPS) carrier phases for frequency transfer based on the observations from geodetic GPS receivers driven by stable atomic clocks. This kind of receiver configuration is the kind primarily used within the framework of the International GPS Service (IGS). The International GPS Service/Bureau International des Poids et Mesures (IGS/BIPM) pilot project aims at taking advantage of these GPS receivers to enlarge the network of Time Laboratories contributing to the realization of the International Atomic Time (TAI). In this article, we outline the theory necessary to describe the abilities and limitations of time and frequency transfer using the GPS code and carrier phase observations. We report on several onsite tests and evaluate the present setup of our 12-channel IGS receiver (BRUS), which uses a hydrogen maser as an external frequency reference, to contribute to the IGS/BIPM pilot project. In the initial experimental setup, the receivers had a common external frequency reference; in the second setup, separate external frequency references were used. Independent external clock monitoring provided the necessary information to validate the results. Using two receivers with a common frequency reference and connected to the same antenna, a zero baseline, we were able to use the carrier phase data to derive a frequency stability of 6 √ó 10‚àí16 for averaging times of one day. The main limitation in the technique originates from small ambient temperature variations of a few degrees Celsius. While these temperature variations have no effect on the functioning of the GPS receiver within the IGS network, they reduce the capacities of the frequency transfer results based on the carrier phase data. We demonstrate that the synchronization offset at the initial measurement epoch can be estimated from a combined use of the code and carrier phase observations. In our test, the discontinuity between two consecutive days was about 140 ps. ¬© 1999 John Wiley &amp; Sons, Inc.</t>
  </si>
  <si>
    <t>60068576;60068576;60068576</t>
  </si>
  <si>
    <t>7801358011;6603996048;6602375577</t>
  </si>
  <si>
    <t>Bruyninx, Carine;Defraigne, Pascale;Sleewaegen, Jean Marie</t>
  </si>
  <si>
    <t>Brussels</t>
  </si>
  <si>
    <t>Royal Observatory of Belgium</t>
  </si>
  <si>
    <t>Bruyninx C.</t>
  </si>
  <si>
    <t>Time and Frequency Transfer Using GPS Codes and Carrier Phases: Onsite Experiments</t>
  </si>
  <si>
    <t>10.1007/PL00012786</t>
  </si>
  <si>
    <t>2-s2.0-0010752661</t>
  </si>
  <si>
    <t>['unknown interferences', 'proposed method', 'numerical examples', 'noise ratios', 'new approach', 'modulated signals', 'low signal', 'impinging signals', 'essential function', 'desired signals', 'cyclic music', 'cyclic correlation', 'correctly estimated', 'conventional approaches', 'array antennas', 'antenna sensors']</t>
  </si>
  <si>
    <t>Detection of the directions of arrival (DOA) and the number of impinging signals is an essential function in many array antenna beamforming techniques. A new approach is presented here for estimating the DOA and the number of desired signals in array antennas. The new algorithm exploits the cyclostationarity of the modulated signals, which are disturbed by unknown interferences and noises, to suppress undesired signals. In this approach, the outputs of antenna sensors are applied to a linear prediction model and the cyclic correlation is calculated to utilize the cyclostationarity of the desired signals. Also the error of estimation of the cyclic correlation function in the linear prediction model is evaluated and the DOA of the desired signals is correctly estimated. Results are compared with the results of conventional approaches, such as cyclic MUSIC, in the presence of interference and at low signal-to-noise ratios. Numerical examples are presented to show the effectiveness of the proposed method.</t>
  </si>
  <si>
    <t>29-39</t>
  </si>
  <si>
    <t>60092258;60092258;60092258;60025997</t>
  </si>
  <si>
    <t>7403222711;7102475722;35494400100;7202549598</t>
  </si>
  <si>
    <t>Tsuji, Hiroyuki;Xin, Jingmin;Yoshimoto, Shigetoshi;Sano, Akira</t>
  </si>
  <si>
    <t>Ministry of Posts and Telecommunications, Japan;Keio University</t>
  </si>
  <si>
    <t>60092258;60025997</t>
  </si>
  <si>
    <t>Tsuji H.</t>
  </si>
  <si>
    <t>Detection of direction and number of impinging signals in array antennas using cyclostationarity</t>
  </si>
  <si>
    <t>10.1002/(SICI)1520-6424(199910)82:10&lt;29::AID-ECJA4&gt;3.0.CO;2-J</t>
  </si>
  <si>
    <t>2-s2.0-0032631260</t>
  </si>
  <si>
    <t>Universit√† di Bologna</t>
  </si>
  <si>
    <t>UNIBO</t>
  </si>
  <si>
    <t>['temporal dfe', 'static environment', 'small number', 'similar angles', 'service availability', 'received paths', 'rays arrive', 'path model', 'multiple rays', 'millimeter waves', 'joint antennas', 'fbf ),', 'equalization properties', 'different doa', 'dfe scheme', 'dfe ).', 'coverage evaluation', 'combined use', 'beamforming capability', 'antenna array', 'analytically derived', 'adaptive antennas']</t>
  </si>
  <si>
    <t>The combined use of adaptive antennas and decision feedback equalization (DFE) is analyzed in a realistic propagation scenario at millimeter waves, taking the direction of arrivals (DOA's) of the received paths into account. The joint antennas and DFE scheme, with one forward filter for each antenna and a single feedback filter (FBF), can be viewed as a spatial and temporal DFE (ST-DFE). The performance of this solution is compared with the cascade of adaptive antenna used for beamforming and DFE. It is found that ST-DFE achieves better performance since it combines the beamforming capability of the antenna array with the equalization properties of the DFE, with great advantages especially when rays arrive from similar angles. The mean square error (MSE) is analytically derived for infinitely long filters in a quasi-static environment with multiple rays having different DOA's, and compared (for the two-path model) with simulation results assuming filters with a small number of taps. Finally, service availability through coverage evaluation is developed and compared with that of a coded-orthogonal frequency division multiplexing (C-OFDM) system.</t>
  </si>
  <si>
    <t>1725-1734</t>
  </si>
  <si>
    <t>60028218;60028218</t>
  </si>
  <si>
    <t>7005447453;57201412747</t>
  </si>
  <si>
    <t>Chiani, Marco;Zanella, Alberto</t>
  </si>
  <si>
    <t>Bologna</t>
  </si>
  <si>
    <t>Alma Mater Studiorum Universit√† di Bologna</t>
  </si>
  <si>
    <t>Chiani M.</t>
  </si>
  <si>
    <t>Spatial and temporal equalization for broadband wireless indoor networks at millimeter waves</t>
  </si>
  <si>
    <t>10.1109/49.793308</t>
  </si>
  <si>
    <t>2-s2.0-0032641119</t>
  </si>
  <si>
    <t>Universidad Sim√≥n Bol√≠var</t>
  </si>
  <si>
    <t>USB</t>
  </si>
  <si>
    <t>['system performance', 'simplified two', 'significantly reducing', 'receive side', 'realistic time', 'precoded link', 'power consumption', 'portable units', 'portable unit', 'paper presents', 'major differences', 'key issue', 'forward transmission', 'data rate', 'conflicting requirements', 'channel precoding', 'base stations', 'base station', 'approach seeks', 'also addressed', '20 mbit']</t>
  </si>
  <si>
    <t>High data rates and portability are conflicting requirements in the design of reliable indoor wireless data communication systems. Asymmetric system design addresses this problem by exploiting the major differences in the availability of resources (i.e., energy, space) that exist between base stations and portable units. Such an approach seeks to concentrate most of the signal processing tasks involved in the operation of the two-way wireless link at the base station. This paper presents and discusses the implications of a set of techniques for asymmetric physical layer system design based on the use of channel precoding for forward transmission. System performance is assessed via simulations using a realistic time-varying channel model. Simplified two-way antenna diversity implemented exclusively at the base station and the key issue of automatic gain control at the receive side of the precoded link are also addressed and evaluated. Simulation results confirm that the adoption of these techniques enables reliable digital communication at a data rate of 20 Mbit/s on both links while significantly reducing the power consumption of the portable unit.</t>
  </si>
  <si>
    <t>1712-1724</t>
  </si>
  <si>
    <t>6603628546;7004920786</t>
  </si>
  <si>
    <t>Badra, Renny E.;Daneshrad, Babak</t>
  </si>
  <si>
    <t>Badra R.</t>
  </si>
  <si>
    <t>Asymmetric physical layer design for high-speed wireless digital communications</t>
  </si>
  <si>
    <t>10.1109/49.793307</t>
  </si>
  <si>
    <t>2-s2.0-0032671620</t>
  </si>
  <si>
    <t>['several lamellae', 'second antennae', 'polyprion americanus', 'north atlantic', 'muscles services', 'morphological similarities', 'kroyeria spp', 'hosts using', 'help secure', 'engage 1', 'either case', 'dorsal stylets', 'confusion regarding', 'cephalothorax rather']</t>
  </si>
  <si>
    <t>Jusheyus shogunus Deets and Benz, 1987 (Copepoda: Eudactylinidae) is reported from wreckfish, Polyprion americanus (Schneider, 1801) collected from widely separated locations in the north Atlantic. This represents a new host record and new ocean report for this parasite. Examination of male and female copepods allowed some confusion regarding the morphology of J. shogunus to be eliminated. Jusheyus shogunus possesses a cephalothorax rather than a cephalosome and its dorsal styliform processes are connected by an internal bridging sclerite and an external dorsal plate that is hinged to its cephalothorax. Each process also articulates with its own internal ventral sclerite. A series of muscles services these structures, and comparisons of the dorsal styliform processes of J. shogunus with the dorsal stylets of Kroyeria spp. revealed some morphological similarities. Adult female J. shogunus in the study collection varied in size from 2.16 to 4.97 mm total length, and smaller and larger specimens presented somewhat different body forms. Most egg sacs contained multiseriately arranged eggs; however, several specimens possessed a sac whose distal portion contained uniseriately arranged eggs and whose proximal portion contained 2 rows of eggs. Jusheyus shogunus attaches to the gill filament lamellae of its hosts using its second antennae and maxillipeds. The dorsal styliform processes can be erected by either directly raising them or by flexing the cephalothorax at its junction with the first free thoracic segment. In either case the tips of the processes can engage 1 to several lamellae on the adjacent gill filament to help secure the parasite.</t>
  </si>
  <si>
    <t>809-814</t>
  </si>
  <si>
    <t>Journal of Parasitology</t>
  </si>
  <si>
    <t>;60016053;60016053</t>
  </si>
  <si>
    <t>7102675657;6602332338;7004253174</t>
  </si>
  <si>
    <t>Benz, George W.;Fennessy, Colleen J.;Vogelbein, Wolfgang K.</t>
  </si>
  <si>
    <t>Gloucester Point</t>
  </si>
  <si>
    <t>Virginia Institute of Marine Science</t>
  </si>
  <si>
    <t>Benz G.</t>
  </si>
  <si>
    <t>New host and ocean records and remarks on the morphology and behavior of Jusheyus shogunus (Copepoda: Siphonostomatoida: Eudactylinidae)</t>
  </si>
  <si>
    <t>10.2307/3285815</t>
  </si>
  <si>
    <t>2-s2.0-0032702925</t>
  </si>
  <si>
    <t>['wingless signaling', 'wingless expression', 'transcriptionally upregulated', 'third member', 'morphological defects', 'dependent armadillo', 'antenna formation', 'although dfrizzled', '3 activity', '3 ).']</t>
  </si>
  <si>
    <t>Dfz2 | Dfz3 | Drosophila | Frizzled | Signal attenuation | Wingless</t>
  </si>
  <si>
    <t>In Drosophila, two Frizzled proteins, Frizzled and Dfrizzled-2, have been reported to serve as receptors of Wingless. Here, we identified the third member of the Drosophila Frizzled family (Dfrizzled-3). In contrast to Dfrizzled-2, Dfrizzled-3 was transcriptionally upregulated by Wingless signaling. Although Dfrizzled-3 was capable of binding to Wingless in vitro, Wingless-dependent Armadillo/Œ≤-catenin stabilization occurred much less effectively in Drosophila cells transfected with Dfrizzled-3 than in those with Dfrizzled-2. Flies lacking Dfrizzled-3 activity were viable and fertile, with few morphological defects. Genetic and immunochemical analysis indicated that the absence of Dfrizzled-3 activity suppresses the effects of hypomorphic wingless mutations such as failure of wing and antenna formation and restores target gene expression to the normal levels without change in wingless expression. Wingless signaling may thus be attenuated by Dfrizzled-3 at least in wingless hypomorphic mutants.</t>
  </si>
  <si>
    <t>4421-4430</t>
  </si>
  <si>
    <t>Development</t>
  </si>
  <si>
    <t>60025272;60025272;60018600;60018600;60025272</t>
  </si>
  <si>
    <t>35082665700;7403447962;6603710343;7202536482;7101766698</t>
  </si>
  <si>
    <t>Sato, Atsushi;Kojima, Tetsuya;Ui-Tei, Kumiko;Miyata, Yuhei;Saigo, Kaoru</t>
  </si>
  <si>
    <t>The University of Tokyo;Nippon Medical School</t>
  </si>
  <si>
    <t>60025272;60018600</t>
  </si>
  <si>
    <t>Sato A.</t>
  </si>
  <si>
    <t>Dfrizzled-3, a new Drosophila Wnt receptor, acting as an attenuator of Wingless signaling in wingless hypomorphic mutants</t>
  </si>
  <si>
    <t>2-s2.0-0032722670</t>
  </si>
  <si>
    <t>UU</t>
  </si>
  <si>
    <t>['vertical polarisation', 'values range', 'rotatable folded', 'rf bandwidth', 'residential area', 'paper reports', 'output fed', 'northern ireland', 'industrial part', 'histograms depicting', 'communications receiver', 'causing interference', 'based logger', '20 khz', '1999 ipem', '120 dbm', '10 œºs', '10 ms']</t>
  </si>
  <si>
    <t>Impulsive noise | Radio biotelemetry | Radio frequency interference</t>
  </si>
  <si>
    <t>This paper reports on the incidence and level of man-made electrical impulse noise capable of causing interference to low-power, ASK and FSK radio biotelemetry links. Measurements were made at two acute hospitals, one in a residential area of Belfast, Northern Ireland and the other in an industrial part of Berlin, Germany. Monitoring was effected in the 450 MHz band using a communications receiver with its AGC line disabled and AM-detector AM output fed to a PC-based logger. The RF bandwidth was 20 kHz and a rotatable folded-dipole receiving antenna was used. Seven-day impulse counts were recorded at each location, for separate RF input thresholds of -100, -110 and -120 dBm and a common trigger window of 10 Œºs-10 ms. Histograms depicting the average pulse count per minute are presented; values range from a maximum of 55x103/min for -120 dBm sensitivity in Berlin, to a minimum of 1.2/min for -100 dBm sensitivity in Belfast, both with vertical polarisation. Copyright (C) 1999 IPEM.</t>
  </si>
  <si>
    <t>569-574</t>
  </si>
  <si>
    <t>60020730;60020730</t>
  </si>
  <si>
    <t>57215571003;7401559260</t>
  </si>
  <si>
    <t>Riemann, A. I.;Evans, N. E.</t>
  </si>
  <si>
    <t>Riemann A.I.</t>
  </si>
  <si>
    <t>The incidence of radio-frequency impulsive noise within hospital buildings: Initial measurements in the 450 MHz band</t>
  </si>
  <si>
    <t>S1350453399000806</t>
  </si>
  <si>
    <t>10.1016/S1350-4533(99)00080-6</t>
  </si>
  <si>
    <t>2-s2.0-0032736895</t>
  </si>
  <si>
    <t>['temperature rises', 'simulation method', 'safety standards', 'power distributions', 'mobile phone', 'maximum value', 'maximum rise', 'lasting effects', 'indefinite exposure', 'fdtd model', 'done numerically', 'consecutive use', 'brain temperature', 'blood flow', 'approximately 1', '25 w']</t>
  </si>
  <si>
    <t>In this study we evaluated for a realistic head model the 3D temperature rise induced by a mobile phone. This was done numerically with the consecutive use of an FDTD model to predict the absorbed electromagnetic power distribution, and a thermal model describing bioheat transfer both by conduction and by blood flow. We calculated a maximum rise in brain temperature of 0.11 ¬∞C for an antenna with an average emitted power of 0.25 W, the maximum value in common mobile phones, and indefinite exposure. Maximum temperature rise is at the skin. The power distributions were characterized by a maximum averaged SAR over an arbitrarily shaped 10 g volume of approximately 1.6 W kg-1. Although these power distributions are not in compliance with all proposed safety standards, temperature rises are far too small to have lasting effects. We verified our simulations by measuring the skin temperature rise experimentally. Our simulation method can be instrumental in further development of safety standards.</t>
  </si>
  <si>
    <t>2367-2379</t>
  </si>
  <si>
    <t>60032724;60032724;60019984;60019984;60030280;60032724</t>
  </si>
  <si>
    <t>7004064765;7007117582;6505777373;6603791134;6603134822;6603090350</t>
  </si>
  <si>
    <t>Van Leeuwen, G. M.J.;Lagendijk, J. J.W.;Van Leersum, B. J.A.M.;Zwamborn, A. P.M.;Hornsleth, S. N.;Kotte, A. N.T.J.</t>
  </si>
  <si>
    <t>Netherlands;Norway;Netherlands</t>
  </si>
  <si>
    <t>Utrecht;Bergen;The Hague</t>
  </si>
  <si>
    <t>University Medical Center Utrecht;Haukeland Universitetssjukehus;Nederlandse Organisatie voor toegepast natuurwetenschappelijk onderzoek- TNO</t>
  </si>
  <si>
    <t>60032724;60030280;60019984</t>
  </si>
  <si>
    <t>Van Leeuwen G.</t>
  </si>
  <si>
    <t>Calculation of change in brain temperatures due to exposure to a mobile phone</t>
  </si>
  <si>
    <t>S0031915599027013</t>
  </si>
  <si>
    <t>10.1088/0031-9155/44/10/301</t>
  </si>
  <si>
    <t>2-s2.0-0032847594</t>
  </si>
  <si>
    <t>['scalar analysis', 'pix numbers', 'lens resolution', 'image structures', 'focal plane', 'fields refracted', 'different position', 'corrugated horn']</t>
  </si>
  <si>
    <t>The fields refracted by circular symmetric hyperbolic lens illuminated by a linearly polarized plane wave are calculated from the induced surface currents. It is shown that the fields in the axial region approximate to the fields in the aperture of corrugated horn under balanced hybrid condition. The image structures for different focal ratio are compared with the classical Airy pattern, deduced by scalar analysis, of optical focusing systems. The coupling between the lens and a corrugated horn at different position on focal plane are presented. The lens resolution and pix numbers are evaluated.</t>
  </si>
  <si>
    <t>1843-1854</t>
  </si>
  <si>
    <t>60005244;60005244;60005244</t>
  </si>
  <si>
    <t>7006874529;7404239172;7202120767</t>
  </si>
  <si>
    <t>Dou, W. B.;Sun, Z. L.;Tan, X. Q.</t>
  </si>
  <si>
    <t>Dou W.</t>
  </si>
  <si>
    <t>Diffraction fields in the focal space of symmetrical hyperbolic focusing lens</t>
  </si>
  <si>
    <t>10.1023/A:1021721917087</t>
  </si>
  <si>
    <t>2-s2.0-0033204083</t>
  </si>
  <si>
    <t>['tracking purposes', 'system provides', 'radar ranging', 'novel 4', 'monopulse processor', 'highly cost', 'effective solution', 'collision avoidance']</t>
  </si>
  <si>
    <t>The design of a complete single card frequency modulated continuous wave radar transceiver system with a novel 4-element active antenna array is presented. Azimuth tracking ability is achieved at the intermediate frequency via a monopulse processor. The system provides a highly cost-effective solution for radar ranging and tracking purposes such as collision avoidance and automated roadways without bulky expensive hardware.</t>
  </si>
  <si>
    <t>OCT.</t>
  </si>
  <si>
    <t>6603765612;7402872518;36041035600</t>
  </si>
  <si>
    <t>Fredrick, Jonathan D.;Qian, Yongxi;Itoh, Tatsuo</t>
  </si>
  <si>
    <t>Fredrick J.</t>
  </si>
  <si>
    <t>Novel single card FMCW radar transceiver with on board monopulse processing</t>
  </si>
  <si>
    <t>2-s2.0-0033204095</t>
  </si>
  <si>
    <t>Estech</t>
  </si>
  <si>
    <t>['paper presents', 'measurement results', 'main parameters', 'excellent agreement', 'e ).', 'constructed prototype', 'catr ).', 'antenna generates', '2 ghz']</t>
  </si>
  <si>
    <t>This paper presents the design and characterisation of a millimetre-wave corrugated horn antenna to perform low power measurements of the main parameters of the quasioptical transmission lines of the Electron Cyclotron Resonance Heating (ECRH) at TJ-II stellerator experiment working in Madrid (E). The antenna generates a practically pure Gaussian Beam at 53.2 GHz that simulates the stellerator gyrotron output beam. Simulations of the designed corrugated horn, by using a specially developed computer code, are presented. The far field radiation pattern of the constructed prototype was measured at the ESTEC Compact Antenna Test Range (CATR). The measurement results are in excellent agreement with those obtained from simulations.</t>
  </si>
  <si>
    <t>1757-1767</t>
  </si>
  <si>
    <t>60033019-60031159;60033019;60033019;60031159;60033019;60109752;60109752;60109752</t>
  </si>
  <si>
    <t>6602670718;7003903508;7101889305;55950302500;56273515600;57193818668;6601942043;8938510400</t>
  </si>
  <si>
    <t>Teniente, Jorge;Gonzalo, Ram√≥n;Del Rio, Carlos;Mart√≠-Canales, Javier;Sorolla, Mario;Fern√°ndez, √Ångela;Likin, Konstantin M.;Mart√≠n, Romualdo</t>
  </si>
  <si>
    <t>Spain;Spain;Netherlands</t>
  </si>
  <si>
    <t>Madrid;Pamplona;Noordwijk aan Zee</t>
  </si>
  <si>
    <t>Laboratorio Nacional de Fusi√≥n;Universidad P√∫blica de Navarra;ESTEC - European Space Research and Technology Centre</t>
  </si>
  <si>
    <t>60109752;60033019;60031159</t>
  </si>
  <si>
    <t>Teniente J.</t>
  </si>
  <si>
    <t>Corrugated horn antenna for low-power testing of the quasioptical transmission lines at TJ-II stellerator</t>
  </si>
  <si>
    <t>10.1023/A:1021753429383</t>
  </si>
  <si>
    <t>2-s2.0-0033204670</t>
  </si>
  <si>
    <t>['study shows', 'physical features']</t>
  </si>
  <si>
    <t>In this paper, the design and the measurements of a Gaussian profiled horn antenna for the 11.7-12.2 GHz frequency band for the HISPASAT 1C satellite are presented. The study shows the possibility of improving the electromagnetic and physical features of conventional horn antennas by using Gaussian techniques.</t>
  </si>
  <si>
    <t>1809-1815</t>
  </si>
  <si>
    <t>60033019;60033019;60033019</t>
  </si>
  <si>
    <t>6602670718;7003903508;7101889305</t>
  </si>
  <si>
    <t>Teniente, Jorge;Gonzalo, Ram√≥n;Del R√≠o, Carlos</t>
  </si>
  <si>
    <t>Pamplona</t>
  </si>
  <si>
    <t>Universidad P√∫blica de Navarra</t>
  </si>
  <si>
    <t>Gaussian profiled horn antenna for HISPASAT 1C satellite</t>
  </si>
  <si>
    <t>10.1023/A:1021713715270</t>
  </si>
  <si>
    <t>2-s2.0-0033204797</t>
  </si>
  <si>
    <t>Ministry of Science and Technology</t>
  </si>
  <si>
    <t>98-N6-01-01-A-06</t>
  </si>
  <si>
    <t>MOST</t>
  </si>
  <si>
    <t>['various sources', 'two polarizations', 'two bands', 'theoretical calculations', 'successfully observed', 'simultaneous observation', 'quasioptical system', 'measured results', 'cassegrain focus', 'beam splitter', 'bands using', '3 inches', '150ghz band', '14m telescope']</t>
  </si>
  <si>
    <t>A quasioptical system of 100/150GHz band for dual channel receiver is developed for the simultaneous observation for both bands. The frequency independent Gaussian beam matching is applied to design the quasioptical system for wide band operation. A beam measurement system is constructed to measure the quasioptical system and to align its components. The beam from Cassegrain focus is divided into two polarizations by the beam splitter and then fed to corrugated feed horns of their bands through their quasioptical system. The intensity distributions near the Cassegrain focus and the variations of the beam widths along the propagation are measured in the laboratory. The performances of the developed quasioptical system are evaluated by comparing the measured results with theoretical calculations. The dual channel receiver with this quasioptical system is installed in the 14m telescope. The relative pointing offset between two bands is 3 inches. We have successfully observed the various sources with both bands using this receiver since October 1998.</t>
  </si>
  <si>
    <t>1769-1782</t>
  </si>
  <si>
    <t>60081106-60001018;60081106;60081106;60081106;60081106;60081106;60081106;60081106;60001018</t>
  </si>
  <si>
    <t>57202138527;7405942828;57205274094;57202965698;7410137012;7404007291;35253303600;35227565500;15039320200</t>
  </si>
  <si>
    <t>Park, Jong Ae;Han, Seog Tae;Kim, Tai Seong;Kim, Kwang Dong;Kim, Hyo Ryong;Chung, Hyun Soo;Cho, Se Hyung;Lee, Chang Hoon;Yang, Jongmann</t>
  </si>
  <si>
    <t>Daejeon;Seoul</t>
  </si>
  <si>
    <t>Korea Astronomy and Space Science Institute;Ewha Womans University</t>
  </si>
  <si>
    <t>60081106;60001018</t>
  </si>
  <si>
    <t>Park J.A.</t>
  </si>
  <si>
    <t>Quasioptical system of the dual channel SIS receiver for TRAO telescope</t>
  </si>
  <si>
    <t>10.1023/A:1021705513453</t>
  </si>
  <si>
    <t>2-s2.0-0033204833</t>
  </si>
  <si>
    <t>['system radios', 'path align', 'effective method', 'easily performed', 'antenna alignment']</t>
  </si>
  <si>
    <t>The difficulties of scheduling an antenna alignment with the system's radios can cause significant delays. The Path Align-R model 2200 test set offers an accurate and cost-effective method of microwave antenna alignment that is easily performed by two technicians without the use of system radios.</t>
  </si>
  <si>
    <t>Microwave antenna path-alignment test set</t>
  </si>
  <si>
    <t>2-s2.0-0033205015</t>
  </si>
  <si>
    <t>['variational integral', 'symmetric ingaasp', 'stated earlier', 'laser waveguides', 'inp buried', 'gaussian region', 'gaussian approximation', 'field distribution', 'cavity thickness', 'beam width', 'analytical approximation', '7 percent', '3œºm wavelength', '1 ].']</t>
  </si>
  <si>
    <t>Analytical approximation of near- and far - field parameters characterizing the TEo mode propagation in symmetric InGaAsP/InP buried - heterostructure (BH) laser waveguides are described. The beam width is approximated within 5.7 percent by analytical formulas covering useful ranges of cavity thickness and refractive index steps. By using a Gaussian approximation for near - field distribution and solving the maximization of the variational integral by extensive numerical calculations using least - mean - square (LMS) method, it is found that the Gaussian region has been extended to the values of normalised waveguide thickness, D&lt;1.5 which was stated earlier as non Gaussian region[1]. The lower bound values of D is obtained as 1.11 for 1.3Œºm wavelength and 0.9408 for 1.55 Œºm wavelength.</t>
  </si>
  <si>
    <t>173-183</t>
  </si>
  <si>
    <t>Journal of Optics (India)</t>
  </si>
  <si>
    <t>60021176;60014340;101763181</t>
  </si>
  <si>
    <t>7006687810;57212278953;12789801800</t>
  </si>
  <si>
    <t>Ravichandran, V. C.;Jayashri, S.;Malarkodi, B.</t>
  </si>
  <si>
    <t>India;India;India</t>
  </si>
  <si>
    <t>Chennai;Chennai;Trichy</t>
  </si>
  <si>
    <t>Anna University;SRM Institute of Science and Technology;REC</t>
  </si>
  <si>
    <t>Ravichandran V.C.</t>
  </si>
  <si>
    <t>On the analysis of near-and far-field radiation patterns for longer wavelength laser diodes (1.3-and 1.55Œºm)</t>
  </si>
  <si>
    <t>2-s2.0-0033205134</t>
  </si>
  <si>
    <t>['technology development', 'science data', 'mission operations', 'late 1950s', 'helped pioneer', 'ground systems', 'early days', 'collect significantly', 'article examines', 'also glance']</t>
  </si>
  <si>
    <t>Space mission operations have evolved over the years as both spacecraft and ground system technology have matured. APL has been at the forefront of the U.S. space program since its inception in the late 1950s, and, therefore, has been a driver in developing and implementing space technology. From the early days of handheld ground antennas tracking Sputnik to today's automated, Web-based mission control centers, APL has helped pioneer that progress. The capabilities of both the spacecraft and ground systems have increased so much that we are able to collect significantly more science data and to control military operational satellites with greatly reduced staff, which lowers the overall program costs. This article examines how mission operations are handled at APL, with an emphasis on how the technology and processes have evolved. We also glance at the future to predict how further technology development will affect the way APL operates future missions.</t>
  </si>
  <si>
    <t>511-521</t>
  </si>
  <si>
    <t>Johns Hopkins APL Technical Digest (Applied Physics Laboratory)</t>
  </si>
  <si>
    <t>;;;;</t>
  </si>
  <si>
    <t>7103130288;7401534869;6603232206;6506265725;6508245492</t>
  </si>
  <si>
    <t>Baer, Glen E.;Harvey, Raymond J.;Holdridge, Mark E.;Huebschman, Richard K.;Rodberg, Elliot H.</t>
  </si>
  <si>
    <t>Baer G.</t>
  </si>
  <si>
    <t>Mission operations</t>
  </si>
  <si>
    <t>2-s2.0-0033207356</t>
  </si>
  <si>
    <t>['telephone channels', 'surveillance system', 'successfully implemented', 'permit usage', 'operating video', 'modulated reflector', 'developed using']</t>
  </si>
  <si>
    <t>A system has been developed using an impedance-modulated reflector as the passive node antenna. It is designed for a medium-range, low-power, slow-scan, remote video surveillance. This system also uses compression technology to permit usage of narrow band satellite and telephone channels. It has been successfully implemented into an operating video-surveillance system.</t>
  </si>
  <si>
    <t>29-33</t>
  </si>
  <si>
    <t>6602334182;7404492537;6602671618</t>
  </si>
  <si>
    <t>Bracht, Roger;Miller, Edmund K.;Kuckertz, Thomas</t>
  </si>
  <si>
    <t>Bracht R.</t>
  </si>
  <si>
    <t>Impedance-modulated-reflector system</t>
  </si>
  <si>
    <t>10.1109/45.796098</t>
  </si>
  <si>
    <t>2-s2.0-0033207488</t>
  </si>
  <si>
    <t>['westinghouse electric', 'power output', 'november 2', 'manufacturing company', 'historic broadcast', 'heard regularly', 'even beyond', 'east pittsburgh', '100 watts']</t>
  </si>
  <si>
    <t>A look at the history of KDKA of East Pittsburgh, PA, is presented. The historic broadcast on November 2, 1920 of the Harding-Cox presidential election returns is recalled. With a power output of 100 watts, the transmitter's signals reached homes several hundred miles from the world's first commercial radio station. Its great success led its owner, the Westinghouse Electric and Manufacturing Company, to increase its power output by 10-fold within one year. By the end of 1923, KDKA was heard regularly all over the US and even beyond.</t>
  </si>
  <si>
    <t>Simaan, Marwan A.</t>
  </si>
  <si>
    <t>University of Pittsburgh</t>
  </si>
  <si>
    <t>Simaan M.</t>
  </si>
  <si>
    <t>Looking back: KDKA</t>
  </si>
  <si>
    <t>10.1109/45.796101</t>
  </si>
  <si>
    <t>2-s2.0-0033207861</t>
  </si>
  <si>
    <t>Austrian Science Fund</t>
  </si>
  <si>
    <t>11149-Bio</t>
  </si>
  <si>
    <t>FWF</t>
  </si>
  <si>
    <t>['subterranean environment', 'species lack', 'species group', 'sp .)', 'setation patterns', 'p4 basipod', 'maxillulary palp', 'longer aesthetascs', 'lobau wetlands', 'interstitial groundwaters', 'higher degree', 'female antennules', 'felix n', 'exopodal seta', 'diacyclops languidoides', 'danielopoli n', 'critically discussed', 'coxal plates', 'caudal rami', 'apomorphic state', 'antenna basipod']</t>
  </si>
  <si>
    <t>Copepods | Cyclopoids | Diacyclops | Groundwaters</t>
  </si>
  <si>
    <t>Two new syntopic species of the Diacyclops languidoides-group (D. danielopoli n. sp. and D. felix n. sp.) are described from interstitial groundwaters of Lobau wetlands, Austria. Both species lack the exopodal seta on antenna basipod, but differ in several minute morphological details of antennules, antennae, maxillulary palp, coxal plates, P4 basipod and caudal rami. Some of these characters are present in D. danielopoli n. sp. in an apomorphic state (reduction of setation patterns, longer aesthetascs on male and female antennules, absence of exopodal seta on maxillulary palp, longer dorsal caudal seta) suggesting a higher degree of specialization to the subterranean environment than in D. felix n. sp. The relationship between the reduction of setation patterns on mouthparts and the degree of stygobitization in the Diacyclops languidoides-species group is critically discussed.</t>
  </si>
  <si>
    <t>165-176</t>
  </si>
  <si>
    <t>Hydrobiologia</t>
  </si>
  <si>
    <t>60025988;100761473</t>
  </si>
  <si>
    <t>7004059648;56034567400</t>
  </si>
  <si>
    <t>Pospisil, Peter;Stoch, Fabio</t>
  </si>
  <si>
    <t>Austria;Italy</t>
  </si>
  <si>
    <t>Vienna;Trieste</t>
  </si>
  <si>
    <t>Universit√§t Wien;Museum of Natural History</t>
  </si>
  <si>
    <t>Pospisil P.</t>
  </si>
  <si>
    <t>Two new species of the Diacyclops languidoides-group (Copepoda, Cyclopoida) from groundwaters of Austria</t>
  </si>
  <si>
    <t>10.1023/A:1003839301339</t>
  </si>
  <si>
    <t>2-s2.0-0033208344</t>
  </si>
  <si>
    <t>Be 804/11</t>
  </si>
  <si>
    <t>['two antennas', 'titanium implant', 'real time', 'prosthetic head', 'principal function', 'placed inside', 'personal computer', 'paper describes', 'integrated 8', 'instrumented implant', 'hip implants', 'hip implant', 'hip endoprosthesis', 'hermetically sealed', 'entire length', 'different frequencies', 'body fluids']</t>
  </si>
  <si>
    <t>Biomechanics | Hip joint force | Hip joint temperature | In vivo measurement | Instrumented hip prosthesis | Telemetry</t>
  </si>
  <si>
    <t>Friction between the prosthetic head and acetabular cup increases the temperature in hip implants during activities like walking. A hip endoprosthesis was instrumented with sensors to measure the joint contact forces and the temperature distribution along the entire length of the titanium implant. Sensors and two inductively powered telemetry units are placed inside the hip implant and hermetically sealed against body fluids. Each telemetry unit contains an integrated 8-channel telemetry chip and a radio frequency transmitter. Force, temperature and power supply data are transmitted at different frequencies by two antennas to an external twin receiver. The inductive power supply is controlled by a personal computer. Force and temperature are monitored in real time and all data are stored on a video tape together with the patient's images. This paper describes the design and accuracy of the instrumented implant and the principal function of the external system components. Copyright (C) 1999 Elsevier Science Ltd.</t>
  </si>
  <si>
    <t>1113-1117</t>
  </si>
  <si>
    <t>Journal of Biomechanics</t>
  </si>
  <si>
    <t>7004634028;7101826211;7005345189</t>
  </si>
  <si>
    <t>Graichen, Friedmar;Bergmann, Georg;Rohlmann, Antonius</t>
  </si>
  <si>
    <t>Graichen F.</t>
  </si>
  <si>
    <t>Hip endoprosthesis for in vivo measurement of joint force and temperature</t>
  </si>
  <si>
    <t>S0021929099001104</t>
  </si>
  <si>
    <t>10.1016/S0021-9290(99)00110-4</t>
  </si>
  <si>
    <t>2-s2.0-0033213747</t>
  </si>
  <si>
    <t>['wave amplitude', 'polarization measurements', 'polarization amplitudes', 'isotropic sensitivity', 'gravitational wave', 'direction independent', 'also discuss']</t>
  </si>
  <si>
    <t>A single spherical antenna is capable of measuring the direction and polarization of a gravitational wave. It is possible to solve the inverse problem using only linear algebra even in the presence of noise. The simplicity of this solution enables one to explore the error on the solution using standard techniques. In this paper we derive the error on the direction and polarization measurements of a gravitational wave. We show that the solid angle error and the uncertainty on the wave amplitude are direction independent. We also discuss the possibility of determining the polarization amplitudes with isotropic sensitivity for any given gravitational wave source.</t>
  </si>
  <si>
    <t>3035-3046</t>
  </si>
  <si>
    <t>Classical and Quantum Gravity</t>
  </si>
  <si>
    <t>60015481-60016340;60001576;60001576</t>
  </si>
  <si>
    <t>6701310666;35607588100;57200717641</t>
  </si>
  <si>
    <t>Merkowitz, Stephen M.;Lobo, J. Alberto;Serrano, M. Angeles</t>
  </si>
  <si>
    <t>Italy;United States;Spain</t>
  </si>
  <si>
    <t>Frascati;Seattle;Barcelona</t>
  </si>
  <si>
    <t>INFN, Laboratori Nazionali Di Frascati;University of Washington;Universitat de Barcelona</t>
  </si>
  <si>
    <t>60016340;60015481;60001576</t>
  </si>
  <si>
    <t>Merkowitz S.M.</t>
  </si>
  <si>
    <t>Errors on the inverse problem solution for a noisy spherical gravitational wave antenna</t>
  </si>
  <si>
    <t>S0264938199032700</t>
  </si>
  <si>
    <t>10.1088/0264-9381/16/10/301</t>
  </si>
  <si>
    <t>2-s2.0-0033240486</t>
  </si>
  <si>
    <t>Hasler Stiftung</t>
  </si>
  <si>
    <t>['systematic approaches', 'sidelobe designs', 'recursively create', 'recursive nature', 'recent developments', 'realizing low', 'many objects', 'independent multi', 'including antennas', 'important properties', 'fractional dimensions', 'fractional dimension', 'fractal arrays', 'fractal array', 'forming algorithms', 'designed using', 'comprehensive overview', 'band characteristics']</t>
  </si>
  <si>
    <t>A fractal is a recursively generated object having a fractional dimension. Many objects, including antennas, can be designed using the recursive nature of a fractal. In this article, we provide a comprehensive overview of recent developments in the field of fractal antenna engineering, with particular emphasis placed on the theory and design of fractal arrays. We introduce some important properties of fractal arrays, including the frequency-independent multi-band characteristics, schemes for realizing low-sidelobe designs, systematic approaches to thinning, and the ability to develop rapid beam-forming algorithms by exploiting the recursive nature of fractals. These arrays have fractional dimensions that are found from the generating subarray used to recursively create the fractal array. Our research is in its infancy, but the results so far are intriguing, and may have future practical applications.</t>
  </si>
  <si>
    <t>37-59</t>
  </si>
  <si>
    <t>60001439;60031706;60136252</t>
  </si>
  <si>
    <t>55925714300;7102186231;56036142700</t>
  </si>
  <si>
    <t>Werner, Douglas H.;Haupt, Randy L.;Werner, Pingjuan L.</t>
  </si>
  <si>
    <t>Dubois;Logan;University Park</t>
  </si>
  <si>
    <t>Penn State DuBois;Utah State University;Pennsylvania State University</t>
  </si>
  <si>
    <t>60136252;60031706;60001439</t>
  </si>
  <si>
    <t>Fractal antenna engineering: the theory and design of fractal antenna arrays</t>
  </si>
  <si>
    <t>10.1109/74.801513</t>
  </si>
  <si>
    <t>2-s2.0-0033309115</t>
  </si>
  <si>
    <t>['multiple interactions', 'key factors', 'development effort', 'available technologies', 'anticipated requirements']</t>
  </si>
  <si>
    <t>Future radar concepts will result from multiple interactions and tradeoffs between anticipated requirements, available technologies, and permanent basic limitations. An overview of these key factors is presented in order to analyze some promising future concepts and to identify main lines along which research and development effort should be oriented.</t>
  </si>
  <si>
    <t>Le Chevalier, Fran√ßois</t>
  </si>
  <si>
    <t>Le Chevalier F.</t>
  </si>
  <si>
    <t>Future concepts for electromagnetic detection: From space-time-frequency resources management to wideband radars</t>
  </si>
  <si>
    <t>10.1109/62.799624</t>
  </si>
  <si>
    <t>2-s2.0-0033320808</t>
  </si>
  <si>
    <t>['paper proposes', 'lumped part', 'element time', 'domain method', 'containing linear', 'circuit equations']</t>
  </si>
  <si>
    <t>Fdtd methods | Finite-element method | Hybrid techniques | Nonlinear circuits | Time-domain analysis</t>
  </si>
  <si>
    <t>This paper proposes an extension of the finite-element time-domain method for the global electromagnetic analysis of complex inhomogeneous microwave distributed circuits, containing linear or nonlinear lumped elements. This technique combines Maxwell's equations and circuit equations, directly using SPICE software for the lumped part. Its validation is performed through the study of a strongly coupled two-element active antenna. ¬© 1999 IEEE.</t>
  </si>
  <si>
    <t>2045-2049</t>
  </si>
  <si>
    <t>60104081;60104081;112896510;60008134</t>
  </si>
  <si>
    <t>6602794527;7403907957;7004657754;22955400400</t>
  </si>
  <si>
    <t>Guillouard, K.;Wong, M. F.;Fouad Hanna, V.;Citerne, J.</t>
  </si>
  <si>
    <t>Issy-les-Moulineaux;Paris;Paris</t>
  </si>
  <si>
    <t>Orange Labs;CNRS Centre National de la Recherche Scientifique;Universit√©</t>
  </si>
  <si>
    <t>60104081;60008134;112896510</t>
  </si>
  <si>
    <t>Guillouard K.</t>
  </si>
  <si>
    <t>A New global time-domain electromagnetic simulator of microwave circuits including lumped elements based on finite-element method</t>
  </si>
  <si>
    <t>S0018948099077182</t>
  </si>
  <si>
    <t>10.1109/22.795085</t>
  </si>
  <si>
    <t>2-s2.0-0033330460</t>
  </si>
  <si>
    <t>['vanish rapidly', 'tunnelling equation', 'real part', 'radiation resistance', 'plasma coupling', 'numerical results', 'mode conversion', 'ignitor machine', 'icrh range', 'icrh antenna', 'hydrogen plasma', 'fundamental minority', 'established code', 'electric field', 'dipole configuration', 'current flowing', 'closed form']</t>
  </si>
  <si>
    <t>The effect of mode conversion on antenna-plasma coupling in the ICRH range is studied. A collisionless, weakly inhomogeneous plasma in the 'slab' approximation, in which mode conversion is described by the tunnelling equation with first harmonic majority (œâ = 2Œ©cM) and fundamental minority (œâ = Œ©cm) ion cyclotron absorption, is considered. Green's function, connecting the electric field on a ICRH antenna with the current flowing in the same antenna, has been evaluated, essentially in closed form, and has been employed to evaluate the antenna radiation resistance. Numerical results have been obtained, for the parameters of the IGNITOR machine and a deuterium-hydrogen plasma; in the cold plasma limit, in which mode conversion effects are disregarded, our results are in agreement with those of an established code. Mode conversion effects produce a decrease of the radiation resistance for the monopole antenna configuration, and much weaker effects on the dipole configuration. This is related to the behaviour of the real part of the Green's function, which tends to vanish rapidly for toroidal wavenumbers approaching zero as a result of reflection from the mode conversion layer.</t>
  </si>
  <si>
    <t>1403-1419</t>
  </si>
  <si>
    <t>60012162;60012162;60012162</t>
  </si>
  <si>
    <t>24766561500;6603698374;6602124119</t>
  </si>
  <si>
    <t>Vecchi, G.;Riccitelli, M.;Maggiora, R.</t>
  </si>
  <si>
    <t>FLR mode conversion effects in the coupling analysis of the ICRF strap antenna in the IGNITOR machine</t>
  </si>
  <si>
    <t>10.1088/0029-5515/39/10/304</t>
  </si>
  <si>
    <t>2-s2.0-0033341381</t>
  </si>
  <si>
    <t>['normally characterized', 'minimal effects', 'focusing properties', 'focusing process', 'focusing distance', 'field zone', 'directive gain', 'beam width', 'array size', 'array elements', 'antenna arrays']</t>
  </si>
  <si>
    <t>Antenna arrays are normally characterized in terms of their far-field radiation patterns, beam width and directive gain. However, for some applications the array is required to act as a lens and is focused in the near-field zone. The focusing is done by adjusting the phase of the array elements. In this study the focusing properties of a linear dipole array are investigated to determine the parameters that influence focusing efficiency. In particular, the effects of the array size, focusing distance, frequency of operation, and spacing between elements are studied. The simulations are carried out using the method of moments, and show that the array size and phase distribution play dominant roles in the focusing process. Other parameters have minimal effects.</t>
  </si>
  <si>
    <t>163-168</t>
  </si>
  <si>
    <t>7005226591;8092251400;7005104207</t>
  </si>
  <si>
    <t>Badawi, A.;Shafai, L.;Sebak, A.</t>
  </si>
  <si>
    <t>Badawi A.</t>
  </si>
  <si>
    <t>Near-field focusing properties of colinear dipole arrays</t>
  </si>
  <si>
    <t>2-s2.0-0033343044</t>
  </si>
  <si>
    <t>['vector product', 'numerical results', 'microstrip structures', 'microstrip antennas', 'integral equation', 'fft ).', 'efficiently evaluate', 'dimensional scatterers', 'computer memory']</t>
  </si>
  <si>
    <t>The adaptive integral method (AIM) to accelerate iterative solution of the integral equation is described for analysis of free-space and stratified medium problems. This method employs triangular basis functions and computes the matrix-by-vector product, which arises from the method of moments (MoM) discretization of such problems, by using the fast Fourier transform (FFT). As a result, this method not only retains the excellent modelling capability offered by the triangular basis functions, but also significantly reduces the demand of computer memory and central processing unit (CPU) time. For microstrip structures in a stratified medium environment, the discrete complex image method (DCIM) is employed to efficiently evaluate the spatial domain Green's functions. Numerical results of microstrip antennas and circuits and three-dimensional scatterers in free-space are presented to demonstrate the accuracy and efficiency of this method.</t>
  </si>
  <si>
    <t>56296682900;56119416800;7403588231</t>
  </si>
  <si>
    <t>Ling, Feng;Wang, Chaofu;Jin, Jianming</t>
  </si>
  <si>
    <t>Fast electromagnetic solver using adaptive integral method</t>
  </si>
  <si>
    <t>2-s2.0-0033357303</t>
  </si>
  <si>
    <t>Universidad Nacional de San Juan</t>
  </si>
  <si>
    <t>UNSJ</t>
  </si>
  <si>
    <t>['water reserves', 'voids ),', 'three profiles', 'thick unit', 'surveyed area', 'res survey', 'preliminary results', 'multistorey structure', 'local glaciers', 'length antennas', 'largely glacier', 'isolated measurements', 'impulse transmitter', 'high rate', 'glacier terminus', 'extreme differences', 'energy peaks', 'dense near', 'debris saturation', 'arid andes', 'antenna separation', 'altered rock', 'also possible', 'account problems', '12 mhz']</t>
  </si>
  <si>
    <t>Argentina | Geophysics | Glaciers</t>
  </si>
  <si>
    <t>The results of ground-based Radio Echo Sounding (RES) of the Agua Negra Glacier of the arid Andes of Argentina are analyzed. The glacier (30¬∞15'S, 69¬∞50'W) extends from 5.200 to 4600 m in altitude, and presents a smooth and convex upward surface without evident crevasses. Most potential crevasses seem to be sealed by the high rate of melting freezing due to extreme differences between positive (diurnal) and negative (night) energy peaks. Seismic methods suggest the existence of a thick unit of debris or altered rock at the base of the glacier. Higher than normal seismic velocities indicate a very compact ice system (ice + voids), very dense near the glacier terminus. An impulse transmitter of 12 MHz was used for the RES survey, with 4 m half-length antennas, and an antenna separation of 30 m. Three profiles were surveyed and isolated measurements were taken in addition, covering about a tenth of the total glacier surface. Very clear bottom echoes occurred in most cases, indicating a maximum ice thickness of 50 to 55 m and an ice volume beneath the surveyed area of 2.0 x 106 m3. The total glacier volume is estimated as 10 times higher, representing an important water resource for this region. It is also possible that an older ice body lies beneath the debris that forms the present glacier base. The multistorey structure of local glaciers may be an inheritance of past glacial cycles, modulating the evolution of a complex glaciolithic system. These preliminary results, suggest the RES method works well on local glaciers, provided one take into account problems such as debris saturation, low-scale relief producing scattered echoes and low ice thickness. Its application should contribute to studies of the water reserves in this largely glacier-dependent arid region.</t>
  </si>
  <si>
    <t>179-191</t>
  </si>
  <si>
    <t>Global and Planetary Change</t>
  </si>
  <si>
    <t>60017292;60017292</t>
  </si>
  <si>
    <t>6603960737;48961099500</t>
  </si>
  <si>
    <t>Milana, Juan Pablo;Maturano, An√≠bal</t>
  </si>
  <si>
    <t>Argentina</t>
  </si>
  <si>
    <t>San Juan</t>
  </si>
  <si>
    <t>Milana J.</t>
  </si>
  <si>
    <t>Application of Radio Echo Sounding at the arid Andes of Argentina: The Agua Negra Glacier</t>
  </si>
  <si>
    <t>S0921818199000351</t>
  </si>
  <si>
    <t>10.1016/S0921-8181(99)00035-1</t>
  </si>
  <si>
    <t>2-s2.0-0033428571</t>
  </si>
  <si>
    <t>['usual triad', 'ultrastructure indicates', 'three types', 'thermoreceptive function', 'styloconic sensilla', 'sexual dimorphism', 'sensilla trichodea', 'sensilla styloconica', 'sensilla chaetica', 'sensilla basiconica', 'psylliodes chrysocephala', 'probably thermo', 'probably mechanoreceptors', 'one thermoreceptor', 'one hygroreceptor', 'olfactory role', 'may also', 'hygro receptors', 'gustatory receptors', 'antennal sensilla']</t>
  </si>
  <si>
    <t>Aporous sensilla | Cabbage stem flea beetle | Multiporous sensilla | Ultrastructure | Uniporous sensilla</t>
  </si>
  <si>
    <t>The ultrastructure and distribution of sensilla on the antennae of the cabbage stem flea beetle, Psylliodes chrysocephala, were investigated using scanning and transmission electron microscopy techniques. Eight different sensillar types were distinguished. These were; hair plate sensilla, sensilla chaetica, three types of sensilla trichodea, sensilla basiconica, grooved peg sensilla and styloconic sensilla. The sensilla chaetica are known to be gustatory receptors. Ultrastructure indicates that the hair plate sensilla and sensilla trichodea type one are probably mechanoreceptors, whilst the sensilla styloconica are probably thermo-hygro receptors. These thermo- hygroreceptors are unusual in that they are innervated by two sensory cells (one hygroreceptor and one thermoreceptor) rather than the more usual triad. The remaining four sensillar types all have a porous hair shaft, indicating an olfactory role. One of these (the grooved peg sensillum) may also have a thermoreceptive function. No sexual dimorphism was found in the structure, number or distribution of the antennal sensilla. (C) 2000 Elsevier Science Ltd.</t>
  </si>
  <si>
    <t>291-300</t>
  </si>
  <si>
    <t>60002793;60003003;60002793;60003003</t>
  </si>
  <si>
    <t>6601975709;7005718466;7201818792;6602746609</t>
  </si>
  <si>
    <t>Bartlet, Elspeth;Romani, Roberto;Williams, Ingrid H.;Isidoro, Nunzio</t>
  </si>
  <si>
    <t>Italy;United Kingdom</t>
  </si>
  <si>
    <t>Perugia;Harpenden</t>
  </si>
  <si>
    <t>Universit√† degli Studi di Perugia;Rothamsted Research</t>
  </si>
  <si>
    <t>60003003;60002793</t>
  </si>
  <si>
    <t>Bartlet E.</t>
  </si>
  <si>
    <t>Functional anatomy of sensory structures on the antennae of Psylliodes chrysocephala L. (Coleoptera: Chrysomelidae)</t>
  </si>
  <si>
    <t>S002073229900032X</t>
  </si>
  <si>
    <t>10.1016/S0020-7322(99)00032-X</t>
  </si>
  <si>
    <t>2-s2.0-0033502050</t>
  </si>
  <si>
    <t>Family Care Foundation</t>
  </si>
  <si>
    <t>FCF</t>
  </si>
  <si>
    <t>['two species', 'triatoma rubrovaria', 'triatoma circummaculata', 'tapered hairs', 'tapered hair', 'small segment', 'slit lines', 'similarities observed', 'sensilla basiconica', 'sem ).', 'postocular callosity', 'morphological structures', 'gena sensilla', 'following types', 'first segment', 'dorsal portion', 'bristles type', 'antennal segments', '5th instar']</t>
  </si>
  <si>
    <t>Antennae | Joints | Ommatidia | Rostrum | Sensilla</t>
  </si>
  <si>
    <t>Morphological structures of the head of 1st and 5th instar nymphs of Triatoma circummaculata and Triatoma rubrovaria were revealed by analysis using scanning electron microscopy (SEM). Differences between 1st and 5th instar nymphs of these two species were observed in the postocular callosity, the number of ommatidia and tapered hair, the small segment between antennal segments, the rostrum third segment and slit lines. These slit lines were different only in the 5th instar. Similarities observed were the presence of tapered hairs in the joints, and the type of sensilla in the antennal segments. Only the 1st instar shows anteclypeus and gena sensilla. The antennal segments comprise the following types of sensilla: basiconica, bristles type I, bristles type II, bristles type III, campaniformia, coeloconica, chemosensilla, placodea, trichobothria and trichoidea. We describe here for the first time six (3 + 3) sensilla basiconica on the dorsal portion of the first segment of the rostrum. (C) 2000 Elsevier Science Ltd.</t>
  </si>
  <si>
    <t>363-375</t>
  </si>
  <si>
    <t>60006028;60008088;60006028;60006028</t>
  </si>
  <si>
    <t>7003610834;7006937217;7003405496;6603029408</t>
  </si>
  <si>
    <t>Da Rosa, Jo√£o A.;Barata, Jos√© M.S.;Cilense, Mario;Belda Neto, Francisco M.</t>
  </si>
  <si>
    <t>Sao Paulo;Sao Paulo</t>
  </si>
  <si>
    <t>Universidade de S√£o Paulo;Universidade Estadual Paulista "J√∫lio de Mesquita Filho"</t>
  </si>
  <si>
    <t>60008088;60006028</t>
  </si>
  <si>
    <t>Da Rosa J.</t>
  </si>
  <si>
    <t>Head morphology of 1st and 5th instar nymphs of Triatoma circummaculata and Triatoma rubrovaria (Hemiptera, Reduviidae)</t>
  </si>
  <si>
    <t>S0020732299000380</t>
  </si>
  <si>
    <t>10.1016/S0020-7322(99)00038-0</t>
  </si>
  <si>
    <t>2-s2.0-0033508497</t>
  </si>
  <si>
    <t>['unclassified sample', 'space domains', 'signal received', 'possible implementations', 'algorithms use']</t>
  </si>
  <si>
    <t>Adaptive multidimensional filtering algorithms that estimate the signal received in the presence of noise are proposed. These algorithms use the minimum rms error criterion and an unclassified sample from large array antennas. Their possible implementations are considered, which are based on filters with the pulse response finite and infinite in the time and space domains and error-free calculation methods.</t>
  </si>
  <si>
    <t>1111-1117</t>
  </si>
  <si>
    <t>Shatalov, A. A.</t>
  </si>
  <si>
    <t>Shatalov A.</t>
  </si>
  <si>
    <t>Adaptive Multidimensional Wiener Filtering Algorithms</t>
  </si>
  <si>
    <t>2-s2.0-0041632053</t>
  </si>
  <si>
    <t>['rindler observer', 'old question', 'magnetic field', 'gravitational field', 'general case', 'electromagnetic waves', 'different meanings', 'antenna used', 'also discuss', 'accelerated lab']</t>
  </si>
  <si>
    <t>Equivalence principle | Relativity of radiation | Uniformly accelerated charge</t>
  </si>
  <si>
    <t>We address the old question of whether or not a uniformly accelerated charged particle radiates, and consequently, if weak equivalence principle is violated by electrodynamics. We show that radiation has different meanings; some absolute, some relative Detecting photons or electromagnetic waves is not absolute, it depends both on the electro-magnetic field and on the state of motion of the antenna. An antenna used by a Rindler observer does not detect any radiation from a uniformly accelerated co-moving charged particle. Therefore a Randler observer cannot decide whether or not he is in an accelerated lab or in a gravitational field. We also discuss the general case.</t>
  </si>
  <si>
    <t>427-439</t>
  </si>
  <si>
    <t>Foundations of Physics Letters</t>
  </si>
  <si>
    <t>60026492-60001610;60026492-60001610</t>
  </si>
  <si>
    <t>7003677820;57201080089</t>
  </si>
  <si>
    <t>Shariati, A.;Khorrami, M.</t>
  </si>
  <si>
    <t>Iran;Iran</t>
  </si>
  <si>
    <t>Zanjan;Tehran</t>
  </si>
  <si>
    <t>Institute for Advanced Studies in Basic Sciences, Zanjan;Institute for Studies in Theoretical Physics and Mathematics, Tehran</t>
  </si>
  <si>
    <t>60026492;60001610</t>
  </si>
  <si>
    <t>Shariati A.</t>
  </si>
  <si>
    <t>Equivalence principle and radiation by a uniformly accelerated charge</t>
  </si>
  <si>
    <t>10.1023/A:1021677226637</t>
  </si>
  <si>
    <t>2-s2.0-0041850170</t>
  </si>
  <si>
    <t>['whittaker functions', 'simple formulas', 'parabolic law', 'incomplete gamma', 'electromagnetic waves', 'convergent series']</t>
  </si>
  <si>
    <t>The reception of electromagnetic waves by a thin wire immersed into a conductive space according to a parabolic law is considered. The solution is represented by a convergent series. For calculating the terms of the series, the relations between the generalized probability integral, incomplete gamma-functions, and Whittaker functions is used. Simple formulas for estimating the effective antenna length are derived.</t>
  </si>
  <si>
    <t>1086-1090</t>
  </si>
  <si>
    <t>Verbin, Yu P.</t>
  </si>
  <si>
    <t>Verbin Y.</t>
  </si>
  <si>
    <t>The Electromotive Force in a Thin Wire Immersed into a Conductive Half-Space According to a Parabolic Law</t>
  </si>
  <si>
    <t>2-s2.0-0042133055</t>
  </si>
  <si>
    <t>['various modifications', 'transmit positions', 'spatial positioning', 'relative location', 'mobile bases', 'antenna aperture']</t>
  </si>
  <si>
    <t>A dependence is determined of the resolution of diversity radar systems with mobile bases on characteristics of the relative location and motion of the receive and transmit positions in the process of synthesis of the antenna aperture. Directions are determined in which a potential resolution may be obtained, and estimates for its value are derived for various modifications of the spatial positioning of the systems.</t>
  </si>
  <si>
    <t>1107-1110</t>
  </si>
  <si>
    <t>Syrbu, I. A.</t>
  </si>
  <si>
    <t>Syrbu I.</t>
  </si>
  <si>
    <t>Resolution of Diversity Radar Systems with Mobile Bases in the Process of Direct Synthesis of the Antenna Aperture</t>
  </si>
  <si>
    <t>2-s2.0-0042634023</t>
  </si>
  <si>
    <t>['zone distally', 'various types', 'two subtypes', 'trichodea occur', 'trichodea increases', 'trichodea abound', 'three subtypes', 'superior preservation', 'stimulus transport', 'sexual dimorphism', 'sensory dendrites', 'sensillar complement', 'section series', 'random pattern', 'proximal region', 'particular attention', 'palps revealed', 'one subtype', 'numerous even', 'multiporous sensilla', 'mostly two', 'maxillary palp', 'male funiculus', 'lateral direction', 'larger number', 'irregularly distributed', 'individually studied', 'funiculus surface', 'funicular surface', 'functional significance', 'fine structure', 'female funiculus', 'extensive cross', 'electrophysiological experiments', 'drosophila melanogaster', 'distally along', 'described structures', 'cuticular apparatus', 'cryofixed antennae', 'combine features', 'cellular details', 'bit longer', 'besides mechanoreceptive', 'basiconica occur', 'basiconica decreases', 'basiconic sensilla', '.) trichodea']</t>
  </si>
  <si>
    <t>Antenna | Cryofixation | Maxillary palp | Scanning electron microscopy | Transmission electron microscopy</t>
  </si>
  <si>
    <t>The third antennal segment (funiculus) and the maxillary palp are the main and accessory olfactory sense organs of Drosophila melanogaster. Cryofixed antennae and palps revealed a superior preservation of the sensory dendrites and other cellular details as compared to conventional chemical fixation. Extensive cross-section series through funiculus and palp were studied in order to obtain as complete an evaluation as possible of the sensillar complement on these appendages. About 75% of all sensilla on the male and female funiculus were individually studied and their position on the antennal surface mapped. Dimensions of the cuticular apparatus of the various types of sensilla are provided as well as the number of innervating receptor neurons. Particular attention has been paid to the cuticular pores important for stimulus transport and to the sensory dendrites. On the funiculus surface, all sensilla have multiple wall pores: sensilla (s.) trichodea and s. basiconica are single-walled, s. coeloconica are double-walled. The distribution of s. trichodea and s. basiconica follows opposing gradients along a diagonal axis parallel to the axis of the arista from proximo-medial to disto-lateral. In this disto-lateral direction the density of s. trichodea increases while that of the s. basiconica decreases. S. trichodea occur in three subtypes with one, two or three receptor neurons. Basiconic sensilla can be subdivided into three subtypes of large s. basiconica (with two or four receptor neurons), three subtypes of thin s. basiconica (with mostly two, rarely four neurons), and one subtype of small s. basiconica with two receptor neurons. Large s. basiconica occur only in the most proximal region (the 'LB-zone'); thin s. basiconica are most common in a belt that borders the LB-zone distally, while small s. basiconica are most numerous even further distally along the mentioned diagonal axis in between the s. trichodea. S. intermedia are single-walled, multiporous sensilla which combine features of s. trichodea and s. basiconica; they are found in two subtypes with two or three receptor neurons, in the same region where s. trichodea abound. The s. coeloconica are irregularly distributed over the funicular surface, and occur in two subtypes with two or three receptor neurons. Sexual dimorphism on the antenna is moderate, the female funiculus is a bit longer and carries a larger number of small s. basiconica and large s. basiconica of the LB-I subtype; the male funiculus, however, has more s. trichodea than the female. On the maxillary palp, besides mechanoreceptive s. chaetica, there are only s. basiconica with two receptor neurons. According to the fine structure of their sensory dendrites, three subtypes can be discriminated which are distributed in a random pattern. The functional significance of the described structures and distribution awaits future immunocytochemical and electrophysiological experiments. (C) 2000 Elsevier Science Ltd.</t>
  </si>
  <si>
    <t>377-397</t>
  </si>
  <si>
    <t>105953572;105953572;105953572</t>
  </si>
  <si>
    <t>7004021722;57199792740;7003953871</t>
  </si>
  <si>
    <t>Shanbhag, S. R.;M√ºller, B.;Steinbrecht, R. A.</t>
  </si>
  <si>
    <t>Pocking</t>
  </si>
  <si>
    <t>Max-Planck-Inst. V.</t>
  </si>
  <si>
    <t>Shanbhag S.</t>
  </si>
  <si>
    <t>Atlas of olfactory organs of Drosophila melanogaster 1. Types, external organization, innervation and distribution of olfactory sensilla</t>
  </si>
  <si>
    <t>S0020732299000392</t>
  </si>
  <si>
    <t>10.1016/S0020-7322(99)00039-2</t>
  </si>
  <si>
    <t>2-s2.0-0342803604</t>
  </si>
  <si>
    <t>['well understood', 'findings show', 'carabid beetle', 'canal cell', 'beetles thought', 'antennal glands']</t>
  </si>
  <si>
    <t>Antennomere | Fine structure | Gland acini | Insecta</t>
  </si>
  <si>
    <t>The antennae of males and females of the carabid beetle, Platynus, contain numerous type-III gland acini composed of two different gland cells and a canal cell. The findings show that antennal glands are not only found in highly specialized groups, but also in beetles thought to represent ancestral character states. However, in most cases the function of these glands is not well understood. (C) 2000 Elsevier Science Ltd.</t>
  </si>
  <si>
    <t>331-335</t>
  </si>
  <si>
    <t>60028717;105950657;60028717</t>
  </si>
  <si>
    <t>7004423900;6508341238;7007046454</t>
  </si>
  <si>
    <t>Weis, Alexander;Sch√∂nitzer, Klaus;Melzer, Roland R.</t>
  </si>
  <si>
    <t>Munich;Munich</t>
  </si>
  <si>
    <t>Ludwig-Maximilians-Universit√§t M√ºnchen;Zoologische Staatssammlung</t>
  </si>
  <si>
    <t>60028717;105950657</t>
  </si>
  <si>
    <t>Weis A.</t>
  </si>
  <si>
    <t>Exocrine glands in the antennae of the carabid beetle, Platynus assimilis (Paykull) 1790 (Coleoptera, Carabidae, Pterostichinae)</t>
  </si>
  <si>
    <t>S0020732299000343</t>
  </si>
  <si>
    <t>10.1016/S0020-7322(99)00034-3</t>
  </si>
  <si>
    <t>2-s2.0-0343238171</t>
  </si>
  <si>
    <t>['therefore said', 'stiff coupling', 'resonantly tuned', 'receiving structure', 'present study', 'move together', 'mechanical sensitivity', 'male mosquitoes', 'male antenna', 'long hairs', 'large number', 'induced vibrations', 'fundamental frequency', 'functional significance', 'forces acting', 'flight sounds', 'flagellar shaft', 'flagellar hairs', 'female antenna', 'corresponds approximately', 'conspecific females', 'best frequency', 'approximately 2600', 'antennal hairs', 'antennal flagellum', 'acoustically stimulated', '3100 hz']</t>
  </si>
  <si>
    <t>Aedes aegypti | Antenna | Auditory biomechanics | Bioacoustics | Johnston's organ | Mosquito | Sound perception | Vibration</t>
  </si>
  <si>
    <t>Male mosquitoes are attracted by the flight sounds of conspecific females. In males only, the antennal flagellum bears a large number of long hairs and is therefore said to be plumose. As early as 1855, it was proposed that this remarkable antennal anatomy served as a sound-receiving structure. In the present study, the sound-induced vibrations of the antennal flagellum in male and female Aedes aegypti were compared, and the functional significance of the flagellar hairs for audition was examined. In both males and females, the antennae are resonantly tuned mechanical systems that move as simple forced damped harmonic oscillators when acoustically stimulated. The best frequency of the female antenna is around 230 Hz; that of the male is around 380 Hz, which corresponds approximately to the fundamental frequency of female flight sounds. The antennal hairs of males are resonantly tuned to frequencies between approximately 2600 and 3100 Hz and are therefore stiffly coupled to, and move together with, the flagellar shaft when stimulated at biologically relevant frequencies around 380 Hz. Because of this stiff coupling, forces acting on the hairs can be transmitted to the shaft and thus to the auditory sensory organ at the base of the flagellum, a process that is proposed to improve acoustic sensitivity. Indeed, the mechanical sensitivity of the male antenna not only exceeds the sensitivity of the female antenna but also those of all other arthropod movement receivers studied so far.</t>
  </si>
  <si>
    <t>2727-2738</t>
  </si>
  <si>
    <t>60012614;60012614;60012614</t>
  </si>
  <si>
    <t>6701765825;7005581255;22963700100</t>
  </si>
  <si>
    <t>G√∂pfert, Martin C.;Briegel, Hans;Robert, Daniel</t>
  </si>
  <si>
    <t>University of Zurich</t>
  </si>
  <si>
    <t>G√∂pfert M.</t>
  </si>
  <si>
    <t>Mosquito hearing: Sound-induced antennal vibrations in male and female Aedes aegypti</t>
  </si>
  <si>
    <t>2-s2.0-0345149014</t>
  </si>
  <si>
    <t>['transmitted power', 'tracing technique', 'scenario considered', 'paper investigates', 'packet transmission', 'ofdm clustering', 'new definition', 'millimeter waves', 'los points', 'frequency diversity', 'division multiplexing', 'coded system', 'antenna sectorization', 'actual environment', '60 ghz', '155 mbit', '10 dbm']</t>
  </si>
  <si>
    <t>A high-speed indoor wireless communication system using coded orthogonal frequency-division multiplexing (OFDM) and working at 60 GHz is proposed and analyzed. An actual propagation environment, consisting of a medium-sized research laboratory, characterized by means of a ray-tracing technique is considered for the analysis. In this context, the paper investigates and discusses the effects of frequency diversity, antenna sectorization, OFDM clustering, and different block coding strategies. Moreover, to characterize the communication between stationary indoor terminals at millimeter waves, a new definition of coverage is introduced. In order to evaluate the performance of the coded system in the actual environment, a suitable semianalytical algorithm is defined and applied. In the results, the feasibility of a coded OFDM system for 155 Mbit/s packet transmission is checked; it is shown that all the line-of-sight (LOS) positions and 70% of the no LOS points can be covered in the scenario considered with a transmitted power of 10 dBm. ¬© 1999 IEEE.</t>
  </si>
  <si>
    <t>6701798606;7004084969</t>
  </si>
  <si>
    <t>Dardari, D.;Tralli, V.</t>
  </si>
  <si>
    <t>Dardari D.</t>
  </si>
  <si>
    <t>High-speed indoor wireless communications at 60 GHz with Coded OFDM</t>
  </si>
  <si>
    <t>S0090677899078034</t>
  </si>
  <si>
    <t>2-s2.0-33747748849</t>
  </si>
  <si>
    <t>['vector product', 'numerical results', 'microstrip structures', 'microstrip antennas', 'key words', 'integral equation', 'fft ).', 'efficiently evaluate', 'dimensional scatterers', 'computer memory']</t>
  </si>
  <si>
    <t>The adaptive integral method (AIM) to accelerate iterative solution of the integral equation is described for analysis of free-space and stratifled medium problems. This method employs triangular basis functions and computes the matrix-by-vector product, which arises from the method of moments (MoM) discretization of such problems, by using the fast Fourier transform (FFT). As a result, this method not only retains the excellent modeling capability offered by the triangular basis functions, but also significantly reduces the demand of computer memory and central processing unit (CPU) time. For microstrip structures in a stratified medium environment, the discrete complex image method (DCIM) is employed to efficiently evaluate the spatial domain Green's functions. Numerical results of microstrip antennas and circuits and three-dimensional scatterers in free-space are presented to demonstrate the accuracy and efficiency of this method. Key words -Method of moments, Adaptive integral method, Green's function.</t>
  </si>
  <si>
    <t>343-345</t>
  </si>
  <si>
    <t>14820228100;56119416800;7403588231</t>
  </si>
  <si>
    <t>Feng, Ling;Chaofu, Wang;Jianming, Jin</t>
  </si>
  <si>
    <t>Feng L.</t>
  </si>
  <si>
    <t>A fast electromagnetic solver using adaptive integral method</t>
  </si>
  <si>
    <t>2-s2.0-33749202968</t>
  </si>
  <si>
    <t>['tikhonov theory', 'proposed method', 'numerical simulations', 'illposed problems', 'helicopter measurements', 'dimensional distribution', 'beam synthetic']</t>
  </si>
  <si>
    <t>We develop a method for reconstruction of two-dimensional distribution of brightness temperature using the measured antenna temperature. The method is based on the Tikhonov theory of illposed problems. The efficiency of the method is analyzed by numerical simulations of single-and multiple-beam synthetic-aperture radiometric systems. The proposed method is applied to helicopter measurements of thermal radio emission from the soil.</t>
  </si>
  <si>
    <t>825-833</t>
  </si>
  <si>
    <t>7003967651;36863021600</t>
  </si>
  <si>
    <t>Gaikovich, K. P.;Zhilin, A. V.</t>
  </si>
  <si>
    <t>Reconstruction of two-dimensional distribution of radio brightness using measurements by an antenna with the known angular pattern</t>
  </si>
  <si>
    <t>10.1007/BF02677095</t>
  </si>
  <si>
    <t>2-s2.0-85013973154</t>
  </si>
  <si>
    <t>['spin rate', 'rotation rate', 'rocket facing', 'rocket core', 'provides position', 'particular rocket', 'outside skin', 'one antenna', 'many years', 'long periods', 'full view', 'attitude determination', 'article describes', 'approach uses', 'antenna system']</t>
  </si>
  <si>
    <t>Attitude Determination | Global Position System | Global Position System | Multiple Antenna | Polar Bear</t>
  </si>
  <si>
    <t>The use of the Global Positioning System (GPS) for position and attitude determination has been exploited for many years. In these systems, it was required that multiple antennas maintained phase lock to common view satellites for long periods of time in order to determine integer ambiguities. The challenge to overcome with the ballistic space probe is the high rotational spin of this particular rocket. The antennas, mounted on the outside skin of the rocket, are in full view of each satellite only for a fraction of a second before the rocket core eclipses them as it rotates. The antennas rarely see common satellites. This article describes as system that overcomes these obstacles and provides position, acceleration, attitude, and rotation rate. The approach uses a two-antenna system. One antenna is mounted either side of the rocket facing out. A hybrid tracking channel combines signals from both antennas to overcome the signal blockage due to the rocket core as well as to defeat the effect on the tracking channel due to the spin. The amplitude and phase of the spin rotation signature from each satellite is extracted from the dual antenna data and used to compute the attitude and spin rate of the vehicle. ¬© 1999 John Wiley &amp; Sons, Inc.</t>
  </si>
  <si>
    <t>48-52</t>
  </si>
  <si>
    <t>Underwood, David</t>
  </si>
  <si>
    <t>Underwood D.</t>
  </si>
  <si>
    <t>Space Rockets, Polar Bears, and Tundra Buggies ‚Äì And a GPS Link to the Seventeenth Century</t>
  </si>
  <si>
    <t>10.1007/PL00012791</t>
  </si>
  <si>
    <t>2-s2.0-85029936126</t>
  </si>
  <si>
    <t>96-2352</t>
  </si>
  <si>
    <t>['successive approximations', 'somewhat narrower', 'signal spectrum', 'output signal', 'order approximation', 'obtain expressions', 'correlation characteristics']</t>
  </si>
  <si>
    <t>Using the method of successive approximations, we obtain expressions for the spectral and correlation characteristics of the output signal of adaptive antenna arrays under the stationary operation regime in the first-order approximation, which is also called Born‚Äôs approximation. We show that the fluctuations of the weight coefficients result in distortions of the output-signal spectrum, such as its broadening and the appearance of a ‚Äútrough‚Äù in a band that is somewhat narrower than the input-signal spectrum width.</t>
  </si>
  <si>
    <t>891-901</t>
  </si>
  <si>
    <t>57220358034;36955184100</t>
  </si>
  <si>
    <t>Mal‚ÄôTsev, A. A.;Zimina, S. V.</t>
  </si>
  <si>
    <t>Mal‚ÄôTsev A.A.</t>
  </si>
  <si>
    <t>Statistical characteristics of adaptive antenna arrays</t>
  </si>
  <si>
    <t>10.1007/BF02677103</t>
  </si>
  <si>
    <t>2-s2.0-85050564167</t>
  </si>
  <si>
    <t>['spectrally localized', 'scalar wavelets', 'properties similar', 'printed antennas', 'numerical results', 'new approach', 'linear system', 'iterative methods', 'good conditioning', 'equation analysis']</t>
  </si>
  <si>
    <t>Method of moments | Multiresolution | Numerical methods | Printed antennas</t>
  </si>
  <si>
    <t>A new approach is presented for the integral-equation analysis of printed antennas and arrays. It is based on the definition of multiresolution vector functions with properties similar to those of the scalar wavelets; in particular, they are both spatially and spectrally localized. The resulting impedance matrix shows a good conditioning that allows its sparsification and the use of iterative methods for the solution of the linear system. Numerical results for the case of electromagnetically coupled square patches are presented. ¬© 1999 John Wiley &amp; Sons, Inc.</t>
  </si>
  <si>
    <t>49-51</t>
  </si>
  <si>
    <t>60012162;60012162;60012162-101108320</t>
  </si>
  <si>
    <t>7004544655;6701353036;7801556634</t>
  </si>
  <si>
    <t>Pirinoli, P.;Matekovits, L.;Sereno Garino, M.</t>
  </si>
  <si>
    <t>Turin;Ivrea</t>
  </si>
  <si>
    <t>Politecnico di Torino;RBM S.p.A.</t>
  </si>
  <si>
    <t>60012162;101108320</t>
  </si>
  <si>
    <t>Pirinoli P.</t>
  </si>
  <si>
    <t>A novel multiresolution approach to the EFIE analysis of printed antennas</t>
  </si>
  <si>
    <t>10.1002/(SICI)1098-2760(19991005)23:1&lt;49::AID-MOP14&gt;3.0.CO;2-A</t>
  </si>
  <si>
    <t>2-s2.0-0032638255</t>
  </si>
  <si>
    <t>['interpolation points', 'greatly reduced', 'complicated antennas']</t>
  </si>
  <si>
    <t>The matrix interpolation technique is used for the analysis of microstrip antenna impedance. The positions and number of interpolation points are discussed. Some complicated antennas are used for demonstration. The time of the simulation can be greatly reduced by this method.</t>
  </si>
  <si>
    <t>46-49</t>
  </si>
  <si>
    <t>60025278;60025278</t>
  </si>
  <si>
    <t>57198993246;51565281600</t>
  </si>
  <si>
    <t>Yang, Fan;Zhang, Xue Xia</t>
  </si>
  <si>
    <t>Yang F.</t>
  </si>
  <si>
    <t>Matrix interpolation technique in the calculation of microstrip antenna impedance</t>
  </si>
  <si>
    <t>10.1002/(SICI)1098-2760(19991005)23:1&lt;46::AID-MOP13&gt;3.0.CO;2-G</t>
  </si>
  <si>
    <t>2-s2.0-0032639151</t>
  </si>
  <si>
    <t>['tm10 mode', 'resonance frequency', 'polynomial expression', 'originality comes', 'ellipsoidal structures', 'characteristic equations', 'accurate expressions']</t>
  </si>
  <si>
    <t>The analysis and synthesis of conformal printed antennas on ellipsoidal structures are investigated. The originality comes from the use of a computer algebra system to generate the polynomial expression of the zeros of the characteristic equations. Fast and accurate expressions for the resonance frequency are given for an ellipsoidal radiating element operating in the TM10 mode.</t>
  </si>
  <si>
    <t>64-65</t>
  </si>
  <si>
    <t>6603172948;16050119900</t>
  </si>
  <si>
    <t>Ribero, Jean Marc;Damiano, Jean Pierre</t>
  </si>
  <si>
    <t>Determination of the resonance frequency of an ellipsoidal structure</t>
  </si>
  <si>
    <t>10.1002/(SICI)1098-2760(19991005)23:1&lt;64::AID-MOP20&gt;3.0.CO;2-K</t>
  </si>
  <si>
    <t>2-s2.0-0032646079</t>
  </si>
  <si>
    <t>['slightly affected', 'radiation properties', 'radiation efficiency', 'detailed characterization', 'cellular phones', 'antenna coating']</t>
  </si>
  <si>
    <t>A detailed characterization of the effects of antenna coating on the performance of cellular phones is presented. The FDTD-based simulations show that antenna coating facilitates the reduction of the antenna length without jeopardizing the radiation properties of the antenna. However, the radiation efficiency is slightly affected.</t>
  </si>
  <si>
    <t>52-54</t>
  </si>
  <si>
    <t>35614751200;56260300500</t>
  </si>
  <si>
    <t>Alsunaidi, M.;Hamid, A. K.</t>
  </si>
  <si>
    <t>Alsunaidi M.</t>
  </si>
  <si>
    <t>FDTD simulation of antenna coating effects on the radiation properties of cellular phones</t>
  </si>
  <si>
    <t>10.1002/(SICI)1098-2760(19991005)23:1&lt;52::AID-MOP15&gt;3.0.CO;2-B</t>
  </si>
  <si>
    <t>2-s2.0-0032677610</t>
  </si>
  <si>
    <t>['superconducting coil', 'several decibels', 'path resistance', 'measured q', 'low end', 'inverted ls', 'determined herein', 'condenser types', 'benefit achieved']</t>
  </si>
  <si>
    <t>Antenna couplers | Ground loss | Hf small antennas | Jamming antennas | Superconducting coils | Vehicular antennas</t>
  </si>
  <si>
    <t>The benefit achieved by substituting a superconducting coil for the existing ordinary coil in the antenna coupler employed with small-height HF vehicular antennas (whips, inverted Ls, and condenser types) is determined herein by using the previously measured base currents of these antennas in conjunction with the measured Q of their existing coupler coil and the known equivalent circuit. It is shown that this benefit is not significant, being, at most, several decibels, and this only at the low end of the 1.8-30 MHz HF band. This is due to the fact that the vehicle / wound-path resistance is so significant. ¬© 1999 John Wiley &amp; Sons, Inc.</t>
  </si>
  <si>
    <t>30-36</t>
  </si>
  <si>
    <t>Knop, C. M.</t>
  </si>
  <si>
    <t>Joliet</t>
  </si>
  <si>
    <t>Andrew Corporation</t>
  </si>
  <si>
    <t>Knop C.</t>
  </si>
  <si>
    <t>A note on the use of superconducting coils with small-height HF vehicular antennas</t>
  </si>
  <si>
    <t>10.1002/(SICI)1098-2760(19991005)23:1&lt;30::AID-MOP9&gt;3.0.CO;2-J</t>
  </si>
  <si>
    <t>2-s2.0-0032684461</t>
  </si>
  <si>
    <t>['upper layer', 'two layers', 'top surface', 'relatively simple', 'radiating elements', 'lower layers', 'feed loss', 'bottom layer']</t>
  </si>
  <si>
    <t>A simple feed network is introduced for a linear microstrip array antenna. The antenna structure consists of two layers. The radiating microstrip patches are placed on the top surface of the upper layer, while the bottom layer is used to feed the radiating elements through the slots on the conducting microstrip line between the upper and lower layers. The resultant array antenna is relatively simple, and the feed loss can be minimized.</t>
  </si>
  <si>
    <t>25-27</t>
  </si>
  <si>
    <t>60017536;60017536</t>
  </si>
  <si>
    <t>7410158021;7201941123</t>
  </si>
  <si>
    <t>Lee, Choon Sae;Hsieh, Tung Hung</t>
  </si>
  <si>
    <t>Linear microstrip array antenna with a simple feed network</t>
  </si>
  <si>
    <t>10.1002/(SICI)1098-2760(19991005)23:1&lt;25::AID-MOP7&gt;3.0.CO;2-B</t>
  </si>
  <si>
    <t>2-s2.0-0032691921</t>
  </si>
  <si>
    <t>['superrefractive layer', 'studied based', 'slope values', 'receiving antennas', 'height variation', 'different heights', 'cpa vary', 'copolarized attenuation', 'computer simulation', 'clear air']</t>
  </si>
  <si>
    <t>Considering the different heights of transmitting and receiving antennas and the height variation of the superrefractive layer, the multipath depolarization statistical distributions due to clear air, the equiprobability linear relationship between cross-polarization (XPD) and copolarized attenuation (CPA) is studied based on computer simulation at a 7.6 GHz frequency. The computer simulation results show that the slope values of the equiprobability linear relationship between XPD and CPA vary in the interval from -1 to O, which is different from earlier theoretical results.</t>
  </si>
  <si>
    <t>7407575922;7005441452</t>
  </si>
  <si>
    <t>Zhao, Xiongwen;Vainikainen, Pertti</t>
  </si>
  <si>
    <t>Zhao X.</t>
  </si>
  <si>
    <t>Computer simulation of multipath depolarization due to clear air</t>
  </si>
  <si>
    <t>10.1002/(SICI)1098-2760(19991005)23:1&lt;4::AID-MOP2&gt;3.0.CO;2-A</t>
  </si>
  <si>
    <t>2-s2.0-0032691922</t>
  </si>
  <si>
    <t>['wild type', 'symmetry properties', 'spectroscopic data', 'single chlorophyll', 'recombinant proteins', 'protein structure', 'protein complex', 'press )].', 'original method', 'nature 367', 'n .,', 'mutating pigment', 'mutant proteins', 'linear dichroism', 'individual chromophores', 'geometrical data', 'forster mechanism', 'energy transfer', 'eight chlorophylls', 'dipole moments', 'different chlorophyll', 'difference spectra', 'binding residues', 'absorption spectroscopy', '621 ].']</t>
  </si>
  <si>
    <t>The Q(y) transition dipole moment vectors of all eight chlorophylls in the higher-plant antenna protein CP29 were calculated by an original method on the basis of linear dichroism and absorption spectroscopy. The contribution of individual chromophores was determined from difference spectra between wild type and mutant proteins in which a single chlorophyll has been removed by mutating pigment-binding residues. Recombinant proteins were constructed by overexpressing the apoprotein in bacteria and refolding of the pigment-protein complex in vitro [Bassi, R., Croce, R., Cugini, D., and Sandona, D. (1999) Proc. Natl. Acad. Sci. U.S.A. (in press)]. The spectroscopic data are interpreted on the basis of a protein structural model obtained via the homology with the major antenna complex LHCII [Kuhlbrandt, W., Wang, D. N., and Fujiyoshi, Y. (1994) Nature 367, 614-621]. The results allow us to determine the orientation of six chromophores within the protein structure. The orientations of the two remaining chromophores are inferred by considering the symmetry properties of CP29 and fitting steady state absorption and linear dichroism spectra by independent chlorophyll spectral forms. As a consequence, four 'mixed' sites with different chlorophyll a and b binding affinities are identified in CP29. Geometrical data and the Forster mechanism for energy transfer suggest that excitation energy equilibrates rapidly among chlorophyll 'pure' sites while energy preferentially flows outward from chlorophyll 'mixed' sites. The orientation of the dipole moments of two chlorophyll molecules symmetrically located at the center of the protein and parallel to the carotenoid transition vectors suggests a role in energy transfer from xanthophyll to chlorophyll.</t>
  </si>
  <si>
    <t>12974-12983</t>
  </si>
  <si>
    <t>60032256;60032256;60032256;60032256;60032256;60019615;60032256</t>
  </si>
  <si>
    <t>6506388700;7003422954;6603761118;7005812451;6701591424;24310010600;35553979700</t>
  </si>
  <si>
    <t>Simonetto, Roberto;Crimi, Massimo;Sandon√†, Dorianna;Croce, Roberta;Cinque, Gianfelice;Breton, Jacques;Bassi, Roberto</t>
  </si>
  <si>
    <t>Italy;France</t>
  </si>
  <si>
    <t>Verona;Gif-sur-Yvette</t>
  </si>
  <si>
    <t>Universit√† degli Studi di Verona;CEA Saclay</t>
  </si>
  <si>
    <t>60032256;60019615</t>
  </si>
  <si>
    <t>Simonetto R.</t>
  </si>
  <si>
    <t>Orientation of chlorophyll transition moments in the higher-plant light- harvesting complex CP29</t>
  </si>
  <si>
    <t>10.1021/bi991140s</t>
  </si>
  <si>
    <t>2-s2.0-0032832859</t>
  </si>
  <si>
    <t>['systematically dimension', 'stable oscillation', 'radiation patterns', 'paper presents', 'oscillation condition', 'measured results', 'measured gain', 'good agreement', 'different parts', 'design procedure', 'circuit uses', 'circuit exhibits', 'active antenna', '2 dbi']</t>
  </si>
  <si>
    <t>Active antennas | Oscillators | Slot antennas | TRL calibration</t>
  </si>
  <si>
    <t>This paper presents a compact, simple, low-cost coplanar waveguide active antenna oscillator which can be used for wireless communication applications. The circuit uses the active MGA86576 MMIC amplifier, which is biased through its output port using simple lumped elements. A closed feedback loop is implemented with two slot antennas fed by coplanar waveguide transmission lines. The paper presents a design procedure to systematically dimension the different parts of the structure until the oscillation condition is satisfied. An active antenna oscillator has been designed, manufactured, and tested, and measured results are in good agreement with predictions. The circuit exhibits a very clean, stable oscillation, and the radiation patterns are smooth and quasiomnidirectional. The measured gain of the active antenna is 3.2 dBi. ¬© 1999 John Wiley &amp; Sons, Inc.</t>
  </si>
  <si>
    <t>6603078652;7005359253;7004724089;7006665188</t>
  </si>
  <si>
    <t>Melc√≥n, Alejandro Alvarez;Campos, Victor;Z√ºrcher, Jean Fran√ßois;Mosig, Juan R.</t>
  </si>
  <si>
    <t>Melc√≥n A.</t>
  </si>
  <si>
    <t>A simple low-cost coplanar twin-slot active antenna oscillator for wireless applications</t>
  </si>
  <si>
    <t>10.1002/(SICI)1098-2760(19991005)23:1&lt;18::AID-MOP6&gt;3.0.CO;2-6</t>
  </si>
  <si>
    <t>2-s2.0-0344339086</t>
  </si>
  <si>
    <t>['viable combination', 'severe phenotypes', 'proximodistal axes', 'new members', 'linked bar', 'flies carrying', 'expression pattern', 'drosophila melanogaster', 'domain protein', 'distal regions', 'certain decapentaplegic', 'barh1 homeo', 'bar homeo', 'b locus', 'appendages along', 'antennal discs', 'also shown']</t>
  </si>
  <si>
    <t>The X-linked Bar (B) mutation of Drosophila melanogaster, responsible for the well-known Bar eye phenotype due to over-expression of the BarH1 homeo-domain protein, is shown to enhance the abnormalities in legs and antennae of flies carrying a viable combination of certain decapentaplegic (dpp) loss of function mutant alleles. It is also shown that the homeo-domain carrying BarH1/BarH2 protein products of the B locus are expressed in a characteristic annular pattern in areas of normal larval leg and antennal discs that correspond to the distal regions of adult fly appendages, dpp-mutant background partly disrupts the expression pattern of Bar homeo-proteins in these discs and a combination of B and dpp-mutant alleles disrupts the Bar expression patterns in these imaginai discs much more severely. This is in agreement with the more severe phenotypes of legs and antennae of such flies. We suggest that the homeo-box containing B genes function as new members of the proximal distal sector genes and are important for patterning these appendages along their proximodistal axes.</t>
  </si>
  <si>
    <t>953-958</t>
  </si>
  <si>
    <t>Current Science</t>
  </si>
  <si>
    <t>60008721;60008721</t>
  </si>
  <si>
    <t>57211783408;7006436867</t>
  </si>
  <si>
    <t>Mandal, S.;Lakhotia, S. C.</t>
  </si>
  <si>
    <t>Banaras Hindu University</t>
  </si>
  <si>
    <t>Mandal S.</t>
  </si>
  <si>
    <t>Role of Bar locus in development of legs and antenna in Drosophila melanogaster</t>
  </si>
  <si>
    <t>2-s2.0-0042094795</t>
  </si>
  <si>
    <t>['study demonstrates', 'scan type', 'scan speeds', 'scan modes', 'ray source', 'perspex attenuator', 'morphometric investigations', 'maximum elevation', 'lunar expert', 'little effect', 'latest generation', 'lateral resolution', 'lateral morphometry', 'image resolution', 'image could', 'forearm mode', 'femur scans', 'fast hand', 'affect resolution', '2 lps', '1 mm', '0 lps']</t>
  </si>
  <si>
    <t>Densitometry | DXA | Expert-XL | Quality assurance | Resolution</t>
  </si>
  <si>
    <t>The Lunar Expert-XL is an example of the latest generation of fan beam densitometers, with the X-ray source and detector array mounted on a C-arm to enable supine lateral imaging. Image resolution for anteroposterior (AP) spine, femur, hand, forearm and lateral morphometry on the Expert-XL were assessed in vitro with the 07-541 Nuclear Associates line pair test pattern. Each scan type was investigated at all available tube currents and scan speeds, and at the maximum, minimum and default bed heights. The effect of soft tissue thickness on resolution was investigated by using varying amounts of Perspex attenuator. The in vitro median lateral (x-axis) resolutions at the default bed height for the default scan types were 0.9 line pairs (lps)/mm for the 5 mA fast AP spine and femur scans, and 1.0 lps/mm for 1 mA fast hand, forearm and 5 mA fast morphometry scans. This equates to a resolution of about 1 mm. The best resolution achieved was 1.2 lps/mm (0.83 mm), obtainable on all scan modes with the bed at maximum elevation, but only consistently with the forearm mode. Lower tube current did not affect resolution but did change the range of soft tissue thickness over which an image could be resolved. Turbo scan modes greatly reduced longitudinal (y-axis) resolution but had little effect on lateral resolution. This study demonstrates the importance of including an assessment of resolution when validating new equipment, especially if morphometric investigations are to be conducted.</t>
  </si>
  <si>
    <t>95-101</t>
  </si>
  <si>
    <t>0937941X</t>
  </si>
  <si>
    <t>Osteoporosis International</t>
  </si>
  <si>
    <t>60027201;60027201</t>
  </si>
  <si>
    <t>7102616963;7005854680</t>
  </si>
  <si>
    <t>Thorpe, J. A.;Steel, S. A.</t>
  </si>
  <si>
    <t>Hull</t>
  </si>
  <si>
    <t>Hull Royal Infirmary</t>
  </si>
  <si>
    <t>Thorpe J.</t>
  </si>
  <si>
    <t>Image resolution of the Lunar Expert-XL</t>
  </si>
  <si>
    <t>10.1007/s001980050201</t>
  </si>
  <si>
    <t>2-s2.0-0032874585</t>
  </si>
  <si>
    <t>['transition energy', 'successful simulation', 'statistical simulation', 'room temperature', 'rhodopseudomonas acidophila', 'results obtained', 'protein matrix', 'orbital overlap', 'observed spectrum', 'new approach', 'monomeric bacteriochlorophyll', 'lying pigments', 'localization lengths', 'lh2 antenna', 'experimental absorption', 'excitonic states', 'exciton theory', 'dielectric constant', 'circular dichroism', 'cd spectra', 'b850 rings', 'b850 ring', 'absorption spectrum']</t>
  </si>
  <si>
    <t>A new approach that uses a combination of semiempirical configuration interaction method and exciton theory to calculate electronic energies, eigenstates, absorption spectrum and circular dichroism (CD) spectrum of the LH2 antenna of Rhodopseudomonas acidophila is introduced. A statistical simulation that uses experimental homogeneous line widths was used to account for the inhomogeneous line width of the observed spectrum. Including the effect of orbital overlap of the close-lying pigments of the B850 ring and the effect of the pigment protein interaction in the B800 ring allowed a successful simulation of the experimental absorption and CD spectra of the antenna at room temperature. Two experimental parameters, the transition energy and the magnitude of the transition dipole moment of monomeric bacteriochlorophyll a (Bchl a), were used in the calculation. The dielectric constant of the protein matrix was taken as 2.1 [‚àà0]. The questions of localization lengths of the excitonic states and the energy transfer mechanism between the B800 and the B850 rings are discussed in light of the results obtained.</t>
  </si>
  <si>
    <t>8739-8750</t>
  </si>
  <si>
    <t>60032398;60032398;60032398</t>
  </si>
  <si>
    <t>6603776029;56994119500;6602699372</t>
  </si>
  <si>
    <t>Linnanto, J.;Korppi-Tommola, J. E.I.;Helenius, V. M.</t>
  </si>
  <si>
    <t>Jyvaskyla</t>
  </si>
  <si>
    <t>University of Jyv√§skyl√§</t>
  </si>
  <si>
    <t>Linnanto J.</t>
  </si>
  <si>
    <t>Electronic States, Absorption Spectrum and Circular Dichroism Spectrum of the Photosynthetic Bacterial LH2 Antenna of Rhodopseudomonas acidophila as Predicted by Exciton Theory and Semiempirical Calculations</t>
  </si>
  <si>
    <t>10.1021/jp9848344</t>
  </si>
  <si>
    <t>2-s2.0-0001490787</t>
  </si>
  <si>
    <t>['simulation study', 'authors propose']</t>
  </si>
  <si>
    <t>The authors propose a new blind space-time minimum variance (MV) receiver with a built-in channel parameter estimation algorithm for asynchronous code division multiple access (CDMA) systems. According to the simulation study, the proposed algorithm demonstrates accurate channel estimation capability and shows superior performance to conventional or single antenna MV receivers. ¬© IEE 1999.</t>
  </si>
  <si>
    <t>1799-1801</t>
  </si>
  <si>
    <t>54781443700;7202588575</t>
  </si>
  <si>
    <t>Kim, Soohong;Chun, Joohwan</t>
  </si>
  <si>
    <t>Blind space-time minimum variance CDMA receiver for multipath channel</t>
  </si>
  <si>
    <t>10.1049/el:19991239</t>
  </si>
  <si>
    <t>2-s2.0-0033204119</t>
  </si>
  <si>
    <t>['œ ∏', 'specular direction', 'metal plate', 'fabricated array', '40 ¬∞', '0 ¬∞),']</t>
  </si>
  <si>
    <t>A 24GHz active Van Atta planar antenna array proposed for increasing the vehicle radar echo in a vehicle collision avoidance system is designed and demonstrated. The antenna array contains two parallel linear sub-arrays. Each sub-array is composed of four receiving microstrip antennas, four transmitting microstrip antennas and four transistor amplifiers. At the angles of-40¬∞ &lt; Œ∏ &lt; 40¬∞, except those very close to the specular direction (Œ∏ = 0¬∞), the measured backscattering field levels of the fabricated array have variations &lt; 3dB and are at least 10dB higher than those of a metal plate of the same size. ¬© IEE 1999.</t>
  </si>
  <si>
    <t>1785-1786</t>
  </si>
  <si>
    <t>7202830506;55469205300</t>
  </si>
  <si>
    <t>Hong, Tzung Jir;Chung, Shyh Jong</t>
  </si>
  <si>
    <t>Hong T.J.</t>
  </si>
  <si>
    <t>24GHz active retrodirective antenna array</t>
  </si>
  <si>
    <t>10.1049/el:19991223</t>
  </si>
  <si>
    <t>2-s2.0-0033204703</t>
  </si>
  <si>
    <t>['structures 3', 'spermadhesin family', 'smaller amounts', 'small amounts', 'single n', 'sialylated n', 'one oligosaccharide', 'nonsialylated n', 'nmr techniques', 'monosialylated oligosaccharides', 'major psp', 'major protein', 'mainly neutral', 'isolated psp', 'ii share', 'ii heterodimer', 'ii glycoforms', 'higher antennarity', 'hexagonal crystals', 'glycosylation site', 'glycolylneuraminic acid', 'glycan structures', 'galactose residues', 'enzymatic release', 'disialylated oligosaccharides', 'diantennary complex', 'crystallized psp', 'acetylneuraminic acid', 'acetyllactosamine antennae', 'acetylglucosamine residue']</t>
  </si>
  <si>
    <t>Mass spectrometry | N-glycosylation | Oligosaccharide structure | Seminal plasma proteins | Spermadhesin PSP-I/PSP-II</t>
  </si>
  <si>
    <t>The PSP-I/PSP-II heterodimer is the major protein of boar seminal plasma. Both subunits are glycoproteins of the spermadhesin family and each contains a single N-glycosylation site. After enzymatic release of the oligosaccharides from isolated PSP-I and PSP-II, mainly neutral and monosialylated oligosaccharides, and small amounts of disialylated oligosaccharides, were recovered from both proteins. Twenty-two neutral oligosaccharides, 11 monosialylated glycans and three disialylated carbohydrate chains were characterized using mass spectrometric and NMR techniques. PSP-I and PSP-II share the same glycans but differ in their relative molar ratios. Most glycan structures are proximally Œ±1-6- fucosylated, diantennary complex-type bearing nonsialylated or Œ±2-6- sialylated N-acetyllactosamine or di-N-acetyllactosamine antennae. The majority of nonsialylated N-acetyllactosamine antennae bear terminal Œ±1-3- linked Gal residues. In addition, the N-acetylglucosamine residue of nonsialylated N-acetyl and di-N-acetyllactosamine antennae can be modified by an Œ±1-3-linked fucose residue. Structures of higher antennarity, as well as structures 3,6-branched at galactose residues, were found in smaller amounts. In one oligosaccharide, N-acetylneuraminic acid is substituted by N- glycolylneuraminic acid. Mass spectrometric analysis of PSP-I and PSP-II glycoforms isolated from crystallized PSP-I/PSP-II heterodimer showed the coexistence of major PSP-I and PSP-II glycoforms in the hexagonal crystals. Oligosaccharides with the NeuNAcŒ±2-6GalNAcŒ≤1-4GlcNAc-R motif block adhesive and activation-related events mediated by CD22, suggesting a possible immunoregulatory activity for PSP-I/PSP-II.</t>
  </si>
  <si>
    <t>703-718</t>
  </si>
  <si>
    <t>60012279;60012279;60012279;60032154;60032154</t>
  </si>
  <si>
    <t>7007064379;6603053833;7003687331;7005418464;26643263500</t>
  </si>
  <si>
    <t>Nimtz, Manfred;Grabenhorst, Eckart;Conradt, Harald S.;Sanz, Libia;Calvete, Juan J.</t>
  </si>
  <si>
    <t>Valencia;Braunschweig</t>
  </si>
  <si>
    <t>CSIC - Instituto de Biomedicina de Valencia (IBV);Helmholtz Centre for Infection Research (HZI)</t>
  </si>
  <si>
    <t>60032154;60012279</t>
  </si>
  <si>
    <t>Nimtz M.</t>
  </si>
  <si>
    <t>Structural characterization of the oligosaccharide chains of native and crystallized boar seminal plasma spermadhesin PSP-I and PSP-II glycoforms</t>
  </si>
  <si>
    <t>10.1046/j.1432-1327.1999.00766.x</t>
  </si>
  <si>
    <t>2-s2.0-0033569988</t>
  </si>
  <si>
    <t>['two near', 'truncated tip', 'three tips', 'proper size', 'patch center', 'paper presents', 'new design', 'microstrip antenna', 'etr patch', 'circular polarization']</t>
  </si>
  <si>
    <t>This paper presents a new design of a probe-fed circularly polarized equilateral-triangular-ring (ETR) microstrip antenna. In this design, the ETR patch is modified to have a truncated tip and a Y-shaped conducting strip of equal arm lengths centered in the patch center and connected to the three tips of the patch. With the proper size of the truncated tip, the splitting of the fundamental resonant mode of the modified ETR microstrip antenna into two near-degenerate orthogonal modes for circular polarization (CP) radiation can be achieved by using a single probe feed located in the Y-shaped conducting strip. In addition to the good CP radiation obtained, the proposed modified ETR microstrip antenna can perform CP radiation with a reduced antenna size as compared to a regular circularly polarized equilateral-triangular microstrip antenna at a fixed operating frequency.</t>
  </si>
  <si>
    <t>123-126</t>
  </si>
  <si>
    <t>57213741151;35460663000</t>
  </si>
  <si>
    <t>Tang, Chia Luan;Wong, Kin Lu</t>
  </si>
  <si>
    <t>Tang C.</t>
  </si>
  <si>
    <t>Modified equilateral-triangular-ring microstrip antenna for circular polarization</t>
  </si>
  <si>
    <t>10.1002/(SICI)1098-2760(19991020)23:2&lt;123::AID-MOP18&gt;3.0.CO;2-5</t>
  </si>
  <si>
    <t>2-s2.0-0032646766</t>
  </si>
  <si>
    <t>['tangential component', 'sought discontinuity', 'paper shows', 'distributional form', 'discontinuity equal', 'density œñ']</t>
  </si>
  <si>
    <t>The tangential component of the electric field e is not always continuous across a surface. In fact, it suffers a discontinuity equal to -grads(œÑ/Œµ0) across a nonuniform dipole layer of density œÑ. This paper shows how the distributional form of curl e automatically produces the sought discontinuity.</t>
  </si>
  <si>
    <t>Van Bladel, J. G.</t>
  </si>
  <si>
    <t>Ghent</t>
  </si>
  <si>
    <t>Universiteit Gent</t>
  </si>
  <si>
    <t>Van Bladel J.</t>
  </si>
  <si>
    <t>On the distributional form of the curl</t>
  </si>
  <si>
    <t>10.1002/(SICI)1098-2760(19991020)23:2&lt;97::AID-MOP11&gt;3.0.CO;2-2</t>
  </si>
  <si>
    <t>2-s2.0-0032646991</t>
  </si>
  <si>
    <t>['results obtained', 'resonant frequency', 'resonant frequencies', 'proposed method', 'microstrip antennas', 'measured results', 'generalized method', 'effective dimension']</t>
  </si>
  <si>
    <t>A generalized method, in which the resonant frequencies of various microstrip antennas are obtained by equating their areas with the rectangular microstrip antennas, is proposed. The results obtained are in overall good agreement with the measured results. This confirms the proposed method to determine the Œµeff and effective dimension, and hence the resonant frequency of microstrip antennas. This method can be applied to any other shapes of microstrip antennas.</t>
  </si>
  <si>
    <t>Determination of the resonant frequency of microstrip antennas</t>
  </si>
  <si>
    <t>10.1002/(SICI)1098-2760(19991020)23:2&lt;114::AID-MOP15&gt;3.0.CO;2-G</t>
  </si>
  <si>
    <t>2-s2.0-0032655370</t>
  </si>
  <si>
    <t>['two slots', 'two frequencies', 'tunable within', 'triangular patch', 'results show', 'polarization planes', 'perturbed tm10', 'oriented parallel', 'new design', 'loaded equilateral', 'frequency ratio', 'frequency operation', 'feed dual', 'center line']</t>
  </si>
  <si>
    <t>A new design of a slot-loaded equilateral-triangular microstrip antenna for dual-frequency operation is presented. Results show that, by loading a pair of narrow slots centered in the triangular patch and oriented parallel to the patch's center line, a single-feed dual-frequency operation can be achieved. The two operating frequencies are associated with the perturbed TM10- and TM20-modes of the triangular microstrip antenna, and the two frequencies are of the same polarization planes and similar broadside radiation characteristics. Also, by controlling the length of the slots and the spacing between the two slots, the frequency ratio of the two frequencies is tunable within a range of about 1.35-1.5.</t>
  </si>
  <si>
    <t>82-84</t>
  </si>
  <si>
    <t>7402422499;35460663000</t>
  </si>
  <si>
    <t>Fang, Shyh Tirng;Wong, Kin Lu</t>
  </si>
  <si>
    <t>Fang S.</t>
  </si>
  <si>
    <t>Dual-frequency equilateral-triangular microstrip antenna with a pair of narrow slots</t>
  </si>
  <si>
    <t>10.1002/(SICI)1098-2760(19991020)23:2&lt;82::AID-MOP6&gt;3.0.CO;2-T</t>
  </si>
  <si>
    <t>2-s2.0-0032655371</t>
  </si>
  <si>
    <t>['source region', 'results demonstrate', 'radiation pattern', 'key features', 'impedance matching', 'difference time', 'coordinate finite', 'analyzed using']</t>
  </si>
  <si>
    <t>Conical antennas mounted on finite ground planes are analyzed using a spherical-coordinate finite-difference time-domain (FDTD) model. Key features of the model are discussed, with particular emphasis placed upon modeling of the source region. Results demonstrate how ground plane size can be used for impedance matching or to adjust the radiation pattern and gain.</t>
  </si>
  <si>
    <t>78-82</t>
  </si>
  <si>
    <t>57192785073;7102762205</t>
  </si>
  <si>
    <t>Liu, Gang;Grimes, Craig A.</t>
  </si>
  <si>
    <t>Spherical-coordinate FDTD analysis of conical antennas mounted above finite ground planes</t>
  </si>
  <si>
    <t>10.1002/(SICI)1098-2760(19991020)23:2&lt;78::AID-MOP5&gt;3.0.CO;2-F</t>
  </si>
  <si>
    <t>2-s2.0-0032655372</t>
  </si>
  <si>
    <t>['resultant contributions', 'phase superposition', 'lens antenna', 'focus field', 'directive gain', 'aperture size', 'active zones']</t>
  </si>
  <si>
    <t>An improved zoning rule for the Fresnel zone plate (FZP) is proposed to enhance the focus field and the directive gain of the antenna, as well as reduce the aperture size. It is more reasonable than the traditional design since it performs an in-phase superposition of resultant contributions from all of the active zones. This improved zoning rule is available in designing an FZP reflector antenna with a screen, a double-layer FZP lens antenna, as well as an FZP compensated lens antenna with zoned dielectric materials. It has also been extended to design the multilayer FZP reflector or lens antenna.</t>
  </si>
  <si>
    <t>Zhang, Wen Xun</t>
  </si>
  <si>
    <t>Improved zoning rule of the Fresnel zone plate</t>
  </si>
  <si>
    <t>10.1002/(SICI)1098-2760(19991020)23:2&lt;69::AID-MOP2&gt;3.0.CO;2-M</t>
  </si>
  <si>
    <t>2-s2.0-0032683347</t>
  </si>
  <si>
    <t>['dielectric constant']</t>
  </si>
  <si>
    <t>Recently, a new structure called photonic crystals has been receiving much attention. Applications have appeared in the fields of optic, microwaves, and antennas. In this paper, the effect of the variation in the dielectric constant for a two-dimensional photonic crystal is analyzed.</t>
  </si>
  <si>
    <t>92-95</t>
  </si>
  <si>
    <t>60033019;60033019;60031159</t>
  </si>
  <si>
    <t>7003903508;25640131000;7003592642</t>
  </si>
  <si>
    <t>Gonzalo, Ram√≥n;Martinez, Beatriz;De Maagt, Peter</t>
  </si>
  <si>
    <t>Spain;Netherlands</t>
  </si>
  <si>
    <t>Pamplona;Noordwijk aan Zee</t>
  </si>
  <si>
    <t>Universidad P√∫blica de Navarra;ESTEC - European Space Research and Technology Centre</t>
  </si>
  <si>
    <t>60033019;60031159</t>
  </si>
  <si>
    <t>Gonzalo R.</t>
  </si>
  <si>
    <t>Effect of dielectric permittivity on the properties of photonic bandgap devices</t>
  </si>
  <si>
    <t>10.1002/(SICI)1098-2760(19991020)23:2&lt;92::AID-MOP9&gt;3.0.CO;2-J</t>
  </si>
  <si>
    <t>2-s2.0-0032684822</t>
  </si>
  <si>
    <t>['results demonstrate', 'radiation power', 'one order', 'microwave properties', 'microwave power', 'jj without', 'jj coupled', 'free space', 'electromagnetic energy', 'antenna increased', '22 ghz']</t>
  </si>
  <si>
    <t>A single Josephson junction (JJ) coupled to a broadband planar antenna was fabricated and its microwave properties were tested at 22 GHz. Sensitivity for the detection of self-radiation power or the reception of microwave power of the JJ coupled to the antenna increased by more than one order of magnitude in comparison to that of the JJ without the antenna. These results demonstrate that the antenna incorporation significantly enhances the convergence of electromagnetic energy between JJ and free space.</t>
  </si>
  <si>
    <t>83-87</t>
  </si>
  <si>
    <t>Physica C: Superconductivity and its Applications</t>
  </si>
  <si>
    <t>60010484;60010484;60018257</t>
  </si>
  <si>
    <t>7201564375;7501564208;7403042181</t>
  </si>
  <si>
    <t>Song, Insang;Kim, Byongman;Park, Gwangseo</t>
  </si>
  <si>
    <t>Seoul;Suwon</t>
  </si>
  <si>
    <t>Sogang University;Samsung Group</t>
  </si>
  <si>
    <t>60018257;60010484</t>
  </si>
  <si>
    <t>Song I.</t>
  </si>
  <si>
    <t>Self-radiation and sensing of microwave using a Josephson junction coupled to a frequency-independent antenna</t>
  </si>
  <si>
    <t>S0921453499005079</t>
  </si>
  <si>
    <t>10.1016/S0921-4534(99)00507-9</t>
  </si>
  <si>
    <t>2-s2.0-0033344991</t>
  </si>
  <si>
    <t>['wlan prototype', 'single ssfip', 'polarization diversity', 'new type', 'good isolation', 'dcs 1800']</t>
  </si>
  <si>
    <t>A new type of four-port, dual-frequency, and dual-polarization printed planar antenna is described. As an example of application, a DECT+DCS 1800/WLAN prototype has been realized and measured. Having the same dimensions as a single SSFIP (strip-slot-foam inverted patch) antenna, it allows for polarization diversity over two frequency bands, with four independent ports providing a good isolation.</t>
  </si>
  <si>
    <t>75-78</t>
  </si>
  <si>
    <t>7004724089;7403743662;6701417455;7006665188</t>
  </si>
  <si>
    <t>Z√ºrcher, J. F.;Xu, Qin;Skrivervik, A. K.;Mosig, J. R.</t>
  </si>
  <si>
    <t>Dual-frequency, dual-polarization four-port printed planar antenna</t>
  </si>
  <si>
    <t>10.1002/(SICI)1098-2760(19991020)23:2&lt;75::AID-MOP4&gt;3.0.CO;2-R</t>
  </si>
  <si>
    <t>2-s2.0-0344771165</t>
  </si>
  <si>
    <t>['thermal stability', 'tertiary structure', 'spectroscopic properties', 'single band', 'significant change', 'recombinant material', 'plausible mechanism', 'phospholipid vesicles', 'pheromone complex', 'ph changes', 'ph 6', 'one another', 'olfactory neurons', 'natural pheromone', 'mori pbp', 'membranes suggests', 'high sensitivity', 'expression system', 'exchange chromatography', 'conformational transition', 'circular dichroism', 'chromatographic systems', 'cd spectra', 'bombyx mori', 'binding protein', 'artifact arising', 'also homogeneous']</t>
  </si>
  <si>
    <t>The pheromone-binding protein (PBP) from Bombyx mori was expressed in Escherichia coli periplasm. It specifically bound radiolabeled bombykol, the natural pheromone for this species. It appeared as a single band both in native and SDS-polyacrylamide gel electrophoresis and was also homogeneous in most chromatographic systems. However, in ion-exchange chromatography, multiple forms sometimes appeared. Attempts to separate them revealed that they could be converted into one another. Analysis of the protein by circular dichroism and fluorescence spectroscopy demonstrated that its tertiary structure was sensitive to pH changes and that a dramatic conformational transition occurred between pH 6.0 and 5.0. This high sensitivity to pH contrasted markedly with its thermal stability and resistance to denaturation by urea. There was also no significant change in CD spectra in the presence of the pheromone. The native protein isolated from male antennae displayed the same changes in its spectroscopic properties as the recombinant material, demonstrating that this phenomenon is not an artifact arising from the expression system. This conformational transition was reproduced by interaction of the protein with anionic (but not neutral) phospholipid vesicles. Unfolding of the PBP structure triggered by membranes suggests a plausible mechanism for ligand release upon interaction of the PBP-pheromone complex with the surface of olfactory neurons. This pH-linked structural flexibility also explains the heterogeneity reported previously for B. mori PBP and other members of this class of proteins.</t>
  </si>
  <si>
    <t>30950-30956</t>
  </si>
  <si>
    <t>100318977-60018873;100318977</t>
  </si>
  <si>
    <t>Tsu;Tsukuba</t>
  </si>
  <si>
    <t>Mie University;Natl. Inst. Sericultural E.</t>
  </si>
  <si>
    <t>60018873;100318977</t>
  </si>
  <si>
    <t>Conformational change in the pheromone-binding protein from Bombyx mori induced by pH and by interaction with membranes</t>
  </si>
  <si>
    <t>10.1074/jbc.274.43.30950</t>
  </si>
  <si>
    <t>2-s2.0-0032725049</t>
  </si>
  <si>
    <t>['terahertz radiation', 'optical homodyning', 'optic effect', 'optic detection', 'grown gaas', 'domain measurement', 'detected using', 'coherent detection', 'antenna fabricated']</t>
  </si>
  <si>
    <t>We present a scheme for the coherent detection of freely propagating continuous-wave terahertz radiation using electro-optic detection. The terahertz radiation is generated by photomixing two single-mode laser diodes in an antenna fabricated on low-temperature-grown GaAs. This radiation is detected using the electro-optic effect in „Äà110„Äâ ZnTe. In contrast to typical terahertz detection techniques, this is a frequency-domain measurement that relies on coherent up-conversion of the terahertz field combined with optical homodyning to suppress background noise. ¬© 1999 American Institute of Physics.</t>
  </si>
  <si>
    <t>2524-2526</t>
  </si>
  <si>
    <t>60032995;60032995;60030162</t>
  </si>
  <si>
    <t>7005645897;7007108218;7006402477</t>
  </si>
  <si>
    <t>Nahata, Ajay;Yardley, James T.;Heinz, Tony F.</t>
  </si>
  <si>
    <t>Morris Plains;New York</t>
  </si>
  <si>
    <t>Honeywell International Inc.;Columbia University</t>
  </si>
  <si>
    <t>60032995;60030162</t>
  </si>
  <si>
    <t>Nahata A.</t>
  </si>
  <si>
    <t>Free-space electro-optic detection of continuous-wave terahertz radiation</t>
  </si>
  <si>
    <t>10.1063/1.125065</t>
  </si>
  <si>
    <t>2-s2.0-0001266851</t>
  </si>
  <si>
    <t>['sight communication', 'results show', 'measured using', 'elevations ranging', '80 ¬∞.', '50 ¬∞,', '5 ¬∞']</t>
  </si>
  <si>
    <t>The K-band fade statistics in Tokyo were measured using an antenna (beamwidth of 19.5¬∞ in elevation and 6.5¬∞ in azimuth) at elevations ranging from 37 to 80¬∞. The results show that line-of-sight communication is possible only approx. 33% of the distance at elevations &lt; 50¬∞, but it is 98% at 80¬∞.</t>
  </si>
  <si>
    <t>1912-1913</t>
  </si>
  <si>
    <t>60032325;60032325;60032325;60032325;60032325</t>
  </si>
  <si>
    <t>35501540000;35955383400;7006083009;7202880227;57207148554</t>
  </si>
  <si>
    <t>Wakana, H.;Yamamoto, S.;Obara, N.;Miura, A.;Ikeda, M.</t>
  </si>
  <si>
    <t>Japan National Institute of Information and Communications Technology</t>
  </si>
  <si>
    <t>Wakana H.</t>
  </si>
  <si>
    <t>Fade characteristics for K-band land-mobile satellite channels in Tokyo measured using COMETS</t>
  </si>
  <si>
    <t>10.1049/el:19991301</t>
  </si>
  <si>
    <t>2-s2.0-0033330776</t>
  </si>
  <si>
    <t>['two photosystems', 'rice seedlings', 'rice leaves', 'rate constants', 'ps ii', 'present study', 'photosystem stoichiometries', 'photosynthetic activity', 'percentage abundance', 'mmol chl', 'lower leaves', 'following results', 'electron transport', 'electron carriers', 'decrease gradually', 'compensatory relationship', 'chl content', 'bottom leaves', 'b ratio']</t>
  </si>
  <si>
    <t>Antenna size of PSI and PS II | Chl a/b ratio | Light intensity | PS II heterogeneity | PS II/PS I ratio | Rice</t>
  </si>
  <si>
    <t>Changes in the Chl a/b ratio, electron transport, electron carriers, and photosystem stoichiometries were examined in rice leaves in the present study. The Chl a/b ratio is known to decrease gradually from the top to the bottom leaves, indicating a increase in the abundance of LHC II relative to the reaction center complexes of the two photosystems. We used juvenile rice canopy and obtained the following results: (1) the photosynthetic activity and Chl content per leaf area decreased from the top to the bottom leaves, the Chl a/b ratio also declined from 3.7 to 3.0; (2) when determined on the basis of Chl content, C-550 and Cyt f content decreased, but there was no loss of P-700. Consequently, the PS II/PS I ratio significantly decreased; (3) on the basis of mmol Chl, the levels of Cyt f dramatically decreased and, therefore, no loss was observed for whole chain electron transport per Cyt f; and (4) the percentage abundance of PS IIŒ± increased, but the rate constants of Q(A) photoreduction and P-700 photooxidation gradually decreased. From these results, we hypothesize that there is a compensatory relationship between the decline in the Chl a/b ratio and that in the PS II/PS I ratio in the lower leaves in rice seedlings.</t>
  </si>
  <si>
    <t>155-163</t>
  </si>
  <si>
    <t>60018642;60018642;60018642;60018642</t>
  </si>
  <si>
    <t>7101974287;7004955232;56296522800;7102703759</t>
  </si>
  <si>
    <t>Yamazaki, Jun Ya;Kamimura, Yasumaro;Okada, Mitsumasa;Sugimura, Yasutomo</t>
  </si>
  <si>
    <t>Yamazaki J.</t>
  </si>
  <si>
    <t>Changes in photosynthetic characteristics and photosystem stoichiometries in the lower leaves in rice seedlings</t>
  </si>
  <si>
    <t>S0168945299001326</t>
  </si>
  <si>
    <t>10.1016/S0168-9452(99)00132-6</t>
  </si>
  <si>
    <t>2-s2.0-0033615558</t>
  </si>
  <si>
    <t>['usual phase', 'spectral structure', 'rf oscillation', 'resultant radiation', 'relatively weak', 'random drift', 'possible models', 'phase coherence', 'magnitude finer', 'incoherent condition', 'ending segments', 'emission band', 'decametric radio', 'copyright 1999', 'brief intervals', 'achieved elsewhere', 'abruptly starting', 'abruptly resumes', '640 dipoles', '26 mhz', '2 orders', '100 œºs']</t>
  </si>
  <si>
    <t>We have developed a method for displaying the spectral structure of Jupiter's decametric radio S bursts on timescales down to a few microseconds, 2 orders of magnitude finer than has been achieved elsewhere. By employing an extremely sensitive antenna (640 dipoles, at 26 MHz) and selecting only relatively weak S bursts that possess the simplest possible spectral shape, we identify frequently occurring structural features that we associate With localized emission centers. On timescales having better than about 30 Œºs resolution we find that the S burst baseband oscillation (and therefore the RF oscillation) is modulated to form distinct pulses, which we refer to as subpulses. Still finer time resolution reveals that within individual subpulses the baseband (and RF) oscillation often displays segments in which the usually drifting phase term abruptly becomes essentially constant and, after remaining so for 10 to 100 Œºs, abruptly resumes its random drift. It is these abruptly starting and ending segments of phase coherence that we attribute to isolated powerful centers of cyclotron maser wave amplification, which happen for brief intervals to be the only ones that are active. We believe that the more usual phase-incoherent condition (i.e., one in which the instantaneous frequency drifts randomly within the emission band) is due to the fact that the resultant radiation is the sum of two or more components from neighboring wave amplification centers emitting at slightly different frequencies, with independently varying intensities. Possible models for the production of subpulses and phase coherent intervals are discussed. Copyright 1999 by the American Geophysical Union.</t>
  </si>
  <si>
    <t>25127-25141</t>
  </si>
  <si>
    <t>1999JA900342</t>
  </si>
  <si>
    <t>A11</t>
  </si>
  <si>
    <t>60013959;60013959</t>
  </si>
  <si>
    <t>23062672100;8427871600</t>
  </si>
  <si>
    <t>Carr, Thomas D.;Reyes, Francisco</t>
  </si>
  <si>
    <t>Gainesville</t>
  </si>
  <si>
    <t>University of Florida</t>
  </si>
  <si>
    <t>Carr T.D.</t>
  </si>
  <si>
    <t>Microstructure of Jovian decametric S bursts</t>
  </si>
  <si>
    <t>10.1029/1999ja900342</t>
  </si>
  <si>
    <t>2-s2.0-0001951585</t>
  </si>
  <si>
    <t>['vsie method', 'visualizing e', 'tissue specifications', 'tetrahedron grid', 'temperature distributions', 'specific toxicity', 'skeletal syndromes', 'significant dependencies', 'regional hyperthermia', 'quite similar', 'processing procedure', 'predictions derived', 'posteriori correction', 'obtained using', 'numerical methods', 'major differences', 'labelled ct', 'interfaces defined', 'hounsfield units', 'generating patient', 'first type', 'first transformed', 'field distributions', 'fdtd method', 'factor 2', 'equal resolution', 'employing region', 'electrical properties', 'electrical constants', 'direct transformation', 'different labels', 'data sets', 'currently used', 'cubic lattice', 'constant voltages', 'computerized tomography', 'comparable results', 'comparable e', 'clinical experiences', 'based segmentation', 'based models', 'based model', 'based ).', 'background medium', 'applicator models', 'always supported', 'almost insensitive']</t>
  </si>
  <si>
    <t>FDTD method | Hyperthermia treatment planning | Specific absorption rate</t>
  </si>
  <si>
    <t>Background: A hyperthermia planning system has been developed for generating patient and applicator models as well as calculating and visualizing E-field and temperature distributions. Significant dependencies on models and algorithms have been found. Methods: Computerized tomography (CT) data sets are first transformed into so called 'labelled CT-volume'-data sets of equal resolution, which are used for segmentation. The first type of patient model obtained subsequently is based on regions with specified electrical properties representing tissues or organs (so called 'region-based model'). The second patient model renders a direct transformation of Hounsfield Units (HU) to electrical constants (so called 'HU-based model'). The FDTD-method (finite difference time domain,) is then applied on a cubic lattice employing either an auxiliary 'sub-cubic lattice' (for HU-based segmentation) or a tetrahedron grid (for region-based segmentation) to assign the electrical properties, both representing the anatomy of the patient. E-field distributions are corrected by a post-processing procedure with respect to the geometry of interfaces defined by the tetrahedron grid. For comparison, the VSIE method (volume surface integral equation) is performed on the same tetrahedron grid. The applicator model assumes eight half-wavelength dipole antennas fed with constant voltages with water as background medium. Results: For both numerical methods (FDTD, VSIE) the resulting antenna input impedances as well as the current distributions along the antennas were quite similar and almost insensitive to the particular geometry model (region-based, HU-based). In contrast to that, the power deposition patterns in the interior of the patient depended strongly on those models. Major differences can be related to different labels of the tissue type bone in the HU-based model in comparison to the definition via regions. Conversely, comparable results were obtained using the VSIE method and the FDTD method on the region-based patient model with a posteriori correction at the tetrahedron grid points. SAR (specific absorption rate) elevations up to a factor of 10 were predicted when employing region-based models. Those peaks might correspond to specific toxicity of electromagnetic radiation clinically known as hot spot phenomena or musculo-skeletal syndromes. Conversely, HU-based models generated quite homogeneous power deposition patterns with fluctuations of at most factor 2. Conclusion: The methods employing region-based geometry models such as the VSIE method and FDTD method in conjunction with posteriori correction at tissue interfaces result in comparable E-field distributions for regional hyperthermia. Due to its shorter calculation time, the FDTD method is currently used in the clinic. Predictions derived from HU-based models without prior corrections of tissue specifications are not always supported by clinical experiences.</t>
  </si>
  <si>
    <t>519-540</t>
  </si>
  <si>
    <t>60026245;60026245-60032824;60032824;60032824;60026245;60032824;60032824;60026245</t>
  </si>
  <si>
    <t>7004987139;6701796687;6603594689;7004292952;6603902469;34769863200;7003738543;36049536700</t>
  </si>
  <si>
    <t>Wust, P.;Nadobny, J.;Seebass, M.;Stalling, D.;Gellermann, J.;Hege, H. C.;Deuflhard, P.;Felix, R.</t>
  </si>
  <si>
    <t>Zuse Institute Berlin;Charit√© ‚Äì Universit√§tsmedizin Berlin</t>
  </si>
  <si>
    <t>60032824;60026245</t>
  </si>
  <si>
    <t>Influence of patient models and numerical methods on predicted power deposition patterns</t>
  </si>
  <si>
    <t>10.1080/026567399285512</t>
  </si>
  <si>
    <t>2-s2.0-0032702588</t>
  </si>
  <si>
    <t>['two groups', 'transponders inside', 'time needed', 'three experiments', 'successful administration', 'second experiment', 'rumen mucosa', 'retention rates', 'retention rate', 'reproductive performance', 'recovery rates', 'recommended live', 'reading distances', 'proof method', 'performance effects', 'nutrient digestibility', 'individual pens', 'held readers', 'frame antenna', 'first week', 'first lambing', 'first experiment', 'fattening lambs', 'fattened calves', 'farm conditions', 'electronic scales', 'electronic identification', 'eight lambs', 'dynamic reading', 'difficulties observed', 'dairy cows', 'ceramic boluses', 'ceramic bolus', 'cannulated cows', 'boluses proved', 'animal category', 'also assigned', 'adult ewes', '808 ewes', '8 mm', '74 lambs', '65 g', '349 cows', '3 years', '3 ).', '25 kg', '2452 boluses', '20 kg', '16 young', '1138 calves']</t>
  </si>
  <si>
    <t>Animal identification | Ceramic bolus | Reading range</t>
  </si>
  <si>
    <t>Retention rate and digestive and performance effects of ceramic boluses (66 x 20 mm, 65 g) enclosing passive transponders (32.5 x 3.8 mm) were studied in three experiments. Reading distances of transponders inside and outside the boluses (n = 10) did not vary. In the first experiment, a total of 2452 boluses were applied to 74 lambs and 808 ewes, 16 young and 67 adult goats, 1138 calves and 349 cows. Plastic balling guns were used to insert the boluses and their effects were evaluated during 3 years or until slaughter. Time needed for application and recommended live-weights (LW) depended on animal category (sheep, 24 s and &gt; 25 kg; goats, 26 s and &gt; 20 kg; cattle, 19-240 s and &gt; 30 kg). Application in calves was possible during the first week of life. Retention rates were 100, 98.8 and 99.7% in sheep, goats and cattle, respectively. The location of boluses in the reticulum was checked with hand-held readers and verified by X-ray in a sample (n = 4) of each animal category or directly in cannulated cows (n = 3). Transceivers were interfaced with electronic scales for automatic weight recording. Dynamic reading efficiency was 100% in race-ways with a frame antenna (94 x 52 cm). Health and performances were not modified by boluses. An average of 93% of boluses were found in the reticulum at slaughter. Recovery rates and times varied according to animal category (lambs, 100% and 5 s; ewes and goats, 100% and 8 s; fattened calves, 91.3% and 12 s; dairy cows, 72% and 14 s). In the second experiment, two groups of adult ewes (control, n = 5; bolus, n = 5) were housed in individual pens and fed forage ad libitum. Mean forage intake and nutrient digestibility were not varied by the ceramic boluses. In the third experiment 45 fattening male lambs (20 kg LW) and 20 replacement ewe-lambs (30 kg LW) were used. Fattening lambs were divided into two groups and assigned to the treatments (control, n = 25; bolus, n = 20) until slaughter (25 kg LW). In spite of the difficulties observed in the force-feeding of boluses in eight lambs (40%), average daily gain and reticulum-rumen mucosa were not altered. Ewe-lambs were also assigned to the treatments in two groups (control, n = 10; bolus, n = 10) and monitored until first lambing or 1 year old. The weight, body condition score and reproductive performance were not affected by boluses. In conclusion, the use of the ceramic bolus is recommended as a safe and tamper-proof method for electronic identification of ruminants once the animals have reached a weight where successful administration is possible. Moreover, boluses proved to be useful for dynamic reading and automatic weight recording on farm conditions.</t>
  </si>
  <si>
    <t>45-63</t>
  </si>
  <si>
    <t>Computers and Electronics in Agriculture</t>
  </si>
  <si>
    <t>24288116400;7003858831;8150506800;6506286838</t>
  </si>
  <si>
    <t>Caja, G.;Conill, C.;Nehring, R.;Rib√≥, O.</t>
  </si>
  <si>
    <t>Caja G.</t>
  </si>
  <si>
    <t>Development of a ceramic bolus for the permanent electronic identification of sheep, goat and cattle</t>
  </si>
  <si>
    <t>S0168169999000368</t>
  </si>
  <si>
    <t>10.1016/S0168-1699(99)00036-8</t>
  </si>
  <si>
    <t>2-s2.0-0032753631</t>
  </si>
  <si>
    <t>['tested stimuli', 'suitable roosting', 'specific aggregation', 'showed phase', 'schistocerca gregaria', 'pheromone components', 'olfactory sensilla', 'major component', 'higher sensitivity', 'foraging sites', 'dependent characteristics', 'chemical cues', 'antennal lobe', 'al neurons']</t>
  </si>
  <si>
    <t>Antennal lobe | Electrophysiology | Olfaction | Pheromone | Schistocerca gregaria</t>
  </si>
  <si>
    <t>Integration of behaviourally relevant odours at the central nervous level of 3rd instar nymphal desert locusts, Schistocerca gregaria, showed phase- and (developmental) stage-dependent characteristics which correlated with differences in the number of olfactory sensilla. Antennal lobe (AL) neurons of gregarious locusts generally responded more frequently and showed a higher sensitivity to the tested stimuli. However, AL neurons of solitary locusts responded significantly more frequently to phenylacetonitril, the major component of the adult aggregation pheromone. Pheromone-specific, plant-specific and pheromone-plant generalist neurons were found in both phases. The response of spectra of pheromone-specific neurons correlated with the potential behavioural significance of attractant chemical cues in the environment. Neurons of both phases responded specifically to stage-specific aggregation-pheromone components and to other chemical cues that may be involved in the location of suitable roosting and foraging sites.</t>
  </si>
  <si>
    <t>60029170;60029170;60029170</t>
  </si>
  <si>
    <t>55971855000;7005809476;7103226689</t>
  </si>
  <si>
    <t>Ignell, Rickard;Anton, Sylvia;Hansson, Bill S.</t>
  </si>
  <si>
    <t>Ignell R.</t>
  </si>
  <si>
    <t>Integration of behaviourally relevant odours at the central nervous level in solitary and gregarious third instar locusts, Schistocerca gregaria</t>
  </si>
  <si>
    <t>S0022191099000803</t>
  </si>
  <si>
    <t>10.1016/S0022-1910(99)00080-3</t>
  </si>
  <si>
    <t>2-s2.0-0032775816</t>
  </si>
  <si>
    <t>['simulated ones', 'recent investigation', 'present results', 'measured results', 'difference time', 'antenna element']</t>
  </si>
  <si>
    <t>We present results of a recent investigation into a wide-band and high gain patch microstrip antenna using the finite-difference time-domain (FDTD) method. The substrate-superstrate resonance technique was used to increase the antenna element gain. An aperture-coupled rectangular patch microstrip antenna with two superstrate layers was designed, and the effect of the finite ground plane on the gain of the antenna element was analyzed. The antenna was fabricated and tested. The measured results are presented in comparison with the simulated ones.</t>
  </si>
  <si>
    <t>468-473</t>
  </si>
  <si>
    <t>60005510-60025578-60016835-60029428;60005510-60005686-101789192-60024590-102054464;60005510</t>
  </si>
  <si>
    <t>Germany;China;United States;China;New Zealand;Singapore;;Colombia</t>
  </si>
  <si>
    <t>Karlsruhe;Xi'an;Schaumburg;Beijing;Auckland;Singapore City;;Cali</t>
  </si>
  <si>
    <t>Karlsruhe Institute of Technology, Campus South;Xidian University;Motorola;Beijing Institute of Technology;The University of Auckland;Nanyang Technological University;NTU Satellite Engineering Center;School of Electrical and Electronic Engineering</t>
  </si>
  <si>
    <t>60029428;60025578;60024590;60016835;60005686;60005510;102054464;101789192</t>
  </si>
  <si>
    <t>Analysis of one wide-band and high gain patch microstrip antenna using the FDTD method</t>
  </si>
  <si>
    <t>10.1002/(SICI)1099-047X(199911)9:6&lt;468::AID-MMCE4&gt;3.0.CO;2-K</t>
  </si>
  <si>
    <t>2-s2.0-0033221480</t>
  </si>
  <si>
    <t>['test elements', 'spatial interpolation', 'rectangular cells', 'mom ),', 'matrix efficiently', 'interpolation scheme', 'electromagnetic scattering', 'considerable reduction', 'article describes']</t>
  </si>
  <si>
    <t>In the analysis of electromagnetic scattering and radiation from objects of arbitrary shape using the method of moments (MoM), it is desirable to fill the impedance (or moment) matrix efficiently so that larger size problems can be solved. This article describes a general MoM technique in which the matrix is filled by spatial interpolation with respect to a parametrized electrical separation between source and test elements. The parametrization is accomplished such that the same algorithm also provides frequency interpolation, thus facilitating efficient computations over a wide frequency band. The spatial interpolation method is illustrated by application to the analysis of radiation from tunable microstrip patch antennas over multiple frequency bands. By specializing the interpolation scheme to a surface integral equation formulation that employs rooftop basis functions on a grid of rectangular cells, it is shown that the interpolation method results in considerable reduction of the storage and CPU time requirements.</t>
  </si>
  <si>
    <t>474-489</t>
  </si>
  <si>
    <t>60021681-60018306-60030551-60010491-60015941-60000251-100455951-60019544;60029575-60018306-60004923-114047282;60001439-60000251-101705178-105251491-60000745-60026851-60011373</t>
  </si>
  <si>
    <t>35576639300;6701741989;55197051100</t>
  </si>
  <si>
    <t>Naishadham, Krishna;Nuteson, Todd W.;Mittra, Raj</t>
  </si>
  <si>
    <t>United States;United States;United Kingdom;Netherlands;Australia;United States;United States;Denmark;United States;United States;United States;United States;United States;;United States;United States;France</t>
  </si>
  <si>
    <t>Syracuse;El Segundo;Oxford;Amsterdam;North Ryde;Dayton;Lexington;Lyngby;University;Raleigh;University Park;Urbana;New York;;;;</t>
  </si>
  <si>
    <t>Syracuse University;Aerospace Corporation, USA;University of Oxford;Royal Philips;Macquarie University;Wright State University;University of Kentucky;Danmarks Tekniske Universitet;University of Mississippi;NC State University;Pennsylvania State University;University of Illinois Urbana-Champaign;IEEE;Electronics Research Laboratory;Communications and Space Sciences Laboratory;Electromagnetic Commun. Res. Lab;URSI Commission B</t>
  </si>
  <si>
    <t>60030551;60029575;60026851;60021681;60019544;60018306;60015941;60011373;60010491;60004923;60001439;60000745;60000251;114047282;105251491;101705178;100455951</t>
  </si>
  <si>
    <t>Naishadham K.</t>
  </si>
  <si>
    <t>Parametric interpolation of the moment matrix in surface integral equation formulation</t>
  </si>
  <si>
    <t>10.1002/(SICI)1099-047X(199911)9:6&lt;474::AID-MMCE5&gt;3.0.CO;2-I</t>
  </si>
  <si>
    <t>2-s2.0-0033221481</t>
  </si>
  <si>
    <t>['space link', 'report spurious', 'range measurements', 'optimal bias', 'nm vertical', 'modulation frequencies', 'modal noise', 'microcellular networks', 'longer lengths', 'free dynamic', 'fiber link', 'emitting lasers', 'emitting laser', 'dynamic range', 'cavity surface', 'antenna remoting', 'also investigated', '900 mhz', '5 ghz']</t>
  </si>
  <si>
    <t>We report spurious-free dynamic-range measurements of 850-nm vertical-cavity surface-emitting lasers in short multimode links for radio frequency communication. For a 27-m fiber link, the dynamic range at optimal bias was greater than 95 dB¬∑Hz2/3 for modulation frequencies between 1 and 5.5 GHz, which exceeds the requirements for antenna remoting in microcellular networks. In a free-space link, we have measured the highest dynamic range in an 850-nm vertical-cavity surface-emitting laser of 113 dB¬∑Hz2/3 at 900 MHz. We have also investigated the effects of modal noise and differential mode delay on the dynamic range for longer lengths of fiber.</t>
  </si>
  <si>
    <t>1473-1475</t>
  </si>
  <si>
    <t>60022195;60022195;60022195;60007843</t>
  </si>
  <si>
    <t>7501482158;57206332820;35517089700;7101831545</t>
  </si>
  <si>
    <t>Lee, H. L.T.;Dalal, R. V.;Ram, R. J.;Choquette, K. D.</t>
  </si>
  <si>
    <t>Cambridge;Albuquerque</t>
  </si>
  <si>
    <t>Massachusetts Institute of Technology;Sandia National Laboratories, New Mexico</t>
  </si>
  <si>
    <t>60022195;60007843</t>
  </si>
  <si>
    <t>Lee H.</t>
  </si>
  <si>
    <t>Dynamic range of vertical-cavity surface-emitting lasers in multimode links</t>
  </si>
  <si>
    <t>10.1109/68.803083</t>
  </si>
  <si>
    <t>2-s2.0-0033221842</t>
  </si>
  <si>
    <t>['resonant frequency', 'parasitic disk', 'antenna using', 'also vary']</t>
  </si>
  <si>
    <t>A technique for tuning the resonant frequency of a microstripline feed rectangular dielectric resonator (DR) antenna using a parasitic disk on top of the DR with an adjustable air gap is presented. By varying the air gap height, the DR antenna resonant frequency will also vary but has similar radiation patterns.</t>
  </si>
  <si>
    <t>736-738</t>
  </si>
  <si>
    <t>Adjustable frequency dielectric resonator antenna</t>
  </si>
  <si>
    <t>2-s2.0-0033221955</t>
  </si>
  <si>
    <t>['talk position', 'selection diversity', 'reliability level', 'prototypes produce', 'phantom head', 'mobile telephones', 'mhz band', 'incoming field', 'hand phantoms', 'e .,', 'diversity performance', '9 db']</t>
  </si>
  <si>
    <t>An evaluation of two-branch antenna diversity on mobile telephones is performed in the presence of head and hand phantoms to model the influence of the user. Two mobile telephone prototypes for the 1800-MHz band are considered. The evaluation is done by measuring the three-dimensional (3-D) complex radiation patterns from each antenna with the prototypes positioned near the phantom head and hand (i.e., in talk position) and calculating the diversity performance for three different scenarios of the incoming field. The two-branch antenna setups on both prototypes produce a calculated diversity gain of about 9 dB for selection diversity at the 99% reliability level.</t>
  </si>
  <si>
    <t>1736-1738</t>
  </si>
  <si>
    <t>100464541;60023715;60023715</t>
  </si>
  <si>
    <t>36658892700;6506751999;7007050464</t>
  </si>
  <si>
    <t>Braun, Christian;Engblom, Gunnar;Beckman, Claes</t>
  </si>
  <si>
    <t>Kista;Akersberga</t>
  </si>
  <si>
    <t>Powerwave Technologies;Allgon Mobile Communications AB</t>
  </si>
  <si>
    <t>60023715;100464541</t>
  </si>
  <si>
    <t>Braun C.</t>
  </si>
  <si>
    <t>Evaluation of antenna diversity performance for mobile handsets using 3-D measurement data</t>
  </si>
  <si>
    <t>10.1109/8.814955</t>
  </si>
  <si>
    <t>2-s2.0-0033224743</t>
  </si>
  <si>
    <t>['two modes', 'tunable dual', 'tunable cw', 'tunable 2', 'thz radiation', 'optical alignment', 'frequency separation', 'ecl oscillated', 'diode laser', 'difference frequency', 'compact design', '250 ghz', '1 thz']</t>
  </si>
  <si>
    <t>A tunable dual-wavelength external cavity laser diode (2-Œª-ECL) was used to generate tunable coherent cw-terahertz (THz) radiation by photomixing in a biased photoconductive antenna fabricated on a low-temperature-grown (LTG)-GaAs film. The 2-Œª-ECL oscillated at the two output modes simultaneously with a frequency separation from 250 GHz to 2.1 THz in the same cavity. We demonstrated that the frequency of the emitted THz radiation corresponded to the difference frequency between the two modes of the diode laser. The tunable 2-Œª-ECL, due to its compact design and ease of optical alignment, is a promising laser source for the generation of tunable cw-THz radiation by photomixing.</t>
  </si>
  <si>
    <t>60092258;60012370;60092258;60092258;60012370</t>
  </si>
  <si>
    <t>35966990100;36870439700;7202550229;7404662230;56027799400</t>
  </si>
  <si>
    <t>Gu, Ping;Chang, Fan;Tani, Masahiko;Sakai, Kiyomi;Pan, Ci Ling</t>
  </si>
  <si>
    <t>Japan;Taiwan</t>
  </si>
  <si>
    <t>Koganei;Hsinchu</t>
  </si>
  <si>
    <t>Ministry of Posts and Telecommunications, Japan;National Chiao Tung University</t>
  </si>
  <si>
    <t>60092258;60012370</t>
  </si>
  <si>
    <t>Gu P.</t>
  </si>
  <si>
    <t>Generation of coherent cw-terahertz radiation using a tunable dual-wavelength external cavity laser diode</t>
  </si>
  <si>
    <t>10.1143/jjap.38.l1246</t>
  </si>
  <si>
    <t>2-s2.0-0033224894</t>
  </si>
  <si>
    <t>['wave propagation', 'wave analysis', 'spiral antenna', 'radio frequency', 'radial direction', 'large diameter', 'increasing distance', 'examined based', 'cylindrical shape', 'bounded plasma', '45 cm']</t>
  </si>
  <si>
    <t>Radio frequency (RF) wave propagation in a bounded plasma (cylindrical shape with a large diameter of 45 cm) produced by a planar, spiral antenna was investigated under divergent and convergent magnetic field configurations. The measured excited magnetic field amplitude and the phase were examined based on helicon wave characteristics, and were consistent with the computed results using the Transport Analyzing System for tokamaK/Wave analysis by Finite element method (TASK/WF) code. The wave propagation region was broadened (focused) in the radial direction with increasing distance from the antenna under the divergent (convergent) field.</t>
  </si>
  <si>
    <t>RF wave propagation in bounded plasma under divergent and convergent magnetic field configurations</t>
  </si>
  <si>
    <t>10.1143/jjap.38.l1278</t>
  </si>
  <si>
    <t>2-s2.0-0033225003</t>
  </si>
  <si>
    <t>['wave components', 'signals received', 'radio sounding', 'quadrature sampling', 'polarization ellipses', 'omnidirectional transmission', 'many directions', 'image spacecraft', 'faraday rotation', 'echoes arriving', 'echo signals', 'doppler analysis']</t>
  </si>
  <si>
    <t>Radio sounding in the magnetosphere by the radio plasma imager on the IMAGE spacecraft will determine the dimensions and shape of the cavity between the magnetopause and the plasmapause. Omnidirectional transmission of pulsed radio signals results in echoes arriving from many directions. Quadrature sampling and Doppler analysis of the signals received on three orthogonal antennas will make it possible to determine the angles of arrival of the echoes, their polarization ellipses, and the Faraday rotation. Decomposition of the echo signals into the two characteristic waves is used to identify the O- and X-wave components.</t>
  </si>
  <si>
    <t>1513-1524</t>
  </si>
  <si>
    <t>60033461;60033461;60033461;60006337;60006337</t>
  </si>
  <si>
    <t>7006701810;7003721695;7201991216;7201970041;7402890877</t>
  </si>
  <si>
    <t>Reinisch, Bodo W.;Sales, Gary S.;Haines, D. Mark;Fung, Shing F.;Taylor, William W.L.</t>
  </si>
  <si>
    <t>Lowell;Greenbelt</t>
  </si>
  <si>
    <t>University of Massachusetts Lowell;NASA Goddard Space Flight Center</t>
  </si>
  <si>
    <t>60033461;60006337</t>
  </si>
  <si>
    <t>Reinisch B.</t>
  </si>
  <si>
    <t>Radio wave active Doppler imaging of space plasma structures: Arrival angle, wave polarization, and Faraday rotation measurements with the radio plasma imager</t>
  </si>
  <si>
    <t>10.1029/1999RS900075</t>
  </si>
  <si>
    <t>2-s2.0-0033225093</t>
  </si>
  <si>
    <t>['wide slit', 'simple uniform', 'significant beams', 'ranges outside', 'obtained similarly', 'moderate size', 'many beams', 'local obstacles', 'local half', 'line source', 'limited number', 'far field', 'exact solution', 'cosinusoidal distributions', 'conducting half', 'complex source', 'beam source', 'beam directions', 'basis elements', 'basis element', 'approximately twice', 'aperture width', 'aperture near', 'aperture distribution']</t>
  </si>
  <si>
    <t>With the complex source-point method used to produce the basis elements of an array of linearly and directionally equispaced two-dimensional (2-D) beams, the fields of any aperture distribution at any range to any degree of accuracy can be obtained. For efficiency a limited number of significant beams and beam directions is required. Approximately twice as many beams as the aperture width in wavelengths, with all beam directions normal to the aperture, is found to be sufficient here for simple uniform and cosinusoidal distributions in apertures of moderate size at ranges outside the evanescent field zone of the aperture. Now the exact solution for the far field of a line source, or here a beam source in the presence of a conducting half-plane, is used as our basis element to give the solution for antenna pattern diffraction by a local half-plane. Antenna pattern diffraction by an aperture near a wide slit is presented as simply a superposition of the solutions for two coplanar half-planes with separated parallel edges. Antenna pattern distortion by various other local obstacles can be obtained similarly.</t>
  </si>
  <si>
    <t>1669-1676</t>
  </si>
  <si>
    <t>Two-dimensional diffraction by half-planes and wide slits near radiating apertures</t>
  </si>
  <si>
    <t>10.1109/8.814946</t>
  </si>
  <si>
    <t>2-s2.0-0033225291</t>
  </si>
  <si>
    <t>['thinner substrate', 'theoretical model', 'studied theoretically', 'slot antenna', 'significant effect', 'radiation pattern', 'microstrip substrate', 'microstrip line', 'measurement values', 'line current', 'impedance level', 'high permittivities', 'hemisphere placed', 'electrically dense', 'dielectric load', 'computed impedances', 'antenna impedance', 'analysis shows', 'alone device']</t>
  </si>
  <si>
    <t>A dielectric-loaded slot antenna fed by a finite-width substrate microstrip line is studied theoretically and experimentally by using the spatial dyadic Green's functions. Emphasis is placed on the analysis of the new feeding method, the finite-width substrate microstrip line, which is a versatile microstrip structure and can be made as a stand-alone device. The dielectric load is a hemisphere placed over the slot. The volume equivalence theorem is used to establish the theoretical model of the microstrip line. A simple excitation method for the microstrip line is introduced and modified to fit our problem. The spatial domain multilayered dielectric sphere dyadic Green's functions are used to obtain the scattered electromagnetic fields from the hemispherical dielectric load. The microstrip-line current, the microstrip-substrate electric field, and the equivalent magnetic current on the slot are obtained and used to calculate the impedance and the radiation pattern of the antenna. Computed impedances of the unloaded slot antenna and the loaded slot antenna show good agreements with either published data or measurement values. Analysis shows that the permittivities of the microstrip substrate have a significant effect on the impedance level of the antenna. It is found that electrically dense (high permittivities) substrates can give better impedance-matching between the feeding microstrip line and the slot antenna. The reduction of the antenna impedance by using a thinner substrate has also been demonstrated in our investigation.</t>
  </si>
  <si>
    <t>1389-1400</t>
  </si>
  <si>
    <t>Study of a dielectric-loaded slot antenna fed by a finite-width substrate microstrip line</t>
  </si>
  <si>
    <t>10.1029/1999RS900095</t>
  </si>
  <si>
    <t>2-s2.0-0033225304</t>
  </si>
  <si>
    <t>['radiating element', 'novel use', 'new type', 'experimental results', 'also presented']</t>
  </si>
  <si>
    <t>A new type of collinear antenna called electromagnetically coupled coaxial dipole array antenna is proposed. The antenna has an advantage of structural simplicity due to a novel use of an electromagnetically coupled feed structure for the radiating element. An analysis of the radiating element is presented and compared with experimental results. Fabrication and measurement of a prototype array antenna are also presented.</t>
  </si>
  <si>
    <t>1716-1726</t>
  </si>
  <si>
    <t>60101699;60011001;60101699;60101699;60011001</t>
  </si>
  <si>
    <t>7102537181;6603940344;7202521324;7403067757;7003628822</t>
  </si>
  <si>
    <t>Miyashita, Hiroaki;Ohmine, Hiroyuki;Nishizawa, Kazushi;Makino, Shigeru;Urasaki, Shuji</t>
  </si>
  <si>
    <t>Miyashita H.</t>
  </si>
  <si>
    <t>Electromagnetically coupled coaxial dipole array antenna</t>
  </si>
  <si>
    <t>10.1109/8.814952</t>
  </si>
  <si>
    <t>2-s2.0-0033225324</t>
  </si>
  <si>
    <t>['tremendous increase', 'thus electron', 'thermal relaxation', 'thermal diffusion', 'submillimetre wavelengths', 'subkelvin temperatures', 'significant impact', 'phonon interaction', 'limited performance', 'hot electrons', 'hot carriers', 'heat removal', 'exhibit photon', 'electron transition', 'decreasing l', 'coupled bolometer', 'bolometer contacts', 'art bolometer', '300 mk', '22 j', '100 mk']</t>
  </si>
  <si>
    <t>A hot-electron transition-edge superconducting bolometer with adjustable thermal relaxation speed is proposed. The bolometer contacts are made from a superconductor with high critical temperature which blocks the thermal diffusion of hot carriers into the contacts. Thus electron-phonon interaction is the only mechanism for heat removal. The speed of thermal relaxation for hot electrons in a nanometre-size superconducting bolometer with Tc = 100-300 mK is controlled by the elastic electron mean free path l. The relaxation rate behaves as T4l at subkelvin temperatures and can be reduced by a factor of 10-100 by decreasing l. Then an antenna- or waveguide-coupled bolometer with a time constant approx. 10-3-10-4 s will exhibit photon-noise-limited performance at millimetre and submillimetre wavelengths. The bolometer will have a figure of merit NEPœÑ 1/2  = 10-23-10-22 J-1 at 100 mK which is 103-104 times better (i.e. smaller) than that of a state-of-the-art bolometer. A tremendous increase in speed and sensitivity will have a significant impact for observational mapping applications.</t>
  </si>
  <si>
    <t>745-747</t>
  </si>
  <si>
    <t>60009037;60009037;60009037;60119141</t>
  </si>
  <si>
    <t>7003936384;7006448685;23974476000;57191865546</t>
  </si>
  <si>
    <t>Karasik, B. S.;McGrath, W. R.;LeDuc, H. G.;Gershenson, M. E.</t>
  </si>
  <si>
    <t>New Brunswick;Pasadena</t>
  </si>
  <si>
    <t>Rutgers University‚ÄìNew Brunswick;Jet Propulsion Laboratory</t>
  </si>
  <si>
    <t>60119141;60009037</t>
  </si>
  <si>
    <t>Karasik B.</t>
  </si>
  <si>
    <t>Hot-electron direct detector for radioastronomy</t>
  </si>
  <si>
    <t>10.1088/0953-2048/12/11/316</t>
  </si>
  <si>
    <t>2-s2.0-0033225444</t>
  </si>
  <si>
    <t>['wire antennas', 'thus reduced', 'surface current', 'simultaneous integrals', 'selected metrons', 'scmei equations', 'scmei ),', 'present achievement', 'original osmei', 'novel formulation', 'nodes coupled', 'modeling scattering', 'mei equations', 'mei coefficients', 'measuring functions', 'magnetic fields', 'invariance method', 'etc .,', 'directly obtained', 'current densities', 'computing burden', 'closed boundaries']</t>
  </si>
  <si>
    <t>A novel formulation, surface current measured equation of invariance (SCMEI), for the on-surface measured equation of invariance method (OSMEI) is deduced from the reaction integral equation. This formulation directly couples the current densities and scattered tangential electrical fields on the perfect conducting surface in the MEI equations. Compared with the original OSMEI, the advantage of the SCMEI is that when finding the MEI coefficients, only measuring functions of electric fields need to be integrated from the selected metrons, and the surface current can be directly obtained from the solution of the MEI equations. The computing burden for the measuring functions is thus reduced. The SCMEI can be used to analyze open boundaries, such as strips and wire antennas, etc., while the OSMEI was applicable only to closed boundaries because of the requirement of simultaneous integrals of electric and magnetic fields. The limitation for the present achievement, which needs to be further improved, is that the number of the nodes coupled in the SCMEI equations should be larger than that of the general OSMEI equations. The validity of this formulation is verified by modeling scattering of perfect conducting cylinders and radiation of thin-wire antennas.</t>
  </si>
  <si>
    <t>1329-1337</t>
  </si>
  <si>
    <t>7005370045;26643518100;7005780321</t>
  </si>
  <si>
    <t>Lan, K.;Liu, Y. W.;Mei, K. K.</t>
  </si>
  <si>
    <t>Novel formulation for the on-surface measured equation of invariance method and its applications to scattering and radiation problems</t>
  </si>
  <si>
    <t>10.1029/1999RS900084</t>
  </si>
  <si>
    <t>2-s2.0-0033225575</t>
  </si>
  <si>
    <t>['spiral antenna', 'nbn phonon', 'cooled hot', 'complementary logarithmic', '8800 k', '7 thz', '3 thz', '2 œºm2', '2 thz', '1500 k']</t>
  </si>
  <si>
    <t>We report on noise temperature measurements of an NbN phonon-cooled hot-electron bolometric mixer in the tetrahertz frequency range. The devices were 3 nm thick films with in-plane dimensions 1.7 √ó 0.2 Œºm2 and 0.9 √ó 0.2 Œºm2 integrated in a complementary logarithmic-spiral antenna. Measurements were performed at seven frequencies ranging from 0.7 THz to 5.2 THz. The measured DSB noise temperatures are 1500 K (0.7 THz), 2200 K (1.4 THz), 2600 K (1.6 THz), 2900 K (2.5 THz), 4000 K (3.1 THz), 5600 K (4.3 THz) and 8800 K (5.2 THz).</t>
  </si>
  <si>
    <t>748-750</t>
  </si>
  <si>
    <t>60007798;60025383;60025383;60007798;60005322;60025383;60025383</t>
  </si>
  <si>
    <t>7201687941;7402498907;7006771637;7003445705;7005246427;57200973381;35591261100</t>
  </si>
  <si>
    <t>Schubert, J.;Semenov, A.;Gol'tsman, G.;H√ºbers, H. W.;Schwaab, G.;Voronov, B.;Gershenzon, E.</t>
  </si>
  <si>
    <t>Russian Federation;Germany;Germany</t>
  </si>
  <si>
    <t>Rostov-on-Don;¬†Cologne;Bochum</t>
  </si>
  <si>
    <t>Southern Federal University;Deutsches Zentrum fur Luft- Und Raumfahrt;Ruhr-Universitat Bochum</t>
  </si>
  <si>
    <t>60025383;60007798;60005322</t>
  </si>
  <si>
    <t>Schubert J.</t>
  </si>
  <si>
    <t>Noise temperature of an NbN hot-electron bolometric mixer at frequencies from 0.7 THz to 5.2 THz</t>
  </si>
  <si>
    <t>10.1088/0953-2048/12/11/317</t>
  </si>
  <si>
    <t>2-s2.0-0033225705</t>
  </si>
  <si>
    <t>['waveguide radiator', 'triangular patches', 'solved numerically', 'rwg functions', 'rectangular horn', 'radiating aperture', 'presented method', 'peripheral choke', 'mom ).', 'horn taper', 'horn antennas', 'finite element', 'admittance matrix']</t>
  </si>
  <si>
    <t>A combined rigorous method is presented for the analysis of horn antennas with arbitrary cross section and general outer surface. The horn taper is described by the mode-matching (MM) method where the cross-section eigenvalue problem is solved by a two-dimensional (2-D) finite element (FE) technique. For the exterior horn surface including the radiating aperture, the application of the Kirchhoff-Huygens principle yields two expressions for the admittance matrix which are based on the electric (EFIE) and the magnetic (MFIE) field integral equation, respectively. The equations are solved numerically by the method of moments (MoM). For the preferred EFIE formulation, the eigenvectors of the last waveguide taper section and RWG functions for triangular patches are utilized as basis-functions for the magnetic or electric surface current densities, respectively. The presented method is verified by available reference values or measurements for a waveguide radiator with a peripheral choke, a conical and a rectangular horn. Its flexibility is demonstrated at the example of a conical ridged waveguide horn.</t>
  </si>
  <si>
    <t>1641-1648</t>
  </si>
  <si>
    <t>60008293;60008293;60008293</t>
  </si>
  <si>
    <t>7005081031;7103099777;7006748393</t>
  </si>
  <si>
    <t>Bunger, Rainer;Beyer, Ralf;Arndt, Fritz</t>
  </si>
  <si>
    <t>Bunger R.</t>
  </si>
  <si>
    <t>Rigorous combined mode-matching integral equation analysis of horn antennas with arbitrary cross section</t>
  </si>
  <si>
    <t>10.1109/8.814943</t>
  </si>
  <si>
    <t>2-s2.0-0033226022</t>
  </si>
  <si>
    <t>['receiver input', 'quasioptical mixers', 'local oscillator', 'first results', 'bolometer microbridge', 'best results', 'based phonon', '800 k', '7 thz', '6 thz', '500 nw', '5 thz', '4200 k', '2000 k', '2 œºm', '1100 k', '1 thz']</t>
  </si>
  <si>
    <t>The performance of NbN-based phonon-cooled hot electron bolometric (HEB) quasioptical mixers is investigated in the 0.7-3.1 THz frequency range. The devices are made from a 3.5-4 nm thick NbN film on high resistivity Si and integrated with a planar spiral antenna on the same substrate. The length of the bolometer microbridge is 0.1-0.2 Œºm; the width is 1-2 Œºm. The best results of the DSB receiver noise temperature measured at 1.5 GHz intermediate frequency are: 800 K at 0.7 THz, 1100 K at 1.6 THz, 2000 K at 2.5 THz and 4200 K at 3.1 THz. The measurements were performed with a far infrared laser as the local oscillator (LO) source. The estimated LO power requirement is less than 500 nW at the receiver input. First results on spiral antenna polarization measurements are reported.</t>
  </si>
  <si>
    <t>989-991</t>
  </si>
  <si>
    <t>60000990;60000990;60000990;60000990;60007798;60007798</t>
  </si>
  <si>
    <t>6701611551;6602499455;57197516701;7005304586;7201687941;7003445705</t>
  </si>
  <si>
    <t>Yagoubov, Pavel;Kroug, Matthias;Merkel, Harald;Kollberg, Erik;Schubert, Josef;H√ºbers, Heinz Wilhelm</t>
  </si>
  <si>
    <t>Germany;Sweden</t>
  </si>
  <si>
    <t>¬†Cologne;Gothenburg</t>
  </si>
  <si>
    <t>Deutsches Zentrum fur Luft- Und Raumfahrt;Chalmers University of Technology</t>
  </si>
  <si>
    <t>60007798;60000990</t>
  </si>
  <si>
    <t>Yagoubov P.</t>
  </si>
  <si>
    <t>NbN hot electron bolometric mixers at frequencies between 0.7 and 3.1 THz</t>
  </si>
  <si>
    <t>10.1088/0953-2048/12/11/387</t>
  </si>
  <si>
    <t>2-s2.0-0033226217</t>
  </si>
  <si>
    <t>['tie antenna', 'temperature superconductor', 'substrate channel', 'simulation cycle', 'second design', 'performed using', 'mixer consisted', 'mixer chip', 'mixer block', 'mgo substrate', 'local oscillator', 'first design', 'filter structure', 'date obtained', 'computer simulation', 'best performance', '90 ghz', '115 ghz', '1090 k']</t>
  </si>
  <si>
    <t>A waveguide mixer based on a Josephson junction made from a high-temperature superconductor (HTS) has been analysed at frequencies of 90 GHz and 115 GHz. The mixer consisted of a single-grain-boundary bicrystal junction which was integrated with a bow-tie antenna and a microstrip filter structure fabricated on an MgO substrate. Two different designs of mixer block were tested. Using the first design the best noise performance was measured at a local oscillator (LO) frequency of about 90 GHz. At the projected LO frequency of 115 GHz significant deterioration of performance was observed. A computer simulation of the mixer chip and substrate channel structure was performed using the 3D simulation program HFSS. Sufficient RF signal rejection by the filter structure was confirmed at 90 GHz. After a simulation cycle at 115 GHz the substrate channel in the mixer block was modified. Using this second design we measured a double-sideband mixer noise temperature of 1090 K at 10 K operating temperature which is the best performance of an HTS Josephson mixer to date obtained at this frequency and temperature.</t>
  </si>
  <si>
    <t>847-849</t>
  </si>
  <si>
    <t>60007774;60007774;60007774;60007774;60007774;60116604;60116604</t>
  </si>
  <si>
    <t>6701431703;7004225265;6601987587;6602878079;55551245400;57198014572;23017590400</t>
  </si>
  <si>
    <t>Harnack, O.;Darula, M.;Scherbel, J.;Heinsohn, J. K.;Siegel, M.;Diehl, D.;Zimmermann, P.</t>
  </si>
  <si>
    <t>Meckenheim;J√ºlich</t>
  </si>
  <si>
    <t>RPG-Radiometer Physics GmbH;Forschungszentrum J√ºlich (FZJ)</t>
  </si>
  <si>
    <t>60116604;60007774</t>
  </si>
  <si>
    <t>Harnack O.</t>
  </si>
  <si>
    <t>Optimization of a 115 GHz waveguide mixer based on an HTS Josephson junction</t>
  </si>
  <si>
    <t>10.1088/0953-2048/12/11/346</t>
  </si>
  <si>
    <t>2-s2.0-0033226237</t>
  </si>
  <si>
    <t>['spectroscopy applications', 'simple operations', 'similar shapes', 'signal spectrum', 'rf responses', 'rf response', 'periodic antenna', 'novel method', 'ljo corresponds', 'josephson oscillations', 'inductance shunt', 'higher sensitivity', 'gold low', 'experimentally studied', 'even processing', 'allows extraction', '4 ghz', '1250 ghz']</t>
  </si>
  <si>
    <t>An HTS Josephson spectrometer has been designed, fabricated and experimentally studied. The spectrometer circuit consists of a YBCO bicrystal Josephson junction integrated with a double-slot or log-periodic antenna, connected in parallel with a gold low-inductance shunt. The selective detector response and RF response at intermediate frequency fIF = 1.4 GHz were measured in the signal frequency range fs = 400-1250 GHz and the linewidth of Josephson oscillations (LJO) was determined by using three different methods. (1) The Hilbert spectroscopy approach was used in the processing of the selective detector response. (2) In case of fIF &lt; LJO the detector and RF responses have similar shapes, allowing the spectrum and LJO to be extracted from the RF response and even processing by modified Hilbert spectroscopy. (3) The RF response at fIF &gt; LJO corresponds to the frequency down-conversion in a self-pumped Josephson mixer mode. For the processing of the RF response in the high fIF limit we suggest a novel method that allows extraction of the signal spectrum by means of simple operations: shifting, summing and subtracting. The advantage of the RF response method is in its simplicity and higher sensitivity that allows it to be proposed for spectroscopy applications.</t>
  </si>
  <si>
    <t>995-997</t>
  </si>
  <si>
    <t>60029225;60029225;60029225;60029225;60029225;60075234;60009114;60070881;60007774;60007774;60000990</t>
  </si>
  <si>
    <t>7006847399;6701925863;6602348278;7006554517;7005834598;56629037600;35566604900;7003397976;7004225265;6701431703;7005238756</t>
  </si>
  <si>
    <t>Tarasov, M.;Shul'man, A.;Solopov, N.;Polyansky, O.;Vystavkin, A.;Kosarev, E.;Golubev, D.;Stepantsov, E.;Darula, M.;Harnack, O.;Ivanov, Z.</t>
  </si>
  <si>
    <t>Josephson spectroscopy at submillimetre waves</t>
  </si>
  <si>
    <t>10.1088/0953-2048/12/11/389</t>
  </si>
  <si>
    <t>2-s2.0-0033226241</t>
  </si>
  <si>
    <t>['smallest bolometer', 'smaller area', 'plane areas', 'largest one', 'infrared radiation', 'electron bolometers', 'bolometric response', 'bolometric component', '2 œºm2']</t>
  </si>
  <si>
    <t>The bolometric response of YBa2Cu3O7-Œ¥(YBCO) hot-electron bolometers (HEBs) to near-infrared radiation was studied. Devices were fabricated from a 50 nm thick film and had in-plane areas of 10 √ó 10 Œºm2, 2 √ó 0.2 Œºm2, 1 √ó 0.2Œºm2 and 0.5 √ó 0.2 Œºm2. We found that nonequilibrium phonons cool down more effectively for the bolometers with smaller area. For the smallest bolometer the bolometric component in the response is 10 dB less than for the largest one.</t>
  </si>
  <si>
    <t>853-855</t>
  </si>
  <si>
    <t>60000990;60000990;60000990;60068676</t>
  </si>
  <si>
    <t>6506633372;6602598414;7102950444;7006771637</t>
  </si>
  <si>
    <t>R√∂nnung, Fredrik;Cherednichenko, Sergey;Winkler, Dag;Gol'tsman, Gregory N.</t>
  </si>
  <si>
    <t>Russian Federation;Sweden</t>
  </si>
  <si>
    <t>Moscow;Gothenburg</t>
  </si>
  <si>
    <t>Moscow Pedagogical State University;Chalmers University of Technology</t>
  </si>
  <si>
    <t>60068676;60000990</t>
  </si>
  <si>
    <t>R√∂nnung F.</t>
  </si>
  <si>
    <t>Nanoscale YBCO mixer optically coupled with a bow tie antenna</t>
  </si>
  <si>
    <t>10.1088/0953-2048/12/11/348</t>
  </si>
  <si>
    <t>2-s2.0-0033226264</t>
  </si>
  <si>
    <t>['thermal protection', 'submillimetre wavelengths', 'solved experimentally', 'previous experiments', 'metal hot', 'latest results', 'electron microbolometer', 'coupled bolometer', 'astrophysical applications', 'andrew mirrors', 'absorber protected', '100 mk']</t>
  </si>
  <si>
    <t>We describe recent developments in a fully on-chip integrated antenna-coupled bolometer for astrophysical applications at millimetre and submillimetre wavelengths. We have developed a normal-metal hot-electron microbolometer with Andrew mirrors for thermal protection of the absorber and the coupling to the antenna. In previous experiments we could not operate the sensor at temperatures below 300 mK presumably because of the high external noise load. Our latest results with the absorber protected by tunnel junctions show how this problem can be solved experimentally. We have achieved noise performance mostly limited by the amplifier, which corresponds to expected detector NEP on the order of 1.5 √ó 10-17 W Hz- 1/2  at 100 mK.</t>
  </si>
  <si>
    <t>985-988</t>
  </si>
  <si>
    <t>60000990;60000990;60000990</t>
  </si>
  <si>
    <t>6602269511;7004170726;7006847399</t>
  </si>
  <si>
    <t>Chouvaev, D.;Kuzmin, L.;Tarasov, M.</t>
  </si>
  <si>
    <t>Chouvaev D.</t>
  </si>
  <si>
    <t>Normal-metal hot-electron microbolometer with on-chip protection by tunnel junctions</t>
  </si>
  <si>
    <t>10.1088/0953-2048/12/11/386</t>
  </si>
  <si>
    <t>2-s2.0-0033226275</t>
  </si>
  <si>
    <t>['without self', 'synthetic j', 'synthetic cloud', 'stellar radiation', 'stellar outflows', 'statistical properties', 'star formation', 'single protostars', 'real data', 'random supersonic', 'present work', 'overall description', 'model cloud', 'initial conditions', 'dimensional magnetohydrodynamic', 'detailed modeling', 'core b1', 'computed solving', 'cloud dynamics', 'appropriately described', 'also show']</t>
  </si>
  <si>
    <t>ISM: individual (Perseus) | ISM: kinematics and dynamics | ISM: magnetic fields | MHD | Turbulence</t>
  </si>
  <si>
    <t>We compare the statistical properties of J = 1‚Üí0 13CO spectra observed in the Perseus molecular cloud with synthetic J = 1‚Üí0 13CO spectra, computed solving the non-LTE radiative transfer problem for a model cloud obtained as solutions of the three-dimensional magnetohydrodynamic (MHD) equations. The model cloud is a randomly forced super-Alfv√©nic and highly supersonic turbulent isothermal flow. The purpose of the present work is to test if idealized turbulent flows, without self-gravity, stellar radiation, stellar outflows, or any other effect of star formation, are inconsistent or not with statistical properties of star-forming molecular clouds. We present several statistical results that demonstrate remarkable similarity between real data and the synthetic cloud. Statistical properties of molecular clouds like Perseus are appropriately described by random supersonic and super-Alfv√©nic MHD flows. Although the description of gravity and stellar radiation are essential to understand the formation of single protostars and the effects of star formation in the cloud dynamics, the overall description of the cloud and of the initial conditions for star formation can apparently be provided on intermediate scales without accounting for gravity, stellar radiation, and a detailed modeling of stellar outflows. We also show that the relation between equivalent line width and integrated antenna temperature indicates the presence of a relatively strong magnetic field in the core B1, in agreement with Zeeman splitting measurements.</t>
  </si>
  <si>
    <t>318-329</t>
  </si>
  <si>
    <t>0004637X</t>
  </si>
  <si>
    <t>Astrophysical Journal</t>
  </si>
  <si>
    <t>60009982;60000221;60000221;60002952;60029044</t>
  </si>
  <si>
    <t>35748678400;7005113064;6506096924;57204303088;7005099620</t>
  </si>
  <si>
    <t>Padoan, Paolo;Bally, John;Billawala, Youssef;Juvela, Mika;Nordlund, √Öke</t>
  </si>
  <si>
    <t>Denmark;United States;Finland;United States</t>
  </si>
  <si>
    <t>Copenhagen;Cambridge;Helsinki;Boulder</t>
  </si>
  <si>
    <t>Theoretical Astrophysics Center, Copenhagen;Harvard University;Helsingin Yliopisto;University of Colorado Boulder</t>
  </si>
  <si>
    <t>60029044;60009982;60002952;60000221</t>
  </si>
  <si>
    <t>Padoan P.</t>
  </si>
  <si>
    <t>Supersonic turbulence in the Perseus molecular cloud</t>
  </si>
  <si>
    <t>10.1086/307864</t>
  </si>
  <si>
    <t>2-s2.0-0033227547</t>
  </si>
  <si>
    <t>['standard algorithm', 'source concept', 'simple combinations', 'regular grid', 'perturbation technique', 'modelling scheme', 'modelling algorithm', 'minimum number', 'material properties', 'large contrasts', 'first computers', 'experimental characterization', 'electric sources', 'effective source', 'directivity pattern', 'directional spectra', 'differential operator', 'difference simulation', 'best fit', 'analytic evaluation', 'acausal events']</t>
  </si>
  <si>
    <t>We improve two aspects of the modelling scheme for the simulation of electromagnetic radio waves, based on the Fourier pseudospectral method. When there are large contrasts in the material properties, use of the standard algorithm (regular grid) causes a series of artefacts, as, for instance, ringing and acausal events. These problems, due to the non-locality of the differential operator, are solved by using the staggered Fourier method (staggered grid). Realistic radiation patterns can be obtained from simple combinations of magnetic and electric sources. If the directivity pattern of the antenna is known, from either a finite-difference simulation or an analytic evaluation or an experimental characterization, it can then be simulated by a composite-source concept. This effective source is implemented in the modelling algorithm by means of a perturbation technique, which first computers the intensity and directional spectra of the single electromagnetic sources. Their location is optimized to obtain the best fit with a minimum number of sources. The approach is in principle, valid for the far-field radiation pattern of the antenna.</t>
  </si>
  <si>
    <t>1015-1029</t>
  </si>
  <si>
    <t>Geophysical Prospecting</t>
  </si>
  <si>
    <t>60007111;60083542;60023256</t>
  </si>
  <si>
    <t>7006323553;7102592769;7006864163</t>
  </si>
  <si>
    <t>Carcione, J. M.;Lenzi, G.;Valle, S.</t>
  </si>
  <si>
    <t>Bergamo;Milan;Sgonico</t>
  </si>
  <si>
    <t>ISMES Istituto Sperimentale Modelli e Strutture;Politecnico di Milano;Istituto Nazionale di Oceanografia e di Geofisica Sperimentale</t>
  </si>
  <si>
    <t>60083542;60023256;60007111</t>
  </si>
  <si>
    <t>Carcione J.</t>
  </si>
  <si>
    <t>GPR modelling by the Fourier method: Improvement of the algorithm</t>
  </si>
  <si>
    <t>10.1046/j.1365-2478.1999.00151.x</t>
  </si>
  <si>
    <t>2-s2.0-0033228154</t>
  </si>
  <si>
    <t>['uridine diphosphate', 'shorter proteins', 'seventeen members', 'saps ),', 'results support', 'results suggest', 'proteins known', 'previously known', 'present odourants', 'olfactory receptor', 'odourant transport', 'obps expressed', 'number known', 'moth antennae', 'might also', 'many tens', 'insects may', 'insect olfaction', 'greater diversity', 'cuticle proteins', 'clear candidate', 'chemosensory sensilla', '375 cdnas']</t>
  </si>
  <si>
    <t>ESTs | OBPs | Olfaction | Receptors | Tobacco hornworm</t>
  </si>
  <si>
    <t>A small expressed sequence tag (EST) project generating 506 ESTs from 375 cDNAs was undertaken on the antennae of male Manduca sexta moths in an effort to discover olfactory receptor proteins. We encountered several clones that encode apparent transmembrane proteins; however, none is a clear candidate for an olfactory receptor. Instead we found a greater diversity of odourant binding proteins (OBPs) than previously known in moth antennae, raising the number known for M. sexta from three to seven. Together with evidence of seventeen members of the family from the Drosophila melanogaster genome project, our results suggest that insects may have many tens of OBPs expressed in subsets of the chemosensory sensilla on their antennae. These results support a model for insect olfaction in which OBPs selectively transport and present odourants to transmembrane olfactory receptors. We also found five members of a family of shorter proteins, named sensory appendage proteins (SAPs), that might also be involved in odourant transport. This small EST project also revealed several candidate odourant degrading enzymes including three P450 cytochromes, a glutathione S-transferase and a uridine diphosphate (UDP) glucosyltransferase. Several first insect homologues of proteins known from vertebrates, the nematode Caenorhabditis elegans, yeast and bacteria were encountered, and most have now also been detected by the large D. melanogaster EST project. Only thirteen entirely novel proteins were encountered, some of which are likely to be cuticle proteins.</t>
  </si>
  <si>
    <t>501-518</t>
  </si>
  <si>
    <t>Insect Molecular Biology</t>
  </si>
  <si>
    <t>60000745;60000745;60000745;60000745;60000745;60000745</t>
  </si>
  <si>
    <t>7203066280;6602974020;7005428533;55274962800;6701692502;7003362584</t>
  </si>
  <si>
    <t>Robertson, Hugh M.;Martos, R.;Sears, C. R.;Todres, E. Z.;Walden, K. K.O.;Nardi, J. B.</t>
  </si>
  <si>
    <t>Robertson H.M.</t>
  </si>
  <si>
    <t>Diversity of odourant binding proteins revealed by an expressed sequence tag project on male Manduca sexta moth antennae</t>
  </si>
  <si>
    <t>10.1046/j.1365-2583.1999.00146.x</t>
  </si>
  <si>
    <t>2-s2.0-0033230041</t>
  </si>
  <si>
    <t>['window larger', 'western australia', 'simulated signals', 'sampling time', 'pulses generated', 'parametric transducer', 'order prediction', 'noise ratio', 'kolmogorov filters', 'kolmogorov algorithms', 'gaussian noise', 'experimental data', 'energy uncertainties', 'amplitude modulating', 'also described', 'adaptive wiener']</t>
  </si>
  <si>
    <t>Algorithms for extracting a burst gravitational wave signal embedded within the noise of resonant-mass gravitational wave antenna have been well characterized theoretically, but their effects on experimental data, which can be contaminated by non-stationary, non-Gaussian noise, are still being studied. In this paper, we study the effects of three such algorithms, the zero-order prediction, adaptive Wiener-Kolmogorov and non-adaptive Wiener-Kolmogorov algorithms, on data from the resonant-mass gravitational wave antenna. Niobe, at the University of Western Australia. By applying these filters to computer-simulated GW signals, we show that the adaptive Wiener-Kolmogorov filter gives the best noise performance and signal-to-noise ratio in the presence of non-Gaussian noise. By searching for coincidences between the simulated signals, we show that a window larger than the sampling time of the data is necessary to observe a coincidence between all events. A method of applying pulse excitations to Niobe by amplitude modulating the pump oscillator driving the parametric transducer is also described. This method has the potential to be a very accurate calibration technique but uncertainties in the input and output gains reduce its accuracy. Finally, the adaptive and non-adaptive Wiener-Kolmogorov filters are applied to pulses generated by the amplitude modulation method to determine the overall timing delays and energy uncertainties of Niobe and its data acquisition system.</t>
  </si>
  <si>
    <t>3439-3456</t>
  </si>
  <si>
    <t>60031806;60031806;60031806</t>
  </si>
  <si>
    <t>6603868347;35377760800;22974326500</t>
  </si>
  <si>
    <t>Heng, I. S.;Tobar, M. E.;Blair, D. G.</t>
  </si>
  <si>
    <t>Perth</t>
  </si>
  <si>
    <t>The University of Western Australia</t>
  </si>
  <si>
    <t>Heng I.</t>
  </si>
  <si>
    <t>Filtering and calibration of data from a resonant-mass gravitational wave antenna</t>
  </si>
  <si>
    <t>S026493819903871X</t>
  </si>
  <si>
    <t>10.1088/0264-9381/16/11/302</t>
  </si>
  <si>
    <t>2-s2.0-0033239935</t>
  </si>
  <si>
    <t>['wide range', 'waveguide parameters', 'total number', 'source intensities', 'secondary antenna', 'regularized algorithm', 'quadratic minimization', 'problem consists', 'point sources', 'numerical algorithm', 'field region', 'exhaustive search', 'dimensional waveguide', 'dimensional grid', 'desired sources', 'complex amplitudes', 'aforementioned problem']</t>
  </si>
  <si>
    <t>The nonlinear inverse problem of active sound control in a three-dimensional waveguide is considered. The problem consists of finding the coordinates, the complex amplitudes of intensities, and the total number of point sources of a secondary antenna from the condition of the minimum acoustic power transmitted to the far-field region. For its solution, a numerical algorithm is proposed. This algorithm is based on an exhaustive search for the coordinates of the desired sources over the nodes of a three-dimensional grid and on a regularized algorithm for quadratic minimization of the source intensities. Results of numerical simulations aimed at solving the aforementioned problem in a wide range of the waveguide parameters are discussed.</t>
  </si>
  <si>
    <t>649-654</t>
  </si>
  <si>
    <t>Acoustical Physics</t>
  </si>
  <si>
    <t>60110439;60110439</t>
  </si>
  <si>
    <t>57219249750;7005882755</t>
  </si>
  <si>
    <t>Alekseev, G. V.;Panasyuk, A. S.</t>
  </si>
  <si>
    <t>Vladivostok</t>
  </si>
  <si>
    <t>Institute of Applied Mathematics FEB RAS</t>
  </si>
  <si>
    <t>Alekseev G.V.</t>
  </si>
  <si>
    <t>Active control of sound in a three-dimensional waveguide</t>
  </si>
  <si>
    <t>2-s2.0-0033248063</t>
  </si>
  <si>
    <t>['œ ±', 'œ ¥', 'spectral channel', 'scale structure', 'right ascension', 'region studied', 'region 11h', 'power spectrum', 'plane layer', 'pass filter', 'mean parameters', 'mean beamwidth', 'line emission', 'law spectrum', 'latitude dependence', 'interstellar neutral', 'hydrogen emission', 'high latitudes', 'generally correspond', 'gas distribution', 'galactic latitudes', 'frequency spectrum', 'frequency resolution', 'fluctuation spectrum', 'e .,', 'column density', 'antenna temperature', 'angular structure', 'angular fluctuations', '7 ¬∞,', '6 ¬∞', '50 ¬∞', '5 ¬∞,', '45 ¬∞', '39 ¬∞,', '30 khz', '3 km', '27 ¬∞', '21 cm', '16 ¬∞,', '1 k', '1 ),']</t>
  </si>
  <si>
    <t>The angular structure of the interstellar neutral-hydrogen emission at 21 cm is studied at declinations of +5¬∞, +16¬∞, +25.7¬∞, +39¬∞, and +50¬∞ in the range of right ascensions 10h to 16h (at Galactic latitudes from +45¬∞ to +90¬∞) using the RATAN-600 radio telescope with a mean beamwidth of 2.0‚Ä≤ √ó 20‚Ä≤. The frequency resolution is 30 kHz (6.3 km s-1), and the rms noise fluctuations are 0.1 K. The large-scale structure of the gas at high latitudes is eliminated by means of a high-pass filter. The angular-frequency spectrum of the interstellar neutral-hydrogen emission is calculated in each spectral channel by using the standard FFT software and smoothed over 1h in right ascension. The Galactic-latitude dependence of the mean parameters for the distribu- tion of H I line emission over the sky (the H I column density and the dispersion of fluctuations in antenna temperature) is found to generally correspond to the gas distribution as a plane layer. In the region 11h &lt; Œ± &lt; 13h and 27¬∞ &lt; Œ¥ &lt; 39¬∞, the gas column density is lower than 1.5 √ó 1019 cm-2, i.e., below the instrumental sensitivity level. The power spectrum of the angular fluctuations in the region studied in the range of angular periods 10‚Ä≤ to 6¬∞ is a power-law spectrum with an exponent from -3 to -0.7; in general, as the H I column density decreases, the fluctuation spectrum of the interstellar-gas emission becomes flatter.</t>
  </si>
  <si>
    <t>712-717</t>
  </si>
  <si>
    <t>Astronomy Letters</t>
  </si>
  <si>
    <t>60021331;60021331;60012059;60021331</t>
  </si>
  <si>
    <t>56619007200;7006938086;7202104851;7003736929</t>
  </si>
  <si>
    <t>Gosachinskii, I. V.;Il'in, G. N.;Morozov, A. S.;Prozorov, V. A.</t>
  </si>
  <si>
    <t>Moscow;Nizhny Arkhyz</t>
  </si>
  <si>
    <t>Russian Academy of Sciences;Special Astrophysical Observatory, Russian Academy of Sciences</t>
  </si>
  <si>
    <t>60021331;60012059</t>
  </si>
  <si>
    <t>Gosachinskii I.V.</t>
  </si>
  <si>
    <t>Structure of the galactic gas at high latitudes: Observations</t>
  </si>
  <si>
    <t>2-s2.0-0033248935</t>
  </si>
  <si>
    <t>['well denned', 'well consistent', 'stcfm ])', 'spatiotemporal domain', 'simulation results', 'scattered waves', 'real environment', 'new model', 'differential detection', 'derived rigorously', 'common drawback', 'based model']</t>
  </si>
  <si>
    <t>Arrays | Correlation | Fading channels | Mobile communications</t>
  </si>
  <si>
    <t>In this paper, a new channel model is proposed. Since it is spatially and temporally correlated simultaneously, this new model is well consistent with the real environment of array antenna applications. The widely used sum of scattered waves and the measurement-based model have a common drawback of imperfect statistical properties, reducing the reliability of simulation results. The new model (spatially and temporally correlated fading model [STCFM]) is derived rigorously in the spatiotemporal domain so that it can provide high accuracy for the evaluation of the array antenna system. Simulation results show that direction of arrival (DOA) and angle of spread (AOS) are well denned in STCFM. BPSK with two-branch maximal ratio combining and DBPSK with differential detection are considered to verify the spatial and temporal correlation robustness of the new model, respectively. As will be seen, the simulation results agree well with the theory. ¬© 1999 IEEE.</t>
  </si>
  <si>
    <t>1899-1905</t>
  </si>
  <si>
    <t>60107918;60016912;60107918</t>
  </si>
  <si>
    <t>57207864577;36882184900;7601569193</t>
  </si>
  <si>
    <t>Kim, Seon Taek;Yoo, Jae Ho;Park, Han Kyu</t>
  </si>
  <si>
    <t>Icheon;Seoul</t>
  </si>
  <si>
    <t>SK Hynix Inc.;Yonsei University</t>
  </si>
  <si>
    <t>60107918;60016912</t>
  </si>
  <si>
    <t>A spatially and temporally correlated fading model for array antenna applications</t>
  </si>
  <si>
    <t>S0018954599091288</t>
  </si>
  <si>
    <t>10.1109/25.806782</t>
  </si>
  <si>
    <t>2-s2.0-0033312104</t>
  </si>
  <si>
    <t>['spatial characteristics', 'provide insight', 'models assume', 'marginal toa', 'joint toa', 'circular region', 'circular models', 'better understand']</t>
  </si>
  <si>
    <t>With the introduction of antenna array systems into wireless communication networks comes the need to better understand the spatial characteristics of the channel. Scattering models provide both angle of arrival (AOA) and time of arrival (TOA) statistics of the channel. A number of different scattering models have been proposed in the literature including elliptical and circular models. These models assume that scatterers lie within an elliptical and circular region in space, respectively. In this paper, the joint TOA/AOA, the marginal TOA, and the marginal AOA probability density functions (pdf's) are derived for the elliptical and circular scattering models. These pdf's provide insight into the properties of the spatial wireless channel.</t>
  </si>
  <si>
    <t>1829-1840</t>
  </si>
  <si>
    <t>60027090;60027090</t>
  </si>
  <si>
    <t>7004173440;7403641959</t>
  </si>
  <si>
    <t>Ertel, Richard B.;Reed, Jeffrey H.</t>
  </si>
  <si>
    <t>Blacksburg</t>
  </si>
  <si>
    <t>Virginia Polytechnic Institute and State University</t>
  </si>
  <si>
    <t>Ertel R.</t>
  </si>
  <si>
    <t>Angle and time of arrival statistics for circular and elliptical scattering models</t>
  </si>
  <si>
    <t>10.1109/49.806814</t>
  </si>
  <si>
    <t>2-s2.0-0033317076</t>
  </si>
  <si>
    <t>['waves within', 'wave identification', 'surface waves', 'side port', 'recent theory', 'radial profiles', 'plasma production', 'plasma characterization', 'mode polarization', 'mirror machine', 'method relies', 'magnetic field', 'low values', 'loaded waveguide', 'launching antenna', 'gain insight', 'contamination due', 'axial profiles', '3 ),', '200 w']</t>
  </si>
  <si>
    <t>This paper presents results of plasma production in a mirror machine with the microwaves being coupled from a side port, in the ordinary-mode polarization. In this method of coupling, contamination due to the launching antenna is avoided; also, there is very little window degradation since plasma bombardment on the side port is negligible. The coupling of the microwaves to the plasma in this method relies on the existence of certain surface waves that exist at low values of the magnetic field (below that for electron cyclotron resonance) and have a dominant Ez component. The existence of such surface waves is predicted by a recent theory. The plasma characterization at microwave power levels of about 200 W, indicates moderately overdense plasmas (density‚âà1011 cm-3), with fairly uniform radial and axial profiles. From the data, the mechanism of plasma production and confinement in the mirror has been analyzed. To gain insight into the nature of the waves in the plasma-loaded waveguide, the wavelengths of the waves within the plasma and the radial profiles of the wave electric field were measured. The results are compared with the theory of Ganguli et al for wave identification.</t>
  </si>
  <si>
    <t>519-529</t>
  </si>
  <si>
    <t>60032730;60020458;60032730</t>
  </si>
  <si>
    <t>57146946800;7202578068;6602834941</t>
  </si>
  <si>
    <t>Ganguli, A.;Akhtar, M. K.;Tarey, R. D.</t>
  </si>
  <si>
    <t>Indian Institute of Technology Delhi;Jamia Millia Islamia</t>
  </si>
  <si>
    <t>60032730;60020458</t>
  </si>
  <si>
    <t>Ganguli A.</t>
  </si>
  <si>
    <t>Investigation of microwave plasmas produced in a mirror machine using ordinary-mode polarization</t>
  </si>
  <si>
    <t>10.1088/0963-0252/8/4/301</t>
  </si>
  <si>
    <t>2-s2.0-0033330467</t>
  </si>
  <si>
    <t>['temperature dependence', 'surface resistance', 'small size', 'several orders', 'resonant frequency', 'research activity', 'recent years', 'normal conductors', 'lower loss', 'light weight', 'input resistance', 'higher performance', 'higher gain', 'become popular', 'also discussed']</t>
  </si>
  <si>
    <t>The surface resistance of superconductors is smaller than that of normal conductors by several orders of magnitude. Hence, a superconducting microwave device has lower loss and higher performance than a normal conducting one. Since the mobile communication systems have become popular and cryocoolers of small size and light weight have been fabricated in recent years, research activity on superconducting microwave devices has been enhanced. In this paper, the design, fabrication, and characterization of a patch antenna using a high-temperature superconducting thin film are reported. It is demonstrated that the superconducting patch antenna has higher gain than a normal conducting one. The temperature dependence of the resonant frequency, the input resistance, and the power handling properties are also discussed.</t>
  </si>
  <si>
    <t>59-69</t>
  </si>
  <si>
    <t>8756663X</t>
  </si>
  <si>
    <t>Electronics and Communications in Japan, Part II: Electronics (English translation of Denshi Tsushin Gakkai Ronbunshi)</t>
  </si>
  <si>
    <t>6603336963;57192927393;7203068282</t>
  </si>
  <si>
    <t>Ehata, Katsufumi;Kusunoki, Masanobu;Ohshima, Shigetoshi</t>
  </si>
  <si>
    <t>Ehata K.</t>
  </si>
  <si>
    <t>Design, fabrication, and characterization of patch antenna using superconducting thin film</t>
  </si>
  <si>
    <t>10.1002/(SICI)1520-6432(199911)82:11&lt;59::AID-ECJB6&gt;3.0.CO;2-X</t>
  </si>
  <si>
    <t>2-s2.0-0033331195</t>
  </si>
  <si>
    <t>['quantitative predictions', 'qualitative formulas', 'periodic dielectrics', 'paper considers', 'full three', 'finite one', 'exact model', 'dielectric stacks']</t>
  </si>
  <si>
    <t>This paper considers an exact model of atomic spontaneous dipole emission and classical dipole radiation in a finite photonic bandgap (PBG) structure. The full three-dimensional (3-D) or two-dimensional (2-D) problem is reduced to a finite one-dimensional (1-D) model, which then is solved for analytically using algebraic matrix transfer techniques. The results give insight to the electromagnetic emission process in periodic dielectrics, quantitative predictions for emission in 1-D dielectric stacks, and qualitative formulas for the 2-D and 3-D problem.</t>
  </si>
  <si>
    <t>2142-2151</t>
  </si>
  <si>
    <t>Dowling, Jonathan P.</t>
  </si>
  <si>
    <t>Dowling J.</t>
  </si>
  <si>
    <t>Dipole emission in finite photonic bandgap structures: An exactly solvable one-dimensional model</t>
  </si>
  <si>
    <t>10.1109/50.803005</t>
  </si>
  <si>
    <t>2-s2.0-0033334620</t>
  </si>
  <si>
    <t>['spatial multiplexing', 'sa techniques', 'dramatically increase', 'bwa networks']</t>
  </si>
  <si>
    <t>This article is an overview of smart antenna applications in fixed broadband wireless access networks. Different smart antenna techniques are described including recent advances such as `spatial multiplexing' that can dramatically increase the performance of BWA networks. The impact of SA techniques on capacity and throughput of BWA networks is discussed.</t>
  </si>
  <si>
    <t>100-105</t>
  </si>
  <si>
    <t>IEEE Communications Magazine</t>
  </si>
  <si>
    <t>57225754291;7004295903;7102413527;7004920065</t>
  </si>
  <si>
    <t>Sheikh, Khurram;Gesbert, David;Gore, Dhananjay;Paulraj, Arogyaswami</t>
  </si>
  <si>
    <t>Sheikh K.</t>
  </si>
  <si>
    <t>Smart antennas for broadband wireless access networks</t>
  </si>
  <si>
    <t>10.1109/35.803658</t>
  </si>
  <si>
    <t>2-s2.0-0033340439</t>
  </si>
  <si>
    <t>['¬± 3', 'slotted planar', 'plasma resonance', 'overdense plasmas', 'outer radii', 'oblique incidence', 'microwave powers', 'microwave field', 'large number', 'efficient production', 'ar pressures', '3 kw', '10 mtorr']</t>
  </si>
  <si>
    <t>It is reported that a large-diameter uniform plasma is obtained by microwave discharges using multi-slotted planar (MSP) antenna. The MSP antenna radiates the microwave field from a large number of slots so as to form a uniform radial distribution of the field in the outer radii. Overdense plasmas are produced with ¬±3-4% uniformity of the ion saturation current over a 30 cm diameter for Ar pressures of 5-10 mTorr and microwave powers of 1-3 kW. The efficient production of overdense plasmas may be due to the enhancement of the microwave field of oblique incidence at the plasma resonance.</t>
  </si>
  <si>
    <t>530-533</t>
  </si>
  <si>
    <t>Yasaka, Y.;Nozaki, D.;Koga, K.;Ando, M.;Yamamoto, T.;Goto, N.;Ishii, N.;Morimoto, T.</t>
  </si>
  <si>
    <t>Production of large-diameter plasma using multi-slotted planar antenna</t>
  </si>
  <si>
    <t>10.1088/0963-0252/8/4/302</t>
  </si>
  <si>
    <t>2-s2.0-0033345004</t>
  </si>
  <si>
    <t>['training sequences', 'simulation results', 'qualitative analysis', 'paper discusses', 'different scenarios', 'decision feedback', 'coherent demodulation', 'channel estimation', 'also presented']</t>
  </si>
  <si>
    <t>This paper discusses the use of coherent demodulation for antenna array receivers employing direct sequence spread spectrum techniques and M-ary orthogonal modulation. Three different approaches are discussed. The first is a conventional receiver using training sequences and decision feedback for channel estimation. The other two techniques employ decisions from a simple noncoherent combining (0)receiver to circumvent the need for training sequences. The bit error ratio (BER) performance of coherent M-ary orthogonal modulation is derived. Some qualitative analysis is also presented for the algorithms, and simulation results are used to compare their performance in different scenarios.</t>
  </si>
  <si>
    <t>1886-1899</t>
  </si>
  <si>
    <t>60027272;60027272;60027272</t>
  </si>
  <si>
    <t>55498731300;35581784000;7006054649</t>
  </si>
  <si>
    <t>Thompson, John S.;Grant, Peter M.;Mulgrew, Bernard</t>
  </si>
  <si>
    <t>The University of Edinburgh</t>
  </si>
  <si>
    <t>Thompson J.</t>
  </si>
  <si>
    <t>Algorithms for coherent diversity combining of M-ary orthogonal signals</t>
  </si>
  <si>
    <t>10.1109/49.806819</t>
  </si>
  <si>
    <t>2-s2.0-0033347501</t>
  </si>
  <si>
    <t>['viterbi detector', 'time dispersive', 'results suggest', 'reliable line', 'nonlinear equalizer', 'noncoherent demodulators', 'inherent robustness', 'equalizer structure', 'demodulators precludes', 'computer simulations', 'complex receiver', 'also present', 'allows estimation', '50 ns']</t>
  </si>
  <si>
    <t>Noncoherent demodulators are very attractive for high performance radio LAN (HIPERLAN) systems because of their low implementation costs and their inherent robustness against frequency and carrier phase offsets. However, when the channel is time dispersive, the nonlinear intersymbol interference (ISI) introduced by these demodulators precludes the use of conventional linear equalization strategies. We present an alternative noncoherent receiver structure followed by a nonlinear equalizer, which includes a RAM and a Viterbi detector, capable of equalizing nonlinear multipath fading channels. In addition, we also present a new algorithm specifically for noncoherent demodulators, which allows estimation of all useful signal values at the input of the equalizer to be stored in the RAM. By means of computer simulations, we report the performance and computational complexity tradeoffs of the receiver/equalizer structure, including antenna diversity. We show that demodulators which consist of a complex receiver and a Viterbi detector are much more robust against multipath fading channels than traditional real noncoherent demodulators. The results suggest that in a typical HIPERLAN scenario, where the channel delay spread is less than 50 ns and a reliable line of sight component exists, it is feasible to combat multipath effects using noncoherent demodulation.</t>
  </si>
  <si>
    <t>1876-1885</t>
  </si>
  <si>
    <t>60000481;60000481;101761118</t>
  </si>
  <si>
    <t>7004661393;6603207680;7407102170</t>
  </si>
  <si>
    <t>Benvenuto, Nevio;Bisaglia, Paola;Jones, Alan E.</t>
  </si>
  <si>
    <t>Padua;Chippenham</t>
  </si>
  <si>
    <t>Universit√† degli Studi di Padova;IPWireless Inc.</t>
  </si>
  <si>
    <t>60000481;101761118</t>
  </si>
  <si>
    <t>Benvenuto N.</t>
  </si>
  <si>
    <t>Complex noncoherent receivers for GMSK signals</t>
  </si>
  <si>
    <t>10.1109/49.806818</t>
  </si>
  <si>
    <t>2-s2.0-0033347502</t>
  </si>
  <si>
    <t>['wgn ).', 'simultaneously transmitted', 'signal components', 'shannon capacity', 'receive sites', 'noise ratio', 'multiuser detection', 'large number', 'ideal operation', 'efficient architecture', 'completed operates', 'bit stream', '9 ghz', '36 bit', '1 bit']</t>
  </si>
  <si>
    <t>We investigate robust wireless communication in high-scattering propagation environments using multi-element antenna arrays (MEA's) at both transmit and receive sites. A simplified, but highly spectrally efficient space-time communication processing method is presented. The user's bit stream is mapped to a vector of independently modulated equal bit-rate signal components that are simultaneously transmitted in the same band. A detection algorithm similar to multiuser detection is employed to detect the signal components in white Gaussian noise (WGN). For a large number of antennas, a more efficient architecture can offer no more than about 40% more capacity than the simple architecture presented. A testbed that is now being completed operates at 1.9 GHz with up to 16 quadrature amplitude modulation (QAM) transmitters and 16 receive antennas. Under ideal operation at 18 dB signal-to-noise ratio (SNR), using 12 transmit antennas and 16 receive antennas (even with uncoded communication), the theoretical spectral efficiency is 36 bit/s/Hz, whereas the Shannon capacity is 71.1 bit/s/Hz. The 36 bits per vector symbol, which corresponds to over 200 billion constellation points, assumes a 5% block error rate (BLER) for 100 vector symbol bursts.</t>
  </si>
  <si>
    <t>1841-1852</t>
  </si>
  <si>
    <t>60021378;60021378;60021378;60021378</t>
  </si>
  <si>
    <t>7005258498;7102188935;7101611306;6603174156</t>
  </si>
  <si>
    <t>Foschini, Gerard J.;Golden, Glen D.;Valenzuela, Reinaldo A.;Wolniansky, Peter W.</t>
  </si>
  <si>
    <t>Foschini G.</t>
  </si>
  <si>
    <t>Simplified processing for high spectral efficiency wireless communication employing multi-element arrays</t>
  </si>
  <si>
    <t>10.1109/49.806815</t>
  </si>
  <si>
    <t>2-s2.0-0033352714</t>
  </si>
  <si>
    <t>['users within', 'systems lead', 'spreading sequences', 'spreading sequence', 'signal separation', 'several near', 'several forms', 'proposed group', 'prior knowledge', 'multiuser detection', 'known users', 'intracell interference', 'intercell interference', 'given user', 'different criteria', 'developed based', 'correlated noise', 'channel estimation', 'cdma uplink', 'blindly suppressing', 'blind techniques', 'also considered']</t>
  </si>
  <si>
    <t>The recently developed blind techniques for multiuser detection in code division multiple access (CDMA) systems lead to several near-far resistant adaptive receivers for demodulating a given user's data with the prior knowledge of only the spreading sequence of that user. in the CDMA uplink, however, typically the base station receiver has the knowledge of the spreading sequences of all the users within the cell, but not that of the users from other cells. In this paper, group-blind techniques are developed for multiuser detection in such scenarios. These new techniques make use of the spreading sequences and the estimated multipath channels of all known users to suppress the intracell interference, while blindly suppressing the intercell interference. Several forms of group-blind linear detectors are developed based on different criteria. Moreover, group-blind multiuser detection in the presence of correlated noise is also considered. In this case, two receiving antennas are needed for channel estimation and signal separation. Simulation results demonstrate that the proposed group-blind linear multiuser detection techniques offer substantial performance gains over the blind linear multiuser detection methods in a CDMA uplink environment.</t>
  </si>
  <si>
    <t>1971-1984</t>
  </si>
  <si>
    <t>60020547;60002306</t>
  </si>
  <si>
    <t>55000636900;7003413616</t>
  </si>
  <si>
    <t>Wang, Xiaodong;H√∏st-Madsen, Anders</t>
  </si>
  <si>
    <t>College Station;Calgary</t>
  </si>
  <si>
    <t>Texas A&amp;M University;University of Calgary</t>
  </si>
  <si>
    <t>Group-blind multiuser detection for uplink CDMA</t>
  </si>
  <si>
    <t>10.1109/49.806826</t>
  </si>
  <si>
    <t>2-s2.0-0033353647</t>
  </si>
  <si>
    <t>SFB 198/A11</t>
  </si>
  <si>
    <t>['thin al', 'thermal evaporation', 'surface layers', 'study interfaces', 'structural states', 'slot antenna', 'ray reflectometry', 'ray diffractometry', 'range combined', 'plasma treatments', 'plasma treatment', 'plasma oxidized', 'oxide layers', 'native alumina', 'low temperatures', 'layer formations', 'crystalline layers', 'chemical composition', 'addition afm', '60 nm', '5 h']</t>
  </si>
  <si>
    <t>The sensitivity of grazing incidence X-ray reflectometry (GIXR) for amorphous as well as crystalline layers and for layer formations in the nm-range combined with information about structural states by grazing incidence X-ray diffractometry (GIXRD) enable these methods to study interfaces and surface layers. Thin aluminum layers (30-60 nm) were deposited on Si by thermal evaporation. These Al-layers were plasma oxidized for 5 h with interruptions every hour. The plasma treatments were carried out in a 2.45 GHz microwave discharge (SLAN-slot antenna) with different plasma types (Ar, O2) at low temperatures. In this way a thin oxide layer additional to the native alumina on the top was formed. The properties of the oxide layers such as thickness, roughness and density were studied by GIXR. The chemical composition was investigated by GIXRD and XPS. In addition AFM was used for surface topography observations. All these methods were applied before and after the plasma treatment. The properties of the thin Al-oxide layers were found to depend on the type of plasma but in all cases plasma leads to a smoothing of the films as well as an increasing of the thickness of the upper alumina layer.</t>
  </si>
  <si>
    <t>494-499</t>
  </si>
  <si>
    <t>60021311;60021311</t>
  </si>
  <si>
    <t>6701552716;7102828651</t>
  </si>
  <si>
    <t>Quade, A.;Wulff, H.</t>
  </si>
  <si>
    <t>Greifswald</t>
  </si>
  <si>
    <t>Universit√§t Greifswald</t>
  </si>
  <si>
    <t>Quade A.</t>
  </si>
  <si>
    <t>Investigation of oxidation process on plasma treated thin Al-films by GIXR and GIXRD</t>
  </si>
  <si>
    <t>S0040609099005532</t>
  </si>
  <si>
    <t>10.1016/S0040-6090(99)00553-2</t>
  </si>
  <si>
    <t>2-s2.0-0033358386</t>
  </si>
  <si>
    <t>Ministry of Science and Technology, Taiwan</t>
  </si>
  <si>
    <t>['substrate stage', 'rie plasma', 'rf power', 'process chamber', 'photoresist etching', 'oxygen plasma', 'electron temperature', 'electron densities', 'chamber pressure', '600 w']</t>
  </si>
  <si>
    <t>An array of 2√ó2 inductively coupled plasma (ICP) sources has been built by modifying the conventional reactive ion etching (RIE) type LCD etcher. Each ICP has its own planar circular antenna and quartz dielectric window to the process chamber. One RF power supply and only one impedance matching network are used for delivering the power to all four ICP sources. Distribution of ion and electron densities and electron temperature are measured in terms of the number of acting ICP sources, chamber pressure and RF power. An uniform oxygen plasma density in the order of 1015 m-3 can be obtained at RF power of 600 W in process chamber of 620√ó620 mm2 cross-section, which is higher than that of RIE plasma. By adjusting the power distribution among the four ICP units, uniformity of the plasma can be improved to 10% on substrate stage. Photoresist etching by the oxygen plasma is performed on 320√ó400 mm glass plates.</t>
  </si>
  <si>
    <t>252-255</t>
  </si>
  <si>
    <t>60028876;60028876;60028876</t>
  </si>
  <si>
    <t>29567470000;56141718300;36851445700</t>
  </si>
  <si>
    <t>Park, Se Geun;Kim, Chul;O, Beom hoan</t>
  </si>
  <si>
    <t>Incheon</t>
  </si>
  <si>
    <t>Inha University</t>
  </si>
  <si>
    <t>Array of inductively coupled plasma sources for large area plasma</t>
  </si>
  <si>
    <t>S0040609099004927</t>
  </si>
  <si>
    <t>10.1016/S0040-6090(99)00492-7</t>
  </si>
  <si>
    <t>2-s2.0-0033358484</t>
  </si>
  <si>
    <t>['screening behavior', 'radio module', 'main module', 'ground plane', 'flipped upside', 'dipole antenna', 'determine ways', 'case studies']</t>
  </si>
  <si>
    <t>The self-screening behavior of the bluetooth-module was investigated to determine ways to overcome radiation problems. It was found that when the radio module is flipped upside-down, the ground plane of the radio-module can act as a shield. Two generally different cases were studied, namely, a dipole antenna as a radiation source inside the cage, and a signal trace connected to the radio module and the main module. To perform these case studies, the EFIE-MOM tool COMORAN from INCASES was used for the computations.</t>
  </si>
  <si>
    <t>Electronic Engineering (London)</t>
  </si>
  <si>
    <t>Buecker, Markus</t>
  </si>
  <si>
    <t>Buecker M.</t>
  </si>
  <si>
    <t>Incases takes on the self-screening bluetooth-module task</t>
  </si>
  <si>
    <t>2-s2.0-0342592156</t>
  </si>
  <si>
    <t>['three species', 'three groups', 'terminal sequences', 'specific proteins', 'sipyloidea sipylus', 'sex specific', 'relevant similarity', 'proteins similar', 'olfactory protein', 'known proteins', 'gene cloning', 'female antennae', 'drosophila melanogaster', 'characterized antennae', 'blattella germanica']</t>
  </si>
  <si>
    <t>Blattella germanica | Periplaneta americana | Periplaneta fuliginosa</t>
  </si>
  <si>
    <t>We have characterized antennae-specific proteins from three species of cockroaches Periplaneta americana, P. fuliginosa and Blattella germanica. Based on the N-terminal sequences, cockroach antennal proteins can be divided into three groups: (i) proteins with amino acid similarity to OS-D, a product of gene cloning from Drosophila melanogaster, (ii) proteins similar to a phasmid, Sipyloidea sipylus, olfactory protein, and (iii) cockroach specific proteins without any relevant similarity to other known proteins. Whereas most of the antennae-specific proteins were detected in extracts from male and female antennae, some proteins are sex specific.</t>
  </si>
  <si>
    <t>973-978</t>
  </si>
  <si>
    <t>100316346;100316346</t>
  </si>
  <si>
    <t>6601958753;35569644800</t>
  </si>
  <si>
    <t>Picimbon, Jean Fran√ßois;Soares Leal, Walter</t>
  </si>
  <si>
    <t>Ibaraki</t>
  </si>
  <si>
    <t>Natl Inst of Sericultural and</t>
  </si>
  <si>
    <t>Picimbon J.</t>
  </si>
  <si>
    <t>Olfactory soluble proteins of cockroaches</t>
  </si>
  <si>
    <t>S0965174899000739</t>
  </si>
  <si>
    <t>10.1016/S0965-1748(99)00073-9</t>
  </si>
  <si>
    <t>2-s2.0-0344549120</t>
  </si>
  <si>
    <t>['two methods', 'stability regions', 'stability boundary', 'qualitative picture', 'object near', 'nutation motion', 'numerically implemented', 'numerical integration', 'nonlinear equations', 'merson method', 'locus method', 'linearized equations', 'interperiodica ".', 'hodographs describing', 'hayœ ∫', 'great distance', 'flexible antenna', 'dynamic analysis', 'dimensionless parameters', 'attached one']</t>
  </si>
  <si>
    <t>The instability of the rotation of a spacecraft with flexible rod antennas is considered. A nonlinear mathematical model of a rigid solid body with attached one-dimensional flexible elements is used for dynamic analysis. The stability regions are constructed in the plane of the dimensionless parameters of the spacecraft's structure. The analytical solution obtained for the linearized model enables us to describe the qualitative picture of the unstable nutation motion of the object near the stability boundary. The dynamic analysis at a great distance from the stability boundary is carried out with the help of two methods: the root-locus method for linearized equations, numerically implemented by means of the QR-algorithm, and numerical integration of the nonlinear equations of perturbed motion using the Kutta-Merson method. The hodographs describing the nutation motion of a spacecraft and the shift of the flexible antenna is visualized on the basis of a nonlinear mathematical model of the spacecraft, which takes into account its main dynamical peculiarities. The values of the model parameters correspond to the INTERBALL Auroral Probe spacecraft. ¬© 1999 MAEe cyrillic signK "HayŒ∫a/Interperiodica".</t>
  </si>
  <si>
    <t>554-562</t>
  </si>
  <si>
    <t>Cosmic Research</t>
  </si>
  <si>
    <t>60032468;60017989</t>
  </si>
  <si>
    <t>6602411236;7003494388</t>
  </si>
  <si>
    <t>Dokuchaev, L. V.;Rabinovich, B. I.</t>
  </si>
  <si>
    <t>Korolev;Moscow</t>
  </si>
  <si>
    <t>Central Research Institute for Machine Building;Space Research Institute of the Russian Academy of Sciences</t>
  </si>
  <si>
    <t>Dokuchaev L.</t>
  </si>
  <si>
    <t>Analysis of perturbed motion near the stability boundary of a rotating spacecraft of the INTERBALL Auroral Probe type</t>
  </si>
  <si>
    <t>2-s2.0-16244366911</t>
  </si>
  <si>
    <t>['radial reflectors', 'mutual coupling', 'energy properties', 'electrodynamic analysis']</t>
  </si>
  <si>
    <t>On the basis of an electrodynamic analysis, we study a multimode circular antenna array with radial reflectors. We show that it is possible to attenuate the mutual coupling between the radiators and, thereby, improve the energy properties of the array.</t>
  </si>
  <si>
    <t>956-961</t>
  </si>
  <si>
    <t>Buzov, A. L.</t>
  </si>
  <si>
    <t>Samara</t>
  </si>
  <si>
    <t>Samara Research Institute of Radio</t>
  </si>
  <si>
    <t>Buzov A.</t>
  </si>
  <si>
    <t>Space and energy characteristics of a circular antenna array with radial reflectors under mode excitations</t>
  </si>
  <si>
    <t>10.1007/BF02679275</t>
  </si>
  <si>
    <t>2-s2.0-85051550180</t>
  </si>
  <si>
    <t>R01GM051556</t>
  </si>
  <si>
    <t>['variable fluorescence', 'three mutants', 'synechocystis sp', 'reduced chlorophyll', 'quenching reaction', 'presumably followed', 'possible role', 'picosecond time', 'photoautotrophic mutants', 'pcc 6803', 'oxygen evolution', 'oxidized tryptophan', 'open centers', 'nonradiative decay', 'high yield', 'high rate', 'fluorescence lifetimes', 'fluorescence lifetime', 'facilitate characterization', 'essentially identical', 'dependent quenching', 'd2 protein', 'control strain', 'combinatorial photosystem', 'chlorophyll antenna', 'charge separation', 'charge recombination', 'active tyrd']</t>
  </si>
  <si>
    <t>The lumenal CD loop region of the D2 protein of photosystem II contains residues that interact with a reaction center chlorophyll and the redox- active TyrD. Using combinatorial mutagenesis. photoautotrophic mutants of Synechocystis sp. PCC 6803 have been generated with multiple amino acid changes in this region. The CD loop mutations were transferred into a photosystem I-less Synechocystis strain to facilitate characterization of photosystem II properties in the mutants. Most of the combinatorial photosystem I-less mutants obtained had a high yield of variable fluorescence, Fv. However, in three mutants, which shared a replacement of Phe181 by Trp, the F(V) yield was dramatically reduced although a high rate of oxygen evolution was maintained. A site-directed F181W D2 mutant shared similar properties. Picosecond time-resolved fluorescence measurements revealed that in the combinatorial F181W mutants the fluorescence lifetimes in closed and open photosystem II centers were essentially identical and were similar to the fluorescence lifetime in open centers of the control strain. These results are explained by quenching of variable fluorescence in the mutants by charge separation between Trp181 and excited reaction center chlorophyll. This reaction competes efficiently with fluorescence and nonradiative decay in closed photosystem II centers, where the lifetime of the excitation in the chlorophyll antenna is long. Thermodynamic considerations favor the formation of oxidized tryptophan and reduced chlorophyll in the quenching reaction, presumably followed by charge recombination. A possible role of tryptophan-chlorophyll charge separation in the mechanism of energy-dependent quenching of excitations in photosynthesis is discussed.</t>
  </si>
  <si>
    <t>14690-14696</t>
  </si>
  <si>
    <t>60003892;60003892;60003892;60003892</t>
  </si>
  <si>
    <t>6701655721;6603105945;7801322791;7005345187</t>
  </si>
  <si>
    <t>Vavilin, Dmitrii V.;Ermakova-Gerdes, Svetlana Y.;Keilty, Anna T.;Vermaas, Wim F.J.</t>
  </si>
  <si>
    <t>Vavilin D.</t>
  </si>
  <si>
    <t>Tryptophan at position 181 of the D2 protein of photosystem II confers quenching of variable fluorescence of chlorophyll: Implications for the mechanism of energy-dependent quenching</t>
  </si>
  <si>
    <t>10.1021/bi9915622</t>
  </si>
  <si>
    <t>2-s2.0-0033517862</t>
  </si>
  <si>
    <t>['rectangular slot', 'reactive loading', 'proposed antenna', 'perform dual', 'novel dual', 'line sections', 'frequency operation']</t>
  </si>
  <si>
    <t>Dual frequency | Microstrip antenna | Reactive loading</t>
  </si>
  <si>
    <t>Novel dual-frequency operation of a single-feed rectangular microstrip antenna with an embedded reactive loading is presented. The reactive loading is provided by a structure of two cascaded microstrip-line sections embedded within a rectangular slot cut in the patch. By selecting suitable dimensions of the microstrip-line sections and the rectangular slot, the proposed antenna can perform dual-frequency operation, with a low frequency ratio of about 1.04-1.15 between the two operating frequencies. ¬© 1999 John Wiley &amp; Sons. Inc.</t>
  </si>
  <si>
    <t>186-188</t>
  </si>
  <si>
    <t>Chen, Hua Ming</t>
  </si>
  <si>
    <t>Chen H.</t>
  </si>
  <si>
    <t>Dual-frequency microstrip antenna with embedded reactive loading</t>
  </si>
  <si>
    <t>10.1002/(SICI)1098-2760(19991105)23:3&lt;186::AID-MOP16&gt;3.0.CO;2-A</t>
  </si>
  <si>
    <t>2-s2.0-0001374550</t>
  </si>
  <si>
    <t>['shaped slots', 'polarization planes', 'novel dual', 'nonradiating edges', 'frequency operation', 'experimentally studied', 'experimental results', 'antenna design']</t>
  </si>
  <si>
    <t>Dual-frequency operation | Microstrip antenna</t>
  </si>
  <si>
    <t>By embedding a pair of comb-shaped slots close to the nonradiating edges of a rectangular microstrip antenna, a novel dual-frequency operation of microstrip antennas using a single probe feed is proposed and experimentally studied. The two operating frequencies have the same polarization planes and similar broadside radiation patterns. By varying the length and number of the branches of the comb-shaped slots, the proposed antenna provides a tunable frequency ratio from about 1.07 to 1.29. Details of the antenna design and experimental results are presented and discussed. ¬© 1999 John Wiley &amp; Sons, Inc.</t>
  </si>
  <si>
    <t>Dual-frequency operation of a single-feed rectangular microstrip antenna with a pair of comb-shaped slots</t>
  </si>
  <si>
    <t>10.1002/(SICI)1098-2760(19991105)23:3&lt;183::AID-MOP15&gt;3.0.CO;2-G</t>
  </si>
  <si>
    <t>2-s2.0-0001523183</t>
  </si>
  <si>
    <t>['results show', 'proposed design', 'patch edge', 'operating bandwidth', 'line section', 'layer equilateral', 'inset microstrip', 'experimental results', 'antenna design', '5 times']</t>
  </si>
  <si>
    <t>Broadband operation | Microstrip antenna</t>
  </si>
  <si>
    <t>A wide operating bandwidth for a single-layer equilateral-triangular microstrip antenna can be obtained by embedding a pair of asymmetric bent slots inside the patch and inserting an inset microstrip-line section at the patch edge as an integrated reactive load. With the proposed design, a group of three closely excited resonant modes of similar broadside radiation characteristics near the fundamental resonant mode of a corresponding simple equilateral-triangular microstrip antenna can be achieved. Results show that an operating bandwidth as large as 4.5 times that of a simple triangular microstrip antenna can be achieved. Details of the antenna design and experimental results are presented. ¬© 1999 John Wiley &amp; Sons, Inc.</t>
  </si>
  <si>
    <t>149-151</t>
  </si>
  <si>
    <t>7402422499;7102866407;35460663000</t>
  </si>
  <si>
    <t>Fang, Shyh Tirng;Chiou, Tzung Wern;Wong, Kin Lu</t>
  </si>
  <si>
    <t>Broadband equilateral-triangular microstrip antenna with asymmetric bent slots and integrated reactive loading</t>
  </si>
  <si>
    <t>10.1002/(SICI)1098-2760(19991105)23:3&lt;149::AID-MOP6&gt;3.0.CO;2-6</t>
  </si>
  <si>
    <t>2-s2.0-0343264112</t>
  </si>
  <si>
    <t>['successfully used', 'realize microstrip', 'phase shifts', 'paper presents', 'microstrip technology', 'cpw transitions', 'cpw technology', 'antenna arrays']</t>
  </si>
  <si>
    <t>Coplanar waveguide | Microstrip line | Transition</t>
  </si>
  <si>
    <t>Coplanar waveguides nowadays are successfully used to feed printed antennas. This technique is very interesting for antenna arrays. However, the complete system involves the association of several microwave functions, essentially power divisions and phase shifts, which are easier to implement in microstrip technology than in CPW technology. In order to match these requirements, this paper presents some compact and easy to realize microstrip/CPW transitions. ¬© 1999 John Wiley &amp; Sons, Inc.</t>
  </si>
  <si>
    <t>131-133</t>
  </si>
  <si>
    <t>60110755;60110755;60110755;60030553</t>
  </si>
  <si>
    <t>57197294046;6701836992;6602886117;57199363264</t>
  </si>
  <si>
    <t>Girard, T.;Staraj, R.;Cambiaggio, E.;Muller, F.</t>
  </si>
  <si>
    <t>Sophia Antipolis;Rennes</t>
  </si>
  <si>
    <t>Laboratoire D'√©lectronique, Antennes et T√©l√©communications;Universite de Rennes 1</t>
  </si>
  <si>
    <t>60110755;60030553</t>
  </si>
  <si>
    <t>Girard T.</t>
  </si>
  <si>
    <t>Microstrip-CPW transitions for antenna array applications</t>
  </si>
  <si>
    <t>10.1002/(SICI)1098-2760(19991105)23:3&lt;131::AID-MOP1&gt;3.0.CO;2-9</t>
  </si>
  <si>
    <t>2-s2.0-3643077619</t>
  </si>
  <si>
    <t>['two times', 'thoroughly tested', 'since small', 'preferred method', 'overall dimensions', 'often used', 'measured data', 'magnetic sources', 'helix may', 'helical geometry', 'fdtd grid', 'experimental validation', 'cellular telephones', 'antennas using', 'accurate modeling']</t>
  </si>
  <si>
    <t>FDTD | Helical antennas | SAR</t>
  </si>
  <si>
    <t>Since small-diameter, normal-mode helical antennas are often used for cellular telephones, accurate modeling of these antennas using the FDTD grid is a must if this preferred method, allowing anatomically based heterogeneous simulation of the body, is to be used for calculating the performance of personal wireless devices. An easy-to-use rectangular FDTD grid is, however, subject to staircasing for the helical geometry. An approach using equivalent electric and magnetic sources has previously been presented by the authors, although not thoroughly tested for cases where the diameter of the helix may be more than two times the FDTD grid size. In this letter, we present a modified weighted equivalent source method and its experimental validation for such larger diameter helical antennas. The grid is selected to conform to the overall dimensions of the helix. The calculated field variations for a lossy sphere representative of the human head agree well with the measured data. ¬© 1999 John Wiley &amp; Sons, Inc.</t>
  </si>
  <si>
    <t>172-174</t>
  </si>
  <si>
    <t>7003666534;7402947671;7103082601</t>
  </si>
  <si>
    <t>Lazzi, Gianluca;Yu, Qi Shan;Gandhi, Om P.</t>
  </si>
  <si>
    <t>Extension and validation of equivalent source helical antenna modeling with the FDTD code</t>
  </si>
  <si>
    <t>10.1002/(SICI)1098-2760(19991105)23:3&lt;172::AID-MOP12&gt;3.0.CO;2-T</t>
  </si>
  <si>
    <t>2-s2.0-3643083852</t>
  </si>
  <si>
    <t>R43 CA-69868</t>
  </si>
  <si>
    <t>['work consist', 'tissue surface', 'tissue load', 'thicker bolus', 'square 915', 'sar near', 'sar distribution', 'power deposition', 'perturbing effects', 'numerical method', 'muscle tissue', 'mm thick', 'mm deep', 'minor reduction', 'minor perturbation', 'microwave antennas', 'located directly', 'layered fat', 'lateral sides', 'field component', 'embedded 5', 'distinct concentration', 'dcc aperture', 'coupling bolus', 'cm diameter', 'cm deep', 'characterized theoretically', 'blocking effect', 'array elements', 'applied power', 'air bubbles', 'accommodated sufficiently']</t>
  </si>
  <si>
    <t>Finite difference time domain (FDTD) modeling | Microwave conformal array antenna | Power deposition | Specific absorption rate (SAR) | Superficial hyperthermia</t>
  </si>
  <si>
    <t>Power deposition [specific absorption rate (SAR)] distributions from a two-element array configuration of 4-cm-square 915-MHz dual concentric conductor (DCC) microwave antennas were characterized theoretically for several clinically realistic complex bolus-tissue load models using the finite difference time domain (FDTD) numerical method. The purpose of this effort was to determine the perturbing effects on SAR of three often unavoidable heterogeneities in the bolus-tissue load. The three cases studied in this work consist of bone (two ribs spaced 1 cm apart) embedded 5-mm or 1- cm deep in muscle or layered fat-muscle tissue, small air bubbles trapped between the coupling bolus and tissue surface, and variable thickness water bolus layer due to sharply contoured anatomy. Results of the FDTD simulations demonstrate rather small effects on SAR distribution for both rib-sized bones ‚â•5-mm deep in muscle and small air pockets ‚â§1-mm thick. Larger air bubbles &gt;1-cm diameter by 3mm depth showed a distinct concentration of SAR near the lateral sides of the air bubbles, and a blocking effect under the bubbles when located directly under the center of a DCC aperture where there is a higher normal E-field component. Variation from 2.5- to 7.5-mm bolus thickness under the two aperture array produced only minor perturbation of the uniformity and penetration of SAR, along with minor reduction in SAR under the thicker bolus which should be accommodated sufficiently by changes in applied power to the array elements.</t>
  </si>
  <si>
    <t>1310-1319</t>
  </si>
  <si>
    <t>60023691;60023691</t>
  </si>
  <si>
    <t>35610445900;7005772755</t>
  </si>
  <si>
    <t>Rossetto, Francesca;Stauffer, Paul R.</t>
  </si>
  <si>
    <t>San Francisco</t>
  </si>
  <si>
    <t>University of California, San Francisco</t>
  </si>
  <si>
    <t>Rossetto F.</t>
  </si>
  <si>
    <t>Effect of complex bolus-tissue load configurations on SAR distributions from dual concentric conductor applicators</t>
  </si>
  <si>
    <t>S0018929499076405</t>
  </si>
  <si>
    <t>10.1109/10.797991</t>
  </si>
  <si>
    <t>2-s2.0-0032709811</t>
  </si>
  <si>
    <t>Ministry of Education, Culture, Sports, Science and Technology</t>
  </si>
  <si>
    <t>['whole cells', 'supplemented cells', 'substituted 1', 'specifically quenching', 'similar extent', 'results provide', 'reaction center', 'quinones correlated', 'quench bchl', 'o2 similar', 'model system', 'large bacteriochlorophyll', 'excitation energy', 'cell suspension', 'bchl c', 'aerobic conditions']</t>
  </si>
  <si>
    <t>Chlorosome | Cytochrome c photooxidation | Fluorescence quenching | Green bacteria | Light-harvesting complex | Non-photochemical quenching</t>
  </si>
  <si>
    <t>In the photosynthetic green filamentous bacterium Chloroflexus aurantiacus, excitation energy is transferred from a large bacteriochlorophyll (BChl) c antenna via smaller BChl a antennas to the reaction center. The effects of substituted 1,4-naphthoquinones on BChl c and BChl a fluorescence and on flash-induced cytochrome c oxidation were studied in whole cells under aerobic conditions. BChl c fluorescence in a cell suspension with 5.4 ŒºM BChl c was quenched to 50% by addition of 0.6 ŒºM shikonin ((R)-2-(1-hydroxy-4-methyl-3-pentenyl)-5,8-dihydroxy-1,4-naphthoquinone), 0.9 ŒºM 5-hydroxy-1,4-naphthoquinone, or 4 ŒºM 2-acetyl-3-methyl-1,4-naphthoquinone. Between 25 and 100 times higher quinone concentrations were needed to quench BChl a fluorescence to a similar extent. These quinones also efficiently inhibited flash-induced cytochrome c oxidation when BChl c was excited, but not when BChl a was excited. The quenching of BChl c fluorescence induced by these quinones correlated with the inhibition of flash-induced cytochrome c oxidation. We concluded that the quinones inhibited electron transfer in the reaction center by specifically quenching the excitation energy in the BChl c antenna. Our results provide a model system for studying the redox-dependent antenna quenching in green sulfur bacteria because the antennas in these bacteria inherently exhibit a sensitivity to O2 similar to the quinone-supplemented cells of Cfx. aurantiacus. Copyright (C) 1999 Elsevier Science B.V.</t>
  </si>
  <si>
    <t>108-116</t>
  </si>
  <si>
    <t>60005038-60001439;60005038;60005038</t>
  </si>
  <si>
    <t>6603809402;7004420226;57200274634</t>
  </si>
  <si>
    <t>Frigaard, Niels Ulrik;Tokita, Seiji;Matsuura, Katsumi</t>
  </si>
  <si>
    <t>Hachioji;University Park</t>
  </si>
  <si>
    <t>Tokyo Metropolitan University;Pennsylvania State University</t>
  </si>
  <si>
    <t>60005038;60001439</t>
  </si>
  <si>
    <t>Exogenous quinones inhibit photosynthetic electron transfer in Chloroflexus aurantiacus by specific quenching of the excited bacteriochlorophyll c antenna</t>
  </si>
  <si>
    <t>S0005272899000948</t>
  </si>
  <si>
    <t>10.1016/S0005-2728(99)00094-8</t>
  </si>
  <si>
    <t>2-s2.0-0032706760</t>
  </si>
  <si>
    <t>MEXT</t>
  </si>
  <si>
    <t>['whereas generation', 'western blotting', 'weak light', 'strong illumination', 'stromal components', 'specific antibodies', 'results indicate', 'present study', 'nearby polypeptides', 'molecular chaperones', 'links covalently', 'light intensity', 'kda protein', 'intact chloroplasts', 'general phenomenon', 'formed even', 'efficiently removed', 'dimensional sds', 'differently dependent', 'degraded significantly', 'd2 heterodimers', 'd2 ),', 'd1 protein', 'd1 adducts', 'cyt b559', 'cp43 aggregates', 'cp43 adducts', 'associated proteins', 'antenna chlorophyll', 'also detected', 'aggregates non', 'aerobic conditions', '5000 œºe']</t>
  </si>
  <si>
    <t>D1 protein | Photoinhibition | Photosynthesis | Photosystem II | Protein cross-linking and aggregation | Protein turnover</t>
  </si>
  <si>
    <t>It is known that the reaction-center binding protein D1 in photosystem (PS) II is degraded significantly during photoinhibition. The D1 protein also cross-links covalently or aggregates non-covalently with the nearby polypeptides in PS II complexes by illumination. In the present study, we detected the adducts between the D1 protein and the other reaction-center binding protein D2 (D1/D2), the Œ±-subunit of cyt b559 (D1/cyt b559), and the antenna chlorophyll-binding protein CP43 (D1/CP43) by SDS/urea-polyacrylamide gel electrophoresis and Western blotting with specific antibodies. The adducts were observed by weak and strong illumination (light intensity: 50-5000 ŒºE m-2 s-1) of PS II membranes, thylakoids and intact chloroplasts from spinach, under aerobic conditions. These results indicate that the cross-linking or aggregation of the D1 protein is a general phenomenon which occurs in vivo as well as in vitro with photodamaged D1 proteins. We found that the formation of the D1/D2, D1/cyt b559 and D1/CP43 adducts is differently dependent on the light intensity; the D1/D2 heterodimers and D1/cyt b559 were formed even by illumination with weak light, whereas generation of the D1/CP43 aggregates required strong illumination. We also detected that these D1 adducts were efficiently removed by the addition of stromal components, which may contain proteases, molecular chaperones and the associated proteins. By two-dimensional SDS/urea-polyacrylamide gel electrophoresis, we found that several stromal proteins, including a 15-kDa protein are effective in removing the D1/CP43 aggregates, and that their activity is resistant to SDS. Copyright (C) 1999 Elsevier Science B.V.</t>
  </si>
  <si>
    <t>147-158</t>
  </si>
  <si>
    <t>60023147-60010553;60023147;60023147;60023147;60023147;60010553;60023147</t>
  </si>
  <si>
    <t>7403118498;36978120400;7004182343;6506543601;8072777300;36926895500;7405516662</t>
  </si>
  <si>
    <t>Ishikawa, Yasuo;Nakatani, Etsuko;Henmi, Takahiro;Ferjani, Ali;Harada, Yoshiko;Tamura, Noriaki;Yamamoto, Yasusi</t>
  </si>
  <si>
    <t>Okayama;Fukuoka</t>
  </si>
  <si>
    <t>Okayama University;Fukuoka Women's University</t>
  </si>
  <si>
    <t>60023147;60010553</t>
  </si>
  <si>
    <t>Ishikawa Y.</t>
  </si>
  <si>
    <t>Turnover of the aggregates and cross-linked products of the D1 protein generated by acceptor-side photoinhibition of photosystem II</t>
  </si>
  <si>
    <t>S0005272899000936</t>
  </si>
  <si>
    <t>10.1016/S0005-2728(99)00093-6</t>
  </si>
  <si>
    <t>2-s2.0-0032724409</t>
  </si>
  <si>
    <t>TMU</t>
  </si>
  <si>
    <t>['triton x', 'spectral properties', 'sodium cholate', 'simultaneous decrease', 'proteolytic digestion', 'protein assumed', 'new hexanol', 'molecular masses', 'isolated chlorosomes', 'bchl c', 'alkaline treatment', 'absorption band', '795 nm', '18 kda']</t>
  </si>
  <si>
    <t>Bacteriochlorophyll a | Baseplate | Chlorosome | Green bacterium | Pigment-protein complex | Protein purification</t>
  </si>
  <si>
    <t>The protein assumed to be associated with bacteriochlorophyll (BChl) a in chlorosomes from the photosynthetic green filamentous bacterium Chloroflexus aurantiacus was investigated by alkaline treatment, proteolytic digestion and a new treatment using 1-hexanol, sodium cholate and Triton X-100. Upon alkaline treatment, only the 5.7 kDa CsmA protein was removed from the chlorosomes among six proteins detected by sodium dodecyl sulfate polyacrylamide gel electrophoresis (SDS-PAGE) analysis, concomitantly with the disappearance of BChl a absorption at 795 nm. Trypsin treatment removed two proteins with molecular masses of 11 and 18 kDa (CsmN and CmsM), whereas the spectral properties of BChl a and BChl c were not changed. By the new hexanol-detergent (HD) treatment, most BChl c and all of the detected proteins except CsmA were removed from the chlorosomes without changing the BChl a spectral properties. Subsequent proteinase K treatment of these HD-treated chlorosomes caused digestion of CsmA and a simultaneous decrease of the BChl a absorption band. Based on these results, we suggest that CsmA is associated with BChl a in the chlorosomes. This suggestion was supported by the measured stoichiometric ratio of BChl a to CsmA in isolated chlorosomes, which was estimated to be between 1.2 and 2.7 by amino acid analysis of the SDS-PAGE-resolved protein bands. Copyright (C) 1999 Elsevier Science B.V.</t>
  </si>
  <si>
    <t>172-180</t>
  </si>
  <si>
    <t>60005038;60005038;60005038;60005038</t>
  </si>
  <si>
    <t>7004276993;6603809402;35556033100;57200274634</t>
  </si>
  <si>
    <t>Sakuragi, Yumiko;Frigaard, Niels Ulrik;Shimada, Keizo;Matsuura, Katsumi</t>
  </si>
  <si>
    <t>Sakuragi Y.</t>
  </si>
  <si>
    <t>Association of bacteriochlorophyll a with the CsmA protein in chlorosomes of the photosynthetic green filamentous bacterium Chloroflexus aurantiacus</t>
  </si>
  <si>
    <t>S0005272899000924</t>
  </si>
  <si>
    <t>10.1016/S0005-2728(99)00092-4</t>
  </si>
  <si>
    <t>2-s2.0-0032732683</t>
  </si>
  <si>
    <t>National Research Council Sri Lanka</t>
  </si>
  <si>
    <t>NRC</t>
  </si>
  <si>
    <t>['upon illumination', 'turnover rate', 'though required', 'state transitions', 'state 2', 'state 1', 'reversible shift', 'redox state', 'rather controlled', 'observations suggest', 'o2 evolution', 'linear pathway', 'limiting factor', 'kinetic properties', 'intersystem carriers', 'electron carriers', 'dark reduction', 'cytochrome f', 'cyclic one', 'chlamydomonas reinhardtii', 'aerobic level', 'adp ratio']</t>
  </si>
  <si>
    <t>Chlamydomonas reinhardtii | Cytochrome f | Electron transport pathway | Energy charge | State transition</t>
  </si>
  <si>
    <t>The relationship between state transitions and the kinetic properties of the electron transfer chain has been studied in Chlamydomonas reinhardtii. The same turnover rate of cytochrome f was found in state 1 and 2. However, while DBMIB was inhibitory in both states, DCMU was effective only in state 1. These observations suggest that linear electron transport was active only in state 1, while a cyclic pathway around photosystem (PS) I operated in state 2. The reversible shift from linear to cyclic electron transport was modulated by changes of PSII antenna size, which inactivated the linear pathway, and by oxygen, which inhibited the cyclic one. Attainment of state 2, under anaerobiosis in the dark, was associated with the decline of the ATP/ADP ratio in the cells and the dark reduction of the intersystem carriers. Upon illumination of the cells, the ATP/ADP ratio increased in a few seconds to the aerobic level. Then, several minutes later, the F(m) returned to the state 1 level, and O2 evolution was reactivated. This suggests that ATP, though required for photosynthesis, is not the rate-limiting factor in the reactivation of photosynthetic O2 evolution, which is rather controlled by the redox state of the electron carriers. Copyright (C) 1999 Elsevier Science B.V.</t>
  </si>
  <si>
    <t>117-129</t>
  </si>
  <si>
    <t>60021199;60021199;60021199;60021199</t>
  </si>
  <si>
    <t>7005632152;6701822102;7004094275;7102220815</t>
  </si>
  <si>
    <t>Finazzi, Giovanni;Furia, Alberto;Barbagallo, Romina Paola;Forti, Giorgio</t>
  </si>
  <si>
    <t>Consiglio Nazionale delle Ricerche</t>
  </si>
  <si>
    <t>Finazzi G.</t>
  </si>
  <si>
    <t>State transitions, cyclic and linear electron transport and photophosphorylation in Chlamydomonas reinhardtii</t>
  </si>
  <si>
    <t>S0005272899000894</t>
  </si>
  <si>
    <t>10.1016/S0005-2728(99)00089-4</t>
  </si>
  <si>
    <t>2-s2.0-0032754899</t>
  </si>
  <si>
    <t>['zero electron', 'weak coupling', 'usual first', 'two types', 'state absorption', 'spectral properties', 'single source', 'previous work', 'peculiar asymmetry', 'order approximations', 'model exploits', 'main features', 'low temperatures', 'low temperature', 'intramolecular vibrations', 'initial pump', 'important difference', 'disorder separately', 'computer modeling', 'calculated corresponding', 'b800 band', 'aggregate molecules']</t>
  </si>
  <si>
    <t>The objective of this work is two-fold. First, the effects of static diagonal disorder on the linear and nonlinear absorption spectra of excitons in circular molecular aggregates are studied by computer modeling. Second, it is demonstrated that this simplified model successfully reproduces the main features of both the ground-state absorption and initial pump-probe absorption difference spectra of LH2 antenna proteins from photosynthetic bacteria measured upon spectrally selective population of excitons at low temperature. Of the usual first-order approximations in the Frenkel exciton theory, our model exploits only two: the two-state and the zero electron-vibrational coupling approximations. In our model, the molecules of the aggregate are allowed to have different site energies. The coupling between all aggregate molecules is taken into account. An important difference between our study and previous work is that the exciton state selective spectra are calculated corresponding to the recently performed spectrally selective ultrashort pulse excitation experiment. We investigate the behavior of excitons as a function of disorder separately in the B850 and B800 ring aggregates of LH2. Usually, excitations in the B 800 ring have been considered completely localized. The present study reinforces the importance of static diagonal disorder in describing the spectral properties of excitons in the LH2 antenna complex at low temperatures. Moreover, it has been demonstrated that two types of spectral disorder govern the inhomogeneously broadened exciton spectra of antenna complexes embedded into the photosynthetic membrane rather than a single source of disorder. From the comparison of simulated and experimental linear absorption spectra, we suggest that the peculiar asymmetry of the B800 band as well as some of the high-energy sideband structures are due to weak coupling of excitons in the B850 and B800 ring aggregates with intramolecular vibrations of bacteriochlorophyll a molecules. ¬© 1999 American Chemical Society.</t>
  </si>
  <si>
    <t>10032-10041</t>
  </si>
  <si>
    <t>60003892-60068856;60068856;60068856;60003892</t>
  </si>
  <si>
    <t>7005109792;6701855945;6603240364;7006774990</t>
  </si>
  <si>
    <t>Freiberg, Arvi;Timpmann, K√µu;Ruus, Rein;Woodbury, Neal W.</t>
  </si>
  <si>
    <t>Estonia;United States</t>
  </si>
  <si>
    <t>Tartu;Tempe</t>
  </si>
  <si>
    <t>Tartu √úlikool;Arizona State University</t>
  </si>
  <si>
    <t>60068856;60003892</t>
  </si>
  <si>
    <t>Freiberg A.</t>
  </si>
  <si>
    <t>Disordered Exciton Analysis of Linear and Nonlinear Absorption Spectra of Antenna Bacteriochlorophyll Aggregates: LH&lt;inf&gt;2&lt;/inf&gt;-Only Mutant Chromatophores of Rhodobacter sphaeroides at 8 K under Spectrally Selective Excitation</t>
  </si>
  <si>
    <t>10.1021/jp991676n</t>
  </si>
  <si>
    <t>2-s2.0-0001268996</t>
  </si>
  <si>
    <t>['radiation patterns', 'phase shift', 'integrated voltage', 'antenna design', '100 ¬∞']</t>
  </si>
  <si>
    <t>A microwave microstrip probe fed antenna with an integrated voltage-controlled phase shifter and amplifier is demonstrated. It allows a phase shift of the feeding signal close to 100¬∞ in the entire DCS frequency band with a feeding signal gain of between 0 and 8dB. Details of the antenna design, phase shift, matching and radiation patterns are presented.</t>
  </si>
  <si>
    <t>1983-1985</t>
  </si>
  <si>
    <t>Microstrip antenna with integrated amplifier and phase shifter for DCS applications</t>
  </si>
  <si>
    <t>10.1049/el:19991374</t>
  </si>
  <si>
    <t>2-s2.0-0033317592</t>
  </si>
  <si>
    <t>['wave antenna', 'right beam', 'left beam', 'interference shielding', 'excellent dual', 'elevation plane', 'coupled leaky', 'continuously scanned', 'band varactor', 'active aperture', '89 dbm', '5 ghz', '20 ¬∞', '06 dbm']</t>
  </si>
  <si>
    <t>An active aperture-coupled leaky-wave antenna (LWA) with excellent dual-beam scanning capability is presented. An X-band varactor-tuned HEMT VCO is integrated on the other plane through an aperture with the LWA. This antenna has the advantages of multi-functionability, interference shielding, and a scanning main beam. The measured main beam in the elevation plane can be continuously scanned for 20¬∞ for each beam as the HEMT VCO frequency is varied from 8.97 to 9.5 GHz. An effective isotropic radiation power of 18.89 dBm for the right beam and 19.06 dBm for the left beam is achieved.</t>
  </si>
  <si>
    <t>1981-1982</t>
  </si>
  <si>
    <t>60012370;60012370;60012370;112347288</t>
  </si>
  <si>
    <t>7501637046;7006325317;7005109058;56123316200</t>
  </si>
  <si>
    <t>Wang, Chien Jen;Kao, Nien An;Jou, F.;Wu, Jin Jei</t>
  </si>
  <si>
    <t>National Chiao Tung University;Kao Yuan Coll. of Technol. and Comm.</t>
  </si>
  <si>
    <t>60012370;112347288</t>
  </si>
  <si>
    <t>Active dual-beam aperture-coupled leaky-wave antenna</t>
  </si>
  <si>
    <t>10.1049/el:19991376</t>
  </si>
  <si>
    <t>2-s2.0-0033343353</t>
  </si>
  <si>
    <t>['studied experimentally', 'peak gain', 'gain bandwidth', 'circular polarisation', 'broad beamwidth', '6 db']</t>
  </si>
  <si>
    <t>A coaxial-feed axial mode hemispherical helical antenna is studied experimentally and theoretically. Results for a 3-turn hemispherical helix indicate that circular polarisation can be obtained over a broad beamwidth. The gain bandwidth is approx. 33% and the peak gain is 7.6 dB. The input impedance shows that it is a standing wave antenna.</t>
  </si>
  <si>
    <t>1982-1983</t>
  </si>
  <si>
    <t>7005913291;7406035710;7101878862;6508387422</t>
  </si>
  <si>
    <t>Hui, H. T.;Chan, K. Y.;Yung, E. K.N.;Shing, X. Q.</t>
  </si>
  <si>
    <t>Coaxial-feed axial mode hemispherical helical antenna</t>
  </si>
  <si>
    <t>10.1049/el:19991383</t>
  </si>
  <si>
    <t>2-s2.0-0033355281</t>
  </si>
  <si>
    <t>['visible radiation', 'strongest signals', 'receiving area', 'polarization parallel', 'polarization dependence', 'photoelectric effects', 'nm helium', 'ni diodes', 'measured response', 'infrared radiation', 'film ni', 'expected thermal', 'dipole antenna', 'dependent signal', 'coupled thin', 'connection structure']</t>
  </si>
  <si>
    <t>The response of antenna-coupled thin-film Ni-NiO-Ni diodes to 633-nm helium-neon laser radiation is investigated. Although these detectors and their integrated dipole antennas are optimized for the detection of mid-infrared radiation, a polarization dependence of the measured response to visible radiation is observed. The strongest signals are measured for the polarization parallel to the dipole antenna axis, which demonstrates antenna operation of the device in the visible in addition to the expected thermal and photoelectric effects. The connection structure of the diode also resonates and contributes to the polarization-dependent signal. The receiving area of the dipole antenna is approximately 2 Œºm2. ¬© 1999 Optical Society of America.</t>
  </si>
  <si>
    <t>1629-1631</t>
  </si>
  <si>
    <t>60022144;60022144;60022144</t>
  </si>
  <si>
    <t>6603761497;7007155487;7006366203</t>
  </si>
  <si>
    <t>Fumeaux, Christophe;Alda, Javier;Boreman, Glenn D.</t>
  </si>
  <si>
    <t>Lithographic antennas at visible frequencies</t>
  </si>
  <si>
    <t>10.1364/OL.24.001629</t>
  </si>
  <si>
    <t>2-s2.0-0011969274</t>
  </si>
  <si>
    <t>DMR-9729178</t>
  </si>
  <si>
    <t>['visible light', 'stoichiometric amounts', 'sensitized emission', 'selective excitation', 'quenching efficiencies', 'metal ions', 'matrix resulted', 'luminescence experiments', 'europium ions', 'donor concentration', 'direct evidence', 'carboxylate functions', 'carboxyl functions', 'acceptor ).']</t>
  </si>
  <si>
    <t>Donor/acceptor metal ions | Photon antennas | Self-assembly | Zirconium phosphonate</t>
  </si>
  <si>
    <t>Donor and acceptor metal ions are self-assembled by coordination to the carboxylate functions of the Œ±-carboxyethyl zirconium phosphonate (Œ±-ZrCEP). Uranyl and europium ions, for example, bind to the carboxyl functions of Œ±-ZrCEP at stoichiometric amounts (2:1, carboxylate to metal ion). Selective excitation of uranyl (donor) with visible light (430nm) resulted in efficient energy transfer from the donor excited states to europium(III) (acceptor). Sensitized emission from the acceptor was observed at 590nm and the quenching efficiencies are estimated from the luminescence experiments. Binding of the donors and acceptors to the matrix resulted in enhanced energy transfer from the donor to the acceptor when compared to the solution phase studies. The quenching efficiencies increase dramatically with donor concentration as direct evidence for the donor-to-donor energy migration within the assemblies of the metal ions. Such systems that function with visible light may be of interest in photonics, and in solar energy harvesting. ¬© 1999 Elsevier Science B.V.</t>
  </si>
  <si>
    <t>Microporous and Mesoporous Materials</t>
  </si>
  <si>
    <t>60022659;60022659</t>
  </si>
  <si>
    <t>57208458030;57213971671</t>
  </si>
  <si>
    <t>Kumar, Challa V.;Chaudhary, A.</t>
  </si>
  <si>
    <t>Storrs</t>
  </si>
  <si>
    <t>University of Connecticut</t>
  </si>
  <si>
    <t>Kumar C.</t>
  </si>
  <si>
    <t>Photon antennas: Self-assembly of donor and acceptor metal ions at the galleries of layered Œ±-zirconium phosphonates</t>
  </si>
  <si>
    <t>S1387181199000918</t>
  </si>
  <si>
    <t>10.1016/S1387-1811(99)00091-8</t>
  </si>
  <si>
    <t>2-s2.0-0033225263</t>
  </si>
  <si>
    <t>['typically considered', 'proved essential', 'possible contaminant', 'poor signal', 'pole data', 'pit filled', 'parallel dipole', 'noise ratio', 'locating back', 'industrial site', 'gpr data', 'formerly operated', 'filled trenches', 'data interpretations', 'crossed dipole', 'contained creosote']</t>
  </si>
  <si>
    <t>Crossed dipole (cross-pole) and parallel dipole (co-pole) GPR data were acquired at an industrial site that formerly operated as a creosote wood treating facility in order to locate buried pipes and tanks or other possible contaminant-filled subsurface structures. Cross-pole data are not typically considered during GPR field studies, but proved essential for accurate site characterization at this location, as images produced using co-pole data had a poor signal to noise ratio. Data interpretations were confirmed through exploratory trenching conducted subsequent to this study. The GPR data proved successful in locating back-filled trenches that contained creosote-filled drainage tile, as well as vaults and a pit filled with pure creosote product at the site.</t>
  </si>
  <si>
    <t>3421-3424</t>
  </si>
  <si>
    <t>60003500;60003500;60003500;60021439</t>
  </si>
  <si>
    <t>7006541762;24499126600;6603214983;6507330030</t>
  </si>
  <si>
    <t>Guy, Erich D.;Daniels, Jeffrey J.;Radzevicius, Stanley J.;Vendl, Mark A.</t>
  </si>
  <si>
    <t>Washington, D.C.;Columbus</t>
  </si>
  <si>
    <t>United States Environmental Protection Agency;The Ohio State University</t>
  </si>
  <si>
    <t>60021439;60003500</t>
  </si>
  <si>
    <t>Guy E.</t>
  </si>
  <si>
    <t>Demonstration of using crossed dipole GPR antennae for site characterization</t>
  </si>
  <si>
    <t>10.1029/1999GL008365</t>
  </si>
  <si>
    <t>2-s2.0-0033570668</t>
  </si>
  <si>
    <t>['ventral ganglia', 'upregulating cgmp', 'transiently elevated', 'time course', 'synapse formation', 'since application', 'possible sources', 'manduca sexta', 'local interneurons', 'lobe neurons', 'lateral cluster', 'histamine enhances', 'gmp signal', 'events occurring', 'electrical stimulation', 'dependent process', 'controlled directly', 'cgmp signaling', 'cgmp elevation', 'central brain', 'besides input', 'antennal lobe', 'antennae suggest', 'adult development', '100 neurons']</t>
  </si>
  <si>
    <t>20-hydroxyecdysone | Activity-dependent development | Antennal lobe | Biogenic amines | Nitric oxide</t>
  </si>
  <si>
    <t>In the moth, Manduca sexta, 3',5'-guanosine monophosphate (cGMP) is transiently elevated during adult development in about 100 neurons of the antennal lobe. We demonstrate that nearly all of these neurons are local interneurons of the lateral cluster I, that their capacity to show a strong cGMP response during development is regulated by the steroid hormone 20- hydroxyecdysone, and that in a subpopulation of these neurons cGMP elevation seems to be controlled directly by the gaseous messenger molecule nitric oxide (NO). Treatment with the acetylcholine esterase inhibitor eserine, antennal nerve transection, and electrical stimulation of the antennae suggest that NO/cGMP signaling during development is an activity-dependent process. Besides input from the antennae, input from the central brain and the ventral ganglia is involved in upregulating cGMP in the antennal-lobe neurons. Possible sources are centrifugal aminergic neurons, since application of serotonin and histamine enhances the GMP signal in local interneurons. Comparing the time course of cGMP elevation with events occurring during development leads us to the hypothesis that the NO/cGMP signaling pathway might be involved in synapse formation of a subset of antennal-lobe neurons.</t>
  </si>
  <si>
    <t>359-375</t>
  </si>
  <si>
    <t>60012556;60012556;60015481</t>
  </si>
  <si>
    <t>8051525100;7003707070;7004926480</t>
  </si>
  <si>
    <t>Schachtner, Joachim;Homberg, Uwe;Truman, James W.</t>
  </si>
  <si>
    <t>Seattle;Marburg</t>
  </si>
  <si>
    <t>University of Washington;Philipps-Universit√§t Marburg</t>
  </si>
  <si>
    <t>60015481;60012556</t>
  </si>
  <si>
    <t>Schachtner J.</t>
  </si>
  <si>
    <t>Regulation of cyclic GMP elevation in the developing antennal lobe of the sphinx moth, Manduca sexta</t>
  </si>
  <si>
    <t>10.1002/(SICI)1097-4695(19991115)41:3&lt;359::AID-NEU5&gt;3.0.CO;2-B</t>
  </si>
  <si>
    <t>2-s2.0-0033570947</t>
  </si>
  <si>
    <t>['zone glia', 'sorting zone', 'second set', 'orc axons', 'olfactory epithelium', 'neighbor associations', 'monitor proliferation', 'migrates along', 'manduca sexta', 'label nuclei', 'heavily populated', 'glial cells', 'glial cell', 'glia must', 'glia arises', 'finally entering', 'fascicles destined', 'experimental removal', 'distinct glomeruli', 'critical number', 'cns glia', 'central targets', 'bring axons', 'axons converge', 'appearing shortly', 'antennal lobe']</t>
  </si>
  <si>
    <t>Antennal lobe | Cell birth | Cell-cell interactions | Glial cells | Olfactory glomeruli | Sensory mapping</t>
  </si>
  <si>
    <t>Olfactory receptor cells (ORCs) of a particular odor tuning are dispersed in the olfactory epithelium, but their axons converge on distinct glomeruli in primary olfactory centers. As a consequence, axon associations must change to bring axons of ORCs with the same odor specificity together. Studies in Manduca sexta have indicated that just before they enter the antennal lobe (AL), ORC axons undergo extreme reorganization, finally entering the AL in fascicles destined for subsets of glomeruli. This axon- sorting zone is heavily populated by glial cells, and ORC axon growth cones often are in close physical contact with the glia. In moths rendered gila deficient, ORC axons fail to fasciculate in this region. Using propidium iodide to label nuclei and 5-bromo-2'-deoxyuridine to monitor proliferation, we found that the gila in the sorting zone arise from the AL, appearing shortly after the first ORC axons arrive. Experimental removal of some or all of the sensory innervation revealed that proliferation of sorting-zone glia is triggered by ORC axons. A second set of glia arises in the antenna and migrates along the antennal nerve toward the brain, populating the nerve after the establishment of the sorting zone. Development of this type of glial cell is independent of contact of the ORC axons with their central targets. We conclude that the sorting zone arises from CNS glia in response to ingrowth of ORC axons, and a critical number of glia must be present in the sorting zone for axons to correctly establish new neighbor-neighbor associations.</t>
  </si>
  <si>
    <t>9865-9877</t>
  </si>
  <si>
    <t>60010065;60010065;60010065;60010065;60010065</t>
  </si>
  <si>
    <t>7004584294;7004335896;36785022300;7102653635;7102144017</t>
  </si>
  <si>
    <t>R√∂ssler, Wolfgang;Oland, Lynne A.;Higgins, Mark R.;Hildebrand, John G.;Tolbert, Leslie P.</t>
  </si>
  <si>
    <t>Development of a glia-rich axon-sorting in the olfactory pathway of the moth Manduca sexta</t>
  </si>
  <si>
    <t>10.1523/jneurosci.19-22-09865.1999</t>
  </si>
  <si>
    <t>2-s2.0-0342927499</t>
  </si>
  <si>
    <t>['whole plants', 'way bioassay', 'treated controls', 'substrates treated', 'short range', 'received significantly', 'plant selection', 'phytochemicals soluble', 'pentane extracts', 'oviposition behaviour', 'odours emanating', 'multiple host', 'mhr11 leaves', 'mhr11 flowers', 'mediate oviposition', 'mated females', 'host selection', 'host plants', 'helicoverpa armigera', 'flowering plants', 'flight chamber', 'equal volumes', 'early flowering', 'dp90 ),', 'cotton genotypes', 'armigera host']</t>
  </si>
  <si>
    <t>Chemical cues | Cotton genotypes | Helicoverpa armigera | Host-plant selection | Native cotton</t>
  </si>
  <si>
    <t>We investigated the role of chemoreception in the host selection and oviposition behaviour of Helicoverpa armigera in the laboratory using five cotton genotypes and synthetic volatile terpenes. Female moths oviposited on substrates treated with methanol, ethanol, acetone and pentane extracts of leaves, squares and flowers of the cotton genotypes. Phytochemicals soluble in pentane were the most efficient in eliciting oviposition behaviour. In a two-way bioassay, pentane extracts of leaves or squares of a Multiple Host-plant Resistance genotype (MHR11), Deltapine commercial (DP90), and Smith Red Leaf (SRL) received significantly more eggs than solvent-treated controls. Extracts of squares of the native genotype Gossypium nelsonii did not receive more eggs. Females preferred DP90 and MHR11 to SRL and G. nelsonii. Female moths also laid more eggs on pentane extracts of MHR11 flowers than MHR11 leaves from preflowering, early flowering and peak-flowering plants. In a flight chamber, female moths used olfactory cues at short range to mediate oviposition and discrimination between host plants. Egg-laying, mated females were attracted at a distance (1.5m) to volatile compounds released by whole plants and odours emanating from filter papers treated with synthetic volatile terpenes. Individually, the terpenes did not stimulate any significant oviposition response. However, there was a significant oviposition response to a mixture of equal volumes of the terpenes (trans-Œ≤-caryophyllene, Œ±-pinene, Œ≤-pinene, myrcene, Œ≤-bisabolol, and Œ±-humulene). Conversely, antennectomised (moths with transected antennae), egg-laying, mated females did not stimulate any significant oviposition response. The significance of these findings in relation to H. armigera host-plant selection are discussed.</t>
  </si>
  <si>
    <t>359-366</t>
  </si>
  <si>
    <t>60010429;;60018945</t>
  </si>
  <si>
    <t>6603672778;7007007027;7003560560</t>
  </si>
  <si>
    <t>Jallow, Mustapha F.A.;Zalucki, Myron P.;Fitt, Gary P.</t>
  </si>
  <si>
    <t>Australia;Japan</t>
  </si>
  <si>
    <t>Canberra;Kumamoto</t>
  </si>
  <si>
    <t>CSIRO Entomology;Kyushu Okinawa Agricultural Research Center, NARO</t>
  </si>
  <si>
    <t>60018945;60010429</t>
  </si>
  <si>
    <t>Jallow M.</t>
  </si>
  <si>
    <t>Role of chemical cues from cotton in mediating host selection and oviposition behaviour in Helicoverpa armigera (H√ºbner) (Lepidoptera: Noctuidae)</t>
  </si>
  <si>
    <t>10.1046/j.1440-6055.1999.00131.x</t>
  </si>
  <si>
    <t>2-s2.0-0001605316</t>
  </si>
  <si>
    <t>['transfer pathway', 'subtraction gives', 'state redistribution', 'state decay', 'spectrum resolved', 'spectral evolution', 'room temperature', 'primarily due', 'previous studies', 'pcc 6803', 'p700a1 ).', 'p700 a0', 'overall excited', 'nondecaying component', 'low potential', 'global analysis', 'electron transfer', 'electrochromic effects', 'earlier acceptor', 'different wavelengths', 'differences may', 'difference spectrum', 'decay curves', 'core particles', 'control experiment', 'conditions stabilize', 'blue region', 'benzyl viologen', 'associated spectra', 'antenna excited', 'also done', 'a0 a0', '[( p700', '590 nm', '380500 nm']</t>
  </si>
  <si>
    <t>Picosecond transient absorption difference spectroscopy in the blue wavelength region (380500 nm) was used to study the early electron acceptors in photosystem I. Samples were photosystem I core particles with about 100 chlorophylls per reaction center isolated from the cyanobacterium Synechocystis sp. PCC 6803. After excitation at 590 nm at room temperature, decay-associated spectra (DAS) were determined from global analysis in the blue region, yielding two transient components and one nondecaying component. A 3 ps decay phase is interpreted as primarily due to antenna excited-state redistribution. A 28 ps decay phase is interpreted as due to overall excited- state decay by electron transfer. The nondecaying component is ascribed to the difference spectrum of P700 and the quinone or A1 electron acceptor (P700+ A1 - P700A1). Decay curves on the millisecond time scale at different wavelengths were measured with an autoxidizable artificial electron acceptor, benzyl viologen, and the (P700+ - P700) difference spectrum was constructed. The (A1 - A1) difference spectrum was obtained by taking the difference between the above two difference spectra. A parallel picosecond experiment under strongly reducing conditions was also done as a control experiment. These conditions stabilize the electron on an earlier acceptor, A0. The nondecaying component of the DAS at low potential was assigned to (P700 A0 - P700 A0) since the electron-transfer pathway from A0 to A1 was blocked. The [(P700+A0 - P700A0) - (P700+ - P700] subtraction gives a spectrum, interpreted as the (A0 A0) difference spectrum of a chlorophyll a molecule, consistent with previous studies. The (A1 - A1) spectrum resolved on the picosecond time scale shows significant differences with similar spectra measured on longer time scales. These differences may be due to electrochromic effects and spectral evolution.</t>
  </si>
  <si>
    <t>15231-15237</t>
  </si>
  <si>
    <t>6701549189;7407162691;57203046340</t>
  </si>
  <si>
    <t>Mi, Dehui;Lin, Su;Blankenship, Robert E.</t>
  </si>
  <si>
    <t>Mi D.</t>
  </si>
  <si>
    <t>Picosecond transient absorption spectroscopy in the blue spectral region of photosystem I</t>
  </si>
  <si>
    <t>10.1021/bi991139t</t>
  </si>
  <si>
    <t>2-s2.0-0033576313</t>
  </si>
  <si>
    <t>['segmented antennae', 'new species', 'first time', 'distinct striation', 'australian region', '1934 ),']</t>
  </si>
  <si>
    <t>Eucharitidae | Hymenoptera | New species | New synonymy | Rhipipalloidea</t>
  </si>
  <si>
    <t>The genus Rhipipalloidea Girault (1934), from the Australian region is revised. Rhipipalloidea gruberi Girault (1940) is synonymised with R. mira Girault 1934. A new species, R. madangensis, is described from Papua New Guinea. This species is separated from R. mira from Australia by the distinct striation on the head, and ramose, 12-segmented antennae of the females. Males and a host for the genus are described for the first time.</t>
  </si>
  <si>
    <t>305-309</t>
  </si>
  <si>
    <t>60025272;60025272;60025272</t>
  </si>
  <si>
    <t>7006700126;7202852486;6602853561</t>
  </si>
  <si>
    <t>Maeyama, Tomohiro;Machida, Mitsuyo;Terayama, Mamoru</t>
  </si>
  <si>
    <t>Maeyama T.</t>
  </si>
  <si>
    <t>The ant-parasitic genus Rhipipalloidea Girault (Hymenoptera: Eucharitidae), with a description of a new species</t>
  </si>
  <si>
    <t>10.1046/j.1440-6055.1999.00130.x</t>
  </si>
  <si>
    <t>2-s2.0-0038936632</t>
  </si>
  <si>
    <t>['superfamily member', 'spatial relationship', 'rst results', 'rst protein', 'rst affects', 'rst ),', 'irregular chiasmc', 'interommatidial spacing', 'function mutations', 'founder cells', 'fcs within', 'fcs ),', 'fc delamination', 'ectodermal cells', 'drosophila antenna', 'disc compared', 'becomes concentrated', 'apical profiles', 'antennal disc', 'antennal development', 'although spacing', 'altered arrangement', 'affect apoptosis']</t>
  </si>
  <si>
    <t>Adhesion molecules | Antennal disc | Immunoglobulin domain superfamily | Irregular chiasm-C-roughest | Olfactory sense organs</t>
  </si>
  <si>
    <t>We describe a role for Irregular chiasmC-roughest (IrreC-rst), an immunoglobulin (Ig) superfamily member, in patterning sense organs on the Drosophila antenna. IrreC-rst protein is initially expressed homogeneously on apical profiles of ectodermal cells in regions of the antennal disc. During specification of founder cells (FCs), the intracellular protein distribution changes and becomes concentrated in regions where specific intercellular contacts presumably occur. Loss of function mutations as well as misexpression of irreC-rst results in an altered arrangement of FCs within the disc compared to wildtype. Sense organ development occurs normally, although spacing is affected. Unlike its role in interommatidial spacing, irreC-rst does not affect apoptosis during antennal development. We propose that IrreC-rst affects the spatial relationship between sensory and ectodermal cells during FC delamination.</t>
  </si>
  <si>
    <t>581-591</t>
  </si>
  <si>
    <t>60031855;60025641;60031855;60025641;60031855</t>
  </si>
  <si>
    <t>57197497276;57196965696;7004021722;7004238918;7101600442</t>
  </si>
  <si>
    <t>Reddy, G. Venugopala;Reiter, Christian;Shanbhag, Shubha;Fischbach, Karl Friedrich;Rodrigues, Veronica</t>
  </si>
  <si>
    <t>India;Germany</t>
  </si>
  <si>
    <t>Mumbai;Freiburg im Breisgau</t>
  </si>
  <si>
    <t>Tata Institute of Fundamental Research, Mumbai;Universit√§t Freiburg im Breisgau</t>
  </si>
  <si>
    <t>60031855;60025641</t>
  </si>
  <si>
    <t>Reddy G.</t>
  </si>
  <si>
    <t>Irregular chiasm-C-roughest, a member of the immunoglobulin superfamily, affects sense organ spacing on the Drosophila antenna by influencing the positioning of founder cells on the disc ectoderm</t>
  </si>
  <si>
    <t>10.1007/s004270050292</t>
  </si>
  <si>
    <t>2-s2.0-0032696842</t>
  </si>
  <si>
    <t>200-203</t>
  </si>
  <si>
    <t>6505936979;36893654800;55670447300</t>
  </si>
  <si>
    <t>Durnan, Gregory J.;Thiel, David V.;O'Keefe, Steven G.</t>
  </si>
  <si>
    <t>Durnan G.</t>
  </si>
  <si>
    <t>Switched parasitic feeds for parabolic antenna angle diversity</t>
  </si>
  <si>
    <t>10.1002/(SICI)1098-2760(19991120)23:4&lt;200::AID-MOP2&gt;3.0.CO;2-5</t>
  </si>
  <si>
    <t>2-s2.0-0033221405</t>
  </si>
  <si>
    <t>['within 0', 'using high', 'transmit mode', 'input signal', 'four feeds', 'forming netw', 'feeds differ', 'element antenna', 'correctly feed', 'array beam', '5 db', '10 ¬∞', '1 bandwidth']</t>
  </si>
  <si>
    <t>Beam-forming network | Wideband array feed</t>
  </si>
  <si>
    <t>In this work, a C-band passive microstrip four-element antenna-array beam-forming netw'ork (BFN) using high-directivity directional couplers is described. In the transmit mode, an input signal is split into four equipliase equiamplitude parts so as to correctly feed the elements of a linear/2-D array. The amplitude difference among the four feeds is within 0.5 dB, and the phases of the signals at the feeds differ by less than 10¬∞ in a 4:1 bandwidth. ¬©1999 John Wiley &amp; Sons, Inc.</t>
  </si>
  <si>
    <t>207-209</t>
  </si>
  <si>
    <t>Uysal, S.</t>
  </si>
  <si>
    <t>Four-element antenna-array beam-forming network</t>
  </si>
  <si>
    <t>10.1002/(SICI)1098-2760(19991120)23:4&lt;207::AID-MOP5&gt;3.0.CO;2-C</t>
  </si>
  <si>
    <t>2-s2.0-0033221471</t>
  </si>
  <si>
    <t>['v design', 'ring slots', 'proposed antenna', 'obtained bandwidth', 'letter presents', 'impedance bandwidth', 'circular patch', 'broadband operation']</t>
  </si>
  <si>
    <t>This letter presents a ne\v design of a probe-fed circular microstrip antenna with m-o open-ring slots for broadband operation. Due to the hvo embedded open-ring slots in the circular patch, two resonant modes of similar radiation characteristics are found to be excited at frequencies in the vicinity of the fundamental resonant frequency (ftl) of a corresponding simple circular niicrostrip antenna without slots. The two closely excited resonant modes can cause the enhancement of the impedance bandwidth of the proposed circular microstrip antenna, and experimental results show that the obtained bandwidth for the proposed antenna can be greater than ftt-o times that of a simple circular microstrip antenna. Tlie proposed antenna design and obtained broadband performance are presented. ¬©1999 John Wiley &amp; Sons, Inc.</t>
  </si>
  <si>
    <t>205-207</t>
  </si>
  <si>
    <t>A broadband circular microstrip antenna with two open-ring slots</t>
  </si>
  <si>
    <t>10.1002/(SICI)1098-2760(19991120)23:4&lt;205::AID-MOP4&gt;3.0.CO;2-L</t>
  </si>
  <si>
    <t>2-s2.0-0033221593</t>
  </si>
  <si>
    <t>['wide range', 'tlte model', 'substrate thickness', 'notch region', 'notch feed', 'input impedance', "inc .'.", 'frequency using', 'embedding technique', 'accurate de']</t>
  </si>
  <si>
    <t>Antenna feed | Coplanar waveguide | Patch antenna</t>
  </si>
  <si>
    <t>A grounded CPW model for the notch region of a patch antenna feed is presented. Tlte model is validated by measuring the input impedance for a wide range of substrate thickness and frequency using an accurate de-embedding technique. Based on these results, new design guidelines for a notch feed that assure impedance matching to a 50 √ú microstrip line are aven. ¬©1999 John Wiley &amp; Sons, Inc.'.</t>
  </si>
  <si>
    <t>236-238</t>
  </si>
  <si>
    <t>60026717;60026717;60026717</t>
  </si>
  <si>
    <t>7006606550;24522606100;7202166511</t>
  </si>
  <si>
    <t>Zaman, Afroz J.;Lee, Richard Q.;Simons, Rain√©e N.</t>
  </si>
  <si>
    <t>NASA Glenn Research Center</t>
  </si>
  <si>
    <t>Zaman A.</t>
  </si>
  <si>
    <t>A new design approach for a patch antenna with a notch feed</t>
  </si>
  <si>
    <t>10.1002/(SICI)1098-2760(19991120)23:4&lt;236::AID-MOP14&gt;3.0.CO;2-5</t>
  </si>
  <si>
    <t>2-s2.0-0033222031</t>
  </si>
  <si>
    <t>['weak field', 'traditionally interpreted', 'statistical distributions', 'statistical b', 'splitting measurements', 'rms velocity', 'results show', 'relation ),', 'power law', 'observed properties', 'numerical experiments', 'n relation', 'molecular emission', 'molecular clouds', 'magnetic field', 'line spectra', 'gas density', 'extinction measurements', 'decaying turbulence', 'dark clouds', 'also cores']</t>
  </si>
  <si>
    <t>ISM: clouds | ISM: kinematics and dynamics | ISM: Magnetic fields | MHD | Shock waves | Turbulence</t>
  </si>
  <si>
    <t>Supersonic random motions are observed in dark clouds and are traditionally interpreted as Alfv√©n waves, but the possibility that these motions are super-Alfv√©nic has not been ruled out. In this work we report the results of numerical experiments in two opposite regimes: MA ‚àº 1 and MA &gt; 1, where MA is the initial Alfv√©nic Mach number - the ratio of the rms velocity to the Alfv√©n speed. Our results show that models with MA &gt; 1 are consistent with the observed properties of molecular clouds that we have tested (statistics of extinction measurements, distribution of integrated antenna temperature, Zeeman-splitting measurements of magnetic field strength, line width versus integrated antenna temperature of molecular emission-line spectra, statistical B-n relation, and scatter in that relation), while models with MA ‚àº 1 have properties that are in conflict with the observations. We find that both the density and the magnetic field in molecular clouds may be very intermittent. The statistical distributions of the magnetic field and gas density are related by a power law, with an index that decreases with time in experiments with decaying turbulence. After about one dynamical time it stabilizes at B ‚àù n0.4. Magnetically dominated cores form early in the evolution, while later on the intermittency in the density field wins out, and also cores with a weak field can be generated by mass accretion along magnetic field lines.</t>
  </si>
  <si>
    <t>279-294</t>
  </si>
  <si>
    <t>60009982;60029044</t>
  </si>
  <si>
    <t>35748678400;7005099620</t>
  </si>
  <si>
    <t>Padoan, Paolo;Nordlund, √Öke</t>
  </si>
  <si>
    <t>Denmark;United States</t>
  </si>
  <si>
    <t>Copenhagen;Cambridge</t>
  </si>
  <si>
    <t>Theoretical Astrophysics Center, Copenhagen;Harvard University</t>
  </si>
  <si>
    <t>60029044;60009982</t>
  </si>
  <si>
    <t>A super-Alfv√©nic model of dark clouds</t>
  </si>
  <si>
    <t>10.1086/307956</t>
  </si>
  <si>
    <t>2-s2.0-0033589586</t>
  </si>
  <si>
    <t>['periodic behavior', 'multiband behavior', 'fractal stmctnres']</t>
  </si>
  <si>
    <t>Fractal antennas | Wideband antennas</t>
  </si>
  <si>
    <t>Experimental results show a multiband behavior for the Sierpinski gasket fractal antenna and the tree-like fractal antenna. Such behavior has been explained by the fractal stmctnres of the antennas. We show that the matched frequencies possess a log-periodic behavior. ¬© 1999 John Wiley &amp; Sons, Inc.</t>
  </si>
  <si>
    <t>242-245</t>
  </si>
  <si>
    <t>7401732478;7004839408</t>
  </si>
  <si>
    <t>Liang, Xu;Van Chia, Michael Wah</t>
  </si>
  <si>
    <t>Liang X.</t>
  </si>
  <si>
    <t>Multiband characteristics of two fractal antennas</t>
  </si>
  <si>
    <t>10.1002/(SICI)1098-2760(19991120)23:4&lt;242::AID-MOP16&gt;3.0.CO;2-0</t>
  </si>
  <si>
    <t>2-s2.0-0342592518</t>
  </si>
  <si>
    <t>['specified sidelobe', 'pattern associated', 'patteni using', 'optimal sidelobe', 'filling topography', 'array factor', 'allows us']</t>
  </si>
  <si>
    <t>Antenna arrays | Array patterns | Array synthesis</t>
  </si>
  <si>
    <t>A numerical pattern synthesis technique for equispaced linear arrays that allows us to obtain shaped patterns with a specified sidelobe and ripple level adhering to a desired array element excitation is described. Tlie method perturbs the roots of the array factor in order to find the optimal sidelobe and null-filling topography of the pattern associated with a desired aperture distribution. Application to a shaped cosec2 B-patteni using a cosine-type amplitude distribution is presented. ¬© 1999 John Wiley &amp; Sons, Inc.</t>
  </si>
  <si>
    <t>224-226</t>
  </si>
  <si>
    <t>7003391894;7006865572;7202825573</t>
  </si>
  <si>
    <t>Rodrfguez, J. A.;Ares, F.;Moreno, E.</t>
  </si>
  <si>
    <t>Rodrfguez J.A.</t>
  </si>
  <si>
    <t>Linear array pattern synthesis optimizing array element excitations using the simulated annealing technique</t>
  </si>
  <si>
    <t>10.1002/(sici)1098-2760(19991120)23:4&lt;224::aid-mop10&gt;3.0.co;2-m</t>
  </si>
  <si>
    <t>2-s2.0-0342592519</t>
  </si>
  <si>
    <t>['xs ).', 'theoretical analysis', 'temperature range', 'surface resistance', 'surface reactance', 'small influence', 'rin ).', 'rights reserved', 'resonant frequency', 'possible influences', 'loss tangent', 'input impedance', 'antenna properties', 'antenna gain', 'also considered', '90 k', '7 ghz']</t>
  </si>
  <si>
    <t>Gain | Resonant frequency | Superconducting antenna | Surface impedance</t>
  </si>
  <si>
    <t>The complex surface impedance (Zs) of a superconductor is comprised of two unequal components, surface resistance (Rs) and surface reactance (Xs). We have investigated the effects of Rs and Xs on the YBa2Cu3O7-x (YBCO) superconducting microstrip antenna properties (resonant frequency, input impedance, and gain) by theoretical analysis and experimentation. The antennas were fabricated from YBCO thin films on (100) MgO single crystal substrate at 11.7 GHz. The investigation of the antenna properties reveals that the Xs of the superconducting thin film mainly influences the antenna resonant frequency (fr) and has small influence on the antenna input impedance (Rin). On the other hand, Rs mainly affects the input impedance of the antenna. The antenna gain, and hence the efficiency, is found to be influenced by the film surface resistance. The antennas were characterized in the temperature range of 10-90 K. Possible influences of the substrate dielectric properties (permittivity, Œµr and loss tangent, tan Œ¥) on the antenna properties were also considered in the investigation. ¬© 1999 Elsevier Science B.V. All rights reserved.</t>
  </si>
  <si>
    <t>143-152</t>
  </si>
  <si>
    <t>60016074;60016074;60016074;60016074</t>
  </si>
  <si>
    <t>7404482546;6603336963;57192927393;7203068282</t>
  </si>
  <si>
    <t>Ali, M. I.;Ehata, K.;Kusunoki, M.;Ohshima, S.</t>
  </si>
  <si>
    <t>Effect of surface impedance on the antenna properties in superconducting microstrip antenna</t>
  </si>
  <si>
    <t>S0921453499004773</t>
  </si>
  <si>
    <t>10.1016/S0921-4534(99)00477-3</t>
  </si>
  <si>
    <t>2-s2.0-0343676841</t>
  </si>
  <si>
    <t>['visual inspection', 'thermal averaging', 'studied using', 'static disorder', 'square deviation', 'single calculation', 'simple model', 'sampled via', 'room temperature', 'photosynthetic bacteria', 'low temperatures', 'linear aggregate', 'intuitive picture', 'harvesting complex', 'electronic excitations', 'dynamic disorder', 'circular arrangement', 'b850 ring', 'average root', 'although static']</t>
  </si>
  <si>
    <t>We employ a simple model for the electronic excitations and the exciton - vibration coupling characterizing the B850 ring of the light-harvesting complex in photosynthetic bacteria to investigate the possibility of coherence in the energy transfer within the system. The structure of the equilibrium density matrix is studied using the path integral formulation of quantum statistical mechanics. The calculated mean coherence length is computed from the average root-mean-square deviation of closed imaginary time paths that are sampled via a Monte Carlo procedure. This procedure allows simultaneous examination of the effects of thermal averaging and dynamic and static disorder in a single calculation. The mean coherence length is found to be about two to three chlorophyll monomers at room temperature. The principal factor responsible for this localization is thermal averaging, although static and dynamic disorder further destabilize extended states. At low temperatures the circular arrangement of the pigments favors coherence with respect to the situation in a linear aggregate. Visual inspection of typical paths offers an intuitive picture of the extent of coherent energy delocalization in biological antenna systems.</t>
  </si>
  <si>
    <t>9417-9422</t>
  </si>
  <si>
    <t>60000745;60000745-60031687</t>
  </si>
  <si>
    <t>7402378902;7004126666</t>
  </si>
  <si>
    <t>Ray, Jonaki;Makri, Nancy</t>
  </si>
  <si>
    <t>Greece;United States</t>
  </si>
  <si>
    <t>Athens;Urbana</t>
  </si>
  <si>
    <t>National Hellenic Research Foundation;University of Illinois Urbana-Champaign</t>
  </si>
  <si>
    <t>60031687;60000745</t>
  </si>
  <si>
    <t>Short-Range Coherence in the Energy Transfer of Photosynthetic Light-Harvesting Systems</t>
  </si>
  <si>
    <t>10.1021/jp9917143</t>
  </si>
  <si>
    <t>2-s2.0-0000243541</t>
  </si>
  <si>
    <t>['static disorder', 'significant differences', 'room temperature', 'rhodospirillum rubrum', 'rhodobacter sphaeroides', 'quantitative fit', 'probe spectra', 'lh2 antenna', 'interaction energy', 'exciton model', 'exciton delocalization', 'disorder value', 'dimeric subunit', 'different degree', 'diagonal disorder', 'coherence length', 'calculations suggest', 'b850 antenna', 'b820 subunit', '600 cm', '450 cm', '400 cm', '300 cm', '1 together']</t>
  </si>
  <si>
    <t>We report the results of relative difference absorption measurements for the LH2 antenna of Rhodobacter sphaeroides and the B820 subunit of Rhodospirillum rubrum at room temperature. It is shown that significant differences between shapes and amplitudes of photoinduced, absorption changes reflect a different degree of exciton delocalization in the intact antenna compared with the dimeric subunit. Using the exciton model in the presence of static disorder, we have obtained a consistent and quantitative fit of the amplitudes and shapes of the pump-probe spectra of the LH2 antenna and the B820 subunit. We estimate that the nearest-neighbors interaction energy in the antenna is about 400 cm-1 and the diagonal disorder is about 450 cm-1. For these values the coherence length (FWHM) of the steady-state exciton wavepacket corresponds to 5 BChl molecules at room temperature. The amplitude of the difference absorption reflects a cooperative behavior within at least 12 BChls of the B850 antenna. The calculations suggest that the dimeric subunit is characterized by a decrease of the interaction energy to 300 cm-1 together with an increase of the disorder value to about 600 cm-1. ¬© 1999 American Chemical Society.</t>
  </si>
  <si>
    <t>10540-10548</t>
  </si>
  <si>
    <t>Exciton (De)localization in the LH2 antenna of Rhodobacter sphaeroides as revealed by relative difference absorption measurements of the LH2 antenna and the B820 subunit</t>
  </si>
  <si>
    <t>10.1021/jp9844415</t>
  </si>
  <si>
    <t>2-s2.0-0001025781</t>
  </si>
  <si>
    <t>['proposed technique', 'prma systems', 'numerical expressions', 'narrowbeam antennas', 'also applied']</t>
  </si>
  <si>
    <t>Numerical expressions to assess the performance of a joint direct sequence code division multiple access/packet reservation multiple access (CDMA/PRMA) protocol are presented. Simulation of CDMA/PRMA systems with narrowbeam antennas is also applied to support the proposed technique.</t>
  </si>
  <si>
    <t>2093-2095</t>
  </si>
  <si>
    <t>56027406300;7005981970</t>
  </si>
  <si>
    <t>Hoefel, R. P.F.;De Almeida, C.</t>
  </si>
  <si>
    <t>Hoefel R.</t>
  </si>
  <si>
    <t>Numerical analysis of joint CDMA/PRMA protocol based on equilibrium point analysis</t>
  </si>
  <si>
    <t>10.1049/el:19991462</t>
  </si>
  <si>
    <t>2-s2.0-0033221740</t>
  </si>
  <si>
    <t>['tm01 mode', 'radiating patch', 'impedance bandwidth', 'ground plane', 'dielectric substrate', 'average gain', 'approximately 0', '5 dbi', '15 œª0']</t>
  </si>
  <si>
    <t>The characteristics of a circular patch microstrip antenna with a top-loaded monopole feed are investigated. Air is used as the dielectric substrate. The distance between the radiating patch and ground plane is approximately 0.15 Œª0. The patch is excited in the TM01 mode. An impedance bandwidth (SWR&lt;2) of 50% and an average gain of 5 dBi are obtained.</t>
  </si>
  <si>
    <t>2070-2071</t>
  </si>
  <si>
    <t>56232792800;7102473419;55510527400</t>
  </si>
  <si>
    <t>Chan, Ka Wai;Tong, Kin Fai;Luk, Kwai Man</t>
  </si>
  <si>
    <t>Chan K.</t>
  </si>
  <si>
    <t>Wideband circular patch antenna operated at TM&lt;inf&gt;01&lt;/inf&gt; mode</t>
  </si>
  <si>
    <t>10.1049/el:19991423</t>
  </si>
  <si>
    <t>2-s2.0-0033221963</t>
  </si>
  <si>
    <t>['supported substrate', 'stable across', 'probe proximity', 'impedance bandwidth', 'foam layer', 'fed short', 'experimental results', 'circuited quarter', '1 œª0', '0 dbi']</t>
  </si>
  <si>
    <t>Experimental results for L-probe proximity-fed short-circuited quarter-wavelength patch antennas are presented. Using a foam layer of thickness approximately 0.1 Œª0 as a supported substrate, an impedance bandwidth of 39% and a gain of &gt;7.0 dBi have been obtained. The far field patterns are stable across the passband.</t>
  </si>
  <si>
    <t>2069-2070</t>
  </si>
  <si>
    <t>60010080-60013983;60013983;60006173</t>
  </si>
  <si>
    <t>Hong Kong;China;United States</t>
  </si>
  <si>
    <t>Kowloon;Nanjing;Columbia</t>
  </si>
  <si>
    <t>City University of Hong Kong;Nanjing University of Science and Technology;University of Missouri</t>
  </si>
  <si>
    <t>60013983;60010080;60006173</t>
  </si>
  <si>
    <t>Guo Y.X.</t>
  </si>
  <si>
    <t>L-probe proximity-fed short-circuited patch antennas</t>
  </si>
  <si>
    <t>10.1049/el:19991446</t>
  </si>
  <si>
    <t>2-s2.0-0033221998</t>
  </si>
  <si>
    <t>['two orders', 'radio detection', 'magnitude greater', 'gallactic noise', 'author believes']</t>
  </si>
  <si>
    <t>The author believes that the method of radio detection of 1022-1023 eV cosmic rays can be revived. The proof will be the detection of electromagnetic pulses produced by the passage of particles with such energy through the surface of the moon. It is shown that the amplitude of the radio signal attesting to this event will be two orders of magnitude greater than the gallactic noise, if the antenna of the UTR-2 decameter radio telescope (Khar'kov) is used for this purpose. ¬© 1999 American Institute of Physics.</t>
  </si>
  <si>
    <t>649-651</t>
  </si>
  <si>
    <t>Filonenko, A. D.</t>
  </si>
  <si>
    <t>Severodonetsk</t>
  </si>
  <si>
    <t>Volodymyr Dahl East Ukrainian National University</t>
  </si>
  <si>
    <t>Filonenko A.</t>
  </si>
  <si>
    <t>Detection of very high energy cosmic rays by the UTR-2 decameter telescope</t>
  </si>
  <si>
    <t>10.1134/1.568240</t>
  </si>
  <si>
    <t>2-s2.0-1542424583</t>
  </si>
  <si>
    <t>['successive layers', 'samples grown', 'magnetoresistance data', 'frequency range', 'frequency dependency', 'cu multilayer', '5 ghz', '100 ).']</t>
  </si>
  <si>
    <t>We report giant magnetoresistance (GMR) in Co/Cu multilayers deposited using high vacuum electron beam evaporation on Si(111) and Si(100). Samples grown on Si(111) show enhanced magnetoresistance and coercivity, which may be attributed to ill-defined interfacial boundaries between successive layers. Previous work exploring the frequency dependency of GMR has been done using microwave techniques to indirectly determine GMR. Our magnetoresistance data was obtained by replacing one side of a square loop antenna with a Co/Cu multilayer and measuring the impedance. No effect on the magnitude of the GMR, due to high frequency test signals, was observed for a frequency range from dc to 5.5 GHz. ¬© 1999 American Institute of Physics.</t>
  </si>
  <si>
    <t>314-318</t>
  </si>
  <si>
    <t>60012468;60012468;60012468</t>
  </si>
  <si>
    <t>8569452300;8569452100;22963859700</t>
  </si>
  <si>
    <t>Rausch, T.;Szczurek, T.;Schlesinger, M.</t>
  </si>
  <si>
    <t>Windsor</t>
  </si>
  <si>
    <t>University of Windsor</t>
  </si>
  <si>
    <t>Rausch T.</t>
  </si>
  <si>
    <t>High frequency giant magnetoresistance in evaporated Co/Cu multilayers deposited on Si(111) and Si(100)</t>
  </si>
  <si>
    <t>S0021897999056017</t>
  </si>
  <si>
    <t>10.1063/1.369448</t>
  </si>
  <si>
    <t>2-s2.0-0000699802</t>
  </si>
  <si>
    <t>['wave suppression', 'wave losses', 'thicker substrate', 'successfully used', 'reduce surface', 'pbg substrate', 'numerically computed', 'frequency range', 'effective surface', 'dielectric constant', 'constant substrate', 'computed results', 'complete stopband', 'broadside direction', 'antenna mounted', 'antenna etched', '8 ghz', '50 mil', '12 ghz']</t>
  </si>
  <si>
    <t>Aperture-coupled patch antenna | Electromagnetic crystals | Finite-difference time domain | Photonic bandgap | Surface waves</t>
  </si>
  <si>
    <t>The recently developed uniplanar compact photonic bandgap (UC-PBG) substrate is successfully used to reduce surface-wave losses for an aperture-coupled fed patch antenna on a thick high dielectric-constant substrate. The surface-wave dispersion diagram of the UC-PBG substrate has been numerically computed for two different substrate thickness (25 and 50 mil) and found to have a complete stopband in the frequency range of 10.9-13.5 and 11.4-12.8 GHz, respectively. The thicker substrate is then used to enhance broadside gain of a patch antenna working in the stopband at 12 GHz. Computed results and measured data show that, due to effective surface-wave suppression, the antenna mounted on the UC-PBG substrate has over 3-dB higher gain in the broadside direction than the same antenna etched on a grounded dielectric slab with same thickness and dielectric constant. Cross-polarization level remains 13 dB down the co-polar component level for both E- and .ff-planes. ¬© 1999 IEEE.</t>
  </si>
  <si>
    <t>2123-2130</t>
  </si>
  <si>
    <t>7004441098;7403449807;7202837310;36041035600</t>
  </si>
  <si>
    <t>Coccioli, Roberto;Yang, Fei Ran;Ma, Kuang Ping;Itoh, Tatsuo</t>
  </si>
  <si>
    <t>Coccioli R.</t>
  </si>
  <si>
    <t>Aperture-coupled patch antenna on uc-pbg substrate</t>
  </si>
  <si>
    <t>S001894809908789X</t>
  </si>
  <si>
    <t>10.1109/22.798008</t>
  </si>
  <si>
    <t>2-s2.0-0000888660</t>
  </si>
  <si>
    <t>['theoretical reflector', 'theoretical analysis', 'pbg material', 'patch antenna', 'metallic plate', 'metallic parabola', 'material applications', 'good agreement', 'frequency gap', 'fdtd computations', 'electromagnetic waves', 'difference time', 'designed using']</t>
  </si>
  <si>
    <t>Antenna | Defect | Directivity | FDTD | Parabolic reflector | Photonic bandgap</t>
  </si>
  <si>
    <t>-This paper introduces two new photonic bandgap (PBG) material applications for antennas, in which a photonic parabolic reflector is studied. It is composed of dielectric parabolic layers associated to obtain a PBG material. The frequency gap is used to reflect and focus the electromagnetic waves. This device has been designed using a finite-difference time-domain (FDTD) code. FDTD computations have provided the theoretical reflector's directivity. These results are in good agreement with measurements, and it appears that the PBG reflector presents the same directivity as a metallic parabola. A second application uses a defect PBG material mode associated with a metallic plate to increase the directivity of a patch antenna. We explain the design of such a device and propose experimental results to validate the theoretical analysis. ¬© 1999 IEEE.</t>
  </si>
  <si>
    <t>2115-2122</t>
  </si>
  <si>
    <t>60027892;60027892;60027892;60027892</t>
  </si>
  <si>
    <t>7004028651;57195445047;7004363654;7006402070</t>
  </si>
  <si>
    <t>Th√®venot, Marc;Cheype, Cyril;Reineix, Alain;Jecko, Bernard</t>
  </si>
  <si>
    <t>XLIM Institut de Recherche</t>
  </si>
  <si>
    <t>Directive photonic-bandgap antennas</t>
  </si>
  <si>
    <t>S0018948099087888</t>
  </si>
  <si>
    <t>10.1109/22.798007</t>
  </si>
  <si>
    <t>2-s2.0-0001049806</t>
  </si>
  <si>
    <t>DAAH04-96-1-0389</t>
  </si>
  <si>
    <t>['yagi antenna', 'wide range', 'waveguide walls', 'waveguide structure', 'tem mode', 'photonic bandgap', 'pbg structure', 'metal pads', 'magnetic surface', 'including quasi', 'different areas', 'difference time', 'cross section', 'cell consisting', '4 ghz']</t>
  </si>
  <si>
    <t>Perfect magnetic conductor | Phase velocity | Photonic bandgap | Quasi-yagi antenna | Tem waveguide</t>
  </si>
  <si>
    <t>A novel waveguide using a photonic bandgap (PBG) structure is presented. The PBG structure is a two-dimensional square lattice with each cell consisting of metal pads and four connecting lines, which are etched on a conductor-backed Duroid substrate. This uniplanar compact PBG structure realizes a magnetic surface in the stopband and is used in the waveguide walls to provide magnetic boundary conditions. A relatively uniform field distribution along the cross section has been measured at frequencies from 9.4 to 10.4 GHz. Phase velocities close to the speed of light have also been observed in the stopband, indicating that TEM mode has been established. A recently developed quasi-Yagi antenna has been employed as a broad-band and efficient waveguide transition. Meanwhile, fullwave simulations using the finite-difference time-domain method provide accurate predictions for the characteristics of both the perfect magnetic conductor impedance surface and the waveguide structure. This novel waveguide structure should find a wide range of applications in different areas, including quasi-optical power combining and the electromagnetic compatibility testing. ¬© 1999 IEEE.</t>
  </si>
  <si>
    <t>2092-2098</t>
  </si>
  <si>
    <t>7403449807;7202837310;7402872518</t>
  </si>
  <si>
    <t>Yang, Fei Ran;Ma, Kuang Ping;Qian, Yongxi</t>
  </si>
  <si>
    <t>A novel tem waveguide using uniplanar compact photonic-bandgap (uc-pbg) structure</t>
  </si>
  <si>
    <t>S0018948099087852</t>
  </si>
  <si>
    <t>10.1109/22.798004</t>
  </si>
  <si>
    <t>2-s2.0-0001696379</t>
  </si>
  <si>
    <t>U.S. Department of Defense</t>
  </si>
  <si>
    <t>DAAH04-96-1-0109</t>
  </si>
  <si>
    <t>DOD</t>
  </si>
  <si>
    <t>['traditional designs', 'simulated data', 'resulting parallel', 'resonant slot', 'reflecting plate', 'radiation pattern', 'plate cavity', 'noticeable enhancements', 'homogeneous substrates', 'finite edges', 'ebg substrates', 'design uses', 'backed slots', 'achieved using']</t>
  </si>
  <si>
    <t>Electromagnetic crystals | Parallel-plate mode reduction | Photonic bandgaps | Slot antennas</t>
  </si>
  <si>
    <t>By fabricating a resonant slot over a reflecting back plate and filling the resulting parallel-plate with an appropriately designed artificial electromagnetic bandgap (EBG) structure, noticeable enhancements in both radiation pattern and bandwidth are achieved using a significantly lower profile than traditional designs. This design uses a two-dimensional artificial EBG substrate in conjunction with a reflecting plate to completely block radiation from the backside of the slot from propagating to the finite edges of the resulting parallel-plate cavity. Measured and simulated data for conductor-backed slots with homogeneous substrates and with EBG substrates are compared. ¬© 1999 IEEE.</t>
  </si>
  <si>
    <t>2099-2104</t>
  </si>
  <si>
    <t>6507719184;7004359541;56246062600</t>
  </si>
  <si>
    <t>Shumpert, John D.;Chappell, William J.;Katehi, Linda P.B.</t>
  </si>
  <si>
    <t>Shumpert J.</t>
  </si>
  <si>
    <t>Parallel-plate mode reduction in conductor-backed slots using electromagnetic bandgap substrates</t>
  </si>
  <si>
    <t>S0018948099087864</t>
  </si>
  <si>
    <t>10.1109/22.798005</t>
  </si>
  <si>
    <t>2-s2.0-0001742994</t>
  </si>
  <si>
    <t>['three components', 'quite harsh', 'operating rooms', 'operating modes', 'measured values', 'measured 1', 'magnetic fields', 'local sources', 'field strengths', 'electrosurgical units', 'electrosurgical unit', 'electromagnetic interference', 'electromagnetic environment', 'distant sources', '76 dbœºa', '153 dbœºv']</t>
  </si>
  <si>
    <t>Antennas | Electric field measurement | Electromagnetic compatibility | Electromagnetic interference | Magnetic field measurement</t>
  </si>
  <si>
    <t>One of the places where it is critical to prevent equipment malfunction due to electromagnetic interference is in the hospital operating room. Unfortunately, the electromagnetic environment in hospital operating rooms can be quite harsh. The electromagnetic fields present in this environment are created by distant sources such as AM and FM broadcast transmitting antennas as well as local sources such as electrosurgical units. In this paper, measured values are reported of electric and magnetic field strengths created by typical electrosurgical units. Measurements were taken in operating rooms at the Department of Veterans Affairs Medical Center in Fargo, ND, and were made for three electrosurgical units (ESU) operating modes. All three components of the electric and magnetic fields were determined as a function of frequency. Field strengths as large as 153 dBŒºV/m and 76 dBŒºA/m were measured 1 m from the electrosurgical unit.</t>
  </si>
  <si>
    <t>55-64</t>
  </si>
  <si>
    <t>60032270;60030003</t>
  </si>
  <si>
    <t>55451980000;54681083600</t>
  </si>
  <si>
    <t>Nelson, Robert Martin;Ji, Howard</t>
  </si>
  <si>
    <t>Fargo;San Jose</t>
  </si>
  <si>
    <t>North Dakota State University;Cisco Systems</t>
  </si>
  <si>
    <t>Nelson R.M.</t>
  </si>
  <si>
    <t>Electric and magnetic fields created by electrosurgical units</t>
  </si>
  <si>
    <t>S0018937599015367</t>
  </si>
  <si>
    <t>10.1109/15.748138</t>
  </si>
  <si>
    <t>2-s2.0-0002383524</t>
  </si>
  <si>
    <t>['variable models', 'user acceptance', 'thus values', 'thermal gradients', 'system performance', 'surface smoothness', 'surface precision', 'subsequently using', 'structures range', 'stowed volume', 'state estimation', 'solar sails', 'slope error', 'reflector profile', 'planar configurations', 'paper addresses', 'often presented', 'often estimated', 'often dependent', 'nonlinear systems', 'membrane surface', 'membrane structures', 'main objective', 'large part', 'inflatable membranes', 'inflatable lenticulars', 'improve performance', 'great potential', 'following issues', 'control strategy', 'brief history', 'boundary perturbations']</t>
  </si>
  <si>
    <t>After a brief history of use in space about two decades ago, a resurgence of interest in membrane structures in space is developing, motivated in large part by a great potential for reduced launch mass and stowed volume. Applications for such structures range from planar configurations in solar sails, concentrators and shields, to inflatable lenticulars for radar, radio and optics. Three key factors are paramount for the success and user acceptance of this technology: deployment, longevity and performance. The performance hinges critically on the precision of the membrane surface. The amount of precision is highly mission dependent and may entail one or more of the following issues: surface smoothness, deviation from desired surface profile and slope error. Surface precision is often estimated to be between 1/50 to 1/20 of the wavelength of interest; thus values on the order of a micron (or less) to a millimeter root mean square (RMS) are often presented. It is unlikely that such surface precision can be achieved through purely passive means. This paper addresses the problem of modeling and controlling a class of nonlinear systems that can be considered as highly compliant structures. We consider specifically planar and inflatable membranes, which are represented by complex nonlinear multi-variable models. Boundary perturbations and thermal gradients are demonstrated to be potential actuation schemes for improving the reflector profile. Nonlinear controllers developed to improve performance are often dependent on state estimation and parameter identification procedures. The existence of these procedures, within the control strategy, increases the size of the algorithms, limiting the system performance in real-time. This research has as a main objective to create an intelligent controller based on feedback error learning, which is capable of extracting performance information from precision large membrane deployables and subsequently using this information to achieve maximum surface precision. ¬© 1999 IOP Publishing Ltd.</t>
  </si>
  <si>
    <t>857-867</t>
  </si>
  <si>
    <t>60018394;60018394;60018394;60018394</t>
  </si>
  <si>
    <t>7201639941;6701866658;57197259772;6603165735</t>
  </si>
  <si>
    <t>Jenkins, C. H.;Kalanovic, V. D.;Padmanabhan, K.;Faisal, S. M.</t>
  </si>
  <si>
    <t>Rapid City</t>
  </si>
  <si>
    <t>South Dakota School of Mines &amp; Technology</t>
  </si>
  <si>
    <t>Jenkins C.</t>
  </si>
  <si>
    <t>Intelligent shape control for precision membrane antennae and reflectors in space</t>
  </si>
  <si>
    <t>S0964172699042159</t>
  </si>
  <si>
    <t>10.1088/0964-1726/8/6/313</t>
  </si>
  <si>
    <t>2-s2.0-0002695607</t>
  </si>
  <si>
    <t>['terminal plane', 'source plane', 'resonator antennas', 'reduced substantially', 'reasonable agreement', 'numerical results', 'mutual coupling', 'microstrip structure', 'highly efficient', 'finitedifference time', 'domain method', 'computational domain', 'analyzed using']</t>
  </si>
  <si>
    <t>Dielectric antennas | Fdtd methods | Mutual coupling</t>
  </si>
  <si>
    <t>The mutual coupling between aperture-coupled cylindrical dielectric-resonator antennas (DRA's) is analyzed using the finitedifference time-domain method. The perfectly matched layer is used as absorbing boundary conditions. The voltage excitation source of microstrip structure is based on the Zhao's model, in which the source plane or the terminal plane can be moved very close to the discontinuity so that the computational domain can be reduced substantially. The numerical results are verified by measurements and reasonable agreement between theory and experiment is obtained. It is shown that this method is highly efficient for the analysis of DRA's. -. ¬© 1999 IEEE.</t>
  </si>
  <si>
    <t>2164-2166</t>
  </si>
  <si>
    <t>Quo, Yong Xin;Luk, Kwai Man;Leung, Kwok Wa</t>
  </si>
  <si>
    <t>Quo Y.</t>
  </si>
  <si>
    <t>Mutual coupling between millimeter-wave dielectric-resonator antennas</t>
  </si>
  <si>
    <t>S0018948099087955</t>
  </si>
  <si>
    <t>10.1109/22.798016</t>
  </si>
  <si>
    <t>2-s2.0-0005038088</t>
  </si>
  <si>
    <t>['wire ifa', 'smaller size', 'ring dr', 'return loss', 'radiation pattern', 'one proposed', 'mobile communication', 'investigated experimentally', 'input impedance', 'index terms', 'dr operates', 'dielectric resonator', 'dielectric coating', 'also serves', '5 band']</t>
  </si>
  <si>
    <t>In this paper, a new antenna combining the use of a ring dielectric resonator (DR) and an inverted F antenna (IFA) is proposed and investigated experimentally. In this application, the DR not only fills the role of a dielectric coating, but also serves the function of a radiator. The measurements on input impedance, return loss, and radiation pattern for both the IFA with the DR (IFA-DR) and the wire IFA (WIFA) are conducted at an 5 band. The measured data demonstrate that the IFA-DR operates in multiple resonance modes unlike a WIFA. Compared with the WIFA, the one proposed here incorporating a ring DR and an IFA is more attractive in having a smaller size and a larger impedance bandwidth. Index Terms-Dielectric resonator, inverted F antenna, mobile communication. ¬© 1999 IEEE.</t>
  </si>
  <si>
    <t>1029-1032</t>
  </si>
  <si>
    <t>60014256-60013983;60014256;60013983;60014256-60013983</t>
  </si>
  <si>
    <t>7409485017;7102376306;56415172000;55510527400</t>
  </si>
  <si>
    <t>Chen, Zhi Ning;Hirasawa, Kazuhiro;Leung, Kwok Wa;Luk, Kwai Man</t>
  </si>
  <si>
    <t>Japan;Hong Kong</t>
  </si>
  <si>
    <t>Tsukuba;Kowloon</t>
  </si>
  <si>
    <t>University of Tsukuba;City University of Hong Kong</t>
  </si>
  <si>
    <t>60014256;60013983</t>
  </si>
  <si>
    <t>Chen Z.</t>
  </si>
  <si>
    <t>A new inverted f antenna with a ring dielectric resonator</t>
  </si>
  <si>
    <t>S0018954599057217</t>
  </si>
  <si>
    <t>10.1109/25.775352</t>
  </si>
  <si>
    <t>2-s2.0-0032593403</t>
  </si>
  <si>
    <t>Samsung Advanced Institute of Technology</t>
  </si>
  <si>
    <t>95-0100-15-01-3</t>
  </si>
  <si>
    <t>SAIT</t>
  </si>
  <si>
    <t>['urban microcell', 'urban fiber', 'traffic capacity', 'shaped cell', 'several microzones', 'safety zone', 'radio resources', 'proposed system', 'optical fibers', 'negligible number', 'intracell handoff', 'intracell call', 'intercell handoffs', 'index terms', 'dropping probability', 'cigarshaped cell', 'central station', 'blocking probability', 'adjacent microzone', '12 erlangs']</t>
  </si>
  <si>
    <t>We consider an urban fiber-optic microcellular system in which a cigar-shaped cell consists of several microzones with their own antenna sites connected to a central station through optical fibers. To increase the efficiency of radio resources and reduce unnecessary handoffs between microzones, we propose a movable safety zone scheme. A safety zone is a virtually guarded area that does not permit cochannel interference. Outside the safety zone, cochannels can be reused. The safety zone can move under the condition that its user does not meet cochannel interference as he moves to an adjacent microzone. Considering user mobility characteristics in the cigarshaped cell, we analyze and evaluate the proposed system in terms of intracell and intercell handoff rates, blocking probability, intracell call-dropping probability, and channel reuse parameter. The proposed system can handle a traffic capacity of about 12 Erlangs for seven traffic channels under a call blocking probability of 1 % and generates a negligible number of intracell handoffs compared with those of intercell handoffs. Index Terms-Cigar-shaped cell, fiber-optic, intracell handoff, microzone, movable safety zone, urban microcell. ¬© 1999 IEEE.</t>
  </si>
  <si>
    <t>1099-1109</t>
  </si>
  <si>
    <t>60032144-60001558;60032144;60001558</t>
  </si>
  <si>
    <t>35316924900;56119842100;7101685092</t>
  </si>
  <si>
    <t>Cho, Ho Shin;Kang, Sang Hyuk;Sung, Dan Keun</t>
  </si>
  <si>
    <t>Daejeon;Daejeon</t>
  </si>
  <si>
    <t>Korea Advanced Institute of Science and Technology;Electronics and Telecommunications Research Institute</t>
  </si>
  <si>
    <t>60032144;60001558</t>
  </si>
  <si>
    <t>Cho H.</t>
  </si>
  <si>
    <t>A movable safety zone scheme in urban fiber-optic microcellular systems</t>
  </si>
  <si>
    <t>S0018954599057862</t>
  </si>
  <si>
    <t>10.1109/25.775359</t>
  </si>
  <si>
    <t>2-s2.0-0032593406</t>
  </si>
  <si>
    <t>['power transfer', 'power available', 'plasma interface', 'moderate changes', 'lower hybrid', 'launched power', 'landau damping', 'imaginary parts', 'fast electrons', 'even cut', 'dielectric tensor', 'antenna reflectivity', 'accelerate electrons', '1 cm']</t>
  </si>
  <si>
    <t>In order to improve our understanding of lower hybrid current drive experiments in high power regimes, where fast electrons (up to few keV) are generated in front of the lower hybrid (LH) grill, an analysis of LH wave coupling and propagation is carried out using a formulation of the dielectric tensor that incorporates the fast electron population (Thot‚â≤5keV). It is found that both the real and imaginary parts of the dielectric tensor are modified for waves with N‚à•‚â≥10, which can interact with the fast electrons through Landau damping. Consequently high N‚à• waves can be absorbed within less than 1 cm, or even cut-off at the grill-plasma interface. Antenna-plasma coupling code results show that the power available to accelerate electrons in front of the grill (launched power with N‚à•&gt;10) decreases in the presence of fast electrons. Also, despite strong modifications of the dielectric tensor, and of the power transfer to high N‚à• waves, the presence of fast electrons (Thot‚â≤5keV) leads to only moderate changes of antenna reflectivity and directivity. ¬© 1999 American Institute of Physics.</t>
  </si>
  <si>
    <t>214-225</t>
  </si>
  <si>
    <t>60032151;60032151;60032151;60032151</t>
  </si>
  <si>
    <t>35271976500;6603773968;7101932270;6506830795</t>
  </si>
  <si>
    <t>Jacquet, P.;Demers, Y.;Fuchs, V.;Glaude, V.</t>
  </si>
  <si>
    <t>Cent Canadien de Fusion Magnetique</t>
  </si>
  <si>
    <t>Jacquet P.</t>
  </si>
  <si>
    <t>Lower hybrid wave coupling and propagation in the presence of nonthermal edge electrons</t>
  </si>
  <si>
    <t>S1070664X99033017</t>
  </si>
  <si>
    <t>10.1063/1.873274</t>
  </si>
  <si>
    <t>2-s2.0-0032606827</t>
  </si>
  <si>
    <t>['vary considerably', 'variations may', 'thermographic measurements', 'ten animals', 'stacked vertically', 'special restrainers', 'similar weights', 'significant dependence', 'range agrees', 'radiating antenna', 'preferentially irradiate', 'long studies', 'large number', 'laboratory animals', 'heads inside', 'four carousels', 'energy absorbed', 'chamberette ."', 'cellular telephones', 'carousel ."', 'brain tissue', 'bioelectromagnetics 20', 'animal weight', '34 w']</t>
  </si>
  <si>
    <t>Biological effects | Cellular telephones | Microwaves | Rat brain tissue | SAR | Wireless communication</t>
  </si>
  <si>
    <t>A four-antenna collinear array in an electromagnetically shielded chamber was designed and constructed to preferentially irradiate the brains of a large number of small mammals using cellular telephony microwave signals. Ten animals in special restrainers were positioned symmetrically around a centrally located antenna. These restrainers are resting on a circular structure made of acrylic plastic called a "carousel." Four carousels are stacked vertically, forming the array, inside a microwave anechoic chamber called a "chamberette." (Details of the design of this irradiator and of a 12-chamberette irradiation facility are given in a previous article.) In this article, the dosimetry on rats is reported. Both thermometric and thermographic measurements were performed. The average specific absorption rate (SAR) in brain tissue measured thermometrically was 0.85 ¬± 0.34 W/kg per watt of net input power into the radiating antenna. This range agrees with the SAR levels reported in the literature for cellular telephones. Thermographic evaluation using splittable phantoms showed that most of the energy absorbed by the rats is concentrated in and around the brain. Moreover, it was found that the SAR in brain tissue can vary considerably for rats of similar weights, depending on position of the rats' heads inside the restrainers, and that there exists a significant dependence of SAR on animal weight. These variations may be of importance in the interpretation of results of life-long studies. The data presented clearly show that the chamberette is, dosimetrically, a suitable irradiation system for electromagnetic bioeffects studies in the cellular communication frequency range, especially when a large number of laboratory animals is required. Bioelectromagnetics 20:81-93, 1999. ¬© 1999 Wiley-Liss, Inc.</t>
  </si>
  <si>
    <t>81-93</t>
  </si>
  <si>
    <t>Bioelectromagnetics</t>
  </si>
  <si>
    <t>60006263-60022756;60006263;60010261</t>
  </si>
  <si>
    <t>35498758600;55630217100;7005888162</t>
  </si>
  <si>
    <t>Moros, Eduardo G.;Straube, William L.;Pickard, William F.</t>
  </si>
  <si>
    <t>St. Louis;St. Louis;St. Louis</t>
  </si>
  <si>
    <t>Washington University School of Medicine in St. Louis;Washington University in St. Louis;Washington University School of Medicine in St. Louis, Mallinckrodt Institute of Radiology</t>
  </si>
  <si>
    <t>60022756;60010261;60006263</t>
  </si>
  <si>
    <t>Moros E.</t>
  </si>
  <si>
    <t>Compact shielded exposure system for the simultaneous long-term UHF irradiation of forty small mammals II. Dosimetry</t>
  </si>
  <si>
    <t>10.1002/(SICI)1521-186X(1999)20:2&lt;81::AID-BEM2&gt;3.0.CO;2-2</t>
  </si>
  <si>
    <t>2-s2.0-0032612173</t>
  </si>
  <si>
    <t>['wide angle', 'tmae ).', 'response time', 'reflected wave', 'reflected signal', 'plasma sheet', 'plasma density', 'plasma conditions', 'longest period', 'laser ionizes', 'langmuir probes', 'highest backscatter', 'gradients relax', 'critical density', 'computer model', 'adjustable thickness', '8 cm', '4 cm', '10 ns', '10 ghz']</t>
  </si>
  <si>
    <t>A pulsed, 193 nm excimer laser is utilized to photoionize the organic gas tetrakis- dimethylamino-ethylene (TMAE). The laser ionizes a plasma sheet with a width of 7.8 cm and an adjustable thickness of 0.7-1.4 cm. The axial scale length of the plasma density is a function of TMAE neutral pressure and is typically 50 cm. X-band (10 GHz) microwaves are incident on the plasma with the electric field polarized parallel to the laser beam axis. The power reflection coefficient and the phase of the reflected signal are studied as a function of time. A monostatic homodyne detection system with a response time of 10 ns is utilized to determine the amplitude and phase of the reflected wave. The peak plasma density is ne‚âà4√ó1013cm-3, sufficiently above the critical density (ncrit=1.2√ó1012cm-3) to produce reflections comparable to a conducting sheet placed in the same position as the plasma. A computer model is developed to interpret and optimize the plasma conditions which provide the highest backscatter and phase-stable reflection coefficient for the longest period of time. The presence of axial density gradients causes the reflected wave to be scattered through a wide angle. As the gradients relax, the backscatter reflection coefficient increases to a value of nearly 100%. The plasma density and two-body recombination coefficient are measured by means of microwave backscatter plasma reflectivity and Langmuir probes. ¬© 1999 American Institute of Physics.</t>
  </si>
  <si>
    <t>63-68</t>
  </si>
  <si>
    <t>7401769541;7005335418;7201791863;6701356958;7401785405</t>
  </si>
  <si>
    <t>Kelly, K. L.;Scharer, J. E.;Ding, G.;Bettenhausen, M.;Kuo, S. P.</t>
  </si>
  <si>
    <t>Kelly K.</t>
  </si>
  <si>
    <t>Microwave reflections from a vacuum ultraviolet laser produced plasma sheet</t>
  </si>
  <si>
    <t>S0021897999085011</t>
  </si>
  <si>
    <t>10.1063/1.369392</t>
  </si>
  <si>
    <t>2-s2.0-0032613956</t>
  </si>
  <si>
    <t>['vivo exposure', 'small animals', 'similar analysis', 'sagittal plane', 'radio use', 'mouse cadavers', 'midhippocampal areas', 'irradiated power', 'iridium exposure', 'frontal cortex', 'carrousel irradiator', 'body surface', 'biological studies', 'average sar', '4 w', '2 w', '1 w', '0 w']</t>
  </si>
  <si>
    <t>Carrousel irradiator | Electromagnetic fields | Exposure system | Mouse | Radiofrequency</t>
  </si>
  <si>
    <t>We have developed a carrousel irradiator for mice which delivers a head-first and near-field radiofrequency exposure that more closely simulates cellular telephone and radio use than conventional whole body exposure systems. Mouse cadavers were placed on the carrousel irradiator and exposed with their noses 5 mm from the feedpoint of a 1.6 GHz antenna. Local measured specific absorption rates (SAR) in brain regions corresponding to the frontal cortex, medial caudate putamen, and midhippocampal areas were 2.9, 2.4, and 2.2 W/kg per watt of irradiated power, respectively. In addition, average SAR was estimated to be 3.4 W/kg per watt along the sagittal plane of the brain, 2.0 W/kg per watt along the sagittal plane of the body, and between 6.8 and 8.1 W/kg per watt at peak locations along the sagittal plane at the body surface. This detailed SAR information in mice is critical to the interpretation of biological studies of IRIDIUM exposure, and similar analysis should be included for all studies of in vivo exposure of small animals to microwaves. ¬© 1999 Wiley-Liss, Inc.</t>
  </si>
  <si>
    <t>42-47</t>
  </si>
  <si>
    <t>60024590;60024590;60024590;60024590;60024590</t>
  </si>
  <si>
    <t>6701513132;7402607697;6507661362;6505840851;7004723242</t>
  </si>
  <si>
    <t>Swicord, Mays;Morrissey, Joseph;Zakharia, Deanna;Ballen, Maurice;Balzano, Quirino</t>
  </si>
  <si>
    <t>Swicord M.</t>
  </si>
  <si>
    <t>Dosimetry in mice exposed to 1.6 GHz microwaves in a carrousel irradiator</t>
  </si>
  <si>
    <t>10.1002/(SICI)1521-186X(1999)20:1&lt;42::AID-BEM6&gt;3.0.CO;2-T</t>
  </si>
  <si>
    <t>2-s2.0-0032614385</t>
  </si>
  <si>
    <t>['teflon rod', 'restrained rats', 'point sars', 'loop antenna', 'initially used', 'impedance matching', 'general agreement', 'estimated 4', 'energy deposition', 'energy coupling', 'different distances', 'difference time', 'ct images', 'average brain', '837 mhz', '8 w', '6 w', '51 w', '40 w', '1957 mhz']</t>
  </si>
  <si>
    <t>Loop antenna | Microwave | RF dosimetry | Specific absorption rate</t>
  </si>
  <si>
    <t>The aim of this project was to develop an animal exposure system for the biological effect studies of radio frequency fields from handheld wireless telephones, with energy deposition in animal brains comparable to those in humans. The finite-difference time-domain (FDTD) method was initially used to compute specific absorption rate (SAR) in an ellipsoidal rat model exposed with various size loop antennas at different distances from the model. A 3 √ó 1 cm rectangular loop produced acceptable SAR patterns. A numerical rat model based on CT images was developed by curve-fitting Hounsfield Units of CT image pixels to tissue dielectric properties and densities. To design a loop for operating at high power levels, energy coupling and impedance matching were optimized using capacitively coupled feed lines embedded in a Teflon rod. Sprague Dawley rats were exposed with the 3 √ó 1 cm loop antennas, tuned to 837 or 1957 MHz for thermographically determined SAR distributions. Point SARs in brains of restrained rats were also determined thermometrically using fiberoptic probes. Calculated and measured SAR patterns and results from the various exposure configurations are in general agreement. The FDTD computed average brain SAR and ratio of head to whole body absorption were 23.8 W/kg/W and 62% at 837 MHz, and 22.6 W/kg/W and 89% at 1957 MHz. The average brain to whole body SAR ratio was 20 to 1 for both frequencies. At 837 MHz, the maximum measured SAR in the restrained rat brains was 51 W/kg/W in the cerebellum and 40 W/kg/W at the top of the cerebrum. An exposure system operating at 837 MHz is ready for in vivo biological effect studies of radio frequency fields from portable cellular telephones. Two-tenths of a watt input power to the loop antenna will produce 10 W/kg maximum SAR, and an estimated 4.8 W/kg average brain SAR in a 300 g medium size rat. ¬© 1999 Wiley-Liss, Inc.</t>
  </si>
  <si>
    <t>75-92</t>
  </si>
  <si>
    <t>SUPPL. 4</t>
  </si>
  <si>
    <t>60007474-60024590;60007474-100425490;60007474;100375660</t>
  </si>
  <si>
    <t>24452192400;55967542900;7102481508;7103362082</t>
  </si>
  <si>
    <t>Chou, C. K.;Chan, K. W.;McDougall, J. A.;Guy, A. W.</t>
  </si>
  <si>
    <t>Schaumburg;Duarte;Columbia;Washington</t>
  </si>
  <si>
    <t>Motorola;City of Hope National Med Center;FCC Laboratory;L.L.C.</t>
  </si>
  <si>
    <t>60024590;60007474;100425490;100375660</t>
  </si>
  <si>
    <t>Chou C.</t>
  </si>
  <si>
    <t>Development of a rat head exposure system for simulating human exposure to RF fields from handheld wireless telephones</t>
  </si>
  <si>
    <t>10.1002/(SICI)1521-186X(1999)20:4+&lt;75::AID-BEM10&gt;3.0.CO;2-F</t>
  </si>
  <si>
    <t>2-s2.0-0032618964</t>
  </si>
  <si>
    <t>96-1-0039</t>
  </si>
  <si>
    <t>['well understood', 'thus introduce', 'stored energy', 'reactive constituents', 'reactive concepts', 'radiation power', 'radiation efficiency', 'pulsed power', 'pulsed antenna', 'pulse fields', 'part sequence', 'numerical example', 'multipole expansion', 'harmonic fields', 'first part', 'energy balance', 'derive expressions']</t>
  </si>
  <si>
    <t>Antenna theory | Near field | Q factor | Short-pulse electromagnetics | Time-domain analysis</t>
  </si>
  <si>
    <t>The time-domain (TD) multipole expansion, developed in the first part of this two-part sequence, is extended here to analyze the power-flow and energy balance in the vicinity of a pulsed antenna. Using the spherical transmission line formulation, we derive expressions for the pulsed power-flow and energy and identify the radiative and the reactive constituents. For time-harmonic fields, the reactive concepts are well understood in terms of the stored energy, but this interpretation is not applicable for short-pulse fields where there is no stored energy. By considering the TD energy balance, we clarify the transition of the near-zone pulsed reactive energy to the radiation power and show that the pulsed reactive energy discharges back to the source once the pulse has been radiated. We thus introduce a TD Q factor that quantifies the radiation efficiency. In particular, we show that super resolution using short-pulse fields involves large TD reactive energies and Q and is, therefore, not feasible. The general TD concepts discussed are demonstrated through a numerical example of radiation from a circular disk carrying a pulsed current distribution. ¬© 1999 IEEE.</t>
  </si>
  <si>
    <t>280-286</t>
  </si>
  <si>
    <t>6602716591;7004468199</t>
  </si>
  <si>
    <t>Shlivinski, Amir;Heyman, E.</t>
  </si>
  <si>
    <t>Shlivinski A.</t>
  </si>
  <si>
    <t>Time-domain near-field analysis of short-pulse antennas-part II: Reactive energy and the antenna Q</t>
  </si>
  <si>
    <t>S0018926X99037357</t>
  </si>
  <si>
    <t>10.1109/8.761067</t>
  </si>
  <si>
    <t>2-s2.0-0032624839</t>
  </si>
  <si>
    <t>['r module', 'patch radiators', 'large range', 'key components', 'ground links', 'discussed including', 'band satellite']</t>
  </si>
  <si>
    <t>Antenna arrays | Phased arrays</t>
  </si>
  <si>
    <t>The design of a novel phase array panel that provides the L-band satellite to ground links for the IRIDIUM global communications system is presented. Key components and aspects of this phase array antenna are discussed including the beamforming architecture radiated intermodulation products the patch radiators and the T/R module. The strategy for minimizing dc power consumption over a large range of multicarrier RF output power is described. Finally test results showing compliant array operation are summarized. ¬©1999 IEEE.</t>
  </si>
  <si>
    <t>416-424</t>
  </si>
  <si>
    <t>60005304;60005304;60024590;60005304;60005304;60024590;60005304;60005304;60024590</t>
  </si>
  <si>
    <t>6701592281;7103221993;7202684448;6507874484;6602787242;6506503279;7101920339;7003752235;57226050924</t>
  </si>
  <si>
    <t>Schuss, J. J.;Upton, J.;Myers, B.;Sikina, T.;Rohwer, A.;Makridakas, P.;Francois, R.;Wardle, L.;Smith, R.</t>
  </si>
  <si>
    <t>Schaumburg;Waltham</t>
  </si>
  <si>
    <t>Motorola;Raytheon</t>
  </si>
  <si>
    <t>60024590;60005304</t>
  </si>
  <si>
    <t>Schuss J.J.</t>
  </si>
  <si>
    <t>The iridium main mission antenna concept</t>
  </si>
  <si>
    <t>S0018926X99054356</t>
  </si>
  <si>
    <t>10.1109/8.768775</t>
  </si>
  <si>
    <t>2-s2.0-0032627813</t>
  </si>
  <si>
    <t>['toeplitz matrix', 'toeplitz matrices', 'sources exceeds', 'rao bound', 'partially augmentable', 'paper considers', 'mecompleted matrix', 'linear arrays', 'interelement spacings', 'index terms', 'given set', 'extension problem', 'covariance lags', 'closest approximation', 'classical burg', 'arrival estimation', 'antenna arrays']</t>
  </si>
  <si>
    <t>This paper considers the problem of direction-ofarrival (DOA) estimation for multiple uncorrelated plane waves incident on "partially augmentable" antenna arrays, whose difference set of interelement spacings is not complete. The DOA estimation problem for the case when the number of sources exceeds the number of contiguous covariance lags gives rise to the covariance matrix completion problem. Maximum-entropy (ME) positive-definite (p.d.) completion for partially specified Toeplitz covariance matrices is developed using convex programming techniques. By this approach, the classical Burg ME extension problem for the given set of covariance lags is generalized for the situation when some lags are missing. For DOA estimation purposes, we find the p.d. Toeplitz matrix with fixed eigensubspace dimension that is the closest approximation of the MEcompleted matrix. Computer simulation results are presented to demonstrate the high DOA estimation accuracy of the proposed technique compared with the corresponding Cram√©r-Rao bound. Index Terms- Direction-of-arrival estimation, linear arrays, nonuniformly spaced arrays, Toeplitz matrices. ¬© 1999 IEEE.</t>
  </si>
  <si>
    <t>1502-1521</t>
  </si>
  <si>
    <t>60103581;60103581;60103581</t>
  </si>
  <si>
    <t>7006472158;24465889900;55950880800</t>
  </si>
  <si>
    <t>Abramovich, Yuri I.;Spencer, Nicholas K.;Gorokhov, Alexei Y.</t>
  </si>
  <si>
    <t>Cooperative Research Centre for Sensor Signal and Information Processing</t>
  </si>
  <si>
    <t>Abramovich Y.I.</t>
  </si>
  <si>
    <t>Positive-Definite Toeplitz Completion in DOA Estimation for Nonuniform Linear Antenna Arrays-Part II: Partially Augmentable Arrays</t>
  </si>
  <si>
    <t>S1053587X99036569</t>
  </si>
  <si>
    <t>10.1109/78.765119</t>
  </si>
  <si>
    <t>2-s2.0-0032628373</t>
  </si>
  <si>
    <t>['tactical execution', 'submarine force', 'naval operations', 'mission planning', 'important attributes', 'future military', 'force coordination', 'darpa approach', 'article describes']</t>
  </si>
  <si>
    <t>Antenna | Communications | Submarine</t>
  </si>
  <si>
    <t>Future military and naval operations will require substantially increased connectivity and communications for force coordination, mission planning, and tactical execution. The submarine force is seeking to achieve these goals while preserving its important attributes of stealth and survivability. The Defense Advanced Research Projects Agency (DARPA) has initiated a program in conjunction with the Navy to examine advanced antenna array technologies to address these needs. This article describes the DARPA approach and APL's role in the program.</t>
  </si>
  <si>
    <t>285-295</t>
  </si>
  <si>
    <t>;101772244;;;</t>
  </si>
  <si>
    <t>13406793400;13406265500;7201911598;35498681500;7201426109</t>
  </si>
  <si>
    <t>Thompson, G. Richard;Widmer, Hans P.;Rice, Kurt A.;Ball, Robert E.;Sweeney, John H.</t>
  </si>
  <si>
    <t>Submarine Technology Department (STD</t>
  </si>
  <si>
    <t>Thompson G.</t>
  </si>
  <si>
    <t>Buoyant cable antenna technology for enhancing submarine communications at speed and depth</t>
  </si>
  <si>
    <t>2-s2.0-0032630043</t>
  </si>
  <si>
    <t>Israel Academy of Sciences and Humanities</t>
  </si>
  <si>
    <t>724/94</t>
  </si>
  <si>
    <t>['singlebeam gyro', 'related theoretical', 'radiation source', 'multimode analysis', 'low voltages', 'index terms', 'five carbon', 'first operation', 'fiber cathodes', 'experimental studies', 'entire array', 'energy electron', 'element employs', 'cyclotron interaction', 'compact high', 'coherently synchronized']</t>
  </si>
  <si>
    <t>The cyclotron-resonance-maser (CRM) array is a radiation source which consists of CRM elements coupled together under a common magnetic field. Each CRM-element employs a low-energy electron-beam which performs a cyclotron interaction with the local electromagnetic wave. These waves can be coupled together among the CRM elements hence the interaction is coherently synchronized in the entire array. The implementation of the CRM-array approach may alleviate several technological difficulties which impede the development of singlebeam gyro-devices. Furthermore it proposes new features such as the phased-array antenna incorporated in the CRM-array itself. The CRM-array studies may lead to the development of compact high-power radiation sources operating at low voltages. This paper introduces new conceptual schemes of CRM-arrays and presents the progress in related theoretical and experimental studies in our laboratory. These include a multimode analysis of a CRM-array and a first operation of this device with five carbon-fiber cathodes. Index Terms-Active antennas active arrays cyclotron radiation cyclotron resonance masers microwave generation. ¬© 1999 IEEE Publisher Item Identifier S 0093-3813(99)03375-5.</t>
  </si>
  <si>
    <t>445-455</t>
  </si>
  <si>
    <t>Jerby, Eli</t>
  </si>
  <si>
    <t>Jerby E.</t>
  </si>
  <si>
    <t>Cyclotron-resonance-maser arrays</t>
  </si>
  <si>
    <t>10.1109/27.772272</t>
  </si>
  <si>
    <t>2-s2.0-0032630332</t>
  </si>
  <si>
    <t>['two antennas', 'transmission coefficient', 'situ measurement', 'probe obtained', 'numerical model', 'new probe', 'measurement setup', 'difference time', 'dielectric constant', 'artificial media']</t>
  </si>
  <si>
    <t>Dielectric measurements | Probe antennas</t>
  </si>
  <si>
    <t>A new probe for the in situ measurement of the complex dielectric constant of materials in the microwave frequency region is described. The probe uses two stub antennas mounted on a cylinder. The cylinder is inserted in the material and the transmission coefficient between the two antennas is measured. By comparing this signal with that predicted from a numerical model of the probe obtained by the finite-difference time-domain (FDTD) method we can determine the dielectric constant of the material. The measurement setup and numerical model of the probe are described and several measurement examples in natural and artificial media are presented. ¬© 1999 IEEE.</t>
  </si>
  <si>
    <t>1085-1093</t>
  </si>
  <si>
    <t>Nassar, Elias M.</t>
  </si>
  <si>
    <t>Nassar E.M.</t>
  </si>
  <si>
    <t>A probe antenna for in situ measurement of the complex dielectric constant of materials</t>
  </si>
  <si>
    <t>S0018926X99058226</t>
  </si>
  <si>
    <t>10.1109/8.777136</t>
  </si>
  <si>
    <t>2-s2.0-0032630704</t>
  </si>
  <si>
    <t>TIC96-0611</t>
  </si>
  <si>
    <t>['promising performance', 'new concept', 'measurements show', 'ghz bandwidth', 'detected signal', 'delay performance', 'delay lines', 'conversion process', 'clearly improved', 'cfg dispersion', 'bandwidth limitation', '25 ghz']</t>
  </si>
  <si>
    <t>Chirped fiber grating | Millimeter-wave photonics | Optical beamforming | Phased-array antennas | Photonic delay lines</t>
  </si>
  <si>
    <t>An electrooptical up-converting modulation scheme has been considered on chirped-fiber-grating-based (CFG) truetime-delay lines for optical beamforming networks. A rigorous analytical study about the effect of both up-conversion process and CFG dispersion on the amplitude and delay of detected signal is presented. Simulations and measurements show that the bandwidth limitation of the delay line due to the fiber grating dispersion is clearly improved if compared to conventional intensity modulation scheme, while the time-delay performance on a 2-30-GHz bandwidth is maintained (o-max = ¬±1 ps). This new concept is used on an optical beamforming network architecture for a millimeter-wave (15-25 GHz) phased array antenna showing a promising performance. ¬©1999 IEEE.</t>
  </si>
  <si>
    <t>1315-1320</t>
  </si>
  <si>
    <t>7 PART 2</t>
  </si>
  <si>
    <t>60011476;60011476;60011476</t>
  </si>
  <si>
    <t>7102958075;55948266500;57205120343</t>
  </si>
  <si>
    <t>Corral, Juan L.;Marti, Javier;Fuster, Jose M.</t>
  </si>
  <si>
    <t>Optical up-conversion on continuously variable true-time-delay lines based on chirped fiber gratings for millimeter-wave optical beamforming networks</t>
  </si>
  <si>
    <t>S0018948099052011</t>
  </si>
  <si>
    <t>10.1109/22.775472</t>
  </si>
  <si>
    <t>2-s2.0-0032631341</t>
  </si>
  <si>
    <t>['unknown directionof', 'steered toward', 'signal levels', 'scheme uses', 'ratio combining', 'precise acquisition', 'phasing processor', 'paper proposes', 'paper discusses', 'multibeam outputs', 'multibeam former', 'modulated signal', 'experiments conducted', 'digital beaniforrning', 'correlated signals', 'computational simulation', 'complex baseband', 'coarsely acquire', 'attenuated signal', 'also uses']</t>
  </si>
  <si>
    <t>Digital beamforming, field-programmable gate array, maximal ratio combining, mobile satellite communication</t>
  </si>
  <si>
    <t>This paper proposes a diversity-receiving array antenna scheme achieved by digital beaniforrning (DBF) for the purpose of self-beam steering toward the unknown directionof-arrival (DOA) of a modulated signal in a mobile satellite communications environment. This scheme uses a multibeam former with a spatial fast Fourier transform (FFT) for the received baseband signals to coarsely acquire the attenuated signal. It also uses a self-phasing processor (SPP) applied to the multibeam outputs for precise acquisition and tracking. In the SPP, maximal-ratio combining is achieved with simple digital numerical operations in the complex baseband, allowing for rapidity and stability in beamforming. As a result, the array antenna steers its receiving beam toward the DOA automatically without the need for nonlinear optimization methods. Moreover, the beam is steered toward the DOA of multipath signals according to their signal levels, leading to the optimal cophase recombination of all correlated signals, which improves the quality of the total receiving signal. This paper discusses the scheme, and its performance is evaluated by computational simulation and experiments conducted in a radio anechoic chamber. ¬©1999 IEEE.</t>
  </si>
  <si>
    <t>665-675</t>
  </si>
  <si>
    <t>60032325;60032325;60032325;60032325;60032325;60032325;60032325;60032325;60032325;60032325;60032325</t>
  </si>
  <si>
    <t>7103322075;7406725075;36861148300;7102618328;7202573242;57199288402;6701419948;57214482072;57197344043;6603234921;7004510677</t>
  </si>
  <si>
    <t>Miura, Ryu;Tanaka, Toyohisa;Horie, Akio;Karasawa, Yoshio;Woo, K.;Huang, J.;Jamnejad, V.;Bell, D.;Berner, J.;Estabrook, P.;Densmore, A.</t>
  </si>
  <si>
    <t>Miura R.</t>
  </si>
  <si>
    <t>A DBF self-beam steering array antenna for mobile satellite applications using beam-space maximal-ratio combination</t>
  </si>
  <si>
    <t>S0018954599010415</t>
  </si>
  <si>
    <t>10.1109/25.764956</t>
  </si>
  <si>
    <t>2-s2.0-0032633582</t>
  </si>
  <si>
    <t>MIP-9703730</t>
  </si>
  <si>
    <t>['used instead', 'two cases', 'two antennas', 'shift keying', 'second case', 'results indicate', 'quantized observations', 'performance may', 'noise ratio', 'immediately quantized', 'fusion center', 'first case', 'final decision', 'digital communications', 'binary decisions', 'antenna observations', 'accurate estimate']</t>
  </si>
  <si>
    <t>Decentralized detection | Distributed detection | Noncoherent BFSK | Quantized diversity reception</t>
  </si>
  <si>
    <t>A multiple-antenna diversity scheme is investigated for digital communications. Antenna observations are immediately quantized and sent to a fusion center. At the fusion center, the quantized observations are combined to form a final decision on which symbol was transmitted. The optimum reception scheme is described for the case where frequency-shift keying is employed and where slow Rayleigh fading and Gaussian additive noise are present. Two cases are studied. In the first case, an accurate estimate of the signal-to-noise ratio is available at each receiver. In the second case, estimates are not available. Results indicate that two- or three-bit quantizations may be most appropriate. Further, if binary decisions are made at each antenna, performance may not improve if an estimate of the signal-to-noise ratio is available at each antenna or if two antennas are used instead of one. ¬© 1999 IEEE.</t>
  </si>
  <si>
    <t>158-164</t>
  </si>
  <si>
    <t>Blum, Rick S.</t>
  </si>
  <si>
    <t>Bethlehem</t>
  </si>
  <si>
    <t>Lehigh University</t>
  </si>
  <si>
    <t>Blum R.</t>
  </si>
  <si>
    <t>Distributed detection for diversity reception of fading signals in noise</t>
  </si>
  <si>
    <t>S0018944899000590</t>
  </si>
  <si>
    <t>10.1109/18.746782</t>
  </si>
  <si>
    <t>2-s2.0-0032634684</t>
  </si>
  <si>
    <t>['phase shift', 'flux trains']</t>
  </si>
  <si>
    <t>We propose a design for an active antenna array employing 2D triangular Josephson junction (JJ) arrays as oscillators. The oscillators are kept in sync by coupling their flux trains to that of a serpentine discrete JJ transmission line. Adding external magnetic flux to the line between adjacent oscillators induces a phase shift in their rf voltages enabling beam steering. ¬© 1999 IEEE.</t>
  </si>
  <si>
    <t>4533-4537</t>
  </si>
  <si>
    <t>2 PART 3</t>
  </si>
  <si>
    <t>Yukon, Stanford P.</t>
  </si>
  <si>
    <t>Yukon S.</t>
  </si>
  <si>
    <t>Josephson junction phased arrays</t>
  </si>
  <si>
    <t>10.1109/77.784034</t>
  </si>
  <si>
    <t>2-s2.0-0032637315</t>
  </si>
  <si>
    <t>['wave propagation', 'systems approach', 'primary functionality', 'mechanical aspects', 'existing solutions', 'comprehensive study']</t>
  </si>
  <si>
    <t>The performance of mobile military communications could be improved if the next generation equipment would be designed from the systems approach, not limited to any existing solutions. The capabilities of software and microprocessors should be utilized to enhance the primary functionality of the devices and a comprehensive study of antennas, wave propagation and mechanical aspects should be included.</t>
  </si>
  <si>
    <t>Eskelinen, Pekka</t>
  </si>
  <si>
    <t>Eskelinen P.</t>
  </si>
  <si>
    <t>Mobile military communications beyond 2000 - Systems engineering needed -</t>
  </si>
  <si>
    <t>10.1109/62.769623</t>
  </si>
  <si>
    <t>2-s2.0-0032637669</t>
  </si>
  <si>
    <t>DAAG55-98-1-0227</t>
  </si>
  <si>
    <t>['waveguide ports', 'two channels', 'relative bandwidth', 'power amplifiers', 'planar antennas', 'paper describes', 'packaging effects', 'noise amplifier', 'mm thick', 'ghz band', 'diplexer channels', 'db isolation', '9 db', '6 cm', '5 %)', '4 db', '31 ghz']</t>
  </si>
  <si>
    <t>Diplexers | Filters | LMDS | Micromachining | Packaging</t>
  </si>
  <si>
    <t>This paper describes the design and measurement of a planar diplexer integrated on a single silicon substrate. The diplexer channels are 5% and 6.5% relative bandwidth at 28 and 31 GHz, respectively. The diplexer is based on a micropackaged membrane supported capacitively coupled microstrip structure and is 1.5 cm x 1.6 cm and only 1.4-mm thick. The measured insertion loss is 1.4 dB (5%) and 0.9 dB (6.5%) for the two channels with better than 35-dB isolation in the 28-GHz band and better than 50-dB isolation in the 31-GHz band. The measured results include all transition and packaging effects. The diplexer has coplanar-waveguide ports and can easily be integrated with other elements such as planar antennas, low-noise amplifier, and power amplifiers. ¬© 1999 IEEE.</t>
  </si>
  <si>
    <t>1477-1481</t>
  </si>
  <si>
    <t>56994066400;7006384021</t>
  </si>
  <si>
    <t>Brown, Andrew R.;Rebeiz, Gabriel M.</t>
  </si>
  <si>
    <t>Brown A.R.</t>
  </si>
  <si>
    <t>A high-performance integrated k-band diplexer</t>
  </si>
  <si>
    <t>S0018948099060743</t>
  </si>
  <si>
    <t>10.1109/22.780398</t>
  </si>
  <si>
    <t>2-s2.0-0032638173</t>
  </si>
  <si>
    <t>Schweizerischer Nationalfonds zur F√∂rderung der Wissenschaftlichen Forschung</t>
  </si>
  <si>
    <t>COST 259</t>
  </si>
  <si>
    <t>SNF</t>
  </si>
  <si>
    <t>['transmission based', 'standard single', 'standard lithium', 'shift keying', 'optical millimeter', 'novel approach', 'niobate mach', 'mode fiber', 'laser heterodyne', 'free transmission', 'binary phase', '25 km']</t>
  </si>
  <si>
    <t>Millimeter-wave antennas | Millimeter-wave communication | Millimeter-wave transmitter | Semiconductor lasers</t>
  </si>
  <si>
    <t>A novel approach to optical millimeter-wave (mmwave) transmission based on laser heterodyne is presented. The use of a dual-polarization emitting external-cavity diode laser (DP-ECDL) combined with the intrinsic polarization sensitivity of standard lithium-niobate Mach-Zehnder interferometer modulator offers a simple and flexible transmitter configuration. The mm-wave signal generated by photomixing of the two wavelengthtunable laser modes of the DP-ECDL has been stabilized by employing a servo loop scheme and sideband injection locking. Penalty-free transmission of 200-Mb/s binary-amplitude shift keying and 50-Mb/s binary phase-shift keying over 25 km of standard single-mode fiber at mm-wave carrier frequency is demonstrated. ¬© 1999 IEEE.</t>
  </si>
  <si>
    <t>1234-1240</t>
  </si>
  <si>
    <t>60000251;60025858;60016074;60000251</t>
  </si>
  <si>
    <t>6601973778;7005452544;6504632544;24169095600</t>
  </si>
  <si>
    <t>Pajarola, S.;Guekos, G.;Nizzola, P.;Kawaguchi, H.</t>
  </si>
  <si>
    <t>Switzerland;Japan;United States</t>
  </si>
  <si>
    <t>Zurich ZH,;Yamagata;New York</t>
  </si>
  <si>
    <t>ETH Zurich;Yamagata University;IEEE</t>
  </si>
  <si>
    <t>60025858;60016074;60000251</t>
  </si>
  <si>
    <t>Pajarola S.</t>
  </si>
  <si>
    <t>Dual-polarization external-cavity diode laser transmitter for fiber-optic antenna remote feeding</t>
  </si>
  <si>
    <t>S0018948099052151</t>
  </si>
  <si>
    <t>10.1109/22.775462</t>
  </si>
  <si>
    <t>2-s2.0-0032638910</t>
  </si>
  <si>
    <t>['urban condition', 'urban areas', 'simultaneous reduction', 'rural areas', 'results show', 'planning tool', 'new sub', 'network operators', 'network operator', 'network infrastructures', 'increased capacity', 'hts subsystem', 'conventional system', 'antenna mast', '30 %.', '24 %,', '1800 basestations']</t>
  </si>
  <si>
    <t>The application of High Temperature Superconductors (HTS) has led to the development of new sub-systems for cellular basestations used in network infrastructures. They offer performance advantages in terms of sensitivity and selectivity as well as a reduction in size, which allows them to be installed on top of the antenna mast. Results are presented for an HTSsystem, which was designed to interface to GSM-1800 basestations. The measured performance parameters of an HTS subsystem and a conventional system have been implemented into a network-planning tool to assess the advantages in the improved system performance for network operators. Both macro cellular environments, deployed to serve rural areas with a low user density and an urban condition, with macro plus microcellular environment with a high subscriber density have been evaluated. The results show, that the network operator can choose to employ different advantages, for example a reduction in the number of basestations in rural areas by 24%, or an increased capacity in urban areas with a simultaneous reduction of carriers by 30%. ¬© 1999 IEEE.</t>
  </si>
  <si>
    <t>4022-4025</t>
  </si>
  <si>
    <t>60018829-60010156;60018829-60009628;60018829-60009628;60018829-60009628</t>
  </si>
  <si>
    <t>6603661527;6602568618;57220262220;6602576019</t>
  </si>
  <si>
    <t>Jedamzik, D.;Menolascino, R.;Pizarroso, M.;Salas, B.</t>
  </si>
  <si>
    <t>United Kingdom;Spain;Italy</t>
  </si>
  <si>
    <t>Farnborough;Madrid;Turin</t>
  </si>
  <si>
    <t>BAE Systems plc;Telefonica;Centro Studi e Laboratori Telecomunicazioni, Turin</t>
  </si>
  <si>
    <t>60018829;60010156;60009628</t>
  </si>
  <si>
    <t>Jedamzik D.</t>
  </si>
  <si>
    <t>Evaluation of HTS sub-systems for cellular basestations</t>
  </si>
  <si>
    <t>10.1109/77.783910</t>
  </si>
  <si>
    <t>2-s2.0-0032641261</t>
  </si>
  <si>
    <t>['two shunted', 'synchronous switching', 'ring oscillator', 'numerical simulations', 'nodal junctions', 'mfq state', 'finline antenna', 'detector junction', 'detailed explanation', 'coupling circuitry', 'broadband rf']</t>
  </si>
  <si>
    <t>We present the design of a doub 1 e junction ring oscillator, along with initial rf measurements. The ring oscillator design includes the usage of two shunted, stacked junction devices ("Stacktrons") as active switching nodes in the ring. The rf detection circuitry was designed to accommodate both a detector junction for measuring Shapiro steps and a finline antenna for broadband rf. As a motivation for our study, the double junction ring oscillator allows the probe of the multiple flux quantum (MFQ) state, which is a distinct, transient dynamical state resulting from the synchronous switching of nodal junctions in the circuit. Such a state has several possible applications. We quantify the existence of the MFQ state in the ring circuit configuration with numerical simulations, including circuit margins and yield. Finally, we provide a detailed explanation of the coupling circuitry between the ring oscillator and rf detection circuitry. ¬© 1999 IEEE.</t>
  </si>
  <si>
    <t>4542-4545</t>
  </si>
  <si>
    <t>Lomatch, S.</t>
  </si>
  <si>
    <t>Evanston</t>
  </si>
  <si>
    <t>Northwestern University</t>
  </si>
  <si>
    <t>Lomatch S.</t>
  </si>
  <si>
    <t>A double junction ring oscillator based on shunted, stacked junctions</t>
  </si>
  <si>
    <t>10.1109/77.784036</t>
  </si>
  <si>
    <t>2-s2.0-0032641268</t>
  </si>
  <si>
    <t>['waveguide p', 'wave wireless', 'wave transmission', 'topics described', 'possible applications', 'pd techniques', 'pd performance', 'optoelectronic mm', 'optoelectronic millimeter', 'optic mm', 'operation principle', 'nonlinear photodetection', 'n photodiode', 'mode fiber', 'hybrid fiber', 'experimental demonstration', 'digital fiber', 'detailed characterization', '30km single']</t>
  </si>
  <si>
    <t>Millimeter-wave communication | Millimeterwave mixers | Nonlinear detection | Optical fiber communications | P-i-n photodiodes</t>
  </si>
  <si>
    <t>We report on our study on the nonlinear photodetection (NL-PD) scheme, which we have proposed and demonstrated as an extremely simple configuration for the optoelectronic millimeter-wave (mm-wave) mixing. The topics described in this paper are as follows: 1) advantageous optical mm-wave link architectures employing the NL-PD techniques; 2) operation principle of NL-PD; 3) detailed characterization of optoelectronic mm-wave mixer properties of a waveguide p-i-n photodiode; 4) experimental demonstration of NL-PD performance in the analog and digital fiber-optic mm-wave transmission over a 30km single-mode fiber; and 5) proposal of its possible applications to fiber-optic mm-wave wireless down-links, such as passive antenna base stations and coax-wireless-hybrid fiber-optic CATV systems. ¬© 1999 IEEE.</t>
  </si>
  <si>
    <t>1342-1350</t>
  </si>
  <si>
    <t>7402492263;7005227258</t>
  </si>
  <si>
    <t>Tsuchiya, Masahiro;Hoshida, Takeshi</t>
  </si>
  <si>
    <t>Tsuchiya M.</t>
  </si>
  <si>
    <t>Nonlinear photodetection scheme and its system applications to fiber-optic millimeter-wave wireless down-links</t>
  </si>
  <si>
    <t>S0018948099052072</t>
  </si>
  <si>
    <t>10.1109/22.775477</t>
  </si>
  <si>
    <t>2-s2.0-0032641433</t>
  </si>
  <si>
    <t>['teflon window', 'spiral antenna', 'sis mixer', 'silicon wafer', 'silicon lens', 'second dewar', 'reflection coating', 'power data', 'phaselocking behavior', 'measured linewidth', 'josephson mixing', 'free space', 'determined using', 'design frequency', 'array oscillator', '6 junctions', '400 ghz', '194 ghz', '158 ghz']</t>
  </si>
  <si>
    <t>Radiation from a linear array oscillator with a spiral antenna has been coupled out of the dewar through a Teflon window. Both its linewidth and its power have been measured after coupling the radiation through free space into a second dewar. The linewidth has been determined using a SIS mixer with a spiral antenna which was pumped with an 88 GHz phase-locked Gunn oscillator, and also by Josephson mixing of the array itself. The array oscillator has a distributed array structure of 300 resistively shunted junctions which are placed in groups of 6 junctions. It was fabricated on a silicon wafer and has a two-arm spiral antenna. The chip was attached to a silicon lens with an anti-reflection coating. The linewidth of the array oscillator was determined between 158 GHz and 194 GHz, far below its design frequency of 400 GHz. The measured linewidth and power data of the oscillator reveal interesting information about its phaselocking behavior in the operating range far below its design frequency. ¬© 1999 IEEE.</t>
  </si>
  <si>
    <t>4325-4328</t>
  </si>
  <si>
    <t>Kiryu, Shogo</t>
  </si>
  <si>
    <t>Kiryu S.</t>
  </si>
  <si>
    <t>Linewidth measurement of millimeter wave radiation from a josephson array source coupled to free space</t>
  </si>
  <si>
    <t>10.1109/77.783982</t>
  </si>
  <si>
    <t>2-s2.0-0032644843</t>
  </si>
  <si>
    <t>New Energy and Industrial Technology Development Organization</t>
  </si>
  <si>
    <t>NEDO</t>
  </si>
  <si>
    <t>['teflon lens', 'periodic antenna', 'peaks depending', 'oxide superconductor', 'millimeter wave', 'josephson current', 'improve coupling', 'first time', 'bkbo junction']</t>
  </si>
  <si>
    <t>A Ba1-xKxBiO3 (BKBO) grain boundary junction formed on a MgO bicrystal substrate showed a superconductorinsulator-superconductor (SIS) behavior with a sharp gap structure and a Josephson current. A 270 GHz millimeter wave mixing in a BKBO junction was performed by using the quasi optical technique. A log-periodic antenna, a hyperhemispherical MgO lens and a Teflon lens were used in order to improve coupling for millimeter wave. The IF outputs have some peaks depending on the photon assisted tunneling steps. This is the first time that quasiparticle mixing could be done in an oxide superconductor. ¬© 1999 IEEE.</t>
  </si>
  <si>
    <t>4440-4443</t>
  </si>
  <si>
    <t>60101699;60101699;60101699;60101699;60101699</t>
  </si>
  <si>
    <t>56251056000;7403331794;57211795706;7102928352;7004554581</t>
  </si>
  <si>
    <t>Takami, T.;Wada, Y.;Kuroda, K.;Ozeki, T.;Hamanaka, K.</t>
  </si>
  <si>
    <t>Takami T.</t>
  </si>
  <si>
    <t>Quasiparticle mixing in Ba-K-Bi-O grain boundary junctions</t>
  </si>
  <si>
    <t>10.1109/77.784010</t>
  </si>
  <si>
    <t>2-s2.0-0032645426</t>
  </si>
  <si>
    <t>['squids tested', 'sputtering technique', 'satisfactory explanation', 'proper dc', 'optimized conditions', 'magnetic fields', 'hts dc', 'experimental results', 'dynamic range', 'digital feedback', 'critical current', '40 ft', '160 db']</t>
  </si>
  <si>
    <t>For HTS dc-SQUTD sensors operating in high magnetic fields we have used quasiplanar HTS Josephson junctions, HTS films prepared at optimized conditions with a high oxygen pressure de-sputtering technique, a capsulation with a heater, and a proper dc-SQUH) layouts. DC-SQUIDs tested in magnetic fields up to about 1 kG demonstrate no reduction of the critical current A model is proposed, which gives a satisfactory explanation of the experimental results. With the use of a digital feedback a dynamic range of about 160 dB was achieved. Highly sensitive devices were prepared with flip-chip flux antennas. For the magnetometers a resolution of about 40 fT/VHz was obtained in unshielded environment ¬© 1999 IEEE.</t>
  </si>
  <si>
    <t>3386-3391</t>
  </si>
  <si>
    <t>101101925;101101925;101101925</t>
  </si>
  <si>
    <t>6701706256;7003717192;14122529100</t>
  </si>
  <si>
    <t>Faley, M. I.;Poppe, U.;Uiban, K.</t>
  </si>
  <si>
    <t>Z-Mich GmbH</t>
  </si>
  <si>
    <t>Faley M.</t>
  </si>
  <si>
    <t>Operation of hts dc-squid sensors in high magnetic fields</t>
  </si>
  <si>
    <t>10.1109/77.783756</t>
  </si>
  <si>
    <t>2-s2.0-0032646027</t>
  </si>
  <si>
    <t>['upcoming generation', 'thz frequencies', 'superconducting film', 'spiral antenna', 'si substrate', 'si lens', 'optically coupled', 'new results', 'mixer mounted', 'beam lithography', '55 thz', '52 thz', '5 ghz', '4200 k', '40 mhz']</t>
  </si>
  <si>
    <t>The development of superconducting hot electron bolometric (HEB) mixers has been a big step forward into the direction of quantum noise limited mixer performance at THz frequencies. Such mixers are crucial for the upcoming generation of airborne and spaceborne THz heterodyne receivers. In this paper we report on new results on a phononcooled NbN HEB mixer using e-beam lithography. The superconducting film is 3 nm thick. The mixer is 0.2 urn long and 1.5 pin wide and it is integrated in a spiral antenna on a Si substrate. The device is quasi-optically coupled through a Si lens and a dielectric beam combiner to the radiation of an optically pumped FIR ring gas laser cavity. The performance of the mixer at different THz frequencies from 0.69 to 2.55 THz with an emphasis on 2.52 THz is demonstrated. At 2.52 THz minimum DSB noise temperatures of 4200 K have been achieved at an IF of 1.5 GHz and a bandwidth of 40 MHz with the mixer mounted in a cryostat and a 0.8 m long signal path in air. ¬© 1999 IEEE.</t>
  </si>
  <si>
    <t>4233-4236</t>
  </si>
  <si>
    <t>60007798;60007798;60007798;60007798;60068676;60068676;60068676;60068676;60068676</t>
  </si>
  <si>
    <t>7005246427;6603482693;7201687941;7003445705;7006771637;6602598414;7003847235;57200973381;35591261100</t>
  </si>
  <si>
    <t>Schwaab, Gerhard W.;Sirmain, Gilles;Schubert, Josef;H√ºbers, Heinz Wilhelm;Gol'tsman, Gregory;Cherednichenko, Sergej;Verevkin, Alexandre;Voronov, Boris;Gershenzon, Eugene</t>
  </si>
  <si>
    <t>Russian Federation;Germany</t>
  </si>
  <si>
    <t>Moscow;¬†Cologne</t>
  </si>
  <si>
    <t>Moscow Pedagogical State University;Deutsches Zentrum fur Luft- Und Raumfahrt</t>
  </si>
  <si>
    <t>60068676;60007798</t>
  </si>
  <si>
    <t>Schwaab G.</t>
  </si>
  <si>
    <t>Investigation of NbN phonon-cooled HEB mixers at 2.5 THz</t>
  </si>
  <si>
    <t>10.1109/77.783959</t>
  </si>
  <si>
    <t>2-s2.0-0032646504</t>
  </si>
  <si>
    <t>['user capacity', 'spatially interpolate', 'simulation results', 'sensor outputs', 'originally sampled', 'mutual coupling', 'mobile communications']</t>
  </si>
  <si>
    <t>Antenna arrays | CDMA | Interpolation</t>
  </si>
  <si>
    <t>A method to spatially interpolate (upsample) a uniform linear array (ULA) originally sampled at less than the spatial Nyquist rate in the presence of noise is considered. The multichannel narrowband interpolation algorithm is based on a forward-backward linear prediction approach. The method interpolates N -1 virtual sensor outputs based on the outputs of N real sensors. This is done by solving a set of forward-backward linear prediction equations that relate the known (real) sensor outputs to the unknown (virtual) sensor outputs. Simulation results that validate the performance and usefulness of this method are presented in the context of code division multiple access (CDMA) mobile communications. The algorithm is applied to increase the user capacity and resolution and decrease the mutual coupling of ULA's used in conjunction with cellular CDMA systems. ¬© 1999 IEEE.</t>
  </si>
  <si>
    <t>1765-1769</t>
  </si>
  <si>
    <t>60030931;60030931</t>
  </si>
  <si>
    <t>6507530705;57203175715</t>
  </si>
  <si>
    <t>Rouphael, Tony J.;Cruz, J. R.</t>
  </si>
  <si>
    <t>Norman</t>
  </si>
  <si>
    <t>University of Oklahoma</t>
  </si>
  <si>
    <t>Rouphael T.J.</t>
  </si>
  <si>
    <t>A spatial interpolation algorithm for the upsampling of uniform linear arrays</t>
  </si>
  <si>
    <t>S1053587X99036922</t>
  </si>
  <si>
    <t>10.1109/78.765164</t>
  </si>
  <si>
    <t>2-s2.0-0032647617</t>
  </si>
  <si>
    <t>['√ ó', 'symbol periods', 'statistically independent', 'remain constant', 'receiver knew', 'receiver antennas', 'random matrix', 'propagation coefficients', 'link capacity', 'joint density', 'fixed number', 'determine capacity', 'coherence interval', 'channel coding', 'capacity obtained', 'capacity approaches']</t>
  </si>
  <si>
    <t>Multielement antenna arrays | Space-time modulation | Wireless communications</t>
  </si>
  <si>
    <t>We analyze a mobile wireless link comprising M transmitter and N receiver antennas operating in a Rayleigh flatfading environment. The propagation coefficients between pairs of transmitter and receiver antennas are statistically independent and unknown; they remain constant for a coherence interval of T symbol periods, after which they change to new independent values which they maintain for another T symbol periods, and so on. Computing the link capacity, associated with channel coding over multiple fading intervals, requires an optimization over the joint density of T M complex transmitted signals. We prove that there is no point in making the number of transmitter antennas greater than the length of the coherence interval: the capacity for M &gt; T is equal to the capacity for M = T. Capacity is achieved when the T √ó M transmitted signal matrix is equal to the product of two statistically independent matrices: a T √ó T isotropically distributed unitary matrix times a certain T √ó M random matrix that is diagonal, real, and nonnegative. This result enables us to determine capacity for many interesting cases. We conclude that, for a fixed number of antennas, as the length of the coherence interval increases, the capacity approaches the capacity obtained as if the receiver knew the propagation coefficients. ¬© 1999 IEEE.</t>
  </si>
  <si>
    <t>139-157</t>
  </si>
  <si>
    <t>60021378;60021378</t>
  </si>
  <si>
    <t>7003696826;35499388800</t>
  </si>
  <si>
    <t>Marzetta, Thomas L.;Hochwald, Bertrand M.</t>
  </si>
  <si>
    <t>Marzetta T.</t>
  </si>
  <si>
    <t>Capacity of a mobile multiple-antenna communication link in rayleigh flat fading</t>
  </si>
  <si>
    <t>S0018944899000528</t>
  </si>
  <si>
    <t>10.1109/18.746779</t>
  </si>
  <si>
    <t>2-s2.0-0032648447</t>
  </si>
  <si>
    <t>N00014-96-1-0799</t>
  </si>
  <si>
    <t>['varactor diodes', 'power bias', 'optical power', 'monolithic ovc', 'microwave circuits', 'film resistors', 'control element', '5 mw', '1 change']</t>
  </si>
  <si>
    <t>Optical control | Phase shifters | Photovoltaic detectors | Varactors</t>
  </si>
  <si>
    <t>In this paper, we present an integrated circuit technology suitable for low-power bias-free optical control of microwave circuits and antennas. We have integrated miniature photovoltaic arrays with varactor diodes and thin-film resistors to form monolithic optically variable capacitors (OVC's). For the monolithic OVC described here, only 1.5 mW of optical power was required for more than 2:1 change in capacitance (0.9-0.4 pF). Optically controlled microwave circuits such as X-band analog phase shifters and tunable notch filters, which incorporated the monolithic OVC as the control element, were fabricated to demonstrate the potential of this technology. ¬© 1999 IEEE.</t>
  </si>
  <si>
    <t>1365-1372</t>
  </si>
  <si>
    <t>60029241;60029241;60029241;60029241;60029241</t>
  </si>
  <si>
    <t>6701566059;6603319020;6701514228;6602795268;7103208478</t>
  </si>
  <si>
    <t>Nagra, Amit S.;Jerphagnon, Olivier;Chavarkar, Prashant;Vanblaricum, Michael;York, Robert A.</t>
  </si>
  <si>
    <t>Nagra A.</t>
  </si>
  <si>
    <t>Indirect optical control of microwave circuits using monolithic optically variable capacitors</t>
  </si>
  <si>
    <t>S0018948099052096</t>
  </si>
  <si>
    <t>10.1109/22.775480</t>
  </si>
  <si>
    <t>2-s2.0-0032649520</t>
  </si>
  <si>
    <t>['time dependence', 'sufficiently complicated', 'solved via', 'simplified theory', 'signals coupled', 'relative phases', 'previously studied', 'oscillator signals', 'neighboring oscillators', 'linear array', 'laplace transform', 'intuitive understanding', 'function satisfies', 'exceedingly difficult', 'end oscillators', 'dynamic behavior', 'diffusion type', 'coupled oscillators', 'computational solution', 'beam radiated']</t>
  </si>
  <si>
    <t>Beam steering | Coupled oscillators | Injection locked | Phased array</t>
  </si>
  <si>
    <t>The behavior of arrays of coupled oscillators has been previously studied by computational solution of a set of nonlinear differential equations describing the time dependence of each oscillator in the presence of signals coupled from neighboring oscillators. The equations are sufficiently complicated in that intuitive understanding of the phenomena which arise is exceedingly difficult. We propose a simplified theory of such arrays in which the relative phases of the oscillator signals are represented by a continuous function defined over the array. This function satisfies a linear partial differential equation of diffusion type, which may be solved via the Laplace transform. This theory is used to study the dynamic behavior of a linear array of oscillators, which results when the end oscillators are detuned to achieve the phase distribution required for steering a beam radiated by such an array. ¬© 1999 IEEE.</t>
  </si>
  <si>
    <t>463-470</t>
  </si>
  <si>
    <t>A continuum model of the dynamics of coupled oscillator arrays for phase-shifterless beam scanning</t>
  </si>
  <si>
    <t>10.1109/22.754880</t>
  </si>
  <si>
    <t>2-s2.0-0032652212</t>
  </si>
  <si>
    <t>['patch elements', 'magnetic materials', 'generally applicable', 'analogous results', 'also obtained']</t>
  </si>
  <si>
    <t>Antennas | Microstrip arrays | Perturbation methods</t>
  </si>
  <si>
    <t>One-term perturbation formulas are derived to characterize periodic microstrip arrays with nonuniform planar distributions of dielectric and magnetic materials. Analogous results are also obtained for single-patch elements. The formulas are generally applicable to other types of antennas. ¬© 1999 IEEE.</t>
  </si>
  <si>
    <t>536-541</t>
  </si>
  <si>
    <t>Davidovitz, Marat</t>
  </si>
  <si>
    <t>Davidovitz M.</t>
  </si>
  <si>
    <t>Perturbation formulas for micro strip patch arrays and elements</t>
  </si>
  <si>
    <t>S0018926X99044300</t>
  </si>
  <si>
    <t>10.1109/8.768789</t>
  </si>
  <si>
    <t>2-s2.0-0032652802</t>
  </si>
  <si>
    <t>['software developed', 'shown indicating', 'made possible', 'first outline', 'efficient computer', 'efficient analysis', 'alternative viewpoint', 'alternative approach', 'aided design']</t>
  </si>
  <si>
    <t>Antenna arrays</t>
  </si>
  <si>
    <t>In this paper an alternative approach for the design of open-ended waveguide array antennas is presented. The approach is based on microwave filter concepts. The exploitation of this alternative viewpoint has been made possible by the availability of a very efficient computer-aided design (CAD) tool which is based on a full-wave modal analysis technique. In this paper we first outline the technique for the efficient analysis of open-ended waveguide array antennas. Using the software developed and following the alternative design approach two different application examples are then shown indicating how the alternative viewpoint introduced gives indeed significant additional degrees of freedom. ¬© 1999 IEEE.</t>
  </si>
  <si>
    <t>542-548</t>
  </si>
  <si>
    <t>60019984;60031159</t>
  </si>
  <si>
    <t>7102644711;35444459700</t>
  </si>
  <si>
    <t>Visser, Huib J.;Guglielmi, Marco</t>
  </si>
  <si>
    <t>Noordwijk aan Zee;The Hague</t>
  </si>
  <si>
    <t>ESTEC - European Space Research and Technology Centre;Nederlandse Organisatie voor toegepast natuurwetenschappelijk onderzoek- TNO</t>
  </si>
  <si>
    <t>60031159;60019984</t>
  </si>
  <si>
    <t>Visser H.</t>
  </si>
  <si>
    <t>CAD of waveguide array antennas based on Filter concepts</t>
  </si>
  <si>
    <t>SUU18Y2OXYYU44J24</t>
  </si>
  <si>
    <t>10.1109/8.768790</t>
  </si>
  <si>
    <t>2-s2.0-0032652803</t>
  </si>
  <si>
    <t>['simulation results', 'shaping function', 'proposed algorithm', 'propagation paths', 'path doa', 'path delays', 'parametric model', 'novel algorithm', 'multiantenna receivers', 'mobile communications', 'global system', 'channel description', 'analytical expression']</t>
  </si>
  <si>
    <t>GSM | MLSE | Parametric channel model</t>
  </si>
  <si>
    <t>In this paper, we propose a novel algorithm for the maximum-likelihood sequence estimation (MLSE) equalizer for the Global System for Mobile Communications (GSM) system. Specifically, we use a parametric model for the channel, along with a modified phase pulse-shaping function of Gaussian minimum shift keying (GMSK) modulation to obtain the modified Viterbi equalizer which we refer to as the parametric channelViterbi equalizer (PC-VE). In contrast to the conventional Viterbi equalizer with a finite impulse response (FIR) channel description, the PC-VE avoids the linear approximation error. The PC-VE also has a lower computational complexity if the number of the propagation paths is less than the number of the FIR channel taps multiplied by the number of antennas. The proposed algorithm is applicable to both single and multiantenna receivers. An analytical expression for the BER as a function of the SNR, path delays, and path DOA's has been derived. Some simulation results that illustrate the performance of the proposed algorithm are presented. ¬© 1999 IEEE.</t>
  </si>
  <si>
    <t>53-63</t>
  </si>
  <si>
    <t>60027709;60012708;60014097</t>
  </si>
  <si>
    <t>57136903300;7004920065;57212542431</t>
  </si>
  <si>
    <t>Chen, Jiunn Tsair;Paulraj, Arogyaswami;Reddy, Umapathi</t>
  </si>
  <si>
    <t>Taiwan;India;United States</t>
  </si>
  <si>
    <t>Taipei;Bengaluru;Palo Alto</t>
  </si>
  <si>
    <t>National Taiwan University of Science and Technology;Indian Institute of Science;Stanford University</t>
  </si>
  <si>
    <t>60027709;60014097;60012708</t>
  </si>
  <si>
    <t>Multichannel maximum-likelihood sequence estimation (MLSE) equalizer for GSM using a parametric channel model</t>
  </si>
  <si>
    <t>S0090677899007965</t>
  </si>
  <si>
    <t>10.1109/26.747813</t>
  </si>
  <si>
    <t>2-s2.0-0032653416</t>
  </si>
  <si>
    <t>11653/95MUPBISC</t>
  </si>
  <si>
    <t>['tested showing', 'superconducting flux', 'studied using', 'sis mixer', 'silicon substrate', 'quantum noise', 'power provided', 'pixel contains', 'local oscillator', 'lo ).', 'internal lo', 'internal flux', 'flow oscillator', 'experimental details', 'dsb ),', 'dc bias', 'control simultaneously', 'computer system', 'chip comprises', '500 ghz', '17 db', '150 k']</t>
  </si>
  <si>
    <t>Experimental details of a unique superconducting imaging array receiver are discussed. Each pixel contains an internally pumped receiver chip mounted on the back of the elliptical microwave lens. Each chip comprises a quasi-optical SIS mixer integrated with a superconducting flux-flow oscillator (FFO) both fabricated from the same Nb/AlO,/Nb trilayer on a silicon substrate. Properties of the integrated lens antenna were studied using an externally pumped reference SIS mixer which showed antenna sidelobes below-17 dB and a receiver double side band noise temperature, TRX(DSB), below 100 K within the frequency range 460 - 500 GHz that is close to the quantum noise. For the imaging array TRx(DSB) = 150 K has been measured at 500 GHz using the internal flux-flow oscillator as a local oscillator (LO). A balanced SIS mixer was tested showing a TRx(DSB) &lt; 100 K within the range of 480 - 510 GHz using the internal LO. A computer system was developed to control simultaneously the dc bias of the SIS mixer and the frequency and power provided by FFO. The system also performs automatic optimization of the receiver noise temperature. ¬© 1999 IEEE.</t>
  </si>
  <si>
    <t>3773-3776</t>
  </si>
  <si>
    <t>7004148528;7004791063;35508891100;57193618079</t>
  </si>
  <si>
    <t>Shitov, Sergey V.;Koshelets, Val√©ry P.;Ermakov, Andrey B.;Filippenko, Lyudmila V.</t>
  </si>
  <si>
    <t>Shitov S.</t>
  </si>
  <si>
    <t>Superconducting chip receivers for imaging application</t>
  </si>
  <si>
    <t>10.1109/77.783849</t>
  </si>
  <si>
    <t>2-s2.0-0032654186</t>
  </si>
  <si>
    <t>['wave analysis', 'sized arrays', 'several orders', 'results using', 'reaction matching', 'printed dipoles', 'predicted using', 'mutual couplings', 'method based', 'individual element', 'fdtd method', 'error introduced', 'element arrays', 'computer time', 'computer power', 'complete full', 'complete array', 'characterized using', 'array geometry', 'always necessitate', '50 elements']</t>
  </si>
  <si>
    <t>Antenna arrays | FDTD | Printed antennas</t>
  </si>
  <si>
    <t>The analysis of medium-sized arrays of complex antenna elements by means of a full-wave technique often requires impractical amounts of computer power. Nevertheless, it is essential that all the mutual couplings between elements are taken into account. In this contribution, a technique is presented in which the individual element is characterized using the FDTD method and, using the information this provides, the behavior of the complete array is predicted using a method based on reaction matching. Results using this method are compared to measurement and to results obtained using a complete full-wave analysis for three-and five-element arrays of printed dipoles. The error introduced by the approximation is shown to be small in most cases. For arrays of between 10 and 50 elements, savings in computer time of several orders of magnitude can be achieved and, in addition, changes in array geometry do not always necessitate all the results being recalculated. ¬© 1999 IEEE.</t>
  </si>
  <si>
    <t>707-714</t>
  </si>
  <si>
    <t>Railton, Chris J.</t>
  </si>
  <si>
    <t>Railton C.J.</t>
  </si>
  <si>
    <t>The analysis of medium-sized arrays of complex elements using a combination of FDTD and reaction matching</t>
  </si>
  <si>
    <t>S0018926X99047778</t>
  </si>
  <si>
    <t>10.1109/8.768811</t>
  </si>
  <si>
    <t>2-s2.0-0032658044</t>
  </si>
  <si>
    <t>['time constant', 'thermal nep', 'thermal conductance', 'theoretical analysis', 'superconducting antenna', 'submillimeter waves', 'space applications', 'sn interface', 'resistive strip', 'realized devices', 'lff19 w', 'l w', 'hot electrons', 'gives estimations', 'g 7', 'experimental evaluation', 'electronic cooling', 'electron microbolometer', 'electron effect', 'basic version', 'andreev reflection', 'advanced version', '5 u', '300 mk', '1012 w', '100 mk']</t>
  </si>
  <si>
    <t>We present a theoretical analysis and experimental evaluation of a hot-electron microbolometer with normal metal absorber for ultrasensitive detecting infrared and submillimeter waves. The basic version of the antenna coupled microbolometer makes use of a hot-electron effect in the thin film resistive strip and Andreev reflection of hot electrons at SN interface between the strip and superconducting antenna. A value of NEP = 5-10~l W/Hz1'2 for the thermal fluctuation noise and the thermal time constant t =0.2 [is at 300 mK have been estimated for one of the realized devices with thermal conductance G ~ 6-1012 W/K. At 100 mK, the thermal conductance has been decreased to G 7-10'W/K, that gives estimations for the thermal NEP = 2-lff19 W/Hz1'1 and the time constant t = 5 u.s. An advanced version of the microbolometer includes also additional SIN junctions connected to the resistive strip for electronic cooling the absorber. Such microbolometer is intended as a detector of millimeter and submillimeter wave radiation for space applications. ¬© 1999 IEEE.</t>
  </si>
  <si>
    <t>3186-3189</t>
  </si>
  <si>
    <t>60000990-60029225;60000990-60029225;60000990-60029225;60000990-60029225;60000990-60029225;60000990-60029225</t>
  </si>
  <si>
    <t>7004170726;54680597800;7006847399;14122312300;57204300619;56186732700</t>
  </si>
  <si>
    <t>Kuzmin, L.;Chouvacv, D.;Tarasov, M.;Sundquist, P.;Willander, M.;Claeson, T.</t>
  </si>
  <si>
    <t>Kotelnikov Institute of Radioengineering and Electronics (IRE) of Russian Academy of Sciences;Chalmers University of Technology</t>
  </si>
  <si>
    <t>60029225;60000990</t>
  </si>
  <si>
    <t>Kuzmin L.</t>
  </si>
  <si>
    <t>On the concept of a normal metal hot-electron microbolometer for space applications</t>
  </si>
  <si>
    <t>10.1109/77.783706</t>
  </si>
  <si>
    <t>2-s2.0-0032660160</t>
  </si>
  <si>
    <t>['quasioptical mixer', 'power absorbed', 'plane dimensions', 'one device', 'local oscillator', 'frequency obtained', 'bolometer strip', 'best results', '9 db', '650 ghz', '5 thz', '5 ghz', '4700 k', '14 db', '1300 k', '12 thz', '100 nw', '000 k']</t>
  </si>
  <si>
    <t>The performance of a NbN based phonon-cooled Hot Electron Bolometric (HEB) quasioptical mixer is investigated in the 0.65-3.12 THz frequency range. The device is made from a 3 nm thick NbN film on high resistivity Si and integrated with a planar spiral antenna on the same substrate. The in-plane dimensions of the bolometer strip are 0.2x2 |im. The best results of the DSB noise temperature at 1.5 GHz IF frequency obtained with one device are: 1300 K at 650 GHz, 4700 K at 2.5 THz and 10,000 K at 3.12 THz. The measurements were performed at 4.5 K ambient temperature. The amount of local oscillator (LO) power absorbed in the bolometer is about 100 nW. The mixer is linear to within l dB compression up to the signal level 10 dB below that of the LO. The intrinsic single sideband conversion gain measured at 650 GHz is -9 dB, the total conversion gain is -14 dB. ¬© 1999 IEEE.</t>
  </si>
  <si>
    <t>3757-3760</t>
  </si>
  <si>
    <t>60000990;60000990;60000990;60000990</t>
  </si>
  <si>
    <t>6701611551;6602499455;57197516701;7005304586</t>
  </si>
  <si>
    <t>Yagoubov, P.;Kroug, M.;Merkel, H.;Kollberg, E.</t>
  </si>
  <si>
    <t>Heterodyne measurements of a NbN superconducting hot electron mixer at terahertz frequencies</t>
  </si>
  <si>
    <t>10.1109/77.783845</t>
  </si>
  <si>
    <t>2-s2.0-0032660522</t>
  </si>
  <si>
    <t>N66001-96-C-8625</t>
  </si>
  <si>
    <t>['¬± 1', 'waveguide mode', 'w system', 'strong potential', 'standard wr', 'results suggest', 'prototype eight', 'promising candidate', 'per tray', 'paper presents', 'operating band', 'near future', 'moving toward', 'mmic amplifiers', 'microwave integrated', 'larger number', 'higher powers', 'greater number', 'flnline structures', 'entire band', 'designed using', 'continuous wave', 'combiner system', '73 %.']</t>
  </si>
  <si>
    <t>Finline structure | Power combining | Spatial power combiner</t>
  </si>
  <si>
    <t>This paper presents a broad-band spatial powercombining system based on tapered-slot antenna arrays integrated in a standard WR-90 waveguide environment. The system is designed using a modular tray architecture, providing full waveguide-band frequency coverage and an excellent thermal environment for a set of monolithic-microwave integrated-circuit (MMIC) amplifiers. The shape of the tapered-slot or flnline structures was optimized to minimize return loss and provide a broad-band impedance transformation from the waveguide mode to the MMIC amplifiers. A prototype eight-element array using commercial GaAs MMIC power amplifiers yielded a maximum of 41-W output power (continuous wave) with a gain variation less than ¬±1.2 dB within the entire band of interest. The average combining efficiency over the operating band was estimated at 73%. The results suggest the efficacy of the design and a strong potential for higher powers by moving toward a greater number of MMIC's per tray and a larger number of trays. Should the 100-W system be realized in the near future, our combiner system will become a promising candidate to challenge the dominant position currently claimed by the traveling-wave tube amplifiers. ¬© 1999 IEEE.</t>
  </si>
  <si>
    <t>1070-1076</t>
  </si>
  <si>
    <t>Cheng, Nai Shuo</t>
  </si>
  <si>
    <t>Cheng N.</t>
  </si>
  <si>
    <t>40-W CW broad-band spatial power combiner using dense finline arrays</t>
  </si>
  <si>
    <t>S0018948099052990</t>
  </si>
  <si>
    <t>10.1109/22.775438</t>
  </si>
  <si>
    <t>2-s2.0-0032666883</t>
  </si>
  <si>
    <t>['simultaneous wide', 'sidelobe reduction', 'nullforming architecture', 'novel technique', 'jammer suppression', 'ghz bandwidth', 'field pattern', 'band nulls', 'band beamforming', 'anechoic chamber', '15 db']</t>
  </si>
  <si>
    <t>Antenna arrays | Array signal processing | Opticalfiber dispersion</t>
  </si>
  <si>
    <t>A novel technique for forming and steering squintfree wide-band nulls in the far-field pattern of an ultrawideband array antenna is presented. The nulling system relies upon a fiber-optic dispersive prism tapped delay-line microwave filter to generate the appropriate nulling waveform. The nullforming architecture was integrated with a wide-band fiberoptic dispersive prism true-time-delay transmit beamformer for demonstration in an anechoic chamber. Measurements show null depths on the order of 15 dB over the 4-18-GHz bandwidth of the system for various steering angles. The demonstrated architecture may be used for simultaneous wide-band beamforming, sidelobe reduction, and jammer suppression. ¬© 1999 IEEE.</t>
  </si>
  <si>
    <t>1327-1331</t>
  </si>
  <si>
    <t>60027271;60027271;60027271;60027271;60027271</t>
  </si>
  <si>
    <t>7202324699;57199213160;6507361511;35458989800;7005229250</t>
  </si>
  <si>
    <t>Matthews, Paul J.;Liu, Pao Lo;Medberry, John B.;Frankel, Michael Y.;Esman, Ronald D.</t>
  </si>
  <si>
    <t>Matthews P.J.</t>
  </si>
  <si>
    <t>Demonstration of a wide-band fiber-optic nulling system for array antennas</t>
  </si>
  <si>
    <t>S0018948099052035</t>
  </si>
  <si>
    <t>10.1109/22.775474</t>
  </si>
  <si>
    <t>2-s2.0-0032668287</t>
  </si>
  <si>
    <t>['whose normal', 'wave photometer', 'tunneling time', 'superconducting al', 'state resistance', 'small strip', 'set ),', 'scaling based', 'quasiparticles produced', 'quality a1', 'photon absorption', 'much shorter', 'measured using', 'matched efficiently', 'low noise', 'low capacitance', 'integrated photodetector', 'initial fabrication', 'higher gap', 'fast single', 'equivalent powers', 'electron transistor', 'electron devices', 'dc characterization', 'collection efficiency', 'also given', '500 microns', '19 w', '100 mk', '1 pa']</t>
  </si>
  <si>
    <t>We discuss the design for a submillimeter-wave photometer, using a combination of superconducting and single-electron devices, which would have high quantum efficiency, very low noise-equivalent powers, and eventually even submicrosecond timing resolution. The absorption of above-gap photons occurs in a small strip of superconducting Al, whose normal-state resistance can be matched efficiently to an antenna of a higher gap (Nb) superconductor. The quasiparticles produced by photon absorption are then confined via Andreev reflection, and forced to tunnel through a small SIS tunnel junction. The tunneling time is much shorter than the known (&gt; 10 /us) quasiparticle recombination time, so collection efficiency will be high. The device sensitivity would be limited by the small subgap current in the high-quality A1/A1OX/A1 tunnel junction at temperatures (100 mK) well below Tc. Scaling based on the larger junctions used in X-ray detector applications suggests that the total dark current can be &lt; 0.1 pA, or of order 10s electrons/second, corresponding to an NEP of less than 10~19 W/VSz at 500 microns (600 GHz). The photocurrent will be measured using a fast single-electron transistor (RF-SET), which allows a shot-noise-limited performance even for the very small currents delivered from this low capacitance and high impedance SIS junction. Results of initial fabrication and dc characterization of an integrated photodetector are also given. ¬© 1999 IEEE.</t>
  </si>
  <si>
    <t>2935-2939</t>
  </si>
  <si>
    <t>60005455-60006337-60000990;60005455-60006337-60000990;60005455-60006337-60000990;60005455-60006337-60000990;60005455-60006337-60000990</t>
  </si>
  <si>
    <t>7004307507;7006404868;7006278000;57211790375;57205898439</t>
  </si>
  <si>
    <t>Schoelkopf, R. J.;Moseley, S. H.;Stahle, C. M.;Wahlgren, P.;Delsing, P.</t>
  </si>
  <si>
    <t>United States;United States;Sweden</t>
  </si>
  <si>
    <t>Greenbelt;New Haven;Gothenburg</t>
  </si>
  <si>
    <t>NASA Goddard Space Flight Center;Yale University;Chalmers University of Technology</t>
  </si>
  <si>
    <t>60006337;60005455;60000990</t>
  </si>
  <si>
    <t>Schoelkopf R.J.</t>
  </si>
  <si>
    <t>A concept for a submillimeter-wave single-photon counter</t>
  </si>
  <si>
    <t>10.1109/77.783645</t>
  </si>
  <si>
    <t>2-s2.0-0032670370</t>
  </si>
  <si>
    <t>['typically 450', 'thz region', 'thermal radiation', 'remote sensing', 'rapidly approaching', 'performance required', 'optically coupled', 'operated comfortably', 'noise bandwidths', 'nbn hebs', 'lo source', 'gradually approach', 'complementary log', 'co2 laser', '800 k', '600 k', '500 nw', '5 ghz', '300 k', '2 k', '1 thz']</t>
  </si>
  <si>
    <t>NbN Hot Electron Bolometric (HEB) mixers have produced promising results in terms of DSB receiver noise temperature (2,800 K at 1.56 THz). The LO source for these mixers is a gas laser pumped by a CO2 laser and the device is quasi-optically coupled through an extended hemispherical lens and a self-complementary log-periodic toothed antenna. NbN HEBs do not require submicron dimensions, can be operated comfortably at 4.2 K or higher, and require LO power of about 100-500 nW. IF noise bandwidths of 5 GHz or greater have been demonstrated. The DC bias point is also not affected by thermal radiation at 300 K. Receiver noise temperatures below 1 THz are typically 450-600 K and are expected to gradually approach these levels above 1 THz as well. NbN HEB mixers thus are rapidly approaching the type of performance required of a rugged practical receiver for astronomy and remote sensing in the THz region. ¬© 1999 IEEE.</t>
  </si>
  <si>
    <t>4217-4220</t>
  </si>
  <si>
    <t>60014313;60014313;60014313;60014313</t>
  </si>
  <si>
    <t>6602325920;6603940754;7005705135;7003389714</t>
  </si>
  <si>
    <t>Gerecht, E.;Musante, C. F.;Jian, H.;Yngvesson, K. S.</t>
  </si>
  <si>
    <t>Gerecht E.</t>
  </si>
  <si>
    <t>New results for NbN phonon-cooled hot electron bolometric mixers above 1 THz</t>
  </si>
  <si>
    <t>10.1109/77.783955</t>
  </si>
  <si>
    <t>2-s2.0-0032670387</t>
  </si>
  <si>
    <t>European Cooperation in Science and Technology</t>
  </si>
  <si>
    <t>COST</t>
  </si>
  <si>
    <t>['radiation characteristics', 'passive arrays', 'optimum use', 'optimum design', 'noise operation', 'noise behavior', 'new method', 'minimum number', 'impedance match', 'feed structures', 'feed structure', 'combining structures', 'antenna array', 'also shown', 'active elements']</t>
  </si>
  <si>
    <t>Antenna arrays | Feeds</t>
  </si>
  <si>
    <t>In this work noise analysis of parallel feed structures is presented. Signal and noise behavior of the feed structures are signified by the newly introduced concepts of "coherent" and "incoherent" impedance match of power-combining structures. It is also shown that a feed structure can be redesigned for lownoise operation without affecting the radiation characteristics. Optimum design of parallel feed structures for low-noise operation is explained. Also an optimum use of active elements in such structures is investigated to have a low overall noise temperature of the antenna array with minimum number of active elements. In the analysis a new method is introduced where a "noise-equivalent line length" (NELL) is defined. This definition which unifies the contribution of noise from different array elements is used in the design of a parallel feed structure and as an active circuit replacement criteria in passive arrays. ¬© 1999 IEEE.</t>
  </si>
  <si>
    <t>443-452</t>
  </si>
  <si>
    <t>60004305;60004305</t>
  </si>
  <si>
    <t>7006702503;7007090188</t>
  </si>
  <si>
    <t>Demir, Simsek;Toker, Canan</t>
  </si>
  <si>
    <t>Demir S.</t>
  </si>
  <si>
    <t>Optimum design of feed structures for high g it passive and active antenna arrays</t>
  </si>
  <si>
    <t>S0018926X99044415</t>
  </si>
  <si>
    <t>10.1109/8.768778</t>
  </si>
  <si>
    <t>2-s2.0-0032673776</t>
  </si>
  <si>
    <t>['¬© 1999', 'phase distribution', 'major problem', 'main beam', 'incomplete deployment', 'effects cause', 'certain directions', 'beam deflection', 'array antennas', 'array antenna']</t>
  </si>
  <si>
    <t>D√©ployable phased-array antennas-antennas that are recently receiving great attention-have a major problem in that they possess the possibility of an incomplete deployment and antenna shape distortion. These effects cause a displacement of the element antenna positions that results in deviation of the phase distribution on the antenna aperture eventually causing antenna beam deflection. In this paper we have investigated how to correct this beam deflection by observing the phased-array antenna from certain directions. There are cases when more than one observation point is necessary to carry out the proposed method depending on the extent of the antenna shape distortion and the number of the points is consulted. This correction method makes it possible to correct the deflection of the main beam and also to determine the displacement of relative element positions. ¬© 1999.</t>
  </si>
  <si>
    <t>482-486</t>
  </si>
  <si>
    <t>6603467088;7402423697;7004961264;7004304668</t>
  </si>
  <si>
    <t>Yonezawa, Rumiko;Konishi, Yoshihiko;Chiba, Isamu;Katagi, Takashi</t>
  </si>
  <si>
    <t>Yonezawa R.</t>
  </si>
  <si>
    <t>Beam-shape correction in d√©ployable phased arrays</t>
  </si>
  <si>
    <t>S0018926X99044257</t>
  </si>
  <si>
    <t>10.1109/8.768783</t>
  </si>
  <si>
    <t>2-s2.0-0032673777</t>
  </si>
  <si>
    <t>['use bent', 'system employing', 'state amplifiers', 'practical case', 'pipe transponders', 'phased array', 'paper analyzes', 'multibeam active', 'like globalstar', 'cdma ).', 'array antenna', 'active phased', 'accurately predict']</t>
  </si>
  <si>
    <t>Forthcoming satellite personal communication networks (S-PCN's) like Globalstar are going to use bent-pipe transponders and an active phased-array antenna in conjunction with code-division multiple access (CDMA). Efficient payload operations require operating the on-board power amplifiers (PA's) close to their saturated power whereby distortion effects cannot be neglected. This paper analyzes the impact of solid-state amplifiers on the Globalstar forward link multiplex when a single PA per beam is used and for the more practical case of an active phased-array satellite antenna. It is shown that the conventional noise power ratio (NPR) intermodulation figure fails to accurately predict the end-to-end system performance. Multibeam active-phased array is shown to provide superior performance compared to a system employing a single amplifier per antenna beam. CDMA, mobile satellite communications. ¬© 1999 IEEE.</t>
  </si>
  <si>
    <t>960-976</t>
  </si>
  <si>
    <t>De Gaudenzi, Riccardo</t>
  </si>
  <si>
    <t>Qualcomm Incorporated</t>
  </si>
  <si>
    <t>Payload nonlinearity impact on the globalstar forward link multiplex Part I: Physical layer analysis</t>
  </si>
  <si>
    <t>S0018954599040268</t>
  </si>
  <si>
    <t>10.1109/25.765028</t>
  </si>
  <si>
    <t>2-s2.0-0032674937</t>
  </si>
  <si>
    <t>['spherical wave', 'source support', 'pulsed radiation', 'pulse length', 'formulation involves', 'far zone', 'derive bounds', 'demonstrated numerically', 'concepts discussed', 'companion paper', 'antenna properties']</t>
  </si>
  <si>
    <t>Antenna theory | Near field | Short-pulse electromagnetics | Time-domain analysis</t>
  </si>
  <si>
    <t>The radiation from a time-dependent source distribution in free-space is analyzed using time-domain (TD) spherical wave (multipole) expansion. The multipole moment functions are calculated from the time-dependent source distribution. The series convergence rate in the near and far zone and the bounds on the near-zone reactive field are determined as functions of the source support and of the pulse length. The formulation involves a spherical transmission line representation that can be extended to more general spherical configurations. This formulation also describes the field and energy transmission mechanisms in a physically transparent fashion that will be used in a companion paper to define and explore fundamental concepts such as TD reactive energy and Q and to derive bounds on the antenna properties. Finally, the concepts discussed above are demonstrated numerically for pulsed radiation by a circular current disk. ¬© 1999 IEEE.</t>
  </si>
  <si>
    <t>271-279</t>
  </si>
  <si>
    <t>Time-domain near-field analysis of short-pulse antennas-part I: spherical wave (multipole) expansion</t>
  </si>
  <si>
    <t>S0018926X9903731X</t>
  </si>
  <si>
    <t>10.1109/8.761066</t>
  </si>
  <si>
    <t>2-s2.0-0032675948</t>
  </si>
  <si>
    <t>['scattering parameters', 'rotation angle', 'resonant frequencies', 'optical axis', 'layer absorbers', 'first time', 'efficient three', 'dimensional finite', 'difference time', 'approach based', 'anisotropic substrate']</t>
  </si>
  <si>
    <t>FDTD | General anisotropic dielectric media | Mipml absorber | Patch antennas</t>
  </si>
  <si>
    <t>In this paper, an efficient three-dimensional finite-difference time-domain (FDTD) approach based on the D-, E-, and H-fields is proposed to handle arbitrary anisotropic dielectric media; and, particularly, the way of imposing the electric-wall boundary condition on the surface of perfect electric conductors is discussed in details. By combining the proposed FDTD approach with the material-independent perfectly matched-layer absorbers, the performance of a line-fed microstrip patch antenna deposited on general anisotropic dielectric substrate is investigated. The scattering parameters of the antenna as a function of the rotation angle of the optical axis of the anisotropic substrate are presented for the first time. Numerical results demonstrate how the resonant frequencies of the antenna are influenced by the anisotropy. ¬© 1999 IEEE.</t>
  </si>
  <si>
    <t>1142-1146</t>
  </si>
  <si>
    <t>60026638;60026638;60026638</t>
  </si>
  <si>
    <t>57191109250;7006057892;35809669200</t>
  </si>
  <si>
    <t>Zhao, An Ping;Juntunen, Jaakko;R√§is√§nen, Antti V.</t>
  </si>
  <si>
    <t>Zhao A.</t>
  </si>
  <si>
    <t>An efficient FDTD algorithm for the analysis of microstrip patch antennas printed on a general anisotropie dielectric substrate</t>
  </si>
  <si>
    <t>S0018948099053004</t>
  </si>
  <si>
    <t>10.1109/22.775451</t>
  </si>
  <si>
    <t>2-s2.0-0032677066</t>
  </si>
  <si>
    <t>['theoretical determination', 'antenna impedance']</t>
  </si>
  <si>
    <t>An on-wafer measurement strategy for determining the driving point impedance of a planar 100GHz double slot antenna is presented. The technique is verified by comparison with a theoretical determination of the antenna impedance. ¬© IEE 1999.</t>
  </si>
  <si>
    <t>1291-1292</t>
  </si>
  <si>
    <t>Thayne, I. G.</t>
  </si>
  <si>
    <t>Glasgow</t>
  </si>
  <si>
    <t>University of Glasgow</t>
  </si>
  <si>
    <t>Thayne I.G.</t>
  </si>
  <si>
    <t>On-wafer determination of impedance of planar 100GHz double slot antenna</t>
  </si>
  <si>
    <t>10.1049: 19990892</t>
  </si>
  <si>
    <t>2-s2.0-0032677543</t>
  </si>
  <si>
    <t>Electronics and Telecommunications Research Institute</t>
  </si>
  <si>
    <t>ETRI</t>
  </si>
  <si>
    <t>['v measurement', 'used either', 'superheterodyne receiver', 'significant increase', 'results indicate', 'received power', 'microwave selfradiation', 'microwave coupling', 'large increase', 'junction incorporated', 'josephson junction', 'free space', 'combined device', 'center frequency', 'antenna structure', 'antenna exhibited', '22 ghz']</t>
  </si>
  <si>
    <t>Using high temperature superconducting thin films, we designed and fabricated Josephson junctions associated with a log-periodic toothed trapezoid antenna. Microwave selfradiation from the Josephson junction was measured by using both a superheterodyne receiver at the center frequency of 22 GHz and an external waveguide system. In the case of junction incorporated with an antenna structure, there was a significant increase of power by an order of magnitude with respect to a junction without antenna. Under the 22 GHz irradiation, we observed distinctive Shapiro steps in the I-V measurement, which allowed as estimating the received power of the junction. The received power of the junction with an antenna exhibited as a large increase as that of a self-radiation. Our results indicate that a Josephson junction with an antenna is very effective for the microwave coupling between Josephson junction and free space. The combined device can be used either for a high power microwave source or for a high sensitive sensor. ¬© 1999 IEEE.</t>
  </si>
  <si>
    <t>3074-3076</t>
  </si>
  <si>
    <t>60001558;60018257;60001558;60001558;60001558;60001558;60001558</t>
  </si>
  <si>
    <t>13310172100;7201564375;57198192236;54681157000;56036121700;24342599200;7403042181</t>
  </si>
  <si>
    <t>Kang, Kwang Yong;Song, Insang;Ha, Yeon Su;Ran, Seok Kil;Sung, Gun Yong;Song, I. Hun;Park, Gwangseo</t>
  </si>
  <si>
    <t>Seoul;Daejeon</t>
  </si>
  <si>
    <t>Sogang University;Electronics and Telecommunications Research Institute</t>
  </si>
  <si>
    <t>60018257;60001558</t>
  </si>
  <si>
    <t>Kang K.Y.</t>
  </si>
  <si>
    <t>Microwave radiation and sensing of Josephson junction with the log=periodic toothed trapezoid antenna of high T&lt;inf&gt;c&lt;/inf&gt; superconducting films</t>
  </si>
  <si>
    <t>10.1109/77.783678</t>
  </si>
  <si>
    <t>2-s2.0-0032677560</t>
  </si>
  <si>
    <t>['target returns', 'splitting based', 'solution inadequate', 'slotted waveguides', 'shifter scanning', 'readily available', 'provides dual', 'plane monopulse', 'obtain monopulse', 'new architecture', 'much success', 'low cost', 'light weight', 'form light', 'certain applications', 'appropriate beamformer', 'accuracy limitations']</t>
  </si>
  <si>
    <t>Array antenna | Dual-plane monopulse | Edgeslotted waveguide</t>
  </si>
  <si>
    <t>Edge-slotted row waveguides have often been stacked to form light-weight planar arrays. With phase-shifter scanning in elevation and 360¬∞ mechanical rotation in azimuth a large surveillance volume may be covered at relatively low cost. For applications that require accurate target location elevation monopulse is readily available by means of an appropriate beamformer. However past attempts to obtain monopulse in the plane of the slotted waveguides have not met with much success. While the alternative has been to employ run length estimation (beam-splitting based on a sequence of target returns) accuracy limitations and the required elevation dwell time render this solution inadequate for certain applications. Now however a new waveguide array configuration has been developed that provides dual-plane monopulse and still retains one-dimensional phase scanning along with the advantages of low cost and light weight. A full-scale A"w-band array employing this new architecture has been built and tested to demonstrate practical utility. ¬© 1999 IEEE.</t>
  </si>
  <si>
    <t>Kinsey, Richard R.</t>
  </si>
  <si>
    <t>Sensis Corporation</t>
  </si>
  <si>
    <t>Kinsey R.</t>
  </si>
  <si>
    <t>An edge-slotted waveguide array with dual-plane monopulse</t>
  </si>
  <si>
    <t>S0018926X99044439</t>
  </si>
  <si>
    <t>10.1109/8.768782</t>
  </si>
  <si>
    <t>2-s2.0-0032679212</t>
  </si>
  <si>
    <t>European Space Agency</t>
  </si>
  <si>
    <t>I 1653/95/NUPB</t>
  </si>
  <si>
    <t>['simos cea', 'shown good', 'room temperature', 'nbn technology', 'nbn sis', 'nbn junctions', 'nbn electrodes', 'making 1', 'low sub', 'lo pumped', 'leti facility', 'epitaxial nbn', 'deposition conditions', 'currently obtained', 'also demonstrated', '4 thz', '4 k', '300 ghz', '25 mv', '10 ka', '10 ghz']</t>
  </si>
  <si>
    <t>A generic NbN Superconducting Tunnel Junctions (STJ) technology has been developed using conventional substrates (Si and SOI-SIMOX) for making THz spectrometers including SIS receivers and RSFQ logic gates. NbN/MgO/NbN junctions with area of lum2, Jc of 10 kA/cm2 and low sub-gap leakage current (Vm &gt; 25 mV) are currently obtained from room temperature sputtered multilayers followed by a post-annealing at 250¬∞C. Using a thin MgO buffer layer deposited underneath the NbN electrodes, is insuring lower NbN surface resistance values (Rs=7u) at 10 GHz and 4 K. Epitaxial NbN (100) films on MgO (100) with high gap frequency (1.4 THz) have also been achieved under the same deposition conditions at room temperature. The NbN SIS has shown good I-V photon induced steps when LO pumped at 300 GHz. We have developed an 8 levels Al/NbN multilayer process for making 1.5 THz SIS mixers (including Al antennas) on Si membranes patterned in SOISIMOX. Using the planarization techniques developed at the SiMOS CEA-LETI Facility, we have also demonstrated on the possibility of extending our NbN technology to high level RSFQ circuit integration with 0.5 urn2 junction area, made on large area substrates (up to 8 inches). ¬© 1999 IEEE.</t>
  </si>
  <si>
    <t>3216-3219</t>
  </si>
  <si>
    <t>60011447;60003674;60003674;60003674;60003674</t>
  </si>
  <si>
    <t>6506499510;7005650131;6602492677;6603861057;57206217834</t>
  </si>
  <si>
    <t>Larrey, V.;Vill√©gier, J. C.;Salez, M.;Miletto-Granozio, F.;Karpov, A.</t>
  </si>
  <si>
    <t>Grenoble;Paris</t>
  </si>
  <si>
    <t>CEA Grenoble;L'Observatoire de Paris</t>
  </si>
  <si>
    <t>60011447;60003674</t>
  </si>
  <si>
    <t>Larrey V.</t>
  </si>
  <si>
    <t>Processing and characterization of high Jc NbN superconducting tunnel junctions for THz analog circuits and RSFQ</t>
  </si>
  <si>
    <t>10.1109/77.783713</t>
  </si>
  <si>
    <t>2-s2.0-0032681381</t>
  </si>
  <si>
    <t>['tv curve', 'sns junctions', 'shot noise', 'range 1500', 'range 0', 'normal resistance', 'noise temperature', 'noise dependencies', 'junction shunted', 'josephson oscillations', 'integrated log', 'experimentally studied', 'dc bias', 'cold circulator', 'bath temperatures', '586 ghz', '50 k', '5 mv', '40 k', '3000 k', '2um wide', '2300 k', '2000 k', '20 q', '2 k', '1100 k']</t>
  </si>
  <si>
    <t>A Josephson quasioptical detector comprising YBaCuO junction on bicrystal MgO substrate, integrated log-periodic Au antenna, MgO extended hyperhemisphere lens attached to the substrate and 1.4 GHz cold amplifier with cold circulator has been designed, fabricated and experimentally studied. We fabricated several integrated Josephson junctions 1-2um wide which at 4.2 K demonstrate RSJ IV curves with critical currents 100-300 (iA and normal resistance of 10-20 Q. The noise temperature (TN) at 4.2 K and 430 GHz measured by a hot/cold load method in fundamental mixing mode with external BWO local oscillator brings TN=1100 K for the junction shunted by low-inductance resistive shunt and TN=1400 K without shunting. At bath temperatures of 20-40 K the noise temperature was in the range 1500-3000 K, at 50 K the noise temperature was below 2000 K, and at 60-70 K increased over 3000 K in the frequency range 410-586 GHz. The noise temperatures measured in the self-pumping mode vary between 580-2300 K with dc bias in the range 0.1-0.5 mV. The linewidth of Josephson oscillations has been extracted from a selective detector response and IF noise voltage dependence. The measured excess noise can be attributed to shot noise and multiple Andreev reflection in pinholes with Ss'S structure. We observed small subharmonic steps in TV curve and noise dependencies, which are typical for SNS junctions. ¬© 1999 IEEE.</t>
  </si>
  <si>
    <t>3761-3764</t>
  </si>
  <si>
    <t>60000990;60000990;60000990;60000990;60000990</t>
  </si>
  <si>
    <t>7006847399;7003397976;35566604900;7005238756;56186732700</t>
  </si>
  <si>
    <t>Tarasov, M.;Stepantsov, E.;Golubev, D.;Ivanov, Z.;Claeson, T.</t>
  </si>
  <si>
    <t>Submillimeter-wave mixing and noise in HTS josephson junctions</t>
  </si>
  <si>
    <t>10.1109/77.783846</t>
  </si>
  <si>
    <t>2-s2.0-0032685307</t>
  </si>
  <si>
    <t>['ybco strips', 'voltage across', 'various frequencies', 'upper layer', 'thus demonstrating', 'thin film', 'thermal resistance', 'thermal insulation', 'thermal conductances', 'sto bi', 'reference sample', 'possible enhancement', 'optical heating', 'multilayered structure', 'multilayered sample', 'multilayer sample', 'mgo substrate', 'method based', 'joule effect', 'improved performances', 'im wide', 'im long', 'high frequency', 'heating current', 'critical temperature', 'coupled micro', 'boundary effect']</t>
  </si>
  <si>
    <t>The present work deals with measurements of the thermal resistance at the boundary between a YBa2Cu3O7.5 (YBCO) thin film and its substrate. Above the film's critical temperature (Tc) the YBCO strips were heated by Joule effect. We used a method based on the third harmonic generation of the voltage across the strips. At high frequency of the heating current, the deduced thermal resistance is dominated by the boundary effect. We used that method to evaluate the possible enhancement of the thermal insulation between the upper layer (YBCO thicker film) and the MgO substrate when ten 2 x 8 nm thick YBCO / STO bi-layers are deposited between them. The strips were 600 \im long and 40 (im wide. The thermal resistance was measured at various frequencies and temperatures above Tc, both for a single layer taken as a reference sample and for a multilayer sample. Below T we used an optical heating of the strips to evaluate the insulation effect obtained with multilayered sample. The ratio of thermal conductances was close to 11, thus demonstrating the insulation enhancement obtained with the multilayered structure. The effect could lead to antenna-coupled micro-bolometers with improved performances. ¬© 1999 IEEE.</t>
  </si>
  <si>
    <t>3874-3877</t>
  </si>
  <si>
    <t>60122535;60122535;60122535</t>
  </si>
  <si>
    <t>56035030200;6506005439;7004136290</t>
  </si>
  <si>
    <t>Robbes, D.;Cheenne, N.;Hamet, J. F.</t>
  </si>
  <si>
    <t>Caen</t>
  </si>
  <si>
    <t>GREYC - Groupe de Recherche en Informatique, Image, Automatique et Instrumentation de Caen</t>
  </si>
  <si>
    <t>Robbes D.</t>
  </si>
  <si>
    <t>Thermal boundary resistance of a yba&lt;inf&gt;2&lt;/inf&gt;cu&lt;inf&gt;3&lt;/inf&gt;o&lt;inf&gt;7.5&lt;/inf&gt; / srtio3 multilayer strip</t>
  </si>
  <si>
    <t>10.1109/77.783873</t>
  </si>
  <si>
    <t>2-s2.0-0032685310</t>
  </si>
  <si>
    <t>['yba2cu3o7 halfloop', 'portable stand', 'made using', 'loop antenna', 'flow cryostat', 'alone package', '500 mhz', '250 mhz']</t>
  </si>
  <si>
    <t>We have built and operated a wide band electrically small active antenna consisting of a YBa2Cu3O7 halfloop over ground plane antenna, an LTS (niobium) 200 element DC SQUID array amplifier, and low-noise cryogenic GaAs buffer amplifier. These components were integrated with a liquid He flow cryostat into a portable stand-alone package. Measurements of active antenna response from 50 to 500 MHz were made using a transverse electromagnetic cell to illuminate the half-loop antenna. At frequencies below the observed antenna resonance (250 MHz) the active antenna response is flat thereby exhibiting wide band gain. ¬© 1999 IEEE.</t>
  </si>
  <si>
    <t>4141-4144</t>
  </si>
  <si>
    <t>60025209;60021080;60025209;60021080;60025209;60021080;60025209;60021080;60025209;60021080;60025209</t>
  </si>
  <si>
    <t>6602448966;6603752062;57199056868;7201814580;6603814264;57198253516;6701796223;6701832201;7401877348;7004480877;7006313710</t>
  </si>
  <si>
    <t>Luine, J.;Abelson, L.;Brundrett, D.;Burch, J.;Dantsker, E.;Hummer, K.;Kerber, G.;Wire, M.;Yokoyama, K.;Bowling, D.;Neel, M.</t>
  </si>
  <si>
    <t>Los Angeles;China Lake</t>
  </si>
  <si>
    <t>Northrop Grumman corporation;Naval Air Warfare Center Weapons Division</t>
  </si>
  <si>
    <t>60025209;60021080</t>
  </si>
  <si>
    <t>Luine J.</t>
  </si>
  <si>
    <t>Application of a DC SQUID array amplifier to an electrically small active antenna</t>
  </si>
  <si>
    <t>10.1109/77.783937</t>
  </si>
  <si>
    <t>2-s2.0-0032685317</t>
  </si>
  <si>
    <t>['two ebco', 'tunnel injection', 'photolithography technique', 'oxide superconductor', 'nearly free', 'microwave emission', 'ionic nature', 'integrating time', 'injector current', 'injector consists', 'injection current', 'gate junctions', 'emitted power', 'dc measurements', 'broadband non', 'antenna geometry', '47 ghz', '36 ghz', '10 pw', '1 sec']</t>
  </si>
  <si>
    <t>We report the observation of microwave emission and the dc measurements on tunnel injection of quasiparticles into a ErBa2Cu3Oy (EBCO) thin film using the samples with antenna geometry which are nearly free from the parallel overlapping effect of the injector current and the thin film current. The injector consists of two EBCO/insulator/Au (Sft/N) gate junctions. The samples were fabricated by lift-off photolithography technique. The microwave emission intensity from the junction was measured under the condition of broadband non-resonant matching using a superheterodyne radiometric receiver at frequencies /J,EC= 36 GHz and 47 GHz. The detected microwave emission power increased nearly linearly with the injection current. The emitted power was greater for the higher receiving frequency. The observed maximum emitted broad band spectrum power at frequency /REC= 47 GHz was about 10 pW for an integrating time of 1 sec. The phenomenon is discussed in terms of the noriequilibrium dynamics together with the ionic nature of oxide superconductor. ¬© 1999 IEEE.</t>
  </si>
  <si>
    <t>4292-4295</t>
  </si>
  <si>
    <t>60015682;60015682;60015682;60015682;60015682;60015682</t>
  </si>
  <si>
    <t>35229900600;57220365499;36752558000;6505934550;7501758069;7006852644</t>
  </si>
  <si>
    <t>Lee, Kiejin;Kume, Eiji;Yamaguchi, Hitoshi;Arie, Hiroyuki;Wang, Wan;Iguchi, Ienari</t>
  </si>
  <si>
    <t>Kawaguchi</t>
  </si>
  <si>
    <t>Japan Science and Technology Agency</t>
  </si>
  <si>
    <t>Lee K.</t>
  </si>
  <si>
    <t>Microwave emission due to anisotropie quasiparticle injection into an erba&lt;inf&gt;2&lt;/inf&gt;cu&lt;inf&gt;3&lt;/inf&gt;o&lt;inf&gt;y&lt;/inf&gt; superconductor</t>
  </si>
  <si>
    <t>10.1109/77.783974</t>
  </si>
  <si>
    <t>2-s2.0-0032685440</t>
  </si>
  <si>
    <t>['uniqueness properties', 'similar performance', 'significant saving', 'proposed algorithm', 'paper considers', 'new approach', 'method uses', 'finite alphabet', 'estimation procedure', 'computational complexity', 'basic idea', 'antenna array', 'analysis together', 'adaptive separation', 'accomplished relative']</t>
  </si>
  <si>
    <t>Adaptive arrays, array signal processing, interchannel interference, interference suppression</t>
  </si>
  <si>
    <t>This paper considers a new approach to the problem of adaptive separation of digitally modulated signals arriving at an antenna array. The basic idea is to decouple the estimation procedure, treating one signal at a time to be the signal of interest. The method uses an iterative scheme similar to the well-documented iterative least squares with projection (ILSP) algorithm, exploiting the finite alphabet (FA) property of the signals to obtain signal estimates. The proposed algorithm is analyzed in terms of consistency and uniqueness properties, and a statistical performance analysis is carried out. The analysis together with simulation results indicate that a significant saving in computational complexity is accomplished relative to ILSP, while essentially having similar performance. ¬© 1999 IEEE.</t>
  </si>
  <si>
    <t>676-682</t>
  </si>
  <si>
    <t>Ranheim, Anders</t>
  </si>
  <si>
    <t>Ranheim A.</t>
  </si>
  <si>
    <t>A decoupled approach to adaptive signal separation using an antenna array</t>
  </si>
  <si>
    <t>S0018954599010725</t>
  </si>
  <si>
    <t>10.1109/25.764957</t>
  </si>
  <si>
    <t>2-s2.0-0032687143</t>
  </si>
  <si>
    <t>['utilizing bent', 'system level', 'system capacity', 'rate vocoders', 'rare events', 'pipe transponders', 'payload nonlinearity', 'paper extends', 'nonlinearity effects', 'multibeam interference', 'like globalstar', 'companion paper', 'array antennas', 'active phased', '1 ].']</t>
  </si>
  <si>
    <t>This paper extends at system level the analysis of on-board nonlinearity effects covered by a companion paper [1]. A satellite personal communication network (S-PCN) like Globalstar [3] utilizing bent-pipe transponders and active phased-array antennas in conjunction with code-division multiple access (CDMA) is considered. The present analysis incorporates the effects of payload nonlinearity, variable-rate vocoders, and multibeam interference. It is shown that nonlinearity effects on the system capacity are generally negligible except for extremely loaded beam conditions which are rare events. ¬© 1999 IEEE.</t>
  </si>
  <si>
    <t>977-984</t>
  </si>
  <si>
    <t>Payload nonlinearity impact on the globalstar forward link multiplex part II: System analysis</t>
  </si>
  <si>
    <t>S001895459904027X</t>
  </si>
  <si>
    <t>10.1109/25.765031</t>
  </si>
  <si>
    <t>2-s2.0-0032687153</t>
  </si>
  <si>
    <t>2304I302</t>
  </si>
  <si>
    <t>['second kind', 'novel method', 'mutual admittances', 'multimode analysis', 'mode elements', 'method applies', 'linitc arrays', 'integral equation', 'illuminating results', 'explored yet', 'array problem', 'approximate solution']</t>
  </si>
  <si>
    <t>Antenna arrays | Linitc phased arrays</t>
  </si>
  <si>
    <t>A novel method for the analysis of linitc arrays is presented. The method is based on a global array concept where the array problem (for single-mode elements) is reduced to a solution of a single Fredholm integral equation of the second kind. This formulation offers several types of solutions (not all explored yet) with illuminating results. The approximate solution of this integral equation for example yields linitc array characteristics in terms of equivalent infinite array scattering parameters and mutual admittances. The method is general i.e. applicable to any element-type and periodic array geometry. Presently the method applies to single-mode elements (one unknown per element) however it can be extended to a multimode analysis.</t>
  </si>
  <si>
    <t>555-565</t>
  </si>
  <si>
    <t>60073971;60108318</t>
  </si>
  <si>
    <t>6604010206;7005831705</t>
  </si>
  <si>
    <t>Tomasic, Boris;Hessel, Alexander</t>
  </si>
  <si>
    <t>New York;Bedford</t>
  </si>
  <si>
    <t>NYU Tandon School of Engineering;Air Force Cambridge Research Laboratories</t>
  </si>
  <si>
    <t>60108318;60073971</t>
  </si>
  <si>
    <t>Analysis of finite arrays-a new approach</t>
  </si>
  <si>
    <t>S0018926X9904435X</t>
  </si>
  <si>
    <t>10.1109/8.768792</t>
  </si>
  <si>
    <t>2-s2.0-0032688031</t>
  </si>
  <si>
    <t>['wave fiber', 'upstream path', 'synchronous mode', 'stabilized separately', 'stabilization scheme', 'radio system', 'multisection laser', 'modulation schemes', 'locking techniques', 'frequencies using', 'free transmission', 'fiber using', 'demonstrate error', 'data modulation', 'applied directly', '37 ghz', '20 km']</t>
  </si>
  <si>
    <t>Communication systems | Laser applications | Millimeter-wave radio communication | Mode-locked lasers | Optical fiber communications | Optical modulation</t>
  </si>
  <si>
    <t>We present two techniques for the transmission of multiple modulated millimeter-wave (mm-wave) frequencies using a multisection laser and demonstrate both methods in the upstream path of a mm-wave fiber-radio system. In these modulation schemes, the laser is stabilized separately from the data modulation. Stabilization of the laser is achieved using hybrid and synchronous mode-locking techniques while the mmwave radio channels are applied directly to the laser gain section. We implement a fiber-radio system incorporating the multisection laser at the antenna base station and demonstrate error-free transmission of two radio channels at 37 GHz over 20 km of fiber using each stabilization scheme. ¬©1999 IEEE.</t>
  </si>
  <si>
    <t>1351-1357</t>
  </si>
  <si>
    <t>60026553;60026553;60026553</t>
  </si>
  <si>
    <t>55480890000;35571786200;7103230273</t>
  </si>
  <si>
    <t>Lim, Christina;Nirmalathas, Ampalavanapillai;Novak, Dalma</t>
  </si>
  <si>
    <t>Parkville</t>
  </si>
  <si>
    <t>University of Melbourne</t>
  </si>
  <si>
    <t>Lim C.</t>
  </si>
  <si>
    <t>Techniques for multichannel data transmission using a multisection laser in millimeter-wave fiber-radio systems</t>
  </si>
  <si>
    <t>S0018948099052126</t>
  </si>
  <si>
    <t>10.1109/22.775478</t>
  </si>
  <si>
    <t>2-s2.0-0032688365</t>
  </si>
  <si>
    <t>['œª0 ),', 'radius rcy', 'radiation field', 'radiation characteristics', 'polarization component', 'one wavelength', 'input impedance', 'infinite extent', 'constant value', 'analyzed using', 'almost constant', '2h increases']</t>
  </si>
  <si>
    <t>Measurements | Moment-method solutions | Spiral antenna</t>
  </si>
  <si>
    <t>A curved spiral antenna above a finite hollow conducting cylinder is analyzed using the method of moments. The effects of cylinder length 2H and cylinder radius rcy on the radiation characteristics of the spiral are evaluated. As 2H increases, the cross-polarization component of the radiation field in the broadside direction decreases to a constant value (approximately - 18 dB). When 2H is greater than one wavelength (Œª0), the input impedance of the spiral above a cylinder of radius rcy=0.25Œª0 is almost constant (250- j20 Œ©) with a gain of approximately 7 dB. The spiral above a cylinder of (2H, rcy) = (2.7Œª0, 0.25Œª0) shows a 3-dB axial ratio bandwidth of approximately 23%, which is wider than a flat spiral antenna above a flat ground plane of infinite extent. ¬© 1999 IEEE.</t>
  </si>
  <si>
    <t>55633340100;36878981000</t>
  </si>
  <si>
    <t>Nakano, Hisamatsu;Nakayama, Kazuo</t>
  </si>
  <si>
    <t>A curved spiral antenna above a conducting cylinder</t>
  </si>
  <si>
    <t>S0018926X9902205X</t>
  </si>
  <si>
    <t>10.1109/8.752973</t>
  </si>
  <si>
    <t>2-s2.0-0032689222</t>
  </si>
  <si>
    <t>['thin film', 'reduced using', 'measured results', 'fed patch', 'electromagnetic analysis', 'direct feed', 'current concentration', 'coupled feed', 'breakdown power', 'applied power', '50nm thickness']</t>
  </si>
  <si>
    <t>Measured results of power handling capability characteristics of superconducting patch antenna and it's improvement are reported. A direct-fed patch antenna is fabricated by YBa2Cu3Oy, thin film with 50nm thickness. The gain of the antenna does not change with the applied power up to 26.3dBm at 12.3K, but drop of the gain is observed more than 26.5dBm. It is found by electromagnetic analysis that this gain drop occurs due to huge current concentration in the direct-fed patch. However, this current concentration can be reduced using the gap-coupled feed, and breakdown power is expected to be three times larger than that of direct feed. ¬© 1999 IEEE.</t>
  </si>
  <si>
    <t>3081-3084</t>
  </si>
  <si>
    <t>6603336963;54680609400;57192927393;7203068282</t>
  </si>
  <si>
    <t>Ehata, Katsufumi;All, Mohamrnad Idris;Kusunoki, Masanobu;Ohshima, Shigetoshi</t>
  </si>
  <si>
    <t>Examination on power handling capability of superconducting patch antenna</t>
  </si>
  <si>
    <t>10.1109/77.783680</t>
  </si>
  <si>
    <t>2-s2.0-0032690517</t>
  </si>
  <si>
    <t>['total power', 'satellite platform', 'results show', 'plus atmosphere', 'db beamwidths', 'brightness temperatures', 'beam efficiencies', 'antenna temperatures', 'antenna efficiencies', 'also calculated', 'add 0', '73 k', '7 k', '2 k']</t>
  </si>
  <si>
    <t>Antenna measurements | Antenna radiation patterns | Microwave antenna | Microwave radiometry | Remote sensing | Satellite applications | Temperature sounding</t>
  </si>
  <si>
    <t>A procedure for making antenna pattern corrections to antenna temperatures of the advanced microwave sounding unit-A (AMSU-A) is developed. Antenna efficiencies, fractions of total power over three different solid-angle regions subtended at the satellite by the earth (plus atmosphere below 20 km), cold space, and the satellite platform, were calculated at 30 earth views and four possible cold space calibration positions. These calculated results simplify the process for correcting antenna temperature measurements to retrieve the true brightness temperatures from AMSU-A data. Using the antenna pattern data and a profile of atmospheric brightness temperature, a set of antenna pattern corrections was simulated for each channel at the 30 earth views and four possible cold space calibration positions. The results show that these corrections can add 0.5 to 2.7 K to the antenna temperatures to retrieve the brightness temperatures and that the cold space calibration temperatures may be raised to 2 K above the nominal cold sky temperature of 2.73 K. Antenna pattern 3-dB beamwidths and main-beam efficiencies were also calculated from the antenna pattern data. ¬© 1999 IEEE.</t>
  </si>
  <si>
    <t>Mo, Tsan</t>
  </si>
  <si>
    <t>National Oceanic and Atmospheric Administration</t>
  </si>
  <si>
    <t>Mo T.</t>
  </si>
  <si>
    <t>AMSU-a antenna pattern corrections</t>
  </si>
  <si>
    <t>S0196289299000911</t>
  </si>
  <si>
    <t>10.1109/36.739131</t>
  </si>
  <si>
    <t>2-s2.0-0032710690</t>
  </si>
  <si>
    <t>NSC87-2111-M-008-006-AP7</t>
  </si>
  <si>
    <t>['wind field', 'western pacific', 'scatterometer measurements', 'sample point', 'randomly selected', 'paper presents', 'output pairs', 'neural network', 'network training', 'method concludes', 'mapping input', 'intercom parison', 'indispensable advantages', 'gmf cmod4', 'case study', 'based scheme', '1 configuration']</t>
  </si>
  <si>
    <t>European remote sensing satellite (ers-1) | Neural network | Ocean winds | Scatterometer</t>
  </si>
  <si>
    <t>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 parison with other method concludes that the use of neural network has its indispensable advantages and better retrieval accuracy can be obtained. ¬© 1999 IEEE.</t>
  </si>
  <si>
    <t>247-256</t>
  </si>
  <si>
    <t>60024666-101704587;60024666-101931789;101704587-101931789</t>
  </si>
  <si>
    <t>57137098900;7102151490;57199132142</t>
  </si>
  <si>
    <t>Chen, K. S.;Tzeng, Y. C.;Chen, P. C.</t>
  </si>
  <si>
    <t>Taoyuan;Taipei;</t>
  </si>
  <si>
    <t>National Central University;RITI Taiwan, Inc.;National Lien-Ho Junior College</t>
  </si>
  <si>
    <t>60024666;101931789;101704587</t>
  </si>
  <si>
    <t>Chen K.</t>
  </si>
  <si>
    <t>Retrieval of ocean winds from satellite scatterometer by a neural network</t>
  </si>
  <si>
    <t>S0196289299000340</t>
  </si>
  <si>
    <t>10.1109/36.739159</t>
  </si>
  <si>
    <t>2-s2.0-0032712652</t>
  </si>
  <si>
    <t>['three days', 'three antennas', 'soil moisture', 'slightly anisotropic', 'scatterometers onboard', 'results suggest', 'moderate vegetation', 'land surfaces', 'incidence angle', 'field capacity', 'canadian prairies', 'backscattering coefficient', 'azimuthal anisotropy', 'azimuth angle', 'allows us', '40 ¬∞,', '40 ),']</t>
  </si>
  <si>
    <t>Ers scatterometer | Radar signal analysis | Soil moisture</t>
  </si>
  <si>
    <t>The capability of the scatterometers onboard the European Remote Sensing Satellites (ERS-1 and ERS-2) for soil moisture retrieval is investigated. The ERS scatterometer consists of three antennas that illuminate the earth's surface from three different viewing directions. This allows us to study the dependence of the backscattering coefficient a¬∞ on the azimuth and the incidence angle. An analysis of ERS scatterometer data over the Canadian Prairie region shows that land surfaces are slightly anisotropic with respect to the azimuth angle. It is proposed to consider the azimuthal anisotropy as an additional error source to a¬∞. The variation of a¬∞ with the incidence angle was found to be linked to vegetation, but independent of soil moisture. Based on these observations, a method for the normalization of the backscattering coefficient with respect to the incidence angle is proposed. The normalized backscattering coefficient at an incidence angle of 40¬∞, a¬∞ (40), is sensitive to vegetation and, in the case of moderate vegetation (grassland to sparsely forested areas), to the soil moisture content. Soil moisture maps derived from ERS-1 scatterometer measurements are compared to maps representing conditions on annually cropped land showing agreement. Results suggest that, over the Canadian Prairies, estimates of the total water content in the soil profile might be possible with an accuracy of about 10% of field capacity if little or no rainfall has occurred for three days before radar image acquisition. ¬© 1999 IEEE.</t>
  </si>
  <si>
    <t>206-216</t>
  </si>
  <si>
    <t>60018163-60103695;60018163-60103695-60009999;60031159-60009999;60018163-60103695-60031159-60009999</t>
  </si>
  <si>
    <t>57196612094;57196870441;7003747005;56249266100</t>
  </si>
  <si>
    <t>Wagner, Wolfgang;Noll, Josef;Borgeaud, Maurice;Rott, Helmut</t>
  </si>
  <si>
    <t>Belgium;Netherlands;Austria;Austria</t>
  </si>
  <si>
    <t>Brussels;Noordwijk aan Zee;Vienna;Innsbruck</t>
  </si>
  <si>
    <t>European Commission Joint Research Centre;ESTEC - European Space Research and Technology Centre;Technische Universit√§t Wien;Universit√§t Innsbruck</t>
  </si>
  <si>
    <t>60103695;60031159;60018163;60009999</t>
  </si>
  <si>
    <t>Wagner W.</t>
  </si>
  <si>
    <t>Monitoring soil moisture over the canadian prairies with the ERS scatterometer</t>
  </si>
  <si>
    <t>S0196289299001072</t>
  </si>
  <si>
    <t>10.1109/36.739155</t>
  </si>
  <si>
    <t>2-s2.0-0032712789</t>
  </si>
  <si>
    <t>['œüãé spectrum', 'wide range', 'sufficiently large', 'studied using', 'simulations indicate', 'results show', 'reflectometerphase œüãé', 'reflectometer signals', 'power coherence', 'plasma tilt', 'plasma cut', 'phase runaway', 'phase difference', 'misalignments ),', 'layer perturbations', 'frequency phase', 'frequencies determined', 'doppler shifts', 'critical value', 'asymmetric gradient', 'asymmetric amplitude', 'antenna misalignment']</t>
  </si>
  <si>
    <t>Effects on reflectometerphase œÜÃÉ and power PÃÉ fluctuation signals due to (a) asymmetries in the transmit-plasma-receive antenna geometry (misalignments), and (b) asymmetries in the plasma cut-off layer perturbations (distortions from sinusoidal or Gaussian) are studied using a two-dimensional (2D) physical optics model. Results show the onset of phase runaway with antenna misalignment and/or sawtooth type perturbations when the perturbation amplitude exceeds some critical value. For broadband (Gaussian) turbulence antenna misalignment leads to Doppler shifts in the œÜÃÉ spectrum - provided the reflectometer beam width w and spectral width kw of the turbulence are sufficiently large. Misalignment also generates coherence between œÜÃÉ and PÃÉ at Bragg backscatter frequencies with quadrature (¬±œÄ/2) phase difference. Sawtooth (asymmetric gradient) perturbations also generate phase-power coherence in quadrature, but at frequencies determined by w and kw, i.e. not Bragg. Cusped or spiky (asymmetric amplitude) perturbations generate asymmetric phase distributions (nonlinear phase offsets) and low-frequency phase-power coherence with 0 or œÄ phase difference. The simulations indicate that a combination of antenna misalignment (or plasma tilt) and cusped reflection layer perturbations can account for a wide range of experimentally reported features in reflectometer signals. ¬© 1999 IOP Publishing Ltd.</t>
  </si>
  <si>
    <t>65-92</t>
  </si>
  <si>
    <t>60025104-60015186</t>
  </si>
  <si>
    <t>Conway, G. D.</t>
  </si>
  <si>
    <t>United Kingdom;Canada</t>
  </si>
  <si>
    <t>;Saskatoon</t>
  </si>
  <si>
    <t>EFDA-JET;University of Saskatchewan</t>
  </si>
  <si>
    <t>60025104;60015186</t>
  </si>
  <si>
    <t>Effects of reflectometer asymmetries on fluctuation measurements</t>
  </si>
  <si>
    <t>S0741333599954969</t>
  </si>
  <si>
    <t>10.1088/0741-3335/41/1/005</t>
  </si>
  <si>
    <t>2-s2.0-0032714493</t>
  </si>
  <si>
    <t>['transfer functions', 'square error', 'phase zeros', 'past work', 'order statistics', 'models arise', 'input multiple', 'fractionally sampled', 'excess bandwidth', 'direct design', 'considered using', 'communications channels', 'common zeros', 'blind equalizers', 'blind equalization', 'antenna array']</t>
  </si>
  <si>
    <t>Blind beamforming | Blind equalization | Fractional sampling | Space diversity | Spatio-temporal processing | Time diversity</t>
  </si>
  <si>
    <t>The problem of blind equalization of single-input multiple-output (SIMO) communications channels is considered using only the second-order statistics of the data. Such models arise when a single receiver data is fractionally sampled (assuming that there is excess bandwidth) or when an antenna array is used with or without fractional sampling. We focus on direct design of finite-length minimum mean-square error (MMSE) blind equalizers. Unlike the past work on this problem, we allow infinite impulse response (IIR) channels. Our approaches also work when the "subchannel" transfer functions have common zeros as long as the common zeros are minimum-phase zeros. Illustrative simulation examples are provided. ¬© 1999 IEEE.</t>
  </si>
  <si>
    <t>147-157</t>
  </si>
  <si>
    <t>35608049000;55459805400</t>
  </si>
  <si>
    <t>Tugnait, Jitendra K.;Huang, Bin</t>
  </si>
  <si>
    <t>Tugnait J.K.</t>
  </si>
  <si>
    <t>Second-order statistics-based blind equalization of IIR single-input multiple-output channels with common zeros</t>
  </si>
  <si>
    <t>S1053587X99001427</t>
  </si>
  <si>
    <t>10.1109/78.738247</t>
  </si>
  <si>
    <t>2-s2.0-0032735565</t>
  </si>
  <si>
    <t>['theoretical analysis', 'swerling 0', 'simplified approach', 'rms error', 'obtained using', 'ni targets', 'logarithmic amplifier', 'fluctuating targets', 'fluctuating target', 'antenna beam', 'angle estimate']</t>
  </si>
  <si>
    <t>A theoretical analysis of the sequential lobing technique for target angle tracking is presented. The signal power received by each antenna beam is assumed to pass through a logarithmic amplifier. Arigorous statistical approach is adopted in the analysis for both non-fluctuating and fluctuating targets. Closed form expressions are derived for the normalized mean error and rms error of the angle estimate for Swerling 0,1, II, and ni targets. Results are compared with those obtained using a simplified approach for the non-fluctuating target. ¬© 1999 IEEE.</t>
  </si>
  <si>
    <t>282-293</t>
  </si>
  <si>
    <t>Kam, W. L.O.</t>
  </si>
  <si>
    <t>Defence Science and Technology Group</t>
  </si>
  <si>
    <t>Kam W.</t>
  </si>
  <si>
    <t>Theoretical analysis of the sequential lobing technique</t>
  </si>
  <si>
    <t>10.1109/7.745698</t>
  </si>
  <si>
    <t>2-s2.0-0032739877</t>
  </si>
  <si>
    <t>MIP-970830</t>
  </si>
  <si>
    <t>['simultaneous estimation', 'respectively ).', 'optimization procedures', 'new closed', 'multiple co', 'lh source', 'form sin', 'form algorithm', 'fca geometry', 'entire aperture', 'elevation angles', 'correspondence addresses', 'constraint imposed', 'closedform procedure', 'called fca', 'azimuth angles', 'average across', 'adjacent sensors']</t>
  </si>
  <si>
    <t>Antenna arrays | Array signal processing | Bessel functions | Direction-of-arrival estimation | Parameter estimation | Radar data processing</t>
  </si>
  <si>
    <t>This correspondence addresses the simultaneous estimation of the azimuth and elevation angles of multiple co-channel signals incident upon an array of antennas. A new closed-form algorithm that is applicable with filled circular arrays (FCA's) is presented. The algorithm, which is called FCA-ESPRIT, is applicable with any FCA geometry, e.g., FCA's constructed using rectangular, hexagonal, polar, or random sampling lattices. The only constraint imposed on the FCA geometry is that the spacing between adjacent sensors should be half a wavelength or less on average across the entire aperture. The algorithm provides automatically paired azimuth and elevation angle estimates by solving a set of ESPRITlike equations wherein the unknowns have the form sin(0;)ej''&gt;' (where H. and &lt;-&gt;. are the elevation and azimuth angles of the /lh source, respectively). The algorithm provides arrival angle estimates via a closedform procedure-it does not require computationally expensive search or optimization procedures. ¬© 1999 IEEE.</t>
  </si>
  <si>
    <t>213-217</t>
  </si>
  <si>
    <t>60001741;60001741;60001741</t>
  </si>
  <si>
    <t>7401901320;7102737733;55664103800</t>
  </si>
  <si>
    <t>Ramos, Javier;Mathews, Cherian P.;Zoltowski, Michael D.</t>
  </si>
  <si>
    <t>Universidad Carlos III de Madrid</t>
  </si>
  <si>
    <t>FCA-ESPRIT: A closed-form 2-D angle estimation algorithm for filled circular arrays with arbitrary sampling lattices</t>
  </si>
  <si>
    <t>S1053587X99008752</t>
  </si>
  <si>
    <t>10.1109/78.738255</t>
  </si>
  <si>
    <t>2-s2.0-0032739897</t>
  </si>
  <si>
    <t>University of Sheffield</t>
  </si>
  <si>
    <t>['vertical axis', 'various components', 'theory utilized', 'target composed', 'range 1', 'prototype system', 'polarization purity', 'polarimetric response', 'planar near', 'multiple reflections', 'images obtained', 'image interpretation', 'format familiar', 'dead branches', 'clearly demonstrated', 'adjacent branches', '90 ¬∞', '35 db', '10 ghz']</t>
  </si>
  <si>
    <t>High-resolution imaging | Near-field measurements | Synthetic aperture radar (sar) | Vegetation</t>
  </si>
  <si>
    <t>A planar near-field monostatic imaging system is employed at a frequency of 10 GHz to examine the polarimetric scattering characteristics of small deciduous trees. Twodimensional (2-D) images are produced in a format familiar to the human visual system, and the technique is intended to be of value in synthetic aperture radar (SAR) image interpretation. The theory utilized for the plane-to-plane imaging algorithm is presented, and the experimental configuration used is described. The polarimetric response of the system is evaluated by using a target composed of thin copper wires orientated at 0, 45, and 90¬∞ to the vertical axis. The series of images obtained for W-, VH-, and HH-combinations of the transmit-receive antennas indicate that the polarization purity of this prototype system is better than -35 dB. Results are presented for three different species of tree, ash (Fraxinus excelsior L.), sycamore (Acer pseudoplatanus L.), and willow (Salix species), with heights in the range 1-1.6 m. The high spatial resolution of 2 cm provided by the imaging system reveals detailed information on the structure of each tree. The different RCS responses of living and dead branches are clearly demonstrated, and the presence of multiple reflections between adjacent branches is seen. Differences between the W-, VH-, and HH-images correlate well with the orientation of the various components of each tree. ¬© 1999 IEEE.</t>
  </si>
  <si>
    <t>60001881;60001881</t>
  </si>
  <si>
    <t>57188723336;7404251432</t>
  </si>
  <si>
    <t>Brown, Sarah C.M.;Bennett, John C.</t>
  </si>
  <si>
    <t>High-resolution microwave polarimetric imaging of small trees</t>
  </si>
  <si>
    <t>S0196289299000133</t>
  </si>
  <si>
    <t>10.1109/36.739114</t>
  </si>
  <si>
    <t>2-s2.0-0032754834</t>
  </si>
  <si>
    <t>['element phased', 'demonstrated experimentally', 'controlling phase']</t>
  </si>
  <si>
    <t>Beam steering | Integrated optics | Optical phase shifters | Optical waveguides | Phased-array radar</t>
  </si>
  <si>
    <t>Feasibility of an extremely compact photonic integrated circuit for controlling phase and amplitude of a 16-element phased-array microwave antenna has been demonstrated experimentally. ¬© 1999 IEEE.</t>
  </si>
  <si>
    <t>122-124</t>
  </si>
  <si>
    <t>Stulemeijer, J.</t>
  </si>
  <si>
    <t>Stulemeijer J.</t>
  </si>
  <si>
    <t>Compact photonic integrated phase and amplitude controller for phased-array antennas</t>
  </si>
  <si>
    <t>10.1109/68.736416</t>
  </si>
  <si>
    <t>2-s2.0-0032756090</t>
  </si>
  <si>
    <t>['viable approach', 'unique advantage', 'radar antenna', 'precision demands', 'nasa scatterometer', 'measurement test', 'indoor near', 'high level', 'field range', 'field measurements', 'field measurement', 'experimentally demonstrate', 'excellent agreement', 'direct far', 'data based', 'cylindrical near', 'compact range', 'characterizations may', 'accurately characterizing', 'absolute gain']</t>
  </si>
  <si>
    <t>Antenna measurements | Cylindrical near-field measurements | Near-field error analysis | Radar antenna calibration</t>
  </si>
  <si>
    <t>Modern spaceborne radar scatterometers, such as the NASA scatterometer (NSCAT) and SeaWinds radar instruments, require precise determination of the normalized backseat tered radar cross section within a few tenth of a decibel. This is needed to achieve the desired wind velocity and direction measurement accuracy of 2 m/s and 20¬∞, respectively. This high level of precision demands a priori prelaunch accurate knowledge and determination of the radar antenna's absolute gain and relative radiation patterns characteristics over wide angular range. Such characterizations may be performed on a far-field range, compact range, or in an indoor near-field measurement facility. Among the unique advantage of the near-field measurement is that most of the information of the radar antenna radiation properties can be obtained anywhere outside the near-field measurement surface. Two recently designed radar scatterometers are considered in this paper, NASA scatterometer (NSCAT) and SeaWinds, to demonstrate the utility of a newly completed cylindrical near-field measurement range. As an example of an advanced calibration methodology, the data based on a recently measured JPL/NASA scatterometer (NSCAT) radar antenna are used to experimentally demonstrate the role of the probe pattern compensation, probe multiple reflection effects, probe mispositioning effects, scan area truncation effects, etc. A measurement test on a standard gain horn (SGH) has been performed to achieve and verify the absolute gain calibration accuracy. A comparison between direct far-field measured data and those obtained from cylindrical near-field measurements for the SeaWinds radar antenna was found in excellent agreement. It is demonstrated that the nearfield measurement technique is a viable approach in accurately characterizing the performance of spaceborne radar antennas. ¬© 1999 IEEE.</t>
  </si>
  <si>
    <t>360-373</t>
  </si>
  <si>
    <t>7003783791;7102110120</t>
  </si>
  <si>
    <t>Hussein, Ziad A.;Rahmat-Samii, Yahya</t>
  </si>
  <si>
    <t>Hussein Z.A.</t>
  </si>
  <si>
    <t>Application of cylindrical near-field measurement technique to the calibration of spaceborne radar antennas: NASA scatterometer and seawinds</t>
  </si>
  <si>
    <t>S0196289299001266</t>
  </si>
  <si>
    <t>10.1109/36.739069</t>
  </si>
  <si>
    <t>2-s2.0-0032757958</t>
  </si>
  <si>
    <t>['untested technology', 'torus antenna', 'three days', 'spatial resolution', 'soil moisture', 'simulations show', 'sensing applications', 'scientific mission', 'salinity sensing', 'provide multichannel', 'precision observations', 'polarized system', 'ocean salinity', 'multiple feeds', 'inflatable systems', 'cm 3', '5 kg', '30 km', '04 g']</t>
  </si>
  <si>
    <t>Aperture antennas | Hydrology | Inflatable antennas | Microwave radiometry | Ocean salinity or sea surface salinity | Remote sensing | Soil moisture</t>
  </si>
  <si>
    <t>A spaceborne inflatable antenna concept is evaluated for passive microwave sensinlkg of soil moisture and ocean salinity. The concept makes use of a large-diameter, offsetfed, parabolic-torus antenna with multiple feeds in a conical pushbroom configuration. An inflatable structure provides the means for deploying the large-aperture, low-mass, and low-cost antenna system in space, suitable for operation in the 1-3-GHz frequency range needed for soil moisture and salinity sensing. The concept is designed to provide multichannel, constant-incidenceangle, wide-swath, and high-radiometric-precision observations of the earth's surface. These capabilities facilitate estimation of soil moisture and salinity, with global coverage every two to three days. Simulations show that a 25-m diameter, 1.41- and 2.69-GHz, dual-polarized system should be capable of providing surface soil moisture estimates with an accuracy of ~0.04 g-cm 3 (where vegetation water content is less than ~5 kg-m 2) at a spatial resolution of ~30 km. Although inflatable systems represent a new and untested technology for remote-sensing applications, the advantages of low packaged volume, low manufacturing cost, and low mass provide an incentive for their study. This paper evaluates one possible concept for incorporating the capabilities of inflatable systems into a scientific mission and for demonstrating these capabilities for remote-sensing applications. ¬© 1999 IEEE.</t>
  </si>
  <si>
    <t>63-78</t>
  </si>
  <si>
    <t>60009037-60027550;60009037-60027550;60009037-60027550;60009037-60027550;60009037-60027550</t>
  </si>
  <si>
    <t>7006231742;7102110120;6701355147;7404032603;7004934627</t>
  </si>
  <si>
    <t>Njoku, Eni G.;Rahmat-Samii, Yahya;Sercel, J.;Wilson, William J.;Moghaddam, Mahta</t>
  </si>
  <si>
    <t>Los Angeles;Pasadena</t>
  </si>
  <si>
    <t>University of California, Los Angeles;Jet Propulsion Laboratory</t>
  </si>
  <si>
    <t>60027550;60009037</t>
  </si>
  <si>
    <t>Njoku E.G.</t>
  </si>
  <si>
    <t>Evaluation of an inflatable antenna concept for microwave sensing of soil moisture and ocean salinity</t>
  </si>
  <si>
    <t>S0196289299000261</t>
  </si>
  <si>
    <t>10.1109/36.739121</t>
  </si>
  <si>
    <t>2-s2.0-0032757962</t>
  </si>
  <si>
    <t>Space and Naval Warfare Systems Command</t>
  </si>
  <si>
    <t>N000CI73700173</t>
  </si>
  <si>
    <t>SPAWAR</t>
  </si>
  <si>
    <t>['year anniversary', 'v channel', 'used quantitatively', 'thus establishing', 'tdr ),', 'study indicate', 'statistical analyses', 'specific components', 'single set', 'several channels', 'scan ).', 'remarkable stability', 'public institutions', 'postlaunch performances', 'paper summarizes', 'orbital configuration', 'noise floor', 'navy dmsp', 'multiyear cal', 'launched five', 'launch date', 'last ssm', 'first ssm', 'entire set', 'dramatically reduced', 'derived sensor', 'correctable left', 'comparison methodology', 'climatological applications', 'candidate launch', 'brightness temperatures', 'approximately 0', 'apc coefficients', 'antenna field', '3 k', '2 k']</t>
  </si>
  <si>
    <t>Brightness temperature comparisons | Defense meteorological satellite program (DMSP) special sensor microwave/imager (SSM/I) | Microwave radiometry | Satellite radiometer calibration and validation | Sea surface wind</t>
  </si>
  <si>
    <t>The Defense Meteorological Satellite Program (DMSP) operational special sensor microwave imager (SSM/I) marked its ten-year anniversary on the launch date of the first SSM/I (F-8), June 19, 1997. After F-8, the DMSP has launched five more SSM/I's, F-10 (December 1990), F-ll (November 1991), F-12 (August 1994), F-13 (March 1995), and F-14 (April 1997), leaving the last SSM/I for a candidate launch in 1999. Built by Hughes Aircraft Co., these instruments have proven to be the most reliable and well-calibrated, space-based, passive microwave imaging radiometers to date, allowing the data to be used quantitatively for both operational and climatological applications. The remarkable stability of the SSM/I sensors also provides the opportunity to quantify the incremental brightness temperature differences to which the SSM/I's can be intercalibrated, thus establishing the "noise floor" for intercomparisons. This paper summarizes the prelaunch and postlaunch performances of each new sensor determined during calibration and validation (cal/val), starting with the formal, multiyear cal/val effort conducted by both government and public institutions under the direction of the Naval Research Laboratory (NRL) and sponsored by the joint Air Force/Navy DMSP. Sensor-specific components, orbital configuration, and systematic relative errors are examined that contribute to the total system calibration. In particular, a large (1-3 K) but correctable left-right scan asymmetry of SSM/I brightness temperatures was observed in the data and traced to an antenna field-of-view (FOV) intrusion by the spacecraft (start of scan) and a glare suppression sensor (end of scan). These effects were found to be correctable to first order using a pixel-dependent spillover correction. Empirical statistical distribution functions for rain-free ocean pixels were constructed for the entire set of SSM/I's and formed the basis for assessing intersensor calibration. Manufacturer-derived sensor-specific antenna pattern correction (APC) coefficients were found to be the source of large intersensor differences for several channels, e.g., 1-2 K for the 22-V channel. These differences were dramatically reduced when analyzed on the basis of the temperature data record (TDR), i.e., prior to application of the APC, suggesting that studies requiring high intersensor accuracy should use a single set of APC coefficients. The statistical analyses have obvious inherent limitations themselves. The results of this study indicate that the "noise floor" to which we can justifiably compare individual SSM/I sensors is approximately 0.3 K, depending on the channel, and is a combination of actual sensor calibration differences and the comparison methodology.</t>
  </si>
  <si>
    <t>418-439</t>
  </si>
  <si>
    <t>100325662;60027271</t>
  </si>
  <si>
    <t>7003368350;7003965616</t>
  </si>
  <si>
    <t>Colton, Marie C.;Poe, Gene A.</t>
  </si>
  <si>
    <t>Washington, D.C.;Monterey</t>
  </si>
  <si>
    <t>Naval Research Laboratory;Fleet Numerical Meteorology and Oceanography Center</t>
  </si>
  <si>
    <t>60027271;100325662</t>
  </si>
  <si>
    <t>Colton M.</t>
  </si>
  <si>
    <t>Intersensor calibration of DMSP SSM/I's: F-8 to F-14, 1987-1997</t>
  </si>
  <si>
    <t>S0196289299000388</t>
  </si>
  <si>
    <t>10.1109/36.739079</t>
  </si>
  <si>
    <t>2-s2.0-0032759715</t>
  </si>
  <si>
    <t>['wireless applications', 'two tsa', 'tsa ).', 'paper demonstrates', 'mutual coupling', 'miniature antennas', 'millimeterwave frequencies', 'measured results', 'inexpensive characterization', 'deembedding technique', 'absolute gain']</t>
  </si>
  <si>
    <t>Gain | Input impedance of antenna | Linearly tapered slot antenna | Mutual coupling | On-wafer characterization | Trl calibration standards</t>
  </si>
  <si>
    <t>This paper demonstrates a deembedding technique and a direct on-substrate measurement technique for fast and inexpensive characterization of miniature antennas for wireless applications at millimeterwave frequencies. The technique is demonstrated by measurements on a tapered slot antenna (TSA). The measured results at A"a-band frequencies include input impedance, mutual coupling between two TSA's, and absolute gain of TSA. ¬© 1999 IEEE.</t>
  </si>
  <si>
    <t>92-96</t>
  </si>
  <si>
    <t>60026717;60026717</t>
  </si>
  <si>
    <t>7202166511;24522606100</t>
  </si>
  <si>
    <t>Simons, Rain√©e N.;Lee, Richard Q.</t>
  </si>
  <si>
    <t>Simons R.</t>
  </si>
  <si>
    <t>On-wafer characterization of millimeter-wave antennas for wireless applications</t>
  </si>
  <si>
    <t>S0018948099003890</t>
  </si>
  <si>
    <t>10.1109/22.740086</t>
  </si>
  <si>
    <t>2-s2.0-0032762238</t>
  </si>
  <si>
    <t>['suggested approaches', 'provides high', 'proposed method', 'order statistics', 'noise ratio', 'model order', 'major drawback', 'large sample', 'high signal', 'high sensitivity', 'considered herein']</t>
  </si>
  <si>
    <t>Blind equalization | Channel estimation</t>
  </si>
  <si>
    <t>Second-order blind deconvolution of single input multiple output (SIMO) finite impulse response (FIR) channels is considered herein. A major drawback of several blind diversity techniques using antenna arrays/temporal-oversampling is high sensitivity to the choice of the model order. In this contribution, a robust method using only the second-order statistics is described. 'It provides high and robust estimation accuracy even for a limited sample size and an unknown model order. In contrast to other suggested approaches, that often exploit properties valid only in the large sample case, the proposed method is applicable both in the large sample and high signal-to-noise ratio (SNR) scenario. ¬© 1999 IEEE Publisher Item Identifier S 1070-9908(99)00784-1.</t>
  </si>
  <si>
    <t>13-16</t>
  </si>
  <si>
    <t>IEEE Signal Processing Letters</t>
  </si>
  <si>
    <t>Gorokhov, Alexei</t>
  </si>
  <si>
    <t>SUPELEC Campus de Gif</t>
  </si>
  <si>
    <t>Gorokhov A.</t>
  </si>
  <si>
    <t>Robust blind second-order deconvolution</t>
  </si>
  <si>
    <t>10.1109/97.736239</t>
  </si>
  <si>
    <t>2-s2.0-0032762246</t>
  </si>
  <si>
    <t>Murata Science Foundation</t>
  </si>
  <si>
    <t>['two beams', 'symmetry condition', 'radiates either', 'opposite directions', 'model antenna', 'mobile reception', 'maximum gain', 'layer structure', 'ghz band', 'different polarizations', 'balanced design', 'array design', 'antenna efficiency', '300mm square']</t>
  </si>
  <si>
    <t>Direct broadcasting from satellite | Dual polarization | Slot antenna | Waveguide</t>
  </si>
  <si>
    <t>A two-beam slotted leaky waveguide array for mobile reception of dual-polarization direct broadcast from satellite (DBS) is realized in a single-layer structure. Two feed waveguides attached at both ends of cross-slotted radiating waveguides excite the leaky waves propagating in opposite directions. Each of them radiates either of two circularly polarized waves in symmetrical beam directions. Balanced design of two beams for each polarization imposes symmetry in the array design of slots. The slot coupling distribution is optimized for the maximum gain under this symmetry condition. A model antenna in about a 300mm square is fabricated for experiments in the 12-GHz band. Antenna efficiency of 71% and 64% is obtained for each beam in different polarizations. ¬© 1999 IEEE.</t>
  </si>
  <si>
    <t>Sakakibara, Kunio</t>
  </si>
  <si>
    <t>Aichi District</t>
  </si>
  <si>
    <t>Toyota Central Research Development Laboratory Inc</t>
  </si>
  <si>
    <t>Sakakibara K.</t>
  </si>
  <si>
    <t>A two-beam slotted leaky waveguide array for mobile reception of dual-polarization dbs</t>
  </si>
  <si>
    <t>S0018954599006064</t>
  </si>
  <si>
    <t>10.1109/25.740055</t>
  </si>
  <si>
    <t>2-s2.0-0032763235</t>
  </si>
  <si>
    <t>['systems using', 'recurring cost', 'receive modules', 'point failures', 'mounting structure', 'directive beams', 'design issues', 'common aperture', 'associated packaging', 'advantages include']</t>
  </si>
  <si>
    <t>Microelectronics packaging | MMIC | Phased array | T/R module</t>
  </si>
  <si>
    <t>Radar systems realized with a phased array antenna offer several advantages over systems using a conventional parabolic dish or mechanically steered antenna. These advantages include the production of directive beams that can be rapidly repositioned electronically, the generation of multiple independently steered antenna beams from a common aperture, the ability to make antennas conformal with their mounting structure, and the minimization of single-point failures. The recurring cost and design issues of transmit/receive modules and their associated packaging are challenges to fielding phased array antennas for future surface Navy radar needs. This article will provide an overview of the electrical performance trade-offs and techniques for transmit/receive module packaging.</t>
  </si>
  <si>
    <t>70-80</t>
  </si>
  <si>
    <t>102031128;109901046;100689309</t>
  </si>
  <si>
    <t>7004691486;55452464700;7102250599</t>
  </si>
  <si>
    <t>Kopp, Brace A.;Moore, Craig R.;Coffman, Robert V.</t>
  </si>
  <si>
    <t>United States;;United States</t>
  </si>
  <si>
    <t>;;Laurel</t>
  </si>
  <si>
    <t>APL's Principal Professional Staff;Radar Systems Development Group;Air Defense Systems Department</t>
  </si>
  <si>
    <t>109901046;102031128;100689309</t>
  </si>
  <si>
    <t>Kopp B.</t>
  </si>
  <si>
    <t>Transmit/receive module packaging: electrical design issues</t>
  </si>
  <si>
    <t>2-s2.0-0032763296</t>
  </si>
  <si>
    <t>['system throughput', 'street level', 'street layout', 'statistically study', 'statistical model', 'snr ).', 'rayleigh distributed', 'propagation model', 'packet retransmission', 'npcsma protocol', 'nonpersistent carrier', 'noise ratio', 'multipath channels', 'mediumaccess control', 'main advantage', 'high traffic', 'gtd ),', 'geometrical theory', 'first evaluating', 'fading channels', 'delay spread', 'coherence bandwidth', 'bc varying', 'bc depends', 'antenna heights']</t>
  </si>
  <si>
    <t>Millimeter waves | Multiple-access protocol | PCS | Propagation model</t>
  </si>
  <si>
    <t>A millimeter-wave (MMW) propagation model, based on multiray optical theory and the geometrical theory of diffraction (GTD), is used to statistically study the delay spread and coherence bandwidth (Bc) for broad-band personal communication services (B-PCS's) in urban mobile radio environments. The results of the statistical model are compared with outdoors measurements near the street level with Bc varying over a range of frequencies (14-100 MHz). It is shown that the distribution of Bc depends on antenna heights, street layout, and frequency. The signal level statistics are evaluated and found to agree with the measurements. In general, these statistics are non-Rayleigh distributed. The additive thermal Gaussian noise (AGN) is calculated for such channels to evaluate the signal-to-noise ratio (SNR). The performance of the mediumaccess control (MAC) sublayer is studied by first evaluating the probability of packet retransmission and then the performance of the FH-NPCSMA protocol. The FH-NPCSMA protocol is the combination of frequency hopping spread spectrum (FH-SS) and nonpersistent carrier-sense multiple access (NPCSMA) that is proposed to improve the system throughput and average packet delay for both high traffic and multipath channels at MMW. The main advantage of the FH-NPCSMA protocol is to improve the performance over fading channels. ¬© 1999 IEEE.</t>
  </si>
  <si>
    <t>90-97</t>
  </si>
  <si>
    <t>Hmimy, Hossam H.</t>
  </si>
  <si>
    <t>Hmimy H.</t>
  </si>
  <si>
    <t>Performance of frequency-hopped NPCSMA for broad-band personal communication services (B-PCS) at millimeter waves in an urban mobile radio environment</t>
  </si>
  <si>
    <t>S0018954599008749</t>
  </si>
  <si>
    <t>10.1109/25.740064</t>
  </si>
  <si>
    <t>2-s2.0-0032778229</t>
  </si>
  <si>
    <t>['upper reaches', 'total length', 'tagged individuals', 'study period', 'rafinesque ),', 'positive correlations', 'operating conditions', 'monitoring procedure', 'lower reaches', 'lake erie', 'ictalurus punctatus', 'heated discharges', 'frequent movements', 'dynamic environmental', 'discharge canal', 'channel catfish', 'carp spent', 'behavioural responses', 'activity indices', '82 %).', '51 %)', '47 ),', '38 ),']</t>
  </si>
  <si>
    <t>Activity | Channel catfish | Common carp | Movement | Telemetry | Thermal effluent | Winter</t>
  </si>
  <si>
    <t>Radiotelemetry was used to examine the behavioural responses of fish to dynamic environmental and operating conditions in a fossil-generating power station discharge canal on Lake Erie. A series of seven underwater antennas continuously monitored the movements of 10 common carp, Cyprinus carpio L., and 10 channel catfish, Ictalurus punctatus (Rafinesque), in the 550-m discharge canal between 23 December 1997 and 1 May 1998. Common carp residency values were higher (47.71 ¬± 8.51%) than those of channel catfish (10.15 ¬± 2.82%). While resident in the discharge canal, channel catfish spent more time in the upper reaches and were more active than carp. Carp spent more time in the lower reaches of the channel, and made more frequent movements between the canal and Lake Erie. Overall residency decreased significantly during the study period. Aside from significant negative correlations between common carp residency and daily mean influent temperature (r = -0.53), daily discharge mean (r = -0.30) and minimum water temperature (r = -0.47), and positive correlations to daily mean cooling water flow (r = 0.38), the activity and residency of tagged individuals were independent of environmental and operating conditions. There was no relationship between the total length of each fish, and any of the residency or activity indices. The implications of extended fish residency in heated discharges and the utility of radiotelemetry as a monitoring procedure are discussed.</t>
  </si>
  <si>
    <t>515-526</t>
  </si>
  <si>
    <t>0969997X</t>
  </si>
  <si>
    <t>Fisheries Management and Ecology</t>
  </si>
  <si>
    <t>60014171;60014171</t>
  </si>
  <si>
    <t>24320083600;7102940952</t>
  </si>
  <si>
    <t>Cooke, S. J.;McKinley, R. S.</t>
  </si>
  <si>
    <t>Waterloo</t>
  </si>
  <si>
    <t>University of Waterloo</t>
  </si>
  <si>
    <t>Cooke S.</t>
  </si>
  <si>
    <t>Winter residency and activity patterns of channel catfish, Ictalurus punctatus (Rafinesque), and common carp, Cyprinus carpio L., in a thermal discharge canal</t>
  </si>
  <si>
    <t>10.1046/j.1365-2400.1999.00175.x</t>
  </si>
  <si>
    <t>2-s2.0-0032786279</t>
  </si>
  <si>
    <t>['system performance', 'statistical method', 'sectorized antennas', 'rayleigh distributed', 'rake receivers', 'rake fingers', 'practical values', 'practical antennas', 'performance improvement', 'paper presents', 'overlapping sectors', 'multipath components', 'mobile reception', 'incremental increase', 'finite frontto', 'finite front', 'fast fading', 'estimated considering', 'division multiple', 'dependent means', 'degraded significantly', 'cellular systems', 'back ratios', 'back ratio', 'analysis shows']</t>
  </si>
  <si>
    <t>RAKE receivers and sectorized antennas are used in direct-sequence/code-division multiple-access (DS/CDMA) cellular systems to improve the system performance. This paper presents a statistical method for analyzing the performance of DS/CDMA cellular radio systems employing RAKE receivers and sectorized antennas. Average bit error rates in the system are estimated considering the multipath fading effects of the environment. (The fast fading is assumed to be Rayleigh distributed, and the distance-dependent means of the multipath components have an exponential power delay profile.) The analysis of RAKE receivers quantifies the performance improvement that could be achieved by increasing the number of RAKE fingers. Sectorized antennas improve the system performance by reducing the interference at the receiver. In a perfectly sectorized system, assuming three sectors per cell, the capacity of the system can be improved by a factor of three. However, due to the imperfection in practical antennas, it is not possible to achieve this improvement. In this paper, the performance of systems employing practical sectorized antennas (with finite front-to-back ratios and overlapping sectors) is compared with the performance of perfectly sectorized systems. The analysis shows that the incremental performance improvement diminishes with each incremental increase in the number of RAKE fingers. Performance degradation due to finite frontto-back ratio is shown to be insignificant for practical values of the front-to-back ratio of sectorized antennas. However, the reliability of mobile reception can be degraded significantly in areas where adjacent sectors overlap. ¬© 1999 IEEE.</t>
  </si>
  <si>
    <t>Sathyendran, A.</t>
  </si>
  <si>
    <t>The University of Auckland</t>
  </si>
  <si>
    <t>Sathyendran A.</t>
  </si>
  <si>
    <t>A statistical approach to the analysis of DS/CDMA cellular systems employing RAKE receivers and sectorized antennas</t>
  </si>
  <si>
    <t>S0018954599006052</t>
  </si>
  <si>
    <t>10.1109/25.740056</t>
  </si>
  <si>
    <t>2-s2.0-0032786337</t>
  </si>
  <si>
    <t>['would provide', 'using base', 'use four', 'urban areas', 'two bands', 'top electronics', 'three types', 'three environments', 'third factor', 'pcs frequencies', 'near 1', 'minor increases', 'made noise', 'lower man', 'infrastructure cost', 'highly desirable', 'generally recognized', 'gain derived', 'downlink power', 'cellular band', 'carefully examined', 'basestation antenna', 'base station', 'alternative remedy', 'adaptive arrays', '9 ghz']</t>
  </si>
  <si>
    <t>Land mobile radio cellular systems | Personal communication networks | Propagation</t>
  </si>
  <si>
    <t>The median propagation loss in the personal communication services (PCS's) band (near 1.9 GHz) is generally recognized to be 9-10 dB greater than that in the cellular band (near 850 MHz). It would be highly desirable to make up this deficit in order to minimize the infrastructure cost of PCS service startup. This goal is aided by three factors favorable to operation at PCS frequencies. First, the vertical pattern gain of the basestation antenna, for the same size, will be more than 3 dB higher at 1.9 GHz. Second, the gain derived from using base-station antenna diversity on the uplink will be greater at 1.9 GHz. The third factor is lower man-made noise at 1.9 GHz, especially in urban areas. We have carefully examined all these factors in order to quantify the link budget differences between the two bands for three types of environment, namely, urban, suburban, and rural. We find that link budget parity (meaning the same allowable cell sizes) can be achieved in all three environments with fairly modest remedies. These include the use of tower-top electronics and minor increases in downlink power. An alternative remedy is to use four-branch maximal ratio combining (MRC) at the base station, which would provide a natural transition toward the deployment of adaptive arrays. ¬© 1999 IEEE.</t>
  </si>
  <si>
    <t>60-65</t>
  </si>
  <si>
    <t>Chu, T. S.</t>
  </si>
  <si>
    <t>Chu T.</t>
  </si>
  <si>
    <t>A quantification of link budget differences between the cellular and PCS bands</t>
  </si>
  <si>
    <t>S0018954599006878</t>
  </si>
  <si>
    <t>10.1109/25.740060</t>
  </si>
  <si>
    <t>2-s2.0-0032795693</t>
  </si>
  <si>
    <t>['valley profiles', 'spatial structures', 'space potential', 'rf discharge', 'radial direction', 'plasma density', 'new type', 'mode conversion', 'low pressure', 'helicon discharge', 'good uniformity', 'electropositive plasmas', 'electronegative plasma', 'central axis', 'capacitively coupled']</t>
  </si>
  <si>
    <t>Spatial structures of electronegative plasma were described in an inductively coupled discharge driven by an internal helical antenna in a uniform magnetic field. This new type of plasma source enables production of a high density (‚àº1011 cm-3) electronegative plasma at a low pressure (2 mTorr). Good uniformity was measured for the plasma density and the electron temperature along the central axis. These same parameters formed respectively hill and valley profiles in the radial direction. Mode conversion of RF discharge from capacitively coupled to inductively coupled discharge that eventually might lead to a helicon discharge was observed at various gas pressures. The space potential was found to decline with introduction of the electronegative (SF6) gas to the electropositive (Ar) gas, while the RF oscillating amplitude and the RF excited magnetic field increased. The electron energy distribution functions were found to be non-Maxwellian in electronegative plasma unlike in electropositive plasmas. ¬© 1999 IOP Publishing Ltd.</t>
  </si>
  <si>
    <t>136-141</t>
  </si>
  <si>
    <t>Nasser, M.;Fujita, H.</t>
  </si>
  <si>
    <t>Spatial structures of electronegative plasma produced by internal helical antenna in a uniform magnetic field</t>
  </si>
  <si>
    <t>S0963025299004909</t>
  </si>
  <si>
    <t>10.1088/0963-0252/8/1/016</t>
  </si>
  <si>
    <t>2-s2.0-0033075552</t>
  </si>
  <si>
    <t>['varied smoothly', 'stably locked', 'shifterless beam', 'scanning technique', 'scanning process', 'scanning mechanism', 'radiation pattern', 'phase mode', 'phase difference', 'new phase', 'mutual coupling', 'line amplifier', 'gradually changing', 'embedded amplifier', 'dynamic analysis', 'control line', 'antenna oscillators', 'amplifier bias', '35 %.']</t>
  </si>
  <si>
    <t>Active antenna array | Phase-shifterless scattering</t>
  </si>
  <si>
    <t>In this paper, a new phase-shifterless beam-scanning technique is proposed and demonstrated for a two-element active antenna array. An internal control line with an embedded amplifier is introduced in the array to provide another injection signal other than the mutualcoupling injection signal between antennas. By mixing the effects of the signals from the control line and mutual coupling, the phase difference between antennas is adjusted by gradually changing the amplifier bias on the control line. A dynamic analysis is presented to explain the scanning mechanism. The measured results showed that, when the control-line amplifier was biased from the off state to fully on state, the radiation pattern of the array was varied smoothly from the out-of-phase mode (with 180¬∞ radiation phase difference) to the in-phase mode (with 0¬∞ phase difference). During the scanning process, the antenna oscillators were stably locked, with the deviation of the locked frequency lower than 0.35%. ¬© 1999 IEEE.</t>
  </si>
  <si>
    <t>243-246</t>
  </si>
  <si>
    <t>7403210304;55469205300</t>
  </si>
  <si>
    <t>Chou, Young Huang;Chung, Shyh Jong</t>
  </si>
  <si>
    <t>Chou Y.</t>
  </si>
  <si>
    <t>A new phase-shifterless scanning technique for a two-element active antenna array</t>
  </si>
  <si>
    <t>S0018948099011424</t>
  </si>
  <si>
    <t>10.1109/22.744302</t>
  </si>
  <si>
    <t>2-s2.0-0033078050</t>
  </si>
  <si>
    <t>['white noise', 'superimposed exponentials', 'solution based', 'single sensor', 'resolution results', 'recently proposed', 'proper initialization', 'problems associated', 'methods based', 'local extremum', 'kumaresan method', 'estimating frequencies', 'derive conditions', 'certain constraints', 'appropriate implementation', 'antenna array', 'another advantage', 'analytic algorithm']</t>
  </si>
  <si>
    <t>Constant modulus algorithm (CMA) | Frequency estimation | Harmonic retrieval | Joint diagonalization | Sinusoids in noise</t>
  </si>
  <si>
    <t>The problem of estimating frequencies of superimposed exponentials in white noise, collected by a single sensor, is considered. We discuss a solution based on a modification of an analytic algorithm that was recently proposed for separation of constant modulus signals received by an antenna array by Van der Veen and Paulraj. We show that with an appropriate implementation of certain constraints, the algorithm produces excellent super-resolution results. An advantage of the algorithm is that it does not require multidimensional search, and therefore, it is free from problems associated with search algorithms like convergence to local extremum or proper initialization. Another advantage is its applicability in nonuniform sampling conditions, where methods based on linear prediction cannot be applied. We carry out a detailed performance analysis under the assumption of long data record and derive conditions for estimating all the frequencies. The performance of the proposed algorithm compares favorably with the performance of the Tufts-Kumaresan method. ¬© 1999 IEEE.</t>
  </si>
  <si>
    <t>341-348</t>
  </si>
  <si>
    <t>100637243;</t>
  </si>
  <si>
    <t>6506485086;7402247592</t>
  </si>
  <si>
    <t>Micka, Oz J.;Weiss, Anthony J.</t>
  </si>
  <si>
    <t>Metalink Transmission Devices Ltd.</t>
  </si>
  <si>
    <t>Micka O.</t>
  </si>
  <si>
    <t>Estimating frequencies of exponentials in noise using joint diagonalization</t>
  </si>
  <si>
    <t>S1053587X99007606</t>
  </si>
  <si>
    <t>10.1109/78.740120</t>
  </si>
  <si>
    <t>2-s2.0-0033079555</t>
  </si>
  <si>
    <t>['ten elements', 'scattering angle', 'results show', 'received signals', 'range increase', 'range 2', 'phased arrays', 'phased array', 'noise ratio', 'multipath channels', 'mobile communications', 'maximize signalto', 'directed beam', 'antenna gain', 'adaptive arrays', 'adaptive array', '100 elements']</t>
  </si>
  <si>
    <t>In this paper, we compare the increase in range with multiple-antenna base stations using adaptive array combining to that of phased array combining. With adaptive arrays, the received signals at the antennas are combined to maximize signalto-interference-plus-noise ratio (SINR) rather than only form a directed beam. Although more complex to implement, adaptive arrays have the advantage of higher diversity gain and antenna gain that is not limited by the scattering angle of the multipath at the mobile. Here, we use computer simulation to illustrate these advantages for range increase in both narrow-band and spreadspectrum mobile radio systems. For example, our results show that for a 3¬∞ scattering angle (typical in urban areas), a 100element array base station can increase the range 2.8 and 5.5-fold with a phased array and an adaptive array, respectively. Also, for this scattering angle, the range increase of a phased array with 100 elements can be achieved by an adaptive array with only ten elements. Adaptive arrays, mobile communications, multipath channels, phased arrays. ¬© 1999 IEEE.</t>
  </si>
  <si>
    <t>353-362</t>
  </si>
  <si>
    <t>Winters, Jack H.</t>
  </si>
  <si>
    <t>Winters J.</t>
  </si>
  <si>
    <t>The Range Increase of Adaptive Versus Phased Arrays in Mobile Radio Systems</t>
  </si>
  <si>
    <t>S0018954599010671</t>
  </si>
  <si>
    <t>10.1109/25.752559</t>
  </si>
  <si>
    <t>2-s2.0-0033097021</t>
  </si>
  <si>
    <t>NSC 86-2213-E-009-061</t>
  </si>
  <si>
    <t>['simple strategy', 'shall lead', 'resonance length', 'relied upon', 'physical construction', 'matching performance', 'line type', 'latter indicates', 'impedance model', 'feed line', 'efficient applicator', 'also described']</t>
  </si>
  <si>
    <t>Input impedance | Insulated coaxial slot antenna | Insulated dipole antenna | Interstitial microwave hyperthermia</t>
  </si>
  <si>
    <t>In this paper, a transmission-line type of input impedance model originally developed by King et al. [4] for the insulated dipole antenna embedded in a homogeneous dissipative medium is extended to the case of insulated coaxial slot antenna. Physical construction of the latter indicates the presence of additional current path(s) inside the feed line, which shall lead to the shortening of its resonance length. This effect is taken into account in the impedance model and verified by experiments. Furthermore, a simple strategy for optimizing the applicator's impedance-matching performance is also described and verified. Excellent agreements observed between theoretical and measured Su data indicate that these models can be relied upon when designing an efficient applicator for interstitial microwave hyperthermia. ¬© 1999 IEEE.</t>
  </si>
  <si>
    <t>302-307</t>
  </si>
  <si>
    <t>60000251-60012370;60000251</t>
  </si>
  <si>
    <t>7201718116;7404903021</t>
  </si>
  <si>
    <t>Su, David W.F.;Wu, Lin Kun</t>
  </si>
  <si>
    <t>Taiwan;United States</t>
  </si>
  <si>
    <t>Hsinchu;New York</t>
  </si>
  <si>
    <t>National Chiao Tung University;IEEE</t>
  </si>
  <si>
    <t>60012370;60000251</t>
  </si>
  <si>
    <t>Su D.</t>
  </si>
  <si>
    <t>Input impedance characteristics of coaxial slot antennas for interstitial microwave hyperthermia</t>
  </si>
  <si>
    <t>S0018948099019547</t>
  </si>
  <si>
    <t>10.1109/22.750231</t>
  </si>
  <si>
    <t>2-s2.0-0033097425</t>
  </si>
  <si>
    <t>['scattering properties', 'rigorous model', 'rainfall rate', 'radar pulse', 'radar parameters', 'radar altitude', 'polarized components', 'mirror image', 'mi returns', 'mi effect', 'double reflection', 'developed based', 'coand cross', 'bistatic returns', 'antenna beamwidth']</t>
  </si>
  <si>
    <t>Air/space-borne radars | Attenuation | Rain | Scattering | TRMM</t>
  </si>
  <si>
    <t>The mirror image (MI) rain echo received through the double reflection of the radar pulse from the surface may provide useful information in estimating the rainfall rate from airborne and spaceborne weather radars. However because of the complicated scattering mechanisms involving the surface and rain and the relatively small amount of measured data studies of the MI effect have been few. In this paper a more rigorous model of the MI return power has been constructed that yields the coand cross-polarized components of the MI and bistatic returns as a functions of the radar parameters (antenna beamwidth and radar altitude) and the scattering properties of the rain and surface. As a test of the model the mirror image return as estimated from theory is compared with the measured MI range profile and reasonably good agreement is obtained. For meteorological applications algorithms for estimation of the rain path attenuation are developed based on the difference of the direct and MI returns at the same distance from the surface. The accuracies of the algorithms are analyzed and compared with those of the surface reference technique (SRT) through the simulations for airborne and spaceborne [the case of the Tropical Rain Measuring Mission (TRMM)] geometries. ¬© 1999 IEEE.</t>
  </si>
  <si>
    <t>1107-1121</t>
  </si>
  <si>
    <t>2 II</t>
  </si>
  <si>
    <t>60006337;60006337;60006337</t>
  </si>
  <si>
    <t>7202542476;7006508160;7201587916</t>
  </si>
  <si>
    <t>Liao, Liang;Meneghini, Robert;Iguchi, Toshio</t>
  </si>
  <si>
    <t>Greenbelt</t>
  </si>
  <si>
    <t>NASA Goddard Space Flight Center</t>
  </si>
  <si>
    <t>Liao L.</t>
  </si>
  <si>
    <t>Simulations of mirror image returns of air/space-borne radars in rain and their applications in estimating path attenuation</t>
  </si>
  <si>
    <t>S0196289299019774</t>
  </si>
  <si>
    <t>10.1109/36.752229</t>
  </si>
  <si>
    <t>2-s2.0-0033097669</t>
  </si>
  <si>
    <t>Israel Science Foundation</t>
  </si>
  <si>
    <t>Tel-Aviv 69978</t>
  </si>
  <si>
    <t>ISF</t>
  </si>
  <si>
    <t>['velocity bunching', 'two antennas', 'theoretical analysis', 'simulate accurately', 'separation time', 'rough sea', 'propagation directions', 'prevailing practice', 'phase component', 'ocean waves', 'ocean surface', 'nonlinearity parameters', 'nonlinear solutions', 'monochromatic waves', 'insar images', 'insar imagery', 'insar image', 'infinite number', 'imaginary part', 'essentially nonlinear', 'dominant mechanism', 'complex insar', 'analytic expressions', 'allows imaging']</t>
  </si>
  <si>
    <t>Ocean waves | Remote sensing | Sar/along track interferometric sar image | Sea surface</t>
  </si>
  <si>
    <t>The problem of obtaining quantitative data on spatial ocean wave spectra from the images of the ocean surface by either regular SAR or along-track interferometric SAR (INSAR) is studied. The dominant mechanism which allows imaging of ocean waves by SAR/INSAR is the so-called velocity bunching. This mechanism is essentially nonlinear. The theoretical analysis of SAR/INSAR imagery of the ocean surface due to velocity bunching is performed and nonlinear solutions of the SAR/INSAR images of monochromatic waves and of the spectra of these images are obtained. Analytic expressions are presented here which allow to simulate accurately both SAR and INSAR images of waves with arbitrary lengths heights and propagation directions. It is demonstrated that a monochromatic wave expands in the SAR/INSAR images into an infinite number of harmonics. In addition to the nonlinearity parameters of SAR which is related to the velocity bunching mechanism it is shown that for complex INSAR the degree of nonlinearity depends also on separation time between the two antennas. The results of the present study indicate that in addition to the prevailing practice to consider the phase component of the INSAR image an analysis of the imaginary part of the complex INSAR map of the ocean surface may provide some supplementary information beneficial in particular for rough sea. ¬© 1999 IEEE.</t>
  </si>
  <si>
    <t>6701675911;57218274927</t>
  </si>
  <si>
    <t>Zilman, Gregory;Shemer, Lev</t>
  </si>
  <si>
    <t>Zilman G.</t>
  </si>
  <si>
    <t>An exact analytic representation of a regular or interferometric SAR image of ocean swell</t>
  </si>
  <si>
    <t>S0196289299019786</t>
  </si>
  <si>
    <t>10.1109/36.752220</t>
  </si>
  <si>
    <t>2-s2.0-0033097749</t>
  </si>
  <si>
    <t>['waveform estimators', 'united states', 'tracking gates', 'theory behind', 'step function', 'scattering surface', 'range intervals', 'paper reviews', 'nonuniform weights', 'nested family', 'generic algorithm', 'general case', 'gate weighting', 'gate properties', 'function shape', 'either type', 'conventional altimeters', 'basic method', 'altimeter waveform']</t>
  </si>
  <si>
    <t>Radar altimetry | Radar tracking | Sea measurements</t>
  </si>
  <si>
    <t>The range gate tracking algorithms in the United States' satellite radar altimeters over the past 20 years all use the same waveform estimators: uniformly weighted gates. The generic algorithm is based on a nested family of range intervals, within which the average reflected power is computed. This choice of gate weighting is guided by matching the gate properties to the shape of the flat surface impulse response of the scattering surface. For the case of a conventional, pulse-limited radar altimeter, the flat surface impulse response is a step function, for which uniformly weighted gates are appropriate. In the more general case, nonuniform weights are required. This paper reviews the theory behind the gate tracking algorithm as applied to conventional altimeters and extends this basic method to the recently proposed delay/Doppler altimeter whose impulse response does not have a step-function shape. Furthermore, it is shown that the definition of the tracking gates for either type of altimeter can be modified to account for the impact of the radar antenna beampattern on the altimeter waveform. ¬© 1999 IEEE.</t>
  </si>
  <si>
    <t>651-658</t>
  </si>
  <si>
    <t>2 I</t>
  </si>
  <si>
    <t>Radar altimeter gate tracking: theory and extension</t>
  </si>
  <si>
    <t>S0196289299008347</t>
  </si>
  <si>
    <t>10.1109/36.752182</t>
  </si>
  <si>
    <t>2-s2.0-0033098468</t>
  </si>
  <si>
    <t>NCR-9258374</t>
  </si>
  <si>
    <t>['yield high', 'sensing technology', 'sar systems', 'radar transmitter', 'paper trellis', 'discussed implemented', 'coded quantization']</t>
  </si>
  <si>
    <t>Compression | Phase history | Quantization | Radar | SAR</t>
  </si>
  <si>
    <t>Synthetic aperture radar (SAR) is a remote-sensing technology that uses the motion of the radar transmitter to synthesize an antenna aperture much larger than the actual antenna aperture to yield high-spatial resolution radar images. In this paper trellis-coded quantization (TCQ) techniques are shown to provide a high-performance low bit-error sensitivity solution to the problem of downlink data rate reduction for SAR systems. Trellis-coded vector quantization (TCVQ) and universal TCQ coding systems are discussed implemented and compared with other data compression schemes [block adaptive quantization (BAQ) and VQ] that can be used to compress SAR phase history data. ¬© 1999 IEEE.</t>
  </si>
  <si>
    <t>1080-1085</t>
  </si>
  <si>
    <t>7401460367;7005247357;7201600392;55254462600</t>
  </si>
  <si>
    <t>Owens, James W.;Marcellin, Michael W.;Hunt, Bobby R.;Kleine, Marvin</t>
  </si>
  <si>
    <t>Owens J.</t>
  </si>
  <si>
    <t>Compression of synthetic aperture radar video phase history data using trellis-coded quantization techniques</t>
  </si>
  <si>
    <t>S0196289299019725</t>
  </si>
  <si>
    <t>10.1109/36.752226</t>
  </si>
  <si>
    <t>2-s2.0-0033098493</t>
  </si>
  <si>
    <t>NCR-9734090</t>
  </si>
  <si>
    <t>['user depends', 'user capacity', 'total number', 'sir requirement', 'single power', 'simple expressions', 'previous work', 'powercontrolled network', 'performance comparison', 'performance analysis', 'multiuser receivers', 'multiaccess interference', 'mmse receiver', 'less wellunderstood', 'large system', 'interference requirements', 'effective interference', 'effective bandwidths', 'effective bandwidth', 'controlled cell', 'array systems']</t>
  </si>
  <si>
    <t>Decorrelator | Effective bandwidth | Effective interference | Mmse receiver | Multiuser detection | Power control | Random spreading sequences | User capacity</t>
  </si>
  <si>
    <t>Multiuser receivers improve the performance of spread-spectrum and antenna-array systems by exploiting the structure of the multiaccess interference when demodulating the signal of a user. Much of the previous work on the performance analysis of multiuser receivers has focused on their ability to reject worst case interference. Their performance in a powercontrolled network and the resulting user capacity are less wellunderstood. In this paper, we show that in a large system with each user using random spreading sequences, the limiting interference effects under several linear multiuser receivers can be decoupled, such that each interf√©rer can be ascribed a level of effective interference that it provides to the user to be demodulated. Applying these results to the uplink of a single power-controlled cell, we derive an effective bandwidth characterization of the user capacity: the signal-to-interference requirements of all the users can be met if and only if the sum of the effective bandwidths of the users is less than the total number of degrees of freedom in the system. The effective bandwidth of a user depends only on its own SIR requirement, and simple expressions are derived for three linear receivers: the conventional matched filter, the decorrelator, and the MMSE receiver. The effective bandwidths under the three receivers serve as a basis for performance comparison. ¬© 1999 IEEE.</t>
  </si>
  <si>
    <t>641-657</t>
  </si>
  <si>
    <t>60025038;60025038</t>
  </si>
  <si>
    <t>7101916524;7003858493</t>
  </si>
  <si>
    <t>Tse, David N.C.;Hanly, Stephen V.</t>
  </si>
  <si>
    <t>Tse D.</t>
  </si>
  <si>
    <t>Linear multiuser receivers: effective interference, effective bandwidth and user capacity</t>
  </si>
  <si>
    <t>S0018944899013802</t>
  </si>
  <si>
    <t>10.1109/18.749008</t>
  </si>
  <si>
    <t>2-s2.0-0033098947</t>
  </si>
  <si>
    <t>['used dipole', 'unit matrix', 'transmission matrices', 'subsurface fractures', 'slot antennas', 'scattering matrix', 'radiation pattern', 'proposed method', 'polarization basis', 'polarimetric single', 'orthogonal polarizations', 'kamaishi mine', 'host rock', 'frequency dependency', 'dipole antennas', 'crosshole measurements', 'crosshole measurement', '120 mhz']</t>
  </si>
  <si>
    <t>Borehole radar measurements | Polarimetric system design | Radar polarimetry | Rough surface | Underground object detection</t>
  </si>
  <si>
    <t>In this paper, a full-polarimetric borehole radar system is presented with combinations of dipole antennas and axial slot antennas and is applied to subsurface fracture measurement. First, to determine a scattering matrix from measurements with antennas having different antenna transfer functions between orthogonal polarizations, we present an antenna compensation algorithm that is achieved by an inverse filtering method with the antenna transfer functions experimentally determined by crosshole measurements. The results of crosshole and single-hole measurements carried out in granite at the Kamaishi Mine are shown to verify the proposed method. In the crosshole measurement, we find that the used dipole and slot antennas have almost the same radiation pattern and frequency dependency from 50 to 120 MHz. The transmission matrices through the host rock are the unit matrix for most paths, while depolarization is observed in some sections. Reflections from subsurface fractures show significant depolarization in the polarimetric single-hole reflection measurements. Using the scattering matrix, it is evaluated that subsurface fractures have a randomly isotropic rough surface for wavelengths between 1 and 2 m on the rotation of polarization basis. ¬© 1999 IEEE.</t>
  </si>
  <si>
    <t>828-837</t>
  </si>
  <si>
    <t>60008435;60008435;60008435</t>
  </si>
  <si>
    <t>35254092000;7405726997;7006500813</t>
  </si>
  <si>
    <t>Miwa, Takashi;Sato, Motoyuki;Niitsuma, Hiroaki</t>
  </si>
  <si>
    <t>Miwa T.</t>
  </si>
  <si>
    <t>Subsurface fracture measurement with polarimetric borehole radar</t>
  </si>
  <si>
    <t>S0196289299011717</t>
  </si>
  <si>
    <t>10.1109/36.752199</t>
  </si>
  <si>
    <t>2-s2.0-0033099059</t>
  </si>
  <si>
    <t>N00014-95-1-0908</t>
  </si>
  <si>
    <t>['solomon coding', 'ofdm systems', 'ofdm receiver', 'interesting application', 'induced cyclostationarity', 'fractional sampling', 'explored recently', 'even channels', 'cyclic prefix', 'blind identification']</t>
  </si>
  <si>
    <t>Transmitter-induced cyclostationarity has been explored recently as an alternative to fractional sampling and antenna array methods for blind identification of FIR communication channels. An interesting application of these ideas is in OFDM systems, which induce cyclostationarity due to the cyclic prefix. In this correspondence, we develop a novel subspace approach for blind channel identification using cyclic correlations at the OFDM receiver. Even channels with equispaced unit circle zeros are identifiable in the presence of any nonzero length cyclic prefix with adequate block length. Simulations of the proposed channel estimator along with its performance in OFDM systems combined with impulse response shortening and Reed-Solomon coding are presented. ¬© 1999 IEEE.</t>
  </si>
  <si>
    <t>848-856</t>
  </si>
  <si>
    <t>55934670700;36049280600</t>
  </si>
  <si>
    <t>Heath, Robert W.;Giannakis, Georgios B.</t>
  </si>
  <si>
    <t>Heath R.</t>
  </si>
  <si>
    <t>Exploiting Input Cyclostationarity for Blind Channel Identification in OFDM Systems</t>
  </si>
  <si>
    <t>S1053587X99013483</t>
  </si>
  <si>
    <t>10.1109/78.747790</t>
  </si>
  <si>
    <t>2-s2.0-0033101736</t>
  </si>
  <si>
    <t>['various well', 'transmission channel', 'single output', 'related techniques', 'recent contributions', 'polyphase channels', 'order statistics', 'optimal settings', 'mostly interested', 'linear equalization', 'known types', 'equalization problem', 'blind implementation', 'antenna array']</t>
  </si>
  <si>
    <t>In this paper, we consider the problem of linear equalization of polyphase channels and its blind implementation. These channels may result from oversampling the single output of a transmission channel or/and by receiving multiple outputs of an antenna array. A number of recent contributions in the field of blind channel identification have shown that polyphase channels can be blindly identified using only second-order statistics (SOS) of the output. In this work, we are mostly interested in the blind linear equalization of these channels: After some elaboration on the specifics of the equalization problem for polyphase channels, we show how optimal settings of various well-known types of linear equalization structures can be obtained blindly using only the output's SOS by using multichannel linear prediction or related techniques. ¬© 1999 IEEE.</t>
  </si>
  <si>
    <t>641-654</t>
  </si>
  <si>
    <t>60021378;60029859</t>
  </si>
  <si>
    <t>54681109400;7006207071</t>
  </si>
  <si>
    <t>Papadiasember, Constantinos B.;Slock, Dirk T.M.</t>
  </si>
  <si>
    <t>Sophia Antipolis;Murray</t>
  </si>
  <si>
    <t>EURECOM Ecole d'Ing√©nieur et Centre de Recherche en Sciences du Num√©rique;Nokia Bell Labs</t>
  </si>
  <si>
    <t>60029859;60021378</t>
  </si>
  <si>
    <t>Papadiasember C.B.</t>
  </si>
  <si>
    <t>Fractionally spaced equalization of linear polyphase channels and related blind techniques based on multichannel linear prediction</t>
  </si>
  <si>
    <t>S1053587X99013306</t>
  </si>
  <si>
    <t>10.1109/78.747772</t>
  </si>
  <si>
    <t>2-s2.0-0033101806</t>
  </si>
  <si>
    <t>DAA-H04-96-1-10215</t>
  </si>
  <si>
    <t>['sirv ).', 'signal detection', 'prior knowledge', 'interference parameters', 'interference modeled', 'interference model', 'illustrative examples', 'gaussian interference', 'first motivate', 'false alarm', 'detection performance', 'cfar receiver', 'analysis shows', '8 ].', '22 ].', '18 ].']</t>
  </si>
  <si>
    <t>Coherent signal detection in non-Gaussian interference is presently of interest in adaptive array applications. Conventional array detection algorithms inherently model the interference with a multivariate Gaussian random vector [1-8]. However, non-Gaussian interference models are also under investigation for applications where the Gaussian assumption may not be appropriate [8-12, 18]. We analyze the performance of an adaptive array receiver for signal detection in interference modeled with a non-Gaussian distribution referred to as a spherically invariant random vector (SIRV). We first motivate this interference model with results from radar clutter measurements collected in the Mountain Top Program [22]. Then we develop analytical expressions for the probability of false alarm and the probability of detection for the adaptive array receiver. Our analysis shows that the receiver has constant false alarm rate (CFAR) performance with respect to all the interference parameters. Some illustrative examples are included that compare the detection performance of this CFAR receiver with a receiver that has prior knowledge of the interference parameters. ¬© 1999 IEEE.</t>
  </si>
  <si>
    <t>903-916</t>
  </si>
  <si>
    <t>6603075174;7101943590</t>
  </si>
  <si>
    <t>Pulsone, N. B.;Raghavan, R. S.</t>
  </si>
  <si>
    <t>Pulsone N.</t>
  </si>
  <si>
    <t>Analysis of an adaptive CFAR detector in non-Gaussian interference</t>
  </si>
  <si>
    <t>10.1109/7.784060</t>
  </si>
  <si>
    <t>2-s2.0-0033155591</t>
  </si>
  <si>
    <t>['work investigates', 'track resolution', 'surface coverage', 'resolution derived', 'phase resolution', 'elevation resolution']</t>
  </si>
  <si>
    <t>Interferometric synthetic aperture radar (InSAR) ability to determine pixel elevation with a resolution derived from the interferometer phase resolution, is maintained as long as the interferometer phase change over the pixel does not exceed the phase resolution. This work investigates the surface coverage where this condition is met, determines the elevation resolution,: and derives the ratio between elevation resolution and across-track resolution. ¬© 1999 IEEE.</t>
  </si>
  <si>
    <t>1106-1111</t>
  </si>
  <si>
    <t>Levanon, Nadav</t>
  </si>
  <si>
    <t>Levanon N.</t>
  </si>
  <si>
    <t>Effectiveness boundaries of interferometric SAR</t>
  </si>
  <si>
    <t>2-s2.0-0033155664</t>
  </si>
  <si>
    <t>['torus knots', 'special class', 'scattering properties', 'parameterizations available', 'known expressions', 'fields radiated', 'field expressions', 'electromagnetic radiation', 'degenerate forms', 'canonical unknot', 'also outlined']</t>
  </si>
  <si>
    <t>Dielectric materials | Electromagnetic radiation | Electromagnetic scattering | Inhomogeneous media | Knot electrodynamics</t>
  </si>
  <si>
    <t>The electromagnetic radiation and scattering properties of thin knotted wires are considered in this paper. A special class of knots, called torus knots, are introduced for the purpose of this investigation. The parameterizations available for torus knots are used in conjunction with Maxwell's equations to formulate useful mathematical representations for the fields radiated by these knots. These representations are then used to derive simple closed form far-field expressions for electrically small torus knots. The derivation of a new electric field integral equation (EFIE) suitable for analysis of toroidally knotted wires is also outlined in this paper. Finally, it is demonstrated that the well-known expressions for the electromagnetic fields radiated by a circular loop antenna (canonical unknot) may be obtained as degenerate forms of the more general torus knot field representations. ¬© 1999 IEEE.</t>
  </si>
  <si>
    <t>1351-1363</t>
  </si>
  <si>
    <t>Werner, Douglas H.</t>
  </si>
  <si>
    <t>Radiation and scattering from thin toroidally knotted wires</t>
  </si>
  <si>
    <t>S0018926X99079685</t>
  </si>
  <si>
    <t>10.1109/8.791955</t>
  </si>
  <si>
    <t>2-s2.0-0033170319</t>
  </si>
  <si>
    <t>['vastly superior', 'tetrahedral elements', 'spurious modes', 'selective expansion', 'provide versatility', 'physical structures', 'paper demonstrates', 'order tvfe', 'hierarchical mixed', 'geometric modeling', 'efficient finite', 'e .,', 'computational domain']</t>
  </si>
  <si>
    <t>Finite-element method | Hierarchical basis functions | Tangential vector finite elements</t>
  </si>
  <si>
    <t>Hierarchical mixed-order tangential vector finite elements (TVFE's) for tetrahedral elements are attractive for accurate and efficient finite-element method simulation of complicated electromagnetic problems. They provide versatility in the geometric modeling of physical structures, guarantee solutions free of spurious modes, and allow local increase of resolution by selective expansion of the unknown electromagnetic field, i.e., by combination of mixed-order TVFE's of different orders within a computational domain. For a realistic antenna radiation problem, this paper demonstrates that field expansion using lowest and higher order hierarchical mixed-order TVFE's selectively is vastly superior [in terms of accuracy, memory, as well as central processing unit (CPU)-time] to field expansion using a lowest order mixed-order TVFE only. ¬© 1999 IEEE.</t>
  </si>
  <si>
    <t>1240-1243</t>
  </si>
  <si>
    <t>7201948724;7102576479</t>
  </si>
  <si>
    <t>Andersen, Lars S.;Volakis, John L.</t>
  </si>
  <si>
    <t>Andersen L.</t>
  </si>
  <si>
    <t>Accurate and efficient simulation of antennas using hierarchical mixed-order tangential vector finite elements for tetrahedra</t>
  </si>
  <si>
    <t>S0018926X99079545</t>
  </si>
  <si>
    <t>10.1109/8.791938</t>
  </si>
  <si>
    <t>2-s2.0-0033170322</t>
  </si>
  <si>
    <t>['situations required', 'providing robustness', 'previous algorithms', 'moving jammers', 'jammer directions', 'handle wide', 'free observations', 'earlier work', 'derivative constraints', 'conventional narrow', 'coherent jammers', 'algorithms proposed', 'achieved via', '1 ],']</t>
  </si>
  <si>
    <t>Adaptive arrays | Array signal processing</t>
  </si>
  <si>
    <t>The problem of providing robustness to the conventional narrow-band uniform linear array configuration so as to handle wide-band and moving jammers is addressed here. This robustness is achieved via the use of derivative constraints in jammer directions. However, since the jammer directions are not known a priori, these constraints are incorporated with a maximum likelihood characterization of the so-called jammer subspace. This formulation does not need to assume the availability of signal-free observations, as stipulated in earlier work. Computer simulation results are presented, which show that the algorithms proposed here yield significantly better performance as compared to the previous algorithms of Gershman et al. [1], [2] and Hung and Turner [3] in a variety of situations required to handle wide-band, moving, and coherent jammers. ¬© 1999 IEEE.</t>
  </si>
  <si>
    <t>1267-1275</t>
  </si>
  <si>
    <t>60032730;60032730</t>
  </si>
  <si>
    <t>35854246100;55427713700</t>
  </si>
  <si>
    <t>Agrawal, Monika;Prasad, Surendra</t>
  </si>
  <si>
    <t>Indian Institute of Technology Delhi</t>
  </si>
  <si>
    <t>Agrawal M.</t>
  </si>
  <si>
    <t>Robust adaptive beamforming for wide-band, moving, and coherent jammers via uniform linear arrays</t>
  </si>
  <si>
    <t>S0018926X99079739</t>
  </si>
  <si>
    <t>10.1109/8.791942</t>
  </si>
  <si>
    <t>2-s2.0-0033170323</t>
  </si>
  <si>
    <t>Alexander von Humboldt-Stiftung</t>
  </si>
  <si>
    <t>["x ')", 'solved analytically', 'paper focuses', 'newtonian potential', 'general anisotropy', 'frequency scattering', 'free representation', 'electromagnetic properties', 'asymptotic expressions', 'associated modes', 'arbitrary sources', 'anisotropic medium']</t>
  </si>
  <si>
    <t>Anisotropic media | Electromagnetic radiation | Electromagnetic scattering</t>
  </si>
  <si>
    <t>This paper focuses on a boundless homogeneous medium with general anisotropy of electromagnetic properties. The explicit exact form of the four spectral Green's dyads ƒúvŒ∂(k) is obtained and a coordinate-free representation of the four spatial Green's functions ƒúvŒ∂(x -x') in terms of one scalar potential W(x. -x') is developed. On this basis, asymptotic expressions for the radiation field due to arbitrary sources are derived that show that the associated modes and the eigenmodes determine radiation along a singular optic axis and in all other directions, respectively. Using an integral equation approach and the theory of Newtonian potential, the problem of low-frequency scattering by a small anisotropic ellipsoidal body immersed into an anisotropic medium is solved analytically. ¬© 1999 IEEE.</t>
  </si>
  <si>
    <t>1364-1373</t>
  </si>
  <si>
    <t>100731308;60010338</t>
  </si>
  <si>
    <t>6701330643;7202864116</t>
  </si>
  <si>
    <t>Zhuck, Nickolay P.;Omar, Abbas S.</t>
  </si>
  <si>
    <t>Germany;Canada</t>
  </si>
  <si>
    <t>Hamburg;Markham</t>
  </si>
  <si>
    <t>Hamburg University of Technology;Unique Broadband Systems, Inc.</t>
  </si>
  <si>
    <t>60010338;100731308</t>
  </si>
  <si>
    <t>Zhuck N.</t>
  </si>
  <si>
    <t>Radiation and low-frequency scattering of EM waves in a general anisotropie homogeneous medium</t>
  </si>
  <si>
    <t>S0018926X99079697</t>
  </si>
  <si>
    <t>10.1109/8.791956</t>
  </si>
  <si>
    <t>2-s2.0-0033170327</t>
  </si>
  <si>
    <t>['slot antennas', 'lattice geometry', 'ghz linear', 'ghz constant', 'effective thickness', 'dielectric substrate', '94 ghz', '2 ).']</t>
  </si>
  <si>
    <t>Artificial substrates | Micromachining | Taperedslot antennas</t>
  </si>
  <si>
    <t>This paper presents 30-GHz linear-tapered slot antennas (LTSA) and 94-GHz constant-width slot antennas (CSWA) on synthesized low dielectric constant substrates (Œµr -2.2). The performance of tapered-slot antennas (TSA) is sensitive to the effective thickness of the substrate. We have reduced the effective thickness by selectively machining holes in the dielectric substrate. The machined substrate antenna radiation patterns were significantly improved independent of the machined hole size or lattice as long as the quasi-static effective thickness remained the same, even if the hole/lattice geometry is comparable to a wavelength. The method was applied at 94 GHz on a CSWA with excellent radiation pattern improvement, making it suitable for f/1.6 imaging array applications. ¬© 1999 IEEE.</t>
  </si>
  <si>
    <t>1276-1280</t>
  </si>
  <si>
    <t>6701858541;7006384021</t>
  </si>
  <si>
    <t>Muldavin, Jeremy B.;Rebeiz, Gabriel M.</t>
  </si>
  <si>
    <t>Muldavin J.</t>
  </si>
  <si>
    <t>Millimeter-wave tapered-slot antennas on synthesized low permittivity substrates</t>
  </si>
  <si>
    <t>S0018926X99079727</t>
  </si>
  <si>
    <t>10.1109/8.791943</t>
  </si>
  <si>
    <t>2-s2.0-0033170328</t>
  </si>
  <si>
    <t>['two examples', 'tmn mode', 'results show', 'proposed antenna', 'much less', 'microstrip line', 'inserted slits', 'experimentally investigated', 'experimental results', 'cp performance', 'cp operation', 'circular polarization']</t>
  </si>
  <si>
    <t>Circular polarization | Printed antennas</t>
  </si>
  <si>
    <t>Circular polarization (CP) operation of an annular-ring microstrip antenna with a pair of inserted slits at its fundamental TMn mode is proposed and experimentally investigated. Two examples of the proposed antenna fed using a microstrip line at the inner and outer patch boundaries are studied. Results show that the proposed antenna can have good CP performance and, moreover, the required antenna size at a fixed CP operation can be much less than that of a conventional circularly polarized circular microstrip antenna operated at the TMn mode. Details of the proposed antenna for CP operation are described and experimental results of the CP performance are presented and discussed. ¬© 1999 IEEE.</t>
  </si>
  <si>
    <t>1289-1292</t>
  </si>
  <si>
    <t>7501612962;35460663000</t>
  </si>
  <si>
    <t>Chen, Hua Ming;Wong, Kin Lu</t>
  </si>
  <si>
    <t>On the circular polarization operation of annular-ring microstrip antennas</t>
  </si>
  <si>
    <t>S0018926X99079740</t>
  </si>
  <si>
    <t>10.1109/8.791945</t>
  </si>
  <si>
    <t>2-s2.0-0033170332</t>
  </si>
  <si>
    <t>F49620‚Äì96‚Äì1‚Äì0025</t>
  </si>
  <si>
    <t>['truncated using', 'successfully applied', 'pml ).', 'numerical results', 'mixed representation', 'fem mesh', 'element method', 'easy treatment', 'conducting surfaces', 'boundary conditions']</t>
  </si>
  <si>
    <t>Antennas | Bodies of revolution | Finite-element methods</t>
  </si>
  <si>
    <t>A finite-element method (FEM) is developed for the analysis of complex axisymmetric radiating structures. The method is based on the electric field formulation with the transverse field expanded in terms of edge-based vector basis functions and the azimuth component expanded using nodal-based scalar basis functions. This mixed representation of the electric field eliminates spurious solutions and permits an easy treatment of boundary conditions on conducting surfaces as well as across material interfaces. The FEM mesh is truncated using a recently developed cylindrical perfectly matched layer (PML). The method has been successfully applied to three radiating structures: a corrugated horn antenna, a spherical Luneburg lens, and a half Maxwell fish eye. Numerical results are presented to show the validity, accuracy, and efficiency of the method. ¬© 1999 IEEE.</t>
  </si>
  <si>
    <t>1260-1266</t>
  </si>
  <si>
    <t>60015710;60000745</t>
  </si>
  <si>
    <t>7102457649;7403588231</t>
  </si>
  <si>
    <t>Greenwood, Andrew D.;Jin, Jian Ming</t>
  </si>
  <si>
    <t>Kirtland;Urbana</t>
  </si>
  <si>
    <t>Kirtland Air Force Base;University of Illinois Urbana-Champaign</t>
  </si>
  <si>
    <t>Greenwood A.</t>
  </si>
  <si>
    <t>Finite-element analysis of complex axisymmetric radiating structures</t>
  </si>
  <si>
    <t>S0018926X99079521</t>
  </si>
  <si>
    <t>10.1109/8.791941</t>
  </si>
  <si>
    <t>2-s2.0-0033170346</t>
  </si>
  <si>
    <t>Research Grants Council, University Grants Committee</t>
  </si>
  <si>
    <t>9 040 421</t>
  </si>
  <si>
    <t>RGC, UGC</t>
  </si>
  <si>
    <t>['wire antennas', 'measured equation', 'linear equation', 'differential equation', 'based formulation', 'antenna surface']</t>
  </si>
  <si>
    <t>Absorbing boundary conditions | Wire antennas</t>
  </si>
  <si>
    <t>In this paper, the formulas of on-surface measured equation of invariance (OSMEI) for wire antennas are derived. The unknowns of each node on the antenna surface are expressed by the vector potential function and surface current density. The unknowns in the vicinity of each node are coupled in a linear equation and the coefficients of the linear equation are determined by the measured equation of invariance (MEI) method. The final impedance matrix obtained by the OSMEI is a highly sparse matrix. It demonstrates that the currents on thin wire antennas may also be solved by a differential equation-based formulation in addition to the conventional integral equations. ¬© 1999 IEEE.</t>
  </si>
  <si>
    <t>1301-1304</t>
  </si>
  <si>
    <t>Liu, Yaowu;Lan, Kang;Mei, Kenneth K.</t>
  </si>
  <si>
    <t>Application of on-surface MEI method on wire antennas</t>
  </si>
  <si>
    <t>S0018926X99079582</t>
  </si>
  <si>
    <t>10.1109/8.791947</t>
  </si>
  <si>
    <t>2-s2.0-0033170350</t>
  </si>
  <si>
    <t>N0014-95-1-0636</t>
  </si>
  <si>
    <t>['specified response', 'specified forms', 'real time', 'operating points', 'multiple diodes', 'microwave region', 'input wave', 'desired set', 'design materials', 'curve shapers', 'based upon']</t>
  </si>
  <si>
    <t>Electromagnetic propagation in nonlinear media | Electromagnetic scattering by nonlinear media | Nonhomogeneous media</t>
  </si>
  <si>
    <t>Several new artificial nonlinear composite materials are introduced in this paper. They consist of electric molecules constructed with nonlinearly loaded electrically small dipole antennas. Their behaviors are studied with an augmented finitedifference time-domain (FDTD) simulator. The loads are based upon the use of multiple diodes and ideal operational amplifiers. The resulting composite materials are shown to have nonlinear electromagnetic properties including the ability to create any desired set of harmonics and subharmonics from an input wave having a single fixed frequency. Curve shaping circuits are introduced, simulated, and used to design materials that produce output signals of specified forms. Because the operating points of these curve shapers are adjustable, they could be modified in real time. The resulting smart materials could be designed in the microwave region to produce any specified response to a recognized input signal. ¬© 1999 IEEE.</t>
  </si>
  <si>
    <t>1330-1339</t>
  </si>
  <si>
    <t>Artificial composite materials consisting of nonlinearly loaded electrically small antennas: operational-amplifier-b ased circuits with applications to smart skins</t>
  </si>
  <si>
    <t>S0018926X99079636</t>
  </si>
  <si>
    <t>10.1109/8.791952</t>
  </si>
  <si>
    <t>2-s2.0-0033170391</t>
  </si>
  <si>
    <t>['quite comparable', 'numerical study', 'modes propagating']</t>
  </si>
  <si>
    <t>Dielectric-coated metallic cylinder | Printed antennas | Surface impedance</t>
  </si>
  <si>
    <t>The results of analytical and numerical study of the modes propagating on an impedance-surface circular cylinder are communicated. Besides the well-known axially symmetric Sommerfeld's mode, another hybrid mode, having a single azimuthal variation, can propagate at any frequency. For a realistic cylindrical conformai antenna, the both wavenumbers are quite comparable. This may cause additional coupling between array antenna elements. ¬© 1999 IEEE.</t>
  </si>
  <si>
    <t>60030553;60030553;60068535</t>
  </si>
  <si>
    <t>7101879859;56962710300;7202044329</t>
  </si>
  <si>
    <t>Richard, Laurence;Nosich, Alexander I.;Daniel, Jean Pierre</t>
  </si>
  <si>
    <t>Ukraine;France</t>
  </si>
  <si>
    <t>Kharkiv;Rennes</t>
  </si>
  <si>
    <t>O. Ya. Usikov Institute for Radiophysics and Electronics of the National Academy of Sciences of Ukraine;Universite de Rennes 1</t>
  </si>
  <si>
    <t>60068535;60030553</t>
  </si>
  <si>
    <t>Richard L.</t>
  </si>
  <si>
    <t>Revisiting the waves on a coated cylinder by using surface-impedance model</t>
  </si>
  <si>
    <t>S0018926X99079703</t>
  </si>
  <si>
    <t>10.1109/8.791957</t>
  </si>
  <si>
    <t>2-s2.0-0033170393</t>
  </si>
  <si>
    <t>['subarray pattern', 'scanning antennas', 'roughly 10', 'quantization lobes', 'phased arrays', 'paper presents', 'new method', 'beam scan', '12 db']</t>
  </si>
  <si>
    <t>This paper presents a new method for the reduction of quantization lobes produced by beam scan in an array of subarrays. These quantization lobes occur at the grating lobe angles and are decreased by the subarray pattern. It is shown that they can be further reduced by adding a random phase component to each subarray. For two element subarrays the quantization lobes (QL) suppression is roughly 10-12 dB. Phased arrays, scanning antennas. ¬© 1999 IEEE Publisher Item Identifier S 0018-926X(99)07955-7.</t>
  </si>
  <si>
    <t>1237-1239</t>
  </si>
  <si>
    <t>100333806;100368890</t>
  </si>
  <si>
    <t>24512080300;7004459052</t>
  </si>
  <si>
    <t>Hansen, R. C.;Charlton, Gregory G.</t>
  </si>
  <si>
    <t>Van Nuys;Tarzana</t>
  </si>
  <si>
    <t>ITT Gilfillan;R. C. Hansen, Inc.</t>
  </si>
  <si>
    <t>100368890;100333806</t>
  </si>
  <si>
    <t>Subarray quantization lobe decollimation</t>
  </si>
  <si>
    <t>10.1109/8.791937</t>
  </si>
  <si>
    <t>2-s2.0-0033170395</t>
  </si>
  <si>
    <t>['time resonances', 'target depth', 'spiraling character', 'revolution buried', 'resonant frequencies', 'real frequencies', 'particular targets', 'numerical results', 'mine identification', 'medium green', 'e .,', 'driven problems', 'dielectric bodies', 'determining late', 'complex images', 'analysis tractable']</t>
  </si>
  <si>
    <t>Buried object detection | Inhomogeneous media | Natural resonances</t>
  </si>
  <si>
    <t>A method-of-moments (MoM) analysis is applied to the problem of determining late-time resonances of dielectric bodies of revolution buried in a lossy layered medium, with application to plastic-land-mine identification. To make such an analysis tractable, we have employed the method of complex images to evaluate the layered-medium Green's function. The application of this method to resonant structures characterized by complex resonant frequencies, introduces numerical issues not manifested at real frequencies (i.e., for driven problems) with such discussed here in detail. Numerical results are presented for several buried targets in which we demonstrate, for example, the spiraling character of the resonant frequencies of particular targets as a function of target depth. ¬© 1999 IEEE.</t>
  </si>
  <si>
    <t>1305-1313</t>
  </si>
  <si>
    <t>60008724;60008724;60005837</t>
  </si>
  <si>
    <t>7003266016;7404289310;7004561693</t>
  </si>
  <si>
    <t>Geng, Norbert;Jackson, David R.;Carin, Lawrence</t>
  </si>
  <si>
    <t>Durham;Houston</t>
  </si>
  <si>
    <t>Duke University;University of Houston</t>
  </si>
  <si>
    <t>60008724;60005837</t>
  </si>
  <si>
    <t>Geng N.</t>
  </si>
  <si>
    <t>On the resonances of a dielectric BOR buried in a dispersive layered medium</t>
  </si>
  <si>
    <t>S0018926X99079594</t>
  </si>
  <si>
    <t>10.1109/8.791948</t>
  </si>
  <si>
    <t>2-s2.0-0033170396</t>
  </si>
  <si>
    <t>NSC 88-2213-E009-099</t>
  </si>
  <si>
    <t>['wave antennas', 'wave antenna', 'voltagecontrolled oscillator', 'vco ).', 'varactortuned x', 'scanning angle', 'right beam', 'radiating element', 'power radiates', 'open end', 'novel two', 'microstrip line', 'left beam', 'injected via', 'fed asymmetrically', 'designed antenna', 'configuration offers', 'band high', '67 dbm', '5 ghz', '46 ¬∞', '4 ghz', '150 ¬∞', '10 db']</t>
  </si>
  <si>
    <t>Leaky-wave antennas | Microstrip transmission lines | Printed antennas | Scanning antennas</t>
  </si>
  <si>
    <t>A novel two-beam scanning active leaky-wave antenna (LWA) has been developed. This LWA with a two-terminal feeding microstrip line structure is integrated with a varactortuned X-band high-electron mobility transistor (HEMT) voltagecontrolled oscillator (VCO). The signal of the VCO is injected via a T-divider into the radiating element. To excite the first higher order mode, the designed antenna is fed asymmetrically at both ends of the microstrip line. Compared with singleterminal feeding leaky-wave antennas, this configuration offers the advantages of dual-direction and suppression of the reflected wave caused by the open end of the radiating element. The scanning angle is steered over a range of 24-46¬∞ for the right beam and 128-150¬∞ for the left beam. The Effective isotropic radiated power (EIRP) is calculated to be 17.5 and 16.67 dBm at 10.4 GHz, respectively. The measured return loss Su is less than -10 dB in the range of 9-11.5 GHz. The transmission coefficient S21 indicates that the power radiates into the space. ¬© 1999 IEEE.</t>
  </si>
  <si>
    <t>1314-1317</t>
  </si>
  <si>
    <t>60012370;60012370;60072380</t>
  </si>
  <si>
    <t>A novel two-beam scanning active leaky-wave antenna</t>
  </si>
  <si>
    <t>S0018926X99079612</t>
  </si>
  <si>
    <t>10.1109/8.791949</t>
  </si>
  <si>
    <t>2-s2.0-0033170397</t>
  </si>
  <si>
    <t>['standard architecture', 'request phase', 'proposed architecture', 'intelligent node', 'hybrid fiber', 'demand resources', 'collision probability', '2000 subscribers']</t>
  </si>
  <si>
    <t>CATV networks | HFC</t>
  </si>
  <si>
    <t>In the hybrid fiber/coax (HFC) architecture, a number of 500-2000 subscribers in CATV (Community Antenna TV) network may cause serious collisions during the request phase. In this paper, we propose a new network architecture which using an Intelligent Node (IN) to stand for a group of subscribers to request the demand resources, The Intelligent Node has the ability to reduce the collision probability as well as the collision resolving period. The simulation results shown that the throughput and average buffer delay obtained by proposed architecture is better than that of standard architecture. ¬© 1999 IEEE.</t>
  </si>
  <si>
    <t>308-317</t>
  </si>
  <si>
    <t>60018405;60018405</t>
  </si>
  <si>
    <t>35616830400;7406351572</t>
  </si>
  <si>
    <t>Sheu, Shiann Tsong;Chen, Meng Hong</t>
  </si>
  <si>
    <t>New Taipei City</t>
  </si>
  <si>
    <t>Tamkang University</t>
  </si>
  <si>
    <t>Sheu S.</t>
  </si>
  <si>
    <t>A new network architecture with Intelligent Node (IN) to enhance IEEE 802.14 HFC networks</t>
  </si>
  <si>
    <t>S0018931699088770</t>
  </si>
  <si>
    <t>10.1109/11.796273</t>
  </si>
  <si>
    <t>2-s2.0-0033185126</t>
  </si>
  <si>
    <t>['uniform theory', 'studied using', 'rbm ).', 'radiation characteristics', 'predicted using', 'periodic variation', 'mounted antennas', 'flight measurements', 'difference time', 'called rotor', 'blade modulation']</t>
  </si>
  <si>
    <t>Measurements | Predictions | Radiation patterns | Rotor blade modulation</t>
  </si>
  <si>
    <t>The rotation of lift- and thrust-generating airfoils causes a periodic variation in aircraft communication signals. This effect is called rotor-blade modulation (RBM). The RBM on the radiation characteristics of helicopter-mounted antennas are predicted using the uniform theory of diffraction (UTD) and the finite-difference time-domain (FDTD) method and are compared with scale mode measurements and full-scale in-flight measurements. In addition, the effects of electric field polarization on RBM are studied using the FDTD.</t>
  </si>
  <si>
    <t>384-393</t>
  </si>
  <si>
    <t>4 PART 1</t>
  </si>
  <si>
    <t>60003892;60003892;100828069</t>
  </si>
  <si>
    <t>57208464375;35583458100;7004606702</t>
  </si>
  <si>
    <t>Birtcher, Craig R.;Balanis, Constantine A.;DeCarlo, Dennis</t>
  </si>
  <si>
    <t>Tempe;Patuxent River</t>
  </si>
  <si>
    <t>Arizona State University;Naval Air Warfare Center</t>
  </si>
  <si>
    <t>60003892;100828069</t>
  </si>
  <si>
    <t>Birtcher C.</t>
  </si>
  <si>
    <t>Rotor-blade modulation on antenna amplitude pattern and polarization: Predictions and measurements</t>
  </si>
  <si>
    <t>S0018937599094107</t>
  </si>
  <si>
    <t>10.1109/15.809828</t>
  </si>
  <si>
    <t>2-s2.0-0033220844</t>
  </si>
  <si>
    <t>['test houses', 'significant errors', 'screened room', 'results obtained', 'radiated emissions', 'procedure developed', 'magnetic fields', 'frequency range', 'emc ).', 'electromagnetic compatibility', 'conducting walls', 'antenna factors', 'antenna combinations', 'also avoids', '30 mhz', '10 khz']</t>
  </si>
  <si>
    <t>EMC measurements | Screened enclosures</t>
  </si>
  <si>
    <t>This short paper describes a procedure developed to calibrate screened room/antenna combinations for measurement of radiated emissions in the frequency range of 10 kHz to 30 MHz. The work was performed in order to derive a new draft version of the U.K. Defence Standard 59-41 for electromagnetic compatibility (EMC). Results of measurements using specially designed test equipment are presented as are resultsof measurements made using "real" equipment. The procedure, which is suitable for automatic analysis using spreadsheets, requires the measurement of both electric and magnetic fields and predicts the fields, which would be measured on an open field test site from the results obtained in a screened room. The aim of the procedure is to provide more repeatable measurement results that are comparable between test houses. It also avoids the reliance on antenna factors, which may have significant errors in the screened room due to the proximity of the conducting walls.</t>
  </si>
  <si>
    <t>368-374</t>
  </si>
  <si>
    <t>7102969209;7005566736</t>
  </si>
  <si>
    <t>Dawson, Linda;Marvin, Andrew C.</t>
  </si>
  <si>
    <t>Dawson L.</t>
  </si>
  <si>
    <t>Procedure for new draft of defence standard 59-41 - Calibrating screened room antenna combinations against OATS</t>
  </si>
  <si>
    <t>S0018937599094132</t>
  </si>
  <si>
    <t>10.1109/15.809822</t>
  </si>
  <si>
    <t>2-s2.0-0033220877</t>
  </si>
  <si>
    <t>['uniform theory', 'tlt ),', 'three approaches', 'shielded cable', 'pulse coupling', 'proposed method', 'plain mom', 'monopole antenna', 'mom ).', 'important problem', 'electromagnetic field', 'electromagnetic compatibility', 'efficiently determined', 'easily calculated', 'current distribution', 'allows calculation']</t>
  </si>
  <si>
    <t>Method of moments | Pulse coupling | Transmission line theory | Uniform geometrical theory of diffraction</t>
  </si>
  <si>
    <t>An important problem in electromagnetic compatibility (EMC) analysis is to determine the coupling of an electromagnetic field into a shielded cable. Using the transmission line theory (TLT), the disturbance voltage induced inside the cable is easily calculated from the current distribution on its shield. This current distribution depends on the incident electromagnetic field and is efficiently determined by the method of moments (MoM). Extending the MoM with the geometrical and uniform theory of diffraction (GTD/UTD) makes it possible to solve scattering problems that are too large and too complex for the plain MoM. The combination of the three approaches - TLT, MoM, and GTD/UTD - allows calculation of the disturbance voltage inside a shielded cable, which is part of a complex scattering structure. The fundamentals of each method and the way of putting them together are shown in this paper. The application of the proposed method is demonstrated by an example: the pulse coupling between a monopole antenna and a shielded cable is analyzed, taking into account a large conducting structure in the vicinity.</t>
  </si>
  <si>
    <t>431-435</t>
  </si>
  <si>
    <t>4 PART 2</t>
  </si>
  <si>
    <t>60018353;60018353;60018353</t>
  </si>
  <si>
    <t>7003470195;57213328817;6603449373</t>
  </si>
  <si>
    <t>Helmers, Sven;Harms, Harm Friedrich;Gonschorek, Karl Heinz</t>
  </si>
  <si>
    <t>Dresden</t>
  </si>
  <si>
    <t>Technische Universit√§t Dresden</t>
  </si>
  <si>
    <t>Helmers S.</t>
  </si>
  <si>
    <t>Analyzing electromagnetic pulse coupling by combining TLT, MoM, and GTD/UTD</t>
  </si>
  <si>
    <t>S0018937599097872</t>
  </si>
  <si>
    <t>10.1109/15.809844</t>
  </si>
  <si>
    <t>2-s2.0-0033220878</t>
  </si>
  <si>
    <t>['significant directivity', 'radiated fields', 'printed structure', 'prevent distortion', 'optimal design', 'operating band', 'normal plane', 'negligible loss', 'minimal distortion', 'limited pulse', 'dispersed waveforms', 'dipoles independently', 'conventional log', 'antenna capable']</t>
  </si>
  <si>
    <t>Broad-band antenna | Electromagnetic susceptibility testing | Log-periodic dipole array | Pulsed radiation | Time-domain integral equation method</t>
  </si>
  <si>
    <t>The development of an antenna capable of radiating a band-limited pulse with minimal distortion, negligible loss, and significant directivity is reported. A design was derived by modification of the conventional log-periodic dipole array to permit independent feeding of each dipole. This was modeled with a time-domain integral equation program and iterated to find a design that minimized phase dispersion across the operating band. The optimal design was realized in hardware, using a printed structure to feed the dipoles independently; this was located in the normal plane to prevent distortion of the radiated fields. When tested, the antenna was found to give a good quality radiated pulse in the main beam direction, with weaker and dispersed waveforms in other directions, indicating significant directive gain.</t>
  </si>
  <si>
    <t>344-349</t>
  </si>
  <si>
    <t>60000251-60008524;60021293;60000251-60008524</t>
  </si>
  <si>
    <t>7006824457;6602820455;7403070877</t>
  </si>
  <si>
    <t>Excell, Peter S.;Tinniswood, Adam D.;Clarke, Roger W.</t>
  </si>
  <si>
    <t>Armonk;Bradford;New York</t>
  </si>
  <si>
    <t>International Business Machines;University of Bradford;IEEE</t>
  </si>
  <si>
    <t>60021293;60008524;60000251</t>
  </si>
  <si>
    <t>Excell P.</t>
  </si>
  <si>
    <t>An independently fed log-periodic antenna for directed pulsed radiation</t>
  </si>
  <si>
    <t>S001893759909403X</t>
  </si>
  <si>
    <t>10.1109/15.809812</t>
  </si>
  <si>
    <t>2-s2.0-0033220911</t>
  </si>
  <si>
    <t>['reverberation chamber', 'previous result', 'arbitrary impedance']</t>
  </si>
  <si>
    <t>Electric field | Linear dipole antenna | Received power | Reverberation chamber | Spatial correlation function</t>
  </si>
  <si>
    <t>A new spatial correlation function is derived for the axial electric field and is compared with the previously known spatial correlation function for the total electric field. The new correlation function is used to determine the average power received by a linear dipole antenna in a reverberation chamber. The result for the average received power agrees with the previous result for an arbitrary impedance-matched antenna derived by the angular spectrum method.</t>
  </si>
  <si>
    <t>365-368</t>
  </si>
  <si>
    <t>Hill, David A.</t>
  </si>
  <si>
    <t>Hill D.</t>
  </si>
  <si>
    <t>Linear dipole response in a reverberation chamber</t>
  </si>
  <si>
    <t>S0018937599094144</t>
  </si>
  <si>
    <t>10.1109/15.809821</t>
  </si>
  <si>
    <t>2-s2.0-0033220918</t>
  </si>
  <si>
    <t>['whatever distance', 'simple method', 'national standards', 'measurements considerably', 'made traceable', 'gain factor', 'cost efficient']</t>
  </si>
  <si>
    <t>Antenna | Gain | Measurement | s-parameter | Traceability</t>
  </si>
  <si>
    <t>A simple method is introduced to measure the gain factor of a single preferably directional linearily polarized antenna in whatever distance. It requires only equipment for usual insertion loss measurement and the antenna itself in front of a totally reflecting surface simulating a second identical antenna as the image of the antenna to be calibrated. This speeds up such measurements considerably and, therefore, is very cost efficient. Its results can easily be made traceable to national standards.</t>
  </si>
  <si>
    <t>436-439</t>
  </si>
  <si>
    <t>60010962-60000251;60085149;60010962;60010962;60010962</t>
  </si>
  <si>
    <t>7007094048;14070448100;7003868108;7102731565;7005931591</t>
  </si>
  <si>
    <t>Glimm, J.;Harms, R.;M√ºnter, Klaus;Spitzer, Meinhard;Pape, Reiner</t>
  </si>
  <si>
    <t>Germany;Germany;United States</t>
  </si>
  <si>
    <t>Stuttgart;Braunschweig;New York</t>
  </si>
  <si>
    <t>Daimler AG;Physikalisch-Technische Bundesanstalt;IEEE</t>
  </si>
  <si>
    <t>60085149;60010962;60000251</t>
  </si>
  <si>
    <t>Glimm J.</t>
  </si>
  <si>
    <t>A single-antenna method for traceable antenna gain measurement</t>
  </si>
  <si>
    <t>S001893759909643X</t>
  </si>
  <si>
    <t>10.1109/15.809845</t>
  </si>
  <si>
    <t>2-s2.0-0033220927</t>
  </si>
  <si>
    <t>['technical aspects', 'small size', 'shortcut combination', 'samples yields', 'rf exposure', 'pineal glands', 'paper reports', 'first case', 'feed antenna', 'exposure region', 'exposing hamster', 'excellent uniformity', 'dosimetrically analyzed', 'careful design', 'animals could', '900 mhz', '80 mw', '4 %.', '120 hamsters']</t>
  </si>
  <si>
    <t>Biological effects | Dosimetry | Radial waveguide | RF exposure</t>
  </si>
  <si>
    <t>Two radial waveguide exposure systems for multiple biological targets are described that were concepted, dimensioned, implemented, measured, and dosimetrically analyzed. In the first case, a number of 120 hamsters was exposed with mobile communication signals at 383 and 900 MHz. The variation of the dissipated energy within the animals could be reduced to less than 30% though the objects were not restrained. Whole body specific absorption rates of 80 mW/kg were applied. The other system was used for exposing hamster's pineal glands in culture. The small size of the samples yields an even smaller variation of the exposure of 2.4%. This is a consequence of the excellent uniformity of the electromagnetic field distribution across the exposure region, which was achieved by a good rotational symmetry of the waveguide and a careful design of the feed antenna and the absorber/shortcut combination. The paper reports on the technical aspects of the RF exposure.</t>
  </si>
  <si>
    <t>487-493</t>
  </si>
  <si>
    <t>60000251-60022995;60022995;60022995</t>
  </si>
  <si>
    <t>56196059900;8056613400;6602658819</t>
  </si>
  <si>
    <t>Hansen, Volkert W.;Bitz, Andreas K.;Streckert, Joachim R.</t>
  </si>
  <si>
    <t>Wuppertal;New York</t>
  </si>
  <si>
    <t>Bergische Universit√§t Wuppertal;IEEE</t>
  </si>
  <si>
    <t>60022995;60000251</t>
  </si>
  <si>
    <t>Hansen V.</t>
  </si>
  <si>
    <t>RF exposure of biological systems in radial waveguides</t>
  </si>
  <si>
    <t>S0018937599096428</t>
  </si>
  <si>
    <t>10.1109/15.809852</t>
  </si>
  <si>
    <t>2-s2.0-0033220938</t>
  </si>
  <si>
    <t>CNR</t>
  </si>
  <si>
    <t>['wireless lan', 'transmitted power', 'tracing technique', 'scenario considered', 'paper investigates', 'packet transmission', 'ofdm clustering', 'new definition', 'millimeter waves', 'los points', 'index terms', 'frequency diversity', 'division multiplexing', 'coded system', 'band communication', 'antenna sectorization', 'actual environment', '60 ghz', '155 mbit', '10 dbm']</t>
  </si>
  <si>
    <t>A high-speed indoor wireless communication system using coded orthogonal frequency-division multiplexing (OFDM) and working at 60 GHz is proposed and analyzed. An actual propagation environment consisting of a medium-sized research laboratory, characterized by means of a ray-tracing technique, is considered for the analysis. In this context the paper investigates and discusses the effects of frequency diversity, antenna sectorization, OFDM clustering, and different block coding strategies. Moreover, to characterize the communication between stationary indoor terminals at millimeter waves, a new definition of coverage is introduced. In order to evaluate the performance of the coded system in the actual environment, a suitable semianalytical algorithm is defined and applied. In the results the feasibility of a coded OFDM system for 155 Mbit/s packet transmission is checked. It is shown that all the line-of-sight (LOS) positions and 70% of the no LOS points can be covered in the scenario considered with a transmitted power of 10 dBm. Index Terms-Broad-band communication, indoor radio communication, millimeter wave communication, OFDM, wireless LAN. ¬© 1999 IEEE.</t>
  </si>
  <si>
    <t>1709-1721</t>
  </si>
  <si>
    <t>Dardari, Davide;Tralli, Velio</t>
  </si>
  <si>
    <t>High-Speed Indoor Wireless Communications at 60 GHz with Coded OFDM</t>
  </si>
  <si>
    <t>S0090677899089205</t>
  </si>
  <si>
    <t>10.1109/26.803506</t>
  </si>
  <si>
    <t>2-s2.0-0033220979</t>
  </si>
  <si>
    <t>['strong property', 'source separation', 'signals impinging', 'separated using', 'relevant cramer', 'rao bounds', 'phase modulated', 'many cases', 'first derive', 'esprit algorithm', 'direction finding', 'decoupled signals', 'constant modulus', 'cm ).', 'arbitrary signals', 'antenna array', 'already sufficient']</t>
  </si>
  <si>
    <t>Constant modulus | Cramer-rao bound | Doa estimation</t>
  </si>
  <si>
    <t>In many cases where direction finding is of interest, the signals impinging on an antenna array are known to be phase modulated and, hence, to have a constant modulus (CM). This is a strong property; by itself, it is already sufficient for source separation and can be used to construct improved direction finding algorithms. We first derive the relevant Cramer-Rao bounds (CRB's) for arbitrary array configurations and specialize to uniform linear arrays. We then propose a simple suboptimal direction estimation algorithm in which the signals are separated using the CM property followed by direction finding on the decoupled signals. Compared with the ESPRIT algorithm and the CRB for arbitrary signals, the algorithm shows good results. ¬© 1999 IEEE.</t>
  </si>
  <si>
    <t>3125-3129</t>
  </si>
  <si>
    <t>60006288;60006288</t>
  </si>
  <si>
    <t>6603802598;7005779209</t>
  </si>
  <si>
    <t>Leshem, Amir;Van Veen, Alle Jan Der</t>
  </si>
  <si>
    <t>Leshem A.</t>
  </si>
  <si>
    <t>Direction-of-arrival estimation for constant modulus signals</t>
  </si>
  <si>
    <t>S1053587X99083142</t>
  </si>
  <si>
    <t>10.1109/78.796446</t>
  </si>
  <si>
    <t>2-s2.0-0033221920</t>
  </si>
  <si>
    <t>60032315;60032315</t>
  </si>
  <si>
    <t>7201679448;36067977600</t>
  </si>
  <si>
    <t>Ueda, Akitoshi;Ueda, Ken Ichi</t>
  </si>
  <si>
    <t>Ueda A.</t>
  </si>
  <si>
    <t>Ultra-high quality optics</t>
  </si>
  <si>
    <t>2-s2.0-0033222148</t>
  </si>
  <si>
    <t>465-466</t>
  </si>
  <si>
    <t>Izutsu, Masayuki</t>
  </si>
  <si>
    <t>Izutsu M.</t>
  </si>
  <si>
    <t>Light modulators in millimeter-wave range</t>
  </si>
  <si>
    <t>2-s2.0-0033222164</t>
  </si>
  <si>
    <t>['ultrafast changes', 'two processes', 'rapid change', 'photogenerated carriers', 'photoconductive antenna', 'lorentz theory', 'gap states', 'electric field', 'dynamic space', 'charge effects', 'carrier transport', 'carrier density', 'calculations show']</t>
  </si>
  <si>
    <t>In a photoconductive antenna, any rapid change in the transport photocurrent induces electromagnetic radiation. A change in photocurrent can arise from two processes: acceleration of the photogenerated carriers under an electric field, or a rapid change of carrier density. Our calculations show that, when a biased photoconductive antenna is pumped by femtosecond laser pulses to generate terahertz pulses, most of the radiation emitted results from the ultrafast changes in the carrier density. Our calculations are based on the Drude-Lorentz theory of carrier transport in semiconductors. The calculation model includes the interaction between electrons and holes, trapping of carriers in mid-gap states, scattering of carriers, and dynamic space-charge effects. Our calculations show that a local electric field will oscillate and induce electromagnetic radiation at a high carrier generation density.</t>
  </si>
  <si>
    <t>263-269</t>
  </si>
  <si>
    <t>100493553;100493553;</t>
  </si>
  <si>
    <t>36905621300;7202550229;7404662230</t>
  </si>
  <si>
    <t>Piao, Zhi Sheng;Tani, Masahiko;Sakai, Kiyomi</t>
  </si>
  <si>
    <t>CRL</t>
  </si>
  <si>
    <t>Piao Z.S.</t>
  </si>
  <si>
    <t>Carrier dynamics and THz generation in biased semiconductors</t>
  </si>
  <si>
    <t>2-s2.0-0033222784</t>
  </si>
  <si>
    <t>['wider bandwidth', 'waves cpw', 'simulation results', 'new millimeter', 'glass substrate', 'directly integrate', 'antenna array', '60ghz show']</t>
  </si>
  <si>
    <t>In this paper, we present a new millimeter-waves CPW-fed antenna array, which consists of three slot dipoles and is designed to directly integrate with photodetector on a glass substrate. The simulation results at 38GHz and 60GHz show that the antenna array has higher radiation efficiency and wider bandwidth.</t>
  </si>
  <si>
    <t>327-329</t>
  </si>
  <si>
    <t>7202197379;57199453891;35350619100;55570148900</t>
  </si>
  <si>
    <t>Ge, J. X.;Li, Karen;Matsui, Toshiaki;Izutsu, Masayuki</t>
  </si>
  <si>
    <t>Ge J.</t>
  </si>
  <si>
    <t>Millimeter-waves CPW-fed slot antenna array integrating with photodetector</t>
  </si>
  <si>
    <t>2-s2.0-0033223310</t>
  </si>
  <si>
    <t>['well suited', 'visa versa', 'region may', 'radiation patterns', 'paper describes', 'original problem', 'modeling fields', 'located near', 'hybrid technique', 'heterogeneous grounds', 'ground problem', 'ground interface', 'ground geometry', 'free space', 'equivalence principle', 'difference time', 'current distribution', 'complex interaction', 'challenging problem', 'buried scatterer', 'antenna problem', 'antenna geometry']</t>
  </si>
  <si>
    <t>Antenna radiation patterns | Finite difference methods | Ground | Iterative methods | Radar</t>
  </si>
  <si>
    <t>Calculating the current distribution and radiation patterns for ground-penetrating radar antennas is a challenging problem because of the complex interaction between the antenna the ground and any buried scatterer. Typically numerical techniques that are well suited for modeling the antennas themselves are not well suited for modeling the heterogeneous grounds and visa versa. For example the finite-difference time-domain (FDTD) technique is well suited for modeling fields in heterogeneous media whereas the method of moments (MoM) is well suited for modeling complex antennas in free space. This paper describes a hybrid technique based upon the equivalence principle for calculating an antenna's current distribution radiation pattern when the antenna is located near an air-ground interface. The original problem is decomposed into two coupled equivalent problems: one for the antenna geometry and the other for the ground geometry with field information passing between them via a rapidly converging iterative procedure. The fields in each region may be modeled using numerical techniques best suited to them. Results for several test cases are presented using FDTD to model the ground problem and MoM for the antenna problem that demonstrate the accuracy of this hybrid technique. ¬© 1999 IEEE.</t>
  </si>
  <si>
    <t>2692-2698</t>
  </si>
  <si>
    <t>Huang, Zhubo</t>
  </si>
  <si>
    <t>Lawrence</t>
  </si>
  <si>
    <t>University of Kansas</t>
  </si>
  <si>
    <t>Huang Z.</t>
  </si>
  <si>
    <t>An fdtd/mom hybrid technique for modeling complex antennas in the presence of heterogeneous grounds</t>
  </si>
  <si>
    <t>S0196289299062750</t>
  </si>
  <si>
    <t>10.1109/36.803416</t>
  </si>
  <si>
    <t>2-s2.0-0033225148</t>
  </si>
  <si>
    <t>['rf field', 'production rate', 'loop antenna', 'heating region', 'azimuthal number', 'axial dependence', 'antenna length']</t>
  </si>
  <si>
    <t>The production rate of an ICR isotope separator is analyzed as a function of the ratio between the antenna length and the length of the heating region. The axial dependence is found of the RF field of a full-turn-loop antenna that excites an RF field with the azimuthal number m = 0. The fractions are calculated of the isotopes that are collected at the exit of the separator by means of an element with a curvilinear magnetic field.</t>
  </si>
  <si>
    <t>60023579-60030612</t>
  </si>
  <si>
    <t>Kuzmin, S. G.</t>
  </si>
  <si>
    <t>United States;Russian Federation</t>
  </si>
  <si>
    <t>San Diego;Novosibirsk</t>
  </si>
  <si>
    <t>University of California, San Diego;Budker Institute of Nuclear Physics of the Siberian Branch of the RAS</t>
  </si>
  <si>
    <t>60030612;60023579</t>
  </si>
  <si>
    <t>Kuzmin S.</t>
  </si>
  <si>
    <t>Effect of the longitudinal structure of the antenna field on the production rate of an ICR isotope separator</t>
  </si>
  <si>
    <t>2-s2.0-0033233635</t>
  </si>
  <si>
    <t>['solenoidal antenna', 'second harmonic', 'rf field', 'inductive heating', 'element isotopes', 'calculations carried', 'azimuthal number']</t>
  </si>
  <si>
    <t>A theory is described for the separation of heavy-element isotopes by isotopically selective heating of a plasma flow consisting of ions of the element whose isotopes are to be separated out. Results are presented from calculations carried out for the inductive heating at the second harmonic of the ion cyclotron frequency in the field of a solenoidal antenna, which excites an RF field with the azimuthal number m = 0.</t>
  </si>
  <si>
    <t>1010-1019</t>
  </si>
  <si>
    <t>60023579;60023579-60030612</t>
  </si>
  <si>
    <t>55905347800;8509959200</t>
  </si>
  <si>
    <t>Kotelnikov, I. A.;Kuzmin, S. G.</t>
  </si>
  <si>
    <t>Kotelnikov I.</t>
  </si>
  <si>
    <t>Separation of heavy-element isotopes by ICR heating at the second harmonic</t>
  </si>
  <si>
    <t>2-s2.0-0033233636</t>
  </si>
  <si>
    <t>R01CA055034</t>
  </si>
  <si>
    <t>['wave propagation', 'systematic improvement', 'subsequently degrade', 'single transmitter', 'receive mode', 'quantitative measures', 'prototype system', 'position reveal', 'ports capable', 'nonactive antenna', 'near proximity', 'model mismatch', 'manually repositioned', 'localized heterogeneities', 'increased need', 'increased data', 'inclusions located', 'imaging region', 'image reconstructions', 'fixed antenna', 'field distributions', 'electronically selected', 'either transmit', 'complete array', 'compensation model', 'channel network', 'centered heterogeneities', 'antenna elements', 'antenna array', 'although cases', 'also observed', 'also illustrated', 'acquire data', 'achieved utilizing', 'accurately represent']</t>
  </si>
  <si>
    <t>Model-based imaging techniques utilizing microwave signal illumination rely heavily on the ability to accurately represent the wave propagation with a suitable numerical model. To date, the highest quality images from our prototype system have been achieved utilizing a single transmitter/single receiver measurement system where both antennas are manually repositioned to facilitate multiple illuminations of the imaging region, thus requiring long data acquisition times. In an effort to develop a system that can acquire data in a real time manner, a 32-channel network has been fabricated with all ports capable of being electronically selected for either transmit or receive mode. The presence of a complete array of antenna elements at data collection time perturbs the field distributions being measured, which can subsequently degrade the image reconstruction due to increased data-model mismatch. Incorporating the nonactive antenna-compensation model from Part I of this paper into our hybrid element near field image reconstruction algorithm is shown to restore image quality when fixed antenna-array data acquisition is used. Improvements are most dramatic for inclusions located in near proximity to the antenna array itself, although cases of improvement in the recovery of centered heterogeneities are also illustrated. Increases in the frequency of illumination are found to warrant an increased need for nonactive antenna compensation. Quantitative measures of recovered inclusion shape and position reveal a systematic improvement in image reconstruction quality when the nonactive antenna-compensation model is employed. Improvements in electrical property value recovery of localized heterogeneities are also observed. Image reconstructions in freshly excised breast tissue illustrate the applicability of the approach when used with our two-dimensional microwave imaging system.</t>
  </si>
  <si>
    <t>508-518</t>
  </si>
  <si>
    <t>IEEE Transactions on Medical Imaging</t>
  </si>
  <si>
    <t>60030443;60030443;60030443;60030443;60030443</t>
  </si>
  <si>
    <t>7003545137;7102750366;7601551238;7005474447;7004369332</t>
  </si>
  <si>
    <t>Meaney, Paul M.;Paulsen, Keith D.;Chang, John T.;Fanning, Margaret W.;Hartov, Alexander</t>
  </si>
  <si>
    <t>Hanover</t>
  </si>
  <si>
    <t>Thayer School of Engineering at Dartmouth</t>
  </si>
  <si>
    <t>Meaney P.</t>
  </si>
  <si>
    <t>Nonactive antenna compensation for fixed-array microwave imaging: Part II - imaging results</t>
  </si>
  <si>
    <t>10.1109/42.781016</t>
  </si>
  <si>
    <t>2-s2.0-0033237788</t>
  </si>
  <si>
    <t>['systematic data', 'results show', 'part paper', 'part ii', 'nonactive members', 'new model', 'model treats', 'measurements obtained', 'measured data', 'improvements afforded', 'impedance factor', 'homogeneous phantoms', 'heterogeneous phantoms', 'experimental data', 'effective radius', 'determined empirically', 'cylindrical surface', 'cause distortions', 'based near', 'antenna array', '900 mhz']</t>
  </si>
  <si>
    <t>Fixed-array microwave imaging with multisensor data acquisition can suffer from nonactive antenna element interactions which cause distortions in the measurements. In Part I of a two-part paper, we develop a nonactive antenna compensation model for incorporation in model-based near-field microwave image reconstruction methods. The model treats the nonactive members of the antenna array as impedance boundary conditions applied over a cylindrical surface of finite radius providing two parameters, the effective antenna radius and impedance factor, which can be determined empirically from measured data. Results show that the effective radius and impedance factor provide improved fits to experimental data in homogeneous phantoms where measurements are obtained with and without the presence of the nonactive antenna elements. Once deduced, these parameters are incorporated into the nonactive antenna compensation model and lead to systematic data-model match improvements in heterogeneous phantoms. While the improvements afforded by the nonactive antenna model are small on a per measurement basis, they are not insignificant. As shown in Part II, inclusion of this new model for nonactive antenna compensation produces significantly higher quality image reconstructions from measurements obtained with a fixed-array data acquisition system over the frequency band 500-900 MHz.</t>
  </si>
  <si>
    <t>496-507</t>
  </si>
  <si>
    <t>60030443;60030443</t>
  </si>
  <si>
    <t>7102750366;7003545137</t>
  </si>
  <si>
    <t>Paulsen, Keith D.;Meaney, Paul M.</t>
  </si>
  <si>
    <t>Nonactive antenna compensation for fixed-array microwave imaging - Part I: model development</t>
  </si>
  <si>
    <t>10.1109/42.781015</t>
  </si>
  <si>
    <t>2-s2.0-0033237789</t>
  </si>
  <si>
    <t>['three individuals', 'significant directedness', 'randomness could', 'radio transmitters', 'radio receiver', 'overall movement', 'gain insight', 'aphonopelma hentzi']</t>
  </si>
  <si>
    <t>This study was designed to gain insight into the "migratory" life history component of the male brown tarantula, Aphonopelma hentzi (Girard 1854), and to determine if radio telemetry could successfully answer questions regarding the ecology of theraphosids. Tarantulas were equipped with radio transmitters and movement monitored using an antenna and radio receiver. Overall movement of males was in all directions and randomness could not be excluded as a factor. Individual males moved relatively large distances, up to 1300 m, and significant directedness was only found in three individuals. In addition, notes on habitat, ecology and behavior are presented.</t>
  </si>
  <si>
    <t>503-512</t>
  </si>
  <si>
    <t>Journal of Arachnology</t>
  </si>
  <si>
    <t>60018427-60006173;60018427</t>
  </si>
  <si>
    <t>6506711887;6603697056</t>
  </si>
  <si>
    <t>Janowski-Bell, Margaret E.;Horner, Norman V.</t>
  </si>
  <si>
    <t>Wichita Falls;Columbia</t>
  </si>
  <si>
    <t>Midwestern State University;University of Missouri</t>
  </si>
  <si>
    <t>60018427;60006173</t>
  </si>
  <si>
    <t>Janowski-Bell M.</t>
  </si>
  <si>
    <t>Movement of the male brown tarantula, Aphonopelma hentzi (Araneae, Theraphosidae), using radio telemetry</t>
  </si>
  <si>
    <t>2-s2.0-0033243231</t>
  </si>
  <si>
    <t>['wave exposure', 'second phase', 'repeated exposure', 'rabbits served', 'rabbit experiments', 'one eye', 'ocular tissue', 'ocular changes', 'millimeter waves', 'higher species', 'exposed control', 'experimental subjects', 'consecutive days', 'bioelectromagnetics 20', 'best distance', 'acute exposure', '60 ghz', '10 mw']</t>
  </si>
  <si>
    <t>Hazard assessment | Millimeter wave | Nonhuman primate | Ocular exposure | Rabbit</t>
  </si>
  <si>
    <t>This study was designed to examine ocular effects associated with exposure to millimeter waves (60 GHz). Rabbits served as the primary experimental subjects. To confirm the results of the rabbit experiments in a higher species, the second phase of the study used nonhuman primates (Macaca mulatta). First, this study used time-resolved infrared radiometry to assess the field distribution patterns produced by different antennas operating at 60 GHz. These results allowed us to select an antenna that produced a uniform energy distribution and the best distance at which to expose our experimental subjects. The study then examined ocular changes after exposure at an incident power density of 10 mW/cm2. Acute exposure of both rabbits and nonhuman primates consisted of a single 8h exposure, and the repeated exposure protocol consisted of five separate 4h exposures on consecutive days. One eye in each animal was exposed and the contralateral eye served as the sham-exposed control. After postexposure diagnostic examinations, animals were euthanized and the eyes were removed. Ocular tissue was examined by both light and transmission electron microscopy. Neither microscopic examinations nor the diagnostic procedures performed on the eyes of acute and repeatedly exposed rabbits found any ocular changes that could be attributed to millimeter-wave exposure at 10 mW/cm2. Examination of the primates after comparable exposures also failed to detect any ocular changes due to exposure. On the basis of our results, we conclude that single or repeated exposure to 60 GHz CW radiation at 10 mW/cm2 does not result in any detectable ocular damage. Bioelectromagnetics 20:463-473, 1999. ¬© 1999 Wiley-Liss, Inc.</t>
  </si>
  <si>
    <t>463-473</t>
  </si>
  <si>
    <t>60022054-60005248;60015891;60022054;60015891;60010237</t>
  </si>
  <si>
    <t>6602134548;57223893765;7004040867;56978191800;7101981069</t>
  </si>
  <si>
    <t>Kues, Henry A.;D'Anna, Salvatore A.;Osiander, Robert;Green, William R.;Monahan, John C.</t>
  </si>
  <si>
    <t>Laurel;Baltimore;Rockville;Baltimore</t>
  </si>
  <si>
    <t>Johns Hopkins University Applied Physics Laboratory;Wilmer Eye Institute;Food and Drug Administration;Johns Hopkins University</t>
  </si>
  <si>
    <t>60022054;60015891;60010237;60005248</t>
  </si>
  <si>
    <t>Kues H.A.</t>
  </si>
  <si>
    <t>Absence of ocular effects after either single or repeated exposure to 10 mW/cm&lt;sup&gt;2&lt;/sup&gt; from a 60 GHz CW source</t>
  </si>
  <si>
    <t>10.1002/(SICI)1521-186X(199912)20:8&lt;463::AID-BEM1&gt;3.0.CO;2-T</t>
  </si>
  <si>
    <t>2-s2.0-0033258015</t>
  </si>
  <si>
    <t>['voltage shift', 'tin film', 'remanent polarization', 'pt electrodes', 'plasma etching', 'ferroelectric capacitor', 'electron density', 'electron accumulation', 'designed experiments', 'coercive voltage', 'cl 2']</t>
  </si>
  <si>
    <t>Effects of plasma etching on the characteristics of a SrBi 2Ta 2O 9 (SBT) ferroelectric capacitor with Pt electrodes have been investigated. A TiN film was chosen as an interconnecting metal layer and was etched in an electron cyclotron resonance (ECR) etcher with Cl 2/BCl 3 plasma. The control parameters used for this designed experiments of the metal etch process are RF bias power, microwave source power, and pressure. The etching parameters exert little effects on the remanent polarization and coercive voltage of the ferroelectric capacitor. However, they cause a significant voltage shift in the ferroelectric hysteresis loop. It is found that the voltage shift is induced by electron accumulation during the plasma etching. The electron charging effect is studied using antenna structures and the voltage shift is correlated with electron density of the plasma.</t>
  </si>
  <si>
    <t>Journal of the Korean Physical Society</t>
  </si>
  <si>
    <t>60107918;60107918;60107918;60107918;60107918;60107918;60107918</t>
  </si>
  <si>
    <t>7501829874;7410367263;57202965710;35791285900;7402961572;7004030159;7401471499</t>
  </si>
  <si>
    <t>Park, Shin Seung;Sun, Jun Hub;Kim, Kwang Ok;Park, Chanro;Choi, Chang Ju;Seol, Yeo Song;Choi, Il Hyun</t>
  </si>
  <si>
    <t>Icheon</t>
  </si>
  <si>
    <t>SK Hynix Inc.</t>
  </si>
  <si>
    <t>Park S.S.</t>
  </si>
  <si>
    <t>Effect of plasma-induced charging in interconnect metal etch on the characteristics of a ferroelectric capacitor</t>
  </si>
  <si>
    <t>2-s2.0-0033259169</t>
  </si>
  <si>
    <t>['wire approximation', 'triangle functions', 'testing functions', 'novel antenna', 'matrix equation', 'input admittance', 'electrical length', 'dipole far', 'dipole antenna', 'current expansion', 'current distribution', 'antenna emerges']</t>
  </si>
  <si>
    <t>An analysis of the features of a novel antenna, the nu-dipole, is presented and its input characteristics compared with those of the vee-dipole antenna. By adapting the thin-wire approximation, the integro-differential equation formulated for the nu-dipole antenna problem is converted into a matrix equation by using the moment method based on Galerkin's procedure, in which the current expansion and testing functions are both triangle functions. Upon employing known matrix methods the current distribution on the antenna emerges from the solution of the matrix equation. Based on the obtained current distribution, the input admittance and power are evaluated and compared with those of the vee-dipole. For these results, the nu-dipole possesses higher amplitudes but at slightly higher resonant electrical lengths. The nu-dipole far-zone electric field pattern |EŒ∏(Œ∏, œÜ = 90¬∞)| rotates as the electrical length is varied.</t>
  </si>
  <si>
    <t>1481-1492</t>
  </si>
  <si>
    <t>Okereke, O. U.</t>
  </si>
  <si>
    <t>Nigeria</t>
  </si>
  <si>
    <t>Bauchi</t>
  </si>
  <si>
    <t>Abubakar Tafawa Balewa University</t>
  </si>
  <si>
    <t>Okereke O.</t>
  </si>
  <si>
    <t>Analysis of nu-dipole antennas using the method of moments</t>
  </si>
  <si>
    <t>10.1080/002072199132563</t>
  </si>
  <si>
    <t>2-s2.0-0033276740</t>
  </si>
  <si>
    <t>['segmentation technique', 'radiating sources', 'paediatric tumour', 'numerical investigation', 'new configurations', 'frequently used', 'frequency hyperthermia', 'fdtd computation', 'electromagnetic solver', 'body configuration', 'antenna set']</t>
  </si>
  <si>
    <t>Radio-frequency hyperthermia is an anticancer modality based on the heating of tumours by radiating sources. A set of antennas is frequently used to enhance power deposition in tissues. Treatment planning needs electromagnetic field computations within realistic body models. Since several simulations may be required to optimize the antenna-body configuration, the electromagnetic solver should be designed in such a way that new configurations of the antenna set-up can be solved without heavy changes of the basic numerical code. In this paper a numerical investigation on the effects of a segmentation technique will be presented, with reference to an FDTD computation and the heating of a paediatric tumour.</t>
  </si>
  <si>
    <t>45-47</t>
  </si>
  <si>
    <t>Alta Frequenza Rivista Di Elettronica</t>
  </si>
  <si>
    <t>60027509;60027509;60027509</t>
  </si>
  <si>
    <t>7006055951;7003292252;6603631235</t>
  </si>
  <si>
    <t>Marrocco, Gaetano;Bardati, Fernando;Tognolatti, Piero</t>
  </si>
  <si>
    <t>Universit√† degli Studi di Roma "Tor Vergata"</t>
  </si>
  <si>
    <t>Marrocco G.</t>
  </si>
  <si>
    <t>FDTD code for hyperthermia treatment planning</t>
  </si>
  <si>
    <t>2-s2.0-0033276945</t>
  </si>
  <si>
    <t>['variations amount', 'test results', 'term stabilities', 'telescope imaging', 'significant fractions', 'short wavelengths', 'sensitive instruments', 'new radiometer', 'millimetre wavelengths', 'instrument demonstrates', 'individual antennas', 'generation instruments', 'end followed', 'eluded previous', 'cosmic signals', 'cause degradation', 'application calls', '104 relative', '1 part']</t>
  </si>
  <si>
    <t>Fluctuations in atmospheric water vapour above a radio telescope cause variations in the electrical path length traversed by cosmic signals. At short wavelengths these variations amount to significant fractions of a wavelength and, in phase-sensitive instruments, cause degradation of the telescope imaging. As part of a program to correct image distortion in synthesis radio telescope arrays operating at millimetre wavelengths, we have developed a 225 GHz radiometer designed to measure the amount of water vapour seen by individual antennas in the array. The application calls for medium-to-long-term stabilities of 1 part in 104 relative to the nominal system equivalent noise temperature, a specification which has eluded previous-generation instruments. We present here the design and test results for a new radiometer which meets the exacting stability requirements. The instrument demonstrates a variety of contemporary design techniques and is based on an uncooled Schottky mixer front-end followed by a digital signal processing back-end.</t>
  </si>
  <si>
    <t>213-225</t>
  </si>
  <si>
    <t>57197399025;7403694899</t>
  </si>
  <si>
    <t>Abbott, D. A.;Hall, P. J.</t>
  </si>
  <si>
    <t>Abbott D.</t>
  </si>
  <si>
    <t>A stable millimetre-wave water vapour radiometer</t>
  </si>
  <si>
    <t>2-s2.0-0033277975</t>
  </si>
  <si>
    <t>['written particularly', 'try using', 'must leave', 'might approach', 'makes use', 'limited expectations', 'lecture notes', 'instructors faced', 'general background', 'functional literacy', 'flux lines', 'find interesting', 'field theory', 'field problems', 'electrical engineering', 'complete enough', 'bare bones']</t>
  </si>
  <si>
    <t>The aim of the paper is to suggest one possible route to helping students attain a level of functional literacy in antenna technology sufficient for them to be able to operate without embarassment in the modern mobile communications engineering environment yet avoid having first to expose them to a study of field theory or supporting mathematical topics. The audience which it addresses are instructors faced with this problem. It is not written particularly from the point of view of the student and in no sense is it a set of lecture notes. Only the bare bones of the argument are presented, it being left to those with the patience to try using it to fill in the details in a way which those they expose to it will find interesting. It is based on an idea of J.J. Thomson, an exponent of the notion of thinking about field problems in terms of flux lines, and makes use of little or nothing more than a general background in electrical engineering. Naturally, given the limited expectations of students who might approach the subject in this way, it must leave out a lot of the story. However, within its self imposed limitations, it is contended that this approach is both well enough grounded in the physics of the process to be understandable and complete enough that it does not require any unlearning by a student who later becomes enthused for a more full blooded treatment.</t>
  </si>
  <si>
    <t>157-163</t>
  </si>
  <si>
    <t>Green, H.</t>
  </si>
  <si>
    <t>Green H.</t>
  </si>
  <si>
    <t>Antennas without maxwell?</t>
  </si>
  <si>
    <t>2-s2.0-0033277980</t>
  </si>
  <si>
    <t>DAAG55-98-1-0475</t>
  </si>
  <si>
    <t>['reception capabilities', 'radiation patterns', 'photonic crystals', 'optical oscillators', 'omnidirectional transmission', 'mixing characteristics', 'injection locking', 'graceful degradation', 'external source', 'experimental results', 'also observed']</t>
  </si>
  <si>
    <t>A 96-element active grid with omnidirectional transmission and reception capabilities is demonstrated in this paper. Experimental results are presented at C-band for radiation patterns, self-mixing characteristics, and injection locking to an external source. Graceful degradation in the omnidirectionality and power are also observed. Photonic crystals, quasi-optical oscillators. ¬©1999 IEEE.</t>
  </si>
  <si>
    <t>2586-2590</t>
  </si>
  <si>
    <t>Sung, Kenneth Y.</t>
  </si>
  <si>
    <t>Honolulu</t>
  </si>
  <si>
    <t>University of Hawai ªi at MƒÅnoa</t>
  </si>
  <si>
    <t>Sung K.</t>
  </si>
  <si>
    <t>An omnidirectional quasi-optical source</t>
  </si>
  <si>
    <t>S0018948099084598</t>
  </si>
  <si>
    <t>10.1109/22.809010</t>
  </si>
  <si>
    <t>2-s2.0-0033279850</t>
  </si>
  <si>
    <t>['wave mode', 'rectangular waveguide', 'radiation pattern', 'propagation constant', 'phase constants', 'one end', 'measured data', 'far end', 'determine leaky', 'computed data', 'broad wall', 'aperture distribution']</t>
  </si>
  <si>
    <t>A moment method analysis procedure is described to determine the aperture field distribution in a finite-length straight longitudinal slot cut in the broad wall of a rectangular waveguide. The waveguide is fed from one end with the dominant waveguide mode, while the other end of the waveguide is shorted, exactly at the far end of the slot. From the aperture distribution the far-field radiation pattern is then computed, and from the radiation pattern the attenuation and phase constants of the leaky-wave mode in the waveguide are determined. The method of determining the propagation constant from the radiation pattern is an often used experimental technique to determine leaky-wave propagation constants. Computed data is compared to measured data, and good correspondence observed. This propagation constant data can be used to design long meandering leaky-wave slot antennas.</t>
  </si>
  <si>
    <t>411-415</t>
  </si>
  <si>
    <t>60021902;60021902</t>
  </si>
  <si>
    <t>35561582300;35565202000</t>
  </si>
  <si>
    <t>Joubert, J.;Malherbe, J. A.G.</t>
  </si>
  <si>
    <t>Joubert J.</t>
  </si>
  <si>
    <t>Moment method calculation of the propagation constant for leaky-wave modes in slotted rectangular waveguide</t>
  </si>
  <si>
    <t>10.1049/ip-map:19990431</t>
  </si>
  <si>
    <t>2-s2.0-0033280257</t>
  </si>
  <si>
    <t>['transmission system', 'take users', 'slow frequency', 'semianalytical approach', 'protection ratio', 'power control', 'outage probability', 'nonideal interleaving', 'minimum carrier', 'mentioned analysis', 'interference ratio', 'improvement introduced', 'free environment', 'fast fading', 'downlink requires', 'division multiple', 'discontinuous transmission', 'complete scenario', 'channel model', 'antenna diversity']</t>
  </si>
  <si>
    <t>Cochannel interference | Fading chanels | Frequency-hop communication | Personal communication networks | Spread-spectrum communication</t>
  </si>
  <si>
    <t>In a shadowing-free environment, the improvement introduced by slow frequency-hopping (SFH) on a time-division multiple-access based mobile radio system can be taken into account by redefining the minimum carrier-to-interference ratio. This protection ratio, with SFH, is dependent on the transmission system, channel model, traffic, and frequency reuse parameters. In this paper, the above-mentioned analysis is used in order to investigate the capacity of a SFH mobile radio system, with reference to both the uplink and downlink, by taking into account a complete scenario, i.e., shadowing, fast fading, power control, antenna diversity, discontinuous transmission, and forward error correction with nonideal interleaving and sectorization. Outage probability is evaluated by a completely analytical methodology for the uplink, whereas the downlink requires a semianalytical approach to take users' positions into account. Comparison with a pure simulative approach is used to validate the results. ¬© 1999 IEEE.</t>
  </si>
  <si>
    <t>1865-1874</t>
  </si>
  <si>
    <t>60028218;60028218;60028218</t>
  </si>
  <si>
    <t>7005447453;35228498800;7003354031</t>
  </si>
  <si>
    <t>Chiani, Marco;Conti, Andrea;Andrisano, Oreste</t>
  </si>
  <si>
    <t>Outage evaluation for slow frequency-hopping mobile radio systems</t>
  </si>
  <si>
    <t>S0090677899097755</t>
  </si>
  <si>
    <t>10.1109/26.809707</t>
  </si>
  <si>
    <t>2-s2.0-0033280495</t>
  </si>
  <si>
    <t>['unit cells', 'two ka', 'thermal properties', 'suppress sidelobes', 'optical slot', 'nitride substrates', 'band quasi', 'average small', 'amplifier arrays', '5 db', '40 ghz', '15 ghz', '10 db', '1 db', '02 ghz']</t>
  </si>
  <si>
    <t>Aluminum nitride | Amplifier array | Free-space power combiner | Ka-band | Quasi-optical</t>
  </si>
  <si>
    <t>Repeatability of performance, thermal properties, and effects of biasing are studied on two Ka-band quasi-optical slot-antenna amplifier arrays, fabricated with commercial monolithic microwave integrated circuits (MMIC's) on aluminum-nitride substrates. The unit cells are arranged in a 6 x 6 triangular lattice to suppress sidelobes. The amplifier arrays have small-signal gains relative to a free-space through of 2.1 dB at 31.02 GHz and 6.5 dB at 31.40 GHz. The average small-signal gain contributed by the MMIC's is 10 dB. In saturation, the arrays deliver 89 W effective isotropic radiated power (EIRP) or 0.3 W output power at 30.40 GHz and 145 W EIRP or 0.5 W output power at 31.15 GHz. ¬© 1999 IEEE.</t>
  </si>
  <si>
    <t>2568-2573</t>
  </si>
  <si>
    <t>Marshall, Todd</t>
  </si>
  <si>
    <t>Marshall T.</t>
  </si>
  <si>
    <t>Two ka-band quasi-optical amplifier arrays</t>
  </si>
  <si>
    <t>S0018948099084574</t>
  </si>
  <si>
    <t>10.1109/22.809008</t>
  </si>
  <si>
    <t>2-s2.0-0033280648</t>
  </si>
  <si>
    <t>UCSB</t>
  </si>
  <si>
    <t>['¬± 1', 'using 24', 'standard x', 'sinking capacity', 'modular assembly', 'mmic amplifiers', 'microwave integrated', 'graceful degradation', 'gain variation', 'excellent heat', 'device technology', 'device failure', 'also provides', 'also presented', '415 w']</t>
  </si>
  <si>
    <t>Finline structure | Solid-state power amplifier | Spatial power combining</t>
  </si>
  <si>
    <t>In this paper, we present new results in the development of a broad-band spatial power-combining system implemented in a standard X-band waveguide environment. Using 24 off-the-shelf GaAs monolithic-microwave integrated-circuit (MMIC) power amplifiers integrated with tapered-slot antenna arrays, the new combining circuit produced up to 126-W maximum power output with a gain variation of ¬±1.9 dB within the band of interest (8-11 GHz). This hybrid circuit combiner is transparent to the device technology, and also provides an excellent heat-sinking capacity, sustaining as much as 415 W of dc power consumed by the MMIC amplifiers. The modular architecture allows easy maintenance, variable output power level, and modular assembly. Results on graceful degradation are also presented, showing superb tolerance to device failure. ¬© 1999 IEEE.</t>
  </si>
  <si>
    <t>2557-2561</t>
  </si>
  <si>
    <t>A 120-w x-band spatially combined solid-state amplifier</t>
  </si>
  <si>
    <t>S0018948099084550</t>
  </si>
  <si>
    <t>10.1109/22.809006</t>
  </si>
  <si>
    <t>2-s2.0-0033280752</t>
  </si>
  <si>
    <t>N00014-97-1-0508</t>
  </si>
  <si>
    <t>['¬£- plane', 'strip yagi', 'rectangular waveguide', 'optimization guidelines', 'novel microstrip', 'new scheme', 'mmic technology', 'microwave integrated', 'mechanical alignment', 'like antenna', 'layered quasi', 'individual components', 'high dielectric', 'high compatibility', 'cost fabrication', 'constant substrate', 'compact design', 'center frequency', 'broad bandwidth', 'band transition', 'band characteristics']</t>
  </si>
  <si>
    <t>Mmic's | Waveguide transitions | Yagi antennas</t>
  </si>
  <si>
    <t>A novel microstrip-to-waveguide transition utilizing a coplanar-strip Yagi-like antenna is presented. The compact and single-layered quasi-Yagi antenna fabricated on high dielectric-constant substrate has end-fire radiation patterns. This monolithic-microwave integrated-circuit (MMIC)-compatible antenna is inserted in the ¬£-plane of the rectangular waveguide to launch the TEio dominant mode. With this new scheme of excitation, compact design and low-cost fabrication is achieved without requiring multilayered substrate or backshort hermetic sealing. This transition, in addition, achieves very broad bandwidth and relatively low insertion loss. The transition's broad-band characteristics are analyzed, and optimization guidelines for individual components of the transition are discussed in detail. A tolerance study proves that the transition is robust in mechanical alignment. The X-band transition with alumina substrate demonstrates 35% bandwidth with return loss better than -12- and -0.3-dB insertion loss at the center frequency. This transition should find wide applications due to its high compatibility with microwaveintegrated-circuit/MMIC technology and very low fabrication cost. ¬© 1999 IEEE.</t>
  </si>
  <si>
    <t>2562-2567</t>
  </si>
  <si>
    <t>Kaneda, Noriaki</t>
  </si>
  <si>
    <t>Kaneda N.</t>
  </si>
  <si>
    <t>A broad-band microstrip-to-waveguide transition using quasi-yagi antenna</t>
  </si>
  <si>
    <t>S0018948099084562</t>
  </si>
  <si>
    <t>10.1109/22.809007</t>
  </si>
  <si>
    <t>2-s2.0-0033280793</t>
  </si>
  <si>
    <t>Hallym University</t>
  </si>
  <si>
    <t>Hallym</t>
  </si>
  <si>
    <t>['varying channels', 'proposed scheme', 'proposed quasi', 'performance gain', 'ml detector', 'invariant channels', 'decorrelating filter', 'channel vector', 'beamformer followed', 'asynchronous channels', 'also proposed', 'also observed', 'active users']</t>
  </si>
  <si>
    <t>Antenna array, CDMA system | Multiuser detection</t>
  </si>
  <si>
    <t>In this paper, we consider the quasi-maximum-likelihood (quasi-ML) detectors of the reverse link system that uses antenna arrays in asynchronous channels when the channel vector is time-invariant and time-varying. A channel vector estimation method based on eigendecomposition for time-invariant channels and its adaptive version suitable for the time-varying channels are also proposed. It is shown that the proposed quasi-ML detector can be regarded as a beamformer followed by a decorrelating filter and that the proposed system performs better than the conventional decorrelator scheme. It is also observed that the performance gain of the proposed scheme over the conventional decorrelator system increases as the numbers of active users and antenna arrays increase. ¬© 1999 IEEE.</t>
  </si>
  <si>
    <t>1875-1883</t>
  </si>
  <si>
    <t>60121655-60032144;60121655-60018986;60032144-60018986;60032144-60018986;60121655-60032144-60018986</t>
  </si>
  <si>
    <t>36062498000;57209945485;36064388500;8087228500;7601485045</t>
  </si>
  <si>
    <t>Kim, Kwang Soon;Song, Iickho;Kim, Yun Hee;Lee, Yong Up;Lee, Jooshik</t>
  </si>
  <si>
    <t>United States;South Korea;South Korea</t>
  </si>
  <si>
    <t>San Diego;Daejeon;Chuncheon</t>
  </si>
  <si>
    <t>The Electrical and Computer Engineering Department;Korea Advanced Institute of Science and Technology;Hallym University</t>
  </si>
  <si>
    <t>60121655;60032144;60018986</t>
  </si>
  <si>
    <t>Kim K.S.</t>
  </si>
  <si>
    <t>Analysis of quasi-ML multiuser detection of DS/CDMA systems in asynchronous channels</t>
  </si>
  <si>
    <t>S0090677899098414</t>
  </si>
  <si>
    <t>10.1109/26.809708</t>
  </si>
  <si>
    <t>2-s2.0-0033280850</t>
  </si>
  <si>
    <t>['waveguide components', 'theoretical results', 'satisfactory agreement', 'rigorous investigation', 'reliable analysis', 'proposed technique', 'optimization methods', 'omt ).', 'numerical methods', 'new one', 'mode transducers', 'matching methods', 'manufacturing adjustments', 'hybrid computer', 'entirely carried', 'electromagnetic simulators', 'efficient computer', 'dynamical optimization', 'development times', 'design technique', 'design automation', 'computer level', 'component design', 'compact ortho', 'antenna accessories', 'aided optimization']</t>
  </si>
  <si>
    <t>We describe a hybrid computer-aided-design technique, which employs the standard generalized scattering matrix description and a new one, based on the three-dimensional generalized admittance matrix representation, for the efficient and reliable analysis of compact ortho-mode transducers (OMT). A rigorous investigation of the numerical convergence properties of the electromagnetic simulators is carried out by using as a benchmark the measurements of a specifically built structure. The electromagnetic simulators are used for the efficient computer-aided optimization of the OMT and a procedure for the dynamical optimization of such components is introduced and tested by designing several OMT's operating at L, S, and K u frequency bands. The component design, entirely carried out at computer level, has demonstrated significant advantages in terms of development times and no need of post-manufacturing adjustments. The very satisfactory agreement between experimental and theoretical results further confirms the validity of the proposed technique. Antenna accessories, convergence of numerical methods, design automation, mode-matching methods, optimization methods, waveguide components. ¬© 1999 IEEE.</t>
  </si>
  <si>
    <t>2479-2486</t>
  </si>
  <si>
    <t>Ludovico, Michele</t>
  </si>
  <si>
    <t>Ludovico M.</t>
  </si>
  <si>
    <t>CAD and optimization of compact ortho-mode transducers</t>
  </si>
  <si>
    <t>S0018948099084458</t>
  </si>
  <si>
    <t>10.1109/22.808996</t>
  </si>
  <si>
    <t>2-s2.0-0033281091</t>
  </si>
  <si>
    <t>['small antennas', 'signal processing', 'remote sensing', 'radio astronomy', 'emerging technology', 'demonstrated successfully', 'aperture synthesis', 'antenna size']</t>
  </si>
  <si>
    <t>Interferometry | Microwave radiometry | Remote sensing | Synthetic aperture radiometry</t>
  </si>
  <si>
    <t>Aperture synthesis is an emerging technology for passive microwave remote sensing from space. It is an interferometric technique similar to earth rotation synthesis employed in radio astronomy in which pairs of small antennas and signal processing are used to obtain the resolution of a single large antenna. The technique has the potential to overcome the barriers that antenna size has placed on passive microwave remote sensing from space. The technique has been demonstrated successfully for remote sensing at L-band with the aircraft prototype ESTAR. New aircraft instruments are under development and proposals have been submitted for instruments to demonstrate this technology in space. ¬© 1999 IEEE.</t>
  </si>
  <si>
    <t>2228-2236</t>
  </si>
  <si>
    <t>Le Vine, David M.</t>
  </si>
  <si>
    <t>Le Vine D.</t>
  </si>
  <si>
    <t>Synthetic aperture radiometer systems</t>
  </si>
  <si>
    <t>S0018948099084136</t>
  </si>
  <si>
    <t>10.1109/22.808964</t>
  </si>
  <si>
    <t>2-s2.0-0033281426</t>
  </si>
  <si>
    <t>['two e', 'provides twisting', 'plane couplers', 'novel type', 'loss antenna', 'initial results', 'incident wave', 'gunn voltage', 'ghz frequencymodulation', 'folded reflector', 'controlled oscillator', 'antenna beam']</t>
  </si>
  <si>
    <t>Automotive radar | Integrated circuits | Millimeter wave | Millimeter-wave radar | Printed circuit antenna | Reflector antenna | Scanning antenna</t>
  </si>
  <si>
    <t>Design and results of a 77-GHz frequencymodulation/continuous-wave radar sensor based on a simple waveguide circuitry and a novel type of printed, low-profile, and low-loss antenna are presented. A Gunn voltage-controlled oscillator and a finline mixer act as transmitter and receiver, respectively, connected by two E-plane couplers. The folded reflector-type antenna consists of a printed slot array and another planar substrate, which, at the same time, provides twisting of the polarization and focusing of the incident wave. The performance of the radar is described, together with the initial results of a scanning of the antenna beam. ¬© 1999 IEEE.</t>
  </si>
  <si>
    <t>2237-2241</t>
  </si>
  <si>
    <t>60010586;60085149;60085149</t>
  </si>
  <si>
    <t>7102063968;7006221164;6506816473</t>
  </si>
  <si>
    <t>Menzel, Wolfgang;Pilz, Dietmar;Leberer, Ralf</t>
  </si>
  <si>
    <t>Stuttgart;Ulm</t>
  </si>
  <si>
    <t>Daimler AG;Universit√§t Ulm</t>
  </si>
  <si>
    <t>60085149;60010586</t>
  </si>
  <si>
    <t>A 77-GHz FM/CW radar front-end with a low-profile low-loss printed antenna</t>
  </si>
  <si>
    <t>S0018948099084148</t>
  </si>
  <si>
    <t>10.1109/22.808965</t>
  </si>
  <si>
    <t>2-s2.0-0033281557</t>
  </si>
  <si>
    <t>['wideband signals', 'suffer isi', 'qcegc shows', 'qcegc performs', 'performance enhancement', 'model includes', 'mmsec ),', 'intersymbol interference', 'individual paths', 'gain results', 'computational ber', 'clock recovery', 'channel interference', 'cci ),', 'carrier phase', 'best performance', 'antenna elements', 'antenna combining']</t>
  </si>
  <si>
    <t>A comprehensive analytical bit-error-rate (BER) model is presented to analyze the performance of antenna-microdiversity for wideband BPSK modulated signals in the frequency selective fading multipath channel, specified by its complex impulse response. The model includes the disturbance by intersymbol interference (ISI) and co-channel interference (CCI), as well as the channels' impact on the carrier phase- and clock recovery in the receiver. The channel impulse responses at the antenna elements are determined by taking into account the direction of arrival of the individual paths. Computational BER- and SNIR-gain results (SNIR = signal-to-noise+interference-ratio) show that a substantial performance improvement is achieved with antenna combining for wideband signals which suffer ISI and/or CCI. For the indoor multipath channel with exponentially decaying power delay profile, the performance enhancement is compared for several antenna combining schemes. Quasi-coherent equal gain combining (QCEGC) is proposed as an novel EGC scheme based on a less accurate phase estimation technique. For wideband signals, QCEGC shows a slight performance degradation when compared to maximal ratio combining or minimum mean square error combining (MMSEC), but has a much lower implementation complexity. In the channel with CCI, where the best performance is achieved with MMSEC, QCEGC performs very poor.</t>
  </si>
  <si>
    <t>313-333</t>
  </si>
  <si>
    <t>Janssen, Gerard J.M.</t>
  </si>
  <si>
    <t>Janssen G.J.M.</t>
  </si>
  <si>
    <t>Performance improvement by microdiversity for wideband signals in frequency selective fading indoor channels with co-channel interference</t>
  </si>
  <si>
    <t>10.1023/A:1018680824808</t>
  </si>
  <si>
    <t>2-s2.0-0033284448</t>
  </si>
  <si>
    <t>['zoo veterinarians', 'ursus maritimus', 'units make', 'transmitters failed', 'surgically implanted', 'successfully instrumented', 'successful tracking', 'subcutaneous space', 'satellite transmitters', 'range 118', 'premature failure', 'percutaneous antennae', 'pack ice', 'northern coast', 'mounted transmitters', 'mean number', 'low visibility', 'locations obtained', 'high quality', 'copyright 1999', 'american association', '369 ).', '161 days']</t>
  </si>
  <si>
    <t>Marine mammal | Polar bear | Satellite | Telemetry | Transmitter | Ursus maritimus</t>
  </si>
  <si>
    <t>Male polar bears (Ursus maritimus) have not been successfully instrumented with satellite transmitters because they readily shed collar-mounted transmitters. Seven male polar bears were captured on the pack ice off the northern coast of Alaska and surgically implanted with satellite transmitters with percutaneous antennae into the subcutaneous space of the dorsal cervical region. Transmitters failed prematurely with lifetimes of 30-161 days (xÃÑ = 97 days). Efforts to relocate implanted bears after transmitters failed were not successful. The mean number of location solutions per transmitter was 204 (range 118-369). An average of 10% and 19% of the locations were accurate to &lt;150 m and to 150-350 m, respectively. Our successful tracking of male polar bears, the high quality of locations obtained from transmitters with percutaneous antennae implanted in the subcutaneous space, and the low visibility of such units make further technical development worthwhile if the reason for premature failure of the transmitters can be determined. Copyright 1999 by American Association of Zoo Veterinarians.</t>
  </si>
  <si>
    <t>510-515</t>
  </si>
  <si>
    <t>7103157866;7004288464</t>
  </si>
  <si>
    <t>Mulcahy, Daniel M.;Garner, Gerald</t>
  </si>
  <si>
    <t>Subcutaneous implantation of satellite transmitters with percutaneous antennae into male polar bears (Ursus maritimus)</t>
  </si>
  <si>
    <t>2-s2.0-0033289194</t>
  </si>
  <si>
    <t>['proposed estimation', 'detection method', 'data transmitted']</t>
  </si>
  <si>
    <t>Algorithms are presented for space-time signal processing in mobile communication system employing base station antenna arrays. Two main issues are concerned: reception of data transmitted on the uplink and estimation of the parameters of the space-time mobile channel. The proposed estimation/detection method is applied for evaluation of measured Global System for Mobile (GSM) communication array data.</t>
  </si>
  <si>
    <t>1-221</t>
  </si>
  <si>
    <t>0346718X</t>
  </si>
  <si>
    <t>Doktorsavhandlingar vid Chalmers Tekniska Hogskola</t>
  </si>
  <si>
    <t>Pelin, Per</t>
  </si>
  <si>
    <t>Pelin P.</t>
  </si>
  <si>
    <t>Space-time algorithms for mobile communications</t>
  </si>
  <si>
    <t>2-s2.0-0033293564</t>
  </si>
  <si>
    <t>['space structures', 'pantograph structures', 'optimal design', 'barrel vaults', 'antenna types']</t>
  </si>
  <si>
    <t>In this paper, scissor-link foldable structures known as pantograph structures are studied. Recursive Quadratic Programming Method is used for optimal design of double layer grids, barrel vaults and antenna types of pantographs and space structures. Examples are provided to show the performance of the approach being employed.</t>
  </si>
  <si>
    <t>295-302</t>
  </si>
  <si>
    <t>International Journal of Space Structures</t>
  </si>
  <si>
    <t>60012835;60012835;60012835</t>
  </si>
  <si>
    <t>7005396579;6505727773;6504139233</t>
  </si>
  <si>
    <t>Kaveh, A.;Jafarvand, A.;Barkhordari, M. A.</t>
  </si>
  <si>
    <t>Iran</t>
  </si>
  <si>
    <t>Tehran</t>
  </si>
  <si>
    <t>Iran University of Science and Technology</t>
  </si>
  <si>
    <t>Kaveh A.</t>
  </si>
  <si>
    <t>Optimal design of pantograph foldable structures</t>
  </si>
  <si>
    <t>10.1260/0266351991494911</t>
  </si>
  <si>
    <t>2-s2.0-0033295257</t>
  </si>
  <si>
    <t>['tissue temperatures', 'tissue properties', 'rat prostate', 'rapidly heated', 'prostate tissue', 'prostate cancer', 'present simulations', 'performed using', 'microwave properties', 'microwave heating', 'heating pattern', 'heating due', 'experimental treatment', 'electrical properties', 'bioheat equation']</t>
  </si>
  <si>
    <t>The delivery of heat to the prostate using microwave antennas is being investigated as an experimental treatment for prostate cancer. Tissue temperatures can be calculated by solving the bioheat equation with the volumetric power deposition of the antenna as an input. This heating pattern is expected to change during heating due to changes in the electrical properties of the prostate. We have measured the microwave properties of rat prostate as a function of temperature and time and applied these parameters to the solution of the bioheat equation. We describe the nature of the changes in prostate tissue properties with heating. In addition, we present simulations of microwave heating in prostate tissue which illustrate the significance of including heat induced changes in tissue properties for this thermal therapy application. The prostate tissue measurements were performed using a loaded coaxial cable technique where the tissue sample could be rapidly heated as measurements were taken. Prostate treatment simulations were performed using a finite element approach to the bioheat equation.</t>
  </si>
  <si>
    <t>109-112</t>
  </si>
  <si>
    <t>American Society of Mechanical Engineers, Bioengineering Division (Publication) BED</t>
  </si>
  <si>
    <t>7004850171;7103000518;7004146000;6602662995</t>
  </si>
  <si>
    <t>Sherar, M. D.;Chin, L.;Kolios, M. C.;Gladman, A. S.</t>
  </si>
  <si>
    <t>Sherar M.</t>
  </si>
  <si>
    <t>Effect of heat induced changes in microwave tissue properties on microwave thermal therapy for prostate cancer</t>
  </si>
  <si>
    <t>2-s2.0-0033296494</t>
  </si>
  <si>
    <t>['propagation environment', 'knowledge available', 'interference rejection', 'different solutions', 'also considered']</t>
  </si>
  <si>
    <t>The problem of interference rejection in wireless communication systems is discussed. Different solutions are proposed, depending on the type of system under study. The amount of knowledge available about the signal and the propagation environment are also considered.</t>
  </si>
  <si>
    <t>1-170</t>
  </si>
  <si>
    <t>Interference rejection in wireless communication systems</t>
  </si>
  <si>
    <t>2-s2.0-0033300104</t>
  </si>
  <si>
    <t>['tiny distortions', 'time predicted', 'system making', 'specified amount', 'spatial dimensions', 'small fluctuations', 'single degree', 'position sensors', 'one way', 'noise removal', 'lisa system', 'lisa drag', 'interferometer arms', 'gravitational waves', 'general relativity', 'free control', 'first time', 'far away', 'end points', 'dynamical model', 'deep space', 'concept known', 'accelerative disturbances', '2 hz']</t>
  </si>
  <si>
    <t>The Laser Interferometer Space Antenna (LISA) is a proposed joint mission for NASA and ESA. It is envisaged that the interferometer will be able to detect for the first time the tiny distortions in fabric of space-time predicted in Einstein's general relativity and known as gravitational waves. One way in which gravitational waves manifest themselves is as small fluctuations in the spatial dimensions of the order of 10-21, so small the detection is only possible with extremely sensitive instruments and in an environment where disturbances are kept to an acceptably low level. Such an environment is provided in the vacuum of deep space, far away from the Earth and its influence. In order to detect the waves, test-masses, which act as the end points of the interferometer arms, must be made to move to an unprecedented accuracy without drag-like forces acting upon them. This requires a concept known as drag-free control. The LISA drag-free control system involves the removal of accelerative disturbances to better than 10-15 m s-2 Hz-1/2. At this level of noise removal, stochastic noise sources, such as noise in the position sensors, need to be taken into account. A dynamical model of the LISA system with a single degree of freedom has been developed. It will be shown that the stochastic noise sources feed into the forced vibrational frequencies of the system making it unstable unless damping is applied. It will be shown that required system performance can be achieved with a specified amount of damping and filtering. ¬© 1999 Lister Science.</t>
  </si>
  <si>
    <t>Space Technology</t>
  </si>
  <si>
    <t>Roberts, P.</t>
  </si>
  <si>
    <t>Cranfield</t>
  </si>
  <si>
    <t>Cranfield University</t>
  </si>
  <si>
    <t>Roberts P.</t>
  </si>
  <si>
    <t>Damping stochastic noise in the Lisa drag-free control system</t>
  </si>
  <si>
    <t>2-s2.0-0033301788</t>
  </si>
  <si>
    <t>['œ ≤', 'two values', 'radiation properties', 'radiation efficiency', 'radiation conductance', 'present communication', 'plasma parameter', 'plasma medium', 'medium affects', 'electroacoustic waves', 'electroacoustic modes', 'different values', 'antenna system', 'antenna immersed', 'antenna elements']</t>
  </si>
  <si>
    <t>Microstrip antennas mounted on-board space vehicles, satellites and missiles encounter ionized medium during their voyage and re-entry in space. The generation of electroacoustic waves by an antenna immersed in such medium affects the overall radiation performance of the antenna system. In the present communication, an analysis has been made to create a 4x4 element planar phased array of circular patch microstrip antenna (CPMA) in plasma medium. The far-zone field expressions for electromagnetic and electroacoustic modes have been obtained using linearly polarized hydrodynamic theory and vector-wave function technique. The total radiated power, radiation conductance, radiation efficiency and the bandwidth are calculated for different values of plasma parameter 'A'. All these properties are computed and compared for two values of progressive phase excitation difference i.e. Œ≤x = Œ≤y = œÄ/2 and œÄ/4 between the antenna elements. It is found that the radiation properties are changed considerably due to the plasma medium. ¬© 1999 Lister Science.</t>
  </si>
  <si>
    <t>97-107</t>
  </si>
  <si>
    <t>60103737;60103737</t>
  </si>
  <si>
    <t>55495163400;6507847292</t>
  </si>
  <si>
    <t>Gupta, S.;Pourush, P. K.S.</t>
  </si>
  <si>
    <t>Agra</t>
  </si>
  <si>
    <t>Dr B. R. Ambedkar University, Agra</t>
  </si>
  <si>
    <t>4 x 4 planar phased array of circular patch microstrip antenna in plasma environment for on-board applications</t>
  </si>
  <si>
    <t>2-s2.0-0033302346</t>
  </si>
  <si>
    <t>['transmitters generate', 'system consists', 'space research', 'south aligned', 'signal processing', 'several researches', 'sao luis', 'receiver system', 'pulsed signal', 'national institute', 'ionospheric irregularities', 'half wavelength', 'geomagnetic equator', 'geographical placement', 'equatorial electrojet', 'digital code', 'coherent radar', 'antennas array', 'antenna array', 'another contribution', '8 transmitters', '6 ¬∞', '50 mhz', '48 dipoles', '1983 ).', '15 kw']</t>
  </si>
  <si>
    <t>The Instituto Nacional de Pesquisas Espaciais (National Institute for Space Research) in installing in Sao Luis do Maranhao a coherent VHF pulsed Doppler radar system for studying the electrodynamics of equatorial electrojet in Brazil. The system consists of 8 transmitters, 15 kW each one, an array of 16 antennas north-south aligned with 48 dipoles for each one, and a data acquisition system (Janardhanan, 1983). The set of transmitters generate a pulsed signal at 50 MHz which feeds the antennas array and is transmitted to be scattered by ionospheric irregularities at E and F layers height. When the signal finds irregularities in about half wavelength, it is backscattered by those ones and received by the same antenna array. After the signal processing in the receiver system, the result is stored as a digital code. Sao Luis do Maranhao was chosen by its geographical placement (2.6¬∞S, 44.2¬∞W) on the geomagnetic equator. At present, the radar is partially operated collecting data on equatorial electrojet. However some improvements are being done for the complete system operation. Several researches have been done concerning irregularities on geomagnetic equator in Brazil (Abdu et al., 1983; Abdu, 1983; Sobral et al., 1985; Sobral and Abdu, 1991; Batista et al., 1996) and the coherent radar will be another contribution for the important equatorial electrojet study.</t>
  </si>
  <si>
    <t>151-161</t>
  </si>
  <si>
    <t>Revista Geofisica</t>
  </si>
  <si>
    <t>60012729;60012729;60012729;60012729;60012729</t>
  </si>
  <si>
    <t>10641480600;57219983074;7004021938;57213490788;57215997730</t>
  </si>
  <si>
    <t>Denardini, C. M.;Abdu, M. A.;Sobral, J. H.A.;Janardhanan, K. V.;Vasudevanpillai, M. S.</t>
  </si>
  <si>
    <t>Sao Jose dos Campos</t>
  </si>
  <si>
    <t>Instituto Nacional de Pesquisas Espaciais</t>
  </si>
  <si>
    <t>Denardini C.M.</t>
  </si>
  <si>
    <t>VHF ionospheric radar for studying the electrodynamics of equatorial electrojet in Brazil</t>
  </si>
  <si>
    <t>2-s2.0-0033303782</t>
  </si>
  <si>
    <t>['theoretical results', 'target waveforms', 'statistical consistency', 'rao bounds', 'passive arrays', 'ml estimates', 'maximum likelihood', 'companion paper', 'asymptotic performance', 'asymptotic covariances']</t>
  </si>
  <si>
    <t>In the companion paper in this issue, the maximum likelihood (ML) algorithm for tracking the DOA's of multiple moving targets by passive arrays is presented. In this paper, we provide an asymptotic performance analysis of the algorithm. The statistical consistency of the ML estimates is discussed, and their asymptotic covariances are derived. The Cramer-Rao bounds for the ML estimates are investigated, and their relative efficiency conditions are discussed. The asymptotic performance of the ML tracking algorithm is compared with that of the extended Kalman filter (EKF) under the assumption that the target waveforms are known. Finally, numerical simulation results are used to verify the theoretical results.</t>
  </si>
  <si>
    <t>2644-2654</t>
  </si>
  <si>
    <t>60017597;60031828;60002306</t>
  </si>
  <si>
    <t>35812589900;7102503740;7202811506</t>
  </si>
  <si>
    <t>Zhou, Yifeng;Yip, Patrick C.;Leung, Henry</t>
  </si>
  <si>
    <t>Hamilton;Ottawa;Calgary</t>
  </si>
  <si>
    <t>McMaster University;Defence Research and Development Canada;University of Calgary</t>
  </si>
  <si>
    <t>60031828;60017597;60002306</t>
  </si>
  <si>
    <t>Zhou Y.</t>
  </si>
  <si>
    <t>Tracking the direction-of-arrival of multiple moving targets by passive arrays: Asymptotic performance analysis</t>
  </si>
  <si>
    <t>10.1109/78.790647</t>
  </si>
  <si>
    <t>2-s2.0-0033308961</t>
  </si>
  <si>
    <t>TIC95-0562-E</t>
  </si>
  <si>
    <t>['wave frequencies', 'transport efficiently', 'technological applications', 'surface coating', 'space modes', 'space communications', 'remote sensing', 'power generated', 'maximum coupling', 'favorable coupling', 'conversion efficiency', 'allows applications', '8 %.', '30 kw', '100 ghz']</t>
  </si>
  <si>
    <t>Circular waveguides | Gaussian beams | Horn antennas</t>
  </si>
  <si>
    <t>The availability of medium-power gyrotron tubes (10-30 kW, CW) at millimeter-wave frequencies (30-100 GHz) allows applications such as advanced ceramic sintering, surface coating, radar, remote sensing, deep-space communications, etc. The concept of high-order Gaussian beam modes, which, under some conditions, can be assumed to be free-space modes, is applied to transport efficiently the power generated by a gyrotron for technological applications. A family of optimized nonlinear horn antennas is investigated in order to get the maximum coupling between the guided output mode of the gyrotron and the Gaussian beam modes. The numerical simulations show very favorable coupling with a conversion efficiency of about 99.8%. ¬© 1999 IEEE.</t>
  </si>
  <si>
    <t>1440-1448</t>
  </si>
  <si>
    <t>60033019;60033019;60033019;60033019</t>
  </si>
  <si>
    <t>7101889305;7003903508;55665593000;7101686861</t>
  </si>
  <si>
    <t>Bocio, Carlos Del Rio;Gonzalo, Ram√∂n;Ayza, Mario Sorolla;Thumm, Manfred</t>
  </si>
  <si>
    <t>Bocio C.D.R.</t>
  </si>
  <si>
    <t>Optimal horn antenna design to excite high-order gaussian beam modes from teom smooth circular waveguide modes</t>
  </si>
  <si>
    <t>S0018926X99070593</t>
  </si>
  <si>
    <t>10.1109/8.793324</t>
  </si>
  <si>
    <t>2-s2.0-0033309120</t>
  </si>
  <si>
    <t>89-2213-E-002-006</t>
  </si>
  <si>
    <t>['via booker', 'transmission line', 'scattering parameters', 'reciprocity theorem', 'pencil approach', 'mutual admittances', 'method analysis', 'measured using', 'matched design', 'iterative process', 'input impedance', 'good agreement', 'formulas derived', 'direction perpendicular', 'design procedure', 'coplanar waveguide', 'conducting plane', 'calculated results']</t>
  </si>
  <si>
    <t>Coplanar waveguides | Slot arrays</t>
  </si>
  <si>
    <t>A method for analyzing and designing the slot antenna array excited by a coplanar waveguide (CPW) is presented. The slots are etched on the conducting plane of the CPW and placed in the direction perpendicular to the transmission line. Moment-method analysis and matrix-pencil approach are adopted to calculate the scattering parameters and hence the selfadmittance of each slot. The mutual admittances between the slots are calculated from the formulas derived for the complementary strip dipoles based on the reciprocity theorem and via Booker's relation. Then the transmission line theory is used to calculate the input impedance of the array, and an iterative process is employed to obtain a matched design for a desired slotvoltage distribution. A four-element slot array is fabricated and measured using this design procedure. Calculated results are in good agreement with measurements. ¬© 1999 IEEE.</t>
  </si>
  <si>
    <t>1560-1665</t>
  </si>
  <si>
    <t>Huang, Tzung Fang</t>
  </si>
  <si>
    <t>Huang T.</t>
  </si>
  <si>
    <t>Analysis and design of coplanar waveguide-fed slot antenna array</t>
  </si>
  <si>
    <t>S0018926X99093886</t>
  </si>
  <si>
    <t>10.1109/8.805899</t>
  </si>
  <si>
    <t>2-s2.0-0033309323</t>
  </si>
  <si>
    <t>['wide usage', 'several two', 'proposed antennas', 'practical method', 'narrow bandwidth', 'microstrip antenna', 'method proposed', 'important features', 'design technique', '7 %.']</t>
  </si>
  <si>
    <t>Broad-band antennas | Nonhomogeneous media | Patch antennas</t>
  </si>
  <si>
    <t>The narrow bandwidth of a microstrip antenna is one of the important features that restrict its wide usage. A simple and practical method for the design of broad-band microstrip antennas is presented in this paper. Utilizing this design technique, several two-layer microstrip antennas have been proposed. To confirm the applicability of the method for the designs of antennas at L-band, experiments have been carried out. The measured results show that the proposed antennas have a bandwidth of up to 25.7%. Also, the method proposed in this paper is applicable to the design of other types of multilayered planar antennas. ¬© 1999 IEEE.</t>
  </si>
  <si>
    <t>1416-1420</t>
  </si>
  <si>
    <t>7406680306;35581072400;7501449136;7102006113;7102523120</t>
  </si>
  <si>
    <t>Liu, Zhang Fa;Kooi, Pang Shyan;Li, Le Wei;Leong, Mook Seng;Yeo, Tat Soon</t>
  </si>
  <si>
    <t>Liu Z.</t>
  </si>
  <si>
    <t>A Method for Designing Broad-Band Microstrip Antennas in Multilayered Planar Structures</t>
  </si>
  <si>
    <t>S0018926X99048292</t>
  </si>
  <si>
    <t>10.1109/8.793321</t>
  </si>
  <si>
    <t>2-s2.0-0033309421</t>
  </si>
  <si>
    <t>['ruled function', 'rectangular shape', 'one plane', 'computer modeling', 'array antennas', 'arbitrary shape', 'amplitude distribution']</t>
  </si>
  <si>
    <t>A phase-only method for the synthesis of planar aperture antennas for a given complex radiation pattern in one plane is reported. The problem is reduced to determining an appropriate aperture phase distribution in the form of a ruled function and solved for apertures with rectangular shape and an arbitrary amplitude distribution and for apertures of arbitrary shape and amplitude distribution. This method can be used for controlling the pattern of phased-array antennas. Results of computer modeling are presented.</t>
  </si>
  <si>
    <t>1449-1453</t>
  </si>
  <si>
    <t>101338252;101338252</t>
  </si>
  <si>
    <t>6506974568;6504822144</t>
  </si>
  <si>
    <t>Povolotsky, Felix K.;Sydorova, Tatiana P.</t>
  </si>
  <si>
    <t>NPO Altair</t>
  </si>
  <si>
    <t>Povolotsky F.</t>
  </si>
  <si>
    <t>Phase synthesis of antennas for a given radiation pattern in one plane using piecewise linear aperture phase distribution</t>
  </si>
  <si>
    <t>10.1109/8.793325</t>
  </si>
  <si>
    <t>2-s2.0-0033309422</t>
  </si>
  <si>
    <t>['wireless lans', 'transmission overhead', 'training time', 'stabilized precoder', 'processing power', 'precoding may', 'multipath fading', 'major obstacle', 'equalization burden', 'efficient precoding', 'combat multipath', 'article describes', 'achieves simple']</t>
  </si>
  <si>
    <t>Multipath fading is a major obstacle to be overcome in achieving high data rates for wireless LANs. Powerful equalizers needed to combat multipath are costly in terms of processing power, training sequence overhead and training time. In time-division-duplex radio systems, precoding may be used to shift the equalization burden from the receiver to the transmitter, enabling significant reductions in complexity and transmission overhead. This article describes a stabilized precoder with switched antenna diversity which achieves simple and efficient precoding for wireless LANs.</t>
  </si>
  <si>
    <t>1169-1175</t>
  </si>
  <si>
    <t>IEEE Transactions on Consumer Electronics</t>
  </si>
  <si>
    <t>60031101;60031101;60031101</t>
  </si>
  <si>
    <t>55665173400;7006831306;35563744700</t>
  </si>
  <si>
    <t>Sellers, Malcolm P.;Dgreaves, Stephen;Wassell, Lan J.</t>
  </si>
  <si>
    <t>University of Cambridge</t>
  </si>
  <si>
    <t>Sellers M.</t>
  </si>
  <si>
    <t>Stabilized precoder with antenna diversity for wireless LANs</t>
  </si>
  <si>
    <t>10.1109/30.809202</t>
  </si>
  <si>
    <t>2-s2.0-0033310542</t>
  </si>
  <si>
    <t>['square slot', 'rectangular patch', 'proposed antenna', 'proper dimensions', 'new design', 'impedance bandwidth', 'gain variation', 'frequencies within', 'experimentally studied', 'experimental results', 'cp bandwidth', 'circular polarization', 'center lines', 'antenna design', 'also observed', '3 db']</t>
  </si>
  <si>
    <t>A new design of a circularly polarized printed square-slot antenna loaded with a rectangular conducting patch is described. The rectangular patch is placed along one of the center lines of the square slot. With the selection of proper dimensions of the rectangular patch, two orthogonal resonant modes with a 90¬∞ phase difference for circular polarization (CP) can be excited by using a microstrip feed line oriented along the diagonals of the square slot. The proposed slot antenna has been implemented and experimentally studied. An impedance bandwidth of 39% (determined from 10 dB return loss) and a 3 dB CP bandwidth of 12% (defined by a 3 dB axial ratio) for the proposed antenna have been obtained. The gain variation for the frequencies within the CP bandwidth is also observed to be less than 1.3 dB. Details of the antenna design and experimental results are presented and discussed.</t>
  </si>
  <si>
    <t>363-365</t>
  </si>
  <si>
    <t>35460663000;56093321900;7501662373</t>
  </si>
  <si>
    <t>Wong, Kin Lu;Wu, Jian Yi;Wu, Chun Kun</t>
  </si>
  <si>
    <t>Circularly polarized patch-loaded square-slot antenna</t>
  </si>
  <si>
    <t>10.1002/(SICI)1098-2760(19991220)23:6&lt;363::AID-MOP13&gt;3.0.CO;2-X</t>
  </si>
  <si>
    <t>2-s2.0-0033312941</t>
  </si>
  <si>
    <t>['wave antenna', 'output power', 'operating frequency', '7 ghz', '1 dbm']</t>
  </si>
  <si>
    <t>An X-band active integrated antenna push-pull power amplifier is presented that uses a dual feed microstrip leaky-wave antenna for both out-of-phase power combining and second harmonic tuning. This novel structure results in a compact and high efficiency power amplifier design. At the operating frequency of 8.7 GHz, a maximum measured PAE of 54% at an output power of 28.1 dBm has been achieved.</t>
  </si>
  <si>
    <t>1891-1893</t>
  </si>
  <si>
    <t>7103123521;7006826516;7402872518;36041035600</t>
  </si>
  <si>
    <t>Hang, C. Y.;Deal, W. R.;Qian, Yongxi;Itoh, T.</t>
  </si>
  <si>
    <t>Hang C.</t>
  </si>
  <si>
    <t>Push-pull power amplifier integrated with microstrip leaky-wave antenna</t>
  </si>
  <si>
    <t>10.1049/el:19991318</t>
  </si>
  <si>
    <t>2-s2.0-0033313795</t>
  </si>
  <si>
    <t>['wide sense', 'formal constraints', 'exploited assumptions', 'e .,', 'beamforming scheme']</t>
  </si>
  <si>
    <t>Adaptive beamforming algorithms are known to degrade if some of exploited assumptions on the environment, sources, or antenna array become wrong or imprecise. In this paper, we present an introduction to robust adaptive beam-forming and overview existing robust approaches and recent advanced developments in this field. The term `robustness' is understood in a wide sense, i.e., as a number of formal constraints or certain ad hoc solutions enforced or incorporated into some beamforming scheme to preserve it from severe degradation caused by a certain model mismatch.</t>
  </si>
  <si>
    <t>305-314</t>
  </si>
  <si>
    <t>Gershman, Alex B.</t>
  </si>
  <si>
    <t>Hamilton</t>
  </si>
  <si>
    <t>McMaster University</t>
  </si>
  <si>
    <t>Gershman A.</t>
  </si>
  <si>
    <t>Robust adaptive beamforming in sensor arrays</t>
  </si>
  <si>
    <t>2-s2.0-0033315286</t>
  </si>
  <si>
    <t>['wide frequency', 'substantially different', 'special emphasis', 'simulation techniques', 'prevailing use', 'present time', 'paper presents', 'numerical techniques', 'numerical simulation', 'nonlinear distortions', 'effective way', 'effective tool', 'dynamic ranges', 'briefly discussed', 'active arrays', 'active antennas']</t>
  </si>
  <si>
    <t>Active antennas | Active arrays | Array signal processing | Beam steering | Communication system nonlinearities | Multibeam antennas | Nonlinear systems | Phased arrays | Simulation</t>
  </si>
  <si>
    <t>This paper presents an overview of active array antennas, system-level nonlinear effects in such antennas, and their modeling and simulation techniques. Advantages of active array antennas, in comparison with passive array antennas, are discussed. The influence of nonlinear distortions and interference in active antennas on the overall system performance is considered. Modeling and simulation techniques that can be applied to active array antennas are substantially different from those used for circuits and systems. Analytical and numerical techniques are used for the analysis of active antennas, with the prevailing use of numerical techniques at the present time. Electromagnetic-level and circuit-level simulation techniques are briefly discussed. System-level simulation techniques are considered in detail, with special emphasis on their application to active array antennas. The Instantaneous Quadrature Technique is proposed as an effective tool for numerical simulation of active arrays over wide frequency and dynamic ranges in a computationally-effective way. ¬©1999 IEEE.</t>
  </si>
  <si>
    <t>23-39</t>
  </si>
  <si>
    <t>Loyka, Sergey L.</t>
  </si>
  <si>
    <t>The influence of electromagnetic environment on operation of active array antennas: Analysis and simulation techniques</t>
  </si>
  <si>
    <t>10.1109/74.815316</t>
  </si>
  <si>
    <t>2-s2.0-0033316515</t>
  </si>
  <si>
    <t>['simultaneously detects', 'simulations show', 'reuse within', 'proposed algorithms', 'power levels', 'noise level', 'multiuser detector', 'multiuser detection', 'interference rejection', 'increased number', 'incoming signals', 'forcing solution', 'feedback equalizer', 'experiments confirm', 'experimental measurements', 'equalization problem', 'division multiple', 'crucial importance', 'antenna array', 'also introduce', 'also applied', 'access systems']</t>
  </si>
  <si>
    <t>We investigate the use of an antenna array at the receiver in frequency-division multiple-access/time-division multiple-access systems to let several users share one communication channel within a cell. A decision-feedback equalizer (DFE) which simultaneously detects all incoming signals is compared to a set of DFE's, each detecting one signal and rejecting the remaining as interference. We also introduce the existence of a zero-forcing solution to the equalization problem as an indicator of near far resistance of different detector structures. Near-far resistance guarantees good performance if the noise level is low. Simulations show that with an increased number of users in the cell, the incremental performance degradation is small for the multiuser detector. We have also applied the proposed algorithms to experimental measurements from a DCS-1800 antenna array testbed. The results from these experiments confirm that reuse within a cell is indeed possible using either an eight-element array antenna or a two-branch diversity sector antenna. Multiuser detection will, in general, provide better performance than interference rejection, especially when the power levels of the users differ substantially. The difference in performance is of crucial importance when the available training sequences are short.</t>
  </si>
  <si>
    <t>1511-1522</t>
  </si>
  <si>
    <t>60003858;60003858;60003858</t>
  </si>
  <si>
    <t>6602089783;7004070539;7003563982</t>
  </si>
  <si>
    <t>Tidestav, Claes;Sternad, Mikael;Ahl√©n, Anders</t>
  </si>
  <si>
    <t>Uppsala Universitet</t>
  </si>
  <si>
    <t>Tidestav C.</t>
  </si>
  <si>
    <t>Reuse within a cell - interference rejection or multiuser detection?</t>
  </si>
  <si>
    <t>10.1109/26.795820</t>
  </si>
  <si>
    <t>2-s2.0-0033316879</t>
  </si>
  <si>
    <t>['ship range', 'sea surface', 'radar reflectivity', 'radar antenna', 'propagation factor', 'numerical method', 'grazing angles', 'different heights', 'analytical expression']</t>
  </si>
  <si>
    <t>Electromagnetic scattering | Propagation factor | Radar scattering | Sea surface electromagnetic scattering</t>
  </si>
  <si>
    <t>A theoretical and numerical method is presented for the analysis of sea surface influence on the radar reflectivity of ships. The method of analysis is based on presentation of the field density scattered by the ship as a sum of echoes from different backscatterers located on the surface of the ship. The influence of sea surface is accounted for under the physical optics assumption. An analytical expression is obtained for the propagation factor with the ship in line-of-sight (LOS) range. Plots are illustated for the dependence of the propagation factor on ship range for different heights of the radar antenna. The effect of microwave backscattering amplification from the ship is predicted for grazing angles of observation within LOS range. ¬© 1999 IEEE.</t>
  </si>
  <si>
    <t>1623-1627</t>
  </si>
  <si>
    <t>Shtager, Evgeny A.</t>
  </si>
  <si>
    <t>Shtager E.</t>
  </si>
  <si>
    <t>An estimation of sea surface influence on radar reflectivity of ships</t>
  </si>
  <si>
    <t>S0018926X9909849X</t>
  </si>
  <si>
    <t>10.1109/8.805908</t>
  </si>
  <si>
    <t>2-s2.0-0033317290</t>
  </si>
  <si>
    <t>['technique allows', 'pulse excitation', 'pml ).', 'performed via', 'oblique directions', 'numerically stable', 'nonperiodic boundaries', 'new method', 'intercardinal planes', 'excellent agreement', 'e .,', 'cases analyzed', 'algorithm easy', 'active impedance']</t>
  </si>
  <si>
    <t>FDTD | Numerical analysis | Periodic structures | Phased array</t>
  </si>
  <si>
    <t>Unit cell analysis of infinite phased arrays in the finite difference time domain (FDTD) is performed by implementation of periodic boundary conditions. The technique allows for pulse excitation and oblique scan directions in both the cardinal and intercardinal planes. To our knowledge, this is the first paper presenting FDTD computations for intercardinal pulse scanning in oblique directions. The ordinary Yee lattice is used, which makes the algorithm easy to incorporate in an already existing FDTD code. Nonperiodic boundaries are truncated by Berenger's perfectly matched layer (PML). Active impedance of an infinite dipole array is calculated with the new method and validation is performed via the "element-by-element" approach, i.e., by a conventional FDTD simulation of a corresponding large finite array. Excellent agreement is found and the technique has been numerically stable in all cases analyzed. ¬© 1999 IEEE.</t>
  </si>
  <si>
    <t>1508-1514</t>
  </si>
  <si>
    <t>22985163100;7004004036</t>
  </si>
  <si>
    <t>Holler, Henrik;Steyskal, Hans</t>
  </si>
  <si>
    <t>Holler H.</t>
  </si>
  <si>
    <t>Infinite phased-array analysis using fdtd periodic boundary conditions pulse scanning in oblique directions</t>
  </si>
  <si>
    <t>S0018926X99093813</t>
  </si>
  <si>
    <t>10.1109/8.805893</t>
  </si>
  <si>
    <t>2-s2.0-0033317293</t>
  </si>
  <si>
    <t>['two slots', 'slot antennas', 'primary feed', 'plane coupling', 'mutual admittance', 'moments formulation', 'ground plane', 'galerkin method', 'basic constituent']</t>
  </si>
  <si>
    <t>This paper presents calculations of the mutual admittance between two slots on a ground plane that are the primary feed of an elliptical dielectric lens antenna. This admittance may also be regarded as the basic constituent of a Galerkin method of moments formulation for the analysis of more complex feeding arrangements of slot antennas and coplanar waveguide circuits. It is found that the contribution of the reflection mechanisms inside the lens significantly affects the mutual admittance especially for H-plane coupling.</t>
  </si>
  <si>
    <t>1504-1507</t>
  </si>
  <si>
    <t>60002838;60002838;60002838</t>
  </si>
  <si>
    <t>7102618489;6603012060;56041272900</t>
  </si>
  <si>
    <t>Neto, Andrea;Pasqualini, Davide;Toccafondi, Alberto</t>
  </si>
  <si>
    <t>Siena</t>
  </si>
  <si>
    <t>Universit√† degli Studi di Siena</t>
  </si>
  <si>
    <t>Mutual coupling between slots printed at the back of elliptical dielectric lenses</t>
  </si>
  <si>
    <t>10.1109/8.805892</t>
  </si>
  <si>
    <t>2-s2.0-0033317523</t>
  </si>
  <si>
    <t>['sources exceeds', 'paper addresses', 'new class', 'necessarily imply', 'music fail', 'manifold ambiguity', 'manifold ambiguities', 'linear combination', 'linear arrays', 'array sensors', 'also show']</t>
  </si>
  <si>
    <t>This paper addresses the problem of ambiguities in direction-of-arrival (DOA) estimation for nonuniform (sparse) linear arrays. Usually, DOA estimation ambiguities are associated with linear dependence among the points on the antenna array manifold, that is, the steering vectors degenerate so that each may be expressed as a linear combination of the others. Most nonuniform array geometries, including the so-called `minimum-redundancy' arrays, admit such manifold ambiguities. While the standard subspace algorithms such as MUSIC fail to provide unambiguous DOA estimates under these conditions, we demonstrate that this failure does not necessarily imply that consistent and asymptotically effective DOA estimates do not exist. We demonstrate that in most cases involving uncorrelated Gaussian sources, manifold ambiguity does not necessarily imply nonidentifiability; most importantly, we introduce algorithms designed to resolve manifold ambiguity. We also show that for situations where the number of sources exceeds the number of array sensors, a new class of locally nonidentifiable scenario exists.</t>
  </si>
  <si>
    <t>2629-2643</t>
  </si>
  <si>
    <t>60103581;60009379;60009379</t>
  </si>
  <si>
    <t>Australia;France</t>
  </si>
  <si>
    <t>Adelaide;Gif-sur-Yvette</t>
  </si>
  <si>
    <t>Cooperative Research Centre for Sensor Signal and Information Processing;SUPELEC √âcole Sup√©rieure d'√âlectricit√©</t>
  </si>
  <si>
    <t>60103581;60009379</t>
  </si>
  <si>
    <t>Resolving manifold ambiguities in direction-of-arrival estimation for nonuniform linear antenna arrays</t>
  </si>
  <si>
    <t>10.1109/78.790646</t>
  </si>
  <si>
    <t>2-s2.0-0033318212</t>
  </si>
  <si>
    <t>['speed transmission', 'special mention', 'possible limitation', 'new brunswick', 'multiple antenna', 'magnetic amplifier', 'latter connection', 'frequency selectivity', 'feasible co', 'existent stations']</t>
  </si>
  <si>
    <t>The possible limitation in the number of long distance radio stations simultaneously in operation is considered. It is shown how high-speed transmission, improved directional selectivity, and better frequency selectivity would greatly increase the number of feasible co-existent stations. The utilization of a wave length band as a result of high-speed transmission is discussed in connection with frequency selectivity. The 200-kilowatt alternator station at New Brunswick is described, special mention being made of the constant speed regulation system for the induction motor drive, the functioning of the magnetic amplifier, and the operation of the multiple antenna. In this latter connection, the possibilities of effective directional radiation are considered.</t>
  </si>
  <si>
    <t>1829-1837</t>
  </si>
  <si>
    <t>Alexanderson, Ernst F.W.</t>
  </si>
  <si>
    <t>Alexanderson E.</t>
  </si>
  <si>
    <t>Trans-oceanic radio communication</t>
  </si>
  <si>
    <t>10.1109/JPROC.1999.790645</t>
  </si>
  <si>
    <t>2-s2.0-0033318214</t>
  </si>
  <si>
    <t>['wireless communications', 'video compression', 'universal wide', 'unifying focus', 'time processing', 'term interests', 'smart antennas', 'signal processing', 'rf receivers', 'relevant base', 'power rf', 'paramount importance', 'oriented projects', 'new knowledge', 'march 1995', 'many issues', 'interference suppression', 'integrated circuits', 'industrial participants', 'handheld device', 'goals include', 'financial support', 'enhanced coverage', 'edge program', 'currently underway', 'conserving protocols', 'close cooperation', 'capacity enhancement', 'based computing', 'based agents', 'air interface']</t>
  </si>
  <si>
    <t>UCSD's Center for Wireless Communications was founded in March 1995 as a partnership between the University and the wireless communications industry. Its goals include the definition and pursuit of a cutting-edge program of precompetitive, multidisciplinary research focused on wireless access systems, technologies, and applications; the creation of a relevant base of new knowledge with high commercial impact potential; and the production of graduates at all degree levels trained to meet industrial human resources needs. Of paramount importance to the achievement of these goals are the involvement, collaboration, and financial support of the CWC's Industrial Participants. Working in close cooperation with its Industrial Participants, the theme of broadband wireless access to the Internet was chosen as the unifying focus for the Center's programs, and five thrust areas have been defined: circuits, signal processing (smart antennas and compression), communication theory, networks, and software to wirelessly support multimedia applications. Seven specific goal-oriented projects are currently underway, each intended to meet the long-term interests of a subset of our Industrial Participants. These seven projects focus, respectively, on ad hoc home networks, universal wide-area wireless service, space-time processing, modulation/coding for enhanced coverage, linear power amplifiers, RF receivers, and changes to the Internet infrastructure needed to support ubiquitous broadband wireless access. Among the many issues being addressed are agent-based computing, division of responsibilities between the tetherless information portal and the infrastructure-based agents, battery-conserving protocols for the air interface, quality of service at the wireless networking layer, capacity enhancement and interference suppression on the radio air interface, modulation and coding, image and video compression, and low-power RF and integrated circuits for the handheld device.</t>
  </si>
  <si>
    <t>Acampora, Anthony S.</t>
  </si>
  <si>
    <t>University of California, San Diego</t>
  </si>
  <si>
    <t>Acampora A.</t>
  </si>
  <si>
    <t>Overview of UCSD's center for wireless communications</t>
  </si>
  <si>
    <t>10.1109/98.799615</t>
  </si>
  <si>
    <t>2-s2.0-0033318257</t>
  </si>
  <si>
    <t>['stacked patches', 'printed antenna', 'lower cross', 'loss bandwidths', 'feed configurations', 'experimentally verified', 'directly integrated', 'db return', '85 %.']</t>
  </si>
  <si>
    <t>In this paper, the performance of stacked patches incorporating a high and low dielectric constant material combination is presented. Such a printed antenna is applicable for cases where photonic and microwave devices need to be directly integrated with the antenna. It will be shown that 10-dB return-loss bandwidths in excess of 25% can be achieved with such a configuration. Importantly, the surface wave efficiency across this band of frequencies is high - greater than 85%. It will also be shown that these stacked patches have lower cross-polarization levels compared to a conventional stacked patch and, thus, are very suited to circular polarization applications. Two circular polarization (CP) configurations are presented and experimentally verified. The single- and dual-feed configurations have 3-dB axial ratio bandwidths of 18% and 32%, respectively.</t>
  </si>
  <si>
    <t>1767-1771</t>
  </si>
  <si>
    <t>Waterhouse, Rod B.</t>
  </si>
  <si>
    <t>Stacked patches using high and low dielectric constant material combinations</t>
  </si>
  <si>
    <t>10.1109/8.817651</t>
  </si>
  <si>
    <t>2-s2.0-0033318373</t>
  </si>
  <si>
    <t>Hyundai Motor America</t>
  </si>
  <si>
    <t>['unstepped versions', 'typically less', 'typically closer', 'three dual', 'stepped lens', 'single dual', 'radiating elements', 'polarized 76', 'polarization levels', 'entire beam', 'diameter lens', 'design frequency', 'coupled patches', 'beam crossovers', '30 db', '3 db', '20 db', '15 db']</t>
  </si>
  <si>
    <t>A dual-polarized 76.5-GHz microstrip patch and teflon lens antenna system was designed, constructed, and tested. A receiver (RX) array of three dual-polarized microstrip patches was coupled through a 10-cm-diameter lens to produce radiation patterns with 3¬∞ beamwidths and beam crossovers of -3 dB. The transmitter (TX) consisted of a single dual-polarized microstrip patch coupled through a 2.5-cm-diameter lens to produce a 10¬∞ beamwidth. Slot-coupled patches were used to isolate the microstrip feed circuit from the radiating elements. The antennas and feeds were fabricated on commercially available 5880 Duriod substrates. Cross-polarization levels were less than -20 dB and were typically less than -30 dB over the entire beam at the design frequency. First sidelobe levels were no greater than -15 dB and were typically closer to -20 dB. Stepped and unstepped versions of the 10-cm-diameter receive lens were designed and fabricated. Antenna system sidelobes levels were lower with the stepped lens while the cross-polarization levels were comparable.</t>
  </si>
  <si>
    <t>1836-1842</t>
  </si>
  <si>
    <t>Porter, Bradley G.</t>
  </si>
  <si>
    <t>Porter B.G.</t>
  </si>
  <si>
    <t>Dual-polarized slot-coupled patch antennas on duroid with teflon lenses for 76.5-GHz automotive radar systems</t>
  </si>
  <si>
    <t>10.1109/8.817660</t>
  </si>
  <si>
    <t>2-s2.0-0033318375</t>
  </si>
  <si>
    <t>['transmission line', 'square patch', 'small effect', 'ring antenna', 'resonance frequency', 'radiation characteristics', 'perforation increases', 'microstrip square', 'involves perforating', 'investigated numerically', 'input impedance', 'good agreement', 'experimental data', 'computed results', 'also enhance']</t>
  </si>
  <si>
    <t>A method for miniaturization of microstrip patch antenna without degrading its radiation characteristics is investigated. It involves perforating the patch to form a microstrip square-ring antenna, which is investigated numerically and experimentally. The ring geometry introduces additional parameters to the antenna that can be used to control its impedance, resonance frequency, and bandwidth. For a single square ring increasing the size of perforation increases its input impedance, but decreases the resonance frequency and bandwidth. It has a small effect on directivity of the antenna. To match the antenna to a transmission line and also enhance its bandwidth, the ring is stacked by a square patch or another square ring. The computed results are compared with experimental data and again good agreement is obtained.</t>
  </si>
  <si>
    <t>1633-1639</t>
  </si>
  <si>
    <t>Bafrooei, Pedram Moosavi</t>
  </si>
  <si>
    <t>Bafrooei P.</t>
  </si>
  <si>
    <t>Characteristics of single- and double-layer microstrip square-ring antennas</t>
  </si>
  <si>
    <t>10.1109/8.805910</t>
  </si>
  <si>
    <t>2-s2.0-0033318765</t>
  </si>
  <si>
    <t>['trapped within', 'sufficient magnitude', 'simple model', 'particles may', 'orbital situation', 'ion deposition', 'interference level', 'error probabilities', 'electrostatic phenomenon', 'charged particles', 'broad range', 'band phased', 'array antenna']</t>
  </si>
  <si>
    <t>In an orbital situation any spacecraft is bombarded by charged particles that span a broad range of energies. Some of the particles may be trapped within the materials of the spacecraft. Recent data indicates that an S-band phased-array antenna on a spacecraft may experience electrostatic discharges from such ion deposition at the elements of the array. These discharges may induce RF interference of sufficient magnitude to degrade transponder performance, This issue is addressed by considering the degradation to a binary phase shift keying (BPSK) signal. A simple model for the electrostatic phenomenon is described, and error probabilities are evaluated. The discharges and induced pulse rates are shown to be well below the interference level.</t>
  </si>
  <si>
    <t>1383-1387</t>
  </si>
  <si>
    <t>Sorace, Ron</t>
  </si>
  <si>
    <t>Sorace R.</t>
  </si>
  <si>
    <t>Probability of error for BPSK modulation from electrostatic interference</t>
  </si>
  <si>
    <t>10.1109/7.805454</t>
  </si>
  <si>
    <t>2-s2.0-0033318836</t>
  </si>
  <si>
    <t>['track resolution', 'synthetic aperture', 'swathwidth etc', 'shown along', 'sar ),', 'processing steps', 'possible field', 'paper proposes', 'mounted along', 'grating lobes', 'detailed modeling', 'data measured', 'conventional single', 'conceptual design', 'channel side', 'antenna pattern', 'achievable performance']</t>
  </si>
  <si>
    <t>Due to the nature of a conventional single-channel side-looking synthetic aperture radar (SAR), there exist some essential physical limitations concerning the possible field of view in front, behind and directly below the platform. This paper proposes an high-resolution airborne downward-looking imaging radar (ADIR) system which combines the concepts of real and synthetic aperture. The cross-track resolution is achieved by beamforming the data measured with an array of sensors, e.g. mounted along the wings, while the along-track resolution results from a Doppler shift caused by the movement of the platform. The conceptual design of such a system is described by means of detailed modeling and analyzing of the received backscattered signals with regard to the achievable performance as a function of crucial system parameters like aperture length, antenna pattern, grating lobes, swathwidth etc. The ADIR-processing steps in both directions are presented in detail and are shown along with some illustrative simulation results.</t>
  </si>
  <si>
    <t>295-304</t>
  </si>
  <si>
    <t>Gierull, Christoph H.</t>
  </si>
  <si>
    <t>Gierull C.</t>
  </si>
  <si>
    <t>On a concept for an airborne downward-looking imaging radar</t>
  </si>
  <si>
    <t>2-s2.0-0033319524</t>
  </si>
  <si>
    <t>['simple approach', 'proposed procedure', 'poles using', 'original model', 'order modeling', 'order model', 'numerical instability', 'network representation', 'less sensitive', 'interpolation techniques', 'intermediate model', 'frequency response', 'frequency range', 'domain simulations', 'distributed system', 'data generated', 'corresponding residues', 'conventional reduced', 'computationally inexpensive']</t>
  </si>
  <si>
    <t>A simple approach is presented to simplify a distributed system by further reducing the order of the rational function obtained from conventional reduced-order modeling (ROM) techniques. The method uses pole-clustering and rational-interpolation techniques to determine a low-order model from the high-order intermediate model constructed by multipoint ROM methods. The complexity of this intermediate model is reduced by clustering the poles using an inverse distance measure (IDM) criterion and by calculating fewer poles, applying rational interpolation on the data generated from the original model. The corresponding residues are then determined by fitting the frequency response of the system over a frequency range. The proposed procedure is computationally inexpensive and less sensitive to numerical instability. To illustrate the validity of the method, examples of frequency- and time-domain simulations of an RLCG transmission line and a network representation of a three-dimensional (3-D) patch antenna structure are given.</t>
  </si>
  <si>
    <t>1468-1472</t>
  </si>
  <si>
    <t>IEEE Transactions on Circuits and Systems I: Fundamental Theory and Applications</t>
  </si>
  <si>
    <t>60020536-60024780</t>
  </si>
  <si>
    <t>Beyene, Wendemagegnehu T.</t>
  </si>
  <si>
    <t>Santa Clara;Palo Alto</t>
  </si>
  <si>
    <t>Agilent Technologies;Hewlett-Packard Inc.</t>
  </si>
  <si>
    <t>60024780;60020536</t>
  </si>
  <si>
    <t>Beyene W.</t>
  </si>
  <si>
    <t>Pole-clustering and rational-interpolation techniques for simplifying distributed systems</t>
  </si>
  <si>
    <t>10.1109/81.809548</t>
  </si>
  <si>
    <t>2-s2.0-0033319622</t>
  </si>
  <si>
    <t>['wireless world', 'wider bandwidth', 'undesirable features', 'substrate surrounding', 'substrate propagation', 'patch antennas', 'patch antenna', 'numerical method', 'noticeably improved', 'leaky waves', 'help mitigate', 'great interest', 'good correlation', 'generated using', 'edge diffraction', 'directivity drop', 'difference time', 'desired features', 'computed results', 'computations showed']</t>
  </si>
  <si>
    <t>Smaller physical size and wider bandwidth are two antenna engineering goals of great interest in the wireless world. To this end, the concept of external substrate perforation is applied to patch antennas in this paper. The goal was to overcome the undesirable features of thick and high dielectric constant substrates for patch antennas without sacrificing any of the desired features, namely, small element size and bandwidth. The idea is to use substrate perforation exterior to the patch to lower the effective dielectric constant of the substrate surrounding the patch. This change in the effective dielectric constant has been observed to help mitigate the unwanted interference pattern of edge diffraction/scattering and leaky waves. The numerical data presented in this paper were generated using the finite-difference time-domain (FDTD) technique. Using this numerical method, a patch antenna was simulated on finite-sized ground planes of two different substrate thicknesses, with and without external substrate perforation. The computations showed the directivity drop in the radiation pattern caused by substrate propagation was noticeably improved by introducing the substrate perforation external to the patch for the case of a patch antenna on a relatively thick substrate without any loss of bandwidth. Measurements of a few patch antennas fabricated on high dielectric constant substrates with and without substrate perforation are included for completeness. Good correlation between the computed results and measurements is observed.</t>
  </si>
  <si>
    <t>1785-1794</t>
  </si>
  <si>
    <t>Colburn, Joseph S.</t>
  </si>
  <si>
    <t>Colburn J.</t>
  </si>
  <si>
    <t>Patch antennas on externally perforated high dielectric constant substrates</t>
  </si>
  <si>
    <t>10.1109/8.817654</t>
  </si>
  <si>
    <t>2-s2.0-0033319756</t>
  </si>
  <si>
    <t>['verified experimentally', 'producing broad', 'major role', 'impedance behavior', 'findings presented', 'design strategy', 'band responses', 'backed configurations', 'antenna parameter', 'achieve bandwidths']</t>
  </si>
  <si>
    <t>In this paper, a design strategy to achieve bandwidths in excess of 25% for probe-fed stacked patches is presented. The choice of appropriate dielectric materials for such bandwidths is given and the role of each antenna parameter in controlling the impedance behavior is provided. It has been found that the selection of the substrate below the lower patch plays a major role in producing broad-band responses. A simple design procedure is outlined and this technique is verified experimentally. The findings presented here can be applied to all types of probe-fed stacked patches as well as edge-fed and cavity-backed configurations.</t>
  </si>
  <si>
    <t>1780-1784</t>
  </si>
  <si>
    <t>Design of probe-fed stacked patches</t>
  </si>
  <si>
    <t>10.1109/8.817653</t>
  </si>
  <si>
    <t>2-s2.0-0033319940</t>
  </si>
  <si>
    <t>['spreading code', 'recent years', 'propagation delay', 'multiuser detection', 'every user', 'desired user', 'antenna array', 'also proposed']</t>
  </si>
  <si>
    <t>In recent years, some blind adaptive multiuser detectors are presented to implement multiuser detection with the only knowledge of the desired user's spreading code and propagation delay. We find, in this paper, that with the aid of the antenna array, multiuser detection can be achieved even without the desired user's spreading code and propagation delay, provided that the direction of arrival of every user is different from each other. Propagation delay and array response estimation methods are also proposed in this paper.</t>
  </si>
  <si>
    <t>2154-2161</t>
  </si>
  <si>
    <t>60025278;60025278-60025578-60019616-60008435-60089801-60121655</t>
  </si>
  <si>
    <t>37861485000;7410283060</t>
  </si>
  <si>
    <t>Yu, Xiang;Zhang, Xian Da</t>
  </si>
  <si>
    <t>United States;China;China;China;China;Japan</t>
  </si>
  <si>
    <t>San Diego;Beijing;Xi'an;Beijing;Harbin;Sendai</t>
  </si>
  <si>
    <t>The Electrical and Computer Engineering Department;Changcheng Institute of Metrology and Measurement;Xidian University;Tsinghua University;Harbin Institute of Technology;Tohoku University</t>
  </si>
  <si>
    <t>60121655;60089801;60025578;60025278;60019616;60008435</t>
  </si>
  <si>
    <t>Yu X.</t>
  </si>
  <si>
    <t>New blind identification method for DS-CDMA systems with antenna array under multipath fading</t>
  </si>
  <si>
    <t>10.1109/49.814832</t>
  </si>
  <si>
    <t>2-s2.0-0033320042</t>
  </si>
  <si>
    <t>['simple procedure', 'reflector antennas', 'optimization process', 'fully defining', 'classical displaced', 'axis dual']</t>
  </si>
  <si>
    <t>A simple procedure for the design of classical displaced-axis dual-reflector antennas is given. Using four geometric input parameters, a set of equations is derived to find the remaining geometric parameters, fully defining the systems. This initial geometry provides a good starting point for any optimization process.</t>
  </si>
  <si>
    <t>64-71</t>
  </si>
  <si>
    <t>100435610;60029470</t>
  </si>
  <si>
    <t>56212355200;7003474509</t>
  </si>
  <si>
    <t>Milligan, Tom;Granet, Christophe</t>
  </si>
  <si>
    <t>Melbourne;Littleton</t>
  </si>
  <si>
    <t>Commonwealth Scientific and Industrial Research Organization;Milligan and Associates</t>
  </si>
  <si>
    <t>60029470;100435610</t>
  </si>
  <si>
    <t>Milligan T.</t>
  </si>
  <si>
    <t>A simple procedure for the design of classical displaced-axis dual-reflector antennas using a set of geometric parameters</t>
  </si>
  <si>
    <t>10.1109/74.815319</t>
  </si>
  <si>
    <t>2-s2.0-0033320097</t>
  </si>
  <si>
    <t>['whose calculations', 'usual meanings', 'special case', 'short pulses', 'radiation reaction', 'radiation formula', 'previous authors', 'power radiated', 'paper suggests', 'paper starts', 'paper shows', 'order 2n', 'neutral ensembles', 'individual particles', 'formula seems', 'electromagnetic radiation', 'distance zn', 'dimensional n', 'dimensional multipole', 'derivation assumes', 'classical theory', 'antenna theory', 'accelerations change', '1 poles', '1 case']</t>
  </si>
  <si>
    <t>Antenna theory | Electromagnetic radiation | Larmor radiation formula | Multipole radiation | Radiation reaction force</t>
  </si>
  <si>
    <t>This paper starts with a brief historical review of the development of the classical theory of electromagnetic radiation. Antenna theory is a special case of the Larmor radiation formula. Although this formula seems to suggest that neutral ensembles of charges should not produce electromagnetic radiation, this paper suggests that they, in the form of multipoles, can radiate, because of differences in the retardation of the fields of individual particles, if the accelerations change in time. This paper shows that the power radiated by a one-dimensional multipole, of order 2n, is Pn = 2[Mn(dnŒΩ/dtn)]2/[(4n2 - 1)c2n+1] (cgs units). Mn is a scalar multipole moment. The other symbols have their usual meanings. The derivation assumes that a 2n pole consists of two opposing equal one-dimensional n-1 poles, separated by the distance zn. The Larmor radiation formula is the n = 1 case, with M1 = e. Corresponding to each radiation formula is one for the radiation reaction force, Fn = Pn/ŒΩ, neglecting the interaction with the self-field. This formula for radiation reaction is more general than that given by previous authors, whose calculations have concerned only short pulses. ¬©1999 IEEE.</t>
  </si>
  <si>
    <t>51-55</t>
  </si>
  <si>
    <t>Beers, Yardley</t>
  </si>
  <si>
    <t>Beers Y.</t>
  </si>
  <si>
    <t>The role of the larmor radiation formula in the classical theory of electromagnetic radiation</t>
  </si>
  <si>
    <t>10.1109/74.815318</t>
  </si>
  <si>
    <t>2-s2.0-0033320188</t>
  </si>
  <si>
    <t>['varying channels', 'theoretic perspective', 'temporal diversity', 'suboptimal scalar', 'slowly time', 'several aspects', 'reduce complexity', 'optimized vector', 'jointly exploited', 'implementation issues', 'coded systems', 'coded multiple', 'also discussed', 'achievable rates']</t>
  </si>
  <si>
    <t>Several aspects of the design and optimization of coded multiple-antenna transmission diversity methods for slowly time-varying channels are explored from an information-theoretic perspective. Both optimized vector-coded systems, which can achieve the maximum possible performance, and suboptimal scalar-coded systems, which reduce complexity by exploiting suitably designed linear precoding, are investigated. The achievable rates and associated outage characteristics of these spatial diversity schemes are evaluated and compared, both for the case when temporal diversity is being jointly exploited and for the case when it is not. Complexity and implementation issues more generally are also discussed.</t>
  </si>
  <si>
    <t>2418-2433</t>
  </si>
  <si>
    <t>60000251-60024592;60000251-60097336;60000251-60022195</t>
  </si>
  <si>
    <t>7007057592;7003263155;7003798695</t>
  </si>
  <si>
    <t>Narula, Aradhana;Trott, Mitchell D.;Wornell, Gregory W.</t>
  </si>
  <si>
    <t>Oak Brook;Lexington;Cambridge;New York</t>
  </si>
  <si>
    <t>ArrayComm LLC;Lincoln Laboratory;Massachusetts Institute of Technology;IEEE</t>
  </si>
  <si>
    <t>60097336;60024592;60022195;60000251</t>
  </si>
  <si>
    <t>Narula A.</t>
  </si>
  <si>
    <t>Performance limits of coded diversity methods for transmitter antenna arrays</t>
  </si>
  <si>
    <t>10.1109/18.796381</t>
  </si>
  <si>
    <t>2-s2.0-0033320710</t>
  </si>
  <si>
    <t>['toroid plane', 'several hundred', 'radiation resistance', 'radiation qs', 'one million', 'omnidirectional pattern', 'method calculations', 'large values', 'dipole mode', 'constant current']</t>
  </si>
  <si>
    <t>The contrawound toroidal helix antenna with constant current is examined; it has an omnidirectional pattern in the toroid plane. Radiation resistance is derived for the dipole mode, and results are validated by moment-method calculations. The radiation Qs of these antennas are greater than one million, making them unsuitable as dipole mode radiators. Ratios of loop-mode to dipole-mode radiation resistances range from several hundred to large values.</t>
  </si>
  <si>
    <t>24512080300;6507262326</t>
  </si>
  <si>
    <t>Hansen, R. C.;Ridgley, Richard</t>
  </si>
  <si>
    <t>Modes of the contrawound toroidal helix antenna</t>
  </si>
  <si>
    <t>10.1002/(SICI)1098-2760(19991220)23:6&lt;365::AID-MOP14&gt;3.0.CO;2-S</t>
  </si>
  <si>
    <t>2-s2.0-0033321130</t>
  </si>
  <si>
    <t>['wireless communications', 'th power', 'ratio combining', 'paper presents', 'noise ratio', 'multiple antennas', 'including maximum', 'general cases', 'cross correlation', 'channel vectors', 'average snr', 'analysis shows']</t>
  </si>
  <si>
    <t>This paper presents the concept, principles, and analysis of maximum ratio transmission for wireless communications, where multiple antennas are used for both transmission and reception. The principles and analysis are applicable to general cases, including maximum-ratio combining. Simulation results agree with the analysis. The analysis shows that the average overall signal-to-noise ratio (SNR) is proportional to the cross correlation between channel vectors and that error probability decreases inversely with the (L√óK)th power of the average SNR.</t>
  </si>
  <si>
    <t>1458-1461</t>
  </si>
  <si>
    <t>Lo, Titus K.Y.</t>
  </si>
  <si>
    <t>Redmond</t>
  </si>
  <si>
    <t>AT and T Wireless Services</t>
  </si>
  <si>
    <t>Lo T.</t>
  </si>
  <si>
    <t>Maximum ratio transmission</t>
  </si>
  <si>
    <t>10.1109/26.795811</t>
  </si>
  <si>
    <t>2-s2.0-0033321388</t>
  </si>
  <si>
    <t>['synthesized using', 'omnidirectional antennas', 'fourier method', 'diversity systems', 'dense scatterers', 'beam partitioning', 'antenna combining']</t>
  </si>
  <si>
    <t>In this paper, a beam partitioning is introduced for a mobile surrounded uniformly by dense scatterers. The beams generate signals with equal mean Doppler shift contributions. The equal Doppler contribution of each signal is desirable in antenna combining or diversity systems. Beams that correspond to the partitioning are synthesized using the Fourier method, and a fading rate reduction scheme is described. The fading rate reduction is quantified as an increased correlation distance relative to omnidirectional antennas.</t>
  </si>
  <si>
    <t>1437-1442</t>
  </si>
  <si>
    <t>60015901;60015901</t>
  </si>
  <si>
    <t>6603140970;7201481830</t>
  </si>
  <si>
    <t>N√∏rklit, Ole;Vaughan, Rodney G.</t>
  </si>
  <si>
    <t>N√∏rklit O.</t>
  </si>
  <si>
    <t>Angular partitioning to yield equal Doppler contributions</t>
  </si>
  <si>
    <t>10.1109/25.790517</t>
  </si>
  <si>
    <t>2-s2.0-0033321829</t>
  </si>
  <si>
    <t>['solved applying', 'resultant system', 'presented graphically', 'nonlinear equations', 'ieee trans', 'field plots', 'electromagnetic field', 'current frequency', 'antennas propagat']</t>
  </si>
  <si>
    <t>The electromagnetic field is investigated in a ferromagnetic bifilar lead consisting of circular conductors carrying opposite alternating current. By nature, the field in the lead is of an open boundary type. It is analysed by a hybrid approach first time applied for electromagnetic field scattering in (K.K. Mei, IEEE Trans. Antennas Propagat. AP-22 (1974) 760 and S.K. Chang and K.K. Mei, IEEE Trans. Antennas Propagat. AP-24 (1976) 35) and consisting of the Galerkin finite element method coupled with a separation of variables. The resultant system of nonlinear equations is solved applying a fixed point technique based on Brouwer's theorem. The results are presented graphically in the form of field plots and the characteristics of relative power losses versus the current frequency.</t>
  </si>
  <si>
    <t>251-260</t>
  </si>
  <si>
    <t>Electric Power Systems Research</t>
  </si>
  <si>
    <t>Peterson, W.</t>
  </si>
  <si>
    <t>Bialystok</t>
  </si>
  <si>
    <t>Bialystok University of Technology</t>
  </si>
  <si>
    <t>Peterson W.</t>
  </si>
  <si>
    <t>Fixed point technique in computing power losses in a ferromagnetic bifilar lead</t>
  </si>
  <si>
    <t>S0378779699000243</t>
  </si>
  <si>
    <t>10.1016/S0378-7796(99)00024-3</t>
  </si>
  <si>
    <t>2-s2.0-0033322881</t>
  </si>
  <si>
    <t>NAG 5-1491</t>
  </si>
  <si>
    <t>['space network', 'sn ).', 'small satellites', 'satellites using', 'satellite access', 'limited access', 'inclination orbits', 'design utilizes', 'coded transmission']</t>
  </si>
  <si>
    <t>Small satellites have been perceived as having limited access to NASA's Space Network (SN). The potential for satellite access of the space network when the design utilizes a fixed antenna configuration and low-power, coded transmission is analyzed. From the analysis, satellites using this configuration in high-inclination orbits are shown to have a daily data throughput in the 100 to 1000 Mbit range using the multiple access communications service.</t>
  </si>
  <si>
    <t>1173-1182</t>
  </si>
  <si>
    <t>Koran, Stephen</t>
  </si>
  <si>
    <t>Las Cruces</t>
  </si>
  <si>
    <t>New Mexico State University</t>
  </si>
  <si>
    <t>Koran S.</t>
  </si>
  <si>
    <t>Small satellite access of the space network</t>
  </si>
  <si>
    <t>10.1109/7.805435</t>
  </si>
  <si>
    <t>2-s2.0-0033325616</t>
  </si>
  <si>
    <t>95-821</t>
  </si>
  <si>
    <t>['studied ).', 'small compared', 'proposed method', 'plane waves', 'planar arrangement', 'particles changes', 'omega particles', 'magnetic moments', 'induced electric', 'electromagnetic interaction', 'electromagnetic excitation', 'dipole approximation', 'consideration allows', 'bianisotropic particles', 'analytical parts', 'analytical model']</t>
  </si>
  <si>
    <t>Electromagnetic excitation of two-dimensional (2-D) arrays of bianisotropic particles by plane waves is considered. Arrays (grids) are assumed to be infinite and the particles to be small compared to the wavelength, so that the dipole approximation is possible. The electromagnetic interaction between all the particles changes the properties of these particles (in particular, chiral and omega particles are studied). The analytical model under consideration allows to express the electric and magnetic moments induced in each particle through the incident wave fields in terms of collective polarizability dyadics (CPD's). The proposed method to evaluate these dyadics combines numerical and analytical parts. The results of the calculations of the induced electric and magnetic moments by plane waves are presented for a planar arrangement of omega particles.</t>
  </si>
  <si>
    <t>1429-1439</t>
  </si>
  <si>
    <t>60000251-60017103;60000251-60072485;60000251-60072485;60000251</t>
  </si>
  <si>
    <t>35572352400;6602234063;7006167582;7005479476</t>
  </si>
  <si>
    <t>Simovski, Constantin R.;Kondratjev, Michael S.;Belov, Pavel A.;Tretyakov, Sergei A.</t>
  </si>
  <si>
    <t>Russian Federation;Russian Federation;United States</t>
  </si>
  <si>
    <t>Saint Petersburg;Saint Petersburg;New York</t>
  </si>
  <si>
    <t>Saint Petersburg National Research University of Information Technologies, Mechanics and Optics University ITMO;Peter the Great St. Petersburg Polytechnic University;IEEE</t>
  </si>
  <si>
    <t>60072485;60017103;60000251</t>
  </si>
  <si>
    <t>Simovski C.</t>
  </si>
  <si>
    <t>Interaction effects in two-dimensional bianisotropic arrays</t>
  </si>
  <si>
    <t>10.1109/8.793323</t>
  </si>
  <si>
    <t>2-s2.0-0033325818</t>
  </si>
  <si>
    <t>['simulated data', 'second antenna', 'real orbit', 'presented including', 'possible oscillations', 'known targets', 'ifsar system', 'general useful', 'backscattering coefficients', 'also included']</t>
  </si>
  <si>
    <t>Simulation of raw signals scattered from known targets is in general useful to evaluate and optimize SAR processor and/or SAR images processing chain performance. In this paper is presented a raw signal simulator for spaceborne Synthetic Aperture Radar systems, that take into account the real orbit of the platform (the kepler's nominal one). A physical optics model for backscattering coefficients, and actual signals cross-correlation for systems with two antennas observing the same area (single-pass interferometric SAR) is also included. Some examples of simulated data are presented including the effect of the possible oscillations of the second antenna in an IFSAR system.</t>
  </si>
  <si>
    <t>62-65</t>
  </si>
  <si>
    <t>60021859;60021859</t>
  </si>
  <si>
    <t>7006323779;7403338772</t>
  </si>
  <si>
    <t>De Vita, Francesca;Mori, Alessandro</t>
  </si>
  <si>
    <t>De Vita F.</t>
  </si>
  <si>
    <t>Simulation of spaceborne interferometric SAR raw signals</t>
  </si>
  <si>
    <t>2-s2.0-0033325959</t>
  </si>
  <si>
    <t>['united states', 'terrestrial digital', 'several reports', 'provided guidelines', 'orders set', 'major markets', 'level changes', 'december 24', 'clock tolerance', 'beam tilt']</t>
  </si>
  <si>
    <t>Terrestrial digital (DTV) broadcasting is now underway in the major markets in the United States after the Federal Communications Commission (FCC) in several Reports and Orders set the standard on December 24, 1996, and subsequently released rules of operation and broadcaster channel allocations. Broadcasters are concerned with many in-band and out-of-band transmission parameters, including data signal quality, clock tolerance, radiated power tolerance, carrier phase noise, adjacent channel emissions, and precision frequency offset requirements. The FCC permits DTV power-level changes and/or transmitting antenna location and height and beam tilt in the context of de minimis interference levels. The Advanced Television Systems Committee (ATSC) has provided guidelines for broadcasters in the form of suggested compliance specifications, which will be covered in this paper.</t>
  </si>
  <si>
    <t>365-385</t>
  </si>
  <si>
    <t>6603861481;15018941800</t>
  </si>
  <si>
    <t>Eilers, Carl;Gary Sgrignoli, S.</t>
  </si>
  <si>
    <t>Digital television transmission parameters - analysis and discussion</t>
  </si>
  <si>
    <t>10.1109/11.825532</t>
  </si>
  <si>
    <t>2-s2.0-0033326159</t>
  </si>
  <si>
    <t>JFBI94-222/J4C942220</t>
  </si>
  <si>
    <t>['paper introduces', 'optimization time', 'numerical results', 'novel technique', 'mother structure', 'mom integration', 'mom approach', 'measured results', 'matrix partitioning', 'matrix manipulation', 'ga optimizer', 'excellent agreement', 'efficient ga', 'dmm ).', 'direct z', 'creating substructures', 'corresponding subsets', 'corresponding impedance', 'band antenna']</t>
  </si>
  <si>
    <t>This paper introduces a novel technique for efficiently combining genetic algorithms (GA's) with method of moments (MoM) for integrated antenna design and explores a two example applications of the GA/MoM approach. Integral to efficient GA/MoM integration is the use of direct Z-matrix manipulation (DMM). In DMM a `mother' structure is selected and its corresponding impedance or Z-matrix is filled only once prior to beginning the GA optimization process. The GA optimizer then optimizes the design by creating substructures of the mother structure as represented by the corresponding subsets of the original mother Z-matrix. Application of DMM with GA/MoM significantly reduces the total optimization time by eliminating multiple Z-matrix fill operations. DMM also facilitates the use of matrix partitioning and presolving to further reduce the optimization time in many practical cases. The design of a broad-band patch antenna with greater than 20% bandwidth and a dual-band patch antenna are presented as examples of the utility of GA/MoM with DMM. Measured results for the dual-band antenna are compared to numerical results. Excellent agreement between numerical and measured results is observed.</t>
  </si>
  <si>
    <t>1606-1614</t>
  </si>
  <si>
    <t>Michael Johnson, J.</t>
  </si>
  <si>
    <t>Michael Johnson J.</t>
  </si>
  <si>
    <t>Genetic algorithms and method of moments (GA/MOM) for the design of integrated antennas</t>
  </si>
  <si>
    <t>10.1109/8.805906</t>
  </si>
  <si>
    <t>2-s2.0-0033326336</t>
  </si>
  <si>
    <t>['suitable functional', 'properly taken', 'possible trapping', 'objective functional', 'measurement setup', 'measurement region', 'main results', 'geometrical characteristics', 'general approach', 'field transformation', 'field far', 'field data', 'far field', 'false solution', 'existing papers', 'easily matches', 'dynamic range', 'difficulties related', 'already done']</t>
  </si>
  <si>
    <t>Near-field far-field transformation | Only amplitude measurement</t>
  </si>
  <si>
    <t>A general approach to the near-field far-field transformation from amplitude only near-field data is presented. The estimation of the far field is stated as an intersection finding problem and is solved by the minimization of a suitable functional. The difficulties related to the possible trapping of the algorithm by a false solution (common to any nonlinear inverse problem) are mitigated by setting the problem in the space of the squared field amplitudes (as already done in a number of existing papers) and by incorporating all the a priori knowledge concerning the system under test in the formulation of the problem. Accordingly, the a priori information concerning the far field, the near field outside the measurement region and the accuracy of the measurement setup and its dynamic range are properly taken into account in the objective functional. The intrinsic ill conditioning of the problem is managed by adopting a general, flexible, and nonredundant sampling representation of the field, which takes into account the geometrical characteristics of the source. As a consequence, the number of unknowns is minimized and a technique is obtained, which easily matches the available knowledge concerning the behavior of the field. The effectiveness of the approach is shown by reporting the main results of an extensive numerical analysis, as well as an experimental validation performed by using a very low cost nearfield facility available at the Electronic Engineering Department, University of Napoli, Italy. ¬©1999 IEEE.</t>
  </si>
  <si>
    <t>1377-1385</t>
  </si>
  <si>
    <t>60000251-60017293;60000251;60000251</t>
  </si>
  <si>
    <t>7006499276;7103082097;55934942300</t>
  </si>
  <si>
    <t>Bucci, Ovidio M.;D'Elia, Giuseppe;Migliore, Marco Donald</t>
  </si>
  <si>
    <t>Naples;New York</t>
  </si>
  <si>
    <t>Universit√† degli Studi di Napoli Federico II;IEEE</t>
  </si>
  <si>
    <t>60017293;60000251</t>
  </si>
  <si>
    <t>An effective near-field far-field transformation technique from truncated and inaccurate amplitude-only data</t>
  </si>
  <si>
    <t>S0018926X99070623</t>
  </si>
  <si>
    <t>10.1109/8.793317</t>
  </si>
  <si>
    <t>2-s2.0-0033326569</t>
  </si>
  <si>
    <t>['œ ¥', 'slot antenna', 'odd multiples', 'mgo substrate', 'maximum responsivity', 'josephson mixer', 'japanese journal', 'harmonic mixing', 'electromagnetic wave', 'device without', 'applied physics', 'antenna structure', '48 ghz']</t>
  </si>
  <si>
    <t>Antenna coupled mixer | Josephson junction | Slot antenna | YBCO thin film</t>
  </si>
  <si>
    <t>The antenna structure and the direction of the irradiated signal wave were investigated in order to improve the responsivity of a slot antenna coupled YBa2Cu3O7-Œ¥ (YBCO) Josephson mixer. The slot antenna coupled Josephson mixer consists of a thin-film slot antenna on a fused quartz substrate and a YBCO Josephson junction on a MgO substrate. It was found that maximum responsivity was obtained by letting the thickness of the MgO substrate be odd multiples of Œªd/4 (Œªd: wavelength in the substrate) and irradiating the electromagnetic wave through the MgO substrate. Furthermore, the device with the optimized structure improved the responsivity in the third-harmonic mixing by 7 dB compared to the device without a slot antenna in the harmonic mixing at 48 GHz. ¬© 1999 Publication Board, Japanese Journal of Applied Physics.</t>
  </si>
  <si>
    <t>6670-6673</t>
  </si>
  <si>
    <t>8693958700;55725444500;7004555963</t>
  </si>
  <si>
    <t>Hasegawa, Akihisa;Uchida, Takashi;Yasuoka, Yoshizumi</t>
  </si>
  <si>
    <t>Hasegawa A.</t>
  </si>
  <si>
    <t>Slot antenna coupled YBa&lt;inf&gt;2&lt;/inf&gt;Cu&lt;inf&gt;3&lt;/inf&gt;O&lt;inf&gt;7-Œ¥&lt;/inf&gt; Josephson mixers for millimeter wave radiation</t>
  </si>
  <si>
    <t>10.1143/jjap.38.6670</t>
  </si>
  <si>
    <t>2-s2.0-0033328097</t>
  </si>
  <si>
    <t>['two users', 'spatial multiplexing', 'signal mismatches', 'sdma systems', 'sdma concept', 'presented results', 'practical point', 'pattern characteristics', 'paper focuses', 'hence produces', 'critical effects', 'array elements', 'analysis presented', 'achieved radiation']</t>
  </si>
  <si>
    <t>The paper focuses on TDMA air interface techniques combined with spatial multiplexing through the space division multiple access (SDMA) method. First, results from field trials performed for a variety of operational scenarios provide experimental proof of the SDMA concept for two users. Then, the capacity of the space and time division multiple access scheme is studied with the help of simulations, but from the more general and practical point of view of the produced/achieved radiation-pattern characteristics. Up to now, the analyses for the capacity of SDMA systems have ignored the critical effects that parameters, such as the scattering of the environment, the mutual coupling among the array elements or signal mismatches, have on the produced radiation pattern. The straightforward method employed in the analysis presented here takes into account these effects and hence produces a more realistic capacity assessment. The presented results for different radiation pattern beamwidths and average sidelobe levels, different frequency reuse distances and additional interference cancellation techniques highlight the trade-offs between different performance criteria and the implications to the overall system design.</t>
  </si>
  <si>
    <t>307-311</t>
  </si>
  <si>
    <t>IEE Proceedings: Communications</t>
  </si>
  <si>
    <t>Tsoulos G.V.</t>
  </si>
  <si>
    <t>Experimental and theoretical capacity analysis of space-division multiple access (SDMA) with adaptive antennas</t>
  </si>
  <si>
    <t>10.1049/ip-com:19990623</t>
  </si>
  <si>
    <t>2-s2.0-0033329059</t>
  </si>
  <si>
    <t>['rotational speed', 'rotating spacecraft', 'limitation imposed', 'antenna configuration']</t>
  </si>
  <si>
    <t>A method to compute the integer ambiguity problem when a global position system (GPS) receiver is used in a multiple antenna configuration attached to a rotating spacecraft is presented. The antenna configuration is selected for the best possible solution and an analysis of the errors has been performed. The limitation imposed by the rotational speed of the vehicle is derived and the method is applied to a simulated spinning satellite, which does not have the optimal antenna configuration.</t>
  </si>
  <si>
    <t>1219-1229</t>
  </si>
  <si>
    <t>Ferrando, Clara</t>
  </si>
  <si>
    <t>Buenos Aires</t>
  </si>
  <si>
    <t>Universidad de Buenos Aires</t>
  </si>
  <si>
    <t>Ferrando C.</t>
  </si>
  <si>
    <t>Integer ambiguity resolution in GPS for spinning spacecrafts</t>
  </si>
  <si>
    <t>10.1109/7.805440</t>
  </si>
  <si>
    <t>2-s2.0-0033331726</t>
  </si>
  <si>
    <t>['used commercially', 'solid state', 'satellite communications', 'packaging technology', 'f frequency', 'dynamically shape', 'data links', 'commercial aircraft', 'array antennas', 'airborne applications']</t>
  </si>
  <si>
    <t>Phased-array antennas have numerous inherent advantages over mechanically steered antennas, including rapid beam steering, graceful performance degradation due to the built-in redundancy and the ability to dynamically shape the beam. In addition, advances in solid state and packaging technology have lowered their cost to the point where phased-array antennas are increasingly being used commercially as well as military. The technology is currently being used or is being proposed for various radar systems, satellite communications and airborne applications such as video/data links for commercial aircraft. A typical military array antenna has approximately 4000 elements and operates in the E/F frequency.</t>
  </si>
  <si>
    <t>7202324699;7005229250</t>
  </si>
  <si>
    <t>Matthews, Paul J.;Esman, Ronald D.</t>
  </si>
  <si>
    <t>Matthews P.</t>
  </si>
  <si>
    <t>Cascading prism dispersion</t>
  </si>
  <si>
    <t>10.1109/45.807272</t>
  </si>
  <si>
    <t>2-s2.0-0033331754</t>
  </si>
  <si>
    <t>Texas Center for Superconductivity, University of Houston</t>
  </si>
  <si>
    <t>NAG 9-593</t>
  </si>
  <si>
    <t>TcSUH</t>
  </si>
  <si>
    <t>['temperature superconductors', 'results demonstrate', 'element array', 'copper array', 'approximately 2', 'approximately 0', '77 k', '30 k', '3 db', '2 db']</t>
  </si>
  <si>
    <t>A four-element array of circularly polarized 20-GHz YBa2Cu3Ox microstrip antennas has been fabricated on LaAlO3 and characterized. The array produced good circular polarization, and the gain of the array at 77 K, relative to a copper array of the same design at 77 K, was approximately 0.75 and 1.3 dB for the two gain measurement methods presented. The relative gain increased to approximately 2.2 dB at 30 K. The results demonstrate that high-temperature superconductors, when used in microstrip antenna arrays, improve the efficiency of the array, and that circularly polarized microstrip arrays can be fabricated on LaAlO3.</t>
  </si>
  <si>
    <t>4725-4732</t>
  </si>
  <si>
    <t>100444001;60000251-60005837;60005837;60005837;60005837;60005837;60005837;60000251-60005837;60005837</t>
  </si>
  <si>
    <t>7202118492;57218985569;35467949600;6506097108;6603556460;6505649462;55715466500;7402507033;7401795231</t>
  </si>
  <si>
    <t>Morrow, Jarrett D.;Williams, Jeffery T.;Davis, Mathew F.;Licon, Darian L.;Rampersad, H. R.;Jazdyk, David R.;Zhang, Xiaoping;Long, Stuart A.;Wolfe, John C.</t>
  </si>
  <si>
    <t>Houston;New York;Nashua</t>
  </si>
  <si>
    <t>University of Houston;IEEE;Spike Technologies, Inc.</t>
  </si>
  <si>
    <t>60005837;60000251;100444001</t>
  </si>
  <si>
    <t>Morrow J.D.</t>
  </si>
  <si>
    <t>Circularly polarized 20-GHz high-temperature superconducting microstrip antenna array</t>
  </si>
  <si>
    <t>10.1109/77.819344</t>
  </si>
  <si>
    <t>2-s2.0-0033332824</t>
  </si>
  <si>
    <t>['polarization grids', 'patterning method', 'key technology', 'excellent cross', 'desired pattern', 'article proposes', 'appropriate models']</t>
  </si>
  <si>
    <t>This article proposes a patterning method of polarization grids on a reflector using reflector surface developing technique for gridded reflector antennas. Gridded reflector antennas have excellent cross-polarization suppression characteristics caused by their polarization grids on a reflector. The proposed grid patterning method is simple to transcribe a plane grid pattern onto a curved reflector surface, being different from conventional complicated methods such as a direct photoetching method by N/C-driven laser system. A key technology for plane pattern design to obtain a desired pattern on a curved reflector surface is described. The method is evaluated through appropriate models and is verified by a measured radiation pattern.</t>
  </si>
  <si>
    <t>57-65</t>
  </si>
  <si>
    <t>7006526732;7101961568;7102603567;57217478454;7403067757</t>
  </si>
  <si>
    <t>Naito, Izuru;Yamato, Masao;Honma, Shin Ichi;Miyahara, Norio;Makino, Shigeru</t>
  </si>
  <si>
    <t>Patterning method of polarization grids on a reflector using reflector surface developing technique</t>
  </si>
  <si>
    <t>10.1002/(SICI)1520-6432(199912)82:12&lt;57::AID-ECJB7&gt;3.0.CO;2-Q</t>
  </si>
  <si>
    <t>2-s2.0-0033334692</t>
  </si>
  <si>
    <t>Nr ERBFMB ICT972702</t>
  </si>
  <si>
    <t>['unwrapping procedure', 'terrain steepness', 'terrain mapping', 'terrain height', 'realistic scenes', 'quality maps', 'provides reduced', 'proposed recently', 'phase unwrapping', 'phase ambiguity', 'phase aliasing', 'performance achievable', 'parameter optimization', 'numerical simulator', 'noise drawbacks', 'new technique', 'new system', 'new reduced', 'good accuracy', 'given site', 'estimation accuracy', 'critical conditions', 'conventional two', 'conventional technique', 'antenna insar', 'achievable performance']</t>
  </si>
  <si>
    <t>A three-antenna synthetic aperture radar interferometer (InSAR) with a statistically optimal data processor for three-dimensional (3-D) terrain mapping has been proposed recently to reduce the phase ambiguity and data-noise drawbacks of the conventional two-antenna SAR interferometry technique. In this paper, a numerical simulator is developed to assess the achievable performance and various design tradeoffs of the three-antenna InSAR. The most critical conditions for the new reduced-ambiguity system operating on realistic scenes are taken into account. The phase-unwrapping procedure is included in the simulator to compare the new and the conventional technique in terms of both phase and height-estimation accuracy. The performance achievable by a three-antenna airborne InSAR system on a given site are analyzed, and the parameter optimization of the new system is investigated. The results of several case studies show that the new technique can outperform the conventional one significantly for a typical airborne configuration, especially for high-terrain steepness. It provides reduced-phase aliasing and better estimation accuracy. So, the phase unwrapping is simplified and high-quality maps of terrain height can be obtained. As a limit, absolute phase retrieval can be achieved with good accuracy and the unwrapping procedure can be avoided.</t>
  </si>
  <si>
    <t>2518-2529</t>
  </si>
  <si>
    <t>5 II</t>
  </si>
  <si>
    <t>60028868;60028868;60022148;60122280</t>
  </si>
  <si>
    <t>7103074007;7003735775;7003962497;7005015056</t>
  </si>
  <si>
    <t>Corsini, Giovanni;Diani, Marco;Lombardini, Fabrizio;Pinelli, Gianpaolo</t>
  </si>
  <si>
    <t>Italy;Italy;United Kingdom</t>
  </si>
  <si>
    <t>Pisa;Pisa;London</t>
  </si>
  <si>
    <t>IDS Ingegneria Dei Sistemi S.p.A;Universit√† di Pisa;University College London</t>
  </si>
  <si>
    <t>60122280;60028868;60022148</t>
  </si>
  <si>
    <t>Corsini G.</t>
  </si>
  <si>
    <t>Simulated analysis and optimization of a three-antenna airborne InSAR system for topographic mapping</t>
  </si>
  <si>
    <t>10.1109/36.789647</t>
  </si>
  <si>
    <t>2-s2.0-0033334887</t>
  </si>
  <si>
    <t>['wave reflected', 'vivaldi antennas', 'systematic correlation', 'signal measured', 'pencil method', 'new method', 'measured signal', 'fully retrieve', 'different anechoic', 'component corresponding', 'applied sequentially', 'anechoic chambers', 'anechoic chamber']</t>
  </si>
  <si>
    <t>A new method for systematic correlation of measurements in semi-anechoic and anechoic chambers is presented. A signal measured in a semi-anechoic chamber is first processed using the matrix-pencil method which is applied sequentially on small frequency intervals. On each interval the measured signal is decomposed into its propagating wave components. The component corresponding to the wave reflected from the ground is identified and removed to fully retrieve the signal measured in an anechoic chamber. Three examples using log-periodic and Vivaldi antennas in different anechoic and semi-anechoic chambers for varying frequency ranges illustrate the method. The proposed decomposition algorithm can be utilized to characterize measurement test site imperfections.</t>
  </si>
  <si>
    <t>1569-1573</t>
  </si>
  <si>
    <t>101525602;101525602</t>
  </si>
  <si>
    <t>6602376704;56028199700</t>
  </si>
  <si>
    <t>Fouresti√©, Beno√Æt;Altman, Zwi</t>
  </si>
  <si>
    <t>Saint-Quentin</t>
  </si>
  <si>
    <t>T√©l√©diffusion de France</t>
  </si>
  <si>
    <t>On the use of the matrix-pencil method to correlate measurements at different test sites</t>
  </si>
  <si>
    <t>10.1109/8.805901</t>
  </si>
  <si>
    <t>2-s2.0-0033335540</t>
  </si>
  <si>
    <t>['two near', 'ring patch', 'proposed design', 'novel design', 'fundamental mode', 'experimentally studied', 'excited fundamental', 'equal amplitudes', 'either design', 'cross strip', 'antenna size']</t>
  </si>
  <si>
    <t>A novel design of square-ring microstrip antenna with a cross strip for achieving compact circular polarization (CP) operation is proposed and experimentally studied. The cross strip can be placed in the centerlines or diagonals of the square-ring patch. Either design can make its excited fundamental-mode patch surface current path much longer than that in a conventional square microstrip antenna with same antenna size. By incorporating a small tuning stub for splitting the fundamental mode into two near-degenerate resonant modes with equal amplitudes and 90¬∞ phase-difference compact CP operation for the proposed design can be obtained.</t>
  </si>
  <si>
    <t>1566-1568</t>
  </si>
  <si>
    <t>60019330;60019330</t>
  </si>
  <si>
    <t>25960688900;7501662373</t>
  </si>
  <si>
    <t>Chen, Wen Shyang;Wu, Chun Kun</t>
  </si>
  <si>
    <t>Cheng Shiu University Taiwan</t>
  </si>
  <si>
    <t>Square-ring microstrip antenna with a cross strip for compact circular polarization operation</t>
  </si>
  <si>
    <t>10.1109/8.805900</t>
  </si>
  <si>
    <t>2-s2.0-0033335541</t>
  </si>
  <si>
    <t>['stray current', 'operating human', 'monopole antenna', 'measuring cable', 'inaccurate due', 'human postures', 'balun position', 'also affected']</t>
  </si>
  <si>
    <t>Traditional impedance measurement of a monopole antenna is inaccurate due to a likely stray radiating current on the measuring cable that is also affected by the operating human. This letter demonstrates experimentally that the elimination of this stray current is possible by using a special sleeve balun suitable for varied PCB ground-plane and human postures. Adjustment of the balun position is discussed.</t>
  </si>
  <si>
    <t>349-352</t>
  </si>
  <si>
    <t>55664638500;55040562900;7404954446</t>
  </si>
  <si>
    <t>Chow, Y. L.;Tsang, K. F.;Wong, C. N.</t>
  </si>
  <si>
    <t>Chow Y.</t>
  </si>
  <si>
    <t>Accurate method to measure the antenna impedance of a portable radio</t>
  </si>
  <si>
    <t>10.1002/(SICI)1098-2760(19991220)23:6&lt;349::AID-MOP8&gt;3.0.CO;2-K</t>
  </si>
  <si>
    <t>2-s2.0-0033335628</t>
  </si>
  <si>
    <t>['wavelength spacing', 'uniform lattice', 'try random', 'term isophoric', 'square root', 'sidelobe region', 'sidelobe control', 'show well', 'planar arrays', 'placement approaches', 'paper describes', 'normally accompanied', 'net result', 'main beam', 'lattice points', 'k times', 'isophoric arrays', 'isophoric array', 'greek roots', 'filled counterparts', 'filled array', 'every location', 'element placed', 'element assignments', 'drastic thinning', 'constraint forces', 'constant values', 'constant value', 'behaved sidelobes', 'aperture size']</t>
  </si>
  <si>
    <t>Traditional filled phased arrays have an element placed in every location of a uniform lattice with half-wavelength spacing between the lattice points. Massively thinned arrays have fewer than half the elements of their filled counterparts. Such drastic thinning is normally accompanied by loss of sidelobe control. This paper describes a class of massively thinned linear and planar arrays that show well-behaved sidelobes in spite of the thinning. The term isophoric is derived from Greek roots to denote uniform weight. In isophoric arrays, element placement based on difference sets forces uniformly weighted spatial coverage. This constraint forces the array power pattern to pass through V uniformly spaced, equal, and constant values that are less than 1/K times the main beam peak, where V is the aperture size in half-wavelengths and K is the number of elements in the array. The net result is reduced peak sidelobes, especially when compared to cut-and-try random-placement approaches. An isophoric array will exhibit this sidelobe control even when the array has been thinned to the extent that K is approximately the square root of V. Where more than one beam must be generated at a time, isophoric array designs may be used to advantage even within a traditional filled array. By `interweaving' two isophoric subarrays within a filled array and by appropriate cyclic shifting of the element assignments over time, two independent antenna power patterns can be generated, each with a sidelobe region that is approximately a constant value of 1/(2K) relative to the main beam, where K is the number of elements in the subarray.</t>
  </si>
  <si>
    <t>1825-1835</t>
  </si>
  <si>
    <t>Leeper, David G.</t>
  </si>
  <si>
    <t>Leeper D.G.</t>
  </si>
  <si>
    <t>Isophoric arrays - massively thinned phased arrays with well-controlled sidelobes</t>
  </si>
  <si>
    <t>10.1109/8.817659</t>
  </si>
  <si>
    <t>2-s2.0-0033336646</t>
  </si>
  <si>
    <t>DAAG29-85-K-0116</t>
  </si>
  <si>
    <t>['wavelength distortion', 'turn used', 'subsequently used', 'statistical model', 'previous techniques', 'phase information', 'optimal estimators', 'new technique', 'microwave reflections', 'element channel', 'doppler preprocessor', 'doppler observations', 'different directions', 'compensate multiple', 'broad angle', 'arbitrary terrain', 'approach exploits']</t>
  </si>
  <si>
    <t>A new technique is developed to compensate multiple-wavelength distortion in airborne antenna arrays. This approach exploits the phase information in microwave reflections from arbitrary terrain. To handle reflections incident over a broad angle, a range-Doppler preprocessor is used in each element channel to resolve wavefronts incident simultaneously from different directions. The phase information for each direction of arrival is compared between elements and processed by optimal estimators to determine the phase corrections needed to compensate the distortion. To develop the estimators, a statistical model of the complex baseband terrain reflections is developed. This is in turn used to generate conditional probability densities involving the range-Doppler observations and the parameters to be estimated. These densities are subsequently used to develop minimum variance and maximum likelihood estimators. The new estimators use additional information that has not been exploited by previous techniques and therefore provide enhanced performance.</t>
  </si>
  <si>
    <t>1369-1382</t>
  </si>
  <si>
    <t>Franz, Charles N.</t>
  </si>
  <si>
    <t>Lincoln Laboratory</t>
  </si>
  <si>
    <t>Franz C.</t>
  </si>
  <si>
    <t>Multipath interferometry technique for airborne array calibration</t>
  </si>
  <si>
    <t>10.1109/7.805453</t>
  </si>
  <si>
    <t>2-s2.0-0033337380</t>
  </si>
  <si>
    <t>['useful results', 'total power', 'time domain', 'situ terminal', 'principal cut', 'power pattern', 'power away', 'plane containing', 'pattern measurements', 'paper describes', 'measured cuts', 'improved performance', 'directive antennas', 'antenna design', 'absorbed power']</t>
  </si>
  <si>
    <t>This paper describes the use of two-dimensional (2-D) pattern measurements as a tool for evaluating new antenna configurations for reducing power absorbed in the head. The estimation is from comparisons of the total power in measured cuts of the power pattern in a plane containing the head (the principal cut) for various handheld antenna configurations. For the estimate to be reliable, the power in the cuts should be proportional to the total radiated power. In practice this may not always be the case, but useful results for guidance of antenna design can still be obtained. Configurations with parasitic reflecting elements for directing the power away from the head are demonstrated to be effective in reducing the absorbed power in the head. The results are consistent with those from existing forward differences in the time domain (FDTD) analysis for directive antennas. The resulting directive patterns are more efficient and so the in situ terminal can be expected to have an improved performance in a homogeneous multipath environment.</t>
  </si>
  <si>
    <t>1371-1380</t>
  </si>
  <si>
    <t>7201481830;7202746189</t>
  </si>
  <si>
    <t>Vaughan, Rodney G.;Scott, Neil L.</t>
  </si>
  <si>
    <t>Evaluation of antenna configurations for reduced power absorption in the head</t>
  </si>
  <si>
    <t>10.1109/25.790510</t>
  </si>
  <si>
    <t>2-s2.0-0033338794</t>
  </si>
  <si>
    <t>['useful complement', 'typical situations', 'single interferer', 'shift keying', 'remarkably simple', 'ratio combining', 'propagation channels', 'previous analyzes', 'practical interest', 'performance analysis', 'output signal', 'optimum combining', 'noise ratio', 'multiple interferers', 'final results', 'exact analysis', 'error rate', 'equipower interferers', 'desired signal', 'derived analytically', 'convenient way', 'binary modulations', 'approximate expression', 'antenna elements', 'although limited']</t>
  </si>
  <si>
    <t>This paper is a performance analysis of optimum combining in the presence of multiple equal power interferers and noise when the number of interferers is less than the number of antenna elements. Desired signal and interferers are subject to flat Rayleigh fading, and the propagation channels are independent. An approximate expression of the probability density function of the output signal-to-interference-plus-noise ratio (SINR) is derived analytically. It is then applied to obtain the cumulative distribution function of the SINR, and the bit-error rate (BER) of some binary modulations, including coherent binary phase-shift keying. In the case of a single interferer, an exact analysis is performed to prove the validity of the approximation. In the case of multiple interferers, the accuracy of the approximation is assessed through simulations. Although limited to equipower interferers, this analysis is a convenient way of assessing the performance of optimum combining in some typical situations and comparing it with that of maximal-ratio combining. The final results are remarkably simple and provide a useful complement to previous analyzes, especially in the region of reasonably high BER's which are of practical interest.</t>
  </si>
  <si>
    <t>1503-1510</t>
  </si>
  <si>
    <t>Villier, Eric</t>
  </si>
  <si>
    <t>Villier E.</t>
  </si>
  <si>
    <t>Performance analysis of optimum combining with multiple interferers in flat Rayleigh fading</t>
  </si>
  <si>
    <t>10.1109/26.795819</t>
  </si>
  <si>
    <t>2-s2.0-0033338940</t>
  </si>
  <si>
    <t>['type divided', 'spectral integrals', 'sampling intervals', 'proposed method', 'numerical efficiency', 'interpolating function', 'good agreement', 'difference interpolation']</t>
  </si>
  <si>
    <t>In this letter, a method to determine the sampling intervals for the spline-type divided-difference interpolation of spectral integrals is suggested by utilizing simple differentiation of the interpolating function. It improves the numerical efficiency of the recent research based on the spline-type divided-difference interpolation scheme. The proposed method is applied to analyze the characteristics of an aperture-coupled patch antenna. Numerical results obtained using by using this approach are in good agreement with those of other approaches.</t>
  </si>
  <si>
    <t>361-363</t>
  </si>
  <si>
    <t>8961086900;56535582400;7410128245</t>
  </si>
  <si>
    <t>Kahng, Sungtek;Choi, Jaehoon;Kim, Hyeongdong</t>
  </si>
  <si>
    <t>Kahng S.</t>
  </si>
  <si>
    <t>Efficiency improvement in the spline-type divided-difference interpolation technique for impedance matrix calculation</t>
  </si>
  <si>
    <t>10.1002/(SICI)1098-2760(19991220)23:6&lt;361::AID-MOP12&gt;3.0.CO;2-1</t>
  </si>
  <si>
    <t>2-s2.0-0033340054</t>
  </si>
  <si>
    <t>['system performance', 'survivor processing', 'substantial saving', 'psp algorithm', 'psp ),', 'power consumption', 'nonselective fading', 'mobile receiver', 'implementation cost', 'estimation algorithm', 'diversity transmission', 'diversity combining', 'computational complexity', 'combined channel', 'base station', 'also presented', 'adverse effects', 'adaptive equalization', 'acquisition capabilities']</t>
  </si>
  <si>
    <t>Adaptive equalization at the mobile in conjunction with diversity transmission at the base station can combat the adverse effects of both frequency-selective and frequency-nonselective fading at the mobile receiver. This is suggested as an alternative to diversity combining at the mobile. Thus, a substantial saving in the mobile receiver's implementation cost and power consumption is expected. In this paper, a time-domain multiple access system with two transmitting antennas at the base station and maximum-likelihood sequence estimation at the mobile is considered. Per-survivor processing (PSP), a combined channel-tracking and sequence-estimation algorithm, has been used for improving the system performance. System performance results in the presence of severe Doppler frequency shifts and additive white Gaussian noise in a flat fading channel are presented. The computational complexity and acquisition capabilities of the PSP algorithm are also presented.</t>
  </si>
  <si>
    <t>1488-1502</t>
  </si>
  <si>
    <t>60017592;60017592;60017592</t>
  </si>
  <si>
    <t>6507368806;7102893730;6506219316</t>
  </si>
  <si>
    <t>Bontu, Chandra S.;Falconer, David D.;Strawczynski, Leo</t>
  </si>
  <si>
    <t>Carleton University</t>
  </si>
  <si>
    <t>Bontu C.</t>
  </si>
  <si>
    <t>Diversity transmission and adaptive MLSE for digital cellular radio</t>
  </si>
  <si>
    <t>10.1109/25.790524</t>
  </si>
  <si>
    <t>2-s2.0-0033340591</t>
  </si>
  <si>
    <t>['simple extension', 'linearized analytically', 'initial problem', 'descent method', 'algorithm based', 'algorithm ).']</t>
  </si>
  <si>
    <t>In this article, an L‚àû approximation is presented for solving minimax problem identified to non periodic linear microstrip antennas array synthesis, assuming uniform excitation of sources. An algorithm based on weighted least squares is implemented to obtain the minimax (LAWSON's algorithm). Since perturbation technique is applied to synthesize non periodic antennas arrays, initial problem is linearized analytically. To avoid accumulating errors occurring in large arrays synthesis, which may disturb linearization conditions, we propose to resolve non linear minimax problem by a descent method (conjugate gradient method). After, a simple extension to planars arrays synthesis is elaborated.</t>
  </si>
  <si>
    <t>Modelling, measurement and control. A, general physics, electronics, electrical engineering</t>
  </si>
  <si>
    <t>Mekkioui, Zahera</t>
  </si>
  <si>
    <t>Algeria</t>
  </si>
  <si>
    <t>Tlemcen</t>
  </si>
  <si>
    <t>Universit√© Abou Bekr Belkaid Tlemcen</t>
  </si>
  <si>
    <t>Mekkioui Z.</t>
  </si>
  <si>
    <t>Application of weighted least squares algorithm to microstrip antennas arrays synthesis</t>
  </si>
  <si>
    <t>2-s2.0-0033341536</t>
  </si>
  <si>
    <t>MIP-9705173</t>
  </si>
  <si>
    <t>['varying channels', 'uplink reception', 'timing method', 'time implementation', 'synchronous uplink', 'spatial diversity', 'slowly time', 'selective fading', 'paper considers', 'overall method', 'novel two', 'mitigating fading', 'interchannel interference', 'ici alone', 'frequency offsets', 'fast time', 'effectively overcome', 'combined beamforming', 'combat cci', 'channel interference', 'based beamforming']</t>
  </si>
  <si>
    <t>This paper considers the problem of mitigating fading and interference in wireless orthogonal frequency division multiplexing (OFDM) multiple access communication systems. Applications include cellular mobile radio, wireless local loop, and wireless local area networks. The effect of interchannel interference (ICI) arising from time-selective fading and frequency offsets and co-channel interference (CCI) is analyzed. A loop-timing method that enables a synchronous uplink between multiple mobile transceivers and a base-station is described. Adaptive antenna arrays are utilized at the base for uplink reception, and optimum array combining based on the maximum SINR criterion is used for each subchannel over slowly time-varying channels. For operation over fast time-varying channels, a novel two-stage adaptive array architecture that incorporates combined spatial diversity and constraint-based beamforming is presented. While ICI alone is most effectively overcome by spatial diversity, combined beamforming and diversity are most effective to combat CCI in the presence of fading. The overall method is suitable for real-time implementation and can be used in conjunction with traditional coding schemes to increase the link-margin.</t>
  </si>
  <si>
    <t>3381-3391</t>
  </si>
  <si>
    <t>Kapoor, Samir</t>
  </si>
  <si>
    <t>Princeton</t>
  </si>
  <si>
    <t>NEC Laboratories America, Inc.</t>
  </si>
  <si>
    <t>Kapoor S.</t>
  </si>
  <si>
    <t>Adaptive interference suppression in multiuser wireless OFDM systems using antenna arrays</t>
  </si>
  <si>
    <t>10.1109/78.806081</t>
  </si>
  <si>
    <t>2-s2.0-0033341572</t>
  </si>
  <si>
    <t>['tilt meter', 'systems stemming', 'suburban area', 'sight dependence', 'sensors include', 'satellite line', 'properly resolve', 'paper presents', 'overcome limitations', 'optimally combine', 'optic gyro', 'observation equations', 'maintain ambiguities', 'kalman filtering', 'integrated system', 'insufficient number', 'ins reference', 'gps outages', 'gps inter', 'combined compass', 'baseline system', 'antenna fixed', 'also induced', 'also derived', 'accurate gps', '66 ¬∞', '51 ¬∞']</t>
  </si>
  <si>
    <t>This paper presents an integrated sensor system for determining the azimuth and pitch of a platform in post-mission. The sensors include a Global Positioning System (GPS) dual-antenna fixed-baseline system, coupled with a fibre-optic gyro (FOG) and a combined compass and tilt meter. The integrated sensor approach was chosen to overcome limitations in GPS-only systems stemming from satellite line-of-sight dependence and carrier phase integer ambiguity resolution. An aided sensor approach, based on Kalman filtering, is used to optimally combine the measurements and is described in detail. The observation equations for the sensors are also derived and the sensor errors examined. Results of a test in a suburban area of Calgary with the GPS inter-antenna distance set to 0.919 m are presented. Compared to an accurate GPS/INS reference, the integrated system demonstrated post-mission RMS accuracies of 0.66¬∞ in azimuth and 1.51¬∞ in pitch. The integrated system was able to provide a solution for 100% of the test period versus 77% for the GPS-only system. The GPS outages were due to an insufficient number of satellites or the inability to properly resolve or maintain ambiguities. Longer term GPS outages were also induced in post-mission and the integrated system results are presented.</t>
  </si>
  <si>
    <t>297-306</t>
  </si>
  <si>
    <t>Canadian Aeronautics and Space Journal</t>
  </si>
  <si>
    <t>60002306;60002306</t>
  </si>
  <si>
    <t>57199021556;7202419825</t>
  </si>
  <si>
    <t>Harvey, R.;Cannon, M. E.</t>
  </si>
  <si>
    <t>Harvey R.</t>
  </si>
  <si>
    <t>GPS-based integrated sensor approach to the precision pointing problem</t>
  </si>
  <si>
    <t>2-s2.0-0033341732</t>
  </si>
  <si>
    <t>['rotated using', 'realised using', 'radial arm', 'multipath sources', 'mobile antenna', 'indoor environment', 'fading signal', 'controlled servo', 'complex environment', 'coarse structure', 'base station', 'authors present', 'authors demonstrate', 'antenna mounted']</t>
  </si>
  <si>
    <t>The authors present a measurement system comprising a synthetic circular array which can be used for imaging the distribution of multipath sources. The array is realised using an antenna mounted on a radial arm which is rotated using a computer-controlled servo. A two-port network analyser samples the channel transfer function between a fixed (base station) antenna and the mobile antenna on the radial arm. The equations for the imaging are presented and an example is given for an indoor environment. As a result, the authors demonstrate how the coarse structure of the fading signal in a complex environment can be modelled with just a few sources.</t>
  </si>
  <si>
    <t>1893-1894</t>
  </si>
  <si>
    <t>6603748400;7201481830</t>
  </si>
  <si>
    <t>Raich, R.;Vaughan, R. G.</t>
  </si>
  <si>
    <t>Raich R.</t>
  </si>
  <si>
    <t>Source power distribution for multipath environment using near field circular array beamformer</t>
  </si>
  <si>
    <t>10.1049/el:19991342</t>
  </si>
  <si>
    <t>2-s2.0-0033342306</t>
  </si>
  <si>
    <t>['wave application', 'structure consists', 'simple experiment', 'radiation properties', 'radiation field', 'proposed method', 'paper may', 'leakywave structure', 'easily applied', 'discussed numerically', 'broadbeam antennas', 'beam broadening', 'beam antenna', 'angular spiral', 'also performed']</t>
  </si>
  <si>
    <t>Beam broadening | Curved leakywave structure | Leakywave antenna</t>
  </si>
  <si>
    <t>In this paper, a new "broad-beam antenna" for radiating electromagnetic energy in a specified wide angular region is proposed, utilizing the "curved leakywave structure." This structure consists of the leakywave structure curved physically and longitudinally into the form of an equi-angular spiral. The expression of the radiation field from this structure is given, the effects of various geometrical parameters on the radiation properties is discussed numerically for the design of the broadbeam antennas, and a simple experiment is also performed to verify the beam broadening by the proposed method. The concept in this paper may be easily applied to any leakywave structure such as a periodic dielectric antenna and a leaky nonradiative dielectric (NRD)-guide antenna for millimeter-wave application. ¬© 1999 IEEE.</t>
  </si>
  <si>
    <t>1470-1475</t>
  </si>
  <si>
    <t>Ohtera, Isao</t>
  </si>
  <si>
    <t>Ohtera I.</t>
  </si>
  <si>
    <t>Diverging/focusing of electromagnetic waves by utilizing the curved leaky wave structure: Application to broad-beam antenna for radiating within specified wide-angle</t>
  </si>
  <si>
    <t>S0018926X99070659</t>
  </si>
  <si>
    <t>10.1109/8.793328</t>
  </si>
  <si>
    <t>2-s2.0-0033342680</t>
  </si>
  <si>
    <t>['user reception', 'two receivers', 'spatial distribution', 'soc strategy', 'soc ),', 'simple algorithm', 'similar performances', 'receiver structure', 'realistic conditions', 'rake receiver', 'limited overhead', 'exploits knowledge', 'error probability', 'channel based', 'base station', 'antennas combined', 'antenna weights', 'also known']</t>
  </si>
  <si>
    <t>The performance of an array of antennas combined with a Rake receiver at the base station of a wideband code division multiple access system with quaternary phase shift keying modulation is investigated for single-user reception. This receiver structure is also known as a multidimensional Rake receiver. Expressions for the interference correlation matrix are derived, and subsequently, an analysis of the error probability is provided. With regard to antenna weights, the optimum combining linear receiver, which takes into account the spatial distribution of all the users in the system, is compared with the suboptimum combining receiver (SOC), which exploits knowledge of the desired user array vector only. It is shown how the two receivers, ideal in the sense that perfect channel estimation is assumed, achieve very similar performances under realistic conditions. Consequently, the investigated pilot assisted combining receiver, which estimates the channel based on limited overhead, calculates weights according to the SOC strategy by a very simple algorithm.</t>
  </si>
  <si>
    <t>2123-2137</t>
  </si>
  <si>
    <t>60011520;60011520</t>
  </si>
  <si>
    <t>6603812374;7006136339</t>
  </si>
  <si>
    <t>Dell'Anna, Monica;Aghvami, A. Hamid</t>
  </si>
  <si>
    <t>King's College London</t>
  </si>
  <si>
    <t>Dell'Anna M.</t>
  </si>
  <si>
    <t>Performance of optimum and suboptimum combining at the antenna array of a W-CDMA system</t>
  </si>
  <si>
    <t>10.1109/49.814826</t>
  </si>
  <si>
    <t>2-s2.0-0033343029</t>
  </si>
  <si>
    <t>['wave propagation', 'various positions', 'urban scene', 'transmitter antennas', 'rough terrain', 'propagation channel', 'predicting propagation', 'nlos conditions', 'loss characteristics', 'los conditions', 'interference ratio', 'including single', 'full algorithm', 'flat terrain', 'dimensional multi', 'diffraction model', 'cellular maps', 'cellular characteristics', 'buildings placed', 'band waves', 'b ),', 'actual built']</t>
  </si>
  <si>
    <t>The propagation channel for UNF/X-band waves in the city is modeled for two typical cases in the urban scene: (a) by regularly distributed rows of buildings placed on flat terrain; (b) by an array of randomly distributed buildings placed on rough terrain. The law of distribution of buildings in both cases is assumed to be Poisson. The loss characteristics in such urban propagation channels, as well as the co-channel interference parameter, the carrier-to-interference ratio (C/I), are investigated. In case (a), the three-dimensional multi-slit waveguide model is used for LOS conditions, and the two-dimensional multi-diffraction model is used for NLOS conditions. In case (b), the statistical parametric model of wave propagation is used, including single and multiple scattering effects, diffraction from buildings' roofs, the actual built-up relief, and various positions of receiver and transmitter antennas on rough terrain. The full algorithm for predicting propagation and cellular characteristics to increase the accuracy of radio and cellular maps is presented.</t>
  </si>
  <si>
    <t>Blaunstein, N.</t>
  </si>
  <si>
    <t>Prediction of cellular characteristics for various urban environments</t>
  </si>
  <si>
    <t>10.1109/74.962898</t>
  </si>
  <si>
    <t>2-s2.0-0033344420</t>
  </si>
  <si>
    <t>['mode coupling']</t>
  </si>
  <si>
    <t>Differential mode attenuation, differential mode delay, and far field radiation patterns in step-index plastic optical fiber are studied to characterize the effects of mode coupling, responsible for markedly enhanced fiber bandwidth performance.</t>
  </si>
  <si>
    <t>427-432</t>
  </si>
  <si>
    <t>Molecular Crystals and Liquid Crystals Science and Technology Section B: Nonlinear Optics</t>
  </si>
  <si>
    <t>60006297;60006297;60006297;60006297</t>
  </si>
  <si>
    <t>8204397100;57200019755;56973238100;7005543337</t>
  </si>
  <si>
    <t>Jiang, G.;Wang, J.;Gao, R.;Garito, A. F.</t>
  </si>
  <si>
    <t>Philadelphia</t>
  </si>
  <si>
    <t>University of Pennsylvania</t>
  </si>
  <si>
    <t>High bandwidth performance in plastic optical fibers due to mode coupling</t>
  </si>
  <si>
    <t>2-s2.0-0033344423</t>
  </si>
  <si>
    <t>['widely used', 'wave green', 'upper plate', 'two parts', 'surface wave', 'spectral domain', 'source points', 'singularity caused', 'scattering part', 'scattering fields', 'results obtained', 'radiation characteristics', 'integration separately', 'good agreement', 'equation approach', 'dielectric layer', 'derivation procedure']</t>
  </si>
  <si>
    <t>Nonradiative dielectric guides and H-guides are widely used in millimeter-wave integrated circuits and antennas. To analyze the behavior of discontinuities, obstacles, and slots in such structures, an increasingly used mathematical formulation is the integral-equation approach, for which Green's function is required. Here, an efficient programmable full-wave Green's function, due to a magnetic-current element placed inside the dielectric layer, is derived in the spectral domain. In the derivation procedure, the field is divided into two parts: the incident and scattering fields. The contribution of the surface wave is included in the scattering part, while the singularity, when the field and source points are the same, is presented in the incident field part. By doing so, one can deal with the singularity caused by the source and surface-wave poles encountered in the integration separately and freely. The Green's function is then used to analyze the radiation characteristics of a single transverse slot in upper plate of the H-guide. The results obtained are in good agreement with experimental data available in literature.</t>
  </si>
  <si>
    <t>1975-1981</t>
  </si>
  <si>
    <t>60019118;60019118;60019118</t>
  </si>
  <si>
    <t>55510527400;7403248297;13614168600</t>
  </si>
  <si>
    <t>Luk, Kwai Man;Zeng, Xiang Yin;Xu, Shanjia J.</t>
  </si>
  <si>
    <t>University of Science and Technology of China</t>
  </si>
  <si>
    <t>Spectral-domain Green's function of magnetic type for NRD guides and H-guides</t>
  </si>
  <si>
    <t>10.1109/22.795071</t>
  </si>
  <si>
    <t>2-s2.0-0033344997</t>
  </si>
  <si>
    <t>['typical requirements', 'system uses', 'single quasi', 'relative speed', 'receive mixers', 'locked loops', 'lateral position']</t>
  </si>
  <si>
    <t>A 77 GHz automatic cruise control radar system has been developed which meets the typical requirements for long-distance European passenger vehicle use, with relatively high traffic densities and speeds. The system tracks distance, relative speed and lateral position of the targets, with an adequate sensor range for the system to react at high cruising speeds. Using frequency modulated continuous wave modulation, the system uses a voltage controlled Gunn oscillator that transmits and receives through a single quasi-optic lens antenna, receive mixers and frequency-locked loops.</t>
  </si>
  <si>
    <t>DEC./JAN.</t>
  </si>
  <si>
    <t>100426482;100426482;100426482;100426482;100426482;100426482;100426482;100426482</t>
  </si>
  <si>
    <t>7007147221;57220391482;57198159091;57197377863;6507058317;6508049987;7404318505;7401446054</t>
  </si>
  <si>
    <t>Redfern, S.;Oxley, C.;Dawson, D.;Bird, J.;Hilder, G.;Prime, B.;Brown, T.;Spencer, D.</t>
  </si>
  <si>
    <t>Mitel Semiconductor</t>
  </si>
  <si>
    <t>Redfern S.</t>
  </si>
  <si>
    <t>Automotive 77 GHz radar system designed for volume manufacture</t>
  </si>
  <si>
    <t>2-s2.0-0033346088</t>
  </si>
  <si>
    <t>Swedish National Board for Industrial and Technical Development</t>
  </si>
  <si>
    <t>['work provides', 'using flip', 'ten times', 'significant reduction', 'results show', 'reliability testing', 'reliability test', 'precious metals', 'minimum pitch', 'lca ).', 'increasing demand', 'gold technology', 'flipchip joining', 'environmental impact', 'conventional fr', 'chip technology', 'chip 8', 'bump size', 'bonding quality', '8 mm', '500 h', '4 substrate', '128 fim', '1000 cycles', '100 h']</t>
  </si>
  <si>
    <t>Anisotropically conductive adhesive (ACA) | Failure analysis | Flip-chip | FR-4 | Reliability</t>
  </si>
  <si>
    <t>There is an increasing demand to move the radio base station closer to the antenna for future mobile telecommunication systems. This requires a significant reduction in weight and volume and increased environmental compatibility. This work provides an evaluation of environmental impact and reliability when using anisotropically conductive adhesives (ACA) for flipchip joining in radio base station applications. Conventional FR-4 substrate has been used to assemble a digital ASIC chip using an anisotropically conductive adhesive and flip-chip technology. The chip has a minimum pitch of 128 fim with 7.8 mm in chip 8 and has in total 144 bumps with a bump size of 114 x 126 /urn2. Bumping was made using electroless nickel/gold technology. Bonding quality has been characterized by optical and scanning electron microscopy and substrate planarity measurement. The main parameters affecting quality are misalignment and softening of the FR-4 substrate during assembly, leading to high joint resistance. Reliability testing was conducted in the form of a temperature cycling test between -40 and +125 ¬∞C for 1000 cycles, a 125 ¬∞C aging test for 100 h and a 85/85 humidity test for 500 h. The results show that relatively small resistance changes were observed after the reliability test. The environmental impact evaluation was done in the form of a material content declaration and a life cycle assessment (LCA). By using flip-chip ACA joining technology, the content of environmentally risky materials has been reduced more than ten times, and the use of precious metals has been reduced more than 30 times compared to conventional surface mount technology. ¬© 1999 IEEE.</t>
  </si>
  <si>
    <t>186-190</t>
  </si>
  <si>
    <t>IEEE Transactions on Components and Packaging Technologies</t>
  </si>
  <si>
    <t>100459116;100459116;60000990;60000990</t>
  </si>
  <si>
    <t>56023435200;6503915160;6503848700;7102721625</t>
  </si>
  <si>
    <t>Liu, Johan;Tolvg√¢rd, Arne;Malmodin, Jens;Lai, Zonghe</t>
  </si>
  <si>
    <t>Gothenburg;Molndal</t>
  </si>
  <si>
    <t>Chalmers University of Technology;Swedish Institute of Production Engineering Research</t>
  </si>
  <si>
    <t>60000990;100459116</t>
  </si>
  <si>
    <t>Liu J.</t>
  </si>
  <si>
    <t>A reliable and environmentally friendly packaging technology-flip - chip joining using anisotropically conductive adhesive</t>
  </si>
  <si>
    <t>S152133319905391X</t>
  </si>
  <si>
    <t>10.1109/6144.774729</t>
  </si>
  <si>
    <t>2-s2.0-0033346736</t>
  </si>
  <si>
    <t>['using receivers', 'transmission quality', 'transmission format', 'special cases', 'shift dqpsk', 'results show', 'received samples', 'proposed receivers', 'practical considerations', 'multipath propagation', 'metric combining', 'interference mitigation', 'fixed front', 'end filtering', 'division multiple', 'cellular systems']</t>
  </si>
  <si>
    <t>Capacity and transmission quality in cellular systems can be improved by using receivers that mitigate cochannel interference and multipath propagation. In this paper, a class of multichannel maximum likelihood sequence estimation (MLSE) receivers is developed for this purpose. Interference mitigation is accomplished via adaptive antenna arrays, while multipath propagation is combatted via MLSE. Practical considerations are included, such as fixed front-end filtering, sampling, and estimation of parameters from received samples. Maximal ratio combining, conventional array processing and metric combining (MC) are shown to be special cases of the proposed receivers. Performance is evaluated for œÄ/4-shift DQPSK, using the parameters and transmission format of the time-division multiple-access (TDMA)-based IS-136 (D-AMPS) digital cellular standard. Semi-analytical performance predictions are developed which confirm simulation trends. The results show that these receivers can operate at significantly lower carrier-to-interferer (C/I) levels than conventional MC receivers.</t>
  </si>
  <si>
    <t>1321-1331</t>
  </si>
  <si>
    <t>60004661;60004661;60004661</t>
  </si>
  <si>
    <t>7003581744;7102480501;6701516662</t>
  </si>
  <si>
    <t>Bottomley, Gregory E.;Molnar, Karl J.;Chennakeshu, Sandeep</t>
  </si>
  <si>
    <t>Interference cancellation with an array processing MLSE receiver</t>
  </si>
  <si>
    <t>10.1109/25.790506</t>
  </si>
  <si>
    <t>2-s2.0-0033346772</t>
  </si>
  <si>
    <t>['uncorrelated sources', 'true doa', 'simulation results', 'previously proposed', 'power estimates', 'one hand', 'manifold ambiguity', 'main idea', 'linear program', 'asymptotic properties', 'asymptotic behaviour', 'analytically investigated', 'analytic study']</t>
  </si>
  <si>
    <t>The asymptotic properties of direction-of-arrival (DOA) `manifold ambiguity' resolution for m uncorrelated sources is analytically investigated. Manifold ambiguity arises when a DOA estimation technique generates some number Œ∫ of additional spurious directions. The main idea of our approach is to find the best single match between the set of all estimated covariance lags on the one hand, and the set of power estimates for the (m+Œ∫) ambiguous DOA's on the other hand. For a finite sample volume N, selection of the m greatest power estimates generated by a linear program `fitting' algorithm has been previously proposed to identify the m true DOA's among the set of (m+Œ∫) ambiguous estimates. In this paper, we present an analytic study into the asymptotic behaviour of this technique, and support it with simulation results.</t>
  </si>
  <si>
    <t>364-370</t>
  </si>
  <si>
    <t>100339820;60031846;100339820</t>
  </si>
  <si>
    <t>7006472158;6701921640;24465889900</t>
  </si>
  <si>
    <t>Abramovich, Yuri I.;Gaitsgory, Vladimir G.;Spencer, Nicholas K.</t>
  </si>
  <si>
    <t>Adelaide;Adelaide</t>
  </si>
  <si>
    <t>University of South Australia;Coop. Res. Ctr. Sensor Sign. I.</t>
  </si>
  <si>
    <t>60031846;100339820</t>
  </si>
  <si>
    <t>Abramovich Y.</t>
  </si>
  <si>
    <t>Asymptotic analysis of manifold ambiguity resolution in DOA estimation with nonuniform antenna arrays</t>
  </si>
  <si>
    <t>2-s2.0-0033347237</t>
  </si>
  <si>
    <t>2304IN01</t>
  </si>
  <si>
    <t>['resulting extrapolations', 'equation numerically']</t>
  </si>
  <si>
    <t>Dipole antennas | Extrapolation | Integral equations</t>
  </si>
  <si>
    <t>It is pointed out that certain convergence acceleration methods can be applied to sequences of driving-point conductances obtained by solving Hall√©n's equation numerically. Five easily applied methods are considered and all seem to greatly improve convergence. Reasons for having confidence in the resulting extrapolations are discussed.</t>
  </si>
  <si>
    <t>1758-1760</t>
  </si>
  <si>
    <t>Fikioris, George</t>
  </si>
  <si>
    <t>Fikioris G.</t>
  </si>
  <si>
    <t>An application of convergence acceleration methods</t>
  </si>
  <si>
    <t>S0018926X99099755</t>
  </si>
  <si>
    <t>10.1109/8.817649</t>
  </si>
  <si>
    <t>2-s2.0-0033347247</t>
  </si>
  <si>
    <t>DAAH04-96-1-0161</t>
  </si>
  <si>
    <t>['vee dipole', 'studies demonstrate', 'spectral peak', 'simple one', 'short pulse', 'representative soils', 'received signal', 'previous studies', 'open ends', 'much easier', 'linearly tapered', 'land mine', 'fully three', 'fdtd results', 'experimental data', 'environmental conditions', 'difference time', 'conducted including', '4 ghz']</t>
  </si>
  <si>
    <t>Resistively loaded Vee dipoles are considered for use in a short-pulse ground penetrating radar (GPR) used to detect buried antipersonnel land mines. First, a study is made to select a short pulse to radiate that is most appropriate for the problem. A simple one-dimensional (1-D) analysis of some representative soils and a land mine is used to select a radiated pulse similar in shape to a differentiated Gaussian pulse with a spectral peak at 4 GHz. Based on previous studies, the conductivity of the arms of the Vee dipole is linearly tapered from the feed to the open ends. A fully three-dimensional (3-D) finite-difference time-domain (FDTD) model is developed and used to simulate the GPR land mine detection problem. Using this model, a resistively loaded Vee dipole is selected and evaluated. Parametric studies related to the problem are conducted including: varying the height of the Vee above the ground, varying the position of the land mine both laterally and in depth, and examining the effects of the geometry of the land mine on the received signal. Environmental conditions are examined including signal returns from rocks and variations in the shape of the surface of the ground. The FDTD results are validated by comparisons with experimental data. These studies demonstrate that resistively loaded Vee dipoles can greatly reduce clutter related to the antenna, making the task of distinguishing land mines (targets) much easier.</t>
  </si>
  <si>
    <t>1795-1806</t>
  </si>
  <si>
    <t>Montoya, Thomas P.</t>
  </si>
  <si>
    <t>Knoxville</t>
  </si>
  <si>
    <t>The University of Tennessee, Knoxville</t>
  </si>
  <si>
    <t>Montoya T.</t>
  </si>
  <si>
    <t>Land mine detection using a ground-penetrating radar based on resistively loaded Vee dipoles</t>
  </si>
  <si>
    <t>10.1109/8.817655</t>
  </si>
  <si>
    <t>2-s2.0-0033347248</t>
  </si>
  <si>
    <t>['specified degradation', 'mtbf ).', 'high reliability', 'failed components', 'extended period', 'discuss strategies', 'consider fault', 'antenna mtbf', 'antenna architecture']</t>
  </si>
  <si>
    <t>We discuss strategies for designing active phased array antennas with high reliability. We show how to consider fault-tolerance in the design of the antenna architecture, so that replacement of failed components can be avoided for an extended period of time. First, we address the dependence of antenna life cycle cost on component failure rates. Then we discuss the design of active phased array architecture for maximizing antenna mean-time-between-failures (MTBF). The antenna MTBF is defined in terms of a specified degradation in peak sidelobe level. We present simulated data showing the effect of random, single, and clustered element failures on the peak sidelobe level of a low sidelobe antenna aperture. We use these data as a basis for analyzing various phased array architectures in terms of their antenna MTBF.</t>
  </si>
  <si>
    <t>1204-1211</t>
  </si>
  <si>
    <t>Agrawal, Ashok K.</t>
  </si>
  <si>
    <t>Lockheed Martin Govt. Electron. S.</t>
  </si>
  <si>
    <t>Active phased array design for high reliability</t>
  </si>
  <si>
    <t>10.1109/7.805438</t>
  </si>
  <si>
    <t>2-s2.0-0033347484</t>
  </si>
  <si>
    <t>['switching messages', 'stable method', 'short duration', 'schemes relying', 'routing messages', 'related demands', 'recently interest', 'reasonable level', 'paper explores', 'packet communications', 'low altitude', 'latter problem', 'insure availability', 'ground site', 'geosynchronous altitude', 'former problem', 'examined approaches', 'dynamic nature', 'downlinks requires', 'constellation would', 'constellation data', 'configuration would', 'completely satisfactory', 'communication links']</t>
  </si>
  <si>
    <t>Recently interest in packet communications has stimulated an interest in constellations of low altitude satellites. Such a configuration would have less propagation delay and be cheaper to launch than satellites at higher or geosynchronous altitude. However, many more satellites are necessary at low altitude to achieve reasonable coverage of the earth and insure availability of the resource. Further, the geometry of such a constellation would be dynamic with communication links of short duration as the satellites speed past each other or a ground site. The most difficult design issue in these systems is a stable method of routing messages that will sustain a reasonable level of traffic. This paper explores the problems of routing and switching messages through a constellation of low altitude satellites and examines some of the related demands on technology. The dynamic nature of crosslinks, uplinks, and downlinks requires a very agile antenna system, and the volume of information for routing of traffic is overwhelming. Use of some type of facetted phased array antenna is advocated to solve the former problem, but the latter problem is more subtle. Since the volume of ephemeris and constellation data as well as the rate of update is unmanageable, schemes relying on some form of broadcast or random access may be considered. It is concluded that none of the known or examined approaches to routing and switching is completely satisfactory.</t>
  </si>
  <si>
    <t>1362-1368</t>
  </si>
  <si>
    <t>Overview of multiple satellite communication networks</t>
  </si>
  <si>
    <t>10.1109/7.805452</t>
  </si>
  <si>
    <t>2-s2.0-0033347486</t>
  </si>
  <si>
    <t>100435610;100487951</t>
  </si>
  <si>
    <t>56212355200;7102654903</t>
  </si>
  <si>
    <t>Milligan, Tom;Mahony, John D.</t>
  </si>
  <si>
    <t>United Kingdom;United States</t>
  </si>
  <si>
    <t>Stevenage;Littleton</t>
  </si>
  <si>
    <t>MMS UK Ltd.;Milligan and Associates</t>
  </si>
  <si>
    <t>100487951;100435610</t>
  </si>
  <si>
    <t>The idealized behavior of finite-length dipoles</t>
  </si>
  <si>
    <t>10.1109/74.801516</t>
  </si>
  <si>
    <t>2-s2.0-0033347528</t>
  </si>
  <si>
    <t>['equivalent method', 'electric drill']</t>
  </si>
  <si>
    <t>An equivalent method is presented for dealing with the cylindrical boundary present in the dipole antenna problem in electric drill-rod telemetry systems. Numerical examples show that this technique is simple and valid.</t>
  </si>
  <si>
    <t>1890-1891</t>
  </si>
  <si>
    <t>60021182;60115295</t>
  </si>
  <si>
    <t>55911335300;7003461640</t>
  </si>
  <si>
    <t>Long, Yunliang;Rembold, B.</t>
  </si>
  <si>
    <t>Germany;China</t>
  </si>
  <si>
    <t>Aachen;Guangzhou</t>
  </si>
  <si>
    <t>Institut f√ºr Hochfrequenztechnik der RWTH;Sun Yat-Sen University</t>
  </si>
  <si>
    <t>60115295;60021182</t>
  </si>
  <si>
    <t>Long Y.</t>
  </si>
  <si>
    <t>Equivalence of cylindrical boundary for dipole antenna in borehole</t>
  </si>
  <si>
    <t>10.1049/el:19991287</t>
  </si>
  <si>
    <t>2-s2.0-0033348779</t>
  </si>
  <si>
    <t>['temporal filters', 'receiver system', 'rake structure', 'rake receiver', 'proposed receiver', 'one pair', 'multiple fingers', 'limited near', 'far resistance', 'combine signals', 'antenna arrays']</t>
  </si>
  <si>
    <t>Antenna arrays | Dispersive channels | Smart antenna | Spread spectrum | Suboptimal combining</t>
  </si>
  <si>
    <t>In code division multiple access systems, the twodimensional (2-D) RAKE structure had been proposed using multiple antennas to increase the capacity. It consists of multiple fingers of a beamformer and a correlator. In this paper, we consider a simpler receiver structure. We only use one finger, which consists of one pair of spatial and temporal filters to combine signals. It is shown that the performance of the receiver system is comparable with that of the 2-D RAKE receiver. Furthermore, it is observed that the proposed receiver and the 2-D RAKE receiver have limited near-far resistance by the generation of the space domain due to antenna arrays. ¬© 1999 IEEE.</t>
  </si>
  <si>
    <t>1332-1340</t>
  </si>
  <si>
    <t>University of South Australia, Institute for Telecommunications Research</t>
  </si>
  <si>
    <t>A receiver of simple structure for antenna array CDMA systems</t>
  </si>
  <si>
    <t>S0018954599057151</t>
  </si>
  <si>
    <t>10.1109/25.790507</t>
  </si>
  <si>
    <t>2-s2.0-0033349145</t>
  </si>
  <si>
    <t>NSC 87-2213-E-009-038</t>
  </si>
  <si>
    <t>['wireless communications', 'sector cci', 'proposed scheme', 'nearly uncorrelated', 'diversity branches', 'distinctive patterns', 'different branches', 'cochannel interference', 'angular sector', 'achieved inside']</t>
  </si>
  <si>
    <t>Adaptive antenna | Beamforming | Diversity combiner | Sector ization</t>
  </si>
  <si>
    <t>The beam diversity technique is effective in combating multipath fading in wireless communications. In a beam diversity system, multiple receiving branches are formed with multiple antenna beams with distinctive patterns. These beams are synthesized in such a fashion that the fading phenomena observed at different branches are nearly uncorrelated. The disadvantage of such a system is the lack of adaptivity for cochannel interference (CCI) suppression. In this paper, an adaptive beam diversity combiner is proposed for sectorized signal reception. The diversity branches are formed with several adaptive beamformers whose response patterns encompass an angular sector in the fleld-of-view of the receiver. With a set of judiciously chosen weight vectors, effective diversity combining can be achieved inside the sector, and out-of-sector CCI can be suppressed via nulling. Simulation results confirm the efficacy of the proposed scheme. ¬© 1999 IEEE.</t>
  </si>
  <si>
    <t>7501435107;7102838782</t>
  </si>
  <si>
    <t>Lee, Ta Sung;Lee, Zong Si</t>
  </si>
  <si>
    <t>Lee T.</t>
  </si>
  <si>
    <t>A sectorized beamspace adaptive diversity combiner for multipath environments</t>
  </si>
  <si>
    <t>S0018954599057436</t>
  </si>
  <si>
    <t>10.1109/25.790525</t>
  </si>
  <si>
    <t>2-s2.0-0033349151</t>
  </si>
  <si>
    <t>['¬± 0', 'utilization potential', 'ultimate accuracy', 'time estimation', 'time applications', 'state vector', 'squares algorithms', 'sensor requirements', 'rms values', 'optimal 4', 'onboard gps', 'gps results', 'external sensors', 'extending baselines', 'attitude determination', 'attitude angles', 'antenna configuration', '60 ¬∞', '44 ¬∞', '34 ¬∞', '05 ¬∞']</t>
  </si>
  <si>
    <t>This study was conducted on a ship's automatic berthing system where precise and real-time estimation of the state vector is required, e.g., heading ¬±0.05¬∞ for berthing of a 300 m ship. Rapid and reliable phase ambiguity resolution provides the ultimate accuracy for GPS attitude determination. The onboard GPS-based attitude system, consisting of an optimal 4-antenna configuration, has the capability of single-epoch ambiguity resolution and least-squares algorithms for attitude determination. The GPS results were compared with external sensors on board a hydrographic sounding ship. The RMS values of the difference of attitude angles between GPS and TSS/gyrocompass were: ¬±0.60¬∞ for heading, ¬±0.44¬∞ for roll and ¬±0.34¬∞ for pitch with GPS antenna separation of about 1.4 m. The new algorithms allow fast ambiguity resolution and would be suitable for real-time applications. As precision of attitude determination can be improved by extending baselines, a 5 m baseline configuration could satisfy the sensor requirements for berthing of a 300-m ship. The GPS-based attitude system has utilization potential for a berthing guidance system.</t>
  </si>
  <si>
    <t>264-269</t>
  </si>
  <si>
    <t>60032619;60032619</t>
  </si>
  <si>
    <t>7402452009;7003460665</t>
  </si>
  <si>
    <t>Ueno, Mami;Santerre, Rock</t>
  </si>
  <si>
    <t>Quebec</t>
  </si>
  <si>
    <t>Universit√© Laval</t>
  </si>
  <si>
    <t>Ueno M.</t>
  </si>
  <si>
    <t>GPS attitude for a berthing guidance system</t>
  </si>
  <si>
    <t>2-s2.0-0033349438</t>
  </si>
  <si>
    <t>['simulation results', 'proposed algorithm', 'mobile communications', 'mlse equalizer', 'global system', 'fading channels', 'channel parameters', 'ber performance', 'also derived']</t>
  </si>
  <si>
    <t>In this paper, we propose a parametric finite impulse response (FIR) channel identification algorithm, apply the algorithm to a multichannel maximum likelihood sequential estimation (MLSE) equalizer using multiple antennas, and investigate the improvement in the overall bit error rate (BER) performance. By exploring the structure of the specular multipath channels, we are able to reduce the number of channel parameters to provide a better channel estimate for the MLSE equalizer. The analytic BER lower bounds of the proposed algorithm as well as those of several other conventional MLSE algorithms in the specular multipath Rayleigh-fading channels are derived. In the derivation, we consider the channel mismatch caused by the additive Gaussian noise and the finite-length channel approximation error. A handy-to-use simplified BER lower bound is also derived. Simulation results that illustrate the BER performance of the proposed algorithm in the global system for mobile communications (GSM) system are presented and compared to the analytic lower bounds.</t>
  </si>
  <si>
    <t>1923-1935</t>
  </si>
  <si>
    <t>60018029;60026638;60012708</t>
  </si>
  <si>
    <t>57136903300;57145491500;7404541706</t>
  </si>
  <si>
    <t>Chen, Jiunn Tsair;Kim, Joonsuk;Liang, Jen Wei</t>
  </si>
  <si>
    <t>Finland;Taiwan;United States</t>
  </si>
  <si>
    <t>Espoo;Hsinchu;Palo Alto</t>
  </si>
  <si>
    <t>Nokia Corporation;National Tsing Hua University;Stanford University</t>
  </si>
  <si>
    <t>60026638;60018029;60012708</t>
  </si>
  <si>
    <t>Chen J.T.</t>
  </si>
  <si>
    <t>Multichannel MLSE equalizer with parametric FIR channel identification</t>
  </si>
  <si>
    <t>10.1109/25.806785</t>
  </si>
  <si>
    <t>2-s2.0-0033350364</t>
  </si>
  <si>
    <t>['sharply maximized', 'radial directions', 'radial direction', 'poisson equation', 'plasma characteristics', 'medium pressure', 'japanese journal', 'ionization rate', 'experimental results', 'electron temperature', 'electric potential', 'dielectric roof', 'deep penetration', 'applied physics', '5 mtorr', '2d distributions', '20 mtorr']</t>
  </si>
  <si>
    <t>Planar inductively coupled plasma source | Rf oxygen discharge | Two-dimensional fluid simulation</t>
  </si>
  <si>
    <t>A two-dimensional (2D) self-consistent axisymmetric fluid simulation of an inductively coupled discharge of electronegative oxygen plasma with a one-turn antenna placed on the top of the dielectric roof is presented. The model equations include continuity equations, the Poisson equation, and an electron energy balance equation. For a planar inductive discharge, the electric field component EŒ∏(r, z) is calculated, assuming axisymmetric geometry. Considering a deep penetration of the induced rf field, the power deposition profile is formulated and used as the electron heating term in the electron energy balance equation. The 2D distributions of charged particle densities, electric potential, electron temperature, and ionization rate are calculated and compared with experiments. The effect of neutral gas pressure on plasma characteristics is investigated. As a result, for a relatively low pressure (5 mTorr) case, the ionization rate and charged particle densities are uniform in the radial direction, and for a medium pressure (20 mTorr) case, the ionization rate and the negative ion density are sharply maximized in the axial and radial directions. The results of the simulation agree reasonably well with the results of the spatially averaged global model and experimental results. ¬© 1999 Publication Board, Japanese Journal of Applied Physics.</t>
  </si>
  <si>
    <t>6890-6895</t>
  </si>
  <si>
    <t>60016209;60016209;60016209</t>
  </si>
  <si>
    <t>7402990182;7401571052;7201423719</t>
  </si>
  <si>
    <t>Yoon, Hyun Jin;Chung, Tae Hun;Seo, Dong Cheol</t>
  </si>
  <si>
    <t>Dong-A University</t>
  </si>
  <si>
    <t>Yoon H.J.</t>
  </si>
  <si>
    <t>Two-dimensional fluid simulation and langmuir probe measurement of a planar inductively coupled oxygen plasma</t>
  </si>
  <si>
    <t>10.1143/jjap.38.6890</t>
  </si>
  <si>
    <t>2-s2.0-0033352377</t>
  </si>
  <si>
    <t>['servo performance', 'receiver noise', 'noisy environment', 'monopulse tracking', 'monopulse controllers', 'linear simulations', 'encoder imperfections', 'decision requires', 'article describes', '32 ghz']</t>
  </si>
  <si>
    <t>Ka-band (32 GHz) monopulse tracking has been chosen for the upcoming NASA missions. This decision requires an increased pointing accuracy for the Deep Space Network antenna servo systems that can be maintained in a noisy environment. The noise sources include wind gusts, encoder imperfections, and receiver noise. This article describes the selection of the position and monopulse controllers for the improved tracking accuracy, and presents the results of linear and non-linear simulations to confirm that servo performance will meet the requirements.</t>
  </si>
  <si>
    <t>40-50</t>
  </si>
  <si>
    <t>7006777295;6508271507</t>
  </si>
  <si>
    <t>Gawronski, Wodek;Gudim, Mimi A.</t>
  </si>
  <si>
    <t>Gawronski W.</t>
  </si>
  <si>
    <t>Design and performance of the monopulse control system</t>
  </si>
  <si>
    <t>10.1109/74.815317</t>
  </si>
  <si>
    <t>2-s2.0-0033352425</t>
  </si>
  <si>
    <t>['wave propagation', 'scattering patterns', 'practical design', 'maxwell fish', 'lippmann lenses', 'focal points', 'field picture', 'better understanding', 'article presents']</t>
  </si>
  <si>
    <t>Dielectric lens | Finite-element method | Radiation | Scattering | Wave propagation</t>
  </si>
  <si>
    <t>This article presents the radiation and scattering patterns, and the interior field distributions, of three inhomogeneous dielectric lenses: the Luneburg, Maxwell fish-eye, and Eaton-Lippmann lenses. The purpose is to provide a picture of wave propagation through these lenses. A better understanding of the field picture, especially the nature of the focal points, is helpful to the practical design of the lenses. ¬©1999 IEEE.</t>
  </si>
  <si>
    <t>60019228;60000745</t>
  </si>
  <si>
    <t>Dayton;Urbana</t>
  </si>
  <si>
    <t>Air Force Research Laboratory;University of Illinois Urbana-Champaign</t>
  </si>
  <si>
    <t>Greenwood A.D.</t>
  </si>
  <si>
    <t>A field picture of wave propagation in inhomogeneous dielectric lenses</t>
  </si>
  <si>
    <t>10.1109/74.801510</t>
  </si>
  <si>
    <t>2-s2.0-0033352741</t>
  </si>
  <si>
    <t>['using simulations', 'two systems', 'system reuses', 'multipaths generated', 'maximum number', 'higher performance', 'cochannel users', 'cells 1', 'base stations', 'antenna arrays', 'analytical derivations', '3 reuse', '1 reuse']</t>
  </si>
  <si>
    <t>Adaptive arrays | Antenna arrays | Array signal processing | Land mobile radio cellular systems | Radio spectrum management | Space division multiplexing</t>
  </si>
  <si>
    <t>In this paper, we will compare the performance of the downlink of two systems with antenna arrays at the base stations. One system uses a third of the available spectrum per cell 1/3, but reuses the channels three times within each cell. The other system reuses all the spectrum in all cells 1/1, but does not reuse channels within a cell. Thus, the maximum number of users in the two systems is the same. In order to account for the interference, the 1/3 system directs antenna pattern nulls against same cell cochannel users, while the 1/1 system directs nulls against cochannel users in other cells. The performances of the two systems are compared as a function of the azimuth angular width (seen from the base) of the multipaths generated at the mobile, using simulations and analytical derivations. The results herein indicate that the system with 1/1 reuse has a higher performance than the system with 1/3 reuse if fast intercell handover is used or if high dynamic range power control, nulling and synchronization is employed. ¬© 1999 IEEE.</t>
  </si>
  <si>
    <t>1356-1370</t>
  </si>
  <si>
    <t>Zetterberg, Per</t>
  </si>
  <si>
    <t>Zetterberg P.</t>
  </si>
  <si>
    <t>A comparison of two systems for downlink communication with base station antenna arrays</t>
  </si>
  <si>
    <t>S0018954599057394</t>
  </si>
  <si>
    <t>10.1109/25.790509</t>
  </si>
  <si>
    <t>2-s2.0-0033353440</t>
  </si>
  <si>
    <t>['outage probability', 'noise ratio', 'new expression', 'combat fading', 'cochannel interferers', 'cochannel interference', 'antenna elements', 'antenna diversity', 'analytical results', 'also presented']</t>
  </si>
  <si>
    <t>In mobile radio systems, antenna diversity is used to combat fading and reduce the impact of cochannel interference. In this paper, we derived a new expression for probability density functions of the signal-to-interference-plus-noise ratio and apply it to analyze the outage probability (OTP) for a maximal ratio combining diversity system when multiple cochannel interferers are present. Numerical results showing the impact of the number of antenna elements, the number of cochannel interferers, and signal-to-noise ratio on the OTP are presented. Simulation results validating the analytical results are also presented.</t>
  </si>
  <si>
    <t>1121-1124</t>
  </si>
  <si>
    <t>60008928;60008928</t>
  </si>
  <si>
    <t>55233269700;57218945302</t>
  </si>
  <si>
    <t>Cui, Jian;Sheikh, Asrar U.H.</t>
  </si>
  <si>
    <t>Hong Kong Polytechnic University</t>
  </si>
  <si>
    <t>Cui J.</t>
  </si>
  <si>
    <t>Outage probability of cellular radio systems using maximal ratio combining in the presence of multiple interferers</t>
  </si>
  <si>
    <t>10.1109/26.780445</t>
  </si>
  <si>
    <t>2-s2.0-0033354856</t>
  </si>
  <si>
    <t>['work well', 'tracing software', 'station antenna', 'radio coverage', 'radiates diffusely', 'paper explores', 'mode cable', 'loss parameter', 'leaky coax', 'heuristic model', 'finite segments', 'either coupled', 'depend significantly', 'cosine law', 'coaxial cable', 'barren one']</t>
  </si>
  <si>
    <t>A coaxial cable having a slotted or perforated outer conductor can be used as a base-station antenna for indoor wireless systems. This paper explores the use of ray-tracing software to predict the radio coverage that can be achieved by a leaky coax in a building with a given wall geometry. For either coupled-mode or radiating-mode cable, a heuristic model that represents the cable as a sequence of finite segments, each of which radiates diffusely with a radiation pattern given by Lambert's cosine law, is found to work well. However, the coupling-loss parameter, which defines the effective power radiated by each element, appears to depend significantly on whether the cable is laid in a rich scattering environment or a barren one.</t>
  </si>
  <si>
    <t>2005-2014</t>
  </si>
  <si>
    <t>Morgan, Samuel P.</t>
  </si>
  <si>
    <t>Morgan S.P.</t>
  </si>
  <si>
    <t>Prediction of indoor wireless coverage by leaky coaxial cable using ray tracing</t>
  </si>
  <si>
    <t>10.1109/25.806793</t>
  </si>
  <si>
    <t>2-s2.0-0033354951</t>
  </si>
  <si>
    <t>['wireless lan', 'wireless atm', 'traditional pencil', 'prototype fan', 'personal stations', 'beam combination', 'beam antenna', 'base station', '20 ghz']</t>
  </si>
  <si>
    <t>A novel beam combination method for wide-band digital indoor communication systems such as wireless LAN's and wireless ATM's is proposed. Crossed fan beams are used at the base station (BS) and personal stations (PS's). The beam combination method provides better transmission quality than the traditional pencil-beam combination and eliminates complex beam control in the BS. Maximum dispersion distributions in a transmission frequency bandwidth are calculated by a three-dimensional (3-D) indoor propagation delay simulation algorithm. A prototype fan-beam antenna for the PS is fabricated and measured at 20 GHz.</t>
  </si>
  <si>
    <t>1511-1517</t>
  </si>
  <si>
    <t>7201993763;7005529399;35564404500</t>
  </si>
  <si>
    <t>Uehara, Kazuhiro;Takatori, Yasushi;Kagoshima, Kenichi</t>
  </si>
  <si>
    <t>Uehara K.</t>
  </si>
  <si>
    <t>Proposal for a novel beam combination method for indoor high-speed wireless communication systems</t>
  </si>
  <si>
    <t>10.1109/25.790526</t>
  </si>
  <si>
    <t>2-s2.0-0033355815</t>
  </si>
  <si>
    <t>['wave frequencies', 'vertical integration', 'top substrate', 'toback ratio', 'small 50', 'radiation performance', 'paper presents', 'microstrip antenna', 'measured front', 'maximum efficiency', 'efficient solution', 'design consists', 'db bandwidth', 'coupling slot', 'bottom substrate', 'antenna arrays', '94 ghz', '20 db', '18 db', '10 db', '10 %.']</t>
  </si>
  <si>
    <t>Micromachining | Microstrip antennas | Millimeter-wave antennas</t>
  </si>
  <si>
    <t>This paper presents an aperture-coupled micromachined microstrip antenna operating at 94 GHz. The design consists of two stacked silicon substrates: 1) the top substrate, which carries the microstrip antenna, is niicrornachined to improve the radiation performance of the antenna and 2) the bottom substrate, which carries the microstrip feed line and the coupling slot. The measured return loss is -18 dB at 94 GHz for a 10-dB bandwidth of 10%. A maximum efficiency of 58 ¬±5% has been measured and the radiation patterns show a measured front-toback ratio of -10 dB at 94 GHz. The measured mutual coupling is below -20 dB in both E- and .ff-plane directions due to the integration of small 50-jum silicon beams between the antennas. The micromachined microstrip antenna is an efficient solution to the vertical integration of antenna arrays at millimeter-wave frequencies. ¬© 1999 IEEE.</t>
  </si>
  <si>
    <t>1761-1766</t>
  </si>
  <si>
    <t>Gauthier G.P.</t>
  </si>
  <si>
    <t>A 94-GHz aperture-coupled micromachined microstrip antenna</t>
  </si>
  <si>
    <t>S0018926X99099767</t>
  </si>
  <si>
    <t>10.1109/8.817650</t>
  </si>
  <si>
    <t>2-s2.0-0033356172</t>
  </si>
  <si>
    <t>['therefore reduces', 'spreading gain', 'paper investigates', 'one user', 'occurs even', 'large number', 'iterative receiver', 'initial estimates', 'array size', 'antenna array']</t>
  </si>
  <si>
    <t>This paper investigates a multiple-access communication receiver system that receives coded data modulated using either direct-sequence code division multiple access or narrow-band binary phase shift keying, with an antenna array in a multipath propagation environment. We describe an iterative receiver that improves the initial estimates from the antenna array, and therefore reduces the multiple access interference. Simulation results show that the bit error rate performance approaches that obtained when only one user's signal is incident on the array. This occurs even with a large number of users in comparison to the product of the spreading gain and array size.</t>
  </si>
  <si>
    <t>2082-2089</t>
  </si>
  <si>
    <t>60031846-101708343-100333453;60031846-100411670</t>
  </si>
  <si>
    <t>7401800269;7202328978</t>
  </si>
  <si>
    <t>Reed, Mark C.;Alexander, Paul D.</t>
  </si>
  <si>
    <t>Australia;Switzerland;Australia;Switzerland</t>
  </si>
  <si>
    <t>Adelaide;Magenwil;Sydney;Magenwil</t>
  </si>
  <si>
    <t>University of South Australia;Applicable Res. and Technology Unit;Southern Poro Communications;ASCOM Tech Ltd</t>
  </si>
  <si>
    <t>60031846;101708343;100411670;100333453</t>
  </si>
  <si>
    <t>Reed M.</t>
  </si>
  <si>
    <t>Iterative multiuser detection using antenna arrays and FEC on multipath channels</t>
  </si>
  <si>
    <t>10.1109/49.814811</t>
  </si>
  <si>
    <t>2-s2.0-0033356272</t>
  </si>
  <si>
    <t>['varying channels', 'suburban environments', 'simple estimator', 'significant impact', 'scatterers local', 'results show', 'results may', 'previous work', 'observation period', 'numerical examples', 'music algorithm', 'mobile transmitters', 'minor effect', 'local scattering', 'invariant case', 'good agreement', 'general rayleigh', 'energy incident', 'doa estimation', 'doa estimates', 'derived distributions', 'approximate distribution', 'angular spread', 'also included', 'addition results']</t>
  </si>
  <si>
    <t>Array signal processing | Direction-of-arrival estimation | Multipath channels</t>
  </si>
  <si>
    <t>In wireless communication scenarios multipath propagation may cause angular spreading as seen from a base station antenna array. Environments where most energy incident on the array is from scatterers local to the mobile transmitters are considered and the effects on direction of arrival (DOA) estimation with the MUSIC algorithm are studied. Previous work has studied rapidly time-varying channels and concluded that local scattering has a minor effect on DOA estimation in such scenarios. In this work a channel that is time-invariant during the observation period is considered and under the assumption of small angular spread an approximate distribution for the DOA estimates is derived. The results show that local scattering has a significant impact on DOA estimation in the time-invariant case. Numerical examples are included to illustrate the analysis and to demonstrate that the results may be used to formulate a simple estimator of angular spread. An extension to more general Rayleigh and Ricean fading channels is also included. In addition results from processing experimental data collected in suburban environments are presented. Good agreement with the derived distributions is obtained. ¬© 1999 IEEE.</t>
  </si>
  <si>
    <t>3220-3234</t>
  </si>
  <si>
    <t>7801374772;7007005676</t>
  </si>
  <si>
    <t>Ast√©ly, David;Ottersten, Bj√∂rn</t>
  </si>
  <si>
    <t>The effects of local scattering on direction of arrival estimation with music</t>
  </si>
  <si>
    <t>S1053587X99092144</t>
  </si>
  <si>
    <t>10.1109/78.806068</t>
  </si>
  <si>
    <t>2-s2.0-0033356334</t>
  </si>
  <si>
    <t>['total pressure', 'spokewise antenna', 'sih4 depletion', 'sih4 ],', 'japanese journal', 'intensity ratio', 'high crystallinity', 'h growth', 'flow rate', 'film crystallinity', 'fast deposition', 'deposition rate', 'axial distance', 'ar without', 'ar plasma', 'applied physics', '50m torr']</t>
  </si>
  <si>
    <t>Fast deposition | High-density plasma | Microwave plasma | Optical emission spectroscopy (OES) | SiH 4 | Spokewise antenna | ŒºC-Si:H</t>
  </si>
  <si>
    <t>A novel microwave discharge utilizing a spokewise antenna was applied for the fast deposition of hydrogenated microcrystalline silicon (Œºc-Si:H) film from SiH4 and Ar without the H2 dilution method. Systematic deposition studies were employed with total pressure, H2 dilution ratio and flow rate of SiH4, Fr[SiH4], as variables, combined with optical emission spectroscopy (OES) and Langmuir probe characterizations. It was found that the deposition rate exhibits a maximum at 40-50m Torr at the axial distance of 10cm from the quartz glass plate and the film crystallinity strongly depend on the total pressure. Correlation among OES signal intensity, SiH, the intensity ratio, IHŒ±/ISi, deposition rate and film crystallinity were demonstrated. By combining the SiH4 depletion and lower pressure conditions, a high deposition rate of 40√Ö/S was achieved in Œºc-Si:H growth with high crystallinity and photosensitivity from SiH4 and Ar plasma. ¬© 1999 Publication Board, Japanese Journal of Applied Physics.</t>
  </si>
  <si>
    <t>6629-6635</t>
  </si>
  <si>
    <t>60028263;60028263;60028263;60028263;100438704</t>
  </si>
  <si>
    <t>7202945191;7102237792;7102657144;6602397769;7102921642</t>
  </si>
  <si>
    <t>Shirai, Hajime;Sakuma, Yoshikazu;Moriya, Yoshimizu;Fukai, Chisato;Ueyama, Hiroyuki</t>
  </si>
  <si>
    <t>Fast deposition of microcrystalline silicon using high-density SiH&lt;inf&gt;4&lt;/inf&gt; microwave plasma</t>
  </si>
  <si>
    <t>10.1143/jjap.38.6629</t>
  </si>
  <si>
    <t>2-s2.0-0033356378</t>
  </si>
  <si>
    <t>['unwanted scattering', 'test zone', 'stray signals', 'reduce clutter', 'incident field', 'hardware gating', 'frequency data']</t>
  </si>
  <si>
    <t>Results are presented for antenna gain measurements in a compact antenna range at a frequency below the minimum specified operating frequency of the range. Hardware gating is used to reduce clutter or unwanted scattering from the backlobe of the feed and the walls of the chamber. Measured time domain data are presented which prove that these stray signals can be eliminated from the incident field in the test zone, and frequency data are presented to show the improvement in measured antenna gain.</t>
  </si>
  <si>
    <t>1894-1896</t>
  </si>
  <si>
    <t>7004459157;35561582300</t>
  </si>
  <si>
    <t>Odendaal, J. W.;Joubert, J.</t>
  </si>
  <si>
    <t>Odendaal J.</t>
  </si>
  <si>
    <t>Using hardware gating to improve antenna gain measurements in compact antenna range</t>
  </si>
  <si>
    <t>10.1049/el:19991309</t>
  </si>
  <si>
    <t>2-s2.0-0033357079</t>
  </si>
  <si>
    <t>['type algorithm', 'target motion', 'proposed algorithm', 'passive array', 'numerical simulations', 'modified newton', 'maximum likelihood', 'likelihood function', 'initial mts', 'array data', 'also presented']</t>
  </si>
  <si>
    <t>In this paper, we propose a maximum likelihood (ML) approach for tracking the direction-of-arrival (DOA) of multiple moving targets by a passive array. A locally linear model is assumed for the target motion, and the multiple target states (MTS's) are defined to describe the states of the target motion. The locally linear model is shown to be strongly locally observable almost everywhere. The approach is to estimate the initial MTS by maximizing the likelihood function of the array data. The tracking is implemented by prediction through the target motion dynamics using the initial MTS estimate. By incorporating the target motion dynamics, the algorithm is able to eliminate the spread spectrum effects due to target motion. A modified Newton-type algorithm is also presented, which ensures fast convergence of the algorithm. Finally, numerical simulations are included to show the effectiveness of the proposed algorithm.</t>
  </si>
  <si>
    <t>2655-2666</t>
  </si>
  <si>
    <t>Tracking the direction-of-arrival of multiple moving targets by passive arrays: Algorithm</t>
  </si>
  <si>
    <t>10.1109/78.790648</t>
  </si>
  <si>
    <t>2-s2.0-0033357404</t>
  </si>
  <si>
    <t>['typical handset', 'tm21 modes', 'separation comparable', 'radiation hazards', 'placed back', 'antennas operating']</t>
  </si>
  <si>
    <t>A novel antenna configuration comprised of two circular microstrip antennas (CMAs) resonating in the TM11 and TM21 modes, producing radiation characteristics suitable for a mobile telephone handset, is presented. The antennas operating at the same frequency are placed back to back with a separation comparable to the thickness of a typical handset. The radiation pattern consists of a region of reduced radiation intensity, which minimizes the radiation hazards to the user.</t>
  </si>
  <si>
    <t>370-372</t>
  </si>
  <si>
    <t>60031544;60032882;60031544</t>
  </si>
  <si>
    <t>6508286905;57206591125;57218539158</t>
  </si>
  <si>
    <t>Mridula, S.;George, Jacob;Mohanan, P.</t>
  </si>
  <si>
    <t>Eindhoven;Kochi</t>
  </si>
  <si>
    <t>Technische Universiteit Eindhoven;Cochin University of Science and Technology</t>
  </si>
  <si>
    <t>60032882;60031544</t>
  </si>
  <si>
    <t>Mridula S.</t>
  </si>
  <si>
    <t>Microstrip antennas for mobile telephone handset with reduced radiation hazards</t>
  </si>
  <si>
    <t>10.1002/(SICI)1098-2760(19991220)23:6&lt;370::AID-MOP16&gt;3.0.CO;2-O</t>
  </si>
  <si>
    <t>2-s2.0-0033357411</t>
  </si>
  <si>
    <t>['symmetrical planes', 'symmetrical plane', 'paper presents', 'order abc', 'loaded bow', 'experimental results', 'conventional form', 'combine mur', 'alternate form']</t>
  </si>
  <si>
    <t>This paper presents the application of the nonuniform orthogonal mesh FDTD method combined with Mur's second-order ABC to structures that have symmetrical planes. Particularly, it is revealed that, in order to combine Mur's second-order ABC with a symmetrical plane, an alternate form of Mur's second-order ABC, instead of its conventional form, has to be employed. The accuracy and efficiency of the proposed FDTD algorithm are confirmed by analyzing a slot-loaded bow-tie microstrip antenna that has experimental results for comparison.</t>
  </si>
  <si>
    <t>381-383</t>
  </si>
  <si>
    <t>Zhao, Anping</t>
  </si>
  <si>
    <t>Efficient FDTD algorithm for the analysis of structures with symmetrical planes using nonuniform orthogonal mesh and Mur's second-order ABC</t>
  </si>
  <si>
    <t>10.1002/(SICI)1098-2760(19991220)23:6&lt;381::AID-MOP19&gt;3.0.CO;2-B</t>
  </si>
  <si>
    <t>2-s2.0-0033357412</t>
  </si>
  <si>
    <t>['tm01 modes', 'shaped slot', 'proposed dual', 'proposed antenna', 'polarization planes', 'perturbed tm11', 'obtained dual', 'new dual', 'frequency performances', 'frequency design', 'experimentally studied', 'element dual', 'also demonstrated']</t>
  </si>
  <si>
    <t>A new dual-frequency design of an inset-microstrip-line-fed circular microstrip antenna with an arc-shaped slot is proposed and experimentally studied. The two operating modes of the proposed antenna are associated with the perturbed TM11 and TM01 modes and have the same polarization planes and similar broadside radiation characteristics. By varying the length of the arc-shaped slot, the proposed antenna can provide a tunable frequency ratio of about 1.29 to 1.43 for the two operating frequencies. The application of the proposed antenna to the design of a two-element dual-frequency microstrip array is also demonstrated. Details of the obtained dual-frequency performances of the proposed dual-frequency design are presented and discussed.</t>
  </si>
  <si>
    <t>359-361</t>
  </si>
  <si>
    <t>7006749889;35460663000</t>
  </si>
  <si>
    <t>Hsieh, G. B.;Wong, K. L.</t>
  </si>
  <si>
    <t>Hsieh G.</t>
  </si>
  <si>
    <t>Inset-microstrip-line-fed dual-frequency circular microstrip antenna and its application to a two-element dual-frequency microstrip array</t>
  </si>
  <si>
    <t>10.1049/ip-map:19990667</t>
  </si>
  <si>
    <t>2-s2.0-0033358935</t>
  </si>
  <si>
    <t>['wave structures', 'propagation constants', 'modal expansions', 'method utilizes', 'generating results', 'evaluated efficiently', 'current expansion', 'conventional method', 'computation time']</t>
  </si>
  <si>
    <t>An efficient MoM algorithm is introduced to analyze large travelling-wave structures, exemplified with a microstrip leaky wave antenna. The method utilizes a combination of travelling-wave and subdomain basis functions for the current expansion to minimize the number of unknowns in the analysis. The propagation constants which characterize the modal expansions are evaluated efficiently by the algorithm for the implementation of the travelling-wave basis functions. As a result the model overcomes computer memory problems encountered by the conventional MoM model in analyzing large antennas where a large impedance matrix is needed. The algorithm is capable of generating results as accurate as that of the conventional method while achieving substantial reduction in computation time and resources.</t>
  </si>
  <si>
    <t>324-328</t>
  </si>
  <si>
    <t>60031004;60011362;60031004</t>
  </si>
  <si>
    <t>7004652272;6603921864;7006461037</t>
  </si>
  <si>
    <t>Yau, D.;Shuley, N. V.;McMillan, L. O.</t>
  </si>
  <si>
    <t>Brisbane;Melbourne</t>
  </si>
  <si>
    <t>The University of Queensland;RMIT University</t>
  </si>
  <si>
    <t>60031004;60011362</t>
  </si>
  <si>
    <t>Yau D.</t>
  </si>
  <si>
    <t>Characteristics of microstrip leaky wave antenna using the method of moments</t>
  </si>
  <si>
    <t>10.1049/ip-map:19990611</t>
  </si>
  <si>
    <t>2-s2.0-0033358989</t>
  </si>
  <si>
    <t>['results validate', 'provide coverage', 'paper describes', 'narrow bandwidth', 'measured results', 'may offset', 'flat surface', 'european continent', 'coverage specifications', 'cost advantages']</t>
  </si>
  <si>
    <t>Printed antennas | Reflectarrays | Shaped-beam antennas</t>
  </si>
  <si>
    <t>This paper describes a microstrip reflectarray antenna designed to produce a shaped-beam coverage pattern using phase synthesis. The concept is demonstrated with a Ku-band linearly polarized reflectarray designed to provide coverage of the European continent and measured results are compared to those obtained for a previously designed shaped-reflector antenna designed for the same coverage specifications. Results validate the shaped-beam reflectarray concept, although there are disadvantages to the reflectarray such as narrow bandwidth and reduced aperture efficiency that may offset the mechanical and cost advantages of the flat surface of the reflectarray. ¬© 1999 IEEE.</t>
  </si>
  <si>
    <t>1167-1173</t>
  </si>
  <si>
    <t>60014313-60089893;60014313;60014313</t>
  </si>
  <si>
    <t>7006061921;6603820268;6506261522</t>
  </si>
  <si>
    <t>Pozar, D. M.;Targonski, S. D.;Pokuls, R.</t>
  </si>
  <si>
    <t>Montreal;Amherst MA</t>
  </si>
  <si>
    <t>Institut de Recherche en Immunologie et en Canc√©rologie de l‚ÄôUniversit√© de Montr√©al;University of Massachusetts Amherst</t>
  </si>
  <si>
    <t>60089893;60014313</t>
  </si>
  <si>
    <t>Pozar D.M.</t>
  </si>
  <si>
    <t>A shaped-beam microstrip patch reflectarray</t>
  </si>
  <si>
    <t>S0018926X99070684</t>
  </si>
  <si>
    <t>10.1109/8.785748</t>
  </si>
  <si>
    <t>2-s2.0-0033359058</t>
  </si>
  <si>
    <t>CityU</t>
  </si>
  <si>
    <t>['studied theoretically', 'probe length', 'probe displacement', 'polarization level', 'polarization characteristics', 'matching method', 'functions rigorously', 'dielectric constant']</t>
  </si>
  <si>
    <t>The cross-polarization characteristics of a probe-fed hemispherical dielectric resonator antenna are studied theoretically. The mode-matching method was used to find the exact antenna Green's functions rigorously. The effects of the dielectric constant, probe length, and probe displacement on the cross-polarization level are examined.</t>
  </si>
  <si>
    <t>1228-1230</t>
  </si>
  <si>
    <t>56415172000;56519379700;55510527400;7101878862</t>
  </si>
  <si>
    <t>Leung, K. W.;Tse, K. K.;Luk, K. M.;Yung, Edward K.N.</t>
  </si>
  <si>
    <t>Leung K.</t>
  </si>
  <si>
    <t>Cross-polarization characteristics of a probe-fed hemispherical dielectric resonator antenna</t>
  </si>
  <si>
    <t>10.1109/8.785755</t>
  </si>
  <si>
    <t>2-s2.0-0033359059</t>
  </si>
  <si>
    <t>NCR-9406069</t>
  </si>
  <si>
    <t>['use time', 'three schemes', 'systematic approach', 'signaling waveforms', 'shift keying', 'rate analysis', 'postdecorrelative receivers', 'multiuser channels', 'mep detectors', 'mep detector', 'general model', 'gain combiner', 'fundamental limits', 'fast fading', 'fading characteristics', 'dpsk modulation', 'detector decomposition', 'detection methods', 'comparative error', 'binary signaling', 'binary phase', 'asymptotic bit', 'antenna diversity', 'also applicable']</t>
  </si>
  <si>
    <t>Diversity communications | Dpsk modulation | Fading channels | Maximal ratio combining | Multiuser detection | Noncoherent detection</t>
  </si>
  <si>
    <t>A generalized diversity channel is introduced that models a variety of wireless communication systems that use time, frequency, multipath, and/or antenna diversity with various interbranch correlations between signaling waveforms and the fading and additive noise processes. In the context of this general model, a systematic approach to the design and analysis of optimum noncoherent differential phase-shift keying (DPSK) receivers is introduced. In particular, it is shown how the minimum error probability (MEP) and the generalized likelihood ratio tests (GLRT) can be applied to obtain optimal noncoherent combining rules. A comparative error-rate analysis of the GLRT and MEP detectors and an ad hoc equal-gain combiner is provided for binary signaling, and the suitability of the three schemes is determined as a function of fading characteristics. The asymptotic bit-error-rate analysis is undertaken for the MEP detector for slow and fast fading channels. An estimator-detector decomposition of the noncoherent MEP rule is obtained which allows an insightful comparative study of the fundamental limits of binary phase-shift keying and DPSK modulation-detection methods for both slow and fast fading. The results of this paper are also applicable to postdecorrelative receivers in multiuser channels. -. ¬© 1999 IEEE.</t>
  </si>
  <si>
    <t>1365-1375</t>
  </si>
  <si>
    <t>Varanasi, Mahesh K.</t>
  </si>
  <si>
    <t>Varanasi M.</t>
  </si>
  <si>
    <t>A systematic approach to the design and analysis of optimum dpsk receivers for generalized diversity communications over rayleigh fading channels</t>
  </si>
  <si>
    <t>S0090677899074802</t>
  </si>
  <si>
    <t>10.1109/26.789672</t>
  </si>
  <si>
    <t>2-s2.0-0033359306</t>
  </si>
  <si>
    <t>['triangular patch', 'studied experimentally', 'results show', 'proposed antenna', 'novel designs', 'narrow slot', 'microstrip antennas', 'given frequency', 'feed equilateral', 'cross slot', 'circular polarization', 'achieved using']</t>
  </si>
  <si>
    <t>Novel designs of single-feed equilateral-triangular microstrip antennas for circular polarization (CP) are proposed and studied experimentally. It is demonstrated that by embedding a narrow slot or a cross slot of unequal slot lengths in the triangular patch, circularly polarized radiation of microstrip antennas can easily be achieved using a single probe feed. Furthermore, results show that for the design with a cross slot, the proposed antenna can perform CP radiation with a reduced antenna size at a given frequency (denoted as compact CP operation here); that is, the required antenna size is smaller for the proposed antenna for performing CP radiation as compared to a conventional circularly polarized triangular microstrip antenna at a fixed operating frequency. Details of the proposed CP designs are described, and typical experimental results are presented and discussed.</t>
  </si>
  <si>
    <t>1174-1178</t>
  </si>
  <si>
    <t>60116768;60116768;60116768</t>
  </si>
  <si>
    <t>7601561423;57213741151;35460663000</t>
  </si>
  <si>
    <t>Lu, Jui Han;Tang, Chia Luan;Wong, Kin Lu</t>
  </si>
  <si>
    <t>Single-feed slotted equilateral-triangular microstrip antenna for circular polarization</t>
  </si>
  <si>
    <t>10.1109/8.785749</t>
  </si>
  <si>
    <t>2-s2.0-0033359310</t>
  </si>
  <si>
    <t>Nokia Foundation</t>
  </si>
  <si>
    <t>['two subgroups', 'special characteristic', 'radiating elements', 'profile high', 'one wavelength', 'matching pin', 'grating lobes', 'gain higher', 'element spacing', 'box horns', 'box horn', 'band 57', 'antenna consists', 'angles larger', '8 ¬∞', '7 dbi', '4 db', '30 db', '2 ghz']</t>
  </si>
  <si>
    <t>Grating lobes | Horn antenna | Millimeter-wave antenna arrays</t>
  </si>
  <si>
    <t>A low-profile high-gain antenna array of box horns for the frequency band 57.2-58.2 GHz is presented. The antenna consists of 256 radiating elements divided into two subgroups of 128 elements fed by a rectangular waveguide feed network. The radiating elements are fed in parallel and the waveguides are connected with T-junctions. The matching of the T-junctions is improved with a matching pin and a splitter. Because of the waveguide feed network, the element spacing is larger than one wavelength, which causes grating lobes. The grating lobes and sidelobes in the ff-plane have been suppressed by the use of a combination of subarrays, a special characteristic of the box horn, and an array amplitude tapering. The measured sidelobe levels in the ff-plane are below -30 dB at angles larger than 8¬∞ from boresight. A gain higher than 35.7 dBi and a return loss higher than 14.4 dB have been measured for the antenna over the band 57.2-58.2 GHz. ¬© 1999 IEEE.</t>
  </si>
  <si>
    <t>1125-1130</t>
  </si>
  <si>
    <t>Sehm, Tomas;Lehto, Arto;R√§is√§nen, Antti V.</t>
  </si>
  <si>
    <t>A high-gain 58-GHz box-horn array antenna with suppressed grating lobes</t>
  </si>
  <si>
    <t>S0018926X99070751</t>
  </si>
  <si>
    <t>10.1109/8.785742</t>
  </si>
  <si>
    <t>2-s2.0-0033359395</t>
  </si>
  <si>
    <t>Ministerie van Onderwijs, Cultuur en Wetenschap</t>
  </si>
  <si>
    <t>OCW</t>
  </si>
  <si>
    <t>['spatially receives', 'simple composition', 'scanning system', 'rf signals', 'rf signal', 'rf circuits', 'phase shifters', 'novel beam', 'microwave band', 'loss due', 'local oscillator', 'experimental results', 'easily designed', 'arrival direction']</t>
  </si>
  <si>
    <t>The quasi-optical antenna mixer system transforms an RF signal into an intermediate frequency signal just after it spatially receives the RF signal and the local oscillator's (LO) signal. In this paper, we present a novel beam-scanning system using the quasi-optical antenna mixer array and describe its principle of operation and the experimental results in the microwave band. The arrival direction of RF signals can be controlled by adjusting the LO incident angle and/or the LO frequency without implementing RF circuits such as phase shifters. Therefore, the novel beam-scanning system has no loss due to RF circuits and can be easily designed because of its simple composition.</t>
  </si>
  <si>
    <t>1160-1166</t>
  </si>
  <si>
    <t>60014652-60022313;60014652;60014652</t>
  </si>
  <si>
    <t>7404432630;7402368349;7404897527</t>
  </si>
  <si>
    <t>Nishimura, Toshihiko;Ishii, Nozomu;Itoh, Kiyohiko</t>
  </si>
  <si>
    <t>Niigata;Sapporo</t>
  </si>
  <si>
    <t>Niigata University;Hokkaido University</t>
  </si>
  <si>
    <t>60022313;60014652</t>
  </si>
  <si>
    <t>Beam scan using the quasi-optical antenna mixer array</t>
  </si>
  <si>
    <t>10.1109/8.785747</t>
  </si>
  <si>
    <t>2-s2.0-0033359440</t>
  </si>
  <si>
    <t>CCR-9805359</t>
  </si>
  <si>
    <t>['work focuses', 'theoretical developments', 'temporal mai', 'superior bit', 'studies show', 'single orthogonal', 'sequential procedure', 'readily extended', 'rake processor', 'one complex', 'numerical studies', 'noise suppression', 'multiple av', 'may keep', 'induced ber', 'fluctuation rates', 'faded ds', 'division multiple', 'desired number', 'correlation criterion', 'complex degrees', 'auxiliary vector', 'access interference']</t>
  </si>
  <si>
    <t>Direct-sequence/code-division multiple-access (DS/CDMA) communication systems equipped with adaptive antenna arrays offer the opportunity for jointly effective spatial and temporal (code) multiple-access interference (MAI) and channel noise suppression. This work focuses on the development of fast joint space-time (S-T) adaptive optimization procedures that may keep up with the fluctuation rates of multipath fading channels. Along these lines, the familiar S-T RAKE processor is equipped with a single orthogonal S-T auxiliary vector (AV) selected under a maximum magnitude cross-correlation criterion. Then, blind joint spatial/temporal MAI and noise suppression with one complex S-T degree of freedom can be performed. This approach is readily extended to cover blind processing with multiple AV's and any desired number of complex degrees of freedom below the S-T product. A sequential procedure for conditional AV weight optimization is shown to lead to superior bit-error-rate (BER) performance when rapid system adaptation with limited input data is sought. Numerical studies for adaptive antenna array reception of multiuser multipath Rayleigh-faded DS/CDMA signals illustrate these theoretical developments. The studies show that the induced BER can be improved by orders of magnitude, while at the same time significantly lower computational optimization complexity is required in comparison with joint S-T minimum-variance distortionless response or equivalent minimum mean-square-error conventional filtering means.</t>
  </si>
  <si>
    <t>1406-1415</t>
  </si>
  <si>
    <t>Pados, Dimitris A.</t>
  </si>
  <si>
    <t>Buffalo</t>
  </si>
  <si>
    <t>University at Buffalo, The State University of New York</t>
  </si>
  <si>
    <t>Pados D.</t>
  </si>
  <si>
    <t>Joint space-time auxiliary-vector filtering for DS/CDMA systems with antenna arrays</t>
  </si>
  <si>
    <t>10.1109/26.789676</t>
  </si>
  <si>
    <t>2-s2.0-0033359623</t>
  </si>
  <si>
    <t>['wave analysis', 'special emphasis', 'scale problems', 'planar currents', 'numerical integration', 'extensive results', 'exact manner', 'edge conditions', 'based formulation', 'authors present']</t>
  </si>
  <si>
    <t>The authors present a wavelet-based formulation of the method of moments for the full-wave analysis of printed circuit antennas and arrays. The rooftop multiresolution basis is introduced for the expansion of planar currents. These basis functions satisfy the boundary and edge conditions in an exact manner. It is shown that wavelet-dominated expansion bases generate highly sparse moment matrices. The resulting sparse linear systems are solved numerically using very efficient computational tools. The fast wavelet transform is exploited for the numerical integration of the Green's function to speed up the filling of the matrix. Extensive results are presented for a microstrip patch antenna and finite size arrays of such antennas. Special emphasis is placed on the solution of large-scale problems, which could not otherwise be treated by conventional moment method implementations.</t>
  </si>
  <si>
    <t>298-304</t>
  </si>
  <si>
    <t>100324225;100324225;60025778</t>
  </si>
  <si>
    <t>6603809493;7405939376;56246062600</t>
  </si>
  <si>
    <t>Sabet, K. F.;Cheng, J. C.;Katehi, L. P.B.</t>
  </si>
  <si>
    <t>Ann Arbor;Ann Arbor</t>
  </si>
  <si>
    <t>University of Michigan, Ann Arbor;EMAG TECHNOLOGIES, INC.</t>
  </si>
  <si>
    <t>60025778;100324225</t>
  </si>
  <si>
    <t>Sabet K.</t>
  </si>
  <si>
    <t>Efficient wavelet-based modelling of printed circuit antenna arrays</t>
  </si>
  <si>
    <t>10.1049/ip-map:19990558</t>
  </si>
  <si>
    <t>2-s2.0-0033359727</t>
  </si>
  <si>
    <t>['whole scenario', 'weather condition', 'ultrahigh resolution', 'transmitted signal', 'time operation', 'space available', 'small dimensions', 'scattering centers', 'research center', 'requirements cannot', 'reconstruction process', 'real time', 'radial speeds', 'radar image', 'radar front', 'quite large', 'proper inter', 'prometheus project', 'planar array', 'phased array', 'observed scenery', 'nearfield region', 'near field', 'must acquire', 'multiprocessor implementation', 'microwave frontends', 'microwave front', 'microwave frequencies', 'matched filter', 'imaging system', 'high accuracy', 'heavy computation', 'four transmitters', 'fit within', 'field zones', 'far field', 'end must', 'end integrated', 'element lattice', 'dsp net', 'dsp ).', 'distributed manner', 'directly implemented', 'digitally connected', 'designed taking', 'conjugate phase', 'collision system', 'coherently synchronized', 'cespa ),', 'board anti', 'array techniques', 'antennas must', 'angular position', '3d integrated', '3d ),']</t>
  </si>
  <si>
    <t>Image reconstruction | Inverse problem | Microwave circuits | Radar imaging | Synthetic aperture radar</t>
  </si>
  <si>
    <t>In order to realize an on-board anti-collision system able to work in any weather condition, a radar-imaging system is needed. It must acquire the three-dimensional (3-D) radar image of the whole scenario in front of the car with ultrahigh resolution; in order to predict the trajectories of the obstacles, the system must acquire their speeds with high accuracy. These requirements cannot be reached at microwave frequencies with phased-array techniques; in fact, to achieve high accuracy in an angular position, large (in terms of wavelengths) antennas must be used and, therefore, the investigation volume falls in the nearfield region of the antenna where phased array is unable to image it. At our research center, Centro Studi Propagazione e Antenne (CESPA), a project is under development for an imaging radar system for anti-collision, referred to as the microwave imaging radar in the near field for anti-collision system; which has been designed taking into account the past experience acquired during the Prometheus Project. This architecture is based on four transmitters and a planar array of intelligent receiving cells, each one with the microwave front-end integrated with a digital signal processor (DSP). These cells are digitally connected in chain by high-speed data links, and their microwave frontends are coherently synchronized with the transmitted signal. The reconstruction process is performed in a distributed manner on the DSP net in order to obtain the images of the observed scenery and the speeds of the obstacles in real time. This solution requires low-complexity microwave circuits, but heavy computation if a conjugate phase-matched filter is directly implemented. In order to obtain the real-time operation, we have proposed a new microwave imaging radar algorithm, the 3-D image reconstruction algorithm (MIRA-3D), which is able to reconstruct the image without aberration in the far field, as well as in the near-field zones of the array and is able to acquire the radial speeds of the scattering centers. In consideration of the space available for the installation of the system in the bumper, the radar front-end must be of small dimensions. The required imaging field-of-view is quite large, therefore, the size of the receiving cells must be small to fit within the proper inter-element lattice; for this reason, the realization of a two-dimensional array requires a multilayer microwave circuit. In this paper, the multiprocessor implementation of MIRA-3D integrated with the radio frequency front-end will be described. ¬© 1999 IEEE.</t>
  </si>
  <si>
    <t>1891-1900</t>
  </si>
  <si>
    <t>9 PART 2</t>
  </si>
  <si>
    <t>Giubbolini, Luigi</t>
  </si>
  <si>
    <t>Giubbolini L.</t>
  </si>
  <si>
    <t>A microwave imaging radar in the near field for anti-collision (MIRANDA)</t>
  </si>
  <si>
    <t>S0018948099071744</t>
  </si>
  <si>
    <t>10.1109/22.788527</t>
  </si>
  <si>
    <t>2-s2.0-0033360067</t>
  </si>
  <si>
    <t>11653/95/NL/PB</t>
  </si>
  <si>
    <t>['unwanted reflections', 'two types', 'strong effect', 'significantly disturbed', 'reflected waves', 'reduced partly', 'radiation performances', 'polar patterns', 'polar far', 'planar antenna', 'paper begins', 'matching layers', 'matching layer', 'low dielectric', 'internal reflections', 'field pattern', 'dielectric lens', 'constant lenses', 'beam efficiency', 'antenna admittance', 'almost equal', '4 ),', '10 %.']</t>
  </si>
  <si>
    <t>Integrated lens antennas | Internal reflections | Matching layers</t>
  </si>
  <si>
    <t>This paper begins with the modeling of the reflected waves within integrated lens antennas, which consist of a dielectric lens on which a planar antenna is mounted. It is demonstrated that if the relative dielectric constant of the lens is small (er &lt; 4), the single- and double-reflected waves are sufficient to analyze the effect of the internal reflections. For small angles around boresight, these unwanted reflected fields mainly affect the cross-polar far-field pattern, while for large observation angles, both the co-polar and cross-polar patterns are significantly disturbed. It appears that by neglecting the internally reflected field contributions, the beam efficiency may be overestimated more than 10%. In this paper, two types of matching layers are analyzed in order to reduce these unwanted reflections. It is demonstrated that the radiation performances of the integrated lens antennas with optimum-thickness and quarter-wavelength matching layer are almost equal. Even for low dielectric-constant lenses, the beam efficiency can be increased by over 10%. Finally, it is demonstrated that the internal reflections may also have a strong effect on the antenna admittance, which can only be reduced partly by the use of a matching layer. ¬© 1999 IEEE.</t>
  </si>
  <si>
    <t>1696-1704</t>
  </si>
  <si>
    <t>9 PART 1</t>
  </si>
  <si>
    <t>60032882;60019984;60031159</t>
  </si>
  <si>
    <t>6602076882;7003592642;7003821814</t>
  </si>
  <si>
    <t>Van Der Vorst, Maarten J.M.;De Maagt, Peter J.I.;Herben, Matti H.A.J.</t>
  </si>
  <si>
    <t>Netherlands;Netherlands;Netherlands</t>
  </si>
  <si>
    <t>Eindhoven;Noordwijk aan Zee;The Hague</t>
  </si>
  <si>
    <t>Technische Universiteit Eindhoven;ESTEC - European Space Research and Technology Centre;Nederlandse Organisatie voor toegepast natuurwetenschappelijk onderzoek- TNO</t>
  </si>
  <si>
    <t>60032882;60031159;60019984</t>
  </si>
  <si>
    <t>Van Der Vorst M.</t>
  </si>
  <si>
    <t>Effect of internal reflections on the radiation properties and input admittance of integrated lens antennas</t>
  </si>
  <si>
    <t>S0018948099066090</t>
  </si>
  <si>
    <t>10.1109/22.788611</t>
  </si>
  <si>
    <t>2-s2.0-0033360228</t>
  </si>
  <si>
    <t>['time two', 'theoretical results', 'performance degrades', 'implementation loss', '179 hz']</t>
  </si>
  <si>
    <t>In this letter, we describe computer simulation and laboratory performance results of a real-time two-element adaptive antenna array tested for the uplink of a 1.9-GHz IS-136 PCS base station. Our simulations and real-time experimental results with a channel emulator show less than a 1-dB implementation loss as compared to theoretical results for the noise-only case. With interference, at low fading rates the implementation loss is only a few decibels. However, the performance degrades with increasing fading rate, such that the adaptive array performance is similar to maximal ratio combining at 60-m/h fading rates (179 Hz at 1.9 GHz).</t>
  </si>
  <si>
    <t>60-62</t>
  </si>
  <si>
    <t>60014300;60014300;60024590</t>
  </si>
  <si>
    <t>7102662778;7405840651;22987226000</t>
  </si>
  <si>
    <t>Winters, Jack H.;Martin, Carol C.;Zhuang, Tom</t>
  </si>
  <si>
    <t>Schaumburg;San Antonio</t>
  </si>
  <si>
    <t>Motorola;AT&amp;T Inc.</t>
  </si>
  <si>
    <t>60024590;60014300</t>
  </si>
  <si>
    <t>Two-element adaptive antenna array for IS-136 PCS base stations</t>
  </si>
  <si>
    <t>10.1109/4234.752902</t>
  </si>
  <si>
    <t>2-s2.0-0033361692</t>
  </si>
  <si>
    <t>['state information', 'shift keying', 'good coding', 'error probability', 'diversity reception', 'coded modulation', 'channels affected', 'channel tends', 'become gaussian', 'around 1']</t>
  </si>
  <si>
    <t>We study the synergy between coded modulation and antenna-diversity reception on channels affected by slow Rician fading. Specifically, we assess the impact of channel-state information (CSI) on error probability. We show that with a good coding and constant envelope modulations (for example, phase-shift keying) scheme the loss in performance when CSI is not available is moderate (around 1.5 dB). Moreover, as the diversity order grows, the channel tends to become Gaussian.</t>
  </si>
  <si>
    <t>1284-1287</t>
  </si>
  <si>
    <t>60012162;60012162;60029859</t>
  </si>
  <si>
    <t>7005315165;7102451112;7004399543</t>
  </si>
  <si>
    <t>Taricco, G.;Biglieri, E. M.;Caire, G.</t>
  </si>
  <si>
    <t>Sophia Antipolis;Turin</t>
  </si>
  <si>
    <t>EURECOM Ecole d'Ing√©nieur et Centre de Recherche en Sciences du Num√©rique;Politecnico di Torino</t>
  </si>
  <si>
    <t>60029859;60012162</t>
  </si>
  <si>
    <t>Taricco G.</t>
  </si>
  <si>
    <t>Impact of channel-state information on coded transmission over fading channels with diversity reception</t>
  </si>
  <si>
    <t>10.1109/26.789660</t>
  </si>
  <si>
    <t>2-s2.0-0033362109</t>
  </si>
  <si>
    <t>Tokai University</t>
  </si>
  <si>
    <t>['unit cell', 'three layers', 'stacked structure', 'radiation layer', 'fet amplifier', 'experimental data', 'directional coupler', 'design method', 'coupling layer', 'array proposed', '6 dbm', '45 ghz', '200 g']</t>
  </si>
  <si>
    <t>Active antennas | FET amplifiers | Microwave power transmission | Solar power satellites</t>
  </si>
  <si>
    <t>In this paper, as one of the examples of an application of an active integrated antenna technique, a design method and experimental data of the active integrated amplifier antenna array were reported for microwave power transmission in the Space Solar Power Satellite 2000 system. The stacked structure of a unit cell in the array proposed here consists of three layers: the amplification circuit layer, radiation layer, and coupling layer. By incorporating 2x2 unit cells with the combination of a directional coupler and an FET amplifier, a light unit patch plate with weight of 200 g and 25.6 dBm as effective radiated power was fabricated and operated at 2.45 GHz. ¬© 1999 IEEE.</t>
  </si>
  <si>
    <t>1901-1909</t>
  </si>
  <si>
    <t>60009885-60000809;60009885-60000809</t>
  </si>
  <si>
    <t>7202423980;7103039371</t>
  </si>
  <si>
    <t>Kawasaki, Shigeo;Kido, Yoshiharu</t>
  </si>
  <si>
    <t>Tokyo;Sagamihara</t>
  </si>
  <si>
    <t>Tokai University;JAXA Institute of Space and Astronautical Science</t>
  </si>
  <si>
    <t>60009885;60000809</t>
  </si>
  <si>
    <t>Kawasaki S.</t>
  </si>
  <si>
    <t>Laminated active integrated amplifier antenna arrays for a space solar power satellite</t>
  </si>
  <si>
    <t>S0018948099071616</t>
  </si>
  <si>
    <t>10.1109/22.788528</t>
  </si>
  <si>
    <t>2-s2.0-0033362332</t>
  </si>
  <si>
    <t>['top end', 'tlm method', 'tlm ).', 'terrestrial antenna', 'satellite case', 'satellite antenna', 'radiation pattern', 'previous work', 'position vertically', 'polarization planes', 'peak sar', 'modelling approach', 'input power', 'human head', 'good agreement', 'field magnitude', 'feed point', 'antenna types', '9 cm', '29 db', '12 db']</t>
  </si>
  <si>
    <t>Interactions between terrestrial and satellite mobile handheld antennas and the human head are compared, using the transmission line modelling technique (TLM). The approach to modelling the terrestrial antenna (monopole), satellite antenna (quadrifilar helix), a simple spherical head model and a detailed head model using the TLM method is described. The modelling approach is compared with previous work for purely terrestrial cases and good agreement is obtained. The radiation pattern in both polarization planes, specific absorption rate and near-field magnitude have been calculated and compared for both antennas. When both antenna types are fed with the same input power, the terrestrial mobile handheld antenna gives a higher peak SAR than the satellite antenna. The input power for the satellite antenna can be increased by up to 27% for the same peak SAR level in the skin. The peak SAR in the satellite case can be reduced by 29 dB by shifting its position vertically by 9 cm or by 12 dB by shifting the feed point to the top end of the antenna.</t>
  </si>
  <si>
    <t>305-310</t>
  </si>
  <si>
    <t>60021097;60021097</t>
  </si>
  <si>
    <t>6506665465;7202876045</t>
  </si>
  <si>
    <t>Suvannapattana, P.;Saunders, S. R.</t>
  </si>
  <si>
    <t>Guildford</t>
  </si>
  <si>
    <t>University of Surrey</t>
  </si>
  <si>
    <t>Suvannapattana P.</t>
  </si>
  <si>
    <t>Satellite and terrestrial mobile handheld antenna interactions with the human head</t>
  </si>
  <si>
    <t>10.1049/ip-map:19990610</t>
  </si>
  <si>
    <t>2-s2.0-0033362444</t>
  </si>
  <si>
    <t>['slow process', 'internet services', 'high cost', 'fiber lines', 'business quickly', 'burying copper', '4 ghz', '38 ghz']</t>
  </si>
  <si>
    <t>Fixed wireless systems operate in several frequency bands between 2.4 GHz and 38 GHz. These systems offer competitive local exchange carriers a way to bypass local loops and get into business quickly with phone and Internet services. In particular, fixed wireless avoids the high cost and slow process of burying copper of fiber lines.</t>
  </si>
  <si>
    <t>61-69</t>
  </si>
  <si>
    <t>Dutta-Roy, Amitava</t>
  </si>
  <si>
    <t>Dutta-Roy A.</t>
  </si>
  <si>
    <t>Fixed wireless routes for internet access</t>
  </si>
  <si>
    <t>10.1109/6.789600</t>
  </si>
  <si>
    <t>2-s2.0-0033363119</t>
  </si>
  <si>
    <t>['useful procedure', 'reported previously', 'ratio combining', 'practical interest', 'mrc reception', 'independent fading', 'gain combining', 'exact closed', 'exact analysis', 'error rate', 'diversity techniques', 'correlated fading', 'also presented', 'also derived']</t>
  </si>
  <si>
    <t>Exact integral expressions are derived for calculating the symbol-error rate (SER) of multilevel quadrature amplitude modulation (MQAM) in conjunction with L-fold antenna diversity on arbitrary Nakagami fading channel. Both maximal-ratio combining (MRC) (in independent and correlated fading) and equal-gain combining (EGC) predetection (in independent fading) diversity techniques have been considered. Exact closed-form SER expressions for two restricted Nakagami fading cases (MRC reception) are also derived. An exact analysis of EGC for MQAM has not been reported previously, despite its practical interest. Remarkably, the exact SER integrals can also be replaced by a finite-series approximation formula. A useful procedure for computing the confluent hypergeometric series is also presented.</t>
  </si>
  <si>
    <t>1335-1344</t>
  </si>
  <si>
    <t>60003122;60019578;60019578</t>
  </si>
  <si>
    <t>55663995000;35512012600;7006820583</t>
  </si>
  <si>
    <t>Annamalai, A.;Bhargava, V. K.;Tellambura, C.</t>
  </si>
  <si>
    <t>Australia;Canada</t>
  </si>
  <si>
    <t>Melbourne;Victoria</t>
  </si>
  <si>
    <t>Monash University;University of Victoria</t>
  </si>
  <si>
    <t>60019578;60003122</t>
  </si>
  <si>
    <t>Annamalai A.</t>
  </si>
  <si>
    <t>Exact evaluation of maximal-ratio and equal-gain diversity receivers for M-ary QAM on Nakagami fading channels</t>
  </si>
  <si>
    <t>10.1109/26.789669</t>
  </si>
  <si>
    <t>2-s2.0-0033363458</t>
  </si>
  <si>
    <t>['yet capable', 'speed interconnects', 'specific methodologies', 'proposed methodologies', 'original one', 'order modeling', 'multifunctional systems', 'microstrip antennas', 'level modeling', 'facilitates system', 'electromagnetic waveguides', 'electromagnetic system', 'electromagnetic behavior', 'discrete model', 'computer simulation']</t>
  </si>
  <si>
    <t>Electromagnetic modeling | Electromagnetic transient analysis | Finite-difference methods | Model order reduction | System-level</t>
  </si>
  <si>
    <t>Reduced-order modeling of an electromagnetic system is understood as the approximation of a continuous or discrete model of the system by one of substantially lower order, yet capable of capturing the electromagnetic behavior of the original one with sufficient engineering accuracy. Specific methodologies for model order reduction of distributed electromagnetic systems are discussed in this paper. It is shown that electromagnetic model order reduction enhances computational efficiency and, thus, facilitates system-level modeling and computer simulation of multifunctional systems. The proposed methodologies are demonstrated through applications to the reduced-order modeling of high-speed interconnects, electromagnetic waveguides, and microstrip antennas. ¬© 1999 IEEE.</t>
  </si>
  <si>
    <t>840-850</t>
  </si>
  <si>
    <t>6 PART 2</t>
  </si>
  <si>
    <t>60000745;100337953;60000745;100337953</t>
  </si>
  <si>
    <t>7005802093;7101855332;7004757977;7404455361</t>
  </si>
  <si>
    <t>Cangellaris, Andreas C.;Celik, Mustafa;Pasha, Soheila;Zhao, Li</t>
  </si>
  <si>
    <t>Urbana;Sunnyvale</t>
  </si>
  <si>
    <t>University of Illinois Urbana-Champaign;Monterey Design Systems</t>
  </si>
  <si>
    <t>60000745;100337953</t>
  </si>
  <si>
    <t>Electromagneticmodel order reduction for system-level modeling</t>
  </si>
  <si>
    <t>S001894809904449X</t>
  </si>
  <si>
    <t>10.1109/22.769317</t>
  </si>
  <si>
    <t>2-s2.0-0033363535</t>
  </si>
  <si>
    <t>['vehicular systems', 'two transponders', 'second port', 'retrodirective function', 'range communications', 'port cross', 'paper presents', 'output signal', 'orthogonal polarization', 'low cost', 'locking signal', 'local oscillator', 'interrogating signal', 'first port', 'find application']</t>
  </si>
  <si>
    <t>Active antenna array | Retrodirective antenna | Transponder</t>
  </si>
  <si>
    <t>This paper presents a microwave active transponder using a two-port cross-shaped microstrip antenna. The linearly polarized field coming from an interrogating signal is received by the first port, amplified and used as the locking signal of a local oscillator. The output signal of this oscillator is radiated with an orthogonal polarization by the second port of the same antenna. Two transponders are then connected in a Van Atta array arrangement to provide a retrodirective function. This type of array can be built at low cost and find application in short-range communications for vehicular systems. ¬© 1999 IEEE.</t>
  </si>
  <si>
    <t>1910-1915</t>
  </si>
  <si>
    <t>11838770200;7003360986</t>
  </si>
  <si>
    <t>Luxey, Cyril;Laheurte, Jean Marc</t>
  </si>
  <si>
    <t>A retrodirective transponder with polarization duplexing for dedicated short-range communications</t>
  </si>
  <si>
    <t>S0018948099071628</t>
  </si>
  <si>
    <t>10.1109/22.788529</t>
  </si>
  <si>
    <t>2-s2.0-0033363979</t>
  </si>
  <si>
    <t>['wide range', 'well compared', 'wave method', 'unequal input', 'static model', 'specific example', 'soc technique', 'resulting consistency', 'radiation conductance', 'practical usefulness', 'port voltages', 'planar antennas', 'output lines', 'open calibration', 'high accuracy', 'generalized end', 'feed lines', 'explicitly represented', 'equivalent capacitance', 'dynamic model', 'dispersion effects', 'directly accommodated', 'dimensional simulations', 'circuit model', 'circuit discontinuity', 'based computer', 'aided design', 'advantageous features']</t>
  </si>
  <si>
    <t>Method of moments | Short-open calibration technique | Unbounded planar discontinuity | Unified circuit model</t>
  </si>
  <si>
    <t>Unified dynamic equivalent-circuit model for characterizing planar unbounded discontinuities is reported for use in the field-theory-based computer-aided design and optimization of high-frequency integrated circuits and structures such as monolithic and hybrid microwave integrated circuits (M(H)MIC's). The proposal of the circuit model is stemmed from a new scheme called the short-open calibration (SOC) technique. This SOC technique is directly accommodated in a full-wave method-ofmoments (MoM) algorithm. The developed MoM algorithm is applied to the modeling of unbounded planar discontinuities that can be segmented into two distinct sections: static model of feed lines and dynamic model of circuit discontinuity. In this paper, the MoM is formulated in such a way that the port voltages and currents are explicitly represented through relevant network matrices. The SOC technique is used to remove or separate unwanted parasitics brought by the approximation of the impressed voltage source and also the problem of resulting consistency between the two-dimensional and three-dimensional simulations. Results for a class of planar circuit discontinuities are very well compared with measurements and also available publications. Generalized end-to-end coupling structure having offset and unequal input/output lines (to name a specific example) is studied to indicate the parametric and dispersion effects on its equivalent capacitance and radiation conductance. Advantageous features of the proposed unified circuit model suggests its practical usefulness and high accuracy in the design and optimization of a wide range of M(H)MIC's and planar antennas. ¬© 1999 IEEE.</t>
  </si>
  <si>
    <t>1589-1602</t>
  </si>
  <si>
    <t>60089889-60104244;60104244</t>
  </si>
  <si>
    <t>Montreal;Dundas</t>
  </si>
  <si>
    <t>Centre de Recherche Poly-Grames;IEEE Canada</t>
  </si>
  <si>
    <t>60104244;60089889</t>
  </si>
  <si>
    <t>Unified equivalent-circuit model of planar discontinuities suitable for field theory-based CAD and optimization of M(H)MIC's</t>
  </si>
  <si>
    <t>S0018948099065825</t>
  </si>
  <si>
    <t>10.1109/22.788598</t>
  </si>
  <si>
    <t>2-s2.0-0033364161</t>
  </si>
  <si>
    <t>['wireless link', 'statistical model', 'results address', 'new jersey', 'local scattering', 'arrival measurements', 'antenna height', 'antenna gain', 'antenna beamwidth', '9 ghz']</t>
  </si>
  <si>
    <t>The use of a directional terminal antenna on a wireless link can enhance received power by as much as the antenna gain. In local scattering, however, the enhancement will be smaller. We call this decrement the gain reduction factor, Œî. We present a statistical model of Œî for fixed suburban paths at 1.9 GHz, based on angle-of-arrival measurements in New Jersey. Our results address the influences of antenna height, antenna beamwidth, distance, and season.</t>
  </si>
  <si>
    <t>169-171</t>
  </si>
  <si>
    <t>60000251-60014300;60000251-60014300</t>
  </si>
  <si>
    <t>7004878411;7003706051</t>
  </si>
  <si>
    <t>Greenstein, L. J.;Erceg, V.</t>
  </si>
  <si>
    <t>San Antonio;New York</t>
  </si>
  <si>
    <t>AT&amp;T Inc.;IEEE</t>
  </si>
  <si>
    <t>60014300;60000251</t>
  </si>
  <si>
    <t>Greenstein L.</t>
  </si>
  <si>
    <t>Gain reductions due to scatter on wireless paths with directional antennas</t>
  </si>
  <si>
    <t>10.1109/4234.769519</t>
  </si>
  <si>
    <t>2-s2.0-0033364594</t>
  </si>
  <si>
    <t>['wideband electromagnetic', 'studied experimentally', 'shaped strip', 'notable structure', 'microstrip line', 'matching network', 'inverted l', 'impedance bandwidth', 'gain bandwidth', 'foam substrates', 'feeding design', 'coupled single', 'average gain', '13 œª0']</t>
  </si>
  <si>
    <t>A wideband electromagnetic-coupled single-layer microstrip patch antenna is studied experimentally. With dielectric and foam substrates of total thickness approx. 0.13 Œª0, a rectangular patch antenna with impedance bandwidth (SWR ‚â§ 2) of 49% and 3dB gain bandwidth of 54% are obtained. It has an average gain of 6.5dBi and stable radiation patterns across the passband. Furthermore, with the employment of a stacked parasitic patch, a 58% impedance and gain bandwidth is achieved with similar radiation patterns and a higher average gain. A notable structure in the feeding design is that an inverted L-shaped strip is connected to the end of the microstrip line and no matching network is required.</t>
  </si>
  <si>
    <t>Mak C.L.</t>
  </si>
  <si>
    <t>Microstrip line-fed L-strip patch antenna</t>
  </si>
  <si>
    <t>10.1049/ip-map:19990569</t>
  </si>
  <si>
    <t>2-s2.0-0033365017</t>
  </si>
  <si>
    <t>['terminal plane', 'source plane', 'simple model', 'reduced substantially', 'numerical results', 'mutual coupling', 'microstrip structure', 'highly efficient', 'good agreement', 'domain method', 'difference time', 'computational domain', 'analysed using']</t>
  </si>
  <si>
    <t>The mutual coupling between aperture-coupled rectangular dielectric resonator antennas is analysed using the finite-difference time-domain method. The perfectly matched layer is used as absorbing boundary conditions. The voltage excitation source of microstrip structure is based on a simple model, in which the source plane or the terminal plane can be moved very close to the discontinuity so that the computational domain can be reduced substantially. Numerical results are verified by measurements and good agreement between theory and experiment is obtained. The method is highly efficient for the analysis of DR array antennas.</t>
  </si>
  <si>
    <t>Mutual coupling between rectangular dielectric resonator antennas by FDTD</t>
  </si>
  <si>
    <t>10.1049/ip-map:19990609</t>
  </si>
  <si>
    <t>2-s2.0-0033365497</t>
  </si>
  <si>
    <t>['vi satellite', 'utility poles', 'unmodulated continuous', 'tracking antenna', 'therefore important', 'several thresholds', 'roadside trees', 'investigation reports', 'gain satellite', 'frequently cut', 'fade statistics', 'fade state', 'fade margins', 'effective land', 'earth links', 'driven around', 'designing cost', 'artificial obstacles', '9 ¬∞', '5 ¬∞', '5 dbi', '1 ghz']</t>
  </si>
  <si>
    <t>The space-earth links in land-mobile satellite communications are frequently cut off as a result of the shadowing and blockage, due to roadside trees, buildings, utility poles, and other artificial obstacles. Knowledge about the fade statistics is therefore important in designing cost-effective land-mobile satellite communication systems. Using a 15.5 dBi-gain satellite-tracking antenna, an S-band (2.1 GHz) unmodulated continuous-wave signal transmitted from the elliptically orbiting ETS-VI satellite was measured, while the vehicle the antenna was mounted on was driven around a city in Okinawa. The investigation reports on fade statistics and fade and nonfade-duration (interfade-duration) statistics for elevation angles ranging from 57.9¬∞ to 66.5¬∞ and for several thresholds of fade state (fade margins from 3 to 15 dB).</t>
  </si>
  <si>
    <t>349-354</t>
  </si>
  <si>
    <t>60009885;60009885;60009885;60092258;60092258</t>
  </si>
  <si>
    <t>6506522337;55628544241;8842968000;35955383400;35501540000</t>
  </si>
  <si>
    <t>Aboudebra, A. A.;Tanaka, K.;Wakabayashi, T.;Yamamoto, S.;Wakana, H.</t>
  </si>
  <si>
    <t>Ministry of Posts and Telecommunications, Japan;Tokai University</t>
  </si>
  <si>
    <t>60092258;60009885</t>
  </si>
  <si>
    <t>Aboudebra A.A.</t>
  </si>
  <si>
    <t>Signal fading in land-mobile satellite communication systems: Statistical characteristics of data measured in Japan using ETS-VI</t>
  </si>
  <si>
    <t>10.1049/ip-map:19990655</t>
  </si>
  <si>
    <t>2-s2.0-0033365927</t>
  </si>
  <si>
    <t>NSF ECE 94-57735</t>
  </si>
  <si>
    <t>['sommerfeld integral', 'paper presents', 'order model', 'numerical results', 'multilayer media', 'multilayer circuits', 'monients solution', 'image method', 'general forms', 'frequency response', 'efficient niethod', 'domain green', 'discrete complex', 'derived first', 'broad band']</t>
  </si>
  <si>
    <t>Complex-image method | Green's function | Method of moments | Multilayer media | Reduced-order model</t>
  </si>
  <si>
    <t>This paper presents an efficient niethod-of-monients solution of the mixed-potential integral equation for a general niicrostrip structure in multilayer media. In this method, the general forms of the spectral-domain Green's functions for multilayer media are derived first. The spatial-domain Green's functions are then obtained by the discrete complex-image method, which obviates the time-consuming numerical evaluation of the Sommerfeld integral. The Rao-Wilton-Glisson basis functions are employed to provide necessary flexibility to model arbitrary shapes. To expedite the computation of frequency response over a broad band, a reduced-order model is presented using asymptotic waveform evaluation. Numerical results of multilayer circuits and antennas are presented to show the efficiency and accuracy of this method. ¬© 1999 IEEE.</t>
  </si>
  <si>
    <t>1810-1818</t>
  </si>
  <si>
    <t>56296682900;7005816353</t>
  </si>
  <si>
    <t>Ling, Feng;Jiao, Dan</t>
  </si>
  <si>
    <t>Efficient electromagnetic modeling of microstrip structures in multilayer media</t>
  </si>
  <si>
    <t>S0018948099071598</t>
  </si>
  <si>
    <t>10.1109/22.788516</t>
  </si>
  <si>
    <t>2-s2.0-0033366127</t>
  </si>
  <si>
    <t>GR9/0C081</t>
  </si>
  <si>
    <t>['yorkshire derwent', 'upstream end', 'upstream detectors', 'two antennae', 'swim past', 'successful exit', 'salmonid species', 'salmo trutta', 'released downstream', 'recording entry', 'poorly known', 'pit tagged', 'pit array', 'pass efficiency', 'overall 12', 'near 100', 'memory chip', 'fish pass', 'downstream end', 'downstream detectors', 'different fish', 'detector unit', 'denil pass', 'continuous recording', 'comprising chub', 'brown trout', 'automated flat', 'antenna array', 'alburnus alburnus', '95 cm', '284 fish']</t>
  </si>
  <si>
    <t>Coarse fish | Fish pass | Lowland rivers | Passive integrated transponder | Telemetry</t>
  </si>
  <si>
    <t>The suitability of fish pass designs currently installed in rivers for non-salmonid species is poorly known, particularly in terms of their efficiency. The use of an automated flat-bed passive integrated transponder (PIT) antenna array to study the behaviour of fish at a Denil pass on the Yorkshire Derwent, North East England, is described. The array comprised four flat PIT antennae, each connected to a detector unit. Two antennae were positioned at the downstream end of the fish pass, and two at the upstream end. Each detector unit sent interrogation signals, received transponded signals from tags, and stored the data in a memory chip. Efficiency of the upstream detectors was validated as near 100% using tagged brown trout (Salmo trutta) introduced below the detectors and observed to swim past them. Between 22 May 1998 and 23 June 1998 a total of 284 fish, comprising 11 species with a combined length range of 9-95 cm, were PIT tagged and released downstream of the fish pass. Continuous recording between 23 May 1998 and 31 August 1998 demonstrated the effectiveness of the PIT array at this site, for recording entry to, and successful exit from the pass. A total of 160 separate entries from 36 different fish were recorded at the downstream detectors, and six fish successfully exited from the top of the pass, giving a pass efficiency of 16.7%, based on the proportion of different fish which passed. Overall 12.7% of tagged fish entered the pass, comprising chub (Leuciscus cephalus), dace (Leuciscus leuciscus), roach (Rutilus rutilus), perch (Perca fluviatilis), bleak (Alburnus alburnus) and brown trout.</t>
  </si>
  <si>
    <t>183-191</t>
  </si>
  <si>
    <t>Fisheries Research</t>
  </si>
  <si>
    <t>60022175;60022175;60028167;60020560;100747936</t>
  </si>
  <si>
    <t>7201860655;57197539922;25955486900;8078341500;6602745679</t>
  </si>
  <si>
    <t>Lucas, Martyn C.;Mercer, Tom;Armstrong, John D.;McGinty, Shaun;Rycroft, Phillip</t>
  </si>
  <si>
    <t>Aberdeen;Durham;Bristol;Melbourne</t>
  </si>
  <si>
    <t>Marine Scotland;Durham University;Environment Agency;UKID Systems Ltd.</t>
  </si>
  <si>
    <t>60028167;60022175;60020560;100747936</t>
  </si>
  <si>
    <t>Lucas M.</t>
  </si>
  <si>
    <t>Use of a flat-bed passive integrated transponder antenna array to study the migration and behaviour of lowland river fishes at a fish pass</t>
  </si>
  <si>
    <t>S0165783699000612</t>
  </si>
  <si>
    <t>10.1016/S0165-7836(99)00061-2</t>
  </si>
  <si>
    <t>2-s2.0-0033386059</t>
  </si>
  <si>
    <t>['radio sources', 'radio source', 'quiet sun', 'obtain values', 'k factor', 'flux density', '22 ghz']</t>
  </si>
  <si>
    <t>In this paper we present a method of calculation of the flux density of radio source for high spatial resolution solar radio observations, i.e., according to the observed solar antenna temperature, we make a correction for the K factor of antenna power pattern, then we can obtain values of solar radio flux. According to models of different brightness temperature distributions of the quiet sun and radio sources, we deduced the expression of the K factor of antenna power pattern, and calculated the fluxes of the quiet sun and slowly varying component emission of radio sources at 22 GHz.</t>
  </si>
  <si>
    <t>223-225</t>
  </si>
  <si>
    <t>0256307X</t>
  </si>
  <si>
    <t>Chinese Physics Letters</t>
  </si>
  <si>
    <t>60007171;60007171</t>
  </si>
  <si>
    <t>36109583100;7403424542</t>
  </si>
  <si>
    <t>Zhou, Shu Rong;Huang, Guang Li</t>
  </si>
  <si>
    <t>Purple Mountain Observatory Chinese Academy of Sciences</t>
  </si>
  <si>
    <t>Zhou S.</t>
  </si>
  <si>
    <t>A method of calculation of the solar radio flux density for high spatial resolution observations</t>
  </si>
  <si>
    <t>10.1088/0256-307X/16/3/024</t>
  </si>
  <si>
    <t>2-s2.0-0033415513</t>
  </si>
  <si>
    <t>['scale model', 'relevant data', 'numerical results', 'fwg antenna', 'frequencies heating', 'folded waveguide', 'fields inside', 'corresponding two', 'coaxial line', 'analyzed theoretically']</t>
  </si>
  <si>
    <t>The properties of folded waveguide (FWG) couplers are researched. Firstly, the electromagnetic, fields inside and outside of the FWG are analyzed theoretically. After substituting the relevant data, numerical results and corresponding two-dimensional and three-dimensional wave field figures are achieved. Secondly, in our scale model, series of experiments are carried out. The coupling and matching between the antenna and the coaxial line are examined. The experimental results demonstrate, that FWG antenna can be used in ion cyclotron range of frequencies heating in tokamak with high power coupling efficiency.</t>
  </si>
  <si>
    <t>273-275</t>
  </si>
  <si>
    <t>60020697;60020697;60020697;60020697</t>
  </si>
  <si>
    <t>7201560275;57214207311;7004544457;8060486400</t>
  </si>
  <si>
    <t>Ye, Wei Wei;Li, Jian Gang;Cui, Ning Zhou;Zhao, Yan Ping</t>
  </si>
  <si>
    <t>Ye W.W.</t>
  </si>
  <si>
    <t>Folded waveguide: A new kind of radio-frequency antenna</t>
  </si>
  <si>
    <t>10.1088/0256-307X/16/4/016</t>
  </si>
  <si>
    <t>2-s2.0-0033419789</t>
  </si>
  <si>
    <t>['various sds', 'stressed conditions', 'spinach thylakoids', 'relative stoichiometry', 'protein components', 'preparative columns', 'peak identification', 'ms ).', 'lhc ii', 'grana membranes', 'gradient ultracentrifugation', 'developed rp', 'cp24 proteins', 'aminoacid microsequence']</t>
  </si>
  <si>
    <t>Antenna system | Chlorophyll-proteins | HPLC | LHC II | Photosystem II | Spinach</t>
  </si>
  <si>
    <t>The protein components of the Photosystem II antenna system, isolated from spinach thylakoids, have been resolved by reversed-phase high performance liquid chromatography (RP-HPLC) using a butyl-silica stationary phase packed either into analytical or semi-preparative columns. Peak identification has been accomplished by a combination of various SDS-PAGE systems employing either Comassie (or silver) staining or immunological detection using polyclonal antibodies raised against LHC II and against CP29, CP26 and CP24 proteins and by aminoacid microsequence. Moreover, peak identification is consistent with the molecular masses determined by Electrospray Ionization Mass Spectrometry (HPLC-ESI-MS). The developed RP-HPLC method allows the resolution of all the protein components of the Photosystem II major Light Harvesting Complex (LHC II) and minor PS II antenna complex (CP24, CP26 and CP29) from grana membranes (BBY) and estimation of their relative stoichiometry in natural and stressed conditions, avoiding the expensive and time consuming separation procedure by sucrose-gradient ultracentrifugation and isoelectrofocusing.</t>
  </si>
  <si>
    <t>281-290</t>
  </si>
  <si>
    <t>60050715;60050715;60032256;60050715;60032256;60032350;60021199</t>
  </si>
  <si>
    <t>7004750167;6603831098;6602078370;7103274461;35553979700;7801417187;9036207200</t>
  </si>
  <si>
    <t>Zolla, Lello;Timperio, Anna Maria;Testi, Maria Grazia;Bianchetti, Maria;Bassi, Roberto;Manera, Francesco;Corradini, Danilo</t>
  </si>
  <si>
    <t>Viterbo;Rome;Verona;Rome</t>
  </si>
  <si>
    <t>Universit√† degli Studi della Tuscia Viterbo;Sapienza Universit√† di Roma;Universit√† degli Studi di Verona;Consiglio Nazionale delle Ricerche</t>
  </si>
  <si>
    <t>60050715;60032350;60032256;60021199</t>
  </si>
  <si>
    <t>Zolla L.</t>
  </si>
  <si>
    <t>Isolation and characterization of chloroplast Photosystem II antenna of spinach by reversed-phase liquid chromatography</t>
  </si>
  <si>
    <t>10.1023/A:1006397419473</t>
  </si>
  <si>
    <t>2-s2.0-0033427070</t>
  </si>
  <si>
    <t>['scutellum surrounded', 'new genus', 'microbradymerus gen', 'medial groove', 'complete brush', 'clavate setation', 'body small', 'assamicus sp', 'assam ).', 'antennomeres short', 'antennomeres 9', '8 mm', '10 distally']</t>
  </si>
  <si>
    <t>Assam | Borneo | Coelometopinae | Coleoptera | Microbradymerus gen. n. | New species | Tenebrionidae</t>
  </si>
  <si>
    <t>Microbradymerus gen. n. (Coleoptera: Tenebrionidae, Coelometopinae) is described and contains the following new species: type species merkli sp. n. (Borneo), kazirangicus sp. n. (Assam) and assamicus sp. n. (Assam). These species are most similar (=related ?) to the species of Bradymerus. The new genus can be separated from Bradymerus by the shape of the antenna with all antennomeres short and broad; the antenna with antennomeres 9 and 10 distally with a complete brush of dense light sensilla; the scutellum surrounded by the medial groove of the pronotum; pronotum with smooth lateral margins; body small (2.5-4.8 mm) and with clavate setation.</t>
  </si>
  <si>
    <t>143-148</t>
  </si>
  <si>
    <t>Acta Zoologica Academiae Scientiarum Hungaricae</t>
  </si>
  <si>
    <t>Schawaller, W.</t>
  </si>
  <si>
    <t>Staatliches Museum f√ºr Naturkunde Stuttgart</t>
  </si>
  <si>
    <t>Schawaller W.</t>
  </si>
  <si>
    <t>Microbradymerus gen. n. (Coleoptera: Tenebrionidae, Coelometopinae) from the oriental region</t>
  </si>
  <si>
    <t>2-s2.0-0033447896</t>
  </si>
  <si>
    <t>['tobacco plants', 'representing emission', 'quenching capability', 'quench fluorescence', 'ps ii', 'physical disconnection', 'lhc ii', 'largely depressed', 'large depression', 'ii turned', 'ii photochemistry', 'harvesting complex', 'fluorescence yields', 'fluorescence yield', 'f699 revealed', 'excess excitation', 'emission spectra', 'considerably speeded', 'characteristic band', '700 nm', '699 nm']</t>
  </si>
  <si>
    <t>Excitation energy dissipation | Fluorescence spectra | Fluorescence yield | LHC II</t>
  </si>
  <si>
    <t>Tobacco plants were subjected to long-term CO2 deficit. The stress caused photoinhibition of Photosystem (PS) II photochemistry and the aggregation of the light-harvesting complex of PS II (LHC II). The aggregation was shown by the appearance of the characteristic band at 698-700 nm (F699) in 77 K fluorescence emission spectra. LHC II aggregates are considered to quench fluorescence and, therefore, the fluorescence yield was determined to verify their quenching capability. PS II photochemistry, measured as F(v)/F(M), was largely depressed during first 4 days of the stress. Unexpectedly, the total fluorescence yield increased in this period. Fitting of emission spectra by Gaussian components approximating emission bands of LHC II, PS II core, PSI and F699 revealed that mainly the bands at 680 and 699 nm, representing emission of LHC II aggregates, were responsible for the increase of the fluorescence yield. This shows an interruption of the excitation energy transfer between LHC II and both photosystems and, thus, a physical disconnection of LHC II from photosystems. PS II and PS I emissions were not quenched in this period. Therefore, it was concluded that these LHC II aggregates were accumulated out of PS II antenna, and, thus they cannot be involved in dumping of excess excitation. The total fluorescence yield turned to decrease only after the large depression of PS II photochemistry, when LHC II aggregation was considerably speeded up and the fluorescence yields of PS I and II turned to decline.</t>
  </si>
  <si>
    <t>217-226</t>
  </si>
  <si>
    <t>60008018-60009424;60008018</t>
  </si>
  <si>
    <t>6603654384;10141460800</t>
  </si>
  <si>
    <t>≈†iffel, Pavel;Braunov√°, Zuzana</t>
  </si>
  <si>
    <t>Ceske Budejovice;Ceske Budejovice</t>
  </si>
  <si>
    <t>Jihoƒçesk√° Univerzita v ƒåesk√Ωch Budƒõjovic√≠ch;Institute of Plant Molecular Biology, Biology Centre of the Academy of Sciences of the Czech Republic</t>
  </si>
  <si>
    <t>60009424;60008018</t>
  </si>
  <si>
    <t>≈†iffel P.</t>
  </si>
  <si>
    <t>Release and aggregation of the light-harvesting complex in intact leaves subjected to strong CO&lt;inf&gt;2&lt;/inf&gt; deficit</t>
  </si>
  <si>
    <t>10.1023/A:1006298111894</t>
  </si>
  <si>
    <t>2-s2.0-0033451227</t>
  </si>
  <si>
    <t>31.46860.96</t>
  </si>
  <si>
    <t>['variable part', 'trimeric complex', 'trimer via', 'stronger quencher', 'slower rate', 'reduced p700', 'reciprocal value', 'quenching effect', 'protein complex', 'presented describing', 'photochemical nature', 'photobiol 27b', 'p700 reduced', 'p700 photooxidation', 'p700 oxidation', 'oxidized p700', 'one p700', 'nonlinear relationship', 'monomeric subunit', 'measured data', 'may explain', 'j photochem', 'induced decrease', 'half time', 'fluorescence quenching', 'fluorescence decrease', 'fiberoptic system', 'extreme long', 'excess energy', 'energy exchange', 'energetic interaction', 'energetic connectivity', 'cyanobacterium spirulina', 'cooperativity processes', 'coincides well', 'chlorophyll antennae', 'antenna chlorophylls', 'analytical description', '760 nm', '735 nm', '160 ].']</t>
  </si>
  <si>
    <t>Cyanobacterium | Energy migration | Fluorescence quenching | Longwave chlorophyll | P700 | PS I trimer</t>
  </si>
  <si>
    <t>The energy exchange between antenna chlorophylls of the monomeric subunits within a Photosystem I trimeric complex of the cyanobacterium Spirulina was studied, comparing the kinetics of the light-induced decrease of Photosystem I fluorescence at 760 nm, emitted by the longwave chlorophyll absorbing at 735 nm and P700 photooxidation. Both kinetics have been measured at 77 K simultaneously using a fiberoptic system. The light-induced decrease of fluorescence at 760 nm in trimers was faster than P700 oxidation, although the decrease of fluorescence at 760 nm was ascribed to the quenching effect of oxidized P700 that is a stronger quencher of fluorescence at 760 nm than P700 reduced [Shubin et al. (1995) J Photochem. Photobiol 27B: 153-160]. The proportionality of the reciprocal value of the half time for the fluorescence decrease at 760 nm in trimers to the light intensity indicates the photochemical nature of the fluorescence quenching. The nonlinear relationship between the variable part of fluorescence at 760 nm and the fraction of reduced P700 is considered to be a result of an energetic connectivity of the antennae of monomeric subunits within a trimer. When one P700 in PS I trimers of Spirulina is oxidized, the energy from an antenna of monomeric subunit(s) with reduced P700 may migrate to a subunit with oxidized P700 and quenched there. This may explain the slower rate of P700 photooxidation in trimers as compared with monomers. The analytical description of cooperativity processes in Photosystem I coincides well with the measured data. A model is presented describing the energetic interaction of chlorophyll antennae of monomeric subunits within the trimer via the extreme long-wavelength chlorophyll form. This intersubunit interaction may stimulate the dissipation of excess energy as heat and, therefore, protect the pigment-protein complex against photodestruction.</t>
  </si>
  <si>
    <t>291-301</t>
  </si>
  <si>
    <t>60004718-60096201;60096201;60004718</t>
  </si>
  <si>
    <t>7004405778;7102799107;7102071600</t>
  </si>
  <si>
    <t>Karapetyan, Navassard V.;Shubin, Vladimir V.;Strasser, Reto J.</t>
  </si>
  <si>
    <t>Russian Federation;Switzerland</t>
  </si>
  <si>
    <t>Moscow;Geneva</t>
  </si>
  <si>
    <t>Bach Institute of Biochemistry;Universit√© de Gen√®ve</t>
  </si>
  <si>
    <t>60096201;60004718</t>
  </si>
  <si>
    <t>Karapetyan N.</t>
  </si>
  <si>
    <t>Energy exchange between the chlorophyll antennae of monomeric subunits within the Photosystem I trimeric complex of the cyanobacterium Spirulina</t>
  </si>
  <si>
    <t>10.1023/A:1006385002635</t>
  </si>
  <si>
    <t>2-s2.0-0033451808</t>
  </si>
  <si>
    <t>['way described', 'troglomorphic aspect', 'stygobiont genus', 'sixth pereiopods', 'second representative', 'rather recent', 'jaragua region', 'invaded passively', 'hispaniola ).', 'genus bahadzia', 'fresh waters', 'first antennae', 'et sp', 'continental waters', 'briefly described', 'amphipods share']</t>
  </si>
  <si>
    <t>Amphipoda | Anchialine caves | Bahadzia | Biogeography | Crustacea | Ottenwalderia gen. Nov | Stygobionts, taxonomy</t>
  </si>
  <si>
    <t>Two new stygobiont amphipods are described from anchialine caves located in the Jaragua region (Pedernales Prov., Dominican Republic, Hispaniola). Ottenwalderia kymbalion gen. et sp. nov. is the first lysianassoid known to have penetrated into completely fresh waters, and the fourth colonizing hypogean habitats. Bahadzia jaraguensis sp. nov. is the second representative of this West Indian thalasso-stygobiont genus to be reported from fresh waters; it exhibits the most troglomorphic aspect (i.e. elongation of first antennae and sixth pereiopods) recorded for the genus. Its diagnosis is complemented with a key to the species of the genus Bahadzia. The in situ swimming behaviour of both taxa is briefly described. It is postulated that both amphipods share a rather recent, Plio-Pleistocene marine origin, having invaded passively the continental waters in the way described by the so-called Regression model.</t>
  </si>
  <si>
    <t>37-66</t>
  </si>
  <si>
    <t>Contributions to Zoology</t>
  </si>
  <si>
    <t>60017294;101851334</t>
  </si>
  <si>
    <t>7004718892;7404367268</t>
  </si>
  <si>
    <t>Jaume, Dami√†;Wagner, H. P.</t>
  </si>
  <si>
    <t>Esporlas;Leiden</t>
  </si>
  <si>
    <t>CSIC-UIB - Instituto Mediterraneo de Estudios Avanzados (IMEDEA);Platanenrode 6</t>
  </si>
  <si>
    <t>Jaume D.</t>
  </si>
  <si>
    <t>New cave-dwelling amphipods (Lysianassidae, Hadziidae) from the Dominican Republic (Hispaniola)</t>
  </si>
  <si>
    <t>2-s2.0-0033474341</t>
  </si>
  <si>
    <t>['time course', 'temperature profile', 'spiral antenna', 'reflection coefficient', 'phantom experiments', 'microwave energy', 'frequency electrodes', 'different frequencies', 'center conductor', 'antenna consists', '2 1']</t>
  </si>
  <si>
    <t>Cardiac ablation | Microwave antennas | Microwave applicator design</t>
  </si>
  <si>
    <t>To investigate the delivery of microwave energy by a catheter positioned inside the heart for ablating small abnormal regions producing cardiac arrhythmias, a 2 1/4-turn spiral catheter-based microwave antenna applicator has been developed. The antenna consists of the center conductor with continuous insulating material extending from the coaxial feed cable formed into a spiral antenna. The insulator completely isolates the center conductor from tissue. Phantom experiments were performed on homogeneous tissue equivalent medium. The reflection coefficient of the antenna at different frequencies and for different spiral lengths, the time course and temperature profile of an ablation, and the dosimetry of power versus temperature, all indicate that the high-power heating patterns from this antenna are both wider and deeper than with the other microwave antenna systems and radio-frequency electrodes. ¬© 1999 IEEE.</t>
  </si>
  <si>
    <t>1480-1482</t>
  </si>
  <si>
    <t>60028628;60028628;60028628;60028628</t>
  </si>
  <si>
    <t>7401760321;7004701432;55553740028;57193434248</t>
  </si>
  <si>
    <t>Gu, Zeji;Rappaport, Carey M.;Wang, Paul J.;Vanderbrink, Brian A.</t>
  </si>
  <si>
    <t>Boston</t>
  </si>
  <si>
    <t>Northeastern University</t>
  </si>
  <si>
    <t>Gu Z.</t>
  </si>
  <si>
    <t>A 2 1/4-turn spiral antenna for catheter cardiac ablation</t>
  </si>
  <si>
    <t>10.1109/10.804576</t>
  </si>
  <si>
    <t>2-s2.0-0033485374</t>
  </si>
  <si>
    <t>['unmyelinated membranes', 'summarizing introduction', 'successive regeneration', 'signal along', 'propagation within', 'propagating signal', 'observable effect', 'normal functioning', 'nerve axon', 'modulated signal', 'magnetic fields', 'khz high', 'incident 60', 'hz high', 'human body', 'external electric', 'elongated cell', 'electromagnetic field', 'electric fields', 'determination reviewed', 'detailed description', 'cell membrane', 'background research', 'action potentials']</t>
  </si>
  <si>
    <t>Effect of extremely-low-frequency (ELF) fields on cells | Electric fields in cells | Induced currents in cells | Interaction of currents in cells</t>
  </si>
  <si>
    <t>Following a summarizing introduction in which the background research is reviewed and referenced, a detailed description is given of the properties of the elongated cell that constitutes a nerve axon. The functioning of the cell membrane is reviewed with reference to the transmission of a frequency- modulated signal. The need for successive regeneration by means of action potentials is described. Propagation within both myelinated and unmyelinated membranes is discussed. Currents and electric fields induced in the organs of the human body by external electric and magnetic fields are introduced and their determination reviewed. The interaction between these currents and electric fields and those involved in the propagation of a signal along a nerve axon is analyzed. It is shown that incident 60-Hz electric fields near high-voltage transmission lines do not induce large enough currents and fields in a nerve axon in the leg to disrupt a propagating signal. Scaling with respect to frequency and size is discussed. Surface sensations due to exposure to electric fields in the 5-15-kV/m range are analyzed. It is concluded that exposure to the electromagnetic field of a 60-Hz high-voltage transmission line or a 10-30-kHz high-power transmitting antenna should have no observable effect on the normal functioning of nerves.</t>
  </si>
  <si>
    <t>1426-1431</t>
  </si>
  <si>
    <t>King R.W.P.</t>
  </si>
  <si>
    <t>Nerves in a human body exposed to low-frequency electromagnetic fields</t>
  </si>
  <si>
    <t>S001892949909299X</t>
  </si>
  <si>
    <t>10.1109/10.804570</t>
  </si>
  <si>
    <t>2-s2.0-0033485669</t>
  </si>
  <si>
    <t>['trimeric lhcii', 'structural variation', 'rotationally shifted', 'rotational orientation', 'previous work', 'partial absence', 'new type', 'megacomplexes prepared', 'like shape', 'lhcii supercomplexes', 'large dataset', 'l trimers', 'image analysis', 'following results', 'extrinsic polypeptide', 'extended analysis', 'empty cp29', 'cp26 tips', 'characteristic windmill', 'biochemistry 38', 'associated light', '2239 ],']</t>
  </si>
  <si>
    <t>Electron microscopy | Light harvesting complex | Photosystem II | Thylakoid membrane</t>
  </si>
  <si>
    <t>We present an extended analysis of the organization of green plant photosystem II and its associated light-harvesting antenna using electron microscopy and image analysis. The analysis is based on a large dataset of 16 600 projections of negatively stained PSII-LHCII supercomplexes and megacomplexes prepared by means of three different pretreatments. In addition to our previous work on this system [Boekema, E.J., van Roon, H., Calkoen, F., Bassi, R. and Dekker, J.P. (1999) Biochemistry 38, 2233-2239], the following results were obtained. The rotational orientation of trimeric LHCII at the S, M and L binding positions was determined. It was found that compared to the S trimer, the M and L trimers are rotationally shifted by about -20¬∞C and -50¬∞C, respectively. The number of projections with empty CP29, CP26 and CP24 binding sites was found to be about 0, 18 and 4%, respectively. We suggest that CP26 and CP24 are not required for the binding of trimeric LHCII at any of the three binding positions. A new type of megacomplex was observed with a characteristic windmill-like shape. This type III megacomplex consists of two C2S2 supercomplexes connected at their CP26 tips. Structural variation in the region of the central dimeric photosystem II complex was found to occur at one specific position near the periphery of the complex. We attribute this variation to the partial absence of an extrinsic polypeptide or one or more small intrinsic membrane proteins.</t>
  </si>
  <si>
    <t>444-452</t>
  </si>
  <si>
    <t>;60008734;;60008734</t>
  </si>
  <si>
    <t>7007149974;6602476032;6603893071;7202457418</t>
  </si>
  <si>
    <t>Boekema, Egbert J.;Van Roon, Henny;Van Breemen, Jan F.L.;Dekker, Jan P.</t>
  </si>
  <si>
    <t>Vrije Universiteit Amsterdam</t>
  </si>
  <si>
    <t>Supramolecular organization of photosystem II and its light-harvesting antenna in partially solubilized photosystem II membranes</t>
  </si>
  <si>
    <t>10.1046/j.1432-1327.1999.00876.x</t>
  </si>
  <si>
    <t>2-s2.0-0033486045</t>
  </si>
  <si>
    <t>['vital signs', 'output power', 'originally designed', 'one advantage', 'disaster search', 'concrete walls', '30 milliwatts', '1 ghz']</t>
  </si>
  <si>
    <t>The radar vital signs monitor (RVSM) technology was originally designed for use during the Olympics to measure the vital signs of athletes. The technology, however, has other applications including law enforcement, telemedicine, heart disease screening, and security and disaster search. The apparatus has a charge-coupled device camera mounted on the dish that displays the area being illuminated by the radar. It transmits at 24.1 GHz and has an output power of 30 milliwatts. One advantage of using GHz frequencies is that the radar can effectively `see' through concrete walls, wooden, and nearly all types of clothing while providing good antenna directional resolution. The RVSM has been tested under many of these conditions with exceptional good results.</t>
  </si>
  <si>
    <t>Geisheimer, Jonathan</t>
  </si>
  <si>
    <t>Georgia Tech Research Institute</t>
  </si>
  <si>
    <t>Geisheimer J.</t>
  </si>
  <si>
    <t>RVSM</t>
  </si>
  <si>
    <t>10.1109/45.730968</t>
  </si>
  <si>
    <t>2-s2.0-0033486133</t>
  </si>
  <si>
    <t>['work reviews', 'thermal dissipation', 'sustained decreases', 'state photosynthesis', 'specifically lutein', 'pigment changes', 'photosynthetic pigments', 'photochemical quenching', 'mediterranean area', 'low chlorophyll', 'light absorbed', 'less affected', 'leaf concentrations', 'leaf absorptance', 'iron deficiency', 'iron chlorosis', 'growth chambers', 'field conditions', 'deficient leaves', 'dark adaptation', 'chlorotic leaves', 'calcareous soils']</t>
  </si>
  <si>
    <t>Chlorosis | Energy dissipation | Iron deficiency | Photosystem II efficiency</t>
  </si>
  <si>
    <t>Iron deficiency (iron chlorosis) is the major nutritional stress affecting fruit tree crops in calcareous soils in the Mediterranean area. This work reviews the changes in PS II efficiency in iron-deficient leaves. The iron deficiency-induced leaf yellowing is due to decreases in the leaf concentrations of photosynthetic pigments, chlorophylls and carotenoids. However, carotenoids, and more specifically lutein and the xanthophylls of the V+A+Z (Violaxanthin+Antheraxanthin+Zeaxanthin) cycle are less affected than chlorophylls. Therefore, iron-chlorotic leaves grown in either growth chambers or field conditions have increases in the molar ratios lutein/chlorophyll a and (V+A+Z)/chlorophyll a. These pigment changes are associated to changes in leaf absorptance and reflectance. In the chlorotic leaves the amount of light absorbed per unit chlorophyll increases. The low chlorophyll, iron-deficient leaves showed no sustained decreases in PS II efficiency, measured after dark adaptation, except when the deficiency was very severe. This occurred when plants were grown in growth chambers or in field conditions. However, iron-deficient leaves showed decreases in the actual PS II efficiency at steady-state photosynthesis, due to decreases in photochemical quenching and intrinsic PS II efficiency. Iron-chlorotic leaves were protected not only by the decrease in leaf absorptance, but also by down-regulation mechanisms enhancing non-photochemical quenching and thermal dissipation of the light absorbed by PS II within the antenna pigment bed.</t>
  </si>
  <si>
    <t>183-192</t>
  </si>
  <si>
    <t>0032079X</t>
  </si>
  <si>
    <t>Plant and Soil</t>
  </si>
  <si>
    <t>60010939;60010939;60010939</t>
  </si>
  <si>
    <t>7006255100;7101807053;57216717561</t>
  </si>
  <si>
    <t>Abad√≠a, Javier;Morales, Ferm√≠n;Abad√≠a, Anunciaci√≥n</t>
  </si>
  <si>
    <t>Abad√≠a J.</t>
  </si>
  <si>
    <t>Photosystem II efficiency in low chlorophyll, iron-deficient leaves</t>
  </si>
  <si>
    <t>10.1023/A:1004451728237</t>
  </si>
  <si>
    <t>2-s2.0-0033499952</t>
  </si>
  <si>
    <t>['within 0', 'vertical component', 'two scenes', 'transition zone', 'syowa station', 'surface undulation', 'sar interferometry', 'powerful tool', 'physical properties', 'phase period', 'overall fringes', 'ori96 model', 'ocean tide', 'obtained using', 'interferometric processing', 'ice shelf', 'ice dynamics', 'height range', 'grounding lines', 'different band', 'deformation equation', 'day ice', 'creep model', 'combined use', 'around 45', 'around 230', 'appropriate values', '7 december', '5 cm', '3 days', '25 cycle', '2 km', '1995 ).', '1977 ),', '10 december', '1 ).']</t>
  </si>
  <si>
    <t>A pair of synthetic aperture radar (SAR) scenes over the Casey Bay region, Antarctica, was obtained using the C-band (5.7 cm wavelength) SAR sensor onboard the European Remote Sensing Satellite 1 (ERS-1). The two scenes were received at Syowa Station, using the 11 m S/X band paraboloid antenna, on 7 December and 10 December of 1991 for the 3-day ice-phase period of ERS-1. The interferometric processing of the two SAR scenes produced clear interferogram on the Zubchatyy Ice Shelf, which can be related to deformations by ocean tide. Although topographic fringes cannot be removed from the overall fringes, they can be considered as within 0.25 cycle, since the surface undulation of the Zubchatyy Ice Shelf is within 0 ~40 m height range. When we suppose that the obtained displacement fringes consist only of the vertical component, the calculated vertical change of the Zubchatyy Ice Shelf during 3 days can be estimated as 41.5 cm at maximum; this change is consistent with the ocean tide change of 35.2 cm predicted from the ORI96 model by Matsumoto et al. (1995). At the transition zone between the ice sheet area and the ice shelf area, the grounding lines can clearly be identified by 1 ~ 3 km wide bands of dense displacement fringes in the interferogram. When appropriate values are adopted at the physical properties of ice, and thickness of ice shelf is assumed as 300 m in the deformation equation by Holdsworth (1977), the width of the transition zone results in around 45 m for the transient-creep model and around 230 m for the elastic deformation model, respectively. These values are smaller by a factor of 10~45 than the actually obtained values of about 2 km at the Zubchatyy Ice Shelf. Although refined analysis may be required with the combined use of different band/different look angle SAR scenes, SAR interferometry was shown to be a powerful tool for the studies of ice dynamics and ocean tide around Antarctica.</t>
  </si>
  <si>
    <t>165-179</t>
  </si>
  <si>
    <t>60021523;60021523;60021523</t>
  </si>
  <si>
    <t>36725476900;7403295212;57193979194</t>
  </si>
  <si>
    <t>Ozawa, T.;Doi, K.;Shibuya, K.</t>
  </si>
  <si>
    <t>Hayama</t>
  </si>
  <si>
    <t>The Graduate University for Advanced Studies</t>
  </si>
  <si>
    <t>Ozawa T.</t>
  </si>
  <si>
    <t>Deformation of the Zubchatty ice shelf, Antarctica, derived from synthetic aperture radar interferometry</t>
  </si>
  <si>
    <t>2-s2.0-0033501064</t>
  </si>
  <si>
    <t>['two photosystems', 'quantitative analysis', 'ps2 units', 'photosynthetic apparatus', 'oxygen clock', 'ojip chlorophyll', 'long history', 'intermittent irradiation', 'imi plants', 'grown plants', 'grown pea', 'following conclusions', 'fluorescence transient', 'emission spectra', 'different biogenesis', 'continuous irradiation', 'ci ),', '77 k', '50 œºs', '4 h']</t>
  </si>
  <si>
    <t>Intermittent irradiation | Photosystem 2 | Pisum sativum</t>
  </si>
  <si>
    <t>Irradiation of etiolated leaves leads to their greening. Although this problem has a long history, the question of whether the intermittent irradiation (IMI) grown plants have fully functional reaction centres as well as the oxygen clock, before exposure to continuous irradiation (CI), had not been resolved. To answer this question, as well as to analyze the development of the two photosystems, the following parallel measurements were made: (1) Emission spectra at 77 K; (2) OJIP chlorophyll (Chl) a fluorescence transient; (3) period 4 oscillation in the flash number dependence of initial fluorescence F0 (at 50 Œºs) and F(J) (at 2 ms); and (4) P700. In the 1-ms-flash (FL) grown pea, that has a different biogenesis of the photosynthetic apparatus, delayed light emission (DLE) and Chl a fluorescence transient were measured in parallel. Quantitative analysis of Chl a fluorescence values provided the following conclusions: (1) IMI, not FL, plants have almost fully developed reaction centres and the oxygen clock. (2) Further greening of IMI plants under CI involves two phases: (a) during 3-4 h of CI, the number of PS2 units and connectivity between them increase, and then (b) light-harvesting antenna increases. (3) In FL, 10 min CI activates fully the oxygen clock.</t>
  </si>
  <si>
    <t>365-392</t>
  </si>
  <si>
    <t>Photosynthetica</t>
  </si>
  <si>
    <t>60004718;60004718;60000745</t>
  </si>
  <si>
    <t>55214918900;7102071600;16541793700</t>
  </si>
  <si>
    <t xml:space="preserve">Srivastava, A.;Strasser, R. J.;Govindjee, </t>
  </si>
  <si>
    <t>Switzerland;United States</t>
  </si>
  <si>
    <t>Geneva;Urbana</t>
  </si>
  <si>
    <t>Universit√© de Gen√®ve;University of Illinois Urbana-Champaign</t>
  </si>
  <si>
    <t>60004718;60000745</t>
  </si>
  <si>
    <t>Srivastava A.</t>
  </si>
  <si>
    <t>Greening of peas: Parallel measurements of 77 K emission spectra, OJIP chlorophyll a fluorescence transient, period four oscillation of the initial fluorescence level, delayed light emission, and P700</t>
  </si>
  <si>
    <t>10.1023/A:1007199408689</t>
  </si>
  <si>
    <t>2-s2.0-0033505191</t>
  </si>
  <si>
    <t>['water potentials', 'variable part', 'tolerant algae', 'three treatments', 'sucrose solutions', 'similar way', 'rise time', 'rapidly reversible', 'photosystem 2', 'nacl treatment', 'induction curves', 'higher plants', 'f0 value', 'effect started', 'donor side', 'dehydration effects', 'considerable decline', 'antenna apparatus', '5 mpa']</t>
  </si>
  <si>
    <t>Green algae | NaCl | Sucrose | Water potential | Water stress</t>
  </si>
  <si>
    <t>Inactivation of photosynthesis during atmospheric and osmotic (highly concentrated NaCl or sucrose solutions) dehydration was monitored by measurement of chlorophyll fluorescence induction (OIP-phase, Kautsky-curves) in three lichen species. The induction curves were changed in a very similar way by all three treatments. All dehydration effects were rapidly reversible after rehydration. At relatively mild water stress, the rise time to the transient peak F(p) was prolonged, and the variable part of fluorescence was diminished. In addition, at severe water stress, a considerable decline of the F0 value was observed. For NaCl treatment this effect started at water potentials &lt;-8.5 MPa in P. aphthosa, &lt;-12 MPa in H. physodes, and &lt;-21 MPa in L. pulmonaria. Above these water potentials, our observations are in agreement with values from desiccation-tolerant algae, higher plants, and lichens, where an inactivation on the photosystem 2 (PS2) donor side has been postulated. At very low water potentials, the decrease in F0 probably monitors changes in the organization of the antenna apparatus of PS2.</t>
  </si>
  <si>
    <t>393-404</t>
  </si>
  <si>
    <t>7401787414;7801625585;6701604042</t>
  </si>
  <si>
    <t>Jensen, M.;Chakir, Samira;Feige, G. B.</t>
  </si>
  <si>
    <t>Jensen M.</t>
  </si>
  <si>
    <t>Osmotic and atmospheric dehydration effects in the lichens Hypogymnia physodes, Lobaria pulmonaria, and Peltigera aphthosa: An in vivo study of the chlorophyll fluorescence induction</t>
  </si>
  <si>
    <t>10.1023/A:1007151625527</t>
  </si>
  <si>
    <t>2-s2.0-0033505624</t>
  </si>
  <si>
    <t>['soil moisture', 'reference values', 'differences varying', 'copyright 1999', 'atmosphere model', 'antenna gain', '3db resolution']</t>
  </si>
  <si>
    <t>In order to investigate the effect of the antenna gain on land surface parameter retrievals with SSM/I, a Gauss-function is fitted to the 19 GHz antenna gain functions. Soil moisture and surface temperature distributions for the Red-Arkansas River basins are calculated from a soil-vegetation-atmosphere model. A passive microwave emission model is applied to derive polarized 19 GHz brightness temperatures. Those parameters are aggregated up to 19 GHz footprint size taking into account different spatial weighting according to the Gauss-function. These reference averages represent the full radiometer resolution, which is approximately three times the -3dB resolution. The comparisons between the reference values and simple linear averages for several spatial resolutions lead to differences varying from 2% to 17% volumetric soil moisture. Copyright 1999 by the American Geophysical Union.</t>
  </si>
  <si>
    <t>3481-3484</t>
  </si>
  <si>
    <t>60003269;60079129-60003269;60079129</t>
  </si>
  <si>
    <t>6603357562;35495958000;6701578275</t>
  </si>
  <si>
    <t>Drusch, Matthias;Wood, Eric F.;Lindau, Ralf</t>
  </si>
  <si>
    <t>Kiel;Princeton</t>
  </si>
  <si>
    <t>GEOMAR - Helmholtz-Zentrum f√ºr Ozeanforschung Kiel;Princeton University</t>
  </si>
  <si>
    <t>60079129;60003269</t>
  </si>
  <si>
    <t>Drusch M.</t>
  </si>
  <si>
    <t>The impact of the SSM/I antenna gain function on land surface parameter retrieval</t>
  </si>
  <si>
    <t>10.1029/1999gl010492</t>
  </si>
  <si>
    <t>2-s2.0-0033507510</t>
  </si>
  <si>
    <t>['walking legs']</t>
  </si>
  <si>
    <t>Astacus leptodactylus | Ectocommensal | Epistylis niagarae</t>
  </si>
  <si>
    <t>In this study, the presence of the ectocommensal Epistylis niagarae on the carapace, abdomen, walking legs, uropod, telson, antennae and antennulae of crayfish was observed.</t>
  </si>
  <si>
    <t>Turkish Journal of Zoology</t>
  </si>
  <si>
    <t>Harlio«ßlu, Muzaffer Mustafa</t>
  </si>
  <si>
    <t>Elazig</t>
  </si>
  <si>
    <t>Firat √úniversitesi</t>
  </si>
  <si>
    <t>Harlio«ßlu M.</t>
  </si>
  <si>
    <t>The first record of Epistylis niagarae on Astacus leptodactylus in a crayfish rearing unit, cip</t>
  </si>
  <si>
    <t>2-s2.0-0039702763</t>
  </si>
  <si>
    <t>['lower frequencies', 'gravitational waves', '8 khz']</t>
  </si>
  <si>
    <t>Gravitation</t>
  </si>
  <si>
    <t>The sensitivity to a cosmic stochastic background of gravitational waves of the resonant cryogenic antenna ALTAIR, operating at 1.8 kHz, is reported. An experimental upper limit of ALTAIR is compared with the upper limits given by the other detectors at lower frequencies.</t>
  </si>
  <si>
    <t>19-22</t>
  </si>
  <si>
    <t>60021660;60027509;60021199-60021660;60018783;60027509;60016340;60021660-60032350;60027509;60027509;60016340;60027509;60021660-60032350;60027509-60016340;60021199-60027509;60021199-60027509</t>
  </si>
  <si>
    <t>8728100700;7004985710;7004641893;8901938100;7005568912;7003483214;25649375000;6701758982;7003738313;6507413795;7004081253;7004243218;7003386560;6701660944;6603743635</t>
  </si>
  <si>
    <t>Astone, P.;Bassan, M.;Bonifazi, P.;Carclli, P.;Coccia, E.;Fafone, V.;Frasca, S.;Minenkov, Y.;Modena, I.;Modestino, P.;Moleti, A.;Pallottino, G. V.;Pizzella, G.;Terenzi, R.;Visco, M.</t>
  </si>
  <si>
    <t>Italy;Italy;Italy;Italy;Italy;Italy</t>
  </si>
  <si>
    <t>Rome;Rome;Rome;Rome;L'Aquila;Frascati</t>
  </si>
  <si>
    <t>Sapienza Universit√† di Roma;Universit√† degli Studi di Roma "Tor Vergata";Istituto Nazionale di Fisica Nucleare - INFN;Consiglio Nazionale delle Ricerche;Universit√† degli Studi dell'Aquila;INFN, Laboratori Nazionali Di Frascati</t>
  </si>
  <si>
    <t>60032350;60027509;60021660;60021199;60018783;60016340</t>
  </si>
  <si>
    <t>Upper limit at 1.8 kHz for a gravitational-wave stochastic background with the ALTAIR resonant-mass detector</t>
  </si>
  <si>
    <t>2-s2.0-0040584846</t>
  </si>
  <si>
    <t>['vesicomyid bivalves', 'submersible nautile', 'sea tanaidaceans', 'sea studies', 'relatively overlooked', 'pseudotonais g', 'pseudotanais baresnauti', 'new species', 'macrocheles g', 'largely unknown', 'hydrothermal vents', 'distinguished primarily']</t>
  </si>
  <si>
    <t>Caribbean | Cold seeps | Deep-sea | Pseudotanaidae | Submersible | Tanaidacea</t>
  </si>
  <si>
    <t>During the French expedition BARESNAUT to the deep Caribbean Sea (Barbados Accretionary Prism), tanaidaceans were collected by scientists in the submersible Nautile at a depth of nearly 5 000 metres. These small benthic peracarids belonged to a new species of Pseudotonais G. O. Sars, which is described. Pseudotanais baresnauti, n. sp. resembles Pseudotonais lilljeborgi and P. macrocheles G.O. Sars, from northern Atlantic waters, but is distinguished primarily by the shape and setation of the antennae, uropods and pereopods. It is suggested that other small crustacean groups are relatively overlooked in deep-sea studies of hydrothermal vents and similarly active cold seep areas, where large chemosynthetic vestimentiferan worms or vesicomyid bivalves are often the most highly visible organisms present. The ecology of deep-sea tanaidaceans is largely unknown but it is likely that most species are detritivores.</t>
  </si>
  <si>
    <t>445-451</t>
  </si>
  <si>
    <t>Zoosystema</t>
  </si>
  <si>
    <t>Bird, Graham J.</t>
  </si>
  <si>
    <t>Drayton</t>
  </si>
  <si>
    <t>Elthorne Villas</t>
  </si>
  <si>
    <t>Bird G.</t>
  </si>
  <si>
    <t>A new species of Pseudotanais (Crustacea, Tanaidacea) from cold seeps in the deep Caribbean, collected by the French submersible Nautile</t>
  </si>
  <si>
    <t>2-s2.0-0043018835</t>
  </si>
  <si>
    <t>['treatment duration', 'transmission line', 'tip antenna', 'slot design', 'sar distributions', 'results suggest', 'minimizes heating', 'heart rhythms', 'femoral vein', 'endocardium temperature', 'dogs using', 'delivered power', 'curved tip', 'coaxial cable', 'cardiopulmonary bypass', 'bipolar electrodes', 'antenna length', 'antenna flowing', 'also serve', 'achieved either', '40 watts', '4 mm', '200 joules']</t>
  </si>
  <si>
    <t>AV block | Catheter ablation | Microwave ablation | Microwave antennas | Ventricular tachycardia</t>
  </si>
  <si>
    <t>This article describes three microwave catheter antennas for percutaneous cardiac ablation. A particular design feature of these antennas is that there is no reflected microwave current from the antenna flowing up the transmission line. Thus, it minimizes heating of the coaxial cable. The power reflection coefficients are very low (4% or less) in phantom equivalent materials. These antennas can also serve as bipolar electrodes for sensing endocardiac electrograms. Our studies in dogs, during both cardiopulmonary bypass and closed-chest operations via the femoral vein, have shown microwave energy greater than 200 joules (J) delivered to the heart through a split-tip dipole catheter antenna can produce irreversible block of the heart rhythms. This energy was achieved either by increasing the delivered power from 20 to 40 watts or by increasing the treatment duration from 7 to 11 s (210 to 330 J per application). It produced an endocardium temperature of about 65 ¬∞C. We found that the percutaneous, transcatheter microwave system is capable of inducing AV blocks consistently in dogs using the flexible, curved tip, split-tip catheter antenna. In addition, our studies have shown that the width and height of SAR distributions for cap-choke and split-tip catheter antennas are similar for the same antenna length. The cap-slot design had a much longer SAR distribution compared to the others. Moreover, a longer (4 mm) split-tip antenna can also induce larger lesions. These results suggest that it could be possible to ablate a ventricular tachycardia focus using the 4 mm split-tip as well as the cap-slot microwave catheter antennas. ¬© 1999 Wiley-Liss, Inc.</t>
  </si>
  <si>
    <t>Lin, James C.</t>
  </si>
  <si>
    <t>Lin J.</t>
  </si>
  <si>
    <t>Catheter microwave ablation therapy for cardiac arrhythmias</t>
  </si>
  <si>
    <t>10.1002/(SICI)1521-186X(1999)20:4+&lt;120::AID-BEM14&gt;3.0.CO;2-9</t>
  </si>
  <si>
    <t>2-s2.0-0043287554</t>
  </si>
  <si>
    <t>['wave response', 'wave excitation', 'wall behavior', 'transmission bandgap', 'static limit', 'spectrally decomposed', 'semiinfinite metallo', 'scattered field', 'plane wave', 'physical understanding', 'pbg crystal', 'numerically modeling', 'general procedure', 'frequencies beyond', 'focusing effects', 'fields scattered', 'electromagnetic response', 'effective description', 'continuous spectrum', 'complex excitation', 'asymptotic limit', 'artificial crystal', 'antireflecting plateau', 'analytic solution']</t>
  </si>
  <si>
    <t>Antenna radiation patterns | Electromagnetic propagation through nonhomogeneous material | Electromagnetic scattering by periodic surfaces | Focusing | Frequency-selective surfaces | Nonhomogeneous material | Periodic structures</t>
  </si>
  <si>
    <t>A general procedure is presented to determine the fields scattered by a periodic structure due to a complex excitation in terms of the structure's plane-wave response. Specifically, the scattered field from an electric line source over a semiinfinite metallo-dielectric photonic bandgap (PBG) material is described. An effective description for the artificial crystal's plane-wave response is used, consisting of angularly parameterized response functions. A methodology for analyzing the electromagnetic response of such a material to a nonplane-wave excitation is provided, whereby a general complex excitation is spectrally decomposed into an integral over a continuous spectrum of homogeneous and inhomogeneous plane waves. An analytic solution for the scattering of each plane wave by the PBG material halfspace is then utilized. The complete scattered field is given in a closed integral form, which is computed both numerically and in the asymptotic limit. The effect of the PBG crystal half-space on the scattered field due to an electric line source is presented for frequencies that correspond, for a normally incident plane wave, to a transmission bandgap, a transmission band edge, and an antireflecting plateau. The focusing effects and electric- and magnetic-wall behavior of the PBG crystal are demonstrated. The presented approach promotes both the physical understanding of PBG material systems and the efficiency of the numerically modeling of these systems at frequencies beyond the quasi-static limit of the traditional effective medium theories. ¬© 1999 IEEE.</t>
  </si>
  <si>
    <t>2105-2114</t>
  </si>
  <si>
    <t>7102812927;6506964645;6603958665;7004468161</t>
  </si>
  <si>
    <t>Merrill, William M.;Kyriazidou, Chryssoula A.;Contopanagos, Harry F.;Alex√∂poulos, Nicolaos G.</t>
  </si>
  <si>
    <t>Merrill W.</t>
  </si>
  <si>
    <t>Electromagnetic scattering from a peg material excited by an electric line source</t>
  </si>
  <si>
    <t>S0018948099087876</t>
  </si>
  <si>
    <t>10.1109/22.798006</t>
  </si>
  <si>
    <t>2-s2.0-0342781301</t>
  </si>
  <si>
    <t>['system performance', 'spatial filtering', 'severely influence', 'rake receiver', 'paper introduces', 'multipath signals', 'multipath echoes', 'multipath echo', 'lower bound', 'large number', 'high eb', 'diversity branches', 'derived analytically', 'conventional assumption', 'channel model']</t>
  </si>
  <si>
    <t>In this paper, a new channel modeling approach incorporating nonuniform propagation environments is introduced, and the bit error rate (BER) of a direct sequence code division multiple access cellular system incorporating antenna arrays for spatial filtering is derived analytically. Specifically, this paper introduces a channel model for, and analyzes the performance of, a system in an environment where the multipath signals on each of the diversity branches of a RAKE receiver have varying fading characteristics. This scenario would typically describe urban environments where a large number of multipath echoes are present, each with different fading statistics resulting from the nonhomogeneous propagation paths seen by each multipath echo. It is shown that nonuniform fading parameters for multipath signals can severely influence the system performance, especially at high Eb/No levels. Furthermore, it is shown that the conventional assumption of identical fading statistics for all RAKE receiver branches provide a lower bound on the system performance.</t>
  </si>
  <si>
    <t>2181-2196</t>
  </si>
  <si>
    <t>60026638-100978238;60021902</t>
  </si>
  <si>
    <t>Finland;South Africa;South Africa</t>
  </si>
  <si>
    <t>Espoo;Pretoria;Pretoria</t>
  </si>
  <si>
    <t>Nokia Corporation;University of Pretoria;Laboratory for Advanced Engineering</t>
  </si>
  <si>
    <t>60026638;60021902;100978238</t>
  </si>
  <si>
    <t>Cellular channel modeling and the performance of DS-CDMA systems with antenna arrays</t>
  </si>
  <si>
    <t>10.1109/49.814834</t>
  </si>
  <si>
    <t>2-s2.0-0343526847</t>
  </si>
  <si>
    <t>['reduced degree', 'optimal performance', 'new method', 'dimension stap', 'dimension amf', 'covariance matrix', 'cfar test']</t>
  </si>
  <si>
    <t>In the paper, a new method for reducing the dimension is introduced for reduced-dimension STAP. With the new method, it is found that the reduced-dimension AMF-CFAR test may provide the same optimal performance as the full-dimension AMF-CFAR test, if the covariance matrix is known, and provide nearly optimal performance if the covariance matrix is unknown, even when the reduced degree of freedom of the system is very small.</t>
  </si>
  <si>
    <t>247-253</t>
  </si>
  <si>
    <t>60010080;60010080;;</t>
  </si>
  <si>
    <t>54994882200;6506028902;57206440626;6508371536</t>
  </si>
  <si>
    <t>Luoyi, ;Guosui, Liu;Hong, Gu;Weimin, Su</t>
  </si>
  <si>
    <t>Luoyi</t>
  </si>
  <si>
    <t>Invariant subspace reduced-dimension AMF-CFAR test</t>
  </si>
  <si>
    <t>2-s2.0-0343897837</t>
  </si>
  <si>
    <t>['would make', 'volatiles emitted', 'volatiles collected', 'undamaged plants', 'stimulus load', 'spodoptera littoralis', 'specific neurones', 'results show', 'receptor neurones', 'plant change', 'ovipositing females', 'malvacae ),', 'littoralis females', 'littoralis antennae', 'larval feeding', 'gossypium hirsutum', 'frequently found', 'detection ).', 'boisd .)', '1 ng']</t>
  </si>
  <si>
    <t>Cotton | Gossypium hirsutum | Herbivore-induced | Moth | Olfactory receptors | Plant volatiles | Spodoptera littoralis</t>
  </si>
  <si>
    <t>In cotton, Gossypium hirsutum (Malvacae), the volatiles emitted from the plant change in response to herbivory. Ovipositing females of the Egyptian cotton leaf worm, Spodoptera littoralis (Boisd.) (Lepidoptera: Noctuidae) can discriminate between cotton plants subjected to larval feeding and undamaged plants during oviposition. In this study we investigate whether females of this moth can detect the herbivore-induced cotton volatiles. The response of female S. littoralis antennae to volatiles collected from cotton plants subjected to larval feeding was studied using GC-EAD (coupled gas chromatography electroantennographic-detection). By GC-EAD, responses to over 10 different cotton volatiles were observed. Using single sensillum technique the responses of short sensilla trichodea on the antennae of S. littoralis females to 19 cotton volatiles and 12 general plant volatiles were investigated. Responses to these volatiles were recorded from 108 receptor neurones. Several neurones activated by herbivore-induced cotton volatiles were recorded. For example, a neurone type responding to two homoterpenes [(E,E)-4,8,12-trimethyl-1,3,7,11-tridecatetraene and (E)-4,8-dimethyl-1,3,7-nonatriene] and (E,E)-Œ±-farnesene was frequently found. We also observed sensitive neurones responding specifically to the herbivore-induced volatiles (+/-)-linalool and indole. In general, a stimulus load of less than 1 ng was needed to activate these neurones. In addition, specific neurones were found for constitutive cotton volatiles released in connection with damage to the plant. An abundant neurone type responded to Œ≤-caryophyllene and Œ±-humulene. Another neurone type responded specifically to the non-induced cotton volatile (Z)-jasmone. These results show that females of S. littoralis have receptor neurones that would make it possible to discriminate between damaged and undamaged plants using volatile signals.</t>
  </si>
  <si>
    <t>377-385</t>
  </si>
  <si>
    <t>60027152;60027152</t>
  </si>
  <si>
    <t>8502496900;16485957900</t>
  </si>
  <si>
    <t>J√∂nsson, M.;Anderson, P.</t>
  </si>
  <si>
    <t>J√∂nsson M.</t>
  </si>
  <si>
    <t>Electrophysiological response to herbivore-induced host plant volatiles in the moth Spodoptera littoralis</t>
  </si>
  <si>
    <t>10.1046/j.1365-3032.1999.00154.x</t>
  </si>
  <si>
    <t>2-s2.0-0345045364</t>
  </si>
  <si>
    <t>['type host', 'successfully treated', 'southerly record', 'single application', 'segmental branchitis', 'potential implications', 'malachite green', 'macquaria australasica', 'lower dosages', 'lamellar fusion', 'fish examined', 'first time', 'earthen ponds', 'constriction caused', 'clasping antennae', 'briefly outlined', '5 mg', '24 hours', '0 mg']</t>
  </si>
  <si>
    <t>Australian freshwaters | Conservation | Murray-darling river system | Parasitic cyclopoid copepod | Pathology | Treatment</t>
  </si>
  <si>
    <t>The parasitic cyclopoid copepod Ergasilus intermedius is recorded for the first time on the threatened Macquarie perch, Macquaria australasica, which represents the most southerly record of this parasite. Infestations (up to 50 parasites per gill arch) have been observed on broodfish (310-360 mm total length, 270-750 g weight) held in earthen ponds; 47% of fish examined in 1987 and 24% of fish examined in 1988 were infested. Attachment of E.intermedius to the gills induced chronic, segmental branchitis, characterised by localised epithelial hyperplasia, lamellar fusion and mucous metaplasia adjacent to the constriction caused by the clasping antennae. Infested fish held in 2000 L tanks were successfully treated with a single application of 2.0 mg/L Dipterex¬Æ for 24 hours. Lower dosages of Dipterex (0.15 and 1.5 mg/L) and other chemicals, such as NaCl and NaCl plus methylene blue in tanks, and malachite green in ponds, failed to eradicate the parasite. Discrepancies in the identity and source of the type host of E. intermedius are discussed. Potential implications for M. australasica conservation programs are briefly outlined.</t>
  </si>
  <si>
    <t>39-44</t>
  </si>
  <si>
    <t>0370047X</t>
  </si>
  <si>
    <t>Proceedings of the Linnean Society of New South Wales</t>
  </si>
  <si>
    <t>60021020-100345230;100466559</t>
  </si>
  <si>
    <t>7004405288;57225835129</t>
  </si>
  <si>
    <t>Ingram, B. A.;Philbey, A. W.</t>
  </si>
  <si>
    <t>Taylors Beach;Wagga Wagga;Alexandria</t>
  </si>
  <si>
    <t>NSW Fisheries;Regional Veterinary Laboratory;Mar. and Freshw. Resources Institute</t>
  </si>
  <si>
    <t>60021020;100466559;100345230</t>
  </si>
  <si>
    <t>Ingram B.A.</t>
  </si>
  <si>
    <t>Occurrence of the Parasite Ergasilus intermedius (Copepoda: Ergasilidae) on the Gills of Macquarie Perch, Macquaria australasica (Percichthyidae)</t>
  </si>
  <si>
    <t>2-s2.0-0347772184</t>
  </si>
  <si>
    <t>60005809;100452200</t>
  </si>
  <si>
    <t>7004049425;56212355200</t>
  </si>
  <si>
    <t>Schejbal, Vladimir;Milligan, Tom</t>
  </si>
  <si>
    <t>Czech Republic;United States</t>
  </si>
  <si>
    <t>Pardubice;Littleton</t>
  </si>
  <si>
    <t>University of Pardubice;Miligan and Associates</t>
  </si>
  <si>
    <t>Directivity of planar antennas</t>
  </si>
  <si>
    <t>10.1109/74.769693</t>
  </si>
  <si>
    <t>2-s2.0-11144337030</t>
  </si>
  <si>
    <t>['successfully demonstrated', 'operation window', 'occurs within', 'formed near', 'first time', 'core region', 'antenna phasing']</t>
  </si>
  <si>
    <t>A high ion temperature discharge in the lower hybrid current drive scheme has been obtained for the first time in the world in the TRIAM-1M superconducting tokamak. The high ion temperature mode is triggered by a transition which occurs within an operation window for the density, horizontal plasma position and antenna phasing. A steep ion temperature gradient (&gt;80 keV/m) is formed near the core region at the transition. Long duration operation of this discharge has been successfully demonstrated in both the limiter and single null configurations by multiple control techniques.</t>
  </si>
  <si>
    <t>1955-1963</t>
  </si>
  <si>
    <t>Special Issu</t>
  </si>
  <si>
    <t>60109706;60109706;60109706;60109706;60109706;60109706;60109706;60109706;60109706;60109706</t>
  </si>
  <si>
    <t>7005390985;55504303500;35352798500;55371296200;35352474500;7004340235;6603724425;26643152800;25958672600;57191368153</t>
  </si>
  <si>
    <t>Zushi, H.;Nakamura, K.;Itoh, S.;Sato, K.;Sakamoto, M.;Kanada, K.;Jotaki, E.;Makino, K.;Kawasaki, S.;Nakashima, H.</t>
  </si>
  <si>
    <t>Kasuga</t>
  </si>
  <si>
    <t>Kyushu University, Research Institute for Applied Mechanics</t>
  </si>
  <si>
    <t>Zushi H.</t>
  </si>
  <si>
    <t>High ion temperature discharge and its long sustainment in both limiter and single null configurations on TRIAM-1M</t>
  </si>
  <si>
    <t>10.1088/0029-5515/39/11Y/340</t>
  </si>
  <si>
    <t>2-s2.0-12944253107</t>
  </si>
  <si>
    <t>58-68</t>
  </si>
  <si>
    <t>100435954;100435954;100435954</t>
  </si>
  <si>
    <t>7405323285;7401985861;7202010290</t>
  </si>
  <si>
    <t>Li, David D.;Luo, Sam C.;Knox, Robert M.</t>
  </si>
  <si>
    <t>Geneve</t>
  </si>
  <si>
    <t>Epsilon Lambda Electronics Corp</t>
  </si>
  <si>
    <t>Li D.</t>
  </si>
  <si>
    <t>Millimeter-wave FMCW radar transceiver/antenna for automotive applications</t>
  </si>
  <si>
    <t>2-s2.0-13044278914</t>
  </si>
  <si>
    <t>['yellow antenna', 'tribus diaphorini', 'supraapical arista', 'silvery area', 'sea coast', 'morphological characters']</t>
  </si>
  <si>
    <t>Chrysotus polleti | Dolichopodidae | Head | Morphology | New species | SEM | Taxonomy</t>
  </si>
  <si>
    <t>Chrysotus polleti sp. n. is described from the sea coast of Bulgaria. It is remarkable in that both sexes have a special frontal organ and the supraapical arista. The new species differs from all known Palaearctic Chrysotus species by the yellow antenna and the silvery area on the male middle tibia. Some morphological characters of the tribus Diaphorini are discussed in the appendix.</t>
  </si>
  <si>
    <t>Biologia</t>
  </si>
  <si>
    <t>Olejnicek, Jiri</t>
  </si>
  <si>
    <t>Academy of Sciences of the Czech Republic</t>
  </si>
  <si>
    <t>Olejnicek J.</t>
  </si>
  <si>
    <t>Chrysotus polleti sp. n. (Dolichopodidae) from Bulgaria and a note on the morphology of the Diaphorini</t>
  </si>
  <si>
    <t>2-s2.0-17444414177</t>
  </si>
  <si>
    <t>['typical resolutions', 'signal waveforms', 'seasonde family', 'resolution unit', 'open sea', 'one end', 'maximum distances', 'long ranges', 'digital generation', 'called seasonde', 'antenna technology', '80 kilometers', '300 kilometers', '3 kilometers']</t>
  </si>
  <si>
    <t>A new high frequency radar, called SeaSonde has been developed. SeaSonde is a mid-range, mid-resolution unit that looks out from a coastal site onto an open sea. Typical resolutions were 1-3 kilometers with maximum distances from 40-80 kilometers. Recent CODAR discoveries in antenna technology, as well as in signal waveforms and their digital generation and processing, expanded the SeaSonde family to products that now reach out to long ranges of 300 kilometers at one end with systems at the other end with 100-meter spatial resolutions suitable for operation in bays and harbors.</t>
  </si>
  <si>
    <t>Sea Technology</t>
  </si>
  <si>
    <t>100326559;100326559;100326559;100326559;100326559;100326559</t>
  </si>
  <si>
    <t>7005431123;6505932673;7003279790;7006723787;7007072024;6602119205</t>
  </si>
  <si>
    <t>Barrick, Don;Lilleboe, Pete;Lipa, Belinda;Pederson, Laura;Isaacson, Jimmy;Rector, bill</t>
  </si>
  <si>
    <t>Los Altos</t>
  </si>
  <si>
    <t>CODAR Ocean Sensors, Ltd.</t>
  </si>
  <si>
    <t>Barrick D.</t>
  </si>
  <si>
    <t>Circulation mapping in complex waterways</t>
  </si>
  <si>
    <t>2-s2.0-17744414816</t>
  </si>
  <si>
    <t>N00014-99-1-0136</t>
  </si>
  <si>
    <t>['unique material', 'space wavelength', 'profile antennas', 'phase reversed', 'new type', 'new surface', 'much less', 'image currents', 'even though', 'electromagnetic problems', 'dimensional lattice', 'continuous metal', 'circuit elements']</t>
  </si>
  <si>
    <t>Antennas | Corrugated surfaces | Photonic bandgap | Surface impedance | Surface waves | Textured surfaces</t>
  </si>
  <si>
    <t>A new type of metallic electromagnetic structure has been developed that is characterized by having high surface impedance. Although it is made of continuous metal, and conducts dc currents, it does not conduct ac currents within a forbidden frequency band. Unlike normal conductors, this new surface does not support propagating surface waves, and its image currents are not phase reversed. The geometry is analogous to a corrugated metal surface in which the corrugations have been folded up into lumped-circuit elements, and distributed in a two-dimensional lattice. The surface can be described using solid-state band theory concepts, even though the periodicity is much less than the free-space wavelength. This unique material is applicable to a variety of electromagnetic problems, including new kinds of low-profile antennas. ¬© 1999 IEEE.</t>
  </si>
  <si>
    <t>2059-2074</t>
  </si>
  <si>
    <t>60021939;60021939;60021939;60021939;60021939</t>
  </si>
  <si>
    <t>6701347150;55709164600;6505948621;54680717500;7006814090</t>
  </si>
  <si>
    <t>Sievenpiper, Dan;Zhang, Lijun;Jimenez Broas, Romulo F.;Alex√∂polous, Nicholas G.;Yablonovitch, Eli</t>
  </si>
  <si>
    <t>Malibu</t>
  </si>
  <si>
    <t>HRL Laboratories</t>
  </si>
  <si>
    <t>Sievenpiper D.</t>
  </si>
  <si>
    <t>High-impedance electromagnetic surfaces with a forbidden frequency band</t>
  </si>
  <si>
    <t>S0018948099087803</t>
  </si>
  <si>
    <t>10.1109/22.798001</t>
  </si>
  <si>
    <t>2-s2.0-19844372629</t>
  </si>
  <si>
    <t>['yucatan peninsula', 'southern portion', 'south america', 'several features', 'sea level', 'postabdominal claw', 'parthenogenetic females', 'old continent', 'new taxon', 'new species', 'like setae', 'five setae', 'developed armature', 'described herein', 'altitude less', 'alona described']</t>
  </si>
  <si>
    <t>Anomopoda | Chydoridae | Cladocera | Mexico | Taxonomy</t>
  </si>
  <si>
    <t>A new species of the chydorid cladoceran genus Alona is described herein from parthenogenetic females. The material was collected from several freshwater lagoons and pools in the southern portion of the Yucatan Peninsula, Mexico at an altitude less than 100m above sea level. The new species can be distinguished from other species of Alona by the combination of several features: a well-developed armature of the antennae, postabdomen, and postabdominal claw, the outer distal lobe of the first thoracic limb bears two pecten-like setae, and the exopod of thoracic limb III has only five setae. This new taxon is related to other species of Alona described from South America and the Old continent.</t>
  </si>
  <si>
    <t>105-111</t>
  </si>
  <si>
    <t>1 SUPPL.</t>
  </si>
  <si>
    <t>Revista de Biologia Tropical</t>
  </si>
  <si>
    <t>60015438;60015438</t>
  </si>
  <si>
    <t>6701680566;7005585473</t>
  </si>
  <si>
    <t>El√≠as-Guti√©rrez, M.;Su√°rez-Morales, E.</t>
  </si>
  <si>
    <t>Mexico</t>
  </si>
  <si>
    <t>Tapachula</t>
  </si>
  <si>
    <t>El Colegio de la Frontera Sur</t>
  </si>
  <si>
    <t>El√≠as-Guti√©rrez M.</t>
  </si>
  <si>
    <t>Alona pectinata (Crustacea: Anomopoda; Chydoridae), a new freshwater cladoceran from Southeast Mexico</t>
  </si>
  <si>
    <t>2-s2.0-20344398098</t>
  </si>
  <si>
    <t>['water corresponding', 'layer balls', 'investigated numerically', 'interperiodica ".', 'hayœ ∫']</t>
  </si>
  <si>
    <t>The effect of hydrometeors on characteristics of spherical lens antennas designed on the basis of uniform and two-layer balls is investigated numerically. The calculations are performed for actual electromagnetic parameters of water corresponding to the millimeter and centimeter wavelength ranges. Copyright ¬© 1999 by MAEe Cyrillic signK "HayŒ∫a/Interperiodica".</t>
  </si>
  <si>
    <t>1362-1364</t>
  </si>
  <si>
    <t>57197239555;6603021808;6603584865</t>
  </si>
  <si>
    <t>Zakharov, E. V.;Skorodumov, A. I.;Kharlanov, Yu Ya</t>
  </si>
  <si>
    <t>Zakharov E.</t>
  </si>
  <si>
    <t>Investigation of the effect of hydrometeors on characteristics of spherical lens antennas</t>
  </si>
  <si>
    <t>2-s2.0-22944483389</t>
  </si>
  <si>
    <t>['spacetime processing', 'simultaneously ensures', 'receiving aperture', 'orthogonal signals', 'operation principles', 'multibeam pattern', 'interperiodica ".', 'ia output', 'ia ).', 'hayœ ∫']</t>
  </si>
  <si>
    <t>The design and operation principles are determined for an ultra-wideband (UWB) video-pulse radar system ensuring parallel three-dimensional surveillance due to the radiation of orthogonal signals by channels of a multielement array antenna (AA) and their reception by a low-directivity isolated antenna (IA). A spacetime processing at the IA output that simultaneously ensures the synthesis of the receiving aperture and formation of a multibeam pattern is proposed. Copyright ¬© 1999 by MAEe Cyrillic signK "HayŒ∫a/Interperiodica".</t>
  </si>
  <si>
    <t>1365-1371</t>
  </si>
  <si>
    <t>Vovshin, B. M.</t>
  </si>
  <si>
    <t>ZAO Radio-Electronic Systems</t>
  </si>
  <si>
    <t>Vovshin B.M.</t>
  </si>
  <si>
    <t>Ultra-wideband video-pulse synthetic aperture system for parallel three-dimensional surveillance</t>
  </si>
  <si>
    <t>2-s2.0-24044475621</t>
  </si>
  <si>
    <t>['radiation pattern', 'interperiodica ".', 'hayœ ∫', 'experimental studies', 'dielectric torus']</t>
  </si>
  <si>
    <t>A technique is proposed for calculation of characteristics of lens antennas designed on the basis of a dielectric torus. Numerical and experimental studies of the gain and radiation pattern (RP) of toroidal lens antennas are performed. Copyright ¬© 1999 by MAEe Cyrillic signK "HayŒ∫a/Interperiodica".</t>
  </si>
  <si>
    <t>1359-1361</t>
  </si>
  <si>
    <t>57197239555;6603772117;6603584865</t>
  </si>
  <si>
    <t>Zakharov, E. V.;Levchenko, S. N.;Kharlanov, Yu Ya</t>
  </si>
  <si>
    <t>Characterization and optimization of toroidal lens antennas</t>
  </si>
  <si>
    <t>2-s2.0-24044532276</t>
  </si>
  <si>
    <t>['receiving signals', 'path moscow', 'parabolic model', 'mean angle', 'ionospheric parameters', 'ionization maximum', 'interperiodica ".', 'experimental determinations', 'critical frequency']</t>
  </si>
  <si>
    <t>A method is proposed and analyzed for the determination of ionospheric parameters, on the basis of measuring the difference between the angles of elevation of two differently polarized waves and the mean angle of elevation of the arriving wave field, with the use of two spatially separated, orthogonally polarized antennas. Experimental determinations are presented for the critical frequency and the altitude of the ionization maximum of the F2 layer according to the parabolic model of the ionosphere. These data were obtained by means of receiving signals of a broadcasting radio station at the path Moscow-Kharkov. Copyright ¬© 2000 by MAIK "Nauka/Interperiodica".</t>
  </si>
  <si>
    <t>534-537</t>
  </si>
  <si>
    <t>Geomagnetism and Aeronomy</t>
  </si>
  <si>
    <t>6602449699;7003321988</t>
  </si>
  <si>
    <t>Fal'kovich, I. S.;Kalinichenko, N. N.</t>
  </si>
  <si>
    <t>Fal'kovich I.</t>
  </si>
  <si>
    <t>Measurements of ionospheric parameters using the observed polarization and trajectory characteristics of a decameter signal</t>
  </si>
  <si>
    <t>2-s2.0-24644462275</t>
  </si>
  <si>
    <t>['western source', 'vlf noises', 'south planes', 'recorded simultaneously', 'noise sources', 'interperiodica ".', 'half year', 'experiment carried', 'background component']</t>
  </si>
  <si>
    <t>Results of an experiment carried out in Yakutsk during one and a half year are reported. VLF noises were recorded simultaneously from two mutually perpendicular directions, east-west and north-south. Loop antennas oriented in the east-west and north-south planes in Yakutsk predominantly received signals from the African and the South Asian thunderstorm source, respectively. For most of the observation interval considered, a synchronism is revealed in the activities of the mentioned world thunderstorm VLF-noise sources. The highest correlation coefficients are obtained for April-mid-June and for mid-November-December. The variations in the activity of the western source are also well correlated with the background component of VLF noises. Copyright ¬© 2000 by MAIK "Nauka/Interperiodica".</t>
  </si>
  <si>
    <t>515-519</t>
  </si>
  <si>
    <t>60075941;60075941;60075941</t>
  </si>
  <si>
    <t>55889583300;56374982100;6507847290</t>
  </si>
  <si>
    <t>Mullayarov, V. A.;Kozlov, V. I.;Val'kov, S. P.</t>
  </si>
  <si>
    <t>Yakutsk</t>
  </si>
  <si>
    <t>Yu.G. Shafer Institute of Cosmophysical Research and Aeronomy of the Siberian Branch of the RAS</t>
  </si>
  <si>
    <t>Mullayarov V.A.</t>
  </si>
  <si>
    <t>On the synchronous activity of sources of regular VLF noises</t>
  </si>
  <si>
    <t>2-s2.0-24644518024</t>
  </si>
  <si>
    <t>['unit uses', 'type determines', 'time intervals', 'switched radiometer', 'reference signal', 'reference generators', 'radiometer resolution', 'modulation increased', 'measurement range', 'length modulation', 'interperiodica ".', 'instrument resolution', 'conversion scale', 'control unit', 'chip microcontroller', 'additional pulses', '316 k', '03125 k']</t>
  </si>
  <si>
    <t>A control unit for a switched radiometer with pulse-length modulation of the reference signal is described. The measurement range is varied by changing the type of modulation of the high-frequency antenna signal and two reference signals generated by the reference generators, which produce a constant noise power. To do this, the control unit forms two types of additional modulating pulses. The number of periods of these additional pulses determines the radiometer resolution, and their type determines the shift of the conversion scale. The unit uses a single-chip microcontroller, and time intervals of modulation are set by a 10-bit binary counter. In a range of 60-316 K, the introduction of additional pulses in the modulation increased the instrument resolution from 0.25 to 0.03125 K. ¬© 1999 MAHK "Hayka/Interperiodica".</t>
  </si>
  <si>
    <t>Instruments and Experimental Techniques</t>
  </si>
  <si>
    <t>Filatov, A. V.</t>
  </si>
  <si>
    <t>Russian Academy of Sciences</t>
  </si>
  <si>
    <t>Filatov A.</t>
  </si>
  <si>
    <t>A unit controlling the measurement range in a microwave radiometer</t>
  </si>
  <si>
    <t>2-s2.0-27544497645</t>
  </si>
  <si>
    <t>['wave constant', 'surface waves', 'studied structure', 'polarization sensitivity', 'planar antenna', 'net efficiency', 'measured dependences', 'interperiodica ".', 'electronic control', 'dielectric layer']</t>
  </si>
  <si>
    <t>The measured dependences of a leaky-wave constant of the (¬±1)-st surface harmonics, VSWR, and net efficiency for the diffraction structure constructed in the form of a singly-periodic comb containing two notches per period and covered by a dielectric layer are given. The results for E- and H-polarization of surface waves are obtained. Based on the studied structure, a design of a planar antenna with electronic control over the polarization sensitivity, whose net efficiency reaches 75%, is offered. ¬© 1999 MAHK "Hayka/Interperiodica".</t>
  </si>
  <si>
    <t>539-542</t>
  </si>
  <si>
    <t>60023211;60023211;60023211;60023211;60023211</t>
  </si>
  <si>
    <t>55435266300;6507085965;7004240250;6505873526;9041059400</t>
  </si>
  <si>
    <t>Klimov, A. I.;Merkulov, K. B.;Ostankov, A. V.;Pasternak, Yu G.;Youdin, V. I.</t>
  </si>
  <si>
    <t>Voronezh State Technical University</t>
  </si>
  <si>
    <t>Klimov A.I.</t>
  </si>
  <si>
    <t>Experimental studies of the characteristics of a comb antenna with two notches and a dielectric layer</t>
  </si>
  <si>
    <t>2-s2.0-27644482500</t>
  </si>
  <si>
    <t>['transferred along', 'remove distortions', 'recording devices', 'rarefied gas', 'probe current', 'probe characteristic', 'optical fiber', 'interperiodica ".', 'discharge volume', 'antennas operating']</t>
  </si>
  <si>
    <t>A design of a double Langmuir probe for measuring plasma parameters in RF discharges produced by antennas operating in a rarefied gas is described. The probe is fed by using a multiturn loop antenna excited by an alternating magnetic field, which is created by Helmholtz coils located outside of the discharge volume. The information on the probe current is transferred along an optical fiber to the recording devices. The absence of a metallic signal cable allows us to avoid spurious discharges, which perturb the system under study, to remove distortions of the probe characteristic, and to significantly reduce RF noises. ¬© 1999 MAHK "Hayka/Interperiodica".</t>
  </si>
  <si>
    <t>390-393</t>
  </si>
  <si>
    <t>7006756828;56473720400;14024968700</t>
  </si>
  <si>
    <t>Bazhanov, V. S.;Smirnov, V. A.;Umnov, A. L.</t>
  </si>
  <si>
    <t>Bazhanov V.S.</t>
  </si>
  <si>
    <t>A langmuir probe for nonperturbing measurements of plasma parameters in RF discharges produced by the near field of an antenna</t>
  </si>
  <si>
    <t>2-s2.0-27644587677</t>
  </si>
  <si>
    <t>['tracking schedule', 'time management', 'studies indicate', 'stations located', 'shorter tracks', 'short sessions', 'scheduling spacecraft', 'scheduling requirements', 'required changes', 'placed upon', 'paper proposes', 'paper describes', 'overcommitled dsn', 'operational scenarios', 'network resources', 'navigation requirements', 'nasa administrator', 'mmo satisfies', 'mission supported', 'limiting spacecraft', 'larger blocks', 'large amount', 'key characteristics', 'ground system', 'following services', 'firo simulations', 'filtering techniques', 'efficient scheduling', 'effect mmo', 'dsn would', 'dsn resources', 'dan goldin', 'current system', 'cruise phase', 'claim assumes', 'believe spacecraft', 'approach feasible', 'antenna time', '8 hours']</t>
  </si>
  <si>
    <t>Adaptive spacecraft scheduling | Message mode operations | Orbit determination</t>
  </si>
  <si>
    <t>The NASA Deep Space Network (DSN) is a world-class spacecraft tracking facility with stations located in Spain, Australia and USA, servicing Deep Space Missions of many space agencies. The current system of scheduling spacecraft during cruise for multiple 8 hour tracking sessions per week currently leads to an overcommitled DSN. Studies indicate that future projected mission demands upon the Network will only make the loading problem worse. Therefore, a more efficient scheduling of DSN resources is necessary in order to support the additional network loading envisioned in the next few years: The number of missions is projected to increase from 25 in 1998 to 34 by 2001. In fact, given the challenge of the NASA administrator, Dan Goldin, of launching 12 spacecraft per year, the DSN would be tracking approximately 90 spacecraft by 2010. Currently a large amount of antenna time and network resources are subscribed by a project in order to have their mission supported during the cruise phase. The recently completed Mars Pathfinder mission was tracked 3 times a week (8 hours/day) during the majority of its cruise to Mars. This paper proposes an innovative approach called Message Mode Operations (MMO) for mitigating the Network loading problem while continuing to meet the tracking, reporting, time management, and scheduling requirements of these missions during Cruise while occupying very short tracking times. MMO satisfies these requirements by providing the following services: ‚Ä¢ Spacecraft Health and Welfare Monitoring Service ‚Ä¢ Command Delivery Service ‚Ä¢ Adaptive Spacecraft Scheduling Service ‚Ä¢ Orbit Determination Service ‚Ä¢ Time Calibration Service Utilizing more efficient engineering telemetry summarization and filtering techniques on-board the spacecraft and collapsing the navigation requirements for Doppler and Range into shorter tracks, we believe spacecraft can be adequately serviced using short 10 to 30 minute tracking sessions. This claim assumes that certain changes would have to be made in the way the Network traditionally services missions in Cruise. Furthermore, limiting spacecraft to short sessions will free up larger blocks of time in the tracking schedule to help accommodate future tracking demands soon to be placed upon the Network. This paper describes the key characteristics and benefits of MMO, the operational scenarios for its use, the required changes to the ground system in order to make this approach feasible and the results of firo simulations: 1) to determine the effects of MMO on projected mission loading on the DSN and, 2) to determine the effect MMO has on spacecraft orbit determination.</t>
  </si>
  <si>
    <t>SPEC. ISS.</t>
  </si>
  <si>
    <t>Revista Brasileira de Ciencias Mecanicas/Journal of the Brazilian Society of Mechanical Sciences</t>
  </si>
  <si>
    <t>MacMedan, Merv</t>
  </si>
  <si>
    <t>MacMedan M.</t>
  </si>
  <si>
    <t>Message mode operations for spacecraft: A proposal for operating spacecraft during cruise and mitigating the network loading crunch</t>
  </si>
  <si>
    <t>2-s2.0-29444433651</t>
  </si>
  <si>
    <t>['unattended control', 'telemetry data', 'since cost', 'satellite tracking', 'satellite protocol', 'satellite passing', 'remote controlling', 'real time', 'quick look', 'platform based', 'perform tm', 'payload data', 'paper address', 'mission center', 'historical data', 'ground system', 'ground station', 'functional requirements', 'design solutions', 'control center', 'compact saci', 'antenna control']</t>
  </si>
  <si>
    <t>This paper address the Ground solutions adopted to control the scientific microsatellite SACI-I in order to meet the operation and functional requirements. Those requirements are unattended control of a satellite passing, quick-look of payload data in real time, playback of all telemetry data, automatic orbit determination and remote mission planning by the investigators through the Internet. Since cost-effectiveness has oriented all design solutions in SACI-1 Ground Segment, a compact satellite control system was designed to aggregate in a same environment the functionality of Ground Station, Control Center and Mission Center. That compact SACI-I Ground System is a platform based on five Personal Computers interconnected through Ethernet local network. Two of them are dedicated to perform TM and TC functions including the Ground-satellite protocol. Another is dedicated to the antenna control for satellite tracking. The last two deals with data dissemination activities such as quick look of payload data and data base server for remote controlling of both current and historical data of the mission.</t>
  </si>
  <si>
    <t>184-190</t>
  </si>
  <si>
    <t>De Mattiello Francisco, Maria F√°tima</t>
  </si>
  <si>
    <t>De Mattiello Francisco M.F.</t>
  </si>
  <si>
    <t>A compact and autonomous ground system for saci-1 mission controlling</t>
  </si>
  <si>
    <t>2-s2.0-29444444263</t>
  </si>
  <si>
    <t>['two lasers', 'tunneling junction', 'resonance condition', 'nm scale', 'microwave signal', 'microwave region', 'magnetic properties', 'lateral resolution', 'infrared light', 'garnet film', 'frequency signal', 'ferromagnetic sample', 'ferrimagnetic resonance', 'antenna mechanism']</t>
  </si>
  <si>
    <t>Ferrimagnetic resonance is measured in a scanning tunneling microscope. The infrared light of two lasers is focused into the tunneling junction and a difference-frequency signal in the microwave region is generated. This microwave signal is used to excite spin waves in an yttrium-iron-garnet film with a thin Au capping. The coupling of the light to the tunneling junction is explained by an antenna mechanism. Characteristic antenna patterns of the angle-dependent receiving efficiency are obtained. The mixing of the two laser frequencies is due to the nonlinearity of the tunneling junction. The microwave signal obtained is absorbed in the ferromagnetic sample if the resonance condition is fulfilled. This method might allow the measurement of magnetic properties with a lateral resolution down to the nm scale. ¬© 1999 American Institute of Physics.</t>
  </si>
  <si>
    <t>6331-6334</t>
  </si>
  <si>
    <t>60016239;60029010;60029010;60016239</t>
  </si>
  <si>
    <t>6506102511;7006339466;7202226657;7102722482</t>
  </si>
  <si>
    <t>Gutjahr-L√∂ser, Th;Krieger, W.;Walther, H.;Kirschner, J.</t>
  </si>
  <si>
    <t>Garching bei Munchen;Halle</t>
  </si>
  <si>
    <t>Max Planck Institute of Quantum Optics;Max Planck Institute of Microstructure Physics</t>
  </si>
  <si>
    <t>60029010;60016239</t>
  </si>
  <si>
    <t>Ferrimagnetic resonance excitation by light-wave mixing in a scanning tunneling microscope</t>
  </si>
  <si>
    <t>10.1063/1.371694</t>
  </si>
  <si>
    <t>2-s2.0-3242821574</t>
  </si>
  <si>
    <t>['whitened using', 'training sequences', 'thesis investigates', 'technique interference', 'technique implemented', 'stringent implication', 'spatial channel', 'simulations show', 'simulation results', 'signals may', 'receiver allowing', 'performance gain', 'performance advantage', 'new set', 'network side', 'network level', 'main factors', 'link level', 'joint detection', 'interference cancellation', 'implementation technologies', 'identified independently', 'high probability', 'gsm system', 'gsm standard', 'gsm receivers', 'gsm network', 'efficient algorithm', 'dominant interferer', 'di suppression', 'di cancellation', 'correlation properties', 'correlation disturbance', 'cochannel signals', 'cochannel interference', 'cellular network', 'cellular capacity', 'carrier frequencies', 'better cross', 'arrive simultaneously', 'apply two', 'antenna array', 'ambiguous concept', 'adaptive antennas']</t>
  </si>
  <si>
    <t>Adaptive antennas | Interference cancellation | Interference rejection | Joint detection</t>
  </si>
  <si>
    <t>Cochannel interference is one of the main factors that limits the cellular capacity of the GSM system. It results from the usage of the same carrier frequencies after a certain reuse distance in cellular network. The thesis investigates the application of cochannel interference cancellation techniques in GSM receivers to enhance the cellular capacity of the GSM system. The main interference cancellation technique under investigation is the joint detection of cochannel signals, primarily, joint detection of the desired and dominant interfering signals. In addition, interference cancellation by an adaptive antenna array is treated more concisely and the link performance results are compared to that of the joint detection. Simulations show that in the GSM network there is a high probability of a dominant interf√©rer (DI) in the receiver. This is an advantage from the receiver complexity point of view if only DI is suppressed in the receiver. A requirement for DI suppression is that in the case of frequency hopping DI needs to be identified independently for each burst for which an efficient algorithm is developed. Simulation results show that the performance gain of DI cancellation both in link level and network level is significant. To gain this performance advantage in a real GSM network changes in the GSM standard may not be necessary. Nevertheless, the implementation technologies both in the receiver and network sides becomes more challenging. The most stringent implication in the network side is the necessity of base station synchronisation, which enables joint channel estimation and dominant interferer identification. This is based on different training sequences on cochannels that arrive simultaneously in the receiver allowing the removal of the cross-correlation disturbance between the training sequences. It is shown that if amendment to the GSM standard was possible, further improvement to receiver performance could be obtained by introducing a new set of training sequences with better cross-correlation properties than the current GSM training sequence set. The second interference cancellation method considered in this thesis is interference rejection combining with an adaptive antenna array. In this technique interference is considered as spatially coloured noise which is whitened using the knowledge of the space correlation matrix of interference. Usually, adaptive antennas are considered as a technique implemented in base station receivers. In this thesis, it is proposed to apply two-antenna array in mobile station receivers as well. Around mobile stations, the spatial channel can be complex and the direction of arrival of the signals may be ambiguous concept. Nevertheless, simulation results are very encouraging, showing that the two-element antenna array receiver is able to suppress cochannel interference efficiently, especially in the presence of a dominant interferer.</t>
  </si>
  <si>
    <t>Acta Polytechnica Scandinavica, Electrical Engineering</t>
  </si>
  <si>
    <t>Ranta, Pekkaa</t>
  </si>
  <si>
    <t>Ranta P.</t>
  </si>
  <si>
    <t>Cochannel interference cancellation in the GSM system</t>
  </si>
  <si>
    <t>2-s2.0-33646837864</t>
  </si>
  <si>
    <t>['plasma source', 'magnetic field', 'japanese journal', 'applied physics', 'antenna aperture', '3 ghz']</t>
  </si>
  <si>
    <t>A radial line slot antenna (RLSA) 400mm in diameter is designed for a plasma source at 8.3 GHz as a candidate for a large area high density plasma source with a narrow process space. A RLSA with paired slots arrayed concentrically on its aperture is designed and applied to a plasma process system which docs not need a magnetic field. First, electrical performance without plasma is predicted and measured. Reasonable voltage standing wave ratio (VSWR) as well as uniform field distribution on the antenna aperture is realized. As applied to the plasma test equipment, high electron density of more than 1 √ó 1012 cm-3 as well as fairly uniform (¬±2%) distribution at a low electron temperature is produced in the vicinity of the antenna aperture through a quartz glass window. Control of uniformity in ion flux profiles by blocking the antenna aperture is demonstrated. ¬© 1999 Publication Board, Japanese Journal of Applied Physics.</t>
  </si>
  <si>
    <t>2077-2081</t>
  </si>
  <si>
    <t>60031126;60031126;101862858;101862858;60008435;60008435</t>
  </si>
  <si>
    <t>Tokyo Institute of Technology;Tohoku University;Taknshokii University</t>
  </si>
  <si>
    <t>60031126;60008435;101862858</t>
  </si>
  <si>
    <t>Design of radial line slot antennas at 8.3 GhZ for large area uniform plasma generation</t>
  </si>
  <si>
    <t>2-s2.0-33744767770</t>
  </si>
  <si>
    <t>['reference integral', 'gaussian pulse', 'equation formulation', 'domain formulations', 'asymptotic time']</t>
  </si>
  <si>
    <t>Asymptotic methods | Reflector antennas | Time-domain</t>
  </si>
  <si>
    <t>In this work the asymptotic Time-Domain Physical Optics and Time-Domain Uniform Theory of Diffraction are applied to the analysis of a hyperboloidal reflector antenna illuminated by a Gaussian pulse to illustrate their applicability. The results are compared with those obtained by a reference integral-equation formulation, in order to specify the limitations of the time-domain formulations.</t>
  </si>
  <si>
    <t>20-28</t>
  </si>
  <si>
    <t>Journal of Microwaves and Optoelectronics</t>
  </si>
  <si>
    <t>60030074;60032361;60030074</t>
  </si>
  <si>
    <t>7006496954;6601987168;56999960000</t>
  </si>
  <si>
    <t>Rego, Cassio G.;Hasselmann, Flavio J.V.;Moreira, Fernando J.S.</t>
  </si>
  <si>
    <t>Rio de Janeiro;Belo Horizonte</t>
  </si>
  <si>
    <t>Pontif√≠cia Universidade Cat√≥lica do Rio de Janeiro;Universidade Federal de Minas Gerais</t>
  </si>
  <si>
    <t>60032361;60030074</t>
  </si>
  <si>
    <t>Rego C.</t>
  </si>
  <si>
    <t>Time-domain analysis of a reflector antenna illuminated by a Gaussian pulse</t>
  </si>
  <si>
    <t>2-s2.0-33744971762</t>
  </si>
  <si>
    <t>['key techniques', 'developed seven', 'circuit components']</t>
  </si>
  <si>
    <t>Cassegrain antenna | Direct detection | Focal plane array | Linearly tapered</t>
  </si>
  <si>
    <t>After introducing the theory of millimeter wave focal plane array imaging, the structure of the system, cognizance of the parameters and circuit components for the developed seven-element parallel scan mode were offered, and a few key techniques were discussed at the same time.</t>
  </si>
  <si>
    <t>Hongwai Yu Haomibo Xuebao/Journal of Infrared and Millimeter Waves</t>
  </si>
  <si>
    <t>60010080;60010080;60010080</t>
  </si>
  <si>
    <t>57225168801;56473734500;35233944200</t>
  </si>
  <si>
    <t>Zhang, Yong;Li, Xing Guo;Li, Yue Hua</t>
  </si>
  <si>
    <t>Seven-element linear array parallel scan millimeter wave focal plane array imaging system</t>
  </si>
  <si>
    <t>2-s2.0-33746734184</t>
  </si>
  <si>
    <t>['two versions', 'paper presents', 'mapping algorithm', 'heuristic assumptions', 'efficient extreina', 'coaster algorithm']</t>
  </si>
  <si>
    <t>This paper presents a novel and efficient extreina-mapping algorithm, which we call the roller-coaster algorithm. Two versions of the algorithm, the one-dimensional (1-D) and the two-dimensional (2-D) roller-coaster, are developed. Its applicability to array signal processing is demonstrated. We use it to solve a multiple source direction finding problem using multiple signal classification (MUSIC), beamformer, and minimum variance methods, and for antenna array design. The algorithm is based on heuristic assumptions and its properties are not proved. Yet, its performance was tested in many simulated experiments, yielding favorable results. ¬© 1999 IEEE.</t>
  </si>
  <si>
    <t>549-565</t>
  </si>
  <si>
    <t>60026340;60026340-60022403</t>
  </si>
  <si>
    <t>6508104825;7004983986</t>
  </si>
  <si>
    <t>Tweg, Ruby;Porat, Boaz</t>
  </si>
  <si>
    <t>Haifa;Haifa</t>
  </si>
  <si>
    <t>RAFAEL Armament Development Authority Ltd.;Technion - Israel Institute of Technology</t>
  </si>
  <si>
    <t>60026340;60022403</t>
  </si>
  <si>
    <t>Tweg R.</t>
  </si>
  <si>
    <t>Numerical optimization method for array signal processing</t>
  </si>
  <si>
    <t>10.1109/7.766937</t>
  </si>
  <si>
    <t>2-s2.0-33746989670</t>
  </si>
  <si>
    <t>['¬© 1999icipe', 'treated cadavers', 'pathogenic effects', 'obcsns workers', 'mycelial growth', 'leg joint', 'head regions', 'conidial concentration', 'colour change', 'brittle appendages', 'beaitveria bnssiana', 'bals .)', 'also observed', '24 h']</t>
  </si>
  <si>
    <t>Age of the culture | Beaitveria bassiana | Conidial concentration | Odoiitolermes obesns | Pathogenicity</t>
  </si>
  <si>
    <t>The pathogenic effects of Beaitveria bnssiana (Bals.) Vuill. (Deuteromycotina: Hyphomycetes) were evaluated against workers of the termite Odontotcnnes obcsns (Rambur) (Isoptera: Termitidae) in the laboratory. Termite mortality ranged from 41-90% in treatments, compared with 19-21% in controls. Both lethality and lethal time varied significantly with conidial concentration and age of culture. Mycelial growth was recorded on the leg joint, abdomen, antenna, thorax and head regions of treated cadavers after 24 h. Also observed in treatments were body surface shrinkage, colour change, and hardened and brittle appendages. The role of B. bassiana in the control of O. obcsns workers is discussed. ¬©1999ICIPE.</t>
  </si>
  <si>
    <t>157-162</t>
  </si>
  <si>
    <t>Insect Science and its Application</t>
  </si>
  <si>
    <t>101491975;101491975;101491975-101911017</t>
  </si>
  <si>
    <t>56038138500;36962511600;35601333700</t>
  </si>
  <si>
    <t>Gurusubramanian, G.;Tamuli, A. K.;Ghosh, Rajeeb K.R.</t>
  </si>
  <si>
    <t>Karur;</t>
  </si>
  <si>
    <t>Kongu College of Arts and Science;Goodricke Group Ltd. Danguajhar</t>
  </si>
  <si>
    <t>101911017;101491975</t>
  </si>
  <si>
    <t>Gurusubramanian G.</t>
  </si>
  <si>
    <t>Susceptibility of odontotermes obesus (rameur) to beauveria bassiana (bals.) vuill</t>
  </si>
  <si>
    <t>2-s2.0-33747003740</t>
  </si>
  <si>
    <t>['wide range', 'wave losses', 'wave effects', 'thus improving', 'thick substrate', 'restricted bandwidth', 'radiation patterns', 'potential decrease', 'patch antennas', 'low gain', 'inexpensive compared', 'antenna designs']</t>
  </si>
  <si>
    <t>The microstrip patch antenna is a low-profile robust planar structure. A wide range of radiation patterns can be achieved with this type of antenna and, due to the ease of manufacture, is inexpensive compared with other types of antennas. However, patch-antenna designs have some limitations such as restricted bandwidth of operation, low gain, and a potential decrease in radiation efficiency due to surface-wave losses. In this paper, a photonic-bandgap (PBG) substrate for patch antennas is proposed, which minimizes the surface-wave effects. In order to verify the performance of this kind of substrate, a configuration with a thick substrate is analyzed. The PBG patch antenna shows significantly reduced levels of surface modes compared to conventional patch antennas, thus improving the gain and far-field radiation pattern. ¬© 1999 IEEE.</t>
  </si>
  <si>
    <t>2131-2138</t>
  </si>
  <si>
    <t>7003903508;7003592642;56273515600</t>
  </si>
  <si>
    <t>Gonzalo, Ram√∂n;De Maagt, Peter;Sorolla, Mario</t>
  </si>
  <si>
    <t>Enhanced patch-antenna performance by suppressing surface waves using photonic-bandgap substrates</t>
  </si>
  <si>
    <t>S0018948099087906</t>
  </si>
  <si>
    <t>10.1109/22.798009</t>
  </si>
  <si>
    <t>2-s2.0-33747262639</t>
  </si>
  <si>
    <t>['spatial eigenmodes', 'scatterer characteristics', 'physical parameters', 'multielement antenna', 'modeling narrow', 'mea system', 'mea capacity', 'large increase', 'identically distributed', 'fading correlations', 'fading correlation', 'communication systems', 'channel capacity', 'capacity compared', 'antenna systems', 'abstract model']</t>
  </si>
  <si>
    <t>We investigate the effects of fading correlations in multielement antenna (MEA) communication systems. Pioneering studies showed that if the fades connecting pairs of transmit and receive antenna elements are independently, identically distributed, ME A's offer a large increase in capacity compared to single-antenna systems. An MEA system can be described in terms of spatial eigenmodes, which are single-input singleoutput subchannels. The channel capacity of an MEA is the sum of capacities of these subchannels. We will show that the fading correlation affects the MEA capacity by modifying the distributions of the gains of these subchannels. The fading correlation depends on the physical parameters of MEA and the scatterer characteristics. In this paper, to characterize the fading correlation, we employ an abstract model which is appropriate for modeling narrow-band Rayleigh fading in fixed wireless systems. ¬©1999 IEEE.</t>
  </si>
  <si>
    <t>60025038;60025038;60025038;60025038</t>
  </si>
  <si>
    <t>6602744553;7005258498;7006813926;7402544128</t>
  </si>
  <si>
    <t>Shiu, Da Shan;Foschini, G√©rard J.;Gans, Michael J.;Kahn, Joseph M.</t>
  </si>
  <si>
    <t>Shiu D.</t>
  </si>
  <si>
    <t>Fading correlation and its effect on the capacity of multielement antenna systems</t>
  </si>
  <si>
    <t>S0090677899089254</t>
  </si>
  <si>
    <t>2-s2.0-33747305753</t>
  </si>
  <si>
    <t>Adaptive equalizers | Land mobile radio cellular systems | Propagation</t>
  </si>
  <si>
    <t>We estimate link reliabilities for IS-54/136 digital cellular handsets operating with or without an equalizer in urban, suburban, rural, and mountainous environments. We define the reliability of a user's receiver as the probability that the bit error rate (BER) is less than some specified value. The probability is taken over all mobile positions in a cell area and the BER is averaged over multipath fading. Using a range of tools for modeling and simulation of the digital cellular link (transmitter, channel, and receiver), we present an extensive set of results showing the influence of: 1) receiver structures (differential detection with no equalizer, differential detection with selection diversity, or coherent detection with a medium-complexity equalizer); 2) joint distribution of the channel's rms delay spread and average signal-to-noise ratio (SNR) (this distribution is based on an environment-specific model reported previously); and 3) vehicle speed (0-200 km/h). In all simulations, we assumed a two-path Rayleigh fading channel characterized by: 1) the delay between paths and 2) the ratio of power received from the first path to that from the second path (the rms delay spread relates to these two parameters). For typical cell sizes, we find that imposing an equalization requirement in IS-54/136 handsets is overly stringent in all environments, except mountainous areas. For these environments, achieving high reliability requires either equalization or other measures, such as smaller cells, directional base-station antennas, or dual-diversity handsets. ¬© 1999 IEEE.</t>
  </si>
  <si>
    <t>198-212</t>
  </si>
  <si>
    <t>60000251-60023418;60000251;60000251;100713476;60014300</t>
  </si>
  <si>
    <t>Menlo Park;San Antonio;New York;Iselin</t>
  </si>
  <si>
    <t>Raychem Corporation;AT&amp;T Inc.;IEEE;ALGOREX, Inc</t>
  </si>
  <si>
    <t>60023418;60014300;60000251;100713476</t>
  </si>
  <si>
    <t>S0018954599006817</t>
  </si>
  <si>
    <t>10.1109/25.740094</t>
  </si>
  <si>
    <t>2-s2.0-33747331994</t>
  </si>
  <si>
    <t>['vrp model', 'vrp locations', 'useful means', 'street structure', 'street microcells', 'propagation paths', 'nonshadowing conditions', 'los street', 'los condition', 'locationspecific model', 'laboratory experiments', 'delay profile', 'channel model', 'building walls', 'best result', 'ber evaluation']</t>
  </si>
  <si>
    <t>A channel model is presented for line-of-sight (LOS) street microcells with low-antenna-height base sites. This channel model assumes some virtual reflection points (VRP's) located at the intersection points along the LOS street and at building walls under the LOS condition. The VRP locations can be specified for the street structure, so this channel model behaves as a locationspecific model. Using this VRP model, the delay profile can be predicted under nonfading and nonshadowing conditions for all propagation paths, and in laboratory experiments the bit error rate (BER) performance of 7r/4-shift DQPSK transmission can be evaluated. A comparison with 2-GHz-band field experiments shows that the best result for BER evaluation is obtained when the VRP attenuation parameter is 0.08. This channel model is a very useful means of predicting the signal transmission performance of LOS street microcellular systems. ¬© 1999 IEEE.</t>
  </si>
  <si>
    <t>255-261</t>
  </si>
  <si>
    <t>60000251-60025555;60000251;60000251</t>
  </si>
  <si>
    <t>Tokyo;New York</t>
  </si>
  <si>
    <t>Nippon Telegraph and Telephone Corporation;IEEE</t>
  </si>
  <si>
    <t>60025555;60000251</t>
  </si>
  <si>
    <t>S001895459900715X</t>
  </si>
  <si>
    <t>10.1109/25.740101</t>
  </si>
  <si>
    <t>2-s2.0-33747370173</t>
  </si>
  <si>
    <t>Correlation (coherence) bandwidths for the paths between base station and building roof antennas were obtained from the amplitude-frequency characteristics measured on the roofs of 11 buildings in Tokyo, Japan, in the 900-MHz band. For the cases where the base-station antenna was in line-of-sight from the building roof antenna and the propagation loss was 2-9 dB larger than the free-space propagation loss, the correlation bandwidth decreased as the excess loss from free-space propagation loss increased. For out-of-sight cases, correlation bandwidths ranged from 38 to 320 kHz and were similar to those estimated for on road. The correlation bandwidth measured using a 12-element Yagi antenna was double that measured with a half-wave dipole antenna. ¬© 1999 IEEE.</t>
  </si>
  <si>
    <t>286-294</t>
  </si>
  <si>
    <t>60025555-60006103;60025555;60025555</t>
  </si>
  <si>
    <t>Ichitsubo, Shi N.Ich;Akeyama, Akira;Sakagami, Shuji</t>
  </si>
  <si>
    <t>Tokyo;Ebetsu</t>
  </si>
  <si>
    <t>Nippon Telegraph and Telephone Corporation;Hokkaido Information University</t>
  </si>
  <si>
    <t>60025555;60006103</t>
  </si>
  <si>
    <t>S0018954599007203</t>
  </si>
  <si>
    <t>10.1109/25.740107</t>
  </si>
  <si>
    <t>2-s2.0-33747376167</t>
  </si>
  <si>
    <t>['weight vector', 'successfully applied', 'side lobes', 'nonequidistant arrays', 'mak haya', 'interperiodica ".', 'given directions', 'g .,', 'considerably simplify', 'complex cases', 'approach suggested']</t>
  </si>
  <si>
    <t>For phased antenna arrays, the problem of suppression of side lobes in given directions is very important and difficult. The use of neural networks makes it possible to considerably simplify the synthesis of such processing in the most complex cases, where the traditional approaches cannot be successfully applied, e.g., for nonequidistant arrays, for optimization of the weight vector under constraints (phase weighting), and others. The results obtained substantiate the efficiency of the approach suggested. Copyright ¬© 1999 by "MAK Haya/Interperiodica".</t>
  </si>
  <si>
    <t>815-818</t>
  </si>
  <si>
    <t>Journal of Computer and Systems Sciences International</t>
  </si>
  <si>
    <t>Tatuzov, L.</t>
  </si>
  <si>
    <t>Central Research Institute</t>
  </si>
  <si>
    <t>Tatuzov L.</t>
  </si>
  <si>
    <t>Neural network methods for reduction of level of side lobes in phased antenna arrays</t>
  </si>
  <si>
    <t>2-s2.0-33747409085</t>
  </si>
  <si>
    <t>['yang using', 'wide range', 'placed inside', 'new expressions', 'monopole inside', 'lower frequencies', 'interior fields', 'high enough', 'frequencies using', 'experimental results', 'estimates based', 'electronic systems', 'coupling measurements', 'considered uniform', 'comparative experimental', 'close agreement', 'cavity modes', 'aperture sizes', 'aperture cross', 'analytical study', 'also shown', 'absorbing sphere', 'absorbing bodies']</t>
  </si>
  <si>
    <t>Apertures | Cavities | Electromagnetic coupling | Monopole antennas</t>
  </si>
  <si>
    <t>In this paper, we report the results of a comparative experimental and analytical study of the coupling of electromagnetic (EM) fields to a monopole inside a cavity with an aperture. Coupling measurements have been made over a wide range of frequencies using a number of monopole and aperture sizes. Measurements were made using two orthogonal cavity orientations. In some experiments, an absorbing sphere was placed inside the cavity to act as an additional energy absorber. The experimental results have been compared with estimates based on the bounds approach developed by Lee and Yang. Some new expressions for the aperture cross-sections have been derived. Comparison has shown that the bounding approach developed by Lee and Yang using a power conservation approach is in close agreement with experimental results over a wide range of aperture and monopole sizes provided the frequency is high enough that the interior fields can be considered uniform. Violations of the bound are observered at lower frequencies when only a few cavity modes are excited and the uniform field approximation breaks down. It is also shown that the effects of absorbing bodies can be included. Use of this approach should simplify electromagnetic hardening of electronic systems.</t>
  </si>
  <si>
    <t>64-74</t>
  </si>
  <si>
    <t>60017597;60017597</t>
  </si>
  <si>
    <t>57225375518;54680826400</t>
  </si>
  <si>
    <t>Gardner, C. L.;Hrubik, P. A.</t>
  </si>
  <si>
    <t>Defence Research and Development Canada</t>
  </si>
  <si>
    <t>Gardner C.L.</t>
  </si>
  <si>
    <t>An experimental and analytical study of the use of bounds to estimate the coupling to a monopole inside a cavity with an aperture</t>
  </si>
  <si>
    <t>S0018937599020669</t>
  </si>
  <si>
    <t>10.1109/15.748139</t>
  </si>
  <si>
    <t>2-s2.0-33747414406</t>
  </si>
  <si>
    <t>['theoretical analysis', 'return loss', 'resonant frequency', 'remarkable improvement', 'presented along', 'normal conductor', 'mkrostrip antennas', 'metal counterparts', 'measured results', 'investigated results', 'found 3', 'design data', 'dbs system', 'copper array', 'antenna configuration', 'anal ratio', '12 ghz']</t>
  </si>
  <si>
    <t>Investigated results on direct-fed circularly polarized (CP) mkrostrip antennas for "Direct Broadcast Satellite" (DBS) system at 12 GHz have been reported. A full-wave microwave circuit simulator based on the method of moments and capable of handling the microwave surface impedance was used in theoretical analysis of the antennas. Antennas were fabricated from both normal conductor (copper) and superconductor (YBCO) for comparison. The measured results on resonant frequency, return loss, gain, bandwidth and anal ratio have been presented along with some design data. The antennas showed good axial ratio and bandwidth. In the comparison of gain, superconducting antennas showed a remarkable improvement over their metal counterparts. The gain of a 4-eIement array fabricated on both-side superconducting film was found 3.6 dB higher than that of copper array. Therefore, this antenna configuration is expected to be used in DBS system. ¬© 1999 IEEE.</t>
  </si>
  <si>
    <t>14120775800;6603336963;7203068282</t>
  </si>
  <si>
    <t>Ah, M. I.;Ehata, K.;Ohshima, S.</t>
  </si>
  <si>
    <t>2-s2.0-33747668192</t>
  </si>
  <si>
    <t>['wireless downlink', 'uplink wavelength', 'two wavelengths', 'thus helping', 'successful operation', 'single snapshot', 'scaled versions', 'recent interest', 'receiver array', 'received signal', 'potentially improve', 'periodic spacing', 'order statistics', 'noise ratio', 'identical beampatterns', 'good estimate', 'downlink wavelength', 'downlink second', 'downlink channels', 'different wavelengths', 'different responses', 'channel estimates', 'adaptive scheme', '1 elements']</t>
  </si>
  <si>
    <t>In a frequency division duplex system, a transmitter adaptive antenna array can potentially improve the performance of a wireless downlink. Because, however, the uplink and downlink channels have different wavelengths and, therefore, different responses, direct downlink adaptation based on channel estimates of the uplink is generally not feasible. Instead, there has been some recent interest in adaptations that require only the second-order statistics of the uplink and downlink to be similar. These algorithms derive adaptive weights from the covariance of the received signal to apply to a downlink transmitter array. We make two contributions to this area. First, we introduce an array configuration employing M + 1 elements with log-periodic spacing that comprises two overlapping subarrays, each with M elements, that are scaled versions of each other with the scale factor equal to the ratio of the uplink wavelength to the downlink wavelength. This array has identical beampatterns at the two wavelengths, thus helping to fulfill the requirement that the uplink and downlink second-order statistics be the same. Second, we demonstrate that obtaining a good estimate of the uplink covariance matrix is not essential for the successful operation of the adaptive scheme: Even when the mobile is at rest and the uplink information comprises only a single snapshot from the receiver array, an adaptive scheme can improve the signal-to-noise ratio. ¬©1999 IEEE.</t>
  </si>
  <si>
    <t>35499388800;7003696826</t>
  </si>
  <si>
    <t>Hochwald, Bertrand M.;Marzetta, Thomas L.</t>
  </si>
  <si>
    <t>Hochwald B.</t>
  </si>
  <si>
    <t>Adapting a downlink array from uplink measurements</t>
  </si>
  <si>
    <t>S1053587X99076497</t>
  </si>
  <si>
    <t>2-s2.0-33747737366</t>
  </si>
  <si>
    <t>Air Force Materiel Command</t>
  </si>
  <si>
    <t>F49620-96-1-0429</t>
  </si>
  <si>
    <t>AFMC</t>
  </si>
  <si>
    <t>['pattern equations', 'measured data', 'mathcad simulation', 'horn antenna', 'field radiation', 'comprehensive approach', 'aperture antennas']</t>
  </si>
  <si>
    <t>Antenna radiation patterns | Horn antennas | Mathcad | Pyramidal horn</t>
  </si>
  <si>
    <t>In this paper, the far-field radiation-pattern equations for the pyramidal-horn antenna are derived and compared to measured data, and a Mathcad simulation is presented. The mathematical formulation given provides a comprehensive approach for the prediction of the far-field radiation pattern. Furthermore, the formulation can be modified and implemented with Mathcad for other types of aperture antennas.</t>
  </si>
  <si>
    <t>60025778;60001565;60025522;60010339</t>
  </si>
  <si>
    <t>7102576479;7402300315;7004377085;6701585955</t>
  </si>
  <si>
    <t>Volakis, John L.;Davidson, David B.;Delgado, Heriberto J.;Thursby, Michael H.</t>
  </si>
  <si>
    <t>United States;United States;United States;South Africa</t>
  </si>
  <si>
    <t>Ann Arbor;Melbourne;Melbourne;Stellenbosch</t>
  </si>
  <si>
    <t>University of Michigan, Ann Arbor;Harris Corporation;Florida Institute of Technology;Stellenbosch University</t>
  </si>
  <si>
    <t>60025778;60025522;60010339;60001565</t>
  </si>
  <si>
    <t>Volakis J.</t>
  </si>
  <si>
    <t>Implementation of the pyramidal-horn antenna radiation-pattern equations using Mathcad</t>
  </si>
  <si>
    <t>10.1109/74.801520</t>
  </si>
  <si>
    <t>2-s2.0-33747915329</t>
  </si>
  <si>
    <t>['typical scenarios', 'shaping specifications', 'rate transmission', 'paper presents', 'measured performance', 'lens body', 'lens antennas', 'flexible enough', 'enhance gain', 'dielectric lenses', 'delay spread', 'causes fading', 'beam shaping', 'antenna configuration']</t>
  </si>
  <si>
    <t>Dielectric antennas | Land mobile radio cellular systems | Lens antennas | Lenses | Millimeter wave antennas | Mobile communications | Shaped beam antennas</t>
  </si>
  <si>
    <t>Dielectric-lens antennas are effective at producing highly shaped beams that can enhance the performance of wireless broadband communication systems. Beam shaping is used to reduce multipath interference, which causes fading and delay spread, and to enhance gain, so that the received power level is compatible with the requirements of high-data-rate transmission. This paper presents an overview of the design and measured performance of some examples of dielectric lenses that can be used in typical scenarios of wireless broadband communication systems. The paper also addresses the radio coverage produced by these antennas. The lenses are based on a single basic configuration where the feed is embedded in the lens body. This antenna configuration is flexible enough to accommodate different target beam-shaping specifications.</t>
  </si>
  <si>
    <t>141-150</t>
  </si>
  <si>
    <t>100444001;60033021;60004956</t>
  </si>
  <si>
    <t>56039602600;35465847700;7103089977</t>
  </si>
  <si>
    <t>Herscovici, Naftali;Christodoulou, Christos;Fernandes, Carlos A.</t>
  </si>
  <si>
    <t>United States;Portugal;United States</t>
  </si>
  <si>
    <t>Albuquerque;Lisbon;Nashua</t>
  </si>
  <si>
    <t>The University of New Mexico;Instituto Superior T√©cnico;Spike Technologies, Inc.</t>
  </si>
  <si>
    <t>60033021;60004956;100444001</t>
  </si>
  <si>
    <t>Herscovici N.</t>
  </si>
  <si>
    <t>Shaped dielectric lenses for wireless millimeter-wave communications</t>
  </si>
  <si>
    <t>10.1109/74.801527</t>
  </si>
  <si>
    <t>2-s2.0-33748012722</t>
  </si>
  <si>
    <t>New Scientist</t>
  </si>
  <si>
    <t>Valsecchi, Maria Cristina</t>
  </si>
  <si>
    <t>Valsecchi M.</t>
  </si>
  <si>
    <t>Clever antennae could save lives in the air</t>
  </si>
  <si>
    <t>2-s2.0-33748720896</t>
  </si>
  <si>
    <t>['westfield college', 'queen mary', 'paper presents', 'new technique', 'new development', 'main collimator', 'drfs ).', 'also presented', '35 times']</t>
  </si>
  <si>
    <t>This paper presents a Tri-reflector Compact Antenna Test Range (CATR) consisting of a main parabolic reflector and a Dual Reflector Feed System (DRFS). It is proposed to implement the DRFS in an existing single offset range to improve its quiet zone size. For the synthesis of the DRFS, a new technique is presented. The CATR at Queen Mary and Westfield College (QMW) is taken as an example and computational results showing the theoretical quiet zone field indicate an improvement of 2.35 times the dimension of the original quiet zone. It is also presented the new development that is being carried out to improve the systems with sectorial parabolic reflector as a main collimator.</t>
  </si>
  <si>
    <t>60015043;60015043</t>
  </si>
  <si>
    <t>6602432734;7005244140</t>
  </si>
  <si>
    <t>Descardeci, J. R.;Parini, C. G.</t>
  </si>
  <si>
    <t>Curitiba</t>
  </si>
  <si>
    <t>Universidade Federal do Parana</t>
  </si>
  <si>
    <t>Descardeci J.</t>
  </si>
  <si>
    <t>Enlargement of the quiet zone of a single offset CATR</t>
  </si>
  <si>
    <t>2-s2.0-53149134722</t>
  </si>
  <si>
    <t>['varies greatly', 'valid everywhere', 'source region', 'significantly altered', 'scattering superposition', 'paper aims', 'human head', 'fields outside', 'electromagnetic radiation', 'economical computation', 'dyadic green', 'called coupling']</t>
  </si>
  <si>
    <t>Antenna radiation pattern and other characteristics are significantly altered by the presence of the human head. When considering possible biological effects of electromagnetic (EM) fields, it is important to distinguish between field strengths outside the subject, and those within the body. The relationship of fields outside and within the body (called coupling) varies greatly with frequency. This paper aims to express an exact general representation of dyadic Green's function (DGF) for the problem of electromagnetic radiation from a source of excitation in the presence of a human head model (multi-layered homogeneous lossy dielectric spherical model), which is valid everywhere, including the source region. The medium is assumed to be homogeneous, isotropic, linear, non-dispersive and stationary. The DGFs are obtained by employing the method of scattering superposition. Alternatively a compact general expression has been developed to determine the electric and magnetic type DGFs giving clarity as well as more efficient and economical computation in terms of speed, time and memory.</t>
  </si>
  <si>
    <t>60020623;60020623</t>
  </si>
  <si>
    <t>6602440720;7005630977</t>
  </si>
  <si>
    <t>Reyhani, S. M.S.;Glover, R. J.</t>
  </si>
  <si>
    <t>Uxbridge</t>
  </si>
  <si>
    <t>Brunel University London</t>
  </si>
  <si>
    <t>Reyhani S.</t>
  </si>
  <si>
    <t>Electromagnetic modeling of spherical head using dyadic Green's function</t>
  </si>
  <si>
    <t>2-s2.0-5344220323</t>
  </si>
  <si>
    <t>['two antennas', 'tuning accounted', 'one db', 'loss due', 'handheld phone', 'antenna mis', 'anechoic room', '9 db', '2 db', '17 db']</t>
  </si>
  <si>
    <t>Measurements in an anechoic room of three-dimensional radiation patterns for 42 test persons using a handheld phone with two antennas are investigated in order to find the bodyloss. The measured efficiency range from 0.9 dB to 17 dB. From the measurements is was possible to separate the absorption and the loss due to mis-match of the antenna. The antenna mis-tuning accounted for less than 2 dB to the bodyloss. The uncertainties in the measurements is in the order of one dB.</t>
  </si>
  <si>
    <t>7102820003;7102561962;7402295273</t>
  </si>
  <si>
    <t>Pedersen, Gert Fr√∏lund;Olesen, Kim;Larsen, Steen Leth</t>
  </si>
  <si>
    <t>Pedersen G.</t>
  </si>
  <si>
    <t>Antenna efficiency of handheld phones</t>
  </si>
  <si>
    <t>2-s2.0-5344223418</t>
  </si>
  <si>
    <t>['unconnected regions', 'scattering objects', 'particularly suitable', 'multiple sources', 'multiple physically', 'mobile telephone', 'hybrid method', 'human head', 'head ).', 'equivalent sources', 'available data']</t>
  </si>
  <si>
    <t>An approach to hybridisation of the Method of Moments and the Finite Difference Time Domain method is investigated. This hybrid method is capable of analysing a system of multiple physically-unconnected regions by employing the principle of equivalent sources. Such a technique is particularly suitable for computation of the coupling between the human head and a mobile telephone, since the most appropriate method may be chosen for each domain (MoM for the handset and FDTD for the head).The case of multiple sources in the presence of scattering objects is discussed. Some examples are given for testing the validity of the approach and results are compared with other available data.</t>
  </si>
  <si>
    <t>7003902501;7006824457;6602536151;13612913300</t>
  </si>
  <si>
    <t>Abd-Alhameed, R. A.;Excell, P. S.;Mangoud, M. A.;Vaul, J. A.</t>
  </si>
  <si>
    <t>Hybrid integral equation/finite difference method for computation of interaction of mobile telephone antenna with the human head</t>
  </si>
  <si>
    <t>2-s2.0-5344246640</t>
  </si>
  <si>
    <t>60100581;60100581;60100581;60100581</t>
  </si>
  <si>
    <t>6701760387;6507294315;6602223758;35554783100</t>
  </si>
  <si>
    <t>Leisten, Oliver;Agboraw, Ebi;Nicolaidis, George;Dowsett, Mark</t>
  </si>
  <si>
    <t>Symmetricom</t>
  </si>
  <si>
    <t>Leisten O.</t>
  </si>
  <si>
    <t>A broad-band miniature dielectric-loaded personal telephone antenna - With low SAR</t>
  </si>
  <si>
    <t>2-s2.0-5344247940</t>
  </si>
  <si>
    <t>['widely selected', 'two methods', 'top end', 'radiation patterns', 'proposes methods', 'peak sar', 'paper studies', 'opposite end', 'key attributes', 'human head', 'hemispherical pattern', 'handheld case', 'feed points', 'compact form', 'analytic formulation', '29 db']</t>
  </si>
  <si>
    <t>The quadrifilar helix antenna (QHA) has been widely selected as a preferred handset antenna for mobile satellite communication. It has the key attributes of near-hemispherical pattern with good circular polarisation within a compact form-factor. Concern has been expressed, however, with regard to the impact of relatively high transmit powers on absorption in the human head. This paper studies this issue, and proposes methods for minimizing any effects. Two methods for minimizing these interactions have been studied by comparing the results of measurements and simulations. A simple homogenous sphere human head model with a dipole has been used to verify the specific absorption rate (SAR) predictions of the transmission line modelling method(TLM) against an analytic formulation, using dyadic Green's functions. By moving the feed points of the QHA to the top end of the antenna and changing the radiais at the opposite end, the peak SAR is reduced by around 12 dB. By moving the antenna up above the handheld case by around 9 cm, the peak SAR is reduced by 29 dB. The radiation patterns in each case are presented and compared with measurement.</t>
  </si>
  <si>
    <t>60021097;;</t>
  </si>
  <si>
    <t>6506665465;6603994383;7202876045</t>
  </si>
  <si>
    <t>Suvannapattana, P.;Agius, A. A.;Saunders, S. R.</t>
  </si>
  <si>
    <t>Methods for minimizing quadrifilar helix antenna interactions with the human head</t>
  </si>
  <si>
    <t>2-s2.0-5344277527</t>
  </si>
  <si>
    <t>['techniques used', 'return loss', 'optical generation', 'optical control', 'new tools', 'microwave signals', 'microwave devices', 'increasing use', 'fundamental quantities', 'existing approaches', 'corresponding need', 'art architectures']</t>
  </si>
  <si>
    <t>The increasing use of microwave photonic components in applications such as optical generation, distribution and processing of microwave signals, antenna beam forming and optical control of microwave devices has brought a corresponding need for accurate component characterisation. In particular, new tools will be required for the measurement of fundamental quantities such as the microwave frequency response, bandwidth, gain and return loss of microwave photonic components. However, existing approaches to microwave photonic network analysis are primitive when compared with conventional microwave network analysis. This paper will provide a review of the theory and techniques used for microwave photonic component characterisation. State-of-the-art architectures for microwave photonic component network analysers and the corresponding optical calibration techniques that have been developed at Leeds [3] - [6] will be described.</t>
  </si>
  <si>
    <t>60012070;60012070;60012070</t>
  </si>
  <si>
    <t>7006131672;6602526011;56897613300</t>
  </si>
  <si>
    <t>Iezekiel, S.;Elamaran, B.;Pollard, R. D.</t>
  </si>
  <si>
    <t>Leeds</t>
  </si>
  <si>
    <t>University of Leeds</t>
  </si>
  <si>
    <t>Iezekiel S.</t>
  </si>
  <si>
    <t>Trends in microwave photonic network analysers</t>
  </si>
  <si>
    <t>2-s2.0-5644265192</t>
  </si>
  <si>
    <t>60001881;</t>
  </si>
  <si>
    <t>7403976044;55328764600</t>
  </si>
  <si>
    <t>Edwards, R. M.;Cook, G. G.</t>
  </si>
  <si>
    <t>Edwards R.</t>
  </si>
  <si>
    <t>Design of printed spiral antennas using a moment method running under a genetic algorithm optimisation routine</t>
  </si>
  <si>
    <t>2-s2.0-6044243805</t>
  </si>
  <si>
    <t>['polar regions', 'mobile communications', 'hour orbit', 'diameter antenna', 'coplaner satellites', '1993 proposal']</t>
  </si>
  <si>
    <t>The 1993 proposal for the Zerkalo geostationary communications satellite has developed into a system of twin, coplaner satellites, with a 12-hour phase difference, in an eccentric, 24-hour orbit. A 63¬∞ inclination "tundra" orbit would provide continuous personal and mobile communications to polar regions through a 15 m diameter antenna.</t>
  </si>
  <si>
    <t>0007084X</t>
  </si>
  <si>
    <t>JBIS - Journal of the British Interplanetary Society</t>
  </si>
  <si>
    <t>Perry, G. E.</t>
  </si>
  <si>
    <t>Kettering Group</t>
  </si>
  <si>
    <t>Perry G.</t>
  </si>
  <si>
    <t>Zerkalo</t>
  </si>
  <si>
    <t>2-s2.0-70449805386</t>
  </si>
  <si>
    <t>['vice versa', 'unique advantage', 'three beams', 'symmetrical sources', 'source shapes', 'small compared', 'side lobes', 'qualitative method', 'position displacements', 'position determination', 'multiple beams', 'much better', 'itapetinga 13', 'first time', 'developed technique', 'critically dependent', 'beam shapes', 'angular extent', '5 arcsec', '48 ghz']</t>
  </si>
  <si>
    <t>Sun: flares | Sun: radio radiation | Techniques: interferometric</t>
  </si>
  <si>
    <t>The multiple beam technique determine burst sources positions when their angular extent are small compared with the beam shapes. We show for the first time that we can check the above condition with the simultaneous observation using at least four beams. The developed technique is not critically dependent on source shapes. By means of simulations we found that for narrow 1 arcmin long sources the uncertainties in position determination are less than 5 arcsec, and much better for symmetrical sources. The influence of side lobes on source positions determinations was found to be negligible. A qualitative method was developed when data from only three beams are available. Both methods are applied to the analysis of a solar burst observed with multiple beams at 48 GHz with the Itapetinga 13.7 m antenna. The multiple beam technique also offers the unique advantage to determine flux density irrespectively from the position displacements of the source with respect to the beams, or vice versa.</t>
  </si>
  <si>
    <t>373-382</t>
  </si>
  <si>
    <t>60012729;60012729;60009114;60012729;60012729</t>
  </si>
  <si>
    <t>6507073632;7006016880;6701722736;7201921496;7402461263</t>
  </si>
  <si>
    <t>Gim√©nez De Castro, C. G.;Raulin, J. P.;Makhmutov, V. S.;Kaufmann, P.;Costa, J. E.R.</t>
  </si>
  <si>
    <t>Brazil;Russian Federation</t>
  </si>
  <si>
    <t>Sao Jose dos Campos;Moscow</t>
  </si>
  <si>
    <t>Instituto Nacional de Pesquisas Espaciais;P.N. Lebedev Physical Institute of the Russian Academy of Sciences</t>
  </si>
  <si>
    <t>60012729;60009114</t>
  </si>
  <si>
    <t>Gim√©nez De Castro C.G.</t>
  </si>
  <si>
    <t>Instantaneous positions of microwave solar bursts: Properties and validity of the multiple beam observations</t>
  </si>
  <si>
    <t>10.1051/aas:1999428</t>
  </si>
  <si>
    <t>2-s2.0-24544456248</t>
  </si>
  <si>
    <t>['proposed methodology', 'multipole algorithm', 'conventional method', 'computationally expensive', 'computational scheme', 'classical mom']</t>
  </si>
  <si>
    <t>The analysis of radiation and scattering from a multiregion quasiplanar structure using the conventional method of moments (MoM) is computationally expensive. To circumvent this difficulty, a computational scheme that supplements the classical MoM with the steepest descent fast-multipole algorithm is presented in this paper. This proposed methodology is particularly well suited to the analysis of finite microstrip antenna arrays.</t>
  </si>
  <si>
    <t>306-310</t>
  </si>
  <si>
    <t>60000745-60009469;60000745-60009469;60000745-60009469;60000745-60009469</t>
  </si>
  <si>
    <t>7006652174;7005196479;7005779927;26643168800</t>
  </si>
  <si>
    <t>Jandhyala, Vikram;Michielssen, Eric;Shanker, Balasubramaniam;Chew, Weng C.</t>
  </si>
  <si>
    <t>Pittsburgh;Urbana</t>
  </si>
  <si>
    <t>Ansoft Corporation;University of Illinois Urbana-Champaign</t>
  </si>
  <si>
    <t>60009469;60000745</t>
  </si>
  <si>
    <t>Jandhyala V.</t>
  </si>
  <si>
    <t>Fast algorithm for the analysis of radiation and scattering from microstrip arrays on finite substrates</t>
  </si>
  <si>
    <t>10.1002/(SICI)1098-2760(19991205)23:5&lt;306::AID-MOP14&gt;3.0.CO;2-X</t>
  </si>
  <si>
    <t>2-s2.0-0033312510</t>
  </si>
  <si>
    <t>['refined method', 'radiation characteristics', 'microstrip antennas', 'finite substrates', 'electric surface', 'accurate results']</t>
  </si>
  <si>
    <t>A refined method to compute the radiation characteristics of microstrip antennas on finite substrates is presented. Electric surface and volume polarization currents are approximately calculated using the Green's function of an infinite dielectric slab. A comparison with measured radiation patterns shows that the excitation via coaxial probe needs to be included in the calculations for more accurate results.</t>
  </si>
  <si>
    <t>263-265</t>
  </si>
  <si>
    <t>60007902;60007902</t>
  </si>
  <si>
    <t>6505914327;55645716800</t>
  </si>
  <si>
    <t>Marg, Reimar;Jacob, Arne F.</t>
  </si>
  <si>
    <t>Improved radiation pattern computation of finite microstrip antennas</t>
  </si>
  <si>
    <t>10.1002/(SICI)1098-2760(19991205)23:5&lt;263::AID-MOP2&gt;3.0.CO;2-O</t>
  </si>
  <si>
    <t>2-s2.0-0033313589</t>
  </si>
  <si>
    <t>['wide band', 'two antennas', 'new dual', 'mmic applications', 'good agreement', 'frequency ratio', 'band antenna']</t>
  </si>
  <si>
    <t>A new dual-band antenna that uses coplanar waveguide (CPW) structures and which is suitable for MMIC applications is presented. The new design offers the flexibility of changing the frequency ratio between the upper and lower frequency bands, as well as designing for a single, but wide band. Two antennas have been implemented in the Ka-band at X-band. Very good agreement between the simulation and measurements has been obtained.</t>
  </si>
  <si>
    <t>60016005;60026338;60016005</t>
  </si>
  <si>
    <t>7003667918;35566584200;35884167700</t>
  </si>
  <si>
    <t>Hammad, H. F.;Antar, Y. M.M.;Freundorfer, A. P.</t>
  </si>
  <si>
    <t>Kingston;Kingston</t>
  </si>
  <si>
    <t>Royal Military College of Canada;Queen‚Äôs University</t>
  </si>
  <si>
    <t>60026338;60016005</t>
  </si>
  <si>
    <t>Hammad H.</t>
  </si>
  <si>
    <t>New CPW antenna suitable for MMIC applications</t>
  </si>
  <si>
    <t>10.1002/(SICI)1098-2760(19991205)23:5&lt;304::AID-MOP13&gt;3.0.CO;2-1</t>
  </si>
  <si>
    <t>2-s2.0-0033317886</t>
  </si>
  <si>
    <t>['working systems', 'simply switching', 'radiation characteristics', 'novel technique', 'method combines', 'genetic algorithm', 'field region', 'excitation coefficients', 'array elements', 'array antenna', 'allows us']</t>
  </si>
  <si>
    <t>A novel technique is presented which allows us to improve the radiation characteristics of an array antenna in the presence of an obstacle by simply switching off some of the array elements. This method combines an electromagnetic modeling technique with a genetic algorithm to determine the elements that must be switched off. It can be useful in working systems in which an object has been placed in its near-field region. In these cases, it may be impossible (or too expensive) to change the excitation coefficients, but it is very easy to turn off some elements.</t>
  </si>
  <si>
    <t>324-325</t>
  </si>
  <si>
    <t>55939570500;7003784434;7404696540</t>
  </si>
  <si>
    <t>Landesa, L.;Obelleiro, F.;Rodriguez, J. L.</t>
  </si>
  <si>
    <t>Practical improvement of array antennas in the presence of environmental objects using genetic algorithms</t>
  </si>
  <si>
    <t>10.1002/(SICI)1098-2760(19991205)23:5&lt;324::AID-MOP19&gt;3.0.CO;2-E</t>
  </si>
  <si>
    <t>2-s2.0-0033323072</t>
  </si>
  <si>
    <t>['transistor amplifiers', 'radiation pattern', 'interelement spacing', 'feed aperture', 'band 137']</t>
  </si>
  <si>
    <t>The design, development, and testing of an X-band 137-element passive reflect array capable of incorporating active devices such as transistor amplifiers is presented. In order to avoid grating lobes in the radiation pattern, the interelement spacing is minimized using dual-feed aperture-coupled patch antenna elements. Far-field radiation pattern results are presented and compared with the predicted radiation patterns.</t>
  </si>
  <si>
    <t>295-299</t>
  </si>
  <si>
    <t>100588524;60031004;60031004</t>
  </si>
  <si>
    <t>7403386650;35570164700;7404037594</t>
  </si>
  <si>
    <t>Robinson, Ashley W.;Bialkowski, Marek E.;Song, Hyok J.</t>
  </si>
  <si>
    <t>60031004;100588524</t>
  </si>
  <si>
    <t>Passive reflect array with dual-feed microstrip patch elements</t>
  </si>
  <si>
    <t>10.1002/(SICI)1098-2760(19991205)23:5&lt;295::AID-MOP11&gt;3.0.CO;2-H</t>
  </si>
  <si>
    <t>2-s2.0-0033342154</t>
  </si>
  <si>
    <t>['wave analysis', 'two microstrips', 'theoretical method', 'theoretical approach', 'polarization levels', 'numerical simulation', 'numerical code', 'mom ):', 'microstrip array', 'main features', 'low cross', 'high bandwidth', 'allow us']</t>
  </si>
  <si>
    <t>A theoretical approach and numerical simulation of a microstrip array for dual linear polarization are presented. The radiating element consists of two electromagnetic coupled patches fed by two microstrips that allow us to radiate two orthogonal polarized fields. The theoretical method is based on full-wave analysis (FWA) together with the method of moments (MoM): this approach is finalized to the realization of a numerical code that gives the main features of the array, that is, high bandwidth and low cross-polarization levels.</t>
  </si>
  <si>
    <t>277-281</t>
  </si>
  <si>
    <t>60012630;60012630-60073283</t>
  </si>
  <si>
    <t>7004207954;56627149300</t>
  </si>
  <si>
    <t>Bilotti, F.;Vegni, C.</t>
  </si>
  <si>
    <t>Rome;Rome</t>
  </si>
  <si>
    <t>Alenia Aeronautica;Universit√† degli Studi Roma Tre</t>
  </si>
  <si>
    <t>60073283;60012630</t>
  </si>
  <si>
    <t>Bilotti F.</t>
  </si>
  <si>
    <t>Design of a dual-polarization linear patch array via full-wave analysis</t>
  </si>
  <si>
    <t>10.1002/(SICI)1098-2760(19991205)23:5&lt;277::AID-MOP6&gt;3.0.CO;2-#</t>
  </si>
  <si>
    <t>2-s2.0-0033344179</t>
  </si>
  <si>
    <t>['stacked self', 'polarization levels', 'novel microstrip', 'low cross', 'impedance bandwidth', 'fed slot', 'coupled dual', 'conventional microstrip', 'back ratios', '20 db']</t>
  </si>
  <si>
    <t>A novel microstrip-fed slot-coupled dual-stacked self-complementary patch antenna is designed and presented. Measured results show that the impedance bandwidth of the self-complementary patch antenna is wider than a conventional microstrip-fed slot-coupled dual-stacked patch antenna. Radiation patterns show front-to-back ratios of better then 20 dB and low cross-polarization levels for the self-complementary patch antenna as compared to the conventional patch antenna.</t>
  </si>
  <si>
    <t>284-289</t>
  </si>
  <si>
    <t>7202267270;6603179806;35581072400</t>
  </si>
  <si>
    <t>Ooi, B. L.;Siah, E. S.;Kooi, P. S.</t>
  </si>
  <si>
    <t>Novel microstrip-fed slot-coupled self-complementary patch antenna</t>
  </si>
  <si>
    <t>10.1002/(SICI)1098-2760(19991205)23:5&lt;284::AID-MOP8&gt;3.0.CO;2-1</t>
  </si>
  <si>
    <t>2-s2.0-0033349679</t>
  </si>
  <si>
    <t>['various techniques', 'impedance performance', 'axial ratio']</t>
  </si>
  <si>
    <t>Various techniques have been proposed for improving the axial ratio and impedance performance of circularly polarized microstrip antennas. In this regard, a novel circular ring slot antenna fed by an aperture coupled stripline hybrid coupler has been designed for generating broadband circular polarization performance.</t>
  </si>
  <si>
    <t>2154-2155</t>
  </si>
  <si>
    <t>Circularly polarized circular ring slot antenna fed by stripline hybrid coupler</t>
  </si>
  <si>
    <t>10.1049/el:19991474</t>
  </si>
  <si>
    <t>2-s2.0-0033323296</t>
  </si>
  <si>
    <t>['wide variety', 'wavelength apart', 'isotropic sources', 'general expression', 'form expression', 'elements spaced']</t>
  </si>
  <si>
    <t>The directivity of nonuniformly spaced symmetrical linear arrays has been numerically modeled using a closed-form expression that is valid for a wide variety of commonly used antenna elements. The general expression for directivity was shown to reduce the well-known classical result for a uniformly excited broadside array of isotropic sources with elements spaced a half-wavelength apart.</t>
  </si>
  <si>
    <t>2155-2157</t>
  </si>
  <si>
    <t>55925714300;6505670139;56036142700</t>
  </si>
  <si>
    <t>Werner, D. H.;Mulyantini, D.;Werner, P. L.</t>
  </si>
  <si>
    <t>Closed-form representation for directivity of nonuniformly spaced linear arrays with arbitrary element patterns</t>
  </si>
  <si>
    <t>10.1049/el:19991475</t>
  </si>
  <si>
    <t>2-s2.0-0033323604</t>
  </si>
  <si>
    <t>['triangular dra', 'radiation patterns', 'investigated experimentally', 'impedance matching', 'high permittivity', 'coupled equilateral', 'antenna gain']</t>
  </si>
  <si>
    <t>An aperture-coupled equilateral-triangular dielectric resonator antenna (DRA) of very high permittivity (Œµr = 82) is investigated experimentally. The triangular DRA is more compact in size than rectangular and circular disk DRAs operating at the same frequency. The impedance matching, radiation patterns and antenna gain of the triangular DRA are presented.</t>
  </si>
  <si>
    <t>7202085510;56415172000;55510527400;7101878862</t>
  </si>
  <si>
    <t>Lo, H. Y.;Leung, K. W.;Luk, K. M.;Yung, E. K.N.</t>
  </si>
  <si>
    <t>Lo H.</t>
  </si>
  <si>
    <t>Low profile equilateral-triangular dielectric resonator antenna of very high permittivity</t>
  </si>
  <si>
    <t>10.1049/el:19991459</t>
  </si>
  <si>
    <t>2-s2.0-0033329966</t>
  </si>
  <si>
    <t>['robust algorithm', 'input data', 'cost function', 'complex arrays', 'authors propose']</t>
  </si>
  <si>
    <t>The authors propose an efficient and computationally fast algorithm for solving the mix-up problem in complex arrays. The Lagrange multiplier theory is used in the optimization of the constant modulus algorithm (CMA) cost function and the input data are processed in blocks. Furthermore, a simplification of the CMA cost function is proposed that leads to a robust algorithm for solving this problem. Simulations are presented to support the analysis.</t>
  </si>
  <si>
    <t>2161-2163</t>
  </si>
  <si>
    <t>60015150;60015150</t>
  </si>
  <si>
    <t>7801509095;57210082540</t>
  </si>
  <si>
    <t>Volani, K.;Constantinides, A. G.</t>
  </si>
  <si>
    <t>Volani K.</t>
  </si>
  <si>
    <t>Improvement for solving the mix-up problem in constant modulus arrays</t>
  </si>
  <si>
    <t>10.1049/el:19991494</t>
  </si>
  <si>
    <t>2-s2.0-0033335834</t>
  </si>
  <si>
    <t>['wideband performance', 'shorting pin', 'fundamental mode', 'compact size', 'approximately 50', 'additional mode']</t>
  </si>
  <si>
    <t>When a shorting pin is added to the planar monopole antenna, an additional mode is excited below the fundamental mode. By optimizing the dimensions, a compact wideband antenna can be constructed. The size reduction achievable for this antenna is approximately 50% compared with an equivalent planar monopole without a shorting pin. Owing to its compact size and wideband performance, this antenna is suitable for use in existing and future mobile communication terminals.</t>
  </si>
  <si>
    <t>2157-2158</t>
  </si>
  <si>
    <t>Compact wideband planar monopole antenna</t>
  </si>
  <si>
    <t>10.1049/el:19991491</t>
  </si>
  <si>
    <t>2-s2.0-0033340263</t>
  </si>
  <si>
    <t>['vivaldi antennas', 'polarization levels', 'parallel series', 'odd excitation', 'low cross', 'fed array', 'equivalent circuit', 'coplanar waveguide', 'centered zero', '4 ghz']</t>
  </si>
  <si>
    <t>A coplanar waveguide-fed twin Vivaldi antenna has been developed and tested at 4.4 GHz and an equivalent circuit has been proposed. E-plane radiation patterns show a centered zero because of the odd excitation of the antennas while low cross-polarization levels are observed. The maximum radiation angle can be modified by adjusting the distance between the antennas. The equivalent circuit will be useful for the design of a parallel series-fed array of Vivaldi antennas.</t>
  </si>
  <si>
    <t>2160-2161</t>
  </si>
  <si>
    <t>60110755;60110755;60110755</t>
  </si>
  <si>
    <t>6508207017;6602159125;7003360986</t>
  </si>
  <si>
    <t>Linardou, I.;Migliaccio, C.;Laheurte, J. M.</t>
  </si>
  <si>
    <t>Linardou I.</t>
  </si>
  <si>
    <t>Equivalent circuit of twin Vivaldi antenna fed by coplanar waveguide</t>
  </si>
  <si>
    <t>10.1049/el:19991481</t>
  </si>
  <si>
    <t>2-s2.0-0033344169</t>
  </si>
  <si>
    <t>['time constant', 'polarization ratio', 'novel type', '150 ns']</t>
  </si>
  <si>
    <t>A novel type of antenna-coupled infrared detector consisting of a niobium microbolometer integrated with two microstrip patch antennas is reported. This is the first microstrip antenna structure proven to detect thermal infrared radiation. A polarization ratio of &gt;20:1 and a time constant of &lt;150 ns have been measured for this type of detector.</t>
  </si>
  <si>
    <t>2166-2167</t>
  </si>
  <si>
    <t>60022144;60022144;60007776;60022144</t>
  </si>
  <si>
    <t>6603120992;6603761497;7401446263;7006366203</t>
  </si>
  <si>
    <t>Codreanu, I.;Fumeaux, C.;Spencer, D. F.;Boreman, G. D.</t>
  </si>
  <si>
    <t>Orlando;Ithaca</t>
  </si>
  <si>
    <t>University of Central Florida;Cornell University</t>
  </si>
  <si>
    <t>60022144;60007776</t>
  </si>
  <si>
    <t>Codreanu I.</t>
  </si>
  <si>
    <t>Microstrip antenna-coupled infrared detector</t>
  </si>
  <si>
    <t>10.1049/el:19991486</t>
  </si>
  <si>
    <t>2-s2.0-0033345231</t>
  </si>
  <si>
    <t>['return loss', 'radiation pattern', 'polarization level', 'polar isolation', 'four beams', '22 db']</t>
  </si>
  <si>
    <t>A dual polarized four-beam antenna array for the 1850-1990 MHz frequency band is presented. The polarizations are ¬±45¬∞ to vertical. The antenna has eight inputs corresponding to two orthogonal polarizations and four beams. The return loss and cross-polar isolation for a single Butler beam exceeds 15 and 22 dB, respectively. The radiation pattern is similar to an ideal Butler pattern and the cross-polarization level is &lt;-21 dB in the beams.</t>
  </si>
  <si>
    <t>2158-2160</t>
  </si>
  <si>
    <t>60000990;;</t>
  </si>
  <si>
    <t>7006689192;57220468976;7007050464</t>
  </si>
  <si>
    <t>Lindmark, B.;Lundgren, S.;Beckman, C.</t>
  </si>
  <si>
    <t>Lindmark B.</t>
  </si>
  <si>
    <t>Dual polarized multibeam antenna</t>
  </si>
  <si>
    <t>10.1049/el:19991497</t>
  </si>
  <si>
    <t>2-s2.0-0033355929</t>
  </si>
  <si>
    <t>['significant radiation', 'radiation may', 'local oscillator', 'integrated filter', 'cluttered environments']</t>
  </si>
  <si>
    <t>Active receiving antennas with an integrated filter, amplifier, mixer and local oscillator have significant radiation at the local oscillator frequency. This radiation may be out of band and could be a problem in cluttered environments. In this Letter, the problem is evaluated through measurements and simulation on integrated microstrip patch antennas.</t>
  </si>
  <si>
    <t>2163-2164</t>
  </si>
  <si>
    <t>60019702;60019702;60019702;</t>
  </si>
  <si>
    <t>7202153323;57213425197;7201658579;32867606300</t>
  </si>
  <si>
    <t>Ma, G.;Hall, P. S.;Gardner, P.;Hajian, M.</t>
  </si>
  <si>
    <t>Ma G.</t>
  </si>
  <si>
    <t>Local oscillator radiation from active integrated antennas</t>
  </si>
  <si>
    <t>10.1049/el:19991482</t>
  </si>
  <si>
    <t>2-s2.0-0033356901</t>
  </si>
  <si>
    <t>['transfer rates', 'time development', 'time dependence', 'therefore forced', 'subunits lh2', 'sle treatment', 'rings lh2', 'ring structure', 'rhodopseudomonas acidophila', 'reineker parametrization', 'reaction center', 'quasicoherent regime', 'quantum field', 'original hsr', 'orientation dependence', 'new parameter', 'local energy', 'lh1 rings', 'known shortcomings', 'finite temperatures', 'extended states', 'etc .,', 'energy relaxation', 'dynamic equations', 'diagonal elements', 'delivery time', 'antenna system']</t>
  </si>
  <si>
    <t>A common accepted feature of the purple bacteria antenna systems seems to be a ring structure of their subunits LH2 and LH1. We concentrate our investigation on a delivery time of the energy through the subunits LH2 and LH1 of the antenna system to the reaction center. We are dealing with a model system consisting of one ring LH2 and one ring LH1. We have used structure data from Rhodopseudomonas acidophila. We investigate the exciton transfer inside and between LH2 and LH1 rings in the presence of the interaction with a bath. One can expect the incoherent (hopping) regime of the exciton transfer among the LH2 and LH1 rings. The exciton transfer inside the rings LH2 and LH1 is treated in a quasicoherent regime. One is therefore forced to deal with the time development of the full exciton density matrix of the exciton to take into account phase relations given by off-diagonal elements, completing in such a way information given by the site occupation probabilities Pm(t), diagonal elements of the exciton density matrix. Time dependence of the exciton density matrix is governed by dynamic equations which form an extension of the stochastic Liouville equation method with a Haken-Strobl-Reineker parametrization. Some known shortcomings of the original HSR-SLE treatment are removed in our model: (a) we replace a classical stochastic field by a quantum field and (b) we introduce a new parameter A to provide a correct imbalance among the extended states at finite temperatures for long times due to energy relaxation. We discuss the influence of a local energy and a transfer integral heterogeneity, distance, and orientation dependence of the transfer rates between rings, relaxation, etc., on the energy delivery time.</t>
  </si>
  <si>
    <t>10892-10909</t>
  </si>
  <si>
    <t>100372937;60016605</t>
  </si>
  <si>
    <t>60016605;100372937</t>
  </si>
  <si>
    <t>Computer Simulation of the Exciton Transfer in the Coupled Ring Antenna Subunits of Bacteria Photosynthetic Systems</t>
  </si>
  <si>
    <t>10.1021/jp9908855</t>
  </si>
  <si>
    <t>2-s2.0-0141711678</t>
  </si>
  <si>
    <t>['v ).', 'ultraviolet photodiode', 'trifluoroacetic acid', 'sd 8', 'sd 11', 'reconstituted sample', 'plasma buffered', 'ph 9', 'performed using', 'percent deviation', 'nominal concentration', 'noise ratio', 'nfv ),', 'lower limit', 'liquid extraction', 'internal standard', 'human plasma', 'concentration range', 'array detector', '9 %),', '7 %)', '6000 œºg', '500 œºl', '3000 œºg', '25 œºg', '220 nm', '20 %.', '15 œºg']</t>
  </si>
  <si>
    <t>M8 | Nelfinavir</t>
  </si>
  <si>
    <t>We developed and characterized a high-performance liquid chromatographic assay for the determination of nelfinavir (NFV), a potent HIV protease inhibitor, and its active metabolite M8 in human plasma. Extraction of the internal standard, M8 and NFV from the plasma buffered at pH 9.5 was achieved by a liquid-liquid extraction with a mixture of methyl-tert.-butyl ether and hexane. Following two washes of the reconstituted sample with hexane, separation was achieved on an octadecylsilyl analytical column with a mobile phase containing 0.1% trifluoroacetic acid-acetonitrile-methanol (51:46:5, v/v). Detection was performed using an ultraviolet photodiode-array detector. The signal was monitored at a wavelength of 220 nm. The assay was found to be linear and has been validated over the concentration range of 25 to 3000 Œºg/l for M8 and 25 to 6000 Œºg/l for NFV, from 500 Œºl of plasma. Recoveries were 98.9% (SD 8.9%), and 100.2% (SD 11.7%) for M8 and NFV, respectively. Concentrations that gave a signal-to-noise ratio of three (15 Œºg/l for both M8 and NFV) were selected to determine the limit of detection. The lower limit of quantification (25 Œºg/l for both M8 and NFV) was defined as the concentration for which the relative standard deviation and the percent deviation from the nominal concentration were lower than 20%. Copyright (C) 1999 Elsevier Science B.V.</t>
  </si>
  <si>
    <t>159-170</t>
  </si>
  <si>
    <t>Journal of Chromatography B: Biomedical Sciences and Applications</t>
  </si>
  <si>
    <t>60022785-60106017;60022785;60022785-60106017</t>
  </si>
  <si>
    <t>7003295599;7006978579;7101942872</t>
  </si>
  <si>
    <t>Lamotte, Claire;Peytavin, Gilles;Farinotti, Robert</t>
  </si>
  <si>
    <t>Saint-Aubin;Paris</t>
  </si>
  <si>
    <t>Universite Paris-Saclay;H√¥pital Bichat-Claude-Bernard AP-HP</t>
  </si>
  <si>
    <t>60106017;60022785</t>
  </si>
  <si>
    <t>Lamotte C.</t>
  </si>
  <si>
    <t>Determination of nelfinavir, a potent HIV protease inhibitor, and its active metabolite M8 in human plasma by high-performance liquid chromatography with photodiode-array detection</t>
  </si>
  <si>
    <t>S0378434799004193</t>
  </si>
  <si>
    <t>10.1016/S0378-4347(99)00419-3</t>
  </si>
  <si>
    <t>2-s2.0-0032704706</t>
  </si>
  <si>
    <t>['type interferometer', 'transmitted radiation', 'thz region', 'spectral coverage', 'photoconductive antenna', 'measuring transmittance', 'light spot', 'electron bolometer', 'electromagnetic waves', 'electromagnetic radiation']</t>
  </si>
  <si>
    <t>A system for measuring transmittance of electromagnetic waves in the sub-THz region is proposed. The electromagnetic radiation is generated by the excitation of a photoconductive antenna with a commercially available multimode laser diode. The spectral coverage of the radiation is increased by defocusing the light spot on the photoconductive antenna. Transmitted radiation is detected by a hot-electron bolometer through a Martin-Puplett-type interferometer. Transmittance is measured for n-type Si wafers with various doping levels. The carrier densities calculated from the transmittance agree well with those obtained from the dc conductivity measurement. ¬© 1999 American Institute of Physics.</t>
  </si>
  <si>
    <t>3772-3774</t>
  </si>
  <si>
    <t>60024322;60024322-60015682;60024322</t>
  </si>
  <si>
    <t>36904664600;7006497099;7005397782</t>
  </si>
  <si>
    <t>Morikawa, O.;Tonouchi, M.;Hangyo, M.</t>
  </si>
  <si>
    <t>Suita;Kawaguchi</t>
  </si>
  <si>
    <t>Osaka University;Japan Science and Technology Agency</t>
  </si>
  <si>
    <t>60024322;60015682</t>
  </si>
  <si>
    <t>Sub-THz spectroscopic system using a multimode laser diode and photoconductive antenna</t>
  </si>
  <si>
    <t>10.1063/1.125451</t>
  </si>
  <si>
    <t>2-s2.0-0013401137</t>
  </si>
  <si>
    <t>96-15-96780</t>
  </si>
  <si>
    <t>['thermoelastic damping', 'thermodynamical fluctuations', 'surfaces caused', 'may also', 'fluctuations due', 'additional source', 'additional noise']</t>
  </si>
  <si>
    <t>Thermodynamical fluctuations of the temperature in mirrors of gravitational wave antennae are transformed through the thermal expansion coefficient into additional noise. This source of noise, which may also be interpreted as fluctuations due to thermoelastic damping, may not be neglected and leads to the necessity to reexamine the choice of materials for the mirrors. An additional source of noise are fluctuations of the mirrors' surfaces caused by optical power absorbed in dielectrical reflective layers. (C) 1999 Elsevier Science B.V.</t>
  </si>
  <si>
    <t>60007457;60007457;60007457</t>
  </si>
  <si>
    <t>7003908077;56264036600;6603764661</t>
  </si>
  <si>
    <t>Braginsky, V. B.;Gorodetsky, M. L.;Vyatchanin, S. P.</t>
  </si>
  <si>
    <t>Braginsky V.B.</t>
  </si>
  <si>
    <t>Thermodynamical fluctuations and photo-thermal shot noise in gravitational wave antennae</t>
  </si>
  <si>
    <t>S0375960199007859</t>
  </si>
  <si>
    <t>10.1016/S0375-9601(99)00785-9</t>
  </si>
  <si>
    <t>2-s2.0-0033552549</t>
  </si>
  <si>
    <t>['x films', 'usually expected', 'tc superconducting', 'tc ),', 'specific temperature', 'resonant frequency', 'possible exemption', 'optimal performance', 'mgo substrates', 'impedance mismatch', 'critical temperature', '88 k', '86 k', '812 ghz', '52 db']</t>
  </si>
  <si>
    <t>We report the peculiar microwave properties of high-Tc superconducting (HTS) microstrip antennas without impedance matching circuits near the critical temperature (Tc), where impedance mismatch is usually expected. The superconducting thin films used in this report were YBa2Cu3O7-x films (Tc = 88 K) with various thicknesses deposited on MgO substrates by the pulse laser deposition technique. At the temperature of 86 K the reflection coefficient rapidly drops down below -62.52 dB and the standing wave ratio approaches almost unity 1.0015 at the resonant frequency of 11.812 GHz. This implies that a HTS microstrip antenna somehow tunes itself for the optimal performance at a specific temperature, indicative of possible exemption from impedance matching circuits. ¬© 1999 American Institute of Physics.</t>
  </si>
  <si>
    <t>7192-7194</t>
  </si>
  <si>
    <t>60001187;60001187;60001187;60007368;60007368</t>
  </si>
  <si>
    <t>7401719367;7401726375;57190190649;55661901400;15743775700</t>
  </si>
  <si>
    <t>Chung, Dong Chul;Han, Byoung Sung;Lee, Young Hee;Hyun, Ok Bae;Choi, Hyo Sang</t>
  </si>
  <si>
    <t>Seoul;Jeonju</t>
  </si>
  <si>
    <t>Korea Electric Power;Jeonbuk National University</t>
  </si>
  <si>
    <t>60007368;60001187</t>
  </si>
  <si>
    <t>Chung D.C.</t>
  </si>
  <si>
    <t>Anomalous microwave properties of high-T&lt;inf&gt;c&lt;/inf&gt; superconducting microstrip antennas around the critical temperature</t>
  </si>
  <si>
    <t>10.1063/1.371813</t>
  </si>
  <si>
    <t>2-s2.0-0004745328</t>
  </si>
  <si>
    <t>['whose antennae', 'various kinds', 'thus reflecting', 'sensory systems', 'possible function', 'possible derivation', 'possible adaptation', 'phylogenetic traits', 'particular features', 'naked perikarya', 'living insects', 'living arthropods', 'homologies outlined', 'holometabolous water', 'holometabolous insects', 'highly modified', 'hemimetabolous insects', 'freshwater environment', 'fine structure', 'diptera nematocera', 'chloride cells', 'chemosensory sensilla', 'aquatic habitat']</t>
  </si>
  <si>
    <t>Freshwater larvae | Hemimetabolous | Holometabolous | Sensory systems | Ultrastructure</t>
  </si>
  <si>
    <t>An overview of larval antennal sensilla in hemimetabolous and holometabolous water-living insects is given by updating current knowledge on the fine structure of these sensory systems. In the absence of successful electrophysiological studies, the possible function of sensilla is deduced from their architecture. Various kinds of sensilla are described in hemimetabolous insects, such as Ephemeroptera, Odonata, and Plecoptera, and holometabolous insects, such as Diptera Nematocera (Culicidae, Simuliidae, Psychodidae, Chaoboridae) and Trichoptera. Their possible function in responding to stimuli from the freshwater environment is illustrated and discussed. The importance of sensilla as taxonomic and phylogenetic traits is reported in Baetidae (Ephemeroptera) and in Diptera Nematocera. Some homologies outlined in Diptera Nematocera give evidence of a link between species, such as Chaoboridae and Psychodidae, whose antennae are highly modified, prehensile in the former and very reduced in the latter. Particular features, such as cuticle without pores in chemosensory sensilla and naked perikarya, are so far found exclusively in some water-living arthropods, thus reflecting a possible adaptation to the aquatic habitat. The structure of sensilla and chloride cells, which have a similar external morphology, is presented and discussed in various insect groups, considering the possible derivation of the chloride cells from sensilla.</t>
  </si>
  <si>
    <t>440-457</t>
  </si>
  <si>
    <t>60003003;60003003</t>
  </si>
  <si>
    <t>7004012826;6701644978</t>
  </si>
  <si>
    <t>Gaino, Elda;Rebora, Manuela</t>
  </si>
  <si>
    <t>Perugia</t>
  </si>
  <si>
    <t>Universit√† degli Studi di Perugia</t>
  </si>
  <si>
    <t>Gaino E.</t>
  </si>
  <si>
    <t>Larval antennal sensilla in water-living insects</t>
  </si>
  <si>
    <t>10.1002/(SICI)1097-0029(19991215)47:6&lt;440::AID-JEMT7&gt;3.0.CO;2-O</t>
  </si>
  <si>
    <t>2-s2.0-0033572602</t>
  </si>
  <si>
    <t>['usually composed', 'usually associated', 'two cases', 'subcellular level', 'sensory structures', 'olfactory qualities', 'often recessed', 'mosquitoes ),', 'lepidopteran larvae', 'lamellar structures', 'lamellar membranes', 'head capsule', 'cuticular pores', 'central projections']</t>
  </si>
  <si>
    <t>Chilop oda | Diptera | Hymenoptera | Isoptera | Ixodidae | Lepidoptera | Olfactory | Sensillumi</t>
  </si>
  <si>
    <t>Sensory structures that detect atmospheric carbon dioxide have been identified and described to the subcellular level in adults of Lepidoptera, Diptera, Hymenoptera, Isoptera, Chilopoda, and Ixodidae, as well as in lepidopteran larvae. The structures are usually composed of clusters of wall- pore type sensilla that may form distinct sensory organs, often recessed in pits or capsules. In insects, they are located on either the palps or the antennae, in chilopods on the head capsule, and in ixodids on the forelegs. In the two cases where the central projections have been examined (Lepidoptera and mosquitoes), the clustering is preserved to the level of second order neurons, which are located in the deutocerebrum. Individual sensilla usually contain a single receptor neuron that is sensitive to CO2; it may be accompanied by other neurons that respond to other olfactory qualities. The distal dendritic processes of CO2-sensitive neurons invariably show an increased surface area, dividing into many cylindrical branches or into lamellar structures. Lamellar membranes are often closely linked to arrays of microtubules. Fine pore canal tubules are usually associated with the cuticular pores.</t>
  </si>
  <si>
    <t>416-427</t>
  </si>
  <si>
    <t>60159889;60159889</t>
  </si>
  <si>
    <t>7005420755;7004137922</t>
  </si>
  <si>
    <t>Stange, Gert;Stowe, Sally</t>
  </si>
  <si>
    <t>ANU Research School of Biology</t>
  </si>
  <si>
    <t>Stange G.</t>
  </si>
  <si>
    <t>Carbon-dioxide sensing structures in terrestrial arthropods</t>
  </si>
  <si>
    <t>10.1002/(SICI)1097-0029(19991215)47:6&lt;416::AID-JEMT5&gt;3.0.CO;2-X</t>
  </si>
  <si>
    <t>2-s2.0-0033572624</t>
  </si>
  <si>
    <t>['uv light', 'state equilibrium', 'singlet emission', 'sensitized mlct', 'reversible triplet', 'respective ru', 'pyrenyl unit', 'pyrene chromophores', 'photophysical properties', 'order lifetime', 'excitation wavelength', 'energetic proximity', 'efficient singlet', 'deaerated ch3cn', 'complex resulting', 'bearing one', 'based emission', '96 œºs', '3pyrene states', '3mlct states', '264 ns', '0 œºs']</t>
  </si>
  <si>
    <t>We report the synthesis and the photophysical properties of UV light-harvesting arrays constructed around a [Ru(bpy)3]2+ core (bpy = 2,2‚Ä≤-bipyridine) bearing one and three pyrenyl units in the periphery. The free ligand containing the pyrenyl unit, 4-methyl-4‚Ä≤-(2-hydroxyethylpyrenyl)-2,2‚Ä≤-bipyridine, displays an intense emission band centered near 400 nm with a lifetime of 264 ns, characteristic of singlet pyrene emission. The complexes [Ru(dmb) 2(4-methyl-4‚Ä≤-(2-hydroxyethylpyrenyl)-2,2‚Ä≤-bipyridine)] (PF6)2, where dmb is 4,4‚Ä≤-dimethyl-2,2‚Ä≤-bipyridine, and [Ru(4-methyl-4‚Ä≤-(2-hydroxyethylpyrenyl)-2,2‚Ä≤-bipyridine) 3](PF6)2 exhibit visible emission characteristic of the [Ru(bpy)3]2+ unit, regardless of excitation wavelength. The singlet emission from the pyrene chromophores is almost quantitatively quenched by the metal-to-ligand charge transfer (MLCT) states of each respective Ru(II) complex resulting in the observation of sensitized MLCT-based emission. On account of the energetic proximity between the 3MLCT states and the 3pyrene states, a long-lived 3MLCT emission is observed which decays with the same first-order lifetime as the pyrene triplet states in deaerated CH3CN. In deaerated CH3CN, the bichromophoric system displays a lifetime of 2.96 Œºs, whereas the tetrad complex exhibits a lifetime of 9.0 Œºs. The results are indicative of excited-state equilibrium between the 3MLCT and 3pyrene states. Our findings demonstrate rapid and efficient singlet-singlet energy transfer through the antenna effect whereas the reversible triplet-triplet energy transfer processes help sustain long-lived MLCT excited states. ¬© 1999 American Chemical Society.</t>
  </si>
  <si>
    <t>10955-10960</t>
  </si>
  <si>
    <t>60018475;60018475</t>
  </si>
  <si>
    <t>7004218311;7006789419</t>
  </si>
  <si>
    <t>Tyson, Daniel S.;Castellano, Felix N.</t>
  </si>
  <si>
    <t>Bowling Green</t>
  </si>
  <si>
    <t>Bowling Green State University</t>
  </si>
  <si>
    <t>Tyson D.</t>
  </si>
  <si>
    <t>Intramolecular singlet and triplet energy transfer in a ruthenium(II) diimine complex containing multiple pyrenyl chromophores</t>
  </si>
  <si>
    <t>10.1021/jp992983w</t>
  </si>
  <si>
    <t>2-s2.0-0001549018</t>
  </si>
  <si>
    <t>['tensor gravity', 'string theory', 'non geodesic', 'gravitational antennas', 'geodesic deviation', 'generalized equation', 'dilatonic waves', 'dilatonic charge', 'dilaton background', 'dicke model']</t>
  </si>
  <si>
    <t>It is pointed out that the coupling of macroscopic test masses to the gravi-dilaton background of string theory is non geodesic, in general, and cannot be parametrized by a Brans - Dicke model of scalar-tensor gravity. The response of gravitational antennas to dilatonic waves should be analyzed through a generalized equation of geodesic deviation, taking into account the possible direct coupling of the background to the (composition-dependent) dilatonic charge of the antenna. (C) 1999 Elsevier Science B.V.</t>
  </si>
  <si>
    <t>Physics Letters, Section B: Nuclear, Elementary Particle and High-Energy Physics</t>
  </si>
  <si>
    <t>60022778-60114715</t>
  </si>
  <si>
    <t>Gasperini, M.</t>
  </si>
  <si>
    <t>Bari;Bari</t>
  </si>
  <si>
    <t>Istituto Nazionale di Fisica Nucleare, Sezione di Bari;Universit√† degli studi di Bari Aldo Moro</t>
  </si>
  <si>
    <t>60114715;60022778</t>
  </si>
  <si>
    <t>Gasperini M.</t>
  </si>
  <si>
    <t>On the response of gravitational antennas to dilatonic waves</t>
  </si>
  <si>
    <t>S037026939901309X</t>
  </si>
  <si>
    <t>10.1016/S0370-2693(99)01309-X</t>
  </si>
  <si>
    <t>2-s2.0-0033576456</t>
  </si>
  <si>
    <t>['uv light', 'state equilibrium', 'singlet emission', 'sensitized mlct', 'reversible triplet', 'respective ru', 'pyrenyl unit', 'pyrene chromophores', 'photophysical properties', 'order lifetime', 'excitation wavelength', 'energetic proximity', 'efficient singlet', 'deaerated chacn', 'deaerated ch3cn', 'complex resulting', 'bearing one', 'based emission', '3pyrene states', '3mlct states', '264 ns']</t>
  </si>
  <si>
    <t>We report the synthesis and the photophysical properties of UV light-harvesting arrays constructed around a [Ru(bpy)3]2+ core (bpy = 2,2'-bipyridine) bearing one and three pyrenyl units in the periphery. The free ligand containing the pyrenyl unit, 4-methyl-4'-(2-hydroxyethylpyrenyl)-2,2'-bipyridine, displays an intense emission band centered near 400 nm with a lifetime of 264 ns, characteristic of singlet pyrene emission. The complexes [Ru(dmb)2(4-methyl-4'-(2-hydroxyethylpyrenyl)-2,2'-bipyridine)](PF6)2, where dmb-is 4,4'-dimethyl2,2'-bipyridine, and [Ru(4-methyl-4'-(2-hydroxyethylpyrenyl)-2,2'-bipyridine)3](PF6)2 exhibit visible emission characteristic of the [Ru(bpy)3]2+ unit, regardless of excitation wavelength. The singlet emission from the pyrene chromophores is almost quantitatively quenched by the metal-to-ligand charge transfer (MLCT) states of each respective Ru(II) complex resulting in the observation of sensitized MLCT-based emission. On account of the energetic proximity between the 3MLCT states and the 3pyrene states, a long-lived 3MLCT emission is observed which decays with the same first-order lifetime as the pyrene triplet states in deaerated CH3CN. In deaerated CHaCN, the bichromophoric system displays a lifetime of 2.96 /s, whereas the tetrad complex exhibits a lifetime of 9.0 /s. The results are indicative of excited-state equilibrium between the 3MLCT and 3pyrene states. Our findings demonstrate rapid and efficient singlet-singlet energy transfer through the antenna effect whereas the reversible triplet-triplet energy transfer processes help sustain long-lived MLCT excited states. ¬© 1999 American Chemical Society.</t>
  </si>
  <si>
    <t>10921-10934</t>
  </si>
  <si>
    <t>Tyson, Daniel S.</t>
  </si>
  <si>
    <t>2-s2.0-28944440338</t>
  </si>
  <si>
    <t>['uncorrected double', 'sis mixers', 'quasioptical configuration', 'potentially operate', 'planar twin', 'nbtin thin', 'nbtin mixers', 'mixer uses', 'low loss', 'hybrid nb', 'gap frequency', 'attractive material', '798 ghz']</t>
  </si>
  <si>
    <t>We have developed a low-noise 850 GHz superconductor-insulator-superconductor quasiparticle mixer with NbTiN thin-film microstrip tuning circuits and hybrid Nb/AlN/NbTiN tunnel junctions. The mixer uses a quasioptical configuration with a planar twin-slot antenna feeding a two-junction tuning circuit. At 798 GHz, we measured an uncorrected double-sideband receiver noise temperature of TRX = 260K at 4.2 K bath temperature. This mixer outperforms current Nb SIS mixers by a factor of nearly 2 near 800 GHz. The high-gap frequency and low loss at 800 GHz make NbTiN an attractive material with which to fabricate tuning circuits for SIS mixers. NbTiN mixers can potentially operate up to the gap frequency, 2Œî/h‚àº1.2THz. ¬© 1999 American Institute of Physics.</t>
  </si>
  <si>
    <t>4013-4015</t>
  </si>
  <si>
    <t>60031581;60031581-60008435;60031581;60031581;60031581;60009037;60009037;60009037</t>
  </si>
  <si>
    <t>7202403646;7501898208;7407281737;6701644666;7004482405;6603920587;23974476000;7402955893</t>
  </si>
  <si>
    <t>Kawamura, Jonathan;Chen, Jian;Miller, David;Kooi, Jacob;Zmuidzinas, Jonas;Bumble, Bruce;LeDuc, Henry G.;Stern, Jeff A.</t>
  </si>
  <si>
    <t>United States;United States;Japan</t>
  </si>
  <si>
    <t>Pasadena;Pasadena;Sendai</t>
  </si>
  <si>
    <t>California Institute of Technology;Jet Propulsion Laboratory;Tohoku University</t>
  </si>
  <si>
    <t>60031581;60009037;60008435</t>
  </si>
  <si>
    <t>Kawamura J.</t>
  </si>
  <si>
    <t>Low-noise submillimeter-wave NbTiN superconducting tunnel junction mixers</t>
  </si>
  <si>
    <t>10.1063/1.125522</t>
  </si>
  <si>
    <t>2-s2.0-0000289188</t>
  </si>
  <si>
    <t>GO-07468</t>
  </si>
  <si>
    <t>['‚ äô', '‚ àù', 'well represented', 'result may', 'power law', 'ngc 4038', 'mass function', 'intrinsic luminosity', 'important implications', 'globular clusters', 'galactic evolution', 'free parameters', 'form œà', 'early phases']</t>
  </si>
  <si>
    <t>Galaxies: individual (NGC 4038/9) | Galaxies: interactions | Galaxies: star clusters</t>
  </si>
  <si>
    <t>We determine the mass function of young star clusters in the merging galaxies known as the "Antennae" (NGC 4038/9) from deep images taken with the Wide Field Planetary Camera 2 on the refurbished Hubble Space Telescope. This is accomplished by means of reddening-free parameters and a comparison with stellar population synthesis tracks to estimate the intrinsic luminosity and age, and hence the mass, of each cluster. We find that the mass function of the young star clusters (with ages ‚â≤160 Myr) is well represented by a power law of the form œà(M) ‚àù M-2 over the range 104 ‚â≤ M ‚â≤ 106 M‚äô. This result may have important implications for our understanding of the origin of globular clusters during the early phases of galactic evolution.</t>
  </si>
  <si>
    <t>2 PART 2</t>
  </si>
  <si>
    <t>60008158-60077530;60008158</t>
  </si>
  <si>
    <t>46361941000;55664416300</t>
  </si>
  <si>
    <t>Zhang, Qing;Fall, S. Michael</t>
  </si>
  <si>
    <t>Baltimore;Baltimore</t>
  </si>
  <si>
    <t>Johns Hopkins University Krieger School of Arts and Sciences;Space Telescope Science Institute</t>
  </si>
  <si>
    <t>60077530;60008158</t>
  </si>
  <si>
    <t>Zhang Q.</t>
  </si>
  <si>
    <t>The mass function of young star clusters in the "Antennae" galaxies</t>
  </si>
  <si>
    <t>10.1086/312412</t>
  </si>
  <si>
    <t>2-s2.0-0033589871</t>
  </si>
  <si>
    <t>Emory Eye Center</t>
  </si>
  <si>
    <t>BIO4-CT98-0420</t>
  </si>
  <si>
    <t>EEC</t>
  </si>
  <si>
    <t>['three loops', 'structurally characterised', 'one protein', 'insect obps', 'helical content', 'general odorant', 'disulphide arrangements', 'dimensional structure', 'cysteine pairings', 'charge distribution', 'bombyx mori', 'binding proteins', 'binding protein']</t>
  </si>
  <si>
    <t>Bombyx mori | Disulphide bonds | Odorant-binding proteins | Pheromone</t>
  </si>
  <si>
    <t>Pheromone-binding protein (PBP) and general odorant-binding proteins (GOBPs) were purified from the antennae of Bombyx mori and structurally characterised. The amino acid sequence of GOBP-2 has been corrected. The disulphide arrangements of PBP and GOBP-2 have been determined by a combined mass spectrometric/Edman degradation approach. The same cysteine pairings, Cys19-Cys54, Cys50-Cys108, and Cys97-Cys117, were found in both proteins, suggesting that such patterns occur commonly throughout this family of molecules. This arrangement of disulphide bonds indicates that the three-dimensional structure of insect OBPs is defined by three loops, rich in helical content, which can vary in size and charge distribution from one protein to another.</t>
  </si>
  <si>
    <t>386-391</t>
  </si>
  <si>
    <t>0006291X</t>
  </si>
  <si>
    <t>Biochemical and Biophysical Research Communications</t>
  </si>
  <si>
    <t>60021199;60021199;60028868;60028868</t>
  </si>
  <si>
    <t>7007083035;55934291500;57207872514;36880050400</t>
  </si>
  <si>
    <t>Scaloni, Andrea;Monti, Maria;Angeli, Sergio;Pelosi, Paolo</t>
  </si>
  <si>
    <t>Pisa;Rome</t>
  </si>
  <si>
    <t>Universit√† di Pisa;Consiglio Nazionale delle Ricerche</t>
  </si>
  <si>
    <t>60028868;60021199</t>
  </si>
  <si>
    <t>Scaloni A.</t>
  </si>
  <si>
    <t>Structural analysis and disulfide-bridge pairing of two odorant-binding proteins from Bombyx mori</t>
  </si>
  <si>
    <t>S0006291X99917916</t>
  </si>
  <si>
    <t>10.1006/bbrc.1999.1791</t>
  </si>
  <si>
    <t>2-s2.0-0033590202</t>
  </si>
  <si>
    <t>['morphometric study', 'marphysa totospinata', 'marphysa oculata', 'marphysa belli', 'developmental patterns', 'described based']</t>
  </si>
  <si>
    <t>Three morphologically related species, Marphysa belli, Marphysa oculata and Marphysa totospinata are described or re-described based on a morphometric study. The morphological differences among these species are discussed. The developmental patterns of antennae, branchiae and setae are emphasized.</t>
  </si>
  <si>
    <t>829-842</t>
  </si>
  <si>
    <t>60007670;60007670</t>
  </si>
  <si>
    <t>15049621200;6603294390</t>
  </si>
  <si>
    <t>Lu, Hua;Fauchald, Kristian</t>
  </si>
  <si>
    <t>Lu H.</t>
  </si>
  <si>
    <t>Marphysa belli (Polychaeta: Eunicidae) and two related species, Marphysa oculata and M. totospinata, a new species, with notes on size-dependent features</t>
  </si>
  <si>
    <t>2-s2.0-0033599127</t>
  </si>
  <si>
    <t>['zdp involve', 'useful observable', 'two types', 'technically difficult', 'results indicate', 'random orientation', 'radar observables', 'radar measurements', 'preferred orientation', 'planar shapes', 'orientational variation', 'one plane', 'much smaller', 'millimeter wavelengths', 'maximum dimension', 'ldr ),', 'irregular aggregates', 'incidence angle', 'improve information', 'hollow cylinders', 'differential reflectivity', 'difference reflectivity', 'crystal sizes', 'crystal size', 'crystal shape', 'corresponding cross', 'copyright 1999', 'copolar reflectivity', 'copolar intensities', 'cloud microphysics', 'based measurement', 'almost independent', '95 ghz', '90 ¬∞.', '45 ¬∞', '2 mm', '16 mm', '140 ghz', '0 ¬∞']</t>
  </si>
  <si>
    <t>The potential of ground-based polarimetric cloud radar measurements to improve information about cloud microphysics is evaluated. Using the discrete dipole approximation (DDA), backscattering at 95 GHz (3.16 mm) has been computed for solid hexagonal columns and plates, hollow cylinders, and two types of stellars. A randomly oriented compact column (a = 1) represents a first step toward considering polycrystals at millimeter wavelengths. Crystal sizes up to 2 mm in maximum dimension and random orientation with maximum particle dimension in one plane have been considered, while the incidence angle is varied from 0¬∞ to 90¬∞. Thus the effect of shape, size, and orientation on radar observables as copolar reflectivity (Zhh), linear depolarization ratio (LDR), and differential reflectivity (ZDR) as well as difference reflectivity (ZDP) can be investigated. Technical radar aspects such as the potential of scanning and cross polarization isolation requirements are assessed as well as the benefit of alternative wavelengths considered for cloud radar application (35, 140, 220 GHz). At 220 and 140 GHz, distinct resonance features are found, complicating the interpretation of radar measurements at those frequencies. At 95 GHz the effects of shape or orientational variation on Zhh are of the same order and much smaller than the effect of crystal size. On the other hand, LDR is governed by the crystal shape and orientation but almost independent of size. The results indicate that if crystals have a preferred orientation, LDR is a useful observable for differentiating between the two major crystal types of columnar and planar shapes. However, it is shown that the corresponding cross-polar backscatter intensities are theoretically and technically difficult to achieve. ZDR and ZDP involve only copolar intensities. If the lowest applicable antenna elevation angle is about 45¬∞ for a ground-based measurement, these parameters are promising for discriminating horizontally aligned pristine crystals from randomly oriented ones or irregular aggregates. Copyright 1999 by the American Geophysical Union.</t>
  </si>
  <si>
    <t>31739-31751</t>
  </si>
  <si>
    <t>1999JD900490</t>
  </si>
  <si>
    <t>D24</t>
  </si>
  <si>
    <t>60025288;60025288</t>
  </si>
  <si>
    <t>7103129962;7003728829</t>
  </si>
  <si>
    <t>Lemke, Henriette M.;Quante, Markus</t>
  </si>
  <si>
    <t>Geesthacht</t>
  </si>
  <si>
    <t>Helmholtz-Zentrum Geesthacht - Zentrum f√ºr Material- und K√ºstenforschung GmbH</t>
  </si>
  <si>
    <t>Lemke H.M.</t>
  </si>
  <si>
    <t>Backscatter characteristics of nonspherical ice crystals: Assessing the potential of polarimetric radar measurements</t>
  </si>
  <si>
    <t>10.1029/1999JD900490</t>
  </si>
  <si>
    <t>2-s2.0-0033611374</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</si>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</sst>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8" fontId="0" fillId="0" borderId="0" xfId="0" applyNumberFormat="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EA98-1E2D-6C4E-A292-043EC5A6E0B2}">
  <dimension ref="A1:AW733"/>
  <sheetViews>
    <sheetView tabSelected="1" topLeftCell="AE1" workbookViewId="0">
      <selection activeCell="AN2" sqref="AN2"/>
    </sheetView>
  </sheetViews>
  <sheetFormatPr baseColWidth="10" defaultRowHeight="16" x14ac:dyDescent="0.2"/>
  <sheetData>
    <row r="1" spans="1:49" s="13" customFormat="1" x14ac:dyDescent="0.2">
      <c r="A1" s="16"/>
      <c r="B1" s="16" t="s">
        <v>9005</v>
      </c>
      <c r="C1" s="16" t="s">
        <v>9004</v>
      </c>
      <c r="D1" s="16" t="s">
        <v>9003</v>
      </c>
      <c r="E1" s="16" t="s">
        <v>9002</v>
      </c>
      <c r="F1" s="16" t="s">
        <v>9001</v>
      </c>
      <c r="G1" s="16" t="s">
        <v>9000</v>
      </c>
      <c r="H1" s="16" t="s">
        <v>8999</v>
      </c>
      <c r="I1" s="16" t="s">
        <v>8998</v>
      </c>
      <c r="J1" s="16" t="s">
        <v>8997</v>
      </c>
      <c r="K1" s="16" t="s">
        <v>8996</v>
      </c>
      <c r="L1" s="16" t="s">
        <v>8995</v>
      </c>
      <c r="M1" s="16" t="s">
        <v>8994</v>
      </c>
      <c r="N1" s="16" t="s">
        <v>8993</v>
      </c>
      <c r="O1" s="16" t="s">
        <v>8992</v>
      </c>
      <c r="P1" s="16" t="s">
        <v>8991</v>
      </c>
      <c r="Q1" s="16" t="s">
        <v>8990</v>
      </c>
      <c r="R1" s="21" t="s">
        <v>8989</v>
      </c>
      <c r="S1" s="16" t="s">
        <v>8988</v>
      </c>
      <c r="T1" s="16" t="s">
        <v>8988</v>
      </c>
      <c r="U1" s="16" t="s">
        <v>8987</v>
      </c>
      <c r="V1" s="21" t="s">
        <v>8986</v>
      </c>
      <c r="W1" s="16" t="s">
        <v>8985</v>
      </c>
      <c r="X1" s="15" t="s">
        <v>8984</v>
      </c>
      <c r="Y1" s="20" t="s">
        <v>8983</v>
      </c>
      <c r="Z1" s="19" t="s">
        <v>8968</v>
      </c>
      <c r="AA1" s="16" t="s">
        <v>8982</v>
      </c>
      <c r="AB1" s="16" t="s">
        <v>8981</v>
      </c>
      <c r="AC1" s="16" t="s">
        <v>8980</v>
      </c>
      <c r="AD1" s="16" t="s">
        <v>8979</v>
      </c>
      <c r="AE1" s="16" t="s">
        <v>8978</v>
      </c>
      <c r="AF1" s="16" t="s">
        <v>8977</v>
      </c>
      <c r="AG1" s="16" t="s">
        <v>8976</v>
      </c>
      <c r="AH1" s="16" t="s">
        <v>8975</v>
      </c>
      <c r="AI1" s="16" t="s">
        <v>8974</v>
      </c>
      <c r="AJ1" s="16" t="s">
        <v>8973</v>
      </c>
      <c r="AK1" s="15" t="s">
        <v>8972</v>
      </c>
      <c r="AL1" s="16" t="s">
        <v>8971</v>
      </c>
      <c r="AM1" s="18" t="s">
        <v>8970</v>
      </c>
      <c r="AN1" s="17" t="s">
        <v>8969</v>
      </c>
      <c r="AO1" s="17" t="s">
        <v>8968</v>
      </c>
      <c r="AP1" s="16" t="s">
        <v>8967</v>
      </c>
      <c r="AQ1" s="16" t="s">
        <v>8966</v>
      </c>
      <c r="AR1" s="16" t="s">
        <v>8965</v>
      </c>
      <c r="AS1" s="16" t="s">
        <v>8964</v>
      </c>
      <c r="AT1" s="15" t="s">
        <v>8963</v>
      </c>
      <c r="AU1" s="14" t="s">
        <v>8962</v>
      </c>
      <c r="AV1" s="14" t="s">
        <v>8961</v>
      </c>
      <c r="AW1" s="14" t="s">
        <v>8960</v>
      </c>
    </row>
    <row r="2" spans="1:49" x14ac:dyDescent="0.2">
      <c r="A2">
        <v>0</v>
      </c>
      <c r="B2" t="s">
        <v>8959</v>
      </c>
      <c r="C2" t="s">
        <v>8958</v>
      </c>
      <c r="F2" t="s">
        <v>8957</v>
      </c>
      <c r="G2" t="s">
        <v>6</v>
      </c>
      <c r="H2" t="s">
        <v>5</v>
      </c>
      <c r="I2" t="s">
        <v>8956</v>
      </c>
      <c r="J2">
        <v>60025288</v>
      </c>
      <c r="K2" t="s">
        <v>8955</v>
      </c>
      <c r="L2" t="s">
        <v>8954</v>
      </c>
      <c r="M2" t="s">
        <v>65</v>
      </c>
      <c r="N2">
        <v>2</v>
      </c>
      <c r="O2" t="s">
        <v>8953</v>
      </c>
      <c r="P2" t="s">
        <v>8952</v>
      </c>
      <c r="Q2" t="s">
        <v>8951</v>
      </c>
      <c r="R2" s="7">
        <v>36521</v>
      </c>
      <c r="S2" s="8">
        <f t="shared" ref="S2:S65" si="0">YEAR(R2)</f>
        <v>1999</v>
      </c>
      <c r="T2" s="8">
        <v>1999</v>
      </c>
      <c r="U2" s="8">
        <f t="shared" ref="U2:U65" si="1">2022-T2</f>
        <v>23</v>
      </c>
      <c r="V2" s="7">
        <v>36521</v>
      </c>
      <c r="W2" t="s">
        <v>1656</v>
      </c>
      <c r="X2" s="2">
        <v>1.67</v>
      </c>
      <c r="Y2" s="6">
        <f t="shared" ref="Y2:Y65" si="2">(X2-$Z$3)/($Z$2-$Z$3)</f>
        <v>4.4579696217399427E-2</v>
      </c>
      <c r="Z2">
        <v>37.460999999999999</v>
      </c>
      <c r="AA2">
        <v>1480227</v>
      </c>
      <c r="AB2">
        <v>28428</v>
      </c>
      <c r="AD2" t="s">
        <v>2</v>
      </c>
      <c r="AE2">
        <v>104</v>
      </c>
      <c r="AF2" t="s">
        <v>8950</v>
      </c>
      <c r="AG2" t="s">
        <v>8949</v>
      </c>
      <c r="AH2" t="s">
        <v>8948</v>
      </c>
      <c r="AI2" t="s">
        <v>8947</v>
      </c>
      <c r="AK2" t="s">
        <v>8946</v>
      </c>
      <c r="AL2">
        <v>22</v>
      </c>
      <c r="AM2" s="5">
        <f t="shared" ref="AM2:AM65" si="3">AL2/U2</f>
        <v>0.95652173913043481</v>
      </c>
      <c r="AN2" s="4">
        <f t="shared" ref="AN2:AN65" si="4">(AM2-$AO$3)/($AO$2-$AO$3)</f>
        <v>1.4487266022422337E-3</v>
      </c>
      <c r="AO2" s="3">
        <v>660.25</v>
      </c>
      <c r="AP2">
        <v>1</v>
      </c>
      <c r="AR2" t="s">
        <v>1</v>
      </c>
      <c r="AT2" s="2" t="s">
        <v>0</v>
      </c>
      <c r="AU2" s="1">
        <f t="shared" ref="AU2:AU65" si="5">(Y2*0.7+AN2*0.3)*100</f>
        <v>3.1640405332852271</v>
      </c>
      <c r="AV2" s="1">
        <f t="shared" ref="AV2:AV65" si="6">(Y2*0.5+AN2*0.5)*100</f>
        <v>2.3014211409820828</v>
      </c>
      <c r="AW2" s="1">
        <f t="shared" ref="AW2:AW65" si="7">(Y2*0.3+AN2*0.7)*100</f>
        <v>1.4388017486789391</v>
      </c>
    </row>
    <row r="3" spans="1:49" x14ac:dyDescent="0.2">
      <c r="A3">
        <v>1</v>
      </c>
      <c r="B3" t="s">
        <v>8945</v>
      </c>
      <c r="F3" t="s">
        <v>8944</v>
      </c>
      <c r="G3" t="s">
        <v>6</v>
      </c>
      <c r="H3" t="s">
        <v>5</v>
      </c>
      <c r="I3" t="s">
        <v>8943</v>
      </c>
      <c r="J3">
        <v>60007670</v>
      </c>
      <c r="K3" t="s">
        <v>2201</v>
      </c>
      <c r="L3" t="s">
        <v>219</v>
      </c>
      <c r="M3" t="s">
        <v>3</v>
      </c>
      <c r="N3">
        <v>2</v>
      </c>
      <c r="O3" t="s">
        <v>8942</v>
      </c>
      <c r="P3" t="s">
        <v>8941</v>
      </c>
      <c r="Q3" t="s">
        <v>8940</v>
      </c>
      <c r="R3" s="7">
        <v>36517</v>
      </c>
      <c r="S3" s="8">
        <f t="shared" si="0"/>
        <v>1999</v>
      </c>
      <c r="T3" s="8">
        <v>1999</v>
      </c>
      <c r="U3" s="8">
        <f t="shared" si="1"/>
        <v>23</v>
      </c>
      <c r="V3" s="7">
        <v>36517</v>
      </c>
      <c r="W3" t="s">
        <v>844</v>
      </c>
      <c r="X3" s="2">
        <v>0.26900000000000002</v>
      </c>
      <c r="Y3" s="6">
        <f t="shared" si="2"/>
        <v>7.1808013667547591E-3</v>
      </c>
      <c r="Z3">
        <v>0</v>
      </c>
      <c r="AA3" t="s">
        <v>843</v>
      </c>
      <c r="AB3">
        <v>13669</v>
      </c>
      <c r="AD3" t="s">
        <v>2</v>
      </c>
      <c r="AE3">
        <v>111</v>
      </c>
      <c r="AF3">
        <v>4</v>
      </c>
      <c r="AH3" t="s">
        <v>8939</v>
      </c>
      <c r="AI3" t="s">
        <v>8938</v>
      </c>
      <c r="AK3" t="s">
        <v>8937</v>
      </c>
      <c r="AL3">
        <v>13</v>
      </c>
      <c r="AM3" s="5">
        <f t="shared" si="3"/>
        <v>0.56521739130434778</v>
      </c>
      <c r="AN3" s="4">
        <f t="shared" si="4"/>
        <v>8.560657195067744E-4</v>
      </c>
      <c r="AO3" s="3">
        <v>0</v>
      </c>
      <c r="AP3">
        <v>0</v>
      </c>
      <c r="AR3" t="s">
        <v>1</v>
      </c>
      <c r="AT3" s="2" t="s">
        <v>0</v>
      </c>
      <c r="AU3" s="1">
        <f t="shared" si="5"/>
        <v>0.52833806725803634</v>
      </c>
      <c r="AV3" s="1">
        <f t="shared" si="6"/>
        <v>0.40184335431307672</v>
      </c>
      <c r="AW3" s="1">
        <f t="shared" si="7"/>
        <v>0.27534864136811699</v>
      </c>
    </row>
    <row r="4" spans="1:49" x14ac:dyDescent="0.2">
      <c r="A4">
        <v>2</v>
      </c>
      <c r="B4" t="s">
        <v>8936</v>
      </c>
      <c r="C4" t="s">
        <v>8935</v>
      </c>
      <c r="D4" t="s">
        <v>8934</v>
      </c>
      <c r="E4">
        <v>10600513</v>
      </c>
      <c r="F4" t="s">
        <v>8933</v>
      </c>
      <c r="G4" t="s">
        <v>6</v>
      </c>
      <c r="H4" t="s">
        <v>5</v>
      </c>
      <c r="I4" t="s">
        <v>8932</v>
      </c>
      <c r="J4" t="s">
        <v>8931</v>
      </c>
      <c r="K4" t="s">
        <v>8930</v>
      </c>
      <c r="L4" t="s">
        <v>8929</v>
      </c>
      <c r="M4" t="s">
        <v>461</v>
      </c>
      <c r="N4">
        <v>4</v>
      </c>
      <c r="O4" t="s">
        <v>8928</v>
      </c>
      <c r="P4" t="s">
        <v>8927</v>
      </c>
      <c r="Q4" t="s">
        <v>8926</v>
      </c>
      <c r="R4" s="7">
        <v>36514</v>
      </c>
      <c r="S4" s="8">
        <f t="shared" si="0"/>
        <v>1999</v>
      </c>
      <c r="T4" s="8">
        <v>1999</v>
      </c>
      <c r="U4" s="8">
        <f t="shared" si="1"/>
        <v>23</v>
      </c>
      <c r="V4" s="7">
        <v>36514</v>
      </c>
      <c r="W4" t="s">
        <v>8925</v>
      </c>
      <c r="X4" s="2">
        <v>0.998</v>
      </c>
      <c r="Y4" s="6">
        <f t="shared" si="2"/>
        <v>2.664104001494888E-2</v>
      </c>
      <c r="AA4" t="s">
        <v>8924</v>
      </c>
      <c r="AB4">
        <v>16845</v>
      </c>
      <c r="AD4" t="s">
        <v>2</v>
      </c>
      <c r="AE4">
        <v>266</v>
      </c>
      <c r="AF4">
        <v>2</v>
      </c>
      <c r="AH4" t="s">
        <v>8923</v>
      </c>
      <c r="AI4" t="s">
        <v>8922</v>
      </c>
      <c r="AJ4" t="s">
        <v>8921</v>
      </c>
      <c r="AK4" t="s">
        <v>8920</v>
      </c>
      <c r="AL4">
        <v>141</v>
      </c>
      <c r="AM4" s="5">
        <f t="shared" si="3"/>
        <v>6.1304347826086953</v>
      </c>
      <c r="AN4" s="4">
        <f t="shared" si="4"/>
        <v>9.2850204961888606E-3</v>
      </c>
      <c r="AO4" s="3"/>
      <c r="AP4">
        <v>0</v>
      </c>
      <c r="AQ4" t="s">
        <v>8919</v>
      </c>
      <c r="AR4" t="s">
        <v>8918</v>
      </c>
      <c r="AS4" t="s">
        <v>8917</v>
      </c>
      <c r="AT4" s="2" t="s">
        <v>0</v>
      </c>
      <c r="AU4" s="1">
        <f t="shared" si="5"/>
        <v>2.1434234159320873</v>
      </c>
      <c r="AV4" s="1">
        <f t="shared" si="6"/>
        <v>1.796303025556887</v>
      </c>
      <c r="AW4" s="1">
        <f t="shared" si="7"/>
        <v>1.4491826351816868</v>
      </c>
    </row>
    <row r="5" spans="1:49" x14ac:dyDescent="0.2">
      <c r="A5">
        <v>3</v>
      </c>
      <c r="B5" t="s">
        <v>8916</v>
      </c>
      <c r="C5" t="s">
        <v>8915</v>
      </c>
      <c r="F5" t="s">
        <v>8914</v>
      </c>
      <c r="G5" t="s">
        <v>6</v>
      </c>
      <c r="H5" t="s">
        <v>5</v>
      </c>
      <c r="I5" t="s">
        <v>8913</v>
      </c>
      <c r="J5" t="s">
        <v>8912</v>
      </c>
      <c r="K5" t="s">
        <v>8911</v>
      </c>
      <c r="L5" t="s">
        <v>8910</v>
      </c>
      <c r="M5" t="s">
        <v>30</v>
      </c>
      <c r="N5">
        <v>2</v>
      </c>
      <c r="O5" t="s">
        <v>8909</v>
      </c>
      <c r="P5" t="s">
        <v>8908</v>
      </c>
      <c r="Q5" t="s">
        <v>8907</v>
      </c>
      <c r="R5" s="7">
        <v>36514</v>
      </c>
      <c r="S5" s="8">
        <f t="shared" si="0"/>
        <v>1999</v>
      </c>
      <c r="T5" s="8">
        <v>1999</v>
      </c>
      <c r="U5" s="8">
        <f t="shared" si="1"/>
        <v>23</v>
      </c>
      <c r="V5" s="7">
        <v>36514</v>
      </c>
      <c r="W5" t="s">
        <v>4046</v>
      </c>
      <c r="X5" s="2">
        <v>2.3759999999999999</v>
      </c>
      <c r="Y5" s="6">
        <f t="shared" si="2"/>
        <v>6.3425963001521576E-2</v>
      </c>
      <c r="AA5" t="s">
        <v>4045</v>
      </c>
      <c r="AB5">
        <v>26765</v>
      </c>
      <c r="AC5">
        <v>15384357</v>
      </c>
      <c r="AD5" t="s">
        <v>2</v>
      </c>
      <c r="AE5">
        <v>527</v>
      </c>
      <c r="AF5" t="s">
        <v>8906</v>
      </c>
      <c r="AI5" t="s">
        <v>8905</v>
      </c>
      <c r="AJ5" t="s">
        <v>8904</v>
      </c>
      <c r="AK5" t="s">
        <v>8903</v>
      </c>
      <c r="AL5">
        <v>270</v>
      </c>
      <c r="AM5" s="5">
        <f t="shared" si="3"/>
        <v>11.739130434782609</v>
      </c>
      <c r="AN5" s="4">
        <f t="shared" si="4"/>
        <v>1.7779826482063776E-2</v>
      </c>
      <c r="AO5" s="3"/>
      <c r="AP5">
        <v>0</v>
      </c>
      <c r="AQ5" t="s">
        <v>171</v>
      </c>
      <c r="AR5" t="s">
        <v>8902</v>
      </c>
      <c r="AS5" t="s">
        <v>170</v>
      </c>
      <c r="AT5" s="2">
        <v>5.8739999999999997</v>
      </c>
      <c r="AU5" s="1">
        <f t="shared" si="5"/>
        <v>4.9732122045684228</v>
      </c>
      <c r="AV5" s="1">
        <f t="shared" si="6"/>
        <v>4.0602894741792674</v>
      </c>
      <c r="AW5" s="1">
        <f t="shared" si="7"/>
        <v>3.1473667437901116</v>
      </c>
    </row>
    <row r="6" spans="1:49" x14ac:dyDescent="0.2">
      <c r="A6">
        <v>4</v>
      </c>
      <c r="B6" t="s">
        <v>8901</v>
      </c>
      <c r="C6" t="s">
        <v>8900</v>
      </c>
      <c r="F6" t="s">
        <v>8899</v>
      </c>
      <c r="G6" t="s">
        <v>6</v>
      </c>
      <c r="H6" t="s">
        <v>5</v>
      </c>
      <c r="I6" t="s">
        <v>8898</v>
      </c>
      <c r="J6" t="s">
        <v>8897</v>
      </c>
      <c r="K6" t="s">
        <v>8896</v>
      </c>
      <c r="L6" t="s">
        <v>8895</v>
      </c>
      <c r="M6" t="s">
        <v>8894</v>
      </c>
      <c r="N6">
        <v>8</v>
      </c>
      <c r="O6" t="s">
        <v>8893</v>
      </c>
      <c r="P6" t="s">
        <v>8892</v>
      </c>
      <c r="Q6" t="s">
        <v>8891</v>
      </c>
      <c r="R6" s="7">
        <v>36514</v>
      </c>
      <c r="S6" s="8">
        <f t="shared" si="0"/>
        <v>1999</v>
      </c>
      <c r="T6" s="8">
        <v>1999</v>
      </c>
      <c r="U6" s="8">
        <f t="shared" si="1"/>
        <v>23</v>
      </c>
      <c r="V6" s="7">
        <v>36514</v>
      </c>
      <c r="W6" t="s">
        <v>667</v>
      </c>
      <c r="X6" s="2">
        <v>1.1819999999999999</v>
      </c>
      <c r="Y6" s="6">
        <f t="shared" si="2"/>
        <v>3.1552814927524625E-2</v>
      </c>
      <c r="AA6">
        <v>36951</v>
      </c>
      <c r="AB6">
        <v>27030</v>
      </c>
      <c r="AD6" t="s">
        <v>2</v>
      </c>
      <c r="AE6">
        <v>75</v>
      </c>
      <c r="AF6">
        <v>25</v>
      </c>
      <c r="AH6" t="s">
        <v>8890</v>
      </c>
      <c r="AI6" t="s">
        <v>8889</v>
      </c>
      <c r="AK6" t="s">
        <v>8888</v>
      </c>
      <c r="AL6">
        <v>63</v>
      </c>
      <c r="AM6" s="5">
        <f t="shared" si="3"/>
        <v>2.7391304347826089</v>
      </c>
      <c r="AN6" s="4">
        <f t="shared" si="4"/>
        <v>4.1486261791482152E-3</v>
      </c>
      <c r="AO6" s="3"/>
      <c r="AP6">
        <v>0</v>
      </c>
      <c r="AR6" t="s">
        <v>1</v>
      </c>
      <c r="AT6" s="2">
        <v>3.7909999999999999</v>
      </c>
      <c r="AU6" s="1">
        <f t="shared" si="5"/>
        <v>2.3331558303011701</v>
      </c>
      <c r="AV6" s="1">
        <f t="shared" si="6"/>
        <v>1.7850720553336419</v>
      </c>
      <c r="AW6" s="1">
        <f t="shared" si="7"/>
        <v>1.2369882803661139</v>
      </c>
    </row>
    <row r="7" spans="1:49" x14ac:dyDescent="0.2">
      <c r="A7">
        <v>5</v>
      </c>
      <c r="B7" t="s">
        <v>8887</v>
      </c>
      <c r="F7" t="s">
        <v>8867</v>
      </c>
      <c r="G7" t="s">
        <v>6</v>
      </c>
      <c r="H7" t="s">
        <v>5</v>
      </c>
      <c r="I7" t="s">
        <v>8866</v>
      </c>
      <c r="J7">
        <v>60018475</v>
      </c>
      <c r="K7" t="s">
        <v>8865</v>
      </c>
      <c r="L7" t="s">
        <v>8864</v>
      </c>
      <c r="M7" t="s">
        <v>3</v>
      </c>
      <c r="N7">
        <v>1</v>
      </c>
      <c r="O7" t="s">
        <v>8886</v>
      </c>
      <c r="P7">
        <v>7004218311</v>
      </c>
      <c r="Q7">
        <v>60018475</v>
      </c>
      <c r="R7" s="7">
        <v>36510</v>
      </c>
      <c r="S7" s="8">
        <f t="shared" si="0"/>
        <v>1999</v>
      </c>
      <c r="T7" s="8">
        <v>1999</v>
      </c>
      <c r="U7" s="8">
        <f t="shared" si="1"/>
        <v>23</v>
      </c>
      <c r="V7" s="7">
        <v>36510</v>
      </c>
      <c r="W7" t="s">
        <v>790</v>
      </c>
      <c r="X7" s="2">
        <v>0.75600000000000001</v>
      </c>
      <c r="Y7" s="6">
        <f t="shared" si="2"/>
        <v>2.0180988227756869E-2</v>
      </c>
      <c r="AA7">
        <v>10895639</v>
      </c>
      <c r="AB7">
        <v>26969</v>
      </c>
      <c r="AD7" t="s">
        <v>2</v>
      </c>
      <c r="AE7">
        <v>103</v>
      </c>
      <c r="AF7">
        <v>50</v>
      </c>
      <c r="AH7" t="s">
        <v>8885</v>
      </c>
      <c r="AI7" t="s">
        <v>8884</v>
      </c>
      <c r="AK7" t="s">
        <v>8883</v>
      </c>
      <c r="AL7">
        <v>5</v>
      </c>
      <c r="AM7" s="5">
        <f t="shared" si="3"/>
        <v>0.21739130434782608</v>
      </c>
      <c r="AN7" s="4">
        <f t="shared" si="4"/>
        <v>3.29256045964144E-4</v>
      </c>
      <c r="AO7" s="3"/>
      <c r="AP7">
        <v>0</v>
      </c>
      <c r="AR7" t="s">
        <v>1</v>
      </c>
      <c r="AT7" s="2">
        <v>2.7810000000000001</v>
      </c>
      <c r="AU7" s="1">
        <f t="shared" si="5"/>
        <v>1.4225468573219051</v>
      </c>
      <c r="AV7" s="1">
        <f t="shared" si="6"/>
        <v>1.0255122136860508</v>
      </c>
      <c r="AW7" s="1">
        <f t="shared" si="7"/>
        <v>0.62847757005019611</v>
      </c>
    </row>
    <row r="8" spans="1:49" x14ac:dyDescent="0.2">
      <c r="A8">
        <v>6</v>
      </c>
      <c r="B8" t="s">
        <v>8882</v>
      </c>
      <c r="C8" t="s">
        <v>8881</v>
      </c>
      <c r="D8" t="s">
        <v>8880</v>
      </c>
      <c r="F8" t="s">
        <v>8879</v>
      </c>
      <c r="G8" t="s">
        <v>6</v>
      </c>
      <c r="H8" t="s">
        <v>5</v>
      </c>
      <c r="I8" t="s">
        <v>8878</v>
      </c>
      <c r="J8" t="s">
        <v>8877</v>
      </c>
      <c r="K8" t="s">
        <v>8876</v>
      </c>
      <c r="L8" t="s">
        <v>8875</v>
      </c>
      <c r="M8" t="s">
        <v>461</v>
      </c>
      <c r="N8">
        <v>1</v>
      </c>
      <c r="O8" t="s">
        <v>8874</v>
      </c>
      <c r="P8">
        <v>8283410200</v>
      </c>
      <c r="Q8" t="s">
        <v>8873</v>
      </c>
      <c r="R8" s="7">
        <v>36510</v>
      </c>
      <c r="S8" s="8">
        <f t="shared" si="0"/>
        <v>1999</v>
      </c>
      <c r="T8" s="8">
        <v>1999</v>
      </c>
      <c r="U8" s="8">
        <f t="shared" si="1"/>
        <v>23</v>
      </c>
      <c r="V8" s="7">
        <v>36510</v>
      </c>
      <c r="W8" t="s">
        <v>8872</v>
      </c>
      <c r="X8" s="2">
        <v>2.093</v>
      </c>
      <c r="Y8" s="6">
        <f t="shared" si="2"/>
        <v>5.5871439630549108E-2</v>
      </c>
      <c r="AA8">
        <v>3702693</v>
      </c>
      <c r="AB8">
        <v>29482</v>
      </c>
      <c r="AD8" t="s">
        <v>2</v>
      </c>
      <c r="AE8">
        <v>470</v>
      </c>
      <c r="AF8" s="10">
        <v>44287</v>
      </c>
      <c r="AH8" t="s">
        <v>594</v>
      </c>
      <c r="AI8" t="s">
        <v>8871</v>
      </c>
      <c r="AK8" t="s">
        <v>8870</v>
      </c>
      <c r="AL8">
        <v>20</v>
      </c>
      <c r="AM8" s="5">
        <f t="shared" si="3"/>
        <v>0.86956521739130432</v>
      </c>
      <c r="AN8" s="4">
        <f t="shared" si="4"/>
        <v>1.317024183856576E-3</v>
      </c>
      <c r="AO8" s="3"/>
      <c r="AP8">
        <v>0</v>
      </c>
      <c r="AR8" t="s">
        <v>1</v>
      </c>
      <c r="AT8" s="2" t="s">
        <v>0</v>
      </c>
      <c r="AU8" s="1">
        <f t="shared" si="5"/>
        <v>3.9505114996541342</v>
      </c>
      <c r="AV8" s="1">
        <f t="shared" si="6"/>
        <v>2.8594231907202841</v>
      </c>
      <c r="AW8" s="1">
        <f t="shared" si="7"/>
        <v>1.7683348817864333</v>
      </c>
    </row>
    <row r="9" spans="1:49" x14ac:dyDescent="0.2">
      <c r="A9">
        <v>7</v>
      </c>
      <c r="B9" t="s">
        <v>8869</v>
      </c>
      <c r="C9" t="s">
        <v>8868</v>
      </c>
      <c r="F9" t="s">
        <v>8867</v>
      </c>
      <c r="G9" t="s">
        <v>6</v>
      </c>
      <c r="H9" t="s">
        <v>5</v>
      </c>
      <c r="I9" t="s">
        <v>8866</v>
      </c>
      <c r="J9">
        <v>60018475</v>
      </c>
      <c r="K9" t="s">
        <v>8865</v>
      </c>
      <c r="L9" t="s">
        <v>8864</v>
      </c>
      <c r="M9" t="s">
        <v>3</v>
      </c>
      <c r="N9">
        <v>2</v>
      </c>
      <c r="O9" t="s">
        <v>8863</v>
      </c>
      <c r="P9" t="s">
        <v>8862</v>
      </c>
      <c r="Q9" t="s">
        <v>8861</v>
      </c>
      <c r="R9" s="7">
        <v>36510</v>
      </c>
      <c r="S9" s="8">
        <f t="shared" si="0"/>
        <v>1999</v>
      </c>
      <c r="T9" s="8">
        <v>1999</v>
      </c>
      <c r="U9" s="8">
        <f t="shared" si="1"/>
        <v>23</v>
      </c>
      <c r="V9" s="7">
        <v>36510</v>
      </c>
      <c r="W9" t="s">
        <v>790</v>
      </c>
      <c r="X9" s="2">
        <v>0.75600000000000001</v>
      </c>
      <c r="Y9" s="6">
        <f t="shared" si="2"/>
        <v>2.0180988227756869E-2</v>
      </c>
      <c r="AA9">
        <v>10895639</v>
      </c>
      <c r="AB9">
        <v>26969</v>
      </c>
      <c r="AD9" t="s">
        <v>2</v>
      </c>
      <c r="AE9">
        <v>103</v>
      </c>
      <c r="AF9">
        <v>50</v>
      </c>
      <c r="AH9" t="s">
        <v>8860</v>
      </c>
      <c r="AI9" t="s">
        <v>8859</v>
      </c>
      <c r="AK9" t="s">
        <v>8858</v>
      </c>
      <c r="AL9">
        <v>150</v>
      </c>
      <c r="AM9" s="5">
        <f t="shared" si="3"/>
        <v>6.5217391304347823</v>
      </c>
      <c r="AN9" s="4">
        <f t="shared" si="4"/>
        <v>9.87768137892432E-3</v>
      </c>
      <c r="AO9" s="3"/>
      <c r="AP9">
        <v>0</v>
      </c>
      <c r="AR9" t="s">
        <v>1</v>
      </c>
      <c r="AT9" s="2">
        <v>2.7810000000000001</v>
      </c>
      <c r="AU9" s="1">
        <f t="shared" si="5"/>
        <v>1.7089996173107105</v>
      </c>
      <c r="AV9" s="1">
        <f t="shared" si="6"/>
        <v>1.5029334803340593</v>
      </c>
      <c r="AW9" s="1">
        <f t="shared" si="7"/>
        <v>1.2968673433574085</v>
      </c>
    </row>
    <row r="10" spans="1:49" x14ac:dyDescent="0.2">
      <c r="A10">
        <v>8</v>
      </c>
      <c r="B10" t="s">
        <v>8857</v>
      </c>
      <c r="C10" t="s">
        <v>8856</v>
      </c>
      <c r="E10">
        <v>10607381</v>
      </c>
      <c r="F10" t="s">
        <v>8855</v>
      </c>
      <c r="G10" t="s">
        <v>6</v>
      </c>
      <c r="H10" t="s">
        <v>5</v>
      </c>
      <c r="I10" t="s">
        <v>8854</v>
      </c>
      <c r="J10">
        <v>60159889</v>
      </c>
      <c r="K10" t="s">
        <v>8853</v>
      </c>
      <c r="L10" t="s">
        <v>68</v>
      </c>
      <c r="M10" t="s">
        <v>67</v>
      </c>
      <c r="N10">
        <v>2</v>
      </c>
      <c r="O10" t="s">
        <v>8852</v>
      </c>
      <c r="P10" t="s">
        <v>8851</v>
      </c>
      <c r="Q10" t="s">
        <v>8850</v>
      </c>
      <c r="R10" s="7">
        <v>36509</v>
      </c>
      <c r="S10" s="8">
        <f t="shared" si="0"/>
        <v>1999</v>
      </c>
      <c r="T10" s="8">
        <v>1999</v>
      </c>
      <c r="U10" s="8">
        <f t="shared" si="1"/>
        <v>23</v>
      </c>
      <c r="V10" s="7">
        <v>36509</v>
      </c>
      <c r="W10" t="s">
        <v>803</v>
      </c>
      <c r="X10" s="2">
        <v>0.53600000000000003</v>
      </c>
      <c r="Y10" s="6">
        <f t="shared" si="2"/>
        <v>1.430821387576413E-2</v>
      </c>
      <c r="AA10" t="s">
        <v>802</v>
      </c>
      <c r="AB10">
        <v>20920</v>
      </c>
      <c r="AD10" t="s">
        <v>2</v>
      </c>
      <c r="AE10">
        <v>47</v>
      </c>
      <c r="AF10">
        <v>6</v>
      </c>
      <c r="AH10" t="s">
        <v>8849</v>
      </c>
      <c r="AI10" t="s">
        <v>8848</v>
      </c>
      <c r="AJ10" t="s">
        <v>8847</v>
      </c>
      <c r="AK10" t="s">
        <v>8846</v>
      </c>
      <c r="AL10">
        <v>91</v>
      </c>
      <c r="AM10" s="5">
        <f t="shared" si="3"/>
        <v>3.9565217391304346</v>
      </c>
      <c r="AN10" s="4">
        <f t="shared" si="4"/>
        <v>5.9924600365474211E-3</v>
      </c>
      <c r="AO10" s="3"/>
      <c r="AP10">
        <v>0</v>
      </c>
      <c r="AR10" t="s">
        <v>1</v>
      </c>
      <c r="AT10" s="2">
        <v>2.7690000000000001</v>
      </c>
      <c r="AU10" s="1">
        <f t="shared" si="5"/>
        <v>1.1813487723999117</v>
      </c>
      <c r="AV10" s="1">
        <f t="shared" si="6"/>
        <v>1.0150336956155774</v>
      </c>
      <c r="AW10" s="1">
        <f t="shared" si="7"/>
        <v>0.84871861883124322</v>
      </c>
    </row>
    <row r="11" spans="1:49" x14ac:dyDescent="0.2">
      <c r="A11">
        <v>9</v>
      </c>
      <c r="B11" t="s">
        <v>8845</v>
      </c>
      <c r="C11" t="s">
        <v>8844</v>
      </c>
      <c r="E11">
        <v>10607383</v>
      </c>
      <c r="F11" t="s">
        <v>8843</v>
      </c>
      <c r="G11" t="s">
        <v>6</v>
      </c>
      <c r="H11" t="s">
        <v>5</v>
      </c>
      <c r="I11" t="s">
        <v>8842</v>
      </c>
      <c r="J11">
        <v>60003003</v>
      </c>
      <c r="K11" t="s">
        <v>8841</v>
      </c>
      <c r="L11" t="s">
        <v>8840</v>
      </c>
      <c r="M11" t="s">
        <v>13</v>
      </c>
      <c r="N11">
        <v>2</v>
      </c>
      <c r="O11" t="s">
        <v>8839</v>
      </c>
      <c r="P11" t="s">
        <v>8838</v>
      </c>
      <c r="Q11" t="s">
        <v>8837</v>
      </c>
      <c r="R11" s="7">
        <v>36509</v>
      </c>
      <c r="S11" s="8">
        <f t="shared" si="0"/>
        <v>1999</v>
      </c>
      <c r="T11" s="8">
        <v>1999</v>
      </c>
      <c r="U11" s="8">
        <f t="shared" si="1"/>
        <v>23</v>
      </c>
      <c r="V11" s="7">
        <v>36509</v>
      </c>
      <c r="W11" t="s">
        <v>803</v>
      </c>
      <c r="X11" s="2">
        <v>0.53600000000000003</v>
      </c>
      <c r="Y11" s="6">
        <f t="shared" si="2"/>
        <v>1.430821387576413E-2</v>
      </c>
      <c r="AA11" t="s">
        <v>802</v>
      </c>
      <c r="AB11">
        <v>20920</v>
      </c>
      <c r="AD11" t="s">
        <v>2</v>
      </c>
      <c r="AE11">
        <v>47</v>
      </c>
      <c r="AF11">
        <v>6</v>
      </c>
      <c r="AH11" t="s">
        <v>8836</v>
      </c>
      <c r="AI11" t="s">
        <v>8835</v>
      </c>
      <c r="AJ11" t="s">
        <v>8834</v>
      </c>
      <c r="AK11" t="s">
        <v>8833</v>
      </c>
      <c r="AL11">
        <v>19</v>
      </c>
      <c r="AM11" s="5">
        <f t="shared" si="3"/>
        <v>0.82608695652173914</v>
      </c>
      <c r="AN11" s="4">
        <f t="shared" si="4"/>
        <v>1.2511729746637473E-3</v>
      </c>
      <c r="AO11" s="3"/>
      <c r="AP11">
        <v>0</v>
      </c>
      <c r="AR11" t="s">
        <v>1</v>
      </c>
      <c r="AT11" s="2">
        <v>2.7690000000000001</v>
      </c>
      <c r="AU11" s="1">
        <f t="shared" si="5"/>
        <v>1.0391101605434014</v>
      </c>
      <c r="AV11" s="1">
        <f t="shared" si="6"/>
        <v>0.77796934252139383</v>
      </c>
      <c r="AW11" s="1">
        <f t="shared" si="7"/>
        <v>0.51682852449938621</v>
      </c>
    </row>
    <row r="12" spans="1:49" x14ac:dyDescent="0.2">
      <c r="A12">
        <v>10</v>
      </c>
      <c r="B12" t="s">
        <v>8832</v>
      </c>
      <c r="C12" t="s">
        <v>8831</v>
      </c>
      <c r="F12" t="s">
        <v>8830</v>
      </c>
      <c r="G12" t="s">
        <v>6</v>
      </c>
      <c r="H12" t="s">
        <v>5</v>
      </c>
      <c r="I12" t="s">
        <v>8829</v>
      </c>
      <c r="J12" t="s">
        <v>8828</v>
      </c>
      <c r="K12" t="s">
        <v>8827</v>
      </c>
      <c r="L12" t="s">
        <v>8826</v>
      </c>
      <c r="M12" t="s">
        <v>120</v>
      </c>
      <c r="N12">
        <v>5</v>
      </c>
      <c r="O12" t="s">
        <v>8825</v>
      </c>
      <c r="P12" t="s">
        <v>8824</v>
      </c>
      <c r="Q12" t="s">
        <v>8823</v>
      </c>
      <c r="R12" s="7">
        <v>36509</v>
      </c>
      <c r="S12" s="8">
        <f t="shared" si="0"/>
        <v>1999</v>
      </c>
      <c r="T12" s="8">
        <v>1999</v>
      </c>
      <c r="U12" s="8">
        <f t="shared" si="1"/>
        <v>23</v>
      </c>
      <c r="V12" s="7">
        <v>36495</v>
      </c>
      <c r="W12" t="s">
        <v>769</v>
      </c>
      <c r="X12" s="2">
        <v>0.69899999999999995</v>
      </c>
      <c r="Y12" s="6">
        <f t="shared" si="2"/>
        <v>1.8659405782013295E-2</v>
      </c>
      <c r="AA12">
        <v>218979</v>
      </c>
      <c r="AB12">
        <v>28132</v>
      </c>
      <c r="AD12" t="s">
        <v>2</v>
      </c>
      <c r="AE12">
        <v>86</v>
      </c>
      <c r="AF12">
        <v>12</v>
      </c>
      <c r="AH12" t="s">
        <v>8822</v>
      </c>
      <c r="AI12" t="s">
        <v>8821</v>
      </c>
      <c r="AK12" t="s">
        <v>8820</v>
      </c>
      <c r="AL12">
        <v>2</v>
      </c>
      <c r="AM12" s="5">
        <f t="shared" si="3"/>
        <v>8.6956521739130432E-2</v>
      </c>
      <c r="AN12" s="4">
        <f t="shared" si="4"/>
        <v>1.3170241838565761E-4</v>
      </c>
      <c r="AO12" s="3"/>
      <c r="AP12">
        <v>0</v>
      </c>
      <c r="AR12" t="s">
        <v>1</v>
      </c>
      <c r="AT12" s="2">
        <v>2.5459999999999998</v>
      </c>
      <c r="AU12" s="1">
        <f t="shared" si="5"/>
        <v>1.3101094772925002</v>
      </c>
      <c r="AV12" s="1">
        <f t="shared" si="6"/>
        <v>0.93955541001994758</v>
      </c>
      <c r="AW12" s="1">
        <f t="shared" si="7"/>
        <v>0.56900134274739489</v>
      </c>
    </row>
    <row r="13" spans="1:49" x14ac:dyDescent="0.2">
      <c r="A13">
        <v>11</v>
      </c>
      <c r="B13" t="s">
        <v>8819</v>
      </c>
      <c r="C13" t="s">
        <v>8818</v>
      </c>
      <c r="D13" t="s">
        <v>8817</v>
      </c>
      <c r="F13" t="s">
        <v>8816</v>
      </c>
      <c r="G13" t="s">
        <v>6</v>
      </c>
      <c r="H13" t="s">
        <v>5</v>
      </c>
      <c r="I13" t="s">
        <v>8815</v>
      </c>
      <c r="J13">
        <v>60007457</v>
      </c>
      <c r="K13" t="s">
        <v>472</v>
      </c>
      <c r="L13" t="s">
        <v>471</v>
      </c>
      <c r="M13" t="s">
        <v>127</v>
      </c>
      <c r="N13">
        <v>3</v>
      </c>
      <c r="O13" t="s">
        <v>8814</v>
      </c>
      <c r="P13" t="s">
        <v>8813</v>
      </c>
      <c r="Q13" t="s">
        <v>8812</v>
      </c>
      <c r="R13" s="7">
        <v>36507</v>
      </c>
      <c r="S13" s="8">
        <f t="shared" si="0"/>
        <v>1999</v>
      </c>
      <c r="T13" s="8">
        <v>1999</v>
      </c>
      <c r="U13" s="8">
        <f t="shared" si="1"/>
        <v>23</v>
      </c>
      <c r="V13" s="7">
        <v>36507</v>
      </c>
      <c r="W13" t="s">
        <v>842</v>
      </c>
      <c r="X13" s="2">
        <v>0.499</v>
      </c>
      <c r="Y13" s="6">
        <f t="shared" si="2"/>
        <v>1.332052000747444E-2</v>
      </c>
      <c r="AA13">
        <v>3759601</v>
      </c>
      <c r="AB13">
        <v>29464</v>
      </c>
      <c r="AD13" t="s">
        <v>2</v>
      </c>
      <c r="AE13">
        <v>264</v>
      </c>
      <c r="AF13">
        <v>1</v>
      </c>
      <c r="AH13" s="10">
        <v>44470</v>
      </c>
      <c r="AI13" t="s">
        <v>8811</v>
      </c>
      <c r="AK13" t="s">
        <v>8810</v>
      </c>
      <c r="AL13">
        <v>208</v>
      </c>
      <c r="AM13" s="5">
        <f t="shared" si="3"/>
        <v>9.0434782608695645</v>
      </c>
      <c r="AN13" s="4">
        <f t="shared" si="4"/>
        <v>1.369705151210839E-2</v>
      </c>
      <c r="AO13" s="3"/>
      <c r="AP13">
        <v>0</v>
      </c>
      <c r="AQ13" t="s">
        <v>205</v>
      </c>
      <c r="AR13" t="s">
        <v>8809</v>
      </c>
      <c r="AS13" t="s">
        <v>204</v>
      </c>
      <c r="AT13" s="2" t="s">
        <v>0</v>
      </c>
      <c r="AU13" s="1">
        <f t="shared" si="5"/>
        <v>1.3433479458864626</v>
      </c>
      <c r="AV13" s="1">
        <f t="shared" si="6"/>
        <v>1.3508785759791415</v>
      </c>
      <c r="AW13" s="1">
        <f t="shared" si="7"/>
        <v>1.3584092060718205</v>
      </c>
    </row>
    <row r="14" spans="1:49" x14ac:dyDescent="0.2">
      <c r="A14">
        <v>12</v>
      </c>
      <c r="B14" t="s">
        <v>8808</v>
      </c>
      <c r="C14" t="s">
        <v>8807</v>
      </c>
      <c r="F14" t="s">
        <v>8806</v>
      </c>
      <c r="G14" t="s">
        <v>6</v>
      </c>
      <c r="H14" t="s">
        <v>5</v>
      </c>
      <c r="I14" t="s">
        <v>288</v>
      </c>
      <c r="J14" t="s">
        <v>8805</v>
      </c>
      <c r="K14" t="s">
        <v>8804</v>
      </c>
      <c r="L14" t="s">
        <v>8803</v>
      </c>
      <c r="M14" t="s">
        <v>18</v>
      </c>
      <c r="N14">
        <v>3</v>
      </c>
      <c r="O14" t="s">
        <v>8802</v>
      </c>
      <c r="P14" t="s">
        <v>8801</v>
      </c>
      <c r="Q14" t="s">
        <v>8800</v>
      </c>
      <c r="R14" s="7">
        <v>36507</v>
      </c>
      <c r="S14" s="8">
        <f t="shared" si="0"/>
        <v>1999</v>
      </c>
      <c r="T14" s="8">
        <v>1999</v>
      </c>
      <c r="U14" s="8">
        <f t="shared" si="1"/>
        <v>23</v>
      </c>
      <c r="V14" s="7">
        <v>36507</v>
      </c>
      <c r="W14" t="s">
        <v>667</v>
      </c>
      <c r="X14" s="2">
        <v>1.1819999999999999</v>
      </c>
      <c r="Y14" s="6">
        <f t="shared" si="2"/>
        <v>3.1552814927524625E-2</v>
      </c>
      <c r="AA14">
        <v>36951</v>
      </c>
      <c r="AB14">
        <v>27030</v>
      </c>
      <c r="AD14" t="s">
        <v>2</v>
      </c>
      <c r="AE14">
        <v>75</v>
      </c>
      <c r="AF14">
        <v>24</v>
      </c>
      <c r="AH14" t="s">
        <v>8799</v>
      </c>
      <c r="AI14" t="s">
        <v>8798</v>
      </c>
      <c r="AK14" t="s">
        <v>8797</v>
      </c>
      <c r="AL14">
        <v>56</v>
      </c>
      <c r="AM14" s="5">
        <f t="shared" si="3"/>
        <v>2.4347826086956523</v>
      </c>
      <c r="AN14" s="4">
        <f t="shared" si="4"/>
        <v>3.6876677147984131E-3</v>
      </c>
      <c r="AO14" s="3"/>
      <c r="AP14">
        <v>0</v>
      </c>
      <c r="AR14" t="s">
        <v>1</v>
      </c>
      <c r="AT14" s="2">
        <v>3.7909999999999999</v>
      </c>
      <c r="AU14" s="1">
        <f t="shared" si="5"/>
        <v>2.3193270763706759</v>
      </c>
      <c r="AV14" s="1">
        <f t="shared" si="6"/>
        <v>1.7620241321161518</v>
      </c>
      <c r="AW14" s="1">
        <f t="shared" si="7"/>
        <v>1.2047211878616277</v>
      </c>
    </row>
    <row r="15" spans="1:49" x14ac:dyDescent="0.2">
      <c r="A15">
        <v>13</v>
      </c>
      <c r="B15" t="s">
        <v>8796</v>
      </c>
      <c r="C15" t="s">
        <v>8795</v>
      </c>
      <c r="D15" t="s">
        <v>8794</v>
      </c>
      <c r="E15">
        <v>10670732</v>
      </c>
      <c r="F15" t="s">
        <v>8793</v>
      </c>
      <c r="G15" t="s">
        <v>6</v>
      </c>
      <c r="H15" t="s">
        <v>5</v>
      </c>
      <c r="I15" t="s">
        <v>8792</v>
      </c>
      <c r="J15" t="s">
        <v>8791</v>
      </c>
      <c r="K15" t="s">
        <v>8790</v>
      </c>
      <c r="L15" t="s">
        <v>8789</v>
      </c>
      <c r="M15" t="s">
        <v>261</v>
      </c>
      <c r="N15">
        <v>3</v>
      </c>
      <c r="O15" t="s">
        <v>8788</v>
      </c>
      <c r="P15" t="s">
        <v>8787</v>
      </c>
      <c r="Q15" t="s">
        <v>8786</v>
      </c>
      <c r="R15" s="7">
        <v>36504</v>
      </c>
      <c r="S15" s="8">
        <f t="shared" si="0"/>
        <v>1999</v>
      </c>
      <c r="T15" s="8">
        <v>1999</v>
      </c>
      <c r="U15" s="8">
        <f t="shared" si="1"/>
        <v>23</v>
      </c>
      <c r="V15" s="7">
        <v>36504</v>
      </c>
      <c r="W15" t="s">
        <v>8785</v>
      </c>
      <c r="X15" s="2" t="s">
        <v>0</v>
      </c>
      <c r="Y15" s="6" t="e">
        <f t="shared" si="2"/>
        <v>#VALUE!</v>
      </c>
      <c r="AA15">
        <v>13872273</v>
      </c>
      <c r="AB15">
        <v>100429</v>
      </c>
      <c r="AD15" t="s">
        <v>2</v>
      </c>
      <c r="AE15">
        <v>735</v>
      </c>
      <c r="AF15">
        <v>2</v>
      </c>
      <c r="AH15" t="s">
        <v>8784</v>
      </c>
      <c r="AI15" t="s">
        <v>8783</v>
      </c>
      <c r="AJ15" t="s">
        <v>8782</v>
      </c>
      <c r="AK15" t="s">
        <v>8781</v>
      </c>
      <c r="AL15">
        <v>35</v>
      </c>
      <c r="AM15" s="5">
        <f t="shared" si="3"/>
        <v>1.5217391304347827</v>
      </c>
      <c r="AN15" s="4">
        <f t="shared" si="4"/>
        <v>2.3047923217490085E-3</v>
      </c>
      <c r="AO15" s="3"/>
      <c r="AP15">
        <v>0</v>
      </c>
      <c r="AR15" t="s">
        <v>1</v>
      </c>
      <c r="AT15" s="2" t="s">
        <v>0</v>
      </c>
      <c r="AU15" s="1" t="e">
        <f t="shared" si="5"/>
        <v>#VALUE!</v>
      </c>
      <c r="AV15" s="1" t="e">
        <f t="shared" si="6"/>
        <v>#VALUE!</v>
      </c>
      <c r="AW15" s="1" t="e">
        <f t="shared" si="7"/>
        <v>#VALUE!</v>
      </c>
    </row>
    <row r="16" spans="1:49" x14ac:dyDescent="0.2">
      <c r="A16">
        <v>14</v>
      </c>
      <c r="B16" t="s">
        <v>8780</v>
      </c>
      <c r="C16" t="s">
        <v>8779</v>
      </c>
      <c r="F16" t="s">
        <v>8778</v>
      </c>
      <c r="G16" t="s">
        <v>6</v>
      </c>
      <c r="H16" t="s">
        <v>5</v>
      </c>
      <c r="I16" t="s">
        <v>638</v>
      </c>
      <c r="J16" t="s">
        <v>8777</v>
      </c>
      <c r="K16" t="s">
        <v>637</v>
      </c>
      <c r="L16" t="s">
        <v>636</v>
      </c>
      <c r="M16" t="s">
        <v>621</v>
      </c>
      <c r="N16">
        <v>2</v>
      </c>
      <c r="O16" t="s">
        <v>635</v>
      </c>
      <c r="P16" t="s">
        <v>533</v>
      </c>
      <c r="Q16" t="s">
        <v>8776</v>
      </c>
      <c r="R16" s="7">
        <v>36503</v>
      </c>
      <c r="S16" s="8">
        <f t="shared" si="0"/>
        <v>1999</v>
      </c>
      <c r="T16" s="8">
        <v>1999</v>
      </c>
      <c r="U16" s="8">
        <f t="shared" si="1"/>
        <v>23</v>
      </c>
      <c r="V16" s="7">
        <v>36503</v>
      </c>
      <c r="W16" t="s">
        <v>647</v>
      </c>
      <c r="X16" s="2">
        <v>0.86399999999999999</v>
      </c>
      <c r="Y16" s="6">
        <f t="shared" si="2"/>
        <v>2.3063986546007848E-2</v>
      </c>
      <c r="AA16">
        <v>15206106</v>
      </c>
      <c r="AB16">
        <v>26970</v>
      </c>
      <c r="AD16" t="s">
        <v>2</v>
      </c>
      <c r="AE16">
        <v>103</v>
      </c>
      <c r="AF16">
        <v>49</v>
      </c>
      <c r="AH16" t="s">
        <v>8775</v>
      </c>
      <c r="AI16" t="s">
        <v>8774</v>
      </c>
      <c r="AK16" t="s">
        <v>8773</v>
      </c>
      <c r="AL16">
        <v>14</v>
      </c>
      <c r="AM16" s="5">
        <f t="shared" si="3"/>
        <v>0.60869565217391308</v>
      </c>
      <c r="AN16" s="4">
        <f t="shared" si="4"/>
        <v>9.2191692869960328E-4</v>
      </c>
      <c r="AO16" s="3"/>
      <c r="AP16">
        <v>0</v>
      </c>
      <c r="AR16" t="s">
        <v>1</v>
      </c>
      <c r="AT16" s="2">
        <v>2.9910000000000001</v>
      </c>
      <c r="AU16" s="1">
        <f t="shared" si="5"/>
        <v>1.6421365660815372</v>
      </c>
      <c r="AV16" s="1">
        <f t="shared" si="6"/>
        <v>1.1992951737353725</v>
      </c>
      <c r="AW16" s="1">
        <f t="shared" si="7"/>
        <v>0.75645378138920771</v>
      </c>
    </row>
    <row r="17" spans="1:49" x14ac:dyDescent="0.2">
      <c r="A17">
        <v>15</v>
      </c>
      <c r="B17" t="s">
        <v>8772</v>
      </c>
      <c r="C17" t="s">
        <v>8771</v>
      </c>
      <c r="F17" t="s">
        <v>8770</v>
      </c>
      <c r="G17" t="s">
        <v>6</v>
      </c>
      <c r="H17" t="s">
        <v>5</v>
      </c>
      <c r="I17" t="s">
        <v>8769</v>
      </c>
      <c r="J17">
        <v>60019702</v>
      </c>
      <c r="K17" t="s">
        <v>285</v>
      </c>
      <c r="L17" t="s">
        <v>284</v>
      </c>
      <c r="M17" t="s">
        <v>58</v>
      </c>
      <c r="N17">
        <v>4</v>
      </c>
      <c r="O17" t="s">
        <v>8768</v>
      </c>
      <c r="P17" t="s">
        <v>8767</v>
      </c>
      <c r="Q17" t="s">
        <v>8766</v>
      </c>
      <c r="R17" s="7">
        <v>36503</v>
      </c>
      <c r="S17" s="8">
        <f t="shared" si="0"/>
        <v>1999</v>
      </c>
      <c r="T17" s="8">
        <v>1999</v>
      </c>
      <c r="U17" s="8">
        <f t="shared" si="1"/>
        <v>23</v>
      </c>
      <c r="V17" s="7">
        <v>36503</v>
      </c>
      <c r="W17" t="s">
        <v>227</v>
      </c>
      <c r="X17" s="2">
        <v>0.375</v>
      </c>
      <c r="Y17" s="6">
        <f t="shared" si="2"/>
        <v>1.0010410827260351E-2</v>
      </c>
      <c r="AA17">
        <v>135194</v>
      </c>
      <c r="AB17">
        <v>24918</v>
      </c>
      <c r="AD17" t="s">
        <v>2</v>
      </c>
      <c r="AE17">
        <v>35</v>
      </c>
      <c r="AF17">
        <v>25</v>
      </c>
      <c r="AH17" t="s">
        <v>8765</v>
      </c>
      <c r="AI17" t="s">
        <v>8764</v>
      </c>
      <c r="AK17" t="s">
        <v>8763</v>
      </c>
      <c r="AL17">
        <v>3</v>
      </c>
      <c r="AM17" s="5">
        <f t="shared" si="3"/>
        <v>0.13043478260869565</v>
      </c>
      <c r="AN17" s="4">
        <f t="shared" si="4"/>
        <v>1.9755362757848641E-4</v>
      </c>
      <c r="AO17" s="3"/>
      <c r="AP17">
        <v>0</v>
      </c>
      <c r="AR17" t="s">
        <v>1</v>
      </c>
      <c r="AT17" s="2">
        <v>1.3140000000000001</v>
      </c>
      <c r="AU17" s="1">
        <f t="shared" si="5"/>
        <v>0.70665536673557916</v>
      </c>
      <c r="AV17" s="1">
        <f t="shared" si="6"/>
        <v>0.51039822274194191</v>
      </c>
      <c r="AW17" s="1">
        <f t="shared" si="7"/>
        <v>0.31414107874830455</v>
      </c>
    </row>
    <row r="18" spans="1:49" x14ac:dyDescent="0.2">
      <c r="A18">
        <v>16</v>
      </c>
      <c r="B18" t="s">
        <v>8762</v>
      </c>
      <c r="C18" t="s">
        <v>8761</v>
      </c>
      <c r="F18" t="s">
        <v>8760</v>
      </c>
      <c r="G18" t="s">
        <v>6</v>
      </c>
      <c r="H18" t="s">
        <v>5</v>
      </c>
      <c r="I18" t="s">
        <v>8759</v>
      </c>
      <c r="J18">
        <v>60000990</v>
      </c>
      <c r="K18" t="s">
        <v>291</v>
      </c>
      <c r="L18" t="s">
        <v>290</v>
      </c>
      <c r="M18" t="s">
        <v>289</v>
      </c>
      <c r="N18">
        <v>3</v>
      </c>
      <c r="O18" t="s">
        <v>8758</v>
      </c>
      <c r="P18" t="s">
        <v>8757</v>
      </c>
      <c r="Q18" t="s">
        <v>8756</v>
      </c>
      <c r="R18" s="7">
        <v>36503</v>
      </c>
      <c r="S18" s="8">
        <f t="shared" si="0"/>
        <v>1999</v>
      </c>
      <c r="T18" s="8">
        <v>1999</v>
      </c>
      <c r="U18" s="8">
        <f t="shared" si="1"/>
        <v>23</v>
      </c>
      <c r="V18" s="7">
        <v>36503</v>
      </c>
      <c r="W18" t="s">
        <v>227</v>
      </c>
      <c r="X18" s="2">
        <v>0.375</v>
      </c>
      <c r="Y18" s="6">
        <f t="shared" si="2"/>
        <v>1.0010410827260351E-2</v>
      </c>
      <c r="AA18">
        <v>135194</v>
      </c>
      <c r="AB18">
        <v>24918</v>
      </c>
      <c r="AD18" t="s">
        <v>2</v>
      </c>
      <c r="AE18">
        <v>35</v>
      </c>
      <c r="AF18">
        <v>25</v>
      </c>
      <c r="AH18" t="s">
        <v>8755</v>
      </c>
      <c r="AI18" t="s">
        <v>8754</v>
      </c>
      <c r="AK18" t="s">
        <v>8753</v>
      </c>
      <c r="AL18">
        <v>6</v>
      </c>
      <c r="AM18" s="5">
        <f t="shared" si="3"/>
        <v>0.2608695652173913</v>
      </c>
      <c r="AN18" s="4">
        <f t="shared" si="4"/>
        <v>3.9510725515697282E-4</v>
      </c>
      <c r="AO18" s="3"/>
      <c r="AP18">
        <v>0</v>
      </c>
      <c r="AR18" t="s">
        <v>1</v>
      </c>
      <c r="AT18" s="2">
        <v>1.3140000000000001</v>
      </c>
      <c r="AU18" s="1">
        <f t="shared" si="5"/>
        <v>0.71258197556293379</v>
      </c>
      <c r="AV18" s="1">
        <f t="shared" si="6"/>
        <v>0.52027590412086622</v>
      </c>
      <c r="AW18" s="1">
        <f t="shared" si="7"/>
        <v>0.32796983267879859</v>
      </c>
    </row>
    <row r="19" spans="1:49" x14ac:dyDescent="0.2">
      <c r="A19">
        <v>17</v>
      </c>
      <c r="B19" t="s">
        <v>8752</v>
      </c>
      <c r="C19" t="s">
        <v>8751</v>
      </c>
      <c r="F19" t="s">
        <v>8750</v>
      </c>
      <c r="G19" t="s">
        <v>6</v>
      </c>
      <c r="H19" t="s">
        <v>5</v>
      </c>
      <c r="I19" t="s">
        <v>8749</v>
      </c>
      <c r="J19" t="s">
        <v>8748</v>
      </c>
      <c r="K19" t="s">
        <v>8747</v>
      </c>
      <c r="L19" t="s">
        <v>8746</v>
      </c>
      <c r="M19" t="s">
        <v>30</v>
      </c>
      <c r="N19">
        <v>4</v>
      </c>
      <c r="O19" t="s">
        <v>8745</v>
      </c>
      <c r="P19" t="s">
        <v>8744</v>
      </c>
      <c r="Q19" t="s">
        <v>8743</v>
      </c>
      <c r="R19" s="7">
        <v>36503</v>
      </c>
      <c r="S19" s="8">
        <f t="shared" si="0"/>
        <v>1999</v>
      </c>
      <c r="T19" s="8">
        <v>1999</v>
      </c>
      <c r="U19" s="8">
        <f t="shared" si="1"/>
        <v>23</v>
      </c>
      <c r="V19" s="7">
        <v>36503</v>
      </c>
      <c r="W19" t="s">
        <v>227</v>
      </c>
      <c r="X19" s="2">
        <v>0.375</v>
      </c>
      <c r="Y19" s="6">
        <f t="shared" si="2"/>
        <v>1.0010410827260351E-2</v>
      </c>
      <c r="AA19">
        <v>135194</v>
      </c>
      <c r="AB19">
        <v>24918</v>
      </c>
      <c r="AD19" t="s">
        <v>2</v>
      </c>
      <c r="AE19">
        <v>35</v>
      </c>
      <c r="AF19">
        <v>25</v>
      </c>
      <c r="AH19" t="s">
        <v>8742</v>
      </c>
      <c r="AI19" t="s">
        <v>8741</v>
      </c>
      <c r="AK19" t="s">
        <v>8740</v>
      </c>
      <c r="AL19">
        <v>26</v>
      </c>
      <c r="AM19" s="5">
        <f t="shared" si="3"/>
        <v>1.1304347826086956</v>
      </c>
      <c r="AN19" s="4">
        <f t="shared" si="4"/>
        <v>1.7121314390135488E-3</v>
      </c>
      <c r="AO19" s="3"/>
      <c r="AP19">
        <v>0</v>
      </c>
      <c r="AR19" t="s">
        <v>1</v>
      </c>
      <c r="AT19" s="2">
        <v>1.3140000000000001</v>
      </c>
      <c r="AU19" s="1">
        <f t="shared" si="5"/>
        <v>0.75209270107863102</v>
      </c>
      <c r="AV19" s="1">
        <f t="shared" si="6"/>
        <v>0.58612711331369494</v>
      </c>
      <c r="AW19" s="1">
        <f t="shared" si="7"/>
        <v>0.42016152554875891</v>
      </c>
    </row>
    <row r="20" spans="1:49" x14ac:dyDescent="0.2">
      <c r="A20">
        <v>18</v>
      </c>
      <c r="B20" t="s">
        <v>8739</v>
      </c>
      <c r="C20" t="s">
        <v>8738</v>
      </c>
      <c r="F20" t="s">
        <v>8737</v>
      </c>
      <c r="G20" t="s">
        <v>6</v>
      </c>
      <c r="H20" t="s">
        <v>5</v>
      </c>
      <c r="I20" t="s">
        <v>8736</v>
      </c>
      <c r="J20">
        <v>60110755</v>
      </c>
      <c r="K20" t="s">
        <v>246</v>
      </c>
      <c r="L20" t="s">
        <v>245</v>
      </c>
      <c r="M20" t="s">
        <v>47</v>
      </c>
      <c r="N20">
        <v>3</v>
      </c>
      <c r="O20" t="s">
        <v>8735</v>
      </c>
      <c r="P20" t="s">
        <v>8734</v>
      </c>
      <c r="Q20" t="s">
        <v>8733</v>
      </c>
      <c r="R20" s="7">
        <v>36503</v>
      </c>
      <c r="S20" s="8">
        <f t="shared" si="0"/>
        <v>1999</v>
      </c>
      <c r="T20" s="8">
        <v>1999</v>
      </c>
      <c r="U20" s="8">
        <f t="shared" si="1"/>
        <v>23</v>
      </c>
      <c r="V20" s="7">
        <v>36503</v>
      </c>
      <c r="W20" t="s">
        <v>227</v>
      </c>
      <c r="X20" s="2">
        <v>0.375</v>
      </c>
      <c r="Y20" s="6">
        <f t="shared" si="2"/>
        <v>1.0010410827260351E-2</v>
      </c>
      <c r="AA20">
        <v>135194</v>
      </c>
      <c r="AB20">
        <v>24918</v>
      </c>
      <c r="AD20" t="s">
        <v>2</v>
      </c>
      <c r="AE20">
        <v>35</v>
      </c>
      <c r="AF20">
        <v>25</v>
      </c>
      <c r="AH20" t="s">
        <v>8732</v>
      </c>
      <c r="AI20" t="s">
        <v>8731</v>
      </c>
      <c r="AK20" t="s">
        <v>8730</v>
      </c>
      <c r="AL20">
        <v>5</v>
      </c>
      <c r="AM20" s="5">
        <f t="shared" si="3"/>
        <v>0.21739130434782608</v>
      </c>
      <c r="AN20" s="4">
        <f t="shared" si="4"/>
        <v>3.29256045964144E-4</v>
      </c>
      <c r="AO20" s="3"/>
      <c r="AP20">
        <v>0</v>
      </c>
      <c r="AR20" t="s">
        <v>1</v>
      </c>
      <c r="AT20" s="2">
        <v>1.3140000000000001</v>
      </c>
      <c r="AU20" s="1">
        <f t="shared" si="5"/>
        <v>0.71060643928714895</v>
      </c>
      <c r="AV20" s="1">
        <f t="shared" si="6"/>
        <v>0.51698334366122478</v>
      </c>
      <c r="AW20" s="1">
        <f t="shared" si="7"/>
        <v>0.32336024803530061</v>
      </c>
    </row>
    <row r="21" spans="1:49" x14ac:dyDescent="0.2">
      <c r="A21">
        <v>19</v>
      </c>
      <c r="B21" t="s">
        <v>8729</v>
      </c>
      <c r="C21" t="s">
        <v>8728</v>
      </c>
      <c r="F21" t="s">
        <v>8727</v>
      </c>
      <c r="G21" t="s">
        <v>6</v>
      </c>
      <c r="H21" t="s">
        <v>5</v>
      </c>
      <c r="I21" t="s">
        <v>860</v>
      </c>
      <c r="J21">
        <v>60019702</v>
      </c>
      <c r="K21" t="s">
        <v>285</v>
      </c>
      <c r="L21" t="s">
        <v>284</v>
      </c>
      <c r="M21" t="s">
        <v>58</v>
      </c>
      <c r="N21">
        <v>3</v>
      </c>
      <c r="O21" t="s">
        <v>859</v>
      </c>
      <c r="P21" t="s">
        <v>858</v>
      </c>
      <c r="Q21" t="s">
        <v>857</v>
      </c>
      <c r="R21" s="7">
        <v>36503</v>
      </c>
      <c r="S21" s="8">
        <f t="shared" si="0"/>
        <v>1999</v>
      </c>
      <c r="T21" s="8">
        <v>1999</v>
      </c>
      <c r="U21" s="8">
        <f t="shared" si="1"/>
        <v>23</v>
      </c>
      <c r="V21" s="7">
        <v>36503</v>
      </c>
      <c r="W21" t="s">
        <v>227</v>
      </c>
      <c r="X21" s="2">
        <v>0.375</v>
      </c>
      <c r="Y21" s="6">
        <f t="shared" si="2"/>
        <v>1.0010410827260351E-2</v>
      </c>
      <c r="AA21">
        <v>135194</v>
      </c>
      <c r="AB21">
        <v>24918</v>
      </c>
      <c r="AD21" t="s">
        <v>2</v>
      </c>
      <c r="AE21">
        <v>35</v>
      </c>
      <c r="AF21">
        <v>25</v>
      </c>
      <c r="AH21" t="s">
        <v>8726</v>
      </c>
      <c r="AI21" t="s">
        <v>8725</v>
      </c>
      <c r="AK21" t="s">
        <v>8724</v>
      </c>
      <c r="AL21">
        <v>133</v>
      </c>
      <c r="AM21" s="5">
        <f t="shared" si="3"/>
        <v>5.7826086956521738</v>
      </c>
      <c r="AN21" s="4">
        <f t="shared" si="4"/>
        <v>8.7582108226462313E-3</v>
      </c>
      <c r="AO21" s="3"/>
      <c r="AP21">
        <v>0</v>
      </c>
      <c r="AR21" t="s">
        <v>1</v>
      </c>
      <c r="AT21" s="2">
        <v>1.3140000000000001</v>
      </c>
      <c r="AU21" s="1">
        <f t="shared" si="5"/>
        <v>0.9634750825876115</v>
      </c>
      <c r="AV21" s="1">
        <f t="shared" si="6"/>
        <v>0.93843108249532914</v>
      </c>
      <c r="AW21" s="1">
        <f t="shared" si="7"/>
        <v>0.91338708240304656</v>
      </c>
    </row>
    <row r="22" spans="1:49" x14ac:dyDescent="0.2">
      <c r="A22">
        <v>20</v>
      </c>
      <c r="B22" t="s">
        <v>8723</v>
      </c>
      <c r="C22" t="s">
        <v>8722</v>
      </c>
      <c r="F22" t="s">
        <v>8721</v>
      </c>
      <c r="G22" t="s">
        <v>6</v>
      </c>
      <c r="H22" t="s">
        <v>5</v>
      </c>
      <c r="I22" t="s">
        <v>8720</v>
      </c>
      <c r="J22">
        <v>60015150</v>
      </c>
      <c r="K22" t="s">
        <v>451</v>
      </c>
      <c r="L22" t="s">
        <v>450</v>
      </c>
      <c r="M22" t="s">
        <v>58</v>
      </c>
      <c r="N22">
        <v>2</v>
      </c>
      <c r="O22" t="s">
        <v>8719</v>
      </c>
      <c r="P22" t="s">
        <v>8718</v>
      </c>
      <c r="Q22" t="s">
        <v>8717</v>
      </c>
      <c r="R22" s="7">
        <v>36503</v>
      </c>
      <c r="S22" s="8">
        <f t="shared" si="0"/>
        <v>1999</v>
      </c>
      <c r="T22" s="8">
        <v>1999</v>
      </c>
      <c r="U22" s="8">
        <f t="shared" si="1"/>
        <v>23</v>
      </c>
      <c r="V22" s="7">
        <v>36503</v>
      </c>
      <c r="W22" t="s">
        <v>227</v>
      </c>
      <c r="X22" s="2">
        <v>0.375</v>
      </c>
      <c r="Y22" s="6">
        <f t="shared" si="2"/>
        <v>1.0010410827260351E-2</v>
      </c>
      <c r="AA22">
        <v>135194</v>
      </c>
      <c r="AB22">
        <v>24918</v>
      </c>
      <c r="AD22" t="s">
        <v>2</v>
      </c>
      <c r="AE22">
        <v>35</v>
      </c>
      <c r="AF22">
        <v>25</v>
      </c>
      <c r="AH22" t="s">
        <v>8716</v>
      </c>
      <c r="AI22" t="s">
        <v>8715</v>
      </c>
      <c r="AK22" t="s">
        <v>8714</v>
      </c>
      <c r="AL22">
        <v>0</v>
      </c>
      <c r="AM22" s="5">
        <f t="shared" si="3"/>
        <v>0</v>
      </c>
      <c r="AN22" s="4">
        <f t="shared" si="4"/>
        <v>0</v>
      </c>
      <c r="AO22" s="3"/>
      <c r="AP22">
        <v>0</v>
      </c>
      <c r="AR22" t="s">
        <v>1</v>
      </c>
      <c r="AT22" s="2">
        <v>1.3140000000000001</v>
      </c>
      <c r="AU22" s="1">
        <f t="shared" si="5"/>
        <v>0.70072875790822453</v>
      </c>
      <c r="AV22" s="1">
        <f t="shared" si="6"/>
        <v>0.5005205413630176</v>
      </c>
      <c r="AW22" s="1">
        <f t="shared" si="7"/>
        <v>0.30031232481781051</v>
      </c>
    </row>
    <row r="23" spans="1:49" x14ac:dyDescent="0.2">
      <c r="A23">
        <v>21</v>
      </c>
      <c r="B23" t="s">
        <v>8713</v>
      </c>
      <c r="C23" t="s">
        <v>8712</v>
      </c>
      <c r="F23" t="s">
        <v>8711</v>
      </c>
      <c r="G23" t="s">
        <v>6</v>
      </c>
      <c r="H23" t="s">
        <v>5</v>
      </c>
      <c r="I23" t="s">
        <v>8710</v>
      </c>
      <c r="N23">
        <v>4</v>
      </c>
      <c r="O23" t="s">
        <v>8709</v>
      </c>
      <c r="P23" t="s">
        <v>8708</v>
      </c>
      <c r="Q23" t="s">
        <v>112</v>
      </c>
      <c r="R23" s="7">
        <v>36503</v>
      </c>
      <c r="S23" s="8">
        <f t="shared" si="0"/>
        <v>1999</v>
      </c>
      <c r="T23" s="8">
        <v>1999</v>
      </c>
      <c r="U23" s="8">
        <f t="shared" si="1"/>
        <v>23</v>
      </c>
      <c r="V23" s="7">
        <v>36503</v>
      </c>
      <c r="W23" t="s">
        <v>227</v>
      </c>
      <c r="X23" s="2">
        <v>0.375</v>
      </c>
      <c r="Y23" s="6">
        <f t="shared" si="2"/>
        <v>1.0010410827260351E-2</v>
      </c>
      <c r="AA23">
        <v>135194</v>
      </c>
      <c r="AB23">
        <v>24918</v>
      </c>
      <c r="AD23" t="s">
        <v>2</v>
      </c>
      <c r="AE23">
        <v>35</v>
      </c>
      <c r="AF23">
        <v>25</v>
      </c>
      <c r="AH23" t="s">
        <v>4821</v>
      </c>
      <c r="AI23" t="s">
        <v>8707</v>
      </c>
      <c r="AK23" t="s">
        <v>8706</v>
      </c>
      <c r="AL23">
        <v>68</v>
      </c>
      <c r="AM23" s="5">
        <f t="shared" si="3"/>
        <v>2.9565217391304346</v>
      </c>
      <c r="AN23" s="4">
        <f t="shared" si="4"/>
        <v>4.4778822251123583E-3</v>
      </c>
      <c r="AO23" s="3"/>
      <c r="AP23">
        <v>0</v>
      </c>
      <c r="AR23" t="s">
        <v>1</v>
      </c>
      <c r="AT23" s="2">
        <v>1.3140000000000001</v>
      </c>
      <c r="AU23" s="1">
        <f t="shared" si="5"/>
        <v>0.83506522466159538</v>
      </c>
      <c r="AV23" s="1">
        <f t="shared" si="6"/>
        <v>0.72441465261863547</v>
      </c>
      <c r="AW23" s="1">
        <f t="shared" si="7"/>
        <v>0.61376408057567566</v>
      </c>
    </row>
    <row r="24" spans="1:49" x14ac:dyDescent="0.2">
      <c r="A24">
        <v>22</v>
      </c>
      <c r="B24" t="s">
        <v>8705</v>
      </c>
      <c r="C24" t="s">
        <v>8704</v>
      </c>
      <c r="F24" t="s">
        <v>8703</v>
      </c>
      <c r="G24" t="s">
        <v>6</v>
      </c>
      <c r="H24" t="s">
        <v>5</v>
      </c>
      <c r="I24" t="s">
        <v>143</v>
      </c>
      <c r="J24">
        <v>60001439</v>
      </c>
      <c r="K24" t="s">
        <v>142</v>
      </c>
      <c r="L24" t="s">
        <v>141</v>
      </c>
      <c r="M24" t="s">
        <v>3</v>
      </c>
      <c r="N24">
        <v>3</v>
      </c>
      <c r="O24" t="s">
        <v>8702</v>
      </c>
      <c r="P24" t="s">
        <v>8701</v>
      </c>
      <c r="Q24" t="s">
        <v>601</v>
      </c>
      <c r="R24" s="7">
        <v>36503</v>
      </c>
      <c r="S24" s="8">
        <f t="shared" si="0"/>
        <v>1999</v>
      </c>
      <c r="T24" s="8">
        <v>1999</v>
      </c>
      <c r="U24" s="8">
        <f t="shared" si="1"/>
        <v>23</v>
      </c>
      <c r="V24" s="7">
        <v>36503</v>
      </c>
      <c r="W24" t="s">
        <v>227</v>
      </c>
      <c r="X24" s="2">
        <v>0.375</v>
      </c>
      <c r="Y24" s="6">
        <f t="shared" si="2"/>
        <v>1.0010410827260351E-2</v>
      </c>
      <c r="AA24">
        <v>135194</v>
      </c>
      <c r="AB24">
        <v>24918</v>
      </c>
      <c r="AD24" t="s">
        <v>2</v>
      </c>
      <c r="AE24">
        <v>35</v>
      </c>
      <c r="AF24">
        <v>25</v>
      </c>
      <c r="AH24" t="s">
        <v>8700</v>
      </c>
      <c r="AI24" t="s">
        <v>8699</v>
      </c>
      <c r="AK24" t="s">
        <v>8698</v>
      </c>
      <c r="AL24">
        <v>10</v>
      </c>
      <c r="AM24" s="5">
        <f t="shared" si="3"/>
        <v>0.43478260869565216</v>
      </c>
      <c r="AN24" s="4">
        <f t="shared" si="4"/>
        <v>6.5851209192828799E-4</v>
      </c>
      <c r="AO24" s="3"/>
      <c r="AP24">
        <v>0</v>
      </c>
      <c r="AR24" t="s">
        <v>1</v>
      </c>
      <c r="AT24" s="2">
        <v>1.3140000000000001</v>
      </c>
      <c r="AU24" s="1">
        <f t="shared" si="5"/>
        <v>0.72048412066607315</v>
      </c>
      <c r="AV24" s="1">
        <f t="shared" si="6"/>
        <v>0.53344614595943196</v>
      </c>
      <c r="AW24" s="1">
        <f t="shared" si="7"/>
        <v>0.34640817125279066</v>
      </c>
    </row>
    <row r="25" spans="1:49" x14ac:dyDescent="0.2">
      <c r="A25">
        <v>23</v>
      </c>
      <c r="B25" t="s">
        <v>8697</v>
      </c>
      <c r="C25" t="s">
        <v>8696</v>
      </c>
      <c r="F25" t="s">
        <v>8695</v>
      </c>
      <c r="G25" t="s">
        <v>6</v>
      </c>
      <c r="H25" t="s">
        <v>5</v>
      </c>
      <c r="I25" t="s">
        <v>1622</v>
      </c>
      <c r="J25">
        <v>60007284</v>
      </c>
      <c r="K25" t="s">
        <v>1621</v>
      </c>
      <c r="L25" t="s">
        <v>306</v>
      </c>
      <c r="M25" t="s">
        <v>305</v>
      </c>
      <c r="N25">
        <v>2</v>
      </c>
      <c r="O25" t="s">
        <v>1620</v>
      </c>
      <c r="P25" t="s">
        <v>1619</v>
      </c>
      <c r="Q25" t="s">
        <v>1618</v>
      </c>
      <c r="R25" s="7">
        <v>36503</v>
      </c>
      <c r="S25" s="8">
        <f t="shared" si="0"/>
        <v>1999</v>
      </c>
      <c r="T25" s="8">
        <v>1999</v>
      </c>
      <c r="U25" s="8">
        <f t="shared" si="1"/>
        <v>23</v>
      </c>
      <c r="V25" s="7">
        <v>36503</v>
      </c>
      <c r="W25" t="s">
        <v>227</v>
      </c>
      <c r="X25" s="2">
        <v>0.375</v>
      </c>
      <c r="Y25" s="6">
        <f t="shared" si="2"/>
        <v>1.0010410827260351E-2</v>
      </c>
      <c r="AA25">
        <v>135194</v>
      </c>
      <c r="AB25">
        <v>24918</v>
      </c>
      <c r="AD25" t="s">
        <v>2</v>
      </c>
      <c r="AE25">
        <v>35</v>
      </c>
      <c r="AF25">
        <v>25</v>
      </c>
      <c r="AH25" t="s">
        <v>8694</v>
      </c>
      <c r="AI25" t="s">
        <v>8693</v>
      </c>
      <c r="AK25" t="s">
        <v>8692</v>
      </c>
      <c r="AL25">
        <v>49</v>
      </c>
      <c r="AM25" s="5">
        <f t="shared" si="3"/>
        <v>2.1304347826086958</v>
      </c>
      <c r="AN25" s="4">
        <f t="shared" si="4"/>
        <v>3.2267092504486114E-3</v>
      </c>
      <c r="AO25" s="3"/>
      <c r="AP25">
        <v>0</v>
      </c>
      <c r="AR25" t="s">
        <v>1</v>
      </c>
      <c r="AT25" s="2">
        <v>1.3140000000000001</v>
      </c>
      <c r="AU25" s="1">
        <f t="shared" si="5"/>
        <v>0.79753003542168288</v>
      </c>
      <c r="AV25" s="1">
        <f t="shared" si="6"/>
        <v>0.66185600388544807</v>
      </c>
      <c r="AW25" s="1">
        <f t="shared" si="7"/>
        <v>0.52618197234921338</v>
      </c>
    </row>
    <row r="26" spans="1:49" x14ac:dyDescent="0.2">
      <c r="A26">
        <v>24</v>
      </c>
      <c r="B26" t="s">
        <v>8691</v>
      </c>
      <c r="C26" t="s">
        <v>8690</v>
      </c>
      <c r="F26" t="s">
        <v>8689</v>
      </c>
      <c r="G26" t="s">
        <v>6</v>
      </c>
      <c r="H26" t="s">
        <v>5</v>
      </c>
      <c r="I26" t="s">
        <v>776</v>
      </c>
      <c r="J26">
        <v>60017161</v>
      </c>
      <c r="K26" t="s">
        <v>340</v>
      </c>
      <c r="L26" t="s">
        <v>306</v>
      </c>
      <c r="M26" t="s">
        <v>305</v>
      </c>
      <c r="N26">
        <v>3</v>
      </c>
      <c r="O26" t="s">
        <v>8688</v>
      </c>
      <c r="P26" t="s">
        <v>8687</v>
      </c>
      <c r="Q26" t="s">
        <v>813</v>
      </c>
      <c r="R26" s="7">
        <v>36499</v>
      </c>
      <c r="S26" s="8">
        <f t="shared" si="0"/>
        <v>1999</v>
      </c>
      <c r="T26" s="8">
        <v>1999</v>
      </c>
      <c r="U26" s="8">
        <f t="shared" si="1"/>
        <v>23</v>
      </c>
      <c r="V26" s="7">
        <v>36499</v>
      </c>
      <c r="W26" t="s">
        <v>162</v>
      </c>
      <c r="X26" s="2">
        <v>0.30399999999999999</v>
      </c>
      <c r="Y26" s="6">
        <f t="shared" si="2"/>
        <v>8.115106377299057E-3</v>
      </c>
      <c r="AA26">
        <v>8952477</v>
      </c>
      <c r="AB26">
        <v>12250</v>
      </c>
      <c r="AD26" t="s">
        <v>2</v>
      </c>
      <c r="AE26">
        <v>23</v>
      </c>
      <c r="AF26">
        <v>5</v>
      </c>
      <c r="AH26" t="s">
        <v>8686</v>
      </c>
      <c r="AI26" t="s">
        <v>8685</v>
      </c>
      <c r="AK26" t="s">
        <v>8684</v>
      </c>
      <c r="AL26">
        <v>5</v>
      </c>
      <c r="AM26" s="5">
        <f t="shared" si="3"/>
        <v>0.21739130434782608</v>
      </c>
      <c r="AN26" s="4">
        <f t="shared" si="4"/>
        <v>3.29256045964144E-4</v>
      </c>
      <c r="AO26" s="3"/>
      <c r="AP26">
        <v>0</v>
      </c>
      <c r="AR26" t="s">
        <v>1</v>
      </c>
      <c r="AT26" s="2" t="s">
        <v>0</v>
      </c>
      <c r="AU26" s="1">
        <f t="shared" si="5"/>
        <v>0.57793512778985834</v>
      </c>
      <c r="AV26" s="1">
        <f t="shared" si="6"/>
        <v>0.42221812116316004</v>
      </c>
      <c r="AW26" s="1">
        <f t="shared" si="7"/>
        <v>0.2665011145364618</v>
      </c>
    </row>
    <row r="27" spans="1:49" x14ac:dyDescent="0.2">
      <c r="A27">
        <v>25</v>
      </c>
      <c r="B27" t="s">
        <v>8683</v>
      </c>
      <c r="C27" t="s">
        <v>8682</v>
      </c>
      <c r="F27" t="s">
        <v>8681</v>
      </c>
      <c r="G27" t="s">
        <v>6</v>
      </c>
      <c r="H27" t="s">
        <v>5</v>
      </c>
      <c r="I27" t="s">
        <v>8680</v>
      </c>
      <c r="J27" t="s">
        <v>8679</v>
      </c>
      <c r="K27" t="s">
        <v>8678</v>
      </c>
      <c r="L27" t="s">
        <v>8677</v>
      </c>
      <c r="M27" t="s">
        <v>461</v>
      </c>
      <c r="N27">
        <v>2</v>
      </c>
      <c r="O27" t="s">
        <v>8676</v>
      </c>
      <c r="P27" t="s">
        <v>8675</v>
      </c>
      <c r="Q27" t="s">
        <v>8674</v>
      </c>
      <c r="R27" s="7">
        <v>36499</v>
      </c>
      <c r="S27" s="8">
        <f t="shared" si="0"/>
        <v>1999</v>
      </c>
      <c r="T27" s="8">
        <v>1999</v>
      </c>
      <c r="U27" s="8">
        <f t="shared" si="1"/>
        <v>23</v>
      </c>
      <c r="V27" s="7">
        <v>36499</v>
      </c>
      <c r="W27" t="s">
        <v>162</v>
      </c>
      <c r="X27" s="2">
        <v>0.30399999999999999</v>
      </c>
      <c r="Y27" s="6">
        <f t="shared" si="2"/>
        <v>8.115106377299057E-3</v>
      </c>
      <c r="AA27">
        <v>8952477</v>
      </c>
      <c r="AB27">
        <v>12250</v>
      </c>
      <c r="AD27" t="s">
        <v>2</v>
      </c>
      <c r="AE27">
        <v>23</v>
      </c>
      <c r="AF27">
        <v>5</v>
      </c>
      <c r="AH27" t="s">
        <v>8673</v>
      </c>
      <c r="AI27" t="s">
        <v>8672</v>
      </c>
      <c r="AK27" t="s">
        <v>8671</v>
      </c>
      <c r="AL27">
        <v>2</v>
      </c>
      <c r="AM27" s="5">
        <f t="shared" si="3"/>
        <v>8.6956521739130432E-2</v>
      </c>
      <c r="AN27" s="4">
        <f t="shared" si="4"/>
        <v>1.3170241838565761E-4</v>
      </c>
      <c r="AO27" s="3"/>
      <c r="AP27">
        <v>0</v>
      </c>
      <c r="AR27" t="s">
        <v>1</v>
      </c>
      <c r="AT27" s="2" t="s">
        <v>0</v>
      </c>
      <c r="AU27" s="1">
        <f t="shared" si="5"/>
        <v>0.57200851896250371</v>
      </c>
      <c r="AV27" s="1">
        <f t="shared" si="6"/>
        <v>0.41234043978423568</v>
      </c>
      <c r="AW27" s="1">
        <f t="shared" si="7"/>
        <v>0.25267236060596776</v>
      </c>
    </row>
    <row r="28" spans="1:49" x14ac:dyDescent="0.2">
      <c r="A28">
        <v>26</v>
      </c>
      <c r="B28" t="s">
        <v>8670</v>
      </c>
      <c r="C28" t="s">
        <v>8669</v>
      </c>
      <c r="F28" t="s">
        <v>8668</v>
      </c>
      <c r="G28" t="s">
        <v>6</v>
      </c>
      <c r="H28" t="s">
        <v>5</v>
      </c>
      <c r="I28" t="s">
        <v>491</v>
      </c>
      <c r="J28" t="s">
        <v>8667</v>
      </c>
      <c r="K28" t="s">
        <v>490</v>
      </c>
      <c r="L28" t="s">
        <v>489</v>
      </c>
      <c r="M28" t="s">
        <v>488</v>
      </c>
      <c r="N28">
        <v>3</v>
      </c>
      <c r="O28" t="s">
        <v>8666</v>
      </c>
      <c r="P28" t="s">
        <v>8665</v>
      </c>
      <c r="Q28" t="s">
        <v>8664</v>
      </c>
      <c r="R28" s="7">
        <v>36499</v>
      </c>
      <c r="S28" s="8">
        <f t="shared" si="0"/>
        <v>1999</v>
      </c>
      <c r="T28" s="8">
        <v>1999</v>
      </c>
      <c r="U28" s="8">
        <f t="shared" si="1"/>
        <v>23</v>
      </c>
      <c r="V28" s="7">
        <v>36499</v>
      </c>
      <c r="W28" t="s">
        <v>162</v>
      </c>
      <c r="X28" s="2">
        <v>0.30399999999999999</v>
      </c>
      <c r="Y28" s="6">
        <f t="shared" si="2"/>
        <v>8.115106377299057E-3</v>
      </c>
      <c r="AA28">
        <v>8952477</v>
      </c>
      <c r="AB28">
        <v>12250</v>
      </c>
      <c r="AD28" t="s">
        <v>2</v>
      </c>
      <c r="AE28">
        <v>23</v>
      </c>
      <c r="AF28">
        <v>5</v>
      </c>
      <c r="AH28" t="s">
        <v>8663</v>
      </c>
      <c r="AI28" t="s">
        <v>8662</v>
      </c>
      <c r="AK28" t="s">
        <v>8661</v>
      </c>
      <c r="AL28">
        <v>21</v>
      </c>
      <c r="AM28" s="5">
        <f t="shared" si="3"/>
        <v>0.91304347826086951</v>
      </c>
      <c r="AN28" s="4">
        <f t="shared" si="4"/>
        <v>1.3828753930494049E-3</v>
      </c>
      <c r="AO28" s="3"/>
      <c r="AP28">
        <v>0</v>
      </c>
      <c r="AR28" t="s">
        <v>1</v>
      </c>
      <c r="AT28" s="2" t="s">
        <v>0</v>
      </c>
      <c r="AU28" s="1">
        <f t="shared" si="5"/>
        <v>0.60954370820241599</v>
      </c>
      <c r="AV28" s="1">
        <f t="shared" si="6"/>
        <v>0.47489908851742307</v>
      </c>
      <c r="AW28" s="1">
        <f t="shared" si="7"/>
        <v>0.34025446883243005</v>
      </c>
    </row>
    <row r="29" spans="1:49" x14ac:dyDescent="0.2">
      <c r="A29">
        <v>27</v>
      </c>
      <c r="B29" t="s">
        <v>8660</v>
      </c>
      <c r="C29" t="s">
        <v>8659</v>
      </c>
      <c r="F29" t="s">
        <v>8658</v>
      </c>
      <c r="G29" t="s">
        <v>6</v>
      </c>
      <c r="H29" t="s">
        <v>5</v>
      </c>
      <c r="I29" t="s">
        <v>497</v>
      </c>
      <c r="J29">
        <v>60026134</v>
      </c>
      <c r="K29" t="s">
        <v>457</v>
      </c>
      <c r="L29" t="s">
        <v>456</v>
      </c>
      <c r="M29" t="s">
        <v>23</v>
      </c>
      <c r="N29">
        <v>3</v>
      </c>
      <c r="O29" t="s">
        <v>8657</v>
      </c>
      <c r="P29" t="s">
        <v>8656</v>
      </c>
      <c r="Q29" t="s">
        <v>455</v>
      </c>
      <c r="R29" s="7">
        <v>36499</v>
      </c>
      <c r="S29" s="8">
        <f t="shared" si="0"/>
        <v>1999</v>
      </c>
      <c r="T29" s="8">
        <v>1999</v>
      </c>
      <c r="U29" s="8">
        <f t="shared" si="1"/>
        <v>23</v>
      </c>
      <c r="V29" s="7">
        <v>36499</v>
      </c>
      <c r="W29" t="s">
        <v>162</v>
      </c>
      <c r="X29" s="2">
        <v>0.30399999999999999</v>
      </c>
      <c r="Y29" s="6">
        <f t="shared" si="2"/>
        <v>8.115106377299057E-3</v>
      </c>
      <c r="AA29">
        <v>8952477</v>
      </c>
      <c r="AB29">
        <v>12250</v>
      </c>
      <c r="AD29" t="s">
        <v>2</v>
      </c>
      <c r="AE29">
        <v>23</v>
      </c>
      <c r="AF29">
        <v>5</v>
      </c>
      <c r="AH29" t="s">
        <v>8655</v>
      </c>
      <c r="AI29" t="s">
        <v>8654</v>
      </c>
      <c r="AK29" t="s">
        <v>8653</v>
      </c>
      <c r="AL29">
        <v>3</v>
      </c>
      <c r="AM29" s="5">
        <f t="shared" si="3"/>
        <v>0.13043478260869565</v>
      </c>
      <c r="AN29" s="4">
        <f t="shared" si="4"/>
        <v>1.9755362757848641E-4</v>
      </c>
      <c r="AO29" s="3"/>
      <c r="AP29">
        <v>0</v>
      </c>
      <c r="AR29" t="s">
        <v>1</v>
      </c>
      <c r="AT29" s="2" t="s">
        <v>0</v>
      </c>
      <c r="AU29" s="1">
        <f t="shared" si="5"/>
        <v>0.57398405523828855</v>
      </c>
      <c r="AV29" s="1">
        <f t="shared" si="6"/>
        <v>0.41563300024387723</v>
      </c>
      <c r="AW29" s="1">
        <f t="shared" si="7"/>
        <v>0.25728194524946579</v>
      </c>
    </row>
    <row r="30" spans="1:49" x14ac:dyDescent="0.2">
      <c r="A30">
        <v>28</v>
      </c>
      <c r="B30" t="s">
        <v>8652</v>
      </c>
      <c r="C30" t="s">
        <v>8651</v>
      </c>
      <c r="F30" t="s">
        <v>8650</v>
      </c>
      <c r="G30" t="s">
        <v>6</v>
      </c>
      <c r="H30" t="s">
        <v>5</v>
      </c>
      <c r="I30" t="s">
        <v>8649</v>
      </c>
      <c r="J30" t="s">
        <v>8648</v>
      </c>
      <c r="K30" t="s">
        <v>8647</v>
      </c>
      <c r="L30" t="s">
        <v>8646</v>
      </c>
      <c r="M30" t="s">
        <v>76</v>
      </c>
      <c r="N30">
        <v>3</v>
      </c>
      <c r="O30" t="s">
        <v>8645</v>
      </c>
      <c r="P30" t="s">
        <v>8644</v>
      </c>
      <c r="Q30" t="s">
        <v>8643</v>
      </c>
      <c r="R30" s="7">
        <v>36499</v>
      </c>
      <c r="S30" s="8">
        <f t="shared" si="0"/>
        <v>1999</v>
      </c>
      <c r="T30" s="8">
        <v>1999</v>
      </c>
      <c r="U30" s="8">
        <f t="shared" si="1"/>
        <v>23</v>
      </c>
      <c r="V30" s="7">
        <v>36499</v>
      </c>
      <c r="W30" t="s">
        <v>162</v>
      </c>
      <c r="X30" s="2">
        <v>0.30399999999999999</v>
      </c>
      <c r="Y30" s="6">
        <f t="shared" si="2"/>
        <v>8.115106377299057E-3</v>
      </c>
      <c r="AA30">
        <v>8952477</v>
      </c>
      <c r="AB30">
        <v>12250</v>
      </c>
      <c r="AD30" t="s">
        <v>2</v>
      </c>
      <c r="AE30">
        <v>23</v>
      </c>
      <c r="AF30">
        <v>5</v>
      </c>
      <c r="AH30" t="s">
        <v>755</v>
      </c>
      <c r="AI30" t="s">
        <v>8642</v>
      </c>
      <c r="AK30" t="s">
        <v>8641</v>
      </c>
      <c r="AL30">
        <v>1</v>
      </c>
      <c r="AM30" s="5">
        <f t="shared" si="3"/>
        <v>4.3478260869565216E-2</v>
      </c>
      <c r="AN30" s="4">
        <f t="shared" si="4"/>
        <v>6.5851209192828807E-5</v>
      </c>
      <c r="AO30" s="3"/>
      <c r="AP30">
        <v>0</v>
      </c>
      <c r="AR30" t="s">
        <v>1</v>
      </c>
      <c r="AT30" s="2" t="s">
        <v>0</v>
      </c>
      <c r="AU30" s="1">
        <f t="shared" si="5"/>
        <v>0.57003298268671876</v>
      </c>
      <c r="AV30" s="1">
        <f t="shared" si="6"/>
        <v>0.4090478793245943</v>
      </c>
      <c r="AW30" s="1">
        <f t="shared" si="7"/>
        <v>0.24806277596246973</v>
      </c>
    </row>
    <row r="31" spans="1:49" x14ac:dyDescent="0.2">
      <c r="A31">
        <v>29</v>
      </c>
      <c r="B31" t="s">
        <v>8640</v>
      </c>
      <c r="C31" t="s">
        <v>8639</v>
      </c>
      <c r="F31" t="s">
        <v>8638</v>
      </c>
      <c r="G31" t="s">
        <v>6</v>
      </c>
      <c r="H31" t="s">
        <v>5</v>
      </c>
      <c r="I31" t="s">
        <v>812</v>
      </c>
      <c r="J31">
        <v>60007902</v>
      </c>
      <c r="K31" t="s">
        <v>811</v>
      </c>
      <c r="L31" t="s">
        <v>810</v>
      </c>
      <c r="M31" t="s">
        <v>65</v>
      </c>
      <c r="N31">
        <v>2</v>
      </c>
      <c r="O31" t="s">
        <v>8637</v>
      </c>
      <c r="P31" t="s">
        <v>8636</v>
      </c>
      <c r="Q31" t="s">
        <v>8635</v>
      </c>
      <c r="R31" s="7">
        <v>36499</v>
      </c>
      <c r="S31" s="8">
        <f t="shared" si="0"/>
        <v>1999</v>
      </c>
      <c r="T31" s="8">
        <v>1999</v>
      </c>
      <c r="U31" s="8">
        <f t="shared" si="1"/>
        <v>23</v>
      </c>
      <c r="V31" s="7">
        <v>36499</v>
      </c>
      <c r="W31" t="s">
        <v>162</v>
      </c>
      <c r="X31" s="2">
        <v>0.30399999999999999</v>
      </c>
      <c r="Y31" s="6">
        <f t="shared" si="2"/>
        <v>8.115106377299057E-3</v>
      </c>
      <c r="AA31">
        <v>8952477</v>
      </c>
      <c r="AB31">
        <v>12250</v>
      </c>
      <c r="AD31" t="s">
        <v>2</v>
      </c>
      <c r="AE31">
        <v>23</v>
      </c>
      <c r="AF31">
        <v>5</v>
      </c>
      <c r="AH31" t="s">
        <v>8634</v>
      </c>
      <c r="AI31" t="s">
        <v>8633</v>
      </c>
      <c r="AK31" t="s">
        <v>8632</v>
      </c>
      <c r="AL31">
        <v>4</v>
      </c>
      <c r="AM31" s="5">
        <f t="shared" si="3"/>
        <v>0.17391304347826086</v>
      </c>
      <c r="AN31" s="4">
        <f t="shared" si="4"/>
        <v>2.6340483677131523E-4</v>
      </c>
      <c r="AO31" s="3"/>
      <c r="AP31">
        <v>0</v>
      </c>
      <c r="AR31" t="s">
        <v>1</v>
      </c>
      <c r="AT31" s="2" t="s">
        <v>0</v>
      </c>
      <c r="AU31" s="1">
        <f t="shared" si="5"/>
        <v>0.57595959151407339</v>
      </c>
      <c r="AV31" s="1">
        <f t="shared" si="6"/>
        <v>0.41892556070351861</v>
      </c>
      <c r="AW31" s="1">
        <f t="shared" si="7"/>
        <v>0.26189152989296377</v>
      </c>
    </row>
    <row r="32" spans="1:49" x14ac:dyDescent="0.2">
      <c r="A32">
        <v>30</v>
      </c>
      <c r="B32" t="s">
        <v>8631</v>
      </c>
      <c r="C32" t="s">
        <v>8630</v>
      </c>
      <c r="F32" t="s">
        <v>8629</v>
      </c>
      <c r="G32" t="s">
        <v>6</v>
      </c>
      <c r="H32" t="s">
        <v>5</v>
      </c>
      <c r="I32" t="s">
        <v>8628</v>
      </c>
      <c r="J32" t="s">
        <v>8627</v>
      </c>
      <c r="K32" t="s">
        <v>8626</v>
      </c>
      <c r="L32" t="s">
        <v>8625</v>
      </c>
      <c r="M32" t="s">
        <v>30</v>
      </c>
      <c r="N32">
        <v>4</v>
      </c>
      <c r="O32" t="s">
        <v>8624</v>
      </c>
      <c r="P32" t="s">
        <v>8623</v>
      </c>
      <c r="Q32" t="s">
        <v>8622</v>
      </c>
      <c r="R32" s="7">
        <v>36499</v>
      </c>
      <c r="S32" s="8">
        <f t="shared" si="0"/>
        <v>1999</v>
      </c>
      <c r="T32" s="8">
        <v>1999</v>
      </c>
      <c r="U32" s="8">
        <f t="shared" si="1"/>
        <v>23</v>
      </c>
      <c r="V32" s="7">
        <v>36499</v>
      </c>
      <c r="W32" t="s">
        <v>162</v>
      </c>
      <c r="X32" s="2">
        <v>0.30399999999999999</v>
      </c>
      <c r="Y32" s="6">
        <f t="shared" si="2"/>
        <v>8.115106377299057E-3</v>
      </c>
      <c r="AA32">
        <v>8952477</v>
      </c>
      <c r="AB32">
        <v>12250</v>
      </c>
      <c r="AD32" t="s">
        <v>2</v>
      </c>
      <c r="AE32">
        <v>23</v>
      </c>
      <c r="AF32">
        <v>5</v>
      </c>
      <c r="AH32" t="s">
        <v>8621</v>
      </c>
      <c r="AI32" t="s">
        <v>8620</v>
      </c>
      <c r="AK32" t="s">
        <v>8619</v>
      </c>
      <c r="AL32">
        <v>10</v>
      </c>
      <c r="AM32" s="5">
        <f t="shared" si="3"/>
        <v>0.43478260869565216</v>
      </c>
      <c r="AN32" s="4">
        <f t="shared" si="4"/>
        <v>6.5851209192828799E-4</v>
      </c>
      <c r="AO32" s="3"/>
      <c r="AP32">
        <v>0</v>
      </c>
      <c r="AR32" t="s">
        <v>1</v>
      </c>
      <c r="AT32" s="2" t="s">
        <v>0</v>
      </c>
      <c r="AU32" s="1">
        <f t="shared" si="5"/>
        <v>0.58781280916878254</v>
      </c>
      <c r="AV32" s="1">
        <f t="shared" si="6"/>
        <v>0.43868092346136722</v>
      </c>
      <c r="AW32" s="1">
        <f t="shared" si="7"/>
        <v>0.28954903775395191</v>
      </c>
    </row>
    <row r="33" spans="1:49" x14ac:dyDescent="0.2">
      <c r="A33">
        <v>31</v>
      </c>
      <c r="B33" t="s">
        <v>8618</v>
      </c>
      <c r="C33" t="s">
        <v>8617</v>
      </c>
      <c r="F33" t="s">
        <v>8616</v>
      </c>
      <c r="G33" t="s">
        <v>6</v>
      </c>
      <c r="H33" t="s">
        <v>5</v>
      </c>
      <c r="I33" t="s">
        <v>8615</v>
      </c>
      <c r="J33" t="s">
        <v>8614</v>
      </c>
      <c r="K33" t="s">
        <v>8613</v>
      </c>
      <c r="L33" t="s">
        <v>8612</v>
      </c>
      <c r="M33" t="s">
        <v>8611</v>
      </c>
      <c r="N33">
        <v>5</v>
      </c>
      <c r="O33" t="s">
        <v>8610</v>
      </c>
      <c r="P33" t="s">
        <v>8609</v>
      </c>
      <c r="Q33" t="s">
        <v>8608</v>
      </c>
      <c r="R33" s="7">
        <v>36496</v>
      </c>
      <c r="S33" s="8">
        <f t="shared" si="0"/>
        <v>1999</v>
      </c>
      <c r="T33" s="8">
        <v>1999</v>
      </c>
      <c r="U33" s="8">
        <f t="shared" si="1"/>
        <v>23</v>
      </c>
      <c r="V33" s="7">
        <v>36496</v>
      </c>
      <c r="W33" t="s">
        <v>633</v>
      </c>
      <c r="X33" s="2" t="s">
        <v>0</v>
      </c>
      <c r="Y33" s="6" t="e">
        <f t="shared" si="2"/>
        <v>#VALUE!</v>
      </c>
      <c r="AA33">
        <v>3650138</v>
      </c>
      <c r="AB33">
        <v>80347</v>
      </c>
      <c r="AD33" t="s">
        <v>2</v>
      </c>
      <c r="AE33">
        <v>140</v>
      </c>
      <c r="AF33">
        <v>3</v>
      </c>
      <c r="AH33" t="s">
        <v>8607</v>
      </c>
      <c r="AI33" t="s">
        <v>8606</v>
      </c>
      <c r="AJ33" t="s">
        <v>8605</v>
      </c>
      <c r="AK33" t="s">
        <v>8604</v>
      </c>
      <c r="AL33">
        <v>29</v>
      </c>
      <c r="AM33" s="5">
        <f t="shared" si="3"/>
        <v>1.2608695652173914</v>
      </c>
      <c r="AN33" s="4">
        <f t="shared" si="4"/>
        <v>1.9096850665920354E-3</v>
      </c>
      <c r="AO33" s="3"/>
      <c r="AP33">
        <v>1</v>
      </c>
      <c r="AR33" t="s">
        <v>1</v>
      </c>
      <c r="AT33" s="2" t="s">
        <v>0</v>
      </c>
      <c r="AU33" s="1" t="e">
        <f t="shared" si="5"/>
        <v>#VALUE!</v>
      </c>
      <c r="AV33" s="1" t="e">
        <f t="shared" si="6"/>
        <v>#VALUE!</v>
      </c>
      <c r="AW33" s="1" t="e">
        <f t="shared" si="7"/>
        <v>#VALUE!</v>
      </c>
    </row>
    <row r="34" spans="1:49" x14ac:dyDescent="0.2">
      <c r="A34">
        <v>32</v>
      </c>
      <c r="B34" t="s">
        <v>8603</v>
      </c>
      <c r="F34" t="s">
        <v>8602</v>
      </c>
      <c r="G34" t="s">
        <v>6</v>
      </c>
      <c r="H34" t="s">
        <v>5</v>
      </c>
      <c r="I34" t="s">
        <v>8601</v>
      </c>
      <c r="J34">
        <v>113964493</v>
      </c>
      <c r="K34" t="s">
        <v>8600</v>
      </c>
      <c r="N34">
        <v>1</v>
      </c>
      <c r="O34" t="s">
        <v>8599</v>
      </c>
      <c r="P34">
        <v>57196906475</v>
      </c>
      <c r="Q34">
        <v>113964493</v>
      </c>
      <c r="R34" s="7">
        <v>36495</v>
      </c>
      <c r="S34" s="8">
        <f t="shared" si="0"/>
        <v>1999</v>
      </c>
      <c r="T34" s="8">
        <v>1999</v>
      </c>
      <c r="U34" s="8">
        <f t="shared" si="1"/>
        <v>23</v>
      </c>
      <c r="V34" s="7">
        <v>1999</v>
      </c>
      <c r="W34" t="s">
        <v>8598</v>
      </c>
      <c r="X34" s="2">
        <v>0.40799999999999997</v>
      </c>
      <c r="Y34" s="6">
        <f t="shared" si="2"/>
        <v>1.0891326980059261E-2</v>
      </c>
      <c r="AA34" t="s">
        <v>8597</v>
      </c>
      <c r="AB34">
        <v>13750</v>
      </c>
      <c r="AD34" t="s">
        <v>2</v>
      </c>
      <c r="AE34">
        <v>52</v>
      </c>
      <c r="AF34" s="10">
        <v>44478</v>
      </c>
      <c r="AH34" t="s">
        <v>2758</v>
      </c>
      <c r="AI34" t="s">
        <v>8596</v>
      </c>
      <c r="AK34" t="s">
        <v>8595</v>
      </c>
      <c r="AL34">
        <v>0</v>
      </c>
      <c r="AM34" s="5">
        <f t="shared" si="3"/>
        <v>0</v>
      </c>
      <c r="AN34" s="4">
        <f t="shared" si="4"/>
        <v>0</v>
      </c>
      <c r="AO34" s="3"/>
      <c r="AP34">
        <v>0</v>
      </c>
      <c r="AR34" t="s">
        <v>1</v>
      </c>
      <c r="AT34" s="2" t="s">
        <v>0</v>
      </c>
      <c r="AU34" s="1">
        <f t="shared" si="5"/>
        <v>0.76239288860414822</v>
      </c>
      <c r="AV34" s="1">
        <f t="shared" si="6"/>
        <v>0.54456634900296308</v>
      </c>
      <c r="AW34" s="1">
        <f t="shared" si="7"/>
        <v>0.32673980940177783</v>
      </c>
    </row>
    <row r="35" spans="1:49" x14ac:dyDescent="0.2">
      <c r="A35">
        <v>33</v>
      </c>
      <c r="B35" t="s">
        <v>8594</v>
      </c>
      <c r="F35" t="s">
        <v>8593</v>
      </c>
      <c r="G35" t="s">
        <v>6</v>
      </c>
      <c r="H35" t="s">
        <v>5</v>
      </c>
      <c r="I35" t="s">
        <v>8592</v>
      </c>
      <c r="J35">
        <v>60001881</v>
      </c>
      <c r="K35" t="s">
        <v>623</v>
      </c>
      <c r="L35" t="s">
        <v>622</v>
      </c>
      <c r="M35" t="s">
        <v>58</v>
      </c>
      <c r="N35">
        <v>2</v>
      </c>
      <c r="O35" t="s">
        <v>8591</v>
      </c>
      <c r="P35" t="s">
        <v>8590</v>
      </c>
      <c r="Q35" t="s">
        <v>8589</v>
      </c>
      <c r="R35" s="7">
        <v>36495</v>
      </c>
      <c r="S35" s="8">
        <f t="shared" si="0"/>
        <v>1999</v>
      </c>
      <c r="T35" s="8">
        <v>1999</v>
      </c>
      <c r="U35" s="8">
        <f t="shared" si="1"/>
        <v>23</v>
      </c>
      <c r="V35" s="7">
        <v>1999</v>
      </c>
      <c r="W35" t="s">
        <v>768</v>
      </c>
      <c r="X35" s="2">
        <v>0.1</v>
      </c>
      <c r="Y35" s="6">
        <f t="shared" si="2"/>
        <v>2.6694428872694269E-3</v>
      </c>
      <c r="AA35">
        <v>9633308</v>
      </c>
      <c r="AB35">
        <v>17917</v>
      </c>
      <c r="AD35" t="s">
        <v>2</v>
      </c>
      <c r="AF35">
        <v>14</v>
      </c>
      <c r="AL35">
        <v>0</v>
      </c>
      <c r="AM35" s="5">
        <f t="shared" si="3"/>
        <v>0</v>
      </c>
      <c r="AN35" s="4">
        <f t="shared" si="4"/>
        <v>0</v>
      </c>
      <c r="AO35" s="3"/>
      <c r="AP35">
        <v>0</v>
      </c>
      <c r="AR35" t="s">
        <v>1</v>
      </c>
      <c r="AT35" s="2" t="s">
        <v>0</v>
      </c>
      <c r="AU35" s="1">
        <f t="shared" si="5"/>
        <v>0.18686100210885986</v>
      </c>
      <c r="AV35" s="1">
        <f t="shared" si="6"/>
        <v>0.13347214436347135</v>
      </c>
      <c r="AW35" s="1">
        <f t="shared" si="7"/>
        <v>8.0083286618082811E-2</v>
      </c>
    </row>
    <row r="36" spans="1:49" x14ac:dyDescent="0.2">
      <c r="A36">
        <v>34</v>
      </c>
      <c r="B36" t="s">
        <v>8588</v>
      </c>
      <c r="F36" t="s">
        <v>8587</v>
      </c>
      <c r="G36" t="s">
        <v>6</v>
      </c>
      <c r="H36" t="s">
        <v>5</v>
      </c>
      <c r="I36" t="s">
        <v>8586</v>
      </c>
      <c r="J36">
        <v>60012070</v>
      </c>
      <c r="K36" t="s">
        <v>8585</v>
      </c>
      <c r="L36" t="s">
        <v>8584</v>
      </c>
      <c r="M36" t="s">
        <v>58</v>
      </c>
      <c r="N36">
        <v>3</v>
      </c>
      <c r="O36" t="s">
        <v>8583</v>
      </c>
      <c r="P36" t="s">
        <v>8582</v>
      </c>
      <c r="Q36" t="s">
        <v>8581</v>
      </c>
      <c r="R36" s="7">
        <v>36495</v>
      </c>
      <c r="S36" s="8">
        <f t="shared" si="0"/>
        <v>1999</v>
      </c>
      <c r="T36" s="8">
        <v>1999</v>
      </c>
      <c r="U36" s="8">
        <f t="shared" si="1"/>
        <v>23</v>
      </c>
      <c r="V36" s="7">
        <v>1999</v>
      </c>
      <c r="W36" t="s">
        <v>768</v>
      </c>
      <c r="X36" s="2">
        <v>0.1</v>
      </c>
      <c r="Y36" s="6">
        <f t="shared" si="2"/>
        <v>2.6694428872694269E-3</v>
      </c>
      <c r="AA36">
        <v>9633308</v>
      </c>
      <c r="AB36">
        <v>17917</v>
      </c>
      <c r="AD36" t="s">
        <v>2</v>
      </c>
      <c r="AF36">
        <v>45</v>
      </c>
      <c r="AI36" t="s">
        <v>8580</v>
      </c>
      <c r="AK36" t="s">
        <v>8579</v>
      </c>
      <c r="AL36">
        <v>0</v>
      </c>
      <c r="AM36" s="5">
        <f t="shared" si="3"/>
        <v>0</v>
      </c>
      <c r="AN36" s="4">
        <f t="shared" si="4"/>
        <v>0</v>
      </c>
      <c r="AO36" s="3"/>
      <c r="AP36">
        <v>0</v>
      </c>
      <c r="AR36" t="s">
        <v>1</v>
      </c>
      <c r="AT36" s="2" t="s">
        <v>0</v>
      </c>
      <c r="AU36" s="1">
        <f t="shared" si="5"/>
        <v>0.18686100210885986</v>
      </c>
      <c r="AV36" s="1">
        <f t="shared" si="6"/>
        <v>0.13347214436347135</v>
      </c>
      <c r="AW36" s="1">
        <f t="shared" si="7"/>
        <v>8.0083286618082811E-2</v>
      </c>
    </row>
    <row r="37" spans="1:49" x14ac:dyDescent="0.2">
      <c r="A37">
        <v>35</v>
      </c>
      <c r="B37" t="s">
        <v>8578</v>
      </c>
      <c r="F37" t="s">
        <v>8577</v>
      </c>
      <c r="G37" t="s">
        <v>6</v>
      </c>
      <c r="H37" t="s">
        <v>5</v>
      </c>
      <c r="I37" t="s">
        <v>7748</v>
      </c>
      <c r="J37">
        <v>60021097</v>
      </c>
      <c r="K37" t="s">
        <v>7747</v>
      </c>
      <c r="L37" t="s">
        <v>7746</v>
      </c>
      <c r="M37" t="s">
        <v>58</v>
      </c>
      <c r="N37">
        <v>3</v>
      </c>
      <c r="O37" t="s">
        <v>8576</v>
      </c>
      <c r="P37" t="s">
        <v>8575</v>
      </c>
      <c r="Q37" t="s">
        <v>8574</v>
      </c>
      <c r="R37" s="7">
        <v>36495</v>
      </c>
      <c r="S37" s="8">
        <f t="shared" si="0"/>
        <v>1999</v>
      </c>
      <c r="T37" s="8">
        <v>1999</v>
      </c>
      <c r="U37" s="8">
        <f t="shared" si="1"/>
        <v>23</v>
      </c>
      <c r="V37" s="7">
        <v>1999</v>
      </c>
      <c r="W37" t="s">
        <v>768</v>
      </c>
      <c r="X37" s="2">
        <v>0.1</v>
      </c>
      <c r="Y37" s="6">
        <f t="shared" si="2"/>
        <v>2.6694428872694269E-3</v>
      </c>
      <c r="AA37">
        <v>9633308</v>
      </c>
      <c r="AB37">
        <v>17917</v>
      </c>
      <c r="AD37" t="s">
        <v>2</v>
      </c>
      <c r="AF37">
        <v>43</v>
      </c>
      <c r="AI37" t="s">
        <v>8573</v>
      </c>
      <c r="AK37" t="s">
        <v>8572</v>
      </c>
      <c r="AL37">
        <v>1</v>
      </c>
      <c r="AM37" s="5">
        <f t="shared" si="3"/>
        <v>4.3478260869565216E-2</v>
      </c>
      <c r="AN37" s="4">
        <f t="shared" si="4"/>
        <v>6.5851209192828807E-5</v>
      </c>
      <c r="AO37" s="3"/>
      <c r="AP37">
        <v>0</v>
      </c>
      <c r="AR37" t="s">
        <v>1</v>
      </c>
      <c r="AT37" s="2" t="s">
        <v>0</v>
      </c>
      <c r="AU37" s="1">
        <f t="shared" si="5"/>
        <v>0.18883653838464473</v>
      </c>
      <c r="AV37" s="1">
        <f t="shared" si="6"/>
        <v>0.13676470482311279</v>
      </c>
      <c r="AW37" s="1">
        <f t="shared" si="7"/>
        <v>8.4692871261580815E-2</v>
      </c>
    </row>
    <row r="38" spans="1:49" x14ac:dyDescent="0.2">
      <c r="A38">
        <v>36</v>
      </c>
      <c r="B38" t="s">
        <v>8571</v>
      </c>
      <c r="F38" t="s">
        <v>8570</v>
      </c>
      <c r="G38" t="s">
        <v>6</v>
      </c>
      <c r="H38" t="s">
        <v>5</v>
      </c>
      <c r="I38" t="s">
        <v>8569</v>
      </c>
      <c r="J38">
        <v>60100581</v>
      </c>
      <c r="K38" t="s">
        <v>8568</v>
      </c>
      <c r="L38" t="s">
        <v>795</v>
      </c>
      <c r="M38" t="s">
        <v>3</v>
      </c>
      <c r="N38">
        <v>4</v>
      </c>
      <c r="O38" t="s">
        <v>8567</v>
      </c>
      <c r="P38" t="s">
        <v>8566</v>
      </c>
      <c r="Q38" t="s">
        <v>8565</v>
      </c>
      <c r="R38" s="7">
        <v>36495</v>
      </c>
      <c r="S38" s="8">
        <f t="shared" si="0"/>
        <v>1999</v>
      </c>
      <c r="T38" s="8">
        <v>1999</v>
      </c>
      <c r="U38" s="8">
        <f t="shared" si="1"/>
        <v>23</v>
      </c>
      <c r="V38" s="7">
        <v>1999</v>
      </c>
      <c r="W38" t="s">
        <v>768</v>
      </c>
      <c r="X38" s="2">
        <v>0.1</v>
      </c>
      <c r="Y38" s="6">
        <f t="shared" si="2"/>
        <v>2.6694428872694269E-3</v>
      </c>
      <c r="AA38">
        <v>9633308</v>
      </c>
      <c r="AB38">
        <v>17917</v>
      </c>
      <c r="AD38" t="s">
        <v>2</v>
      </c>
      <c r="AF38">
        <v>43</v>
      </c>
      <c r="AL38">
        <v>0</v>
      </c>
      <c r="AM38" s="5">
        <f t="shared" si="3"/>
        <v>0</v>
      </c>
      <c r="AN38" s="4">
        <f t="shared" si="4"/>
        <v>0</v>
      </c>
      <c r="AO38" s="3"/>
      <c r="AP38">
        <v>0</v>
      </c>
      <c r="AR38" t="s">
        <v>1</v>
      </c>
      <c r="AT38" s="2" t="s">
        <v>0</v>
      </c>
      <c r="AU38" s="1">
        <f t="shared" si="5"/>
        <v>0.18686100210885986</v>
      </c>
      <c r="AV38" s="1">
        <f t="shared" si="6"/>
        <v>0.13347214436347135</v>
      </c>
      <c r="AW38" s="1">
        <f t="shared" si="7"/>
        <v>8.0083286618082811E-2</v>
      </c>
    </row>
    <row r="39" spans="1:49" x14ac:dyDescent="0.2">
      <c r="A39">
        <v>37</v>
      </c>
      <c r="B39" t="s">
        <v>8564</v>
      </c>
      <c r="F39" t="s">
        <v>8563</v>
      </c>
      <c r="G39" t="s">
        <v>6</v>
      </c>
      <c r="H39" t="s">
        <v>5</v>
      </c>
      <c r="I39" t="s">
        <v>338</v>
      </c>
      <c r="J39">
        <v>60008524</v>
      </c>
      <c r="K39" t="s">
        <v>337</v>
      </c>
      <c r="L39" t="s">
        <v>336</v>
      </c>
      <c r="M39" t="s">
        <v>58</v>
      </c>
      <c r="N39">
        <v>4</v>
      </c>
      <c r="O39" t="s">
        <v>8562</v>
      </c>
      <c r="P39" t="s">
        <v>8561</v>
      </c>
      <c r="Q39" t="s">
        <v>648</v>
      </c>
      <c r="R39" s="7">
        <v>36495</v>
      </c>
      <c r="S39" s="8">
        <f t="shared" si="0"/>
        <v>1999</v>
      </c>
      <c r="T39" s="8">
        <v>1999</v>
      </c>
      <c r="U39" s="8">
        <f t="shared" si="1"/>
        <v>23</v>
      </c>
      <c r="V39" s="7">
        <v>1999</v>
      </c>
      <c r="W39" t="s">
        <v>768</v>
      </c>
      <c r="X39" s="2">
        <v>0.1</v>
      </c>
      <c r="Y39" s="6">
        <f t="shared" si="2"/>
        <v>2.6694428872694269E-3</v>
      </c>
      <c r="AA39">
        <v>9633308</v>
      </c>
      <c r="AB39">
        <v>17917</v>
      </c>
      <c r="AD39" t="s">
        <v>2</v>
      </c>
      <c r="AF39">
        <v>43</v>
      </c>
      <c r="AI39" t="s">
        <v>8560</v>
      </c>
      <c r="AK39" t="s">
        <v>8559</v>
      </c>
      <c r="AL39">
        <v>0</v>
      </c>
      <c r="AM39" s="5">
        <f t="shared" si="3"/>
        <v>0</v>
      </c>
      <c r="AN39" s="4">
        <f t="shared" si="4"/>
        <v>0</v>
      </c>
      <c r="AO39" s="3"/>
      <c r="AP39">
        <v>0</v>
      </c>
      <c r="AR39" t="s">
        <v>1</v>
      </c>
      <c r="AT39" s="2" t="s">
        <v>0</v>
      </c>
      <c r="AU39" s="1">
        <f t="shared" si="5"/>
        <v>0.18686100210885986</v>
      </c>
      <c r="AV39" s="1">
        <f t="shared" si="6"/>
        <v>0.13347214436347135</v>
      </c>
      <c r="AW39" s="1">
        <f t="shared" si="7"/>
        <v>8.0083286618082811E-2</v>
      </c>
    </row>
    <row r="40" spans="1:49" x14ac:dyDescent="0.2">
      <c r="A40">
        <v>38</v>
      </c>
      <c r="B40" t="s">
        <v>8558</v>
      </c>
      <c r="F40" t="s">
        <v>8557</v>
      </c>
      <c r="G40" t="s">
        <v>6</v>
      </c>
      <c r="H40" t="s">
        <v>5</v>
      </c>
      <c r="I40" t="s">
        <v>8556</v>
      </c>
      <c r="J40">
        <v>60022134</v>
      </c>
      <c r="K40" t="s">
        <v>100</v>
      </c>
      <c r="L40" t="s">
        <v>99</v>
      </c>
      <c r="M40" t="s">
        <v>98</v>
      </c>
      <c r="N40">
        <v>3</v>
      </c>
      <c r="O40" t="s">
        <v>8555</v>
      </c>
      <c r="P40" t="s">
        <v>8554</v>
      </c>
      <c r="Q40" t="s">
        <v>341</v>
      </c>
      <c r="R40" s="7">
        <v>36495</v>
      </c>
      <c r="S40" s="8">
        <f t="shared" si="0"/>
        <v>1999</v>
      </c>
      <c r="T40" s="8">
        <v>1999</v>
      </c>
      <c r="U40" s="8">
        <f t="shared" si="1"/>
        <v>23</v>
      </c>
      <c r="V40" s="7">
        <v>1999</v>
      </c>
      <c r="W40" t="s">
        <v>768</v>
      </c>
      <c r="X40" s="2">
        <v>0.1</v>
      </c>
      <c r="Y40" s="6">
        <f t="shared" si="2"/>
        <v>2.6694428872694269E-3</v>
      </c>
      <c r="AA40">
        <v>9633308</v>
      </c>
      <c r="AB40">
        <v>17917</v>
      </c>
      <c r="AD40" t="s">
        <v>2</v>
      </c>
      <c r="AF40">
        <v>43</v>
      </c>
      <c r="AI40" t="s">
        <v>8553</v>
      </c>
      <c r="AK40" t="s">
        <v>8552</v>
      </c>
      <c r="AL40">
        <v>2</v>
      </c>
      <c r="AM40" s="5">
        <f t="shared" si="3"/>
        <v>8.6956521739130432E-2</v>
      </c>
      <c r="AN40" s="4">
        <f t="shared" si="4"/>
        <v>1.3170241838565761E-4</v>
      </c>
      <c r="AO40" s="3"/>
      <c r="AP40">
        <v>0</v>
      </c>
      <c r="AR40" t="s">
        <v>1</v>
      </c>
      <c r="AT40" s="2" t="s">
        <v>0</v>
      </c>
      <c r="AU40" s="1">
        <f t="shared" si="5"/>
        <v>0.1908120746604296</v>
      </c>
      <c r="AV40" s="1">
        <f t="shared" si="6"/>
        <v>0.14005726528275422</v>
      </c>
      <c r="AW40" s="1">
        <f t="shared" si="7"/>
        <v>8.9302455905078834E-2</v>
      </c>
    </row>
    <row r="41" spans="1:49" x14ac:dyDescent="0.2">
      <c r="A41">
        <v>39</v>
      </c>
      <c r="B41" t="s">
        <v>8551</v>
      </c>
      <c r="F41" t="s">
        <v>8550</v>
      </c>
      <c r="G41" t="s">
        <v>6</v>
      </c>
      <c r="H41" t="s">
        <v>5</v>
      </c>
      <c r="I41" t="s">
        <v>8549</v>
      </c>
      <c r="J41">
        <v>60020623</v>
      </c>
      <c r="K41" t="s">
        <v>8548</v>
      </c>
      <c r="L41" t="s">
        <v>8547</v>
      </c>
      <c r="M41" t="s">
        <v>58</v>
      </c>
      <c r="N41">
        <v>2</v>
      </c>
      <c r="O41" t="s">
        <v>8546</v>
      </c>
      <c r="P41" t="s">
        <v>8545</v>
      </c>
      <c r="Q41" t="s">
        <v>8544</v>
      </c>
      <c r="R41" s="7">
        <v>36495</v>
      </c>
      <c r="S41" s="8">
        <f t="shared" si="0"/>
        <v>1999</v>
      </c>
      <c r="T41" s="8">
        <v>1999</v>
      </c>
      <c r="U41" s="8">
        <f t="shared" si="1"/>
        <v>23</v>
      </c>
      <c r="V41" s="7">
        <v>1999</v>
      </c>
      <c r="W41" t="s">
        <v>768</v>
      </c>
      <c r="X41" s="2">
        <v>0.1</v>
      </c>
      <c r="Y41" s="6">
        <f t="shared" si="2"/>
        <v>2.6694428872694269E-3</v>
      </c>
      <c r="AA41">
        <v>9633308</v>
      </c>
      <c r="AB41">
        <v>17917</v>
      </c>
      <c r="AD41" t="s">
        <v>2</v>
      </c>
      <c r="AF41">
        <v>43</v>
      </c>
      <c r="AI41" t="s">
        <v>8543</v>
      </c>
      <c r="AK41" t="s">
        <v>8542</v>
      </c>
      <c r="AL41">
        <v>2</v>
      </c>
      <c r="AM41" s="5">
        <f t="shared" si="3"/>
        <v>8.6956521739130432E-2</v>
      </c>
      <c r="AN41" s="4">
        <f t="shared" si="4"/>
        <v>1.3170241838565761E-4</v>
      </c>
      <c r="AO41" s="3"/>
      <c r="AP41">
        <v>0</v>
      </c>
      <c r="AR41" t="s">
        <v>1</v>
      </c>
      <c r="AT41" s="2" t="s">
        <v>0</v>
      </c>
      <c r="AU41" s="1">
        <f t="shared" si="5"/>
        <v>0.1908120746604296</v>
      </c>
      <c r="AV41" s="1">
        <f t="shared" si="6"/>
        <v>0.14005726528275422</v>
      </c>
      <c r="AW41" s="1">
        <f t="shared" si="7"/>
        <v>8.9302455905078834E-2</v>
      </c>
    </row>
    <row r="42" spans="1:49" x14ac:dyDescent="0.2">
      <c r="A42">
        <v>40</v>
      </c>
      <c r="B42" t="s">
        <v>8541</v>
      </c>
      <c r="F42" t="s">
        <v>8540</v>
      </c>
      <c r="G42" t="s">
        <v>6</v>
      </c>
      <c r="H42" t="s">
        <v>5</v>
      </c>
      <c r="I42" t="s">
        <v>8539</v>
      </c>
      <c r="J42">
        <v>60015043</v>
      </c>
      <c r="K42" t="s">
        <v>8538</v>
      </c>
      <c r="L42" t="s">
        <v>8537</v>
      </c>
      <c r="M42" t="s">
        <v>590</v>
      </c>
      <c r="N42">
        <v>2</v>
      </c>
      <c r="O42" t="s">
        <v>8536</v>
      </c>
      <c r="P42" t="s">
        <v>8535</v>
      </c>
      <c r="Q42" t="s">
        <v>8534</v>
      </c>
      <c r="R42" s="7">
        <v>36495</v>
      </c>
      <c r="S42" s="8">
        <f t="shared" si="0"/>
        <v>1999</v>
      </c>
      <c r="T42" s="8">
        <v>1999</v>
      </c>
      <c r="U42" s="8">
        <f t="shared" si="1"/>
        <v>23</v>
      </c>
      <c r="V42" s="7">
        <v>1999</v>
      </c>
      <c r="W42" t="s">
        <v>8366</v>
      </c>
      <c r="X42" s="2" t="s">
        <v>0</v>
      </c>
      <c r="Y42" s="6" t="e">
        <f t="shared" si="2"/>
        <v>#VALUE!</v>
      </c>
      <c r="AA42">
        <v>15167399</v>
      </c>
      <c r="AB42">
        <v>4700152267</v>
      </c>
      <c r="AD42" t="s">
        <v>2</v>
      </c>
      <c r="AE42">
        <v>1</v>
      </c>
      <c r="AF42">
        <v>4</v>
      </c>
      <c r="AH42" s="10">
        <v>44501</v>
      </c>
      <c r="AI42" t="s">
        <v>8533</v>
      </c>
      <c r="AK42" t="s">
        <v>8532</v>
      </c>
      <c r="AL42">
        <v>1</v>
      </c>
      <c r="AM42" s="5">
        <f t="shared" si="3"/>
        <v>4.3478260869565216E-2</v>
      </c>
      <c r="AN42" s="4">
        <f t="shared" si="4"/>
        <v>6.5851209192828807E-5</v>
      </c>
      <c r="AO42" s="3"/>
      <c r="AP42">
        <v>0</v>
      </c>
      <c r="AR42" t="s">
        <v>1</v>
      </c>
      <c r="AT42" s="2" t="s">
        <v>0</v>
      </c>
      <c r="AU42" s="1" t="e">
        <f t="shared" si="5"/>
        <v>#VALUE!</v>
      </c>
      <c r="AV42" s="1" t="e">
        <f t="shared" si="6"/>
        <v>#VALUE!</v>
      </c>
      <c r="AW42" s="1" t="e">
        <f t="shared" si="7"/>
        <v>#VALUE!</v>
      </c>
    </row>
    <row r="43" spans="1:49" x14ac:dyDescent="0.2">
      <c r="A43">
        <v>41</v>
      </c>
      <c r="B43" t="s">
        <v>8531</v>
      </c>
      <c r="F43" t="s">
        <v>8530</v>
      </c>
      <c r="G43" t="s">
        <v>6</v>
      </c>
      <c r="H43" t="s">
        <v>5</v>
      </c>
      <c r="I43" t="s">
        <v>8529</v>
      </c>
      <c r="N43">
        <v>1</v>
      </c>
      <c r="O43" t="s">
        <v>8528</v>
      </c>
      <c r="P43">
        <v>14621319700</v>
      </c>
      <c r="R43" s="7">
        <v>36495</v>
      </c>
      <c r="S43" s="8">
        <f t="shared" si="0"/>
        <v>1999</v>
      </c>
      <c r="T43" s="8">
        <v>1999</v>
      </c>
      <c r="U43" s="8">
        <f t="shared" si="1"/>
        <v>23</v>
      </c>
      <c r="V43" s="7">
        <v>1999</v>
      </c>
      <c r="W43" t="s">
        <v>8527</v>
      </c>
      <c r="X43" s="2">
        <v>0.104</v>
      </c>
      <c r="Y43" s="6">
        <f t="shared" si="2"/>
        <v>2.776220602760204E-3</v>
      </c>
      <c r="AA43">
        <v>2624079</v>
      </c>
      <c r="AB43">
        <v>21753</v>
      </c>
      <c r="AD43" t="s">
        <v>2</v>
      </c>
      <c r="AE43">
        <v>161</v>
      </c>
      <c r="AF43">
        <v>2174</v>
      </c>
      <c r="AH43">
        <v>12</v>
      </c>
      <c r="AL43">
        <v>0</v>
      </c>
      <c r="AM43" s="5">
        <f t="shared" si="3"/>
        <v>0</v>
      </c>
      <c r="AN43" s="4">
        <f t="shared" si="4"/>
        <v>0</v>
      </c>
      <c r="AO43" s="3"/>
      <c r="AP43">
        <v>0</v>
      </c>
      <c r="AR43" t="s">
        <v>1</v>
      </c>
      <c r="AT43" s="2">
        <v>0.31900000000000001</v>
      </c>
      <c r="AU43" s="1">
        <f t="shared" si="5"/>
        <v>0.19433544219321428</v>
      </c>
      <c r="AV43" s="1">
        <f t="shared" si="6"/>
        <v>0.13881103013801019</v>
      </c>
      <c r="AW43" s="1">
        <f t="shared" si="7"/>
        <v>8.3286618082806116E-2</v>
      </c>
    </row>
    <row r="44" spans="1:49" x14ac:dyDescent="0.2">
      <c r="A44">
        <v>42</v>
      </c>
      <c r="B44" t="s">
        <v>8526</v>
      </c>
      <c r="C44" t="s">
        <v>8525</v>
      </c>
      <c r="F44" t="s">
        <v>8524</v>
      </c>
      <c r="G44" t="s">
        <v>6</v>
      </c>
      <c r="H44" t="s">
        <v>5</v>
      </c>
      <c r="I44" t="s">
        <v>8523</v>
      </c>
      <c r="J44" t="s">
        <v>8522</v>
      </c>
      <c r="K44" t="s">
        <v>8521</v>
      </c>
      <c r="L44" t="s">
        <v>8520</v>
      </c>
      <c r="M44" t="s">
        <v>8519</v>
      </c>
      <c r="N44">
        <v>3</v>
      </c>
      <c r="O44" t="s">
        <v>8518</v>
      </c>
      <c r="P44" t="s">
        <v>8517</v>
      </c>
      <c r="Q44" t="s">
        <v>8516</v>
      </c>
      <c r="R44" s="7">
        <v>36495</v>
      </c>
      <c r="S44" s="8">
        <f t="shared" si="0"/>
        <v>1999</v>
      </c>
      <c r="T44" s="8">
        <v>1999</v>
      </c>
      <c r="U44" s="8">
        <f t="shared" si="1"/>
        <v>23</v>
      </c>
      <c r="V44" s="7">
        <v>1999</v>
      </c>
      <c r="W44" t="s">
        <v>53</v>
      </c>
      <c r="X44" s="2">
        <v>0.88100000000000001</v>
      </c>
      <c r="Y44" s="6">
        <f t="shared" si="2"/>
        <v>2.3517791836843653E-2</v>
      </c>
      <c r="AA44">
        <v>10459243</v>
      </c>
      <c r="AB44">
        <v>17248</v>
      </c>
      <c r="AD44" t="s">
        <v>2</v>
      </c>
      <c r="AE44">
        <v>41</v>
      </c>
      <c r="AF44">
        <v>5</v>
      </c>
      <c r="AH44" t="s">
        <v>8515</v>
      </c>
      <c r="AI44" t="s">
        <v>8514</v>
      </c>
      <c r="AJ44" t="s">
        <v>8513</v>
      </c>
      <c r="AK44" t="s">
        <v>8512</v>
      </c>
      <c r="AL44">
        <v>63</v>
      </c>
      <c r="AM44" s="5">
        <f t="shared" si="3"/>
        <v>2.7391304347826089</v>
      </c>
      <c r="AN44" s="4">
        <f t="shared" si="4"/>
        <v>4.1486261791482152E-3</v>
      </c>
      <c r="AO44" s="3"/>
      <c r="AP44">
        <v>0</v>
      </c>
      <c r="AR44" t="s">
        <v>1</v>
      </c>
      <c r="AT44" s="2" t="s">
        <v>0</v>
      </c>
      <c r="AU44" s="1">
        <f t="shared" si="5"/>
        <v>1.7707042139535021</v>
      </c>
      <c r="AV44" s="1">
        <f t="shared" si="6"/>
        <v>1.3833209007995935</v>
      </c>
      <c r="AW44" s="1">
        <f t="shared" si="7"/>
        <v>0.99593758764568463</v>
      </c>
    </row>
    <row r="45" spans="1:49" x14ac:dyDescent="0.2">
      <c r="A45">
        <v>43</v>
      </c>
      <c r="B45" t="s">
        <v>8511</v>
      </c>
      <c r="C45" t="s">
        <v>8510</v>
      </c>
      <c r="F45" t="s">
        <v>8509</v>
      </c>
      <c r="G45" t="s">
        <v>6</v>
      </c>
      <c r="H45" t="s">
        <v>5</v>
      </c>
      <c r="I45" t="s">
        <v>8508</v>
      </c>
      <c r="J45" t="s">
        <v>8507</v>
      </c>
      <c r="K45" t="s">
        <v>8506</v>
      </c>
      <c r="L45" t="s">
        <v>8505</v>
      </c>
      <c r="M45" t="s">
        <v>8504</v>
      </c>
      <c r="N45">
        <v>4</v>
      </c>
      <c r="O45" t="s">
        <v>8503</v>
      </c>
      <c r="P45" t="s">
        <v>8502</v>
      </c>
      <c r="Q45" t="s">
        <v>8501</v>
      </c>
      <c r="R45" s="7">
        <v>36495</v>
      </c>
      <c r="S45" s="8">
        <f t="shared" si="0"/>
        <v>1999</v>
      </c>
      <c r="T45" s="8">
        <v>1999</v>
      </c>
      <c r="U45" s="8">
        <f t="shared" si="1"/>
        <v>23</v>
      </c>
      <c r="V45" s="7">
        <v>1999</v>
      </c>
      <c r="W45" t="s">
        <v>53</v>
      </c>
      <c r="X45" s="2">
        <v>0.88100000000000001</v>
      </c>
      <c r="Y45" s="6">
        <f t="shared" si="2"/>
        <v>2.3517791836843653E-2</v>
      </c>
      <c r="AA45">
        <v>10459243</v>
      </c>
      <c r="AB45">
        <v>17248</v>
      </c>
      <c r="AD45" t="s">
        <v>2</v>
      </c>
      <c r="AE45">
        <v>41</v>
      </c>
      <c r="AF45">
        <v>5</v>
      </c>
      <c r="AH45" t="s">
        <v>669</v>
      </c>
      <c r="AI45" t="s">
        <v>8500</v>
      </c>
      <c r="AJ45" t="s">
        <v>8499</v>
      </c>
      <c r="AK45" t="s">
        <v>8498</v>
      </c>
      <c r="AL45">
        <v>11</v>
      </c>
      <c r="AM45" s="5">
        <f t="shared" si="3"/>
        <v>0.47826086956521741</v>
      </c>
      <c r="AN45" s="4">
        <f t="shared" si="4"/>
        <v>7.2436330112111687E-4</v>
      </c>
      <c r="AO45" s="3"/>
      <c r="AP45">
        <v>0</v>
      </c>
      <c r="AQ45" t="s">
        <v>8497</v>
      </c>
      <c r="AR45" t="s">
        <v>8496</v>
      </c>
      <c r="AS45" t="s">
        <v>8495</v>
      </c>
      <c r="AT45" s="2" t="s">
        <v>0</v>
      </c>
      <c r="AU45" s="1">
        <f t="shared" si="5"/>
        <v>1.6679763276126893</v>
      </c>
      <c r="AV45" s="1">
        <f t="shared" si="6"/>
        <v>1.2121077568982386</v>
      </c>
      <c r="AW45" s="1">
        <f t="shared" si="7"/>
        <v>0.75623918618378771</v>
      </c>
    </row>
    <row r="46" spans="1:49" x14ac:dyDescent="0.2">
      <c r="A46">
        <v>44</v>
      </c>
      <c r="B46" t="s">
        <v>8494</v>
      </c>
      <c r="D46" t="s">
        <v>8493</v>
      </c>
      <c r="F46" t="s">
        <v>8492</v>
      </c>
      <c r="G46" t="s">
        <v>6</v>
      </c>
      <c r="H46" t="s">
        <v>5</v>
      </c>
      <c r="I46" t="s">
        <v>8491</v>
      </c>
      <c r="J46">
        <v>60021378</v>
      </c>
      <c r="K46" t="s">
        <v>55</v>
      </c>
      <c r="L46" t="s">
        <v>54</v>
      </c>
      <c r="M46" t="s">
        <v>3</v>
      </c>
      <c r="N46">
        <v>2</v>
      </c>
      <c r="O46" t="s">
        <v>8490</v>
      </c>
      <c r="P46" t="s">
        <v>8489</v>
      </c>
      <c r="Q46" t="s">
        <v>5176</v>
      </c>
      <c r="R46" s="7">
        <v>36495</v>
      </c>
      <c r="S46" s="8">
        <f t="shared" si="0"/>
        <v>1999</v>
      </c>
      <c r="T46" s="8">
        <v>1999</v>
      </c>
      <c r="U46" s="8">
        <f t="shared" si="1"/>
        <v>23</v>
      </c>
      <c r="V46" s="7">
        <v>1999</v>
      </c>
      <c r="W46" t="s">
        <v>190</v>
      </c>
      <c r="X46" s="2">
        <v>1.6379999999999999</v>
      </c>
      <c r="Y46" s="6">
        <f t="shared" si="2"/>
        <v>4.3725474493473214E-2</v>
      </c>
      <c r="AA46" t="s">
        <v>189</v>
      </c>
      <c r="AB46">
        <v>17391</v>
      </c>
      <c r="AD46" t="s">
        <v>2</v>
      </c>
      <c r="AE46">
        <v>47</v>
      </c>
      <c r="AF46">
        <v>10</v>
      </c>
      <c r="AH46">
        <v>2901</v>
      </c>
      <c r="AI46" t="s">
        <v>8488</v>
      </c>
      <c r="AK46" t="s">
        <v>8487</v>
      </c>
      <c r="AL46">
        <v>0</v>
      </c>
      <c r="AM46" s="5">
        <f t="shared" si="3"/>
        <v>0</v>
      </c>
      <c r="AN46" s="4">
        <f t="shared" si="4"/>
        <v>0</v>
      </c>
      <c r="AO46" s="3"/>
      <c r="AP46">
        <v>0</v>
      </c>
      <c r="AR46" t="s">
        <v>1</v>
      </c>
      <c r="AT46" s="2">
        <v>4.931</v>
      </c>
      <c r="AU46" s="1">
        <f t="shared" si="5"/>
        <v>3.0607832145431249</v>
      </c>
      <c r="AV46" s="1">
        <f t="shared" si="6"/>
        <v>2.1862737246736605</v>
      </c>
      <c r="AW46" s="1">
        <f t="shared" si="7"/>
        <v>1.3117642348041965</v>
      </c>
    </row>
    <row r="47" spans="1:49" x14ac:dyDescent="0.2">
      <c r="A47">
        <v>45</v>
      </c>
      <c r="B47" t="s">
        <v>8486</v>
      </c>
      <c r="C47" t="s">
        <v>269</v>
      </c>
      <c r="F47" t="s">
        <v>268</v>
      </c>
      <c r="G47" t="s">
        <v>6</v>
      </c>
      <c r="H47" t="s">
        <v>5</v>
      </c>
      <c r="I47" t="s">
        <v>126</v>
      </c>
      <c r="J47">
        <v>60016074</v>
      </c>
      <c r="K47" t="s">
        <v>266</v>
      </c>
      <c r="L47" t="s">
        <v>265</v>
      </c>
      <c r="M47" t="s">
        <v>7</v>
      </c>
      <c r="N47">
        <v>3</v>
      </c>
      <c r="O47" t="s">
        <v>8485</v>
      </c>
      <c r="P47" t="s">
        <v>8484</v>
      </c>
      <c r="Q47" t="s">
        <v>264</v>
      </c>
      <c r="R47" s="7">
        <v>36495</v>
      </c>
      <c r="S47" s="8">
        <f t="shared" si="0"/>
        <v>1999</v>
      </c>
      <c r="T47" s="8">
        <v>1999</v>
      </c>
      <c r="U47" s="8">
        <f t="shared" si="1"/>
        <v>23</v>
      </c>
      <c r="V47" s="7">
        <v>1999</v>
      </c>
      <c r="W47" t="s">
        <v>263</v>
      </c>
      <c r="X47" s="2">
        <v>0.46700000000000003</v>
      </c>
      <c r="Y47" s="6">
        <f t="shared" si="2"/>
        <v>1.2466298283548225E-2</v>
      </c>
      <c r="AA47">
        <v>10518223</v>
      </c>
      <c r="AB47">
        <v>26026</v>
      </c>
      <c r="AD47" t="s">
        <v>2</v>
      </c>
      <c r="AE47">
        <v>9</v>
      </c>
      <c r="AF47" t="s">
        <v>5034</v>
      </c>
      <c r="AH47" t="s">
        <v>262</v>
      </c>
      <c r="AI47" t="s">
        <v>8483</v>
      </c>
      <c r="AK47" t="s">
        <v>8482</v>
      </c>
      <c r="AL47">
        <v>2</v>
      </c>
      <c r="AM47" s="5">
        <f t="shared" si="3"/>
        <v>8.6956521739130432E-2</v>
      </c>
      <c r="AN47" s="4">
        <f t="shared" si="4"/>
        <v>1.3170241838565761E-4</v>
      </c>
      <c r="AO47" s="3"/>
      <c r="AP47">
        <v>0</v>
      </c>
      <c r="AR47" t="s">
        <v>1</v>
      </c>
      <c r="AT47" s="2" t="s">
        <v>0</v>
      </c>
      <c r="AU47" s="1">
        <f t="shared" si="5"/>
        <v>0.87659195239994558</v>
      </c>
      <c r="AV47" s="1">
        <f t="shared" si="6"/>
        <v>0.62990003509669412</v>
      </c>
      <c r="AW47" s="1">
        <f t="shared" si="7"/>
        <v>0.38320811779344277</v>
      </c>
    </row>
    <row r="48" spans="1:49" x14ac:dyDescent="0.2">
      <c r="A48">
        <v>46</v>
      </c>
      <c r="B48" t="s">
        <v>8481</v>
      </c>
      <c r="C48" t="s">
        <v>8480</v>
      </c>
      <c r="D48" t="s">
        <v>8479</v>
      </c>
      <c r="F48" t="s">
        <v>8478</v>
      </c>
      <c r="G48" t="s">
        <v>6</v>
      </c>
      <c r="H48" t="s">
        <v>5</v>
      </c>
      <c r="I48" t="s">
        <v>8477</v>
      </c>
      <c r="J48">
        <v>60017597</v>
      </c>
      <c r="K48" t="s">
        <v>8476</v>
      </c>
      <c r="L48" t="s">
        <v>342</v>
      </c>
      <c r="M48" t="s">
        <v>125</v>
      </c>
      <c r="N48">
        <v>2</v>
      </c>
      <c r="O48" t="s">
        <v>8475</v>
      </c>
      <c r="P48" t="s">
        <v>8474</v>
      </c>
      <c r="Q48" t="s">
        <v>8473</v>
      </c>
      <c r="R48" s="7">
        <v>36495</v>
      </c>
      <c r="S48" s="8">
        <f t="shared" si="0"/>
        <v>1999</v>
      </c>
      <c r="T48" s="8">
        <v>1999</v>
      </c>
      <c r="U48" s="8">
        <f t="shared" si="1"/>
        <v>23</v>
      </c>
      <c r="V48" s="7">
        <v>1999</v>
      </c>
      <c r="W48" t="s">
        <v>165</v>
      </c>
      <c r="X48" s="2">
        <v>0.65500000000000003</v>
      </c>
      <c r="Y48" s="6">
        <f t="shared" si="2"/>
        <v>1.7484850911614749E-2</v>
      </c>
      <c r="AA48">
        <v>189375</v>
      </c>
      <c r="AB48">
        <v>26051</v>
      </c>
      <c r="AD48" t="s">
        <v>2</v>
      </c>
      <c r="AE48">
        <v>41</v>
      </c>
      <c r="AF48">
        <v>1</v>
      </c>
      <c r="AH48" t="s">
        <v>8472</v>
      </c>
      <c r="AI48" t="s">
        <v>8471</v>
      </c>
      <c r="AJ48" t="s">
        <v>8470</v>
      </c>
      <c r="AK48" t="s">
        <v>8469</v>
      </c>
      <c r="AL48">
        <v>0</v>
      </c>
      <c r="AM48" s="5">
        <f t="shared" si="3"/>
        <v>0</v>
      </c>
      <c r="AN48" s="4">
        <f t="shared" si="4"/>
        <v>0</v>
      </c>
      <c r="AO48" s="3"/>
      <c r="AP48">
        <v>0</v>
      </c>
      <c r="AR48" t="s">
        <v>1</v>
      </c>
      <c r="AT48" s="2" t="s">
        <v>0</v>
      </c>
      <c r="AU48" s="1">
        <f t="shared" si="5"/>
        <v>1.2239395638130324</v>
      </c>
      <c r="AV48" s="1">
        <f t="shared" si="6"/>
        <v>0.87424254558073744</v>
      </c>
      <c r="AW48" s="1">
        <f t="shared" si="7"/>
        <v>0.52454552734844251</v>
      </c>
    </row>
    <row r="49" spans="1:49" x14ac:dyDescent="0.2">
      <c r="A49">
        <v>47</v>
      </c>
      <c r="B49" t="s">
        <v>8468</v>
      </c>
      <c r="F49" t="s">
        <v>8467</v>
      </c>
      <c r="G49" t="s">
        <v>6</v>
      </c>
      <c r="H49" t="s">
        <v>5</v>
      </c>
      <c r="I49" t="s">
        <v>8466</v>
      </c>
      <c r="J49">
        <v>100336724</v>
      </c>
      <c r="K49" t="s">
        <v>8465</v>
      </c>
      <c r="L49" t="s">
        <v>471</v>
      </c>
      <c r="M49" t="s">
        <v>127</v>
      </c>
      <c r="N49">
        <v>1</v>
      </c>
      <c r="O49" t="s">
        <v>8464</v>
      </c>
      <c r="P49">
        <v>14071003700</v>
      </c>
      <c r="Q49">
        <v>100336724</v>
      </c>
      <c r="R49" s="7">
        <v>36495</v>
      </c>
      <c r="S49" s="8">
        <f t="shared" si="0"/>
        <v>1999</v>
      </c>
      <c r="T49" s="8">
        <v>1999</v>
      </c>
      <c r="U49" s="8">
        <f t="shared" si="1"/>
        <v>23</v>
      </c>
      <c r="V49" s="7">
        <v>1999</v>
      </c>
      <c r="W49" t="s">
        <v>8463</v>
      </c>
      <c r="X49" s="2">
        <v>0.33300000000000002</v>
      </c>
      <c r="Y49" s="6">
        <f t="shared" si="2"/>
        <v>8.8892448146071917E-3</v>
      </c>
      <c r="AA49">
        <v>10642307</v>
      </c>
      <c r="AB49">
        <v>12961</v>
      </c>
      <c r="AD49" t="s">
        <v>2</v>
      </c>
      <c r="AE49">
        <v>38</v>
      </c>
      <c r="AF49">
        <v>5</v>
      </c>
      <c r="AH49" t="s">
        <v>8462</v>
      </c>
      <c r="AI49" t="s">
        <v>8461</v>
      </c>
      <c r="AK49" t="s">
        <v>8460</v>
      </c>
      <c r="AL49">
        <v>0</v>
      </c>
      <c r="AM49" s="5">
        <f t="shared" si="3"/>
        <v>0</v>
      </c>
      <c r="AN49" s="4">
        <f t="shared" si="4"/>
        <v>0</v>
      </c>
      <c r="AO49" s="3"/>
      <c r="AP49">
        <v>0</v>
      </c>
      <c r="AR49" t="s">
        <v>1</v>
      </c>
      <c r="AT49" s="2" t="s">
        <v>0</v>
      </c>
      <c r="AU49" s="1">
        <f t="shared" si="5"/>
        <v>0.62224713702250345</v>
      </c>
      <c r="AV49" s="1">
        <f t="shared" si="6"/>
        <v>0.44446224073035956</v>
      </c>
      <c r="AW49" s="1">
        <f t="shared" si="7"/>
        <v>0.26667734443821572</v>
      </c>
    </row>
    <row r="50" spans="1:49" x14ac:dyDescent="0.2">
      <c r="A50">
        <v>48</v>
      </c>
      <c r="B50" t="s">
        <v>8459</v>
      </c>
      <c r="C50" t="s">
        <v>8458</v>
      </c>
      <c r="D50" t="s">
        <v>8457</v>
      </c>
      <c r="F50" t="s">
        <v>417</v>
      </c>
      <c r="G50" t="s">
        <v>6</v>
      </c>
      <c r="H50" t="s">
        <v>5</v>
      </c>
      <c r="I50" t="s">
        <v>416</v>
      </c>
      <c r="J50" t="s">
        <v>8456</v>
      </c>
      <c r="K50" t="s">
        <v>8455</v>
      </c>
      <c r="L50" t="s">
        <v>8454</v>
      </c>
      <c r="M50" t="s">
        <v>18</v>
      </c>
      <c r="N50">
        <v>3</v>
      </c>
      <c r="O50" t="s">
        <v>8453</v>
      </c>
      <c r="P50" t="s">
        <v>415</v>
      </c>
      <c r="Q50" t="s">
        <v>8452</v>
      </c>
      <c r="R50" s="7">
        <v>36495</v>
      </c>
      <c r="S50" s="8">
        <f t="shared" si="0"/>
        <v>1999</v>
      </c>
      <c r="T50" s="8">
        <v>1999</v>
      </c>
      <c r="U50" s="8">
        <f t="shared" si="1"/>
        <v>23</v>
      </c>
      <c r="V50" s="7">
        <v>1999</v>
      </c>
      <c r="W50" t="s">
        <v>89</v>
      </c>
      <c r="X50" s="2">
        <v>1.365</v>
      </c>
      <c r="Y50" s="6">
        <f t="shared" si="2"/>
        <v>3.6437895411227675E-2</v>
      </c>
      <c r="AA50">
        <v>189545</v>
      </c>
      <c r="AB50">
        <v>17393</v>
      </c>
      <c r="AD50" t="s">
        <v>2</v>
      </c>
      <c r="AE50">
        <v>48</v>
      </c>
      <c r="AF50">
        <v>1</v>
      </c>
      <c r="AH50" t="s">
        <v>8451</v>
      </c>
      <c r="AI50" t="s">
        <v>8450</v>
      </c>
      <c r="AK50" t="s">
        <v>414</v>
      </c>
      <c r="AL50">
        <v>1</v>
      </c>
      <c r="AM50" s="5">
        <f t="shared" si="3"/>
        <v>4.3478260869565216E-2</v>
      </c>
      <c r="AN50" s="4">
        <f t="shared" si="4"/>
        <v>6.5851209192828807E-5</v>
      </c>
      <c r="AO50" s="3"/>
      <c r="AP50">
        <v>0</v>
      </c>
      <c r="AR50" t="s">
        <v>1</v>
      </c>
      <c r="AT50" s="2" t="s">
        <v>0</v>
      </c>
      <c r="AU50" s="1">
        <f t="shared" si="5"/>
        <v>2.5526282150617217</v>
      </c>
      <c r="AV50" s="1">
        <f t="shared" si="6"/>
        <v>1.8251873310210251</v>
      </c>
      <c r="AW50" s="1">
        <f t="shared" si="7"/>
        <v>1.0977464469803282</v>
      </c>
    </row>
    <row r="51" spans="1:49" x14ac:dyDescent="0.2">
      <c r="A51">
        <v>49</v>
      </c>
      <c r="B51" t="s">
        <v>8449</v>
      </c>
      <c r="C51" t="s">
        <v>8448</v>
      </c>
      <c r="D51" t="s">
        <v>8447</v>
      </c>
      <c r="F51" t="s">
        <v>422</v>
      </c>
      <c r="G51" t="s">
        <v>6</v>
      </c>
      <c r="H51" t="s">
        <v>5</v>
      </c>
      <c r="I51" t="s">
        <v>421</v>
      </c>
      <c r="J51" t="s">
        <v>8446</v>
      </c>
      <c r="K51" t="s">
        <v>8445</v>
      </c>
      <c r="L51" t="s">
        <v>8444</v>
      </c>
      <c r="M51" t="s">
        <v>230</v>
      </c>
      <c r="N51">
        <v>3</v>
      </c>
      <c r="O51" t="s">
        <v>420</v>
      </c>
      <c r="P51" t="s">
        <v>419</v>
      </c>
      <c r="Q51" t="s">
        <v>8443</v>
      </c>
      <c r="R51" s="7">
        <v>36495</v>
      </c>
      <c r="S51" s="8">
        <f t="shared" si="0"/>
        <v>1999</v>
      </c>
      <c r="T51" s="8">
        <v>1999</v>
      </c>
      <c r="U51" s="8">
        <f t="shared" si="1"/>
        <v>23</v>
      </c>
      <c r="V51" s="7">
        <v>1999</v>
      </c>
      <c r="W51" t="s">
        <v>89</v>
      </c>
      <c r="X51" s="2">
        <v>1.365</v>
      </c>
      <c r="Y51" s="6">
        <f t="shared" si="2"/>
        <v>3.6437895411227675E-2</v>
      </c>
      <c r="AA51">
        <v>189545</v>
      </c>
      <c r="AB51">
        <v>17393</v>
      </c>
      <c r="AD51" t="s">
        <v>2</v>
      </c>
      <c r="AE51">
        <v>48</v>
      </c>
      <c r="AF51">
        <v>1</v>
      </c>
      <c r="AH51" t="s">
        <v>8442</v>
      </c>
      <c r="AI51" t="s">
        <v>8441</v>
      </c>
      <c r="AK51" t="s">
        <v>8440</v>
      </c>
      <c r="AL51">
        <v>2</v>
      </c>
      <c r="AM51" s="5">
        <f t="shared" si="3"/>
        <v>8.6956521739130432E-2</v>
      </c>
      <c r="AN51" s="4">
        <f t="shared" si="4"/>
        <v>1.3170241838565761E-4</v>
      </c>
      <c r="AO51" s="3"/>
      <c r="AP51">
        <v>0</v>
      </c>
      <c r="AR51" t="s">
        <v>1</v>
      </c>
      <c r="AT51" s="2" t="s">
        <v>0</v>
      </c>
      <c r="AU51" s="1">
        <f t="shared" si="5"/>
        <v>2.5546037513375066</v>
      </c>
      <c r="AV51" s="1">
        <f t="shared" si="6"/>
        <v>1.8284798914806666</v>
      </c>
      <c r="AW51" s="1">
        <f t="shared" si="7"/>
        <v>1.1023560316238261</v>
      </c>
    </row>
    <row r="52" spans="1:49" x14ac:dyDescent="0.2">
      <c r="A52">
        <v>50</v>
      </c>
      <c r="B52" t="s">
        <v>8439</v>
      </c>
      <c r="C52" t="s">
        <v>8438</v>
      </c>
      <c r="D52" t="s">
        <v>8437</v>
      </c>
      <c r="F52" t="s">
        <v>446</v>
      </c>
      <c r="G52" t="s">
        <v>6</v>
      </c>
      <c r="H52" t="s">
        <v>5</v>
      </c>
      <c r="I52" t="s">
        <v>445</v>
      </c>
      <c r="J52" t="s">
        <v>8436</v>
      </c>
      <c r="K52" t="s">
        <v>8435</v>
      </c>
      <c r="L52" t="s">
        <v>8434</v>
      </c>
      <c r="M52" t="s">
        <v>27</v>
      </c>
      <c r="N52">
        <v>5</v>
      </c>
      <c r="O52" t="s">
        <v>444</v>
      </c>
      <c r="P52" t="s">
        <v>443</v>
      </c>
      <c r="Q52" t="s">
        <v>8433</v>
      </c>
      <c r="R52" s="7">
        <v>36495</v>
      </c>
      <c r="S52" s="8">
        <f t="shared" si="0"/>
        <v>1999</v>
      </c>
      <c r="T52" s="8">
        <v>1999</v>
      </c>
      <c r="U52" s="8">
        <f t="shared" si="1"/>
        <v>23</v>
      </c>
      <c r="V52" s="7">
        <v>1999</v>
      </c>
      <c r="W52" t="s">
        <v>89</v>
      </c>
      <c r="X52" s="2">
        <v>1.365</v>
      </c>
      <c r="Y52" s="6">
        <f t="shared" si="2"/>
        <v>3.6437895411227675E-2</v>
      </c>
      <c r="AA52">
        <v>189545</v>
      </c>
      <c r="AB52">
        <v>17393</v>
      </c>
      <c r="AD52" t="s">
        <v>2</v>
      </c>
      <c r="AE52">
        <v>48</v>
      </c>
      <c r="AF52">
        <v>1</v>
      </c>
      <c r="AH52" t="s">
        <v>8432</v>
      </c>
      <c r="AI52" t="s">
        <v>8431</v>
      </c>
      <c r="AJ52" t="s">
        <v>8430</v>
      </c>
      <c r="AK52" t="s">
        <v>442</v>
      </c>
      <c r="AL52">
        <v>0</v>
      </c>
      <c r="AM52" s="5">
        <f t="shared" si="3"/>
        <v>0</v>
      </c>
      <c r="AN52" s="4">
        <f t="shared" si="4"/>
        <v>0</v>
      </c>
      <c r="AO52" s="3"/>
      <c r="AP52">
        <v>0</v>
      </c>
      <c r="AR52" t="s">
        <v>1</v>
      </c>
      <c r="AT52" s="2" t="s">
        <v>0</v>
      </c>
      <c r="AU52" s="1">
        <f t="shared" si="5"/>
        <v>2.5506526787859372</v>
      </c>
      <c r="AV52" s="1">
        <f t="shared" si="6"/>
        <v>1.8218947705613837</v>
      </c>
      <c r="AW52" s="1">
        <f t="shared" si="7"/>
        <v>1.0931368623368303</v>
      </c>
    </row>
    <row r="53" spans="1:49" x14ac:dyDescent="0.2">
      <c r="A53">
        <v>51</v>
      </c>
      <c r="B53" t="s">
        <v>8429</v>
      </c>
      <c r="D53" t="s">
        <v>8428</v>
      </c>
      <c r="F53" t="s">
        <v>8427</v>
      </c>
      <c r="G53" t="s">
        <v>6</v>
      </c>
      <c r="H53" t="s">
        <v>5</v>
      </c>
      <c r="I53" t="s">
        <v>8426</v>
      </c>
      <c r="J53">
        <v>60025038</v>
      </c>
      <c r="K53" t="s">
        <v>2215</v>
      </c>
      <c r="L53" t="s">
        <v>2214</v>
      </c>
      <c r="M53" t="s">
        <v>3</v>
      </c>
      <c r="N53">
        <v>4</v>
      </c>
      <c r="O53" t="s">
        <v>8425</v>
      </c>
      <c r="P53" t="s">
        <v>8424</v>
      </c>
      <c r="Q53" t="s">
        <v>8423</v>
      </c>
      <c r="R53" s="7">
        <v>36495</v>
      </c>
      <c r="S53" s="8">
        <f t="shared" si="0"/>
        <v>1999</v>
      </c>
      <c r="T53" s="8">
        <v>1999</v>
      </c>
      <c r="U53" s="8">
        <f t="shared" si="1"/>
        <v>23</v>
      </c>
      <c r="V53" s="7">
        <v>1999</v>
      </c>
      <c r="W53" t="s">
        <v>167</v>
      </c>
      <c r="X53" s="2">
        <v>1.468</v>
      </c>
      <c r="Y53" s="6">
        <f t="shared" si="2"/>
        <v>3.9187421585115186E-2</v>
      </c>
      <c r="AA53">
        <v>906778</v>
      </c>
      <c r="AB53">
        <v>18931</v>
      </c>
      <c r="AD53" t="s">
        <v>2</v>
      </c>
      <c r="AE53">
        <v>47</v>
      </c>
      <c r="AF53">
        <v>11</v>
      </c>
      <c r="AH53">
        <v>1767</v>
      </c>
      <c r="AI53" t="s">
        <v>8422</v>
      </c>
      <c r="AK53" t="s">
        <v>8421</v>
      </c>
      <c r="AL53">
        <v>2</v>
      </c>
      <c r="AM53" s="5">
        <f t="shared" si="3"/>
        <v>8.6956521739130432E-2</v>
      </c>
      <c r="AN53" s="4">
        <f t="shared" si="4"/>
        <v>1.3170241838565761E-4</v>
      </c>
      <c r="AO53" s="3"/>
      <c r="AP53">
        <v>0</v>
      </c>
      <c r="AR53" t="s">
        <v>1</v>
      </c>
      <c r="AT53" s="2">
        <v>5.0830000000000002</v>
      </c>
      <c r="AU53" s="1">
        <f t="shared" si="5"/>
        <v>2.7470705835096325</v>
      </c>
      <c r="AV53" s="1">
        <f t="shared" si="6"/>
        <v>1.9659562001750421</v>
      </c>
      <c r="AW53" s="1">
        <f t="shared" si="7"/>
        <v>1.1848418168404515</v>
      </c>
    </row>
    <row r="54" spans="1:49" x14ac:dyDescent="0.2">
      <c r="A54">
        <v>52</v>
      </c>
      <c r="B54" t="s">
        <v>8420</v>
      </c>
      <c r="C54" t="s">
        <v>8419</v>
      </c>
      <c r="D54" t="s">
        <v>8418</v>
      </c>
      <c r="F54" t="s">
        <v>8417</v>
      </c>
      <c r="G54" t="s">
        <v>6</v>
      </c>
      <c r="H54" t="s">
        <v>5</v>
      </c>
      <c r="I54" t="s">
        <v>3705</v>
      </c>
      <c r="J54">
        <v>60033019</v>
      </c>
      <c r="K54" t="s">
        <v>3149</v>
      </c>
      <c r="L54" t="s">
        <v>3148</v>
      </c>
      <c r="M54" t="s">
        <v>23</v>
      </c>
      <c r="N54">
        <v>3</v>
      </c>
      <c r="O54" t="s">
        <v>8416</v>
      </c>
      <c r="P54" t="s">
        <v>8415</v>
      </c>
      <c r="Q54" t="s">
        <v>3145</v>
      </c>
      <c r="R54" s="7">
        <v>36495</v>
      </c>
      <c r="S54" s="8">
        <f t="shared" si="0"/>
        <v>1999</v>
      </c>
      <c r="T54" s="8">
        <v>1999</v>
      </c>
      <c r="U54" s="8">
        <f t="shared" si="1"/>
        <v>23</v>
      </c>
      <c r="V54" s="7">
        <v>1999</v>
      </c>
      <c r="W54" t="s">
        <v>174</v>
      </c>
      <c r="X54" s="2">
        <v>1.3720000000000001</v>
      </c>
      <c r="Y54" s="6">
        <f t="shared" si="2"/>
        <v>3.662475641333654E-2</v>
      </c>
      <c r="AA54">
        <v>189480</v>
      </c>
      <c r="AB54">
        <v>17366</v>
      </c>
      <c r="AD54" t="s">
        <v>2</v>
      </c>
      <c r="AE54">
        <v>47</v>
      </c>
      <c r="AF54">
        <v>11</v>
      </c>
      <c r="AH54" t="s">
        <v>8414</v>
      </c>
      <c r="AI54" t="s">
        <v>8413</v>
      </c>
      <c r="AK54" t="s">
        <v>8412</v>
      </c>
      <c r="AL54">
        <v>415</v>
      </c>
      <c r="AM54" s="5">
        <f t="shared" si="3"/>
        <v>18.043478260869566</v>
      </c>
      <c r="AN54" s="4">
        <f t="shared" si="4"/>
        <v>2.7328251815023956E-2</v>
      </c>
      <c r="AO54" s="3"/>
      <c r="AP54">
        <v>0</v>
      </c>
      <c r="AR54" t="s">
        <v>1</v>
      </c>
      <c r="AT54" s="2" t="s">
        <v>0</v>
      </c>
      <c r="AU54" s="1">
        <f t="shared" si="5"/>
        <v>3.3835805033842759</v>
      </c>
      <c r="AV54" s="1">
        <f t="shared" si="6"/>
        <v>3.1976504114180253</v>
      </c>
      <c r="AW54" s="1">
        <f t="shared" si="7"/>
        <v>3.011720319451773</v>
      </c>
    </row>
    <row r="55" spans="1:49" x14ac:dyDescent="0.2">
      <c r="A55">
        <v>53</v>
      </c>
      <c r="B55" t="s">
        <v>8411</v>
      </c>
      <c r="F55" t="s">
        <v>8410</v>
      </c>
      <c r="G55" t="s">
        <v>6</v>
      </c>
      <c r="H55" t="s">
        <v>5</v>
      </c>
      <c r="I55" t="s">
        <v>8409</v>
      </c>
      <c r="J55" t="s">
        <v>8408</v>
      </c>
      <c r="K55" t="s">
        <v>8407</v>
      </c>
      <c r="L55" t="s">
        <v>8406</v>
      </c>
      <c r="M55" t="s">
        <v>180</v>
      </c>
      <c r="N55">
        <v>3</v>
      </c>
      <c r="O55" t="s">
        <v>8405</v>
      </c>
      <c r="P55" t="s">
        <v>8404</v>
      </c>
      <c r="Q55" t="s">
        <v>8403</v>
      </c>
      <c r="R55" s="7">
        <v>36495</v>
      </c>
      <c r="S55" s="8">
        <f t="shared" si="0"/>
        <v>1999</v>
      </c>
      <c r="T55" s="8">
        <v>1999</v>
      </c>
      <c r="U55" s="8">
        <f t="shared" si="1"/>
        <v>23</v>
      </c>
      <c r="V55" s="7">
        <v>1999</v>
      </c>
      <c r="W55" t="s">
        <v>8402</v>
      </c>
      <c r="X55" s="2" t="s">
        <v>0</v>
      </c>
      <c r="Y55" s="6" t="e">
        <f t="shared" si="2"/>
        <v>#VALUE!</v>
      </c>
      <c r="AA55">
        <v>1919040</v>
      </c>
      <c r="AB55">
        <v>4700152842</v>
      </c>
      <c r="AD55" t="s">
        <v>2</v>
      </c>
      <c r="AE55">
        <v>19</v>
      </c>
      <c r="AF55" s="10">
        <v>44257</v>
      </c>
      <c r="AH55" t="s">
        <v>8401</v>
      </c>
      <c r="AI55" t="s">
        <v>8400</v>
      </c>
      <c r="AJ55" t="s">
        <v>8399</v>
      </c>
      <c r="AK55" t="s">
        <v>8398</v>
      </c>
      <c r="AL55">
        <v>4</v>
      </c>
      <c r="AM55" s="5">
        <f t="shared" si="3"/>
        <v>0.17391304347826086</v>
      </c>
      <c r="AN55" s="4">
        <f t="shared" si="4"/>
        <v>2.6340483677131523E-4</v>
      </c>
      <c r="AO55" s="3"/>
      <c r="AP55">
        <v>0</v>
      </c>
      <c r="AR55" t="s">
        <v>1</v>
      </c>
      <c r="AT55" s="2" t="s">
        <v>0</v>
      </c>
      <c r="AU55" s="1" t="e">
        <f t="shared" si="5"/>
        <v>#VALUE!</v>
      </c>
      <c r="AV55" s="1" t="e">
        <f t="shared" si="6"/>
        <v>#VALUE!</v>
      </c>
      <c r="AW55" s="1" t="e">
        <f t="shared" si="7"/>
        <v>#VALUE!</v>
      </c>
    </row>
    <row r="56" spans="1:49" x14ac:dyDescent="0.2">
      <c r="A56">
        <v>54</v>
      </c>
      <c r="B56" t="s">
        <v>8397</v>
      </c>
      <c r="C56" t="s">
        <v>8396</v>
      </c>
      <c r="F56" t="s">
        <v>8395</v>
      </c>
      <c r="G56" t="s">
        <v>6</v>
      </c>
      <c r="H56" t="s">
        <v>5</v>
      </c>
      <c r="I56" t="s">
        <v>8394</v>
      </c>
      <c r="J56" t="s">
        <v>8393</v>
      </c>
      <c r="K56" t="s">
        <v>8392</v>
      </c>
      <c r="L56" t="s">
        <v>8391</v>
      </c>
      <c r="M56" t="s">
        <v>568</v>
      </c>
      <c r="N56">
        <v>2</v>
      </c>
      <c r="O56" t="s">
        <v>8390</v>
      </c>
      <c r="P56" t="s">
        <v>8389</v>
      </c>
      <c r="Q56" t="s">
        <v>8388</v>
      </c>
      <c r="R56" s="7">
        <v>36495</v>
      </c>
      <c r="S56" s="8">
        <f t="shared" si="0"/>
        <v>1999</v>
      </c>
      <c r="T56" s="8">
        <v>1999</v>
      </c>
      <c r="U56" s="8">
        <f t="shared" si="1"/>
        <v>23</v>
      </c>
      <c r="V56" s="7">
        <v>1999</v>
      </c>
      <c r="W56" t="s">
        <v>403</v>
      </c>
      <c r="X56" s="2">
        <v>1.137</v>
      </c>
      <c r="Y56" s="6">
        <f t="shared" si="2"/>
        <v>3.0351565628253384E-2</v>
      </c>
      <c r="AA56">
        <v>189251</v>
      </c>
      <c r="AB56">
        <v>17336</v>
      </c>
      <c r="AD56" t="s">
        <v>2</v>
      </c>
      <c r="AE56">
        <v>35</v>
      </c>
      <c r="AF56">
        <v>2</v>
      </c>
      <c r="AH56" t="s">
        <v>8387</v>
      </c>
      <c r="AI56" t="s">
        <v>8386</v>
      </c>
      <c r="AK56" t="s">
        <v>8385</v>
      </c>
      <c r="AL56">
        <v>4</v>
      </c>
      <c r="AM56" s="5">
        <f t="shared" si="3"/>
        <v>0.17391304347826086</v>
      </c>
      <c r="AN56" s="4">
        <f t="shared" si="4"/>
        <v>2.6340483677131523E-4</v>
      </c>
      <c r="AO56" s="3"/>
      <c r="AP56">
        <v>0</v>
      </c>
      <c r="AR56" t="s">
        <v>1</v>
      </c>
      <c r="AT56" s="2" t="s">
        <v>0</v>
      </c>
      <c r="AU56" s="1">
        <f t="shared" si="5"/>
        <v>2.1325117390808761</v>
      </c>
      <c r="AV56" s="1">
        <f t="shared" si="6"/>
        <v>1.5307485232512348</v>
      </c>
      <c r="AW56" s="1">
        <f t="shared" si="7"/>
        <v>0.92898530742159358</v>
      </c>
    </row>
    <row r="57" spans="1:49" x14ac:dyDescent="0.2">
      <c r="A57">
        <v>55</v>
      </c>
      <c r="B57" t="s">
        <v>8384</v>
      </c>
      <c r="F57" t="s">
        <v>8383</v>
      </c>
      <c r="G57" t="s">
        <v>6</v>
      </c>
      <c r="H57" t="s">
        <v>5</v>
      </c>
      <c r="I57" t="s">
        <v>315</v>
      </c>
      <c r="J57">
        <v>60010080</v>
      </c>
      <c r="K57" t="s">
        <v>401</v>
      </c>
      <c r="L57" t="s">
        <v>400</v>
      </c>
      <c r="M57" t="s">
        <v>78</v>
      </c>
      <c r="N57">
        <v>3</v>
      </c>
      <c r="O57" t="s">
        <v>8382</v>
      </c>
      <c r="P57" t="s">
        <v>8381</v>
      </c>
      <c r="Q57" t="s">
        <v>8380</v>
      </c>
      <c r="R57" s="7">
        <v>36495</v>
      </c>
      <c r="S57" s="8">
        <f t="shared" si="0"/>
        <v>1999</v>
      </c>
      <c r="T57" s="8">
        <v>1999</v>
      </c>
      <c r="U57" s="8">
        <f t="shared" si="1"/>
        <v>23</v>
      </c>
      <c r="V57" s="7">
        <v>1999</v>
      </c>
      <c r="W57" t="s">
        <v>8379</v>
      </c>
      <c r="X57" s="2">
        <v>0.20599999999999999</v>
      </c>
      <c r="Y57" s="6">
        <f t="shared" si="2"/>
        <v>5.4990523477750197E-3</v>
      </c>
      <c r="AA57">
        <v>10019014</v>
      </c>
      <c r="AB57">
        <v>29725</v>
      </c>
      <c r="AD57" t="s">
        <v>2</v>
      </c>
      <c r="AE57">
        <v>18</v>
      </c>
      <c r="AF57">
        <v>2</v>
      </c>
      <c r="AH57">
        <v>162</v>
      </c>
      <c r="AI57" t="s">
        <v>8378</v>
      </c>
      <c r="AJ57" t="s">
        <v>8377</v>
      </c>
      <c r="AK57" t="s">
        <v>8376</v>
      </c>
      <c r="AL57">
        <v>0</v>
      </c>
      <c r="AM57" s="5">
        <f t="shared" si="3"/>
        <v>0</v>
      </c>
      <c r="AN57" s="4">
        <f t="shared" si="4"/>
        <v>0</v>
      </c>
      <c r="AO57" s="3"/>
      <c r="AP57">
        <v>0</v>
      </c>
      <c r="AR57" t="s">
        <v>1</v>
      </c>
      <c r="AT57" s="2" t="s">
        <v>0</v>
      </c>
      <c r="AU57" s="1">
        <f t="shared" si="5"/>
        <v>0.38493366434425136</v>
      </c>
      <c r="AV57" s="1">
        <f t="shared" si="6"/>
        <v>0.27495261738875099</v>
      </c>
      <c r="AW57" s="1">
        <f t="shared" si="7"/>
        <v>0.16497157043325059</v>
      </c>
    </row>
    <row r="58" spans="1:49" x14ac:dyDescent="0.2">
      <c r="A58">
        <v>56</v>
      </c>
      <c r="B58" t="s">
        <v>8375</v>
      </c>
      <c r="F58" t="s">
        <v>8374</v>
      </c>
      <c r="G58" t="s">
        <v>6</v>
      </c>
      <c r="H58" t="s">
        <v>5</v>
      </c>
      <c r="I58" t="s">
        <v>8373</v>
      </c>
      <c r="J58" t="s">
        <v>8372</v>
      </c>
      <c r="K58" t="s">
        <v>8371</v>
      </c>
      <c r="L58" t="s">
        <v>8370</v>
      </c>
      <c r="M58" t="s">
        <v>81</v>
      </c>
      <c r="N58">
        <v>3</v>
      </c>
      <c r="O58" t="s">
        <v>8369</v>
      </c>
      <c r="P58" t="s">
        <v>8368</v>
      </c>
      <c r="Q58" t="s">
        <v>8367</v>
      </c>
      <c r="R58" s="7">
        <v>36495</v>
      </c>
      <c r="S58" s="8">
        <f t="shared" si="0"/>
        <v>1999</v>
      </c>
      <c r="T58" s="8">
        <v>1999</v>
      </c>
      <c r="U58" s="8">
        <f t="shared" si="1"/>
        <v>23</v>
      </c>
      <c r="V58" s="7">
        <v>1999</v>
      </c>
      <c r="W58" t="s">
        <v>8366</v>
      </c>
      <c r="X58" s="2" t="s">
        <v>0</v>
      </c>
      <c r="Y58" s="6" t="e">
        <f t="shared" si="2"/>
        <v>#VALUE!</v>
      </c>
      <c r="AA58">
        <v>15167399</v>
      </c>
      <c r="AB58">
        <v>4700152267</v>
      </c>
      <c r="AD58" t="s">
        <v>2</v>
      </c>
      <c r="AE58">
        <v>1</v>
      </c>
      <c r="AF58">
        <v>4</v>
      </c>
      <c r="AH58" t="s">
        <v>8365</v>
      </c>
      <c r="AI58" t="s">
        <v>8364</v>
      </c>
      <c r="AJ58" t="s">
        <v>8363</v>
      </c>
      <c r="AK58" t="s">
        <v>8362</v>
      </c>
      <c r="AL58">
        <v>6</v>
      </c>
      <c r="AM58" s="5">
        <f t="shared" si="3"/>
        <v>0.2608695652173913</v>
      </c>
      <c r="AN58" s="4">
        <f t="shared" si="4"/>
        <v>3.9510725515697282E-4</v>
      </c>
      <c r="AO58" s="3"/>
      <c r="AP58">
        <v>0</v>
      </c>
      <c r="AR58" t="s">
        <v>1</v>
      </c>
      <c r="AT58" s="2" t="s">
        <v>0</v>
      </c>
      <c r="AU58" s="1" t="e">
        <f t="shared" si="5"/>
        <v>#VALUE!</v>
      </c>
      <c r="AV58" s="1" t="e">
        <f t="shared" si="6"/>
        <v>#VALUE!</v>
      </c>
      <c r="AW58" s="1" t="e">
        <f t="shared" si="7"/>
        <v>#VALUE!</v>
      </c>
    </row>
    <row r="59" spans="1:49" x14ac:dyDescent="0.2">
      <c r="A59">
        <v>57</v>
      </c>
      <c r="B59" t="s">
        <v>8361</v>
      </c>
      <c r="F59" t="s">
        <v>8360</v>
      </c>
      <c r="G59" t="s">
        <v>6</v>
      </c>
      <c r="H59" t="s">
        <v>5</v>
      </c>
      <c r="I59" t="s">
        <v>42</v>
      </c>
      <c r="J59" t="s">
        <v>8359</v>
      </c>
      <c r="K59" t="s">
        <v>8358</v>
      </c>
      <c r="L59" t="s">
        <v>41</v>
      </c>
      <c r="M59" t="s">
        <v>40</v>
      </c>
      <c r="N59">
        <v>6</v>
      </c>
      <c r="O59" t="s">
        <v>39</v>
      </c>
      <c r="P59" t="s">
        <v>38</v>
      </c>
      <c r="Q59" t="s">
        <v>8357</v>
      </c>
      <c r="R59" s="7">
        <v>36495</v>
      </c>
      <c r="S59" s="8">
        <f t="shared" si="0"/>
        <v>1999</v>
      </c>
      <c r="T59" s="8">
        <v>1999</v>
      </c>
      <c r="U59" s="8">
        <f t="shared" si="1"/>
        <v>23</v>
      </c>
      <c r="V59" s="7">
        <v>1999</v>
      </c>
      <c r="W59" t="s">
        <v>101</v>
      </c>
      <c r="X59" s="2">
        <v>1.276</v>
      </c>
      <c r="Y59" s="6">
        <f t="shared" si="2"/>
        <v>3.4062091241557887E-2</v>
      </c>
      <c r="AA59">
        <v>214922</v>
      </c>
      <c r="AB59">
        <v>75087</v>
      </c>
      <c r="AD59" t="s">
        <v>2</v>
      </c>
      <c r="AE59">
        <v>38</v>
      </c>
      <c r="AF59" s="9">
        <v>0.16666666666666666</v>
      </c>
      <c r="AH59" t="s">
        <v>8356</v>
      </c>
      <c r="AI59" t="s">
        <v>8355</v>
      </c>
      <c r="AJ59" t="s">
        <v>36</v>
      </c>
      <c r="AK59" t="s">
        <v>8354</v>
      </c>
      <c r="AL59">
        <v>3</v>
      </c>
      <c r="AM59" s="5">
        <f t="shared" si="3"/>
        <v>0.13043478260869565</v>
      </c>
      <c r="AN59" s="4">
        <f t="shared" si="4"/>
        <v>1.9755362757848641E-4</v>
      </c>
      <c r="AO59" s="3"/>
      <c r="AP59">
        <v>0</v>
      </c>
      <c r="AR59" t="s">
        <v>1</v>
      </c>
      <c r="AT59" s="2" t="s">
        <v>0</v>
      </c>
      <c r="AU59" s="1">
        <f t="shared" si="5"/>
        <v>2.3902729957364066</v>
      </c>
      <c r="AV59" s="1">
        <f t="shared" si="6"/>
        <v>1.7129822434568187</v>
      </c>
      <c r="AW59" s="1">
        <f t="shared" si="7"/>
        <v>1.0356914911772306</v>
      </c>
    </row>
    <row r="60" spans="1:49" x14ac:dyDescent="0.2">
      <c r="A60">
        <v>58</v>
      </c>
      <c r="B60" t="s">
        <v>8353</v>
      </c>
      <c r="F60" t="s">
        <v>8352</v>
      </c>
      <c r="G60" t="s">
        <v>6</v>
      </c>
      <c r="H60" t="s">
        <v>5</v>
      </c>
      <c r="I60" t="s">
        <v>8351</v>
      </c>
      <c r="J60">
        <v>60026638</v>
      </c>
      <c r="K60" t="s">
        <v>806</v>
      </c>
      <c r="L60" t="s">
        <v>486</v>
      </c>
      <c r="M60" t="s">
        <v>485</v>
      </c>
      <c r="N60">
        <v>1</v>
      </c>
      <c r="O60" t="s">
        <v>8350</v>
      </c>
      <c r="P60">
        <v>7004253065</v>
      </c>
      <c r="Q60">
        <v>60026638</v>
      </c>
      <c r="R60" s="7">
        <v>36495</v>
      </c>
      <c r="S60" s="8">
        <f t="shared" si="0"/>
        <v>1999</v>
      </c>
      <c r="T60" s="8">
        <v>1999</v>
      </c>
      <c r="U60" s="8">
        <f t="shared" si="1"/>
        <v>23</v>
      </c>
      <c r="V60" s="7">
        <v>1999</v>
      </c>
      <c r="W60" t="s">
        <v>8349</v>
      </c>
      <c r="X60" s="2" t="s">
        <v>0</v>
      </c>
      <c r="Y60" s="6" t="e">
        <f t="shared" si="2"/>
        <v>#VALUE!</v>
      </c>
      <c r="AA60">
        <v>16845</v>
      </c>
      <c r="AB60">
        <v>18672</v>
      </c>
      <c r="AD60" t="s">
        <v>2</v>
      </c>
      <c r="AF60">
        <v>97</v>
      </c>
      <c r="AI60" t="s">
        <v>8348</v>
      </c>
      <c r="AJ60" t="s">
        <v>8347</v>
      </c>
      <c r="AK60" t="s">
        <v>8346</v>
      </c>
      <c r="AL60">
        <v>0</v>
      </c>
      <c r="AM60" s="5">
        <f t="shared" si="3"/>
        <v>0</v>
      </c>
      <c r="AN60" s="4">
        <f t="shared" si="4"/>
        <v>0</v>
      </c>
      <c r="AO60" s="3"/>
      <c r="AP60">
        <v>0</v>
      </c>
      <c r="AR60" t="s">
        <v>1</v>
      </c>
      <c r="AT60" s="2" t="s">
        <v>0</v>
      </c>
      <c r="AU60" s="1" t="e">
        <f t="shared" si="5"/>
        <v>#VALUE!</v>
      </c>
      <c r="AV60" s="1" t="e">
        <f t="shared" si="6"/>
        <v>#VALUE!</v>
      </c>
      <c r="AW60" s="1" t="e">
        <f t="shared" si="7"/>
        <v>#VALUE!</v>
      </c>
    </row>
    <row r="61" spans="1:49" x14ac:dyDescent="0.2">
      <c r="A61">
        <v>59</v>
      </c>
      <c r="B61" t="s">
        <v>8345</v>
      </c>
      <c r="C61" t="s">
        <v>8344</v>
      </c>
      <c r="F61" t="s">
        <v>8343</v>
      </c>
      <c r="G61" t="s">
        <v>6</v>
      </c>
      <c r="H61" t="s">
        <v>5</v>
      </c>
      <c r="I61" t="s">
        <v>808</v>
      </c>
      <c r="J61" t="s">
        <v>8342</v>
      </c>
      <c r="K61" t="s">
        <v>8341</v>
      </c>
      <c r="L61" t="s">
        <v>8340</v>
      </c>
      <c r="M61" t="s">
        <v>203</v>
      </c>
      <c r="N61">
        <v>4</v>
      </c>
      <c r="O61" t="s">
        <v>8339</v>
      </c>
      <c r="P61" t="s">
        <v>8338</v>
      </c>
      <c r="Q61" t="s">
        <v>8337</v>
      </c>
      <c r="R61" s="7">
        <v>36495</v>
      </c>
      <c r="S61" s="8">
        <f t="shared" si="0"/>
        <v>1999</v>
      </c>
      <c r="T61" s="8">
        <v>1999</v>
      </c>
      <c r="U61" s="8">
        <f t="shared" si="1"/>
        <v>23</v>
      </c>
      <c r="V61" s="7">
        <v>36495</v>
      </c>
      <c r="W61" t="s">
        <v>769</v>
      </c>
      <c r="X61" s="2">
        <v>0.69899999999999995</v>
      </c>
      <c r="Y61" s="6">
        <f t="shared" si="2"/>
        <v>1.8659405782013295E-2</v>
      </c>
      <c r="AA61">
        <v>218979</v>
      </c>
      <c r="AB61">
        <v>28132</v>
      </c>
      <c r="AD61" t="s">
        <v>2</v>
      </c>
      <c r="AE61">
        <v>86</v>
      </c>
      <c r="AF61">
        <v>11</v>
      </c>
      <c r="AH61" t="s">
        <v>8336</v>
      </c>
      <c r="AI61" t="s">
        <v>8335</v>
      </c>
      <c r="AK61" t="s">
        <v>8334</v>
      </c>
      <c r="AL61">
        <v>1</v>
      </c>
      <c r="AM61" s="5">
        <f t="shared" si="3"/>
        <v>4.3478260869565216E-2</v>
      </c>
      <c r="AN61" s="4">
        <f t="shared" si="4"/>
        <v>6.5851209192828807E-5</v>
      </c>
      <c r="AO61" s="3"/>
      <c r="AP61">
        <v>0</v>
      </c>
      <c r="AR61" t="s">
        <v>1</v>
      </c>
      <c r="AT61" s="2">
        <v>2.5459999999999998</v>
      </c>
      <c r="AU61" s="1">
        <f t="shared" si="5"/>
        <v>1.3081339410167152</v>
      </c>
      <c r="AV61" s="1">
        <f t="shared" si="6"/>
        <v>0.93626284956030614</v>
      </c>
      <c r="AW61" s="1">
        <f t="shared" si="7"/>
        <v>0.56439175810389675</v>
      </c>
    </row>
    <row r="62" spans="1:49" x14ac:dyDescent="0.2">
      <c r="A62">
        <v>60</v>
      </c>
      <c r="B62" t="s">
        <v>8333</v>
      </c>
      <c r="F62" t="s">
        <v>8332</v>
      </c>
      <c r="G62" t="s">
        <v>6</v>
      </c>
      <c r="H62" t="s">
        <v>5</v>
      </c>
      <c r="I62" t="s">
        <v>8331</v>
      </c>
      <c r="J62">
        <v>60012729</v>
      </c>
      <c r="K62" t="s">
        <v>6608</v>
      </c>
      <c r="L62" t="s">
        <v>6607</v>
      </c>
      <c r="M62" t="s">
        <v>590</v>
      </c>
      <c r="N62">
        <v>1</v>
      </c>
      <c r="O62" t="s">
        <v>8330</v>
      </c>
      <c r="P62">
        <v>10340529300</v>
      </c>
      <c r="Q62">
        <v>60012729</v>
      </c>
      <c r="R62" s="7">
        <v>36495</v>
      </c>
      <c r="S62" s="8">
        <f t="shared" si="0"/>
        <v>1999</v>
      </c>
      <c r="T62" s="8">
        <v>1999</v>
      </c>
      <c r="U62" s="8">
        <f t="shared" si="1"/>
        <v>23</v>
      </c>
      <c r="V62" s="7">
        <v>1999</v>
      </c>
      <c r="W62" t="s">
        <v>8322</v>
      </c>
      <c r="X62" s="2" t="s">
        <v>0</v>
      </c>
      <c r="Y62" s="6" t="e">
        <f t="shared" si="2"/>
        <v>#VALUE!</v>
      </c>
      <c r="AA62">
        <v>1007386</v>
      </c>
      <c r="AB62">
        <v>19789</v>
      </c>
      <c r="AD62" t="s">
        <v>2</v>
      </c>
      <c r="AE62">
        <v>21</v>
      </c>
      <c r="AF62" t="s">
        <v>8321</v>
      </c>
      <c r="AH62" t="s">
        <v>8329</v>
      </c>
      <c r="AI62" t="s">
        <v>8328</v>
      </c>
      <c r="AK62" t="s">
        <v>8327</v>
      </c>
      <c r="AL62">
        <v>0</v>
      </c>
      <c r="AM62" s="5">
        <f t="shared" si="3"/>
        <v>0</v>
      </c>
      <c r="AN62" s="4">
        <f t="shared" si="4"/>
        <v>0</v>
      </c>
      <c r="AO62" s="3"/>
      <c r="AP62">
        <v>0</v>
      </c>
      <c r="AR62" t="s">
        <v>1</v>
      </c>
      <c r="AT62" s="2" t="s">
        <v>0</v>
      </c>
      <c r="AU62" s="1" t="e">
        <f t="shared" si="5"/>
        <v>#VALUE!</v>
      </c>
      <c r="AV62" s="1" t="e">
        <f t="shared" si="6"/>
        <v>#VALUE!</v>
      </c>
      <c r="AW62" s="1" t="e">
        <f t="shared" si="7"/>
        <v>#VALUE!</v>
      </c>
    </row>
    <row r="63" spans="1:49" x14ac:dyDescent="0.2">
      <c r="A63">
        <v>61</v>
      </c>
      <c r="B63" t="s">
        <v>8326</v>
      </c>
      <c r="F63" t="s">
        <v>8325</v>
      </c>
      <c r="G63" t="s">
        <v>6</v>
      </c>
      <c r="H63" t="s">
        <v>5</v>
      </c>
      <c r="I63" t="s">
        <v>8324</v>
      </c>
      <c r="J63">
        <v>60009037</v>
      </c>
      <c r="K63" t="s">
        <v>274</v>
      </c>
      <c r="L63" t="s">
        <v>107</v>
      </c>
      <c r="M63" t="s">
        <v>3</v>
      </c>
      <c r="N63">
        <v>1</v>
      </c>
      <c r="O63" t="s">
        <v>8323</v>
      </c>
      <c r="P63">
        <v>6506206470</v>
      </c>
      <c r="Q63">
        <v>60009037</v>
      </c>
      <c r="R63" s="7">
        <v>36495</v>
      </c>
      <c r="S63" s="8">
        <f t="shared" si="0"/>
        <v>1999</v>
      </c>
      <c r="T63" s="8">
        <v>1999</v>
      </c>
      <c r="U63" s="8">
        <f t="shared" si="1"/>
        <v>23</v>
      </c>
      <c r="V63" s="7">
        <v>1999</v>
      </c>
      <c r="W63" t="s">
        <v>8322</v>
      </c>
      <c r="X63" s="2" t="s">
        <v>0</v>
      </c>
      <c r="Y63" s="6" t="e">
        <f t="shared" si="2"/>
        <v>#VALUE!</v>
      </c>
      <c r="AA63">
        <v>1007386</v>
      </c>
      <c r="AB63">
        <v>19789</v>
      </c>
      <c r="AD63" t="s">
        <v>2</v>
      </c>
      <c r="AE63">
        <v>21</v>
      </c>
      <c r="AF63" t="s">
        <v>8321</v>
      </c>
      <c r="AH63" t="s">
        <v>6869</v>
      </c>
      <c r="AI63" t="s">
        <v>8320</v>
      </c>
      <c r="AJ63" t="s">
        <v>8319</v>
      </c>
      <c r="AK63" t="s">
        <v>8318</v>
      </c>
      <c r="AL63">
        <v>0</v>
      </c>
      <c r="AM63" s="5">
        <f t="shared" si="3"/>
        <v>0</v>
      </c>
      <c r="AN63" s="4">
        <f t="shared" si="4"/>
        <v>0</v>
      </c>
      <c r="AO63" s="3"/>
      <c r="AP63">
        <v>0</v>
      </c>
      <c r="AR63" t="s">
        <v>1</v>
      </c>
      <c r="AT63" s="2" t="s">
        <v>0</v>
      </c>
      <c r="AU63" s="1" t="e">
        <f t="shared" si="5"/>
        <v>#VALUE!</v>
      </c>
      <c r="AV63" s="1" t="e">
        <f t="shared" si="6"/>
        <v>#VALUE!</v>
      </c>
      <c r="AW63" s="1" t="e">
        <f t="shared" si="7"/>
        <v>#VALUE!</v>
      </c>
    </row>
    <row r="64" spans="1:49" x14ac:dyDescent="0.2">
      <c r="A64">
        <v>62</v>
      </c>
      <c r="B64" t="s">
        <v>8317</v>
      </c>
      <c r="F64" t="s">
        <v>8316</v>
      </c>
      <c r="G64" t="s">
        <v>6</v>
      </c>
      <c r="H64" t="s">
        <v>5</v>
      </c>
      <c r="I64" t="s">
        <v>8315</v>
      </c>
      <c r="J64">
        <v>60008673</v>
      </c>
      <c r="K64" t="s">
        <v>183</v>
      </c>
      <c r="L64" t="s">
        <v>182</v>
      </c>
      <c r="M64" t="s">
        <v>127</v>
      </c>
      <c r="N64">
        <v>3</v>
      </c>
      <c r="O64" t="s">
        <v>8314</v>
      </c>
      <c r="P64" t="s">
        <v>8313</v>
      </c>
      <c r="Q64" t="s">
        <v>181</v>
      </c>
      <c r="R64" s="7">
        <v>36495</v>
      </c>
      <c r="S64" s="8">
        <f t="shared" si="0"/>
        <v>1999</v>
      </c>
      <c r="T64" s="8">
        <v>1999</v>
      </c>
      <c r="U64" s="8">
        <f t="shared" si="1"/>
        <v>23</v>
      </c>
      <c r="V64" s="7">
        <v>1999</v>
      </c>
      <c r="W64" t="s">
        <v>8294</v>
      </c>
      <c r="X64" s="2">
        <v>0.32500000000000001</v>
      </c>
      <c r="Y64" s="6">
        <f t="shared" si="2"/>
        <v>8.6756893836256385E-3</v>
      </c>
      <c r="AA64">
        <v>204412</v>
      </c>
      <c r="AB64">
        <v>15467</v>
      </c>
      <c r="AD64" t="s">
        <v>2</v>
      </c>
      <c r="AE64">
        <v>42</v>
      </c>
      <c r="AF64">
        <v>3</v>
      </c>
      <c r="AH64" t="s">
        <v>8312</v>
      </c>
      <c r="AI64" t="s">
        <v>8311</v>
      </c>
      <c r="AK64" t="s">
        <v>8310</v>
      </c>
      <c r="AL64">
        <v>0</v>
      </c>
      <c r="AM64" s="5">
        <f t="shared" si="3"/>
        <v>0</v>
      </c>
      <c r="AN64" s="4">
        <f t="shared" si="4"/>
        <v>0</v>
      </c>
      <c r="AO64" s="3"/>
      <c r="AP64">
        <v>0</v>
      </c>
      <c r="AR64" t="s">
        <v>1</v>
      </c>
      <c r="AT64" s="2" t="s">
        <v>0</v>
      </c>
      <c r="AU64" s="1">
        <f t="shared" si="5"/>
        <v>0.60729825685379468</v>
      </c>
      <c r="AV64" s="1">
        <f t="shared" si="6"/>
        <v>0.43378446918128194</v>
      </c>
      <c r="AW64" s="1">
        <f t="shared" si="7"/>
        <v>0.26027068150876914</v>
      </c>
    </row>
    <row r="65" spans="1:49" x14ac:dyDescent="0.2">
      <c r="A65">
        <v>63</v>
      </c>
      <c r="B65" t="s">
        <v>8309</v>
      </c>
      <c r="F65" t="s">
        <v>8308</v>
      </c>
      <c r="G65" t="s">
        <v>6</v>
      </c>
      <c r="H65" t="s">
        <v>5</v>
      </c>
      <c r="I65" t="s">
        <v>8307</v>
      </c>
      <c r="J65">
        <v>60023211</v>
      </c>
      <c r="K65" t="s">
        <v>8306</v>
      </c>
      <c r="L65" t="s">
        <v>2707</v>
      </c>
      <c r="M65" t="s">
        <v>127</v>
      </c>
      <c r="N65">
        <v>5</v>
      </c>
      <c r="O65" t="s">
        <v>8305</v>
      </c>
      <c r="P65" t="s">
        <v>8304</v>
      </c>
      <c r="Q65" t="s">
        <v>8303</v>
      </c>
      <c r="R65" s="7">
        <v>36495</v>
      </c>
      <c r="S65" s="8">
        <f t="shared" si="0"/>
        <v>1999</v>
      </c>
      <c r="T65" s="8">
        <v>1999</v>
      </c>
      <c r="U65" s="8">
        <f t="shared" si="1"/>
        <v>23</v>
      </c>
      <c r="V65" s="7">
        <v>1999</v>
      </c>
      <c r="W65" t="s">
        <v>8294</v>
      </c>
      <c r="X65" s="2">
        <v>0.32500000000000001</v>
      </c>
      <c r="Y65" s="6">
        <f t="shared" si="2"/>
        <v>8.6756893836256385E-3</v>
      </c>
      <c r="AA65">
        <v>204412</v>
      </c>
      <c r="AB65">
        <v>15467</v>
      </c>
      <c r="AD65" t="s">
        <v>2</v>
      </c>
      <c r="AE65">
        <v>42</v>
      </c>
      <c r="AF65">
        <v>4</v>
      </c>
      <c r="AH65" t="s">
        <v>8302</v>
      </c>
      <c r="AI65" t="s">
        <v>8301</v>
      </c>
      <c r="AK65" t="s">
        <v>8300</v>
      </c>
      <c r="AL65">
        <v>2</v>
      </c>
      <c r="AM65" s="5">
        <f t="shared" si="3"/>
        <v>8.6956521739130432E-2</v>
      </c>
      <c r="AN65" s="4">
        <f t="shared" si="4"/>
        <v>1.3170241838565761E-4</v>
      </c>
      <c r="AO65" s="3"/>
      <c r="AP65">
        <v>0</v>
      </c>
      <c r="AR65" t="s">
        <v>1</v>
      </c>
      <c r="AT65" s="2" t="s">
        <v>0</v>
      </c>
      <c r="AU65" s="1">
        <f t="shared" si="5"/>
        <v>0.61124932940536447</v>
      </c>
      <c r="AV65" s="1">
        <f t="shared" si="6"/>
        <v>0.44036959010056476</v>
      </c>
      <c r="AW65" s="1">
        <f t="shared" si="7"/>
        <v>0.26948985079576521</v>
      </c>
    </row>
    <row r="66" spans="1:49" x14ac:dyDescent="0.2">
      <c r="A66">
        <v>64</v>
      </c>
      <c r="B66" t="s">
        <v>8299</v>
      </c>
      <c r="F66" t="s">
        <v>8298</v>
      </c>
      <c r="G66" t="s">
        <v>6</v>
      </c>
      <c r="H66" t="s">
        <v>5</v>
      </c>
      <c r="I66" t="s">
        <v>8297</v>
      </c>
      <c r="J66">
        <v>60021331</v>
      </c>
      <c r="K66" t="s">
        <v>8296</v>
      </c>
      <c r="L66" t="s">
        <v>471</v>
      </c>
      <c r="M66" t="s">
        <v>127</v>
      </c>
      <c r="N66">
        <v>1</v>
      </c>
      <c r="O66" t="s">
        <v>8295</v>
      </c>
      <c r="P66">
        <v>55951130500</v>
      </c>
      <c r="Q66">
        <v>60021331</v>
      </c>
      <c r="R66" s="7">
        <v>36495</v>
      </c>
      <c r="S66" s="8">
        <f t="shared" ref="S66:S129" si="8">YEAR(R66)</f>
        <v>1999</v>
      </c>
      <c r="T66" s="8">
        <v>1999</v>
      </c>
      <c r="U66" s="8">
        <f t="shared" ref="U66:U129" si="9">2022-T66</f>
        <v>23</v>
      </c>
      <c r="V66" s="7">
        <v>1999</v>
      </c>
      <c r="W66" t="s">
        <v>8294</v>
      </c>
      <c r="X66" s="2">
        <v>0.32500000000000001</v>
      </c>
      <c r="Y66" s="6">
        <f t="shared" ref="Y66:Y129" si="10">(X66-$Z$3)/($Z$2-$Z$3)</f>
        <v>8.6756893836256385E-3</v>
      </c>
      <c r="AA66">
        <v>204412</v>
      </c>
      <c r="AB66">
        <v>15467</v>
      </c>
      <c r="AD66" t="s">
        <v>2</v>
      </c>
      <c r="AE66">
        <v>42</v>
      </c>
      <c r="AF66">
        <v>1</v>
      </c>
      <c r="AH66" t="s">
        <v>4889</v>
      </c>
      <c r="AI66" t="s">
        <v>8293</v>
      </c>
      <c r="AK66" t="s">
        <v>8292</v>
      </c>
      <c r="AL66">
        <v>0</v>
      </c>
      <c r="AM66" s="5">
        <f t="shared" ref="AM66:AM129" si="11">AL66/U66</f>
        <v>0</v>
      </c>
      <c r="AN66" s="4">
        <f t="shared" ref="AN66:AN129" si="12">(AM66-$AO$3)/($AO$2-$AO$3)</f>
        <v>0</v>
      </c>
      <c r="AO66" s="3"/>
      <c r="AP66">
        <v>0</v>
      </c>
      <c r="AR66" t="s">
        <v>1</v>
      </c>
      <c r="AT66" s="2" t="s">
        <v>0</v>
      </c>
      <c r="AU66" s="1">
        <f t="shared" ref="AU66:AU129" si="13">(Y66*0.7+AN66*0.3)*100</f>
        <v>0.60729825685379468</v>
      </c>
      <c r="AV66" s="1">
        <f t="shared" ref="AV66:AV129" si="14">(Y66*0.5+AN66*0.5)*100</f>
        <v>0.43378446918128194</v>
      </c>
      <c r="AW66" s="1">
        <f t="shared" ref="AW66:AW129" si="15">(Y66*0.3+AN66*0.7)*100</f>
        <v>0.26027068150876914</v>
      </c>
    </row>
    <row r="67" spans="1:49" x14ac:dyDescent="0.2">
      <c r="A67">
        <v>65</v>
      </c>
      <c r="B67" t="s">
        <v>8291</v>
      </c>
      <c r="F67" t="s">
        <v>8290</v>
      </c>
      <c r="G67" t="s">
        <v>6</v>
      </c>
      <c r="H67" t="s">
        <v>5</v>
      </c>
      <c r="I67" t="s">
        <v>8289</v>
      </c>
      <c r="J67">
        <v>60075941</v>
      </c>
      <c r="K67" t="s">
        <v>8288</v>
      </c>
      <c r="L67" t="s">
        <v>8287</v>
      </c>
      <c r="M67" t="s">
        <v>127</v>
      </c>
      <c r="N67">
        <v>3</v>
      </c>
      <c r="O67" t="s">
        <v>8286</v>
      </c>
      <c r="P67" t="s">
        <v>8285</v>
      </c>
      <c r="Q67" t="s">
        <v>8284</v>
      </c>
      <c r="R67" s="7">
        <v>36495</v>
      </c>
      <c r="S67" s="8">
        <f t="shared" si="8"/>
        <v>1999</v>
      </c>
      <c r="T67" s="8">
        <v>1999</v>
      </c>
      <c r="U67" s="8">
        <f t="shared" si="9"/>
        <v>23</v>
      </c>
      <c r="V67" s="7">
        <v>1999</v>
      </c>
      <c r="W67" t="s">
        <v>8275</v>
      </c>
      <c r="X67" s="2">
        <v>0.34399999999999997</v>
      </c>
      <c r="Y67" s="6">
        <f t="shared" si="10"/>
        <v>9.1828835322068283E-3</v>
      </c>
      <c r="AA67">
        <v>167932</v>
      </c>
      <c r="AB67">
        <v>27943</v>
      </c>
      <c r="AD67" t="s">
        <v>2</v>
      </c>
      <c r="AE67">
        <v>39</v>
      </c>
      <c r="AF67">
        <v>4</v>
      </c>
      <c r="AH67" t="s">
        <v>8283</v>
      </c>
      <c r="AI67" t="s">
        <v>8282</v>
      </c>
      <c r="AK67" t="s">
        <v>8281</v>
      </c>
      <c r="AL67">
        <v>0</v>
      </c>
      <c r="AM67" s="5">
        <f t="shared" si="11"/>
        <v>0</v>
      </c>
      <c r="AN67" s="4">
        <f t="shared" si="12"/>
        <v>0</v>
      </c>
      <c r="AO67" s="3"/>
      <c r="AP67">
        <v>0</v>
      </c>
      <c r="AR67" t="s">
        <v>1</v>
      </c>
      <c r="AT67" s="2">
        <v>0.70099999999999996</v>
      </c>
      <c r="AU67" s="1">
        <f t="shared" si="13"/>
        <v>0.64280184725447786</v>
      </c>
      <c r="AV67" s="1">
        <f t="shared" si="14"/>
        <v>0.4591441766103414</v>
      </c>
      <c r="AW67" s="1">
        <f t="shared" si="15"/>
        <v>0.27548650596620483</v>
      </c>
    </row>
    <row r="68" spans="1:49" x14ac:dyDescent="0.2">
      <c r="A68">
        <v>66</v>
      </c>
      <c r="B68" t="s">
        <v>8280</v>
      </c>
      <c r="F68" t="s">
        <v>8279</v>
      </c>
      <c r="G68" t="s">
        <v>6</v>
      </c>
      <c r="H68" t="s">
        <v>5</v>
      </c>
      <c r="I68" t="s">
        <v>8278</v>
      </c>
      <c r="J68">
        <v>60068504</v>
      </c>
      <c r="K68" t="s">
        <v>619</v>
      </c>
      <c r="L68" t="s">
        <v>496</v>
      </c>
      <c r="M68" t="s">
        <v>495</v>
      </c>
      <c r="N68">
        <v>2</v>
      </c>
      <c r="O68" t="s">
        <v>8277</v>
      </c>
      <c r="P68" t="s">
        <v>8276</v>
      </c>
      <c r="Q68" t="s">
        <v>618</v>
      </c>
      <c r="R68" s="7">
        <v>36495</v>
      </c>
      <c r="S68" s="8">
        <f t="shared" si="8"/>
        <v>1999</v>
      </c>
      <c r="T68" s="8">
        <v>1999</v>
      </c>
      <c r="U68" s="8">
        <f t="shared" si="9"/>
        <v>23</v>
      </c>
      <c r="V68" s="7">
        <v>1999</v>
      </c>
      <c r="W68" t="s">
        <v>8275</v>
      </c>
      <c r="X68" s="2">
        <v>0.34399999999999997</v>
      </c>
      <c r="Y68" s="6">
        <f t="shared" si="10"/>
        <v>9.1828835322068283E-3</v>
      </c>
      <c r="AA68">
        <v>167932</v>
      </c>
      <c r="AB68">
        <v>27943</v>
      </c>
      <c r="AD68" t="s">
        <v>2</v>
      </c>
      <c r="AE68">
        <v>39</v>
      </c>
      <c r="AF68">
        <v>4</v>
      </c>
      <c r="AH68" t="s">
        <v>8274</v>
      </c>
      <c r="AI68" t="s">
        <v>8273</v>
      </c>
      <c r="AK68" t="s">
        <v>8272</v>
      </c>
      <c r="AL68">
        <v>0</v>
      </c>
      <c r="AM68" s="5">
        <f t="shared" si="11"/>
        <v>0</v>
      </c>
      <c r="AN68" s="4">
        <f t="shared" si="12"/>
        <v>0</v>
      </c>
      <c r="AO68" s="3"/>
      <c r="AP68">
        <v>0</v>
      </c>
      <c r="AR68" t="s">
        <v>1</v>
      </c>
      <c r="AT68" s="2">
        <v>0.70099999999999996</v>
      </c>
      <c r="AU68" s="1">
        <f t="shared" si="13"/>
        <v>0.64280184725447786</v>
      </c>
      <c r="AV68" s="1">
        <f t="shared" si="14"/>
        <v>0.4591441766103414</v>
      </c>
      <c r="AW68" s="1">
        <f t="shared" si="15"/>
        <v>0.27548650596620483</v>
      </c>
    </row>
    <row r="69" spans="1:49" x14ac:dyDescent="0.2">
      <c r="A69">
        <v>67</v>
      </c>
      <c r="B69" t="s">
        <v>8271</v>
      </c>
      <c r="F69" t="s">
        <v>8270</v>
      </c>
      <c r="G69" t="s">
        <v>6</v>
      </c>
      <c r="H69" t="s">
        <v>5</v>
      </c>
      <c r="I69" t="s">
        <v>8254</v>
      </c>
      <c r="N69">
        <v>3</v>
      </c>
      <c r="O69" t="s">
        <v>8269</v>
      </c>
      <c r="P69" t="s">
        <v>8268</v>
      </c>
      <c r="Q69" t="s">
        <v>503</v>
      </c>
      <c r="R69" s="7">
        <v>36495</v>
      </c>
      <c r="S69" s="8">
        <f t="shared" si="8"/>
        <v>1999</v>
      </c>
      <c r="T69" s="8">
        <v>1999</v>
      </c>
      <c r="U69" s="8">
        <f t="shared" si="9"/>
        <v>23</v>
      </c>
      <c r="V69" s="7">
        <v>36495</v>
      </c>
      <c r="W69" t="s">
        <v>617</v>
      </c>
      <c r="X69" s="2">
        <v>0.29499999999999998</v>
      </c>
      <c r="Y69" s="6">
        <f t="shared" si="10"/>
        <v>7.8748565174448087E-3</v>
      </c>
      <c r="AA69">
        <v>10642269</v>
      </c>
      <c r="AB69">
        <v>19554</v>
      </c>
      <c r="AD69" t="s">
        <v>2</v>
      </c>
      <c r="AE69">
        <v>44</v>
      </c>
      <c r="AF69">
        <v>12</v>
      </c>
      <c r="AH69" t="s">
        <v>8267</v>
      </c>
      <c r="AI69" t="s">
        <v>8266</v>
      </c>
      <c r="AK69" t="s">
        <v>8265</v>
      </c>
      <c r="AL69">
        <v>0</v>
      </c>
      <c r="AM69" s="5">
        <f t="shared" si="11"/>
        <v>0</v>
      </c>
      <c r="AN69" s="4">
        <f t="shared" si="12"/>
        <v>0</v>
      </c>
      <c r="AO69" s="3"/>
      <c r="AP69">
        <v>0</v>
      </c>
      <c r="AR69" t="s">
        <v>1</v>
      </c>
      <c r="AT69" s="2" t="s">
        <v>0</v>
      </c>
      <c r="AU69" s="1">
        <f t="shared" si="13"/>
        <v>0.55123995622113653</v>
      </c>
      <c r="AV69" s="1">
        <f t="shared" si="14"/>
        <v>0.39374282587224041</v>
      </c>
      <c r="AW69" s="1">
        <f t="shared" si="15"/>
        <v>0.23624569552334423</v>
      </c>
    </row>
    <row r="70" spans="1:49" x14ac:dyDescent="0.2">
      <c r="A70">
        <v>68</v>
      </c>
      <c r="B70" t="s">
        <v>8264</v>
      </c>
      <c r="F70" t="s">
        <v>8263</v>
      </c>
      <c r="G70" t="s">
        <v>6</v>
      </c>
      <c r="H70" t="s">
        <v>5</v>
      </c>
      <c r="I70" t="s">
        <v>8262</v>
      </c>
      <c r="J70">
        <v>100630749</v>
      </c>
      <c r="K70" t="s">
        <v>8261</v>
      </c>
      <c r="L70" t="s">
        <v>471</v>
      </c>
      <c r="M70" t="s">
        <v>127</v>
      </c>
      <c r="N70">
        <v>1</v>
      </c>
      <c r="O70" t="s">
        <v>8260</v>
      </c>
      <c r="P70">
        <v>7801355022</v>
      </c>
      <c r="Q70">
        <v>100630749</v>
      </c>
      <c r="R70" s="7">
        <v>36495</v>
      </c>
      <c r="S70" s="8">
        <f t="shared" si="8"/>
        <v>1999</v>
      </c>
      <c r="T70" s="8">
        <v>1999</v>
      </c>
      <c r="U70" s="8">
        <f t="shared" si="9"/>
        <v>23</v>
      </c>
      <c r="V70" s="7">
        <v>36495</v>
      </c>
      <c r="W70" t="s">
        <v>617</v>
      </c>
      <c r="X70" s="2">
        <v>0.29499999999999998</v>
      </c>
      <c r="Y70" s="6">
        <f t="shared" si="10"/>
        <v>7.8748565174448087E-3</v>
      </c>
      <c r="AA70">
        <v>10642269</v>
      </c>
      <c r="AB70">
        <v>19554</v>
      </c>
      <c r="AD70" t="s">
        <v>2</v>
      </c>
      <c r="AE70">
        <v>44</v>
      </c>
      <c r="AF70">
        <v>12</v>
      </c>
      <c r="AH70" t="s">
        <v>8259</v>
      </c>
      <c r="AI70" t="s">
        <v>8258</v>
      </c>
      <c r="AK70" t="s">
        <v>8257</v>
      </c>
      <c r="AL70">
        <v>1</v>
      </c>
      <c r="AM70" s="5">
        <f t="shared" si="11"/>
        <v>4.3478260869565216E-2</v>
      </c>
      <c r="AN70" s="4">
        <f t="shared" si="12"/>
        <v>6.5851209192828807E-5</v>
      </c>
      <c r="AO70" s="3"/>
      <c r="AP70">
        <v>0</v>
      </c>
      <c r="AR70" t="s">
        <v>1</v>
      </c>
      <c r="AT70" s="2" t="s">
        <v>0</v>
      </c>
      <c r="AU70" s="1">
        <f t="shared" si="13"/>
        <v>0.55321549249692137</v>
      </c>
      <c r="AV70" s="1">
        <f t="shared" si="14"/>
        <v>0.39703538633188185</v>
      </c>
      <c r="AW70" s="1">
        <f t="shared" si="15"/>
        <v>0.24085528016684227</v>
      </c>
    </row>
    <row r="71" spans="1:49" x14ac:dyDescent="0.2">
      <c r="A71">
        <v>69</v>
      </c>
      <c r="B71" t="s">
        <v>8256</v>
      </c>
      <c r="F71" t="s">
        <v>8255</v>
      </c>
      <c r="G71" t="s">
        <v>6</v>
      </c>
      <c r="H71" t="s">
        <v>5</v>
      </c>
      <c r="I71" t="s">
        <v>8254</v>
      </c>
      <c r="N71">
        <v>3</v>
      </c>
      <c r="O71" t="s">
        <v>8253</v>
      </c>
      <c r="P71" t="s">
        <v>8252</v>
      </c>
      <c r="Q71" t="s">
        <v>503</v>
      </c>
      <c r="R71" s="7">
        <v>36495</v>
      </c>
      <c r="S71" s="8">
        <f t="shared" si="8"/>
        <v>1999</v>
      </c>
      <c r="T71" s="8">
        <v>1999</v>
      </c>
      <c r="U71" s="8">
        <f t="shared" si="9"/>
        <v>23</v>
      </c>
      <c r="V71" s="7">
        <v>36495</v>
      </c>
      <c r="W71" t="s">
        <v>617</v>
      </c>
      <c r="X71" s="2">
        <v>0.29499999999999998</v>
      </c>
      <c r="Y71" s="6">
        <f t="shared" si="10"/>
        <v>7.8748565174448087E-3</v>
      </c>
      <c r="AA71">
        <v>10642269</v>
      </c>
      <c r="AB71">
        <v>19554</v>
      </c>
      <c r="AD71" t="s">
        <v>2</v>
      </c>
      <c r="AE71">
        <v>44</v>
      </c>
      <c r="AF71">
        <v>12</v>
      </c>
      <c r="AH71" t="s">
        <v>8251</v>
      </c>
      <c r="AI71" t="s">
        <v>8250</v>
      </c>
      <c r="AK71" t="s">
        <v>8249</v>
      </c>
      <c r="AL71">
        <v>1</v>
      </c>
      <c r="AM71" s="5">
        <f t="shared" si="11"/>
        <v>4.3478260869565216E-2</v>
      </c>
      <c r="AN71" s="4">
        <f t="shared" si="12"/>
        <v>6.5851209192828807E-5</v>
      </c>
      <c r="AO71" s="3"/>
      <c r="AP71">
        <v>0</v>
      </c>
      <c r="AR71" t="s">
        <v>1</v>
      </c>
      <c r="AT71" s="2" t="s">
        <v>0</v>
      </c>
      <c r="AU71" s="1">
        <f t="shared" si="13"/>
        <v>0.55321549249692137</v>
      </c>
      <c r="AV71" s="1">
        <f t="shared" si="14"/>
        <v>0.39703538633188185</v>
      </c>
      <c r="AW71" s="1">
        <f t="shared" si="15"/>
        <v>0.24085528016684227</v>
      </c>
    </row>
    <row r="72" spans="1:49" x14ac:dyDescent="0.2">
      <c r="A72">
        <v>70</v>
      </c>
      <c r="B72" t="s">
        <v>8248</v>
      </c>
      <c r="F72" t="s">
        <v>8247</v>
      </c>
      <c r="G72" t="s">
        <v>6</v>
      </c>
      <c r="H72" t="s">
        <v>5</v>
      </c>
      <c r="I72" t="s">
        <v>8246</v>
      </c>
      <c r="J72">
        <v>60015438</v>
      </c>
      <c r="K72" t="s">
        <v>8245</v>
      </c>
      <c r="L72" t="s">
        <v>8244</v>
      </c>
      <c r="M72" t="s">
        <v>8243</v>
      </c>
      <c r="N72">
        <v>2</v>
      </c>
      <c r="O72" t="s">
        <v>8242</v>
      </c>
      <c r="P72" t="s">
        <v>8241</v>
      </c>
      <c r="Q72" t="s">
        <v>8240</v>
      </c>
      <c r="R72" s="7">
        <v>36495</v>
      </c>
      <c r="S72" s="8">
        <f t="shared" si="8"/>
        <v>1999</v>
      </c>
      <c r="T72" s="8">
        <v>1999</v>
      </c>
      <c r="U72" s="8">
        <f t="shared" si="9"/>
        <v>23</v>
      </c>
      <c r="V72" s="7">
        <v>1999</v>
      </c>
      <c r="W72" t="s">
        <v>8239</v>
      </c>
      <c r="X72" s="2">
        <v>0.30499999999999999</v>
      </c>
      <c r="Y72" s="6">
        <f t="shared" si="10"/>
        <v>8.141800806171752E-3</v>
      </c>
      <c r="AA72">
        <v>347744</v>
      </c>
      <c r="AB72">
        <v>13567</v>
      </c>
      <c r="AD72" t="s">
        <v>2</v>
      </c>
      <c r="AE72">
        <v>47</v>
      </c>
      <c r="AF72" t="s">
        <v>8238</v>
      </c>
      <c r="AH72" t="s">
        <v>8237</v>
      </c>
      <c r="AI72" t="s">
        <v>8236</v>
      </c>
      <c r="AJ72" t="s">
        <v>8235</v>
      </c>
      <c r="AK72" t="s">
        <v>8234</v>
      </c>
      <c r="AL72">
        <v>10</v>
      </c>
      <c r="AM72" s="5">
        <f t="shared" si="11"/>
        <v>0.43478260869565216</v>
      </c>
      <c r="AN72" s="4">
        <f t="shared" si="12"/>
        <v>6.5851209192828799E-4</v>
      </c>
      <c r="AO72" s="3"/>
      <c r="AP72">
        <v>0</v>
      </c>
      <c r="AR72" t="s">
        <v>1</v>
      </c>
      <c r="AT72" s="2">
        <v>0.72299999999999998</v>
      </c>
      <c r="AU72" s="1">
        <f t="shared" si="13"/>
        <v>0.58968141918987127</v>
      </c>
      <c r="AV72" s="1">
        <f t="shared" si="14"/>
        <v>0.440015644905002</v>
      </c>
      <c r="AW72" s="1">
        <f t="shared" si="15"/>
        <v>0.29034987062013268</v>
      </c>
    </row>
    <row r="73" spans="1:49" x14ac:dyDescent="0.2">
      <c r="A73">
        <v>71</v>
      </c>
      <c r="B73" t="s">
        <v>8233</v>
      </c>
      <c r="C73" t="s">
        <v>8232</v>
      </c>
      <c r="D73" t="s">
        <v>8231</v>
      </c>
      <c r="F73" t="s">
        <v>8230</v>
      </c>
      <c r="G73" t="s">
        <v>6</v>
      </c>
      <c r="H73" t="s">
        <v>5</v>
      </c>
      <c r="I73" t="s">
        <v>8229</v>
      </c>
      <c r="J73">
        <v>60021939</v>
      </c>
      <c r="K73" t="s">
        <v>8228</v>
      </c>
      <c r="L73" t="s">
        <v>8227</v>
      </c>
      <c r="M73" t="s">
        <v>3</v>
      </c>
      <c r="N73">
        <v>5</v>
      </c>
      <c r="O73" t="s">
        <v>8226</v>
      </c>
      <c r="P73" t="s">
        <v>8225</v>
      </c>
      <c r="Q73" t="s">
        <v>8224</v>
      </c>
      <c r="R73" s="7">
        <v>36495</v>
      </c>
      <c r="S73" s="8">
        <f t="shared" si="8"/>
        <v>1999</v>
      </c>
      <c r="T73" s="8">
        <v>1999</v>
      </c>
      <c r="U73" s="8">
        <f t="shared" si="9"/>
        <v>23</v>
      </c>
      <c r="V73" s="7">
        <v>1999</v>
      </c>
      <c r="W73" t="s">
        <v>174</v>
      </c>
      <c r="X73" s="2">
        <v>1.3720000000000001</v>
      </c>
      <c r="Y73" s="6">
        <f t="shared" si="10"/>
        <v>3.662475641333654E-2</v>
      </c>
      <c r="AA73">
        <v>189480</v>
      </c>
      <c r="AB73">
        <v>17366</v>
      </c>
      <c r="AD73" t="s">
        <v>2</v>
      </c>
      <c r="AE73">
        <v>47</v>
      </c>
      <c r="AF73">
        <v>11</v>
      </c>
      <c r="AH73" t="s">
        <v>8223</v>
      </c>
      <c r="AI73" t="s">
        <v>8222</v>
      </c>
      <c r="AJ73" t="s">
        <v>8221</v>
      </c>
      <c r="AK73" t="s">
        <v>8220</v>
      </c>
      <c r="AL73">
        <v>3266</v>
      </c>
      <c r="AM73" s="5">
        <f t="shared" si="11"/>
        <v>142</v>
      </c>
      <c r="AN73" s="4">
        <f t="shared" si="12"/>
        <v>0.21507004922377887</v>
      </c>
      <c r="AO73" s="3"/>
      <c r="AP73">
        <v>0</v>
      </c>
      <c r="AQ73" t="s">
        <v>160</v>
      </c>
      <c r="AR73" t="s">
        <v>8219</v>
      </c>
      <c r="AS73" t="s">
        <v>159</v>
      </c>
      <c r="AT73" s="2" t="s">
        <v>0</v>
      </c>
      <c r="AU73" s="1">
        <f t="shared" si="13"/>
        <v>9.0158344256469238</v>
      </c>
      <c r="AV73" s="1">
        <f t="shared" si="14"/>
        <v>12.584740281855773</v>
      </c>
      <c r="AW73" s="1">
        <f t="shared" si="15"/>
        <v>16.153646138064616</v>
      </c>
    </row>
    <row r="74" spans="1:49" x14ac:dyDescent="0.2">
      <c r="A74">
        <v>72</v>
      </c>
      <c r="B74" t="s">
        <v>8218</v>
      </c>
      <c r="F74" t="s">
        <v>8217</v>
      </c>
      <c r="G74" t="s">
        <v>6</v>
      </c>
      <c r="H74" t="s">
        <v>5</v>
      </c>
      <c r="I74" t="s">
        <v>8216</v>
      </c>
      <c r="J74">
        <v>100326559</v>
      </c>
      <c r="K74" t="s">
        <v>8215</v>
      </c>
      <c r="L74" t="s">
        <v>8214</v>
      </c>
      <c r="M74" t="s">
        <v>3</v>
      </c>
      <c r="N74">
        <v>6</v>
      </c>
      <c r="O74" t="s">
        <v>8213</v>
      </c>
      <c r="P74" t="s">
        <v>8212</v>
      </c>
      <c r="Q74" t="s">
        <v>8211</v>
      </c>
      <c r="R74" s="7">
        <v>36495</v>
      </c>
      <c r="S74" s="8">
        <f t="shared" si="8"/>
        <v>1999</v>
      </c>
      <c r="T74" s="8">
        <v>1999</v>
      </c>
      <c r="U74" s="8">
        <f t="shared" si="9"/>
        <v>23</v>
      </c>
      <c r="V74" s="7">
        <v>1999</v>
      </c>
      <c r="W74" t="s">
        <v>8210</v>
      </c>
      <c r="X74" s="2">
        <v>0.115</v>
      </c>
      <c r="Y74" s="6">
        <f t="shared" si="10"/>
        <v>3.069859320359841E-3</v>
      </c>
      <c r="AA74">
        <v>933651</v>
      </c>
      <c r="AB74">
        <v>14396</v>
      </c>
      <c r="AD74" t="s">
        <v>2</v>
      </c>
      <c r="AE74">
        <v>40</v>
      </c>
      <c r="AF74">
        <v>10</v>
      </c>
      <c r="AI74" t="s">
        <v>8209</v>
      </c>
      <c r="AK74" t="s">
        <v>8208</v>
      </c>
      <c r="AL74">
        <v>0</v>
      </c>
      <c r="AM74" s="5">
        <f t="shared" si="11"/>
        <v>0</v>
      </c>
      <c r="AN74" s="4">
        <f t="shared" si="12"/>
        <v>0</v>
      </c>
      <c r="AO74" s="3"/>
      <c r="AP74">
        <v>0</v>
      </c>
      <c r="AR74" t="s">
        <v>1</v>
      </c>
      <c r="AT74" s="2">
        <v>0.17499999999999999</v>
      </c>
      <c r="AU74" s="1">
        <f t="shared" si="13"/>
        <v>0.21489015242518883</v>
      </c>
      <c r="AV74" s="1">
        <f t="shared" si="14"/>
        <v>0.15349296601799206</v>
      </c>
      <c r="AW74" s="1">
        <f t="shared" si="15"/>
        <v>9.2095779610795223E-2</v>
      </c>
    </row>
    <row r="75" spans="1:49" x14ac:dyDescent="0.2">
      <c r="A75">
        <v>73</v>
      </c>
      <c r="B75" t="s">
        <v>8207</v>
      </c>
      <c r="F75" t="s">
        <v>8206</v>
      </c>
      <c r="G75" t="s">
        <v>6</v>
      </c>
      <c r="H75" t="s">
        <v>5</v>
      </c>
      <c r="I75" t="s">
        <v>8205</v>
      </c>
      <c r="J75">
        <v>60031135</v>
      </c>
      <c r="K75" t="s">
        <v>8204</v>
      </c>
      <c r="L75" t="s">
        <v>426</v>
      </c>
      <c r="M75" t="s">
        <v>425</v>
      </c>
      <c r="N75">
        <v>1</v>
      </c>
      <c r="O75" t="s">
        <v>8203</v>
      </c>
      <c r="P75">
        <v>56148838900</v>
      </c>
      <c r="Q75">
        <v>60031135</v>
      </c>
      <c r="R75" s="7">
        <v>36495</v>
      </c>
      <c r="S75" s="8">
        <f t="shared" si="8"/>
        <v>1999</v>
      </c>
      <c r="T75" s="8">
        <v>1999</v>
      </c>
      <c r="U75" s="8">
        <f t="shared" si="9"/>
        <v>23</v>
      </c>
      <c r="V75" s="7">
        <v>1999</v>
      </c>
      <c r="W75" t="s">
        <v>8202</v>
      </c>
      <c r="X75" s="2" t="s">
        <v>0</v>
      </c>
      <c r="Y75" s="6" t="e">
        <f t="shared" si="10"/>
        <v>#VALUE!</v>
      </c>
      <c r="AA75">
        <v>63088</v>
      </c>
      <c r="AB75">
        <v>9500154033</v>
      </c>
      <c r="AD75" t="s">
        <v>2</v>
      </c>
      <c r="AE75">
        <v>54</v>
      </c>
      <c r="AF75">
        <v>2</v>
      </c>
      <c r="AH75" t="s">
        <v>405</v>
      </c>
      <c r="AI75" t="s">
        <v>8201</v>
      </c>
      <c r="AJ75" t="s">
        <v>8200</v>
      </c>
      <c r="AK75" t="s">
        <v>8199</v>
      </c>
      <c r="AL75">
        <v>4</v>
      </c>
      <c r="AM75" s="5">
        <f t="shared" si="11"/>
        <v>0.17391304347826086</v>
      </c>
      <c r="AN75" s="4">
        <f t="shared" si="12"/>
        <v>2.6340483677131523E-4</v>
      </c>
      <c r="AO75" s="3"/>
      <c r="AP75">
        <v>0</v>
      </c>
      <c r="AR75" t="s">
        <v>1</v>
      </c>
      <c r="AT75" s="2">
        <v>1.35</v>
      </c>
      <c r="AU75" s="1" t="e">
        <f t="shared" si="13"/>
        <v>#VALUE!</v>
      </c>
      <c r="AV75" s="1" t="e">
        <f t="shared" si="14"/>
        <v>#VALUE!</v>
      </c>
      <c r="AW75" s="1" t="e">
        <f t="shared" si="15"/>
        <v>#VALUE!</v>
      </c>
    </row>
    <row r="76" spans="1:49" x14ac:dyDescent="0.2">
      <c r="A76">
        <v>74</v>
      </c>
      <c r="B76" t="s">
        <v>8198</v>
      </c>
      <c r="F76" t="s">
        <v>8197</v>
      </c>
      <c r="G76" t="s">
        <v>6</v>
      </c>
      <c r="H76" t="s">
        <v>5</v>
      </c>
      <c r="I76" t="s">
        <v>8196</v>
      </c>
      <c r="J76">
        <v>100435954</v>
      </c>
      <c r="K76" t="s">
        <v>8195</v>
      </c>
      <c r="L76" t="s">
        <v>8194</v>
      </c>
      <c r="M76" t="s">
        <v>3</v>
      </c>
      <c r="N76">
        <v>3</v>
      </c>
      <c r="O76" t="s">
        <v>8193</v>
      </c>
      <c r="P76" t="s">
        <v>8192</v>
      </c>
      <c r="Q76" t="s">
        <v>8191</v>
      </c>
      <c r="R76" s="7">
        <v>36495</v>
      </c>
      <c r="S76" s="8">
        <f t="shared" si="8"/>
        <v>1999</v>
      </c>
      <c r="T76" s="8">
        <v>1999</v>
      </c>
      <c r="U76" s="8">
        <f t="shared" si="9"/>
        <v>23</v>
      </c>
      <c r="V76" s="7">
        <v>1999</v>
      </c>
      <c r="W76" t="s">
        <v>413</v>
      </c>
      <c r="X76" s="2">
        <v>0.128</v>
      </c>
      <c r="Y76" s="6">
        <f t="shared" si="10"/>
        <v>3.4168868957048667E-3</v>
      </c>
      <c r="AA76">
        <v>10750207</v>
      </c>
      <c r="AB76">
        <v>18722</v>
      </c>
      <c r="AD76" t="s">
        <v>2</v>
      </c>
      <c r="AE76">
        <v>11</v>
      </c>
      <c r="AF76">
        <v>6</v>
      </c>
      <c r="AH76" t="s">
        <v>8190</v>
      </c>
      <c r="AL76">
        <v>14</v>
      </c>
      <c r="AM76" s="5">
        <f t="shared" si="11"/>
        <v>0.60869565217391308</v>
      </c>
      <c r="AN76" s="4">
        <f t="shared" si="12"/>
        <v>9.2191692869960328E-4</v>
      </c>
      <c r="AO76" s="3"/>
      <c r="AP76">
        <v>0</v>
      </c>
      <c r="AR76" t="s">
        <v>1</v>
      </c>
      <c r="AT76" s="2" t="s">
        <v>0</v>
      </c>
      <c r="AU76" s="1">
        <f t="shared" si="13"/>
        <v>0.2668395905603288</v>
      </c>
      <c r="AV76" s="1">
        <f t="shared" si="14"/>
        <v>0.21694019122022348</v>
      </c>
      <c r="AW76" s="1">
        <f t="shared" si="15"/>
        <v>0.16704079188011822</v>
      </c>
    </row>
    <row r="77" spans="1:49" x14ac:dyDescent="0.2">
      <c r="A77">
        <v>75</v>
      </c>
      <c r="B77" t="s">
        <v>8189</v>
      </c>
      <c r="C77" t="s">
        <v>8188</v>
      </c>
      <c r="F77" t="s">
        <v>8187</v>
      </c>
      <c r="G77" t="s">
        <v>6</v>
      </c>
      <c r="H77" t="s">
        <v>5</v>
      </c>
      <c r="I77" t="s">
        <v>8186</v>
      </c>
      <c r="J77">
        <v>60109706</v>
      </c>
      <c r="K77" t="s">
        <v>8185</v>
      </c>
      <c r="L77" t="s">
        <v>8184</v>
      </c>
      <c r="M77" t="s">
        <v>7</v>
      </c>
      <c r="N77">
        <v>10</v>
      </c>
      <c r="O77" t="s">
        <v>8183</v>
      </c>
      <c r="P77" t="s">
        <v>8182</v>
      </c>
      <c r="Q77" t="s">
        <v>8181</v>
      </c>
      <c r="R77" s="7">
        <v>36495</v>
      </c>
      <c r="S77" s="8">
        <f t="shared" si="8"/>
        <v>1999</v>
      </c>
      <c r="T77" s="8">
        <v>1999</v>
      </c>
      <c r="U77" s="8">
        <f t="shared" si="9"/>
        <v>23</v>
      </c>
      <c r="V77" s="7">
        <v>1999</v>
      </c>
      <c r="W77" t="s">
        <v>1725</v>
      </c>
      <c r="X77" s="2">
        <v>1.774</v>
      </c>
      <c r="Y77" s="6">
        <f t="shared" si="10"/>
        <v>4.7355916820159633E-2</v>
      </c>
      <c r="AA77">
        <v>295515</v>
      </c>
      <c r="AB77">
        <v>29066</v>
      </c>
      <c r="AD77" t="s">
        <v>2</v>
      </c>
      <c r="AE77">
        <v>39</v>
      </c>
      <c r="AF77" t="s">
        <v>8180</v>
      </c>
      <c r="AH77" t="s">
        <v>8179</v>
      </c>
      <c r="AI77" t="s">
        <v>8178</v>
      </c>
      <c r="AK77" t="s">
        <v>8177</v>
      </c>
      <c r="AL77">
        <v>7</v>
      </c>
      <c r="AM77" s="5">
        <f t="shared" si="11"/>
        <v>0.30434782608695654</v>
      </c>
      <c r="AN77" s="4">
        <f t="shared" si="12"/>
        <v>4.6095846434980164E-4</v>
      </c>
      <c r="AO77" s="3"/>
      <c r="AP77">
        <v>0</v>
      </c>
      <c r="AR77" t="s">
        <v>1</v>
      </c>
      <c r="AT77" s="2">
        <v>3.1789999999999998</v>
      </c>
      <c r="AU77" s="1">
        <f t="shared" si="13"/>
        <v>3.3287429313416683</v>
      </c>
      <c r="AV77" s="1">
        <f t="shared" si="14"/>
        <v>2.3908437642254716</v>
      </c>
      <c r="AW77" s="1">
        <f t="shared" si="15"/>
        <v>1.4529445971092749</v>
      </c>
    </row>
    <row r="78" spans="1:49" x14ac:dyDescent="0.2">
      <c r="A78">
        <v>76</v>
      </c>
      <c r="B78" t="s">
        <v>8176</v>
      </c>
      <c r="C78" t="s">
        <v>8175</v>
      </c>
      <c r="F78" t="s">
        <v>8174</v>
      </c>
      <c r="G78" t="s">
        <v>6</v>
      </c>
      <c r="H78" t="s">
        <v>5</v>
      </c>
      <c r="I78" t="s">
        <v>632</v>
      </c>
      <c r="J78" t="s">
        <v>8168</v>
      </c>
      <c r="K78" t="s">
        <v>8173</v>
      </c>
      <c r="L78" t="s">
        <v>8172</v>
      </c>
      <c r="M78" t="s">
        <v>8171</v>
      </c>
      <c r="N78">
        <v>2</v>
      </c>
      <c r="O78" t="s">
        <v>8170</v>
      </c>
      <c r="P78" t="s">
        <v>8169</v>
      </c>
      <c r="Q78" t="s">
        <v>8168</v>
      </c>
      <c r="R78" s="7">
        <v>36495</v>
      </c>
      <c r="S78" s="8">
        <f t="shared" si="8"/>
        <v>1999</v>
      </c>
      <c r="T78" s="8">
        <v>1999</v>
      </c>
      <c r="U78" s="8">
        <f t="shared" si="9"/>
        <v>23</v>
      </c>
      <c r="V78" s="7">
        <v>1999</v>
      </c>
      <c r="W78" t="s">
        <v>53</v>
      </c>
      <c r="X78" s="2">
        <v>0.88100000000000001</v>
      </c>
      <c r="Y78" s="6">
        <f t="shared" si="10"/>
        <v>2.3517791836843653E-2</v>
      </c>
      <c r="AA78">
        <v>10459243</v>
      </c>
      <c r="AB78">
        <v>17248</v>
      </c>
      <c r="AD78" t="s">
        <v>2</v>
      </c>
      <c r="AE78">
        <v>41</v>
      </c>
      <c r="AF78">
        <v>2</v>
      </c>
      <c r="AH78" t="s">
        <v>5782</v>
      </c>
      <c r="AL78">
        <v>14</v>
      </c>
      <c r="AM78" s="5">
        <f t="shared" si="11"/>
        <v>0.60869565217391308</v>
      </c>
      <c r="AN78" s="4">
        <f t="shared" si="12"/>
        <v>9.2191692869960328E-4</v>
      </c>
      <c r="AO78" s="3"/>
      <c r="AP78">
        <v>0</v>
      </c>
      <c r="AR78" t="s">
        <v>1</v>
      </c>
      <c r="AT78" s="2" t="s">
        <v>0</v>
      </c>
      <c r="AU78" s="1">
        <f t="shared" si="13"/>
        <v>1.6739029364400435</v>
      </c>
      <c r="AV78" s="1">
        <f t="shared" si="14"/>
        <v>1.2219854382771627</v>
      </c>
      <c r="AW78" s="1">
        <f t="shared" si="15"/>
        <v>0.77006794011428181</v>
      </c>
    </row>
    <row r="79" spans="1:49" x14ac:dyDescent="0.2">
      <c r="A79">
        <v>77</v>
      </c>
      <c r="B79" t="s">
        <v>8167</v>
      </c>
      <c r="F79" t="s">
        <v>8166</v>
      </c>
      <c r="G79" t="s">
        <v>6</v>
      </c>
      <c r="H79" t="s">
        <v>5</v>
      </c>
      <c r="I79" t="s">
        <v>8165</v>
      </c>
      <c r="J79" t="s">
        <v>8164</v>
      </c>
      <c r="K79" t="s">
        <v>8163</v>
      </c>
      <c r="L79" t="s">
        <v>8162</v>
      </c>
      <c r="M79" t="s">
        <v>833</v>
      </c>
      <c r="N79">
        <v>2</v>
      </c>
      <c r="O79" t="s">
        <v>8161</v>
      </c>
      <c r="P79" t="s">
        <v>8160</v>
      </c>
      <c r="Q79" t="s">
        <v>8159</v>
      </c>
      <c r="R79" s="7">
        <v>36495</v>
      </c>
      <c r="S79" s="8">
        <f t="shared" si="8"/>
        <v>1999</v>
      </c>
      <c r="T79" s="8">
        <v>1999</v>
      </c>
      <c r="U79" s="8">
        <f t="shared" si="9"/>
        <v>23</v>
      </c>
      <c r="V79" s="7">
        <v>1999</v>
      </c>
      <c r="W79" t="s">
        <v>8158</v>
      </c>
      <c r="X79" s="2" t="s">
        <v>0</v>
      </c>
      <c r="Y79" s="6" t="e">
        <f t="shared" si="10"/>
        <v>#VALUE!</v>
      </c>
      <c r="AA79" t="s">
        <v>8157</v>
      </c>
      <c r="AB79">
        <v>22630</v>
      </c>
      <c r="AD79" t="s">
        <v>2</v>
      </c>
      <c r="AE79">
        <v>1999</v>
      </c>
      <c r="AF79">
        <v>121</v>
      </c>
      <c r="AH79" t="s">
        <v>8156</v>
      </c>
      <c r="AI79" t="s">
        <v>8155</v>
      </c>
      <c r="AJ79" t="s">
        <v>8154</v>
      </c>
      <c r="AK79" t="s">
        <v>8153</v>
      </c>
      <c r="AL79">
        <v>3</v>
      </c>
      <c r="AM79" s="5">
        <f t="shared" si="11"/>
        <v>0.13043478260869565</v>
      </c>
      <c r="AN79" s="4">
        <f t="shared" si="12"/>
        <v>1.9755362757848641E-4</v>
      </c>
      <c r="AO79" s="3"/>
      <c r="AP79">
        <v>0</v>
      </c>
      <c r="AR79" t="s">
        <v>1</v>
      </c>
      <c r="AT79" s="2" t="s">
        <v>0</v>
      </c>
      <c r="AU79" s="1" t="e">
        <f t="shared" si="13"/>
        <v>#VALUE!</v>
      </c>
      <c r="AV79" s="1" t="e">
        <f t="shared" si="14"/>
        <v>#VALUE!</v>
      </c>
      <c r="AW79" s="1" t="e">
        <f t="shared" si="15"/>
        <v>#VALUE!</v>
      </c>
    </row>
    <row r="80" spans="1:49" x14ac:dyDescent="0.2">
      <c r="A80">
        <v>78</v>
      </c>
      <c r="B80" t="s">
        <v>8152</v>
      </c>
      <c r="C80" t="s">
        <v>8151</v>
      </c>
      <c r="F80" t="s">
        <v>8150</v>
      </c>
      <c r="G80" t="s">
        <v>6</v>
      </c>
      <c r="H80" t="s">
        <v>5</v>
      </c>
      <c r="I80" t="s">
        <v>8149</v>
      </c>
      <c r="J80">
        <v>60027152</v>
      </c>
      <c r="K80" t="s">
        <v>411</v>
      </c>
      <c r="L80" t="s">
        <v>410</v>
      </c>
      <c r="M80" t="s">
        <v>289</v>
      </c>
      <c r="N80">
        <v>2</v>
      </c>
      <c r="O80" t="s">
        <v>8148</v>
      </c>
      <c r="P80" t="s">
        <v>8147</v>
      </c>
      <c r="Q80" t="s">
        <v>8146</v>
      </c>
      <c r="R80" s="7">
        <v>36495</v>
      </c>
      <c r="S80" s="8">
        <f t="shared" si="8"/>
        <v>1999</v>
      </c>
      <c r="T80" s="8">
        <v>1999</v>
      </c>
      <c r="U80" s="8">
        <f t="shared" si="9"/>
        <v>23</v>
      </c>
      <c r="V80" s="7">
        <v>36495</v>
      </c>
      <c r="W80" t="s">
        <v>722</v>
      </c>
      <c r="X80" s="2">
        <v>0.69299999999999995</v>
      </c>
      <c r="Y80" s="6">
        <f t="shared" si="10"/>
        <v>1.8499239208777128E-2</v>
      </c>
      <c r="AA80">
        <v>3076962</v>
      </c>
      <c r="AB80">
        <v>21084</v>
      </c>
      <c r="AD80" t="s">
        <v>2</v>
      </c>
      <c r="AE80">
        <v>24</v>
      </c>
      <c r="AF80">
        <v>4</v>
      </c>
      <c r="AH80" t="s">
        <v>8145</v>
      </c>
      <c r="AI80" t="s">
        <v>8144</v>
      </c>
      <c r="AJ80" t="s">
        <v>8143</v>
      </c>
      <c r="AK80" t="s">
        <v>8142</v>
      </c>
      <c r="AL80">
        <v>63</v>
      </c>
      <c r="AM80" s="5">
        <f t="shared" si="11"/>
        <v>2.7391304347826089</v>
      </c>
      <c r="AN80" s="4">
        <f t="shared" si="12"/>
        <v>4.1486261791482152E-3</v>
      </c>
      <c r="AO80" s="3"/>
      <c r="AP80">
        <v>0</v>
      </c>
      <c r="AR80" t="s">
        <v>1</v>
      </c>
      <c r="AT80" s="2">
        <v>1.833</v>
      </c>
      <c r="AU80" s="1">
        <f t="shared" si="13"/>
        <v>1.4194055299888453</v>
      </c>
      <c r="AV80" s="1">
        <f t="shared" si="14"/>
        <v>1.1323932693962673</v>
      </c>
      <c r="AW80" s="1">
        <f t="shared" si="15"/>
        <v>0.84538100880368894</v>
      </c>
    </row>
    <row r="81" spans="1:49" x14ac:dyDescent="0.2">
      <c r="A81">
        <v>79</v>
      </c>
      <c r="B81" t="s">
        <v>8141</v>
      </c>
      <c r="F81" t="s">
        <v>8140</v>
      </c>
      <c r="G81" t="s">
        <v>6</v>
      </c>
      <c r="H81" t="s">
        <v>5</v>
      </c>
      <c r="I81" t="s">
        <v>8139</v>
      </c>
      <c r="J81">
        <v>60010080</v>
      </c>
      <c r="K81" t="s">
        <v>401</v>
      </c>
      <c r="L81" t="s">
        <v>400</v>
      </c>
      <c r="M81" t="s">
        <v>78</v>
      </c>
      <c r="N81">
        <v>4</v>
      </c>
      <c r="O81" t="s">
        <v>8138</v>
      </c>
      <c r="P81" t="s">
        <v>8137</v>
      </c>
      <c r="Q81" t="s">
        <v>8136</v>
      </c>
      <c r="R81" s="7">
        <v>36495</v>
      </c>
      <c r="S81" s="8">
        <f t="shared" si="8"/>
        <v>1999</v>
      </c>
      <c r="T81" s="8">
        <v>1999</v>
      </c>
      <c r="U81" s="8">
        <f t="shared" si="9"/>
        <v>23</v>
      </c>
      <c r="V81" s="7">
        <v>1999</v>
      </c>
      <c r="W81" t="s">
        <v>87</v>
      </c>
      <c r="X81" s="2">
        <v>0.54700000000000004</v>
      </c>
      <c r="Y81" s="6">
        <f t="shared" si="10"/>
        <v>1.4601852593363766E-2</v>
      </c>
      <c r="AA81">
        <v>14348411</v>
      </c>
      <c r="AB81">
        <v>31211</v>
      </c>
      <c r="AD81" t="s">
        <v>2</v>
      </c>
      <c r="AE81">
        <v>53</v>
      </c>
      <c r="AF81">
        <v>5</v>
      </c>
      <c r="AH81" t="s">
        <v>8135</v>
      </c>
      <c r="AI81" t="s">
        <v>8134</v>
      </c>
      <c r="AK81" t="s">
        <v>8133</v>
      </c>
      <c r="AL81">
        <v>0</v>
      </c>
      <c r="AM81" s="5">
        <f t="shared" si="11"/>
        <v>0</v>
      </c>
      <c r="AN81" s="4">
        <f t="shared" si="12"/>
        <v>0</v>
      </c>
      <c r="AO81" s="3"/>
      <c r="AP81">
        <v>0</v>
      </c>
      <c r="AR81" t="s">
        <v>1</v>
      </c>
      <c r="AT81" s="2" t="s">
        <v>0</v>
      </c>
      <c r="AU81" s="1">
        <f t="shared" si="13"/>
        <v>1.0221296815354637</v>
      </c>
      <c r="AV81" s="1">
        <f t="shared" si="14"/>
        <v>0.73009262966818833</v>
      </c>
      <c r="AW81" s="1">
        <f t="shared" si="15"/>
        <v>0.43805557780091298</v>
      </c>
    </row>
    <row r="82" spans="1:49" x14ac:dyDescent="0.2">
      <c r="A82">
        <v>80</v>
      </c>
      <c r="B82" t="s">
        <v>8132</v>
      </c>
      <c r="C82" t="s">
        <v>8131</v>
      </c>
      <c r="F82" t="s">
        <v>8130</v>
      </c>
      <c r="G82" t="s">
        <v>6</v>
      </c>
      <c r="H82" t="s">
        <v>5</v>
      </c>
      <c r="I82" t="s">
        <v>807</v>
      </c>
      <c r="J82" t="s">
        <v>8129</v>
      </c>
      <c r="K82" t="s">
        <v>8128</v>
      </c>
      <c r="L82" t="s">
        <v>8127</v>
      </c>
      <c r="M82" t="s">
        <v>8126</v>
      </c>
      <c r="N82">
        <v>2</v>
      </c>
      <c r="O82" t="s">
        <v>805</v>
      </c>
      <c r="P82" t="s">
        <v>804</v>
      </c>
      <c r="Q82" t="s">
        <v>8125</v>
      </c>
      <c r="R82" s="7">
        <v>36495</v>
      </c>
      <c r="S82" s="8">
        <f t="shared" si="8"/>
        <v>1999</v>
      </c>
      <c r="T82" s="8">
        <v>1999</v>
      </c>
      <c r="U82" s="8">
        <f t="shared" si="9"/>
        <v>23</v>
      </c>
      <c r="V82" s="7">
        <v>36495</v>
      </c>
      <c r="W82" t="s">
        <v>239</v>
      </c>
      <c r="X82" s="2">
        <v>2.9860000000000002</v>
      </c>
      <c r="Y82" s="6">
        <f t="shared" si="10"/>
        <v>7.9709564613865094E-2</v>
      </c>
      <c r="AA82">
        <v>7338716</v>
      </c>
      <c r="AB82">
        <v>18902</v>
      </c>
      <c r="AD82" t="s">
        <v>2</v>
      </c>
      <c r="AE82">
        <v>17</v>
      </c>
      <c r="AF82">
        <v>12</v>
      </c>
      <c r="AH82" t="s">
        <v>8124</v>
      </c>
      <c r="AI82" t="s">
        <v>8123</v>
      </c>
      <c r="AK82" t="s">
        <v>8122</v>
      </c>
      <c r="AL82">
        <v>5</v>
      </c>
      <c r="AM82" s="5">
        <f t="shared" si="11"/>
        <v>0.21739130434782608</v>
      </c>
      <c r="AN82" s="4">
        <f t="shared" si="12"/>
        <v>3.29256045964144E-4</v>
      </c>
      <c r="AO82" s="3"/>
      <c r="AP82">
        <v>0</v>
      </c>
      <c r="AR82" t="s">
        <v>1</v>
      </c>
      <c r="AT82" s="2" t="s">
        <v>0</v>
      </c>
      <c r="AU82" s="1">
        <f t="shared" si="13"/>
        <v>5.5895472043494809</v>
      </c>
      <c r="AV82" s="1">
        <f t="shared" si="14"/>
        <v>4.0019410329914624</v>
      </c>
      <c r="AW82" s="1">
        <f t="shared" si="15"/>
        <v>2.4143348616334426</v>
      </c>
    </row>
    <row r="83" spans="1:49" x14ac:dyDescent="0.2">
      <c r="A83">
        <v>81</v>
      </c>
      <c r="B83" t="s">
        <v>8121</v>
      </c>
      <c r="C83" t="s">
        <v>8120</v>
      </c>
      <c r="D83" t="s">
        <v>8119</v>
      </c>
      <c r="F83" t="s">
        <v>8118</v>
      </c>
      <c r="G83" t="s">
        <v>6</v>
      </c>
      <c r="H83" t="s">
        <v>5</v>
      </c>
      <c r="I83" t="s">
        <v>8117</v>
      </c>
      <c r="J83">
        <v>60027550</v>
      </c>
      <c r="K83" t="s">
        <v>22</v>
      </c>
      <c r="L83" t="s">
        <v>21</v>
      </c>
      <c r="M83" t="s">
        <v>3</v>
      </c>
      <c r="N83">
        <v>4</v>
      </c>
      <c r="O83" t="s">
        <v>8116</v>
      </c>
      <c r="P83" t="s">
        <v>8115</v>
      </c>
      <c r="Q83" t="s">
        <v>662</v>
      </c>
      <c r="R83" s="7">
        <v>36495</v>
      </c>
      <c r="S83" s="8">
        <f t="shared" si="8"/>
        <v>1999</v>
      </c>
      <c r="T83" s="8">
        <v>1999</v>
      </c>
      <c r="U83" s="8">
        <f t="shared" si="9"/>
        <v>23</v>
      </c>
      <c r="V83" s="7">
        <v>1999</v>
      </c>
      <c r="W83" t="s">
        <v>174</v>
      </c>
      <c r="X83" s="2">
        <v>1.3720000000000001</v>
      </c>
      <c r="Y83" s="6">
        <f t="shared" si="10"/>
        <v>3.662475641333654E-2</v>
      </c>
      <c r="AA83">
        <v>189480</v>
      </c>
      <c r="AB83">
        <v>17366</v>
      </c>
      <c r="AD83" t="s">
        <v>2</v>
      </c>
      <c r="AE83">
        <v>47</v>
      </c>
      <c r="AF83">
        <v>11</v>
      </c>
      <c r="AH83" t="s">
        <v>8114</v>
      </c>
      <c r="AI83" t="s">
        <v>8113</v>
      </c>
      <c r="AJ83" t="s">
        <v>8112</v>
      </c>
      <c r="AK83" t="s">
        <v>8111</v>
      </c>
      <c r="AL83">
        <v>9</v>
      </c>
      <c r="AM83" s="5">
        <f t="shared" si="11"/>
        <v>0.39130434782608697</v>
      </c>
      <c r="AN83" s="4">
        <f t="shared" si="12"/>
        <v>5.9266088273545923E-4</v>
      </c>
      <c r="AO83" s="3"/>
      <c r="AP83">
        <v>0</v>
      </c>
      <c r="AQ83" t="s">
        <v>196</v>
      </c>
      <c r="AR83" t="s">
        <v>4766</v>
      </c>
      <c r="AS83" t="s">
        <v>195</v>
      </c>
      <c r="AT83" s="2" t="s">
        <v>0</v>
      </c>
      <c r="AU83" s="1">
        <f t="shared" si="13"/>
        <v>2.5815127754156215</v>
      </c>
      <c r="AV83" s="1">
        <f t="shared" si="14"/>
        <v>1.8608708648035999</v>
      </c>
      <c r="AW83" s="1">
        <f t="shared" si="15"/>
        <v>1.1402289541915784</v>
      </c>
    </row>
    <row r="84" spans="1:49" x14ac:dyDescent="0.2">
      <c r="A84">
        <v>82</v>
      </c>
      <c r="B84" t="s">
        <v>8110</v>
      </c>
      <c r="C84" t="s">
        <v>8109</v>
      </c>
      <c r="E84">
        <v>10334721</v>
      </c>
      <c r="F84" t="s">
        <v>8108</v>
      </c>
      <c r="G84" t="s">
        <v>6</v>
      </c>
      <c r="H84" t="s">
        <v>5</v>
      </c>
      <c r="I84" t="s">
        <v>8107</v>
      </c>
      <c r="J84">
        <v>60027561</v>
      </c>
      <c r="K84" t="s">
        <v>258</v>
      </c>
      <c r="L84" t="s">
        <v>257</v>
      </c>
      <c r="M84" t="s">
        <v>3</v>
      </c>
      <c r="N84">
        <v>1</v>
      </c>
      <c r="O84" t="s">
        <v>8106</v>
      </c>
      <c r="P84">
        <v>7501724941</v>
      </c>
      <c r="Q84">
        <v>60027561</v>
      </c>
      <c r="R84" s="7">
        <v>36495</v>
      </c>
      <c r="S84" s="8">
        <f t="shared" si="8"/>
        <v>1999</v>
      </c>
      <c r="T84" s="8">
        <v>1999</v>
      </c>
      <c r="U84" s="8">
        <f t="shared" si="9"/>
        <v>23</v>
      </c>
      <c r="V84" s="7">
        <v>1999</v>
      </c>
      <c r="W84" t="s">
        <v>4876</v>
      </c>
      <c r="X84" s="2">
        <v>0.435</v>
      </c>
      <c r="Y84" s="6">
        <f t="shared" si="10"/>
        <v>1.1612076559622007E-2</v>
      </c>
      <c r="AA84">
        <v>1978462</v>
      </c>
      <c r="AB84">
        <v>14839</v>
      </c>
      <c r="AD84" t="s">
        <v>2</v>
      </c>
      <c r="AE84">
        <v>20</v>
      </c>
      <c r="AF84" t="s">
        <v>4912</v>
      </c>
      <c r="AH84" t="s">
        <v>620</v>
      </c>
      <c r="AI84" t="s">
        <v>8105</v>
      </c>
      <c r="AJ84" t="s">
        <v>8104</v>
      </c>
      <c r="AK84" t="s">
        <v>8103</v>
      </c>
      <c r="AL84">
        <v>25</v>
      </c>
      <c r="AM84" s="5">
        <f t="shared" si="11"/>
        <v>1.0869565217391304</v>
      </c>
      <c r="AN84" s="4">
        <f t="shared" si="12"/>
        <v>1.6462802298207199E-3</v>
      </c>
      <c r="AO84" s="3"/>
      <c r="AP84">
        <v>0</v>
      </c>
      <c r="AR84" t="s">
        <v>1</v>
      </c>
      <c r="AT84" s="2">
        <v>2.0099999999999998</v>
      </c>
      <c r="AU84" s="1">
        <f t="shared" si="13"/>
        <v>0.86223376606816216</v>
      </c>
      <c r="AV84" s="1">
        <f t="shared" si="14"/>
        <v>0.66291783947213634</v>
      </c>
      <c r="AW84" s="1">
        <f t="shared" si="15"/>
        <v>0.46360191287611058</v>
      </c>
    </row>
    <row r="85" spans="1:49" x14ac:dyDescent="0.2">
      <c r="A85">
        <v>83</v>
      </c>
      <c r="B85" t="s">
        <v>8102</v>
      </c>
      <c r="F85" t="s">
        <v>8101</v>
      </c>
      <c r="G85" t="s">
        <v>6</v>
      </c>
      <c r="H85" t="s">
        <v>5</v>
      </c>
      <c r="I85" t="s">
        <v>8100</v>
      </c>
      <c r="J85">
        <v>106312395</v>
      </c>
      <c r="K85" t="s">
        <v>8099</v>
      </c>
      <c r="L85" t="s">
        <v>8098</v>
      </c>
      <c r="M85" t="s">
        <v>58</v>
      </c>
      <c r="N85">
        <v>1</v>
      </c>
      <c r="O85" t="s">
        <v>8097</v>
      </c>
      <c r="P85">
        <v>7202074355</v>
      </c>
      <c r="Q85">
        <v>106312395</v>
      </c>
      <c r="R85" s="7">
        <v>36495</v>
      </c>
      <c r="S85" s="8">
        <f t="shared" si="8"/>
        <v>1999</v>
      </c>
      <c r="T85" s="8">
        <v>1999</v>
      </c>
      <c r="U85" s="8">
        <f t="shared" si="9"/>
        <v>23</v>
      </c>
      <c r="V85" s="7">
        <v>1999</v>
      </c>
      <c r="W85" t="s">
        <v>8096</v>
      </c>
      <c r="X85" s="2">
        <v>0.53100000000000003</v>
      </c>
      <c r="Y85" s="6">
        <f t="shared" si="10"/>
        <v>1.4174741731400658E-2</v>
      </c>
      <c r="AA85">
        <v>12809551</v>
      </c>
      <c r="AB85">
        <v>23211</v>
      </c>
      <c r="AD85" t="s">
        <v>2</v>
      </c>
      <c r="AE85">
        <v>21</v>
      </c>
      <c r="AF85">
        <v>3</v>
      </c>
      <c r="AH85" t="s">
        <v>8095</v>
      </c>
      <c r="AI85" t="s">
        <v>8094</v>
      </c>
      <c r="AJ85" t="s">
        <v>8093</v>
      </c>
      <c r="AK85" t="s">
        <v>8092</v>
      </c>
      <c r="AL85">
        <v>7</v>
      </c>
      <c r="AM85" s="5">
        <f t="shared" si="11"/>
        <v>0.30434782608695654</v>
      </c>
      <c r="AN85" s="4">
        <f t="shared" si="12"/>
        <v>4.6095846434980164E-4</v>
      </c>
      <c r="AO85" s="3"/>
      <c r="AP85">
        <v>0</v>
      </c>
      <c r="AR85" t="s">
        <v>1</v>
      </c>
      <c r="AT85" s="2">
        <v>1.0940000000000001</v>
      </c>
      <c r="AU85" s="1">
        <f t="shared" si="13"/>
        <v>1.0060606751285399</v>
      </c>
      <c r="AV85" s="1">
        <f t="shared" si="14"/>
        <v>0.73178500978752292</v>
      </c>
      <c r="AW85" s="1">
        <f t="shared" si="15"/>
        <v>0.45750934444650582</v>
      </c>
    </row>
    <row r="86" spans="1:49" x14ac:dyDescent="0.2">
      <c r="A86">
        <v>84</v>
      </c>
      <c r="B86" t="s">
        <v>8091</v>
      </c>
      <c r="F86" t="s">
        <v>8090</v>
      </c>
      <c r="G86" t="s">
        <v>6</v>
      </c>
      <c r="H86" t="s">
        <v>5</v>
      </c>
      <c r="I86" t="s">
        <v>634</v>
      </c>
      <c r="J86" t="s">
        <v>8089</v>
      </c>
      <c r="K86" t="s">
        <v>8088</v>
      </c>
      <c r="L86" t="s">
        <v>8087</v>
      </c>
      <c r="M86" t="s">
        <v>8086</v>
      </c>
      <c r="N86">
        <v>15</v>
      </c>
      <c r="O86" t="s">
        <v>8085</v>
      </c>
      <c r="P86" t="s">
        <v>8084</v>
      </c>
      <c r="Q86" t="s">
        <v>8083</v>
      </c>
      <c r="R86" s="7">
        <v>36495</v>
      </c>
      <c r="S86" s="8">
        <f t="shared" si="8"/>
        <v>1999</v>
      </c>
      <c r="T86" s="8">
        <v>1999</v>
      </c>
      <c r="U86" s="8">
        <f t="shared" si="9"/>
        <v>23</v>
      </c>
      <c r="V86" s="7">
        <v>1999</v>
      </c>
      <c r="W86" t="s">
        <v>2995</v>
      </c>
      <c r="X86" s="2">
        <v>2.137</v>
      </c>
      <c r="Y86" s="6">
        <f t="shared" si="10"/>
        <v>5.7045994500947654E-2</v>
      </c>
      <c r="AA86">
        <v>46361</v>
      </c>
      <c r="AB86">
        <v>26750</v>
      </c>
      <c r="AD86" t="s">
        <v>2</v>
      </c>
      <c r="AE86">
        <v>343</v>
      </c>
      <c r="AF86">
        <v>1</v>
      </c>
      <c r="AH86" t="s">
        <v>8082</v>
      </c>
      <c r="AI86" t="s">
        <v>8081</v>
      </c>
      <c r="AJ86" t="s">
        <v>8080</v>
      </c>
      <c r="AK86" t="s">
        <v>8079</v>
      </c>
      <c r="AL86">
        <v>6</v>
      </c>
      <c r="AM86" s="5">
        <f t="shared" si="11"/>
        <v>0.2608695652173913</v>
      </c>
      <c r="AN86" s="4">
        <f t="shared" si="12"/>
        <v>3.9510725515697282E-4</v>
      </c>
      <c r="AO86" s="3"/>
      <c r="AP86">
        <v>0</v>
      </c>
      <c r="AR86" t="s">
        <v>1</v>
      </c>
      <c r="AT86" s="2" t="s">
        <v>0</v>
      </c>
      <c r="AU86" s="1">
        <f t="shared" si="13"/>
        <v>4.0050728327210443</v>
      </c>
      <c r="AV86" s="1">
        <f t="shared" si="14"/>
        <v>2.8720550878052311</v>
      </c>
      <c r="AW86" s="1">
        <f t="shared" si="15"/>
        <v>1.7390373428894175</v>
      </c>
    </row>
    <row r="87" spans="1:49" x14ac:dyDescent="0.2">
      <c r="A87">
        <v>85</v>
      </c>
      <c r="B87" t="s">
        <v>8078</v>
      </c>
      <c r="F87" t="s">
        <v>8077</v>
      </c>
      <c r="G87" t="s">
        <v>6</v>
      </c>
      <c r="H87" t="s">
        <v>5</v>
      </c>
      <c r="I87" t="s">
        <v>8076</v>
      </c>
      <c r="J87">
        <v>60004863</v>
      </c>
      <c r="K87" t="s">
        <v>8075</v>
      </c>
      <c r="L87" t="s">
        <v>8074</v>
      </c>
      <c r="M87" t="s">
        <v>29</v>
      </c>
      <c r="N87">
        <v>1</v>
      </c>
      <c r="O87" t="s">
        <v>8073</v>
      </c>
      <c r="P87">
        <v>6602113491</v>
      </c>
      <c r="Q87">
        <v>60004863</v>
      </c>
      <c r="R87" s="7">
        <v>36495</v>
      </c>
      <c r="S87" s="8">
        <f t="shared" si="8"/>
        <v>1999</v>
      </c>
      <c r="T87" s="8">
        <v>1999</v>
      </c>
      <c r="U87" s="8">
        <f t="shared" si="9"/>
        <v>23</v>
      </c>
      <c r="V87" s="7">
        <v>1999</v>
      </c>
      <c r="W87" t="s">
        <v>8072</v>
      </c>
      <c r="X87" s="2">
        <v>0.28299999999999997</v>
      </c>
      <c r="Y87" s="6">
        <f t="shared" si="10"/>
        <v>7.5545233709724781E-3</v>
      </c>
      <c r="AA87">
        <v>13000179</v>
      </c>
      <c r="AB87">
        <v>24033</v>
      </c>
      <c r="AD87" t="s">
        <v>2</v>
      </c>
      <c r="AE87">
        <v>23</v>
      </c>
      <c r="AF87">
        <v>1</v>
      </c>
      <c r="AH87" t="s">
        <v>161</v>
      </c>
      <c r="AI87" t="s">
        <v>8071</v>
      </c>
      <c r="AJ87" t="s">
        <v>8070</v>
      </c>
      <c r="AK87" t="s">
        <v>8069</v>
      </c>
      <c r="AL87">
        <v>5</v>
      </c>
      <c r="AM87" s="5">
        <f t="shared" si="11"/>
        <v>0.21739130434782608</v>
      </c>
      <c r="AN87" s="4">
        <f t="shared" si="12"/>
        <v>3.29256045964144E-4</v>
      </c>
      <c r="AO87" s="3"/>
      <c r="AP87">
        <v>0</v>
      </c>
      <c r="AR87" t="s">
        <v>1</v>
      </c>
      <c r="AT87" s="2">
        <v>0.67300000000000004</v>
      </c>
      <c r="AU87" s="1">
        <f t="shared" si="13"/>
        <v>0.5386943173469978</v>
      </c>
      <c r="AV87" s="1">
        <f t="shared" si="14"/>
        <v>0.39418897084683113</v>
      </c>
      <c r="AW87" s="1">
        <f t="shared" si="15"/>
        <v>0.24968362434666441</v>
      </c>
    </row>
    <row r="88" spans="1:49" x14ac:dyDescent="0.2">
      <c r="A88">
        <v>86</v>
      </c>
      <c r="B88" t="s">
        <v>8068</v>
      </c>
      <c r="C88" t="s">
        <v>8067</v>
      </c>
      <c r="F88" t="s">
        <v>8066</v>
      </c>
      <c r="G88" t="s">
        <v>6</v>
      </c>
      <c r="H88" t="s">
        <v>5</v>
      </c>
      <c r="I88" t="s">
        <v>8065</v>
      </c>
      <c r="J88" t="s">
        <v>8064</v>
      </c>
      <c r="K88" t="s">
        <v>8063</v>
      </c>
      <c r="L88" t="s">
        <v>8062</v>
      </c>
      <c r="M88" t="s">
        <v>610</v>
      </c>
      <c r="N88">
        <v>3</v>
      </c>
      <c r="O88" t="s">
        <v>8061</v>
      </c>
      <c r="P88" t="s">
        <v>8060</v>
      </c>
      <c r="Q88" t="s">
        <v>8059</v>
      </c>
      <c r="R88" s="7">
        <v>36495</v>
      </c>
      <c r="S88" s="8">
        <f t="shared" si="8"/>
        <v>1999</v>
      </c>
      <c r="T88" s="8">
        <v>1999</v>
      </c>
      <c r="U88" s="8">
        <f t="shared" si="9"/>
        <v>23</v>
      </c>
      <c r="V88" s="7">
        <v>36495</v>
      </c>
      <c r="W88" t="s">
        <v>683</v>
      </c>
      <c r="X88" s="2">
        <v>2.0070000000000001</v>
      </c>
      <c r="Y88" s="6">
        <f t="shared" si="10"/>
        <v>5.3575718747497406E-2</v>
      </c>
      <c r="AA88">
        <v>948276</v>
      </c>
      <c r="AB88">
        <v>27962</v>
      </c>
      <c r="AD88" t="s">
        <v>2</v>
      </c>
      <c r="AE88">
        <v>26</v>
      </c>
      <c r="AF88">
        <v>23</v>
      </c>
      <c r="AH88" t="s">
        <v>8058</v>
      </c>
      <c r="AI88" t="s">
        <v>8057</v>
      </c>
      <c r="AK88" t="s">
        <v>8056</v>
      </c>
      <c r="AL88">
        <v>23</v>
      </c>
      <c r="AM88" s="5">
        <f t="shared" si="11"/>
        <v>1</v>
      </c>
      <c r="AN88" s="4">
        <f t="shared" si="12"/>
        <v>1.5145778114350624E-3</v>
      </c>
      <c r="AO88" s="3"/>
      <c r="AP88">
        <v>0</v>
      </c>
      <c r="AR88" t="s">
        <v>1</v>
      </c>
      <c r="AT88" s="2">
        <v>4.72</v>
      </c>
      <c r="AU88" s="1">
        <f t="shared" si="13"/>
        <v>3.7957376466678703</v>
      </c>
      <c r="AV88" s="1">
        <f t="shared" si="14"/>
        <v>2.7545148279466232</v>
      </c>
      <c r="AW88" s="1">
        <f t="shared" si="15"/>
        <v>1.7132920092253763</v>
      </c>
    </row>
    <row r="89" spans="1:49" x14ac:dyDescent="0.2">
      <c r="A89">
        <v>87</v>
      </c>
      <c r="B89" t="s">
        <v>8055</v>
      </c>
      <c r="C89" t="s">
        <v>8054</v>
      </c>
      <c r="F89" t="s">
        <v>8053</v>
      </c>
      <c r="G89" t="s">
        <v>6</v>
      </c>
      <c r="H89" t="s">
        <v>5</v>
      </c>
      <c r="I89" t="s">
        <v>8052</v>
      </c>
      <c r="J89">
        <v>60014264</v>
      </c>
      <c r="K89" t="s">
        <v>282</v>
      </c>
      <c r="L89" t="s">
        <v>281</v>
      </c>
      <c r="M89" t="s">
        <v>65</v>
      </c>
      <c r="N89">
        <v>3</v>
      </c>
      <c r="O89" t="s">
        <v>8051</v>
      </c>
      <c r="P89" t="s">
        <v>8050</v>
      </c>
      <c r="Q89" t="s">
        <v>280</v>
      </c>
      <c r="R89" s="7">
        <v>36495</v>
      </c>
      <c r="S89" s="8">
        <f t="shared" si="8"/>
        <v>1999</v>
      </c>
      <c r="T89" s="8">
        <v>1999</v>
      </c>
      <c r="U89" s="8">
        <f t="shared" si="9"/>
        <v>23</v>
      </c>
      <c r="V89" s="7">
        <v>1999</v>
      </c>
      <c r="W89" t="s">
        <v>8034</v>
      </c>
      <c r="X89" s="2">
        <v>0.755</v>
      </c>
      <c r="Y89" s="6">
        <f t="shared" si="10"/>
        <v>2.0154293798884174E-2</v>
      </c>
      <c r="AA89">
        <v>3003604</v>
      </c>
      <c r="AB89">
        <v>16515</v>
      </c>
      <c r="AD89" t="s">
        <v>2</v>
      </c>
      <c r="AE89">
        <v>37</v>
      </c>
      <c r="AF89">
        <v>3</v>
      </c>
      <c r="AH89" t="s">
        <v>8049</v>
      </c>
      <c r="AI89" t="s">
        <v>8048</v>
      </c>
      <c r="AJ89" t="s">
        <v>8047</v>
      </c>
      <c r="AK89" t="s">
        <v>8046</v>
      </c>
      <c r="AL89">
        <v>31</v>
      </c>
      <c r="AM89" s="5">
        <f t="shared" si="11"/>
        <v>1.3478260869565217</v>
      </c>
      <c r="AN89" s="4">
        <f t="shared" si="12"/>
        <v>2.041387484977693E-3</v>
      </c>
      <c r="AO89" s="3"/>
      <c r="AP89">
        <v>0</v>
      </c>
      <c r="AR89" t="s">
        <v>1</v>
      </c>
      <c r="AT89" s="2">
        <v>3.1890000000000001</v>
      </c>
      <c r="AU89" s="1">
        <f t="shared" si="13"/>
        <v>1.4720421904712229</v>
      </c>
      <c r="AV89" s="1">
        <f t="shared" si="14"/>
        <v>1.1097840641930934</v>
      </c>
      <c r="AW89" s="1">
        <f t="shared" si="15"/>
        <v>0.74752593791496369</v>
      </c>
    </row>
    <row r="90" spans="1:49" x14ac:dyDescent="0.2">
      <c r="A90">
        <v>88</v>
      </c>
      <c r="B90" t="s">
        <v>8045</v>
      </c>
      <c r="C90" t="s">
        <v>8044</v>
      </c>
      <c r="F90" t="s">
        <v>8043</v>
      </c>
      <c r="G90" t="s">
        <v>6</v>
      </c>
      <c r="H90" t="s">
        <v>5</v>
      </c>
      <c r="I90" t="s">
        <v>8042</v>
      </c>
      <c r="J90" t="s">
        <v>8041</v>
      </c>
      <c r="K90" t="s">
        <v>8040</v>
      </c>
      <c r="L90" t="s">
        <v>8039</v>
      </c>
      <c r="M90" t="s">
        <v>8038</v>
      </c>
      <c r="N90">
        <v>3</v>
      </c>
      <c r="O90" t="s">
        <v>8037</v>
      </c>
      <c r="P90" t="s">
        <v>8036</v>
      </c>
      <c r="Q90" t="s">
        <v>8035</v>
      </c>
      <c r="R90" s="7">
        <v>36495</v>
      </c>
      <c r="S90" s="8">
        <f t="shared" si="8"/>
        <v>1999</v>
      </c>
      <c r="T90" s="8">
        <v>1999</v>
      </c>
      <c r="U90" s="8">
        <f t="shared" si="9"/>
        <v>23</v>
      </c>
      <c r="V90" s="7">
        <v>1999</v>
      </c>
      <c r="W90" t="s">
        <v>8034</v>
      </c>
      <c r="X90" s="2">
        <v>0.755</v>
      </c>
      <c r="Y90" s="6">
        <f t="shared" si="10"/>
        <v>2.0154293798884174E-2</v>
      </c>
      <c r="AA90">
        <v>3003604</v>
      </c>
      <c r="AB90">
        <v>16515</v>
      </c>
      <c r="AD90" t="s">
        <v>2</v>
      </c>
      <c r="AE90">
        <v>37</v>
      </c>
      <c r="AF90">
        <v>3</v>
      </c>
      <c r="AH90" t="s">
        <v>8033</v>
      </c>
      <c r="AI90" t="s">
        <v>8032</v>
      </c>
      <c r="AJ90" t="s">
        <v>8031</v>
      </c>
      <c r="AK90" t="s">
        <v>8030</v>
      </c>
      <c r="AL90">
        <v>115</v>
      </c>
      <c r="AM90" s="5">
        <f t="shared" si="11"/>
        <v>5</v>
      </c>
      <c r="AN90" s="4">
        <f t="shared" si="12"/>
        <v>7.5728890571753124E-3</v>
      </c>
      <c r="AO90" s="3"/>
      <c r="AP90">
        <v>0</v>
      </c>
      <c r="AR90" t="s">
        <v>1</v>
      </c>
      <c r="AT90" s="2">
        <v>3.1890000000000001</v>
      </c>
      <c r="AU90" s="1">
        <f t="shared" si="13"/>
        <v>1.6379872376371514</v>
      </c>
      <c r="AV90" s="1">
        <f t="shared" si="14"/>
        <v>1.3863591428029742</v>
      </c>
      <c r="AW90" s="1">
        <f t="shared" si="15"/>
        <v>1.1347310479687969</v>
      </c>
    </row>
    <row r="91" spans="1:49" x14ac:dyDescent="0.2">
      <c r="A91">
        <v>89</v>
      </c>
      <c r="B91" t="s">
        <v>8029</v>
      </c>
      <c r="F91" t="s">
        <v>8028</v>
      </c>
      <c r="G91" t="s">
        <v>6</v>
      </c>
      <c r="H91" t="s">
        <v>5</v>
      </c>
      <c r="I91" t="s">
        <v>8027</v>
      </c>
      <c r="J91">
        <v>60021523</v>
      </c>
      <c r="K91" t="s">
        <v>8026</v>
      </c>
      <c r="L91" t="s">
        <v>8025</v>
      </c>
      <c r="M91" t="s">
        <v>7</v>
      </c>
      <c r="N91">
        <v>3</v>
      </c>
      <c r="O91" t="s">
        <v>8024</v>
      </c>
      <c r="P91" t="s">
        <v>8023</v>
      </c>
      <c r="Q91" t="s">
        <v>8022</v>
      </c>
      <c r="R91" s="7">
        <v>36495</v>
      </c>
      <c r="S91" s="8">
        <f t="shared" si="8"/>
        <v>1999</v>
      </c>
      <c r="T91" s="8">
        <v>1999</v>
      </c>
      <c r="U91" s="8">
        <f t="shared" si="9"/>
        <v>23</v>
      </c>
      <c r="V91" s="7">
        <v>1999</v>
      </c>
      <c r="W91" t="s">
        <v>404</v>
      </c>
      <c r="X91" s="2">
        <v>0.158</v>
      </c>
      <c r="Y91" s="6">
        <f t="shared" si="10"/>
        <v>4.2177197618856943E-3</v>
      </c>
      <c r="AA91">
        <v>380830</v>
      </c>
      <c r="AB91">
        <v>13094</v>
      </c>
      <c r="AD91" t="s">
        <v>2</v>
      </c>
      <c r="AE91">
        <v>45</v>
      </c>
      <c r="AF91">
        <v>3</v>
      </c>
      <c r="AH91" t="s">
        <v>8021</v>
      </c>
      <c r="AI91" t="s">
        <v>8020</v>
      </c>
      <c r="AK91" t="s">
        <v>8019</v>
      </c>
      <c r="AL91">
        <v>0</v>
      </c>
      <c r="AM91" s="5">
        <f t="shared" si="11"/>
        <v>0</v>
      </c>
      <c r="AN91" s="4">
        <f t="shared" si="12"/>
        <v>0</v>
      </c>
      <c r="AO91" s="3"/>
      <c r="AP91">
        <v>0</v>
      </c>
      <c r="AR91" t="s">
        <v>1</v>
      </c>
      <c r="AT91" s="2" t="s">
        <v>0</v>
      </c>
      <c r="AU91" s="1">
        <f t="shared" si="13"/>
        <v>0.29524038333199859</v>
      </c>
      <c r="AV91" s="1">
        <f t="shared" si="14"/>
        <v>0.21088598809428472</v>
      </c>
      <c r="AW91" s="1">
        <f t="shared" si="15"/>
        <v>0.12653159285657081</v>
      </c>
    </row>
    <row r="92" spans="1:49" x14ac:dyDescent="0.2">
      <c r="A92">
        <v>90</v>
      </c>
      <c r="B92" t="s">
        <v>8018</v>
      </c>
      <c r="C92" t="s">
        <v>8017</v>
      </c>
      <c r="F92" t="s">
        <v>8016</v>
      </c>
      <c r="G92" t="s">
        <v>6</v>
      </c>
      <c r="H92" t="s">
        <v>5</v>
      </c>
      <c r="I92" t="s">
        <v>8015</v>
      </c>
      <c r="J92">
        <v>60010939</v>
      </c>
      <c r="K92" t="s">
        <v>25</v>
      </c>
      <c r="L92" t="s">
        <v>24</v>
      </c>
      <c r="M92" t="s">
        <v>23</v>
      </c>
      <c r="N92">
        <v>3</v>
      </c>
      <c r="O92" t="s">
        <v>8014</v>
      </c>
      <c r="P92" t="s">
        <v>8013</v>
      </c>
      <c r="Q92" t="s">
        <v>8012</v>
      </c>
      <c r="R92" s="7">
        <v>36495</v>
      </c>
      <c r="S92" s="8">
        <f t="shared" si="8"/>
        <v>1999</v>
      </c>
      <c r="T92" s="8">
        <v>1999</v>
      </c>
      <c r="U92" s="8">
        <f t="shared" si="9"/>
        <v>23</v>
      </c>
      <c r="V92" s="7">
        <v>1999</v>
      </c>
      <c r="W92" t="s">
        <v>8011</v>
      </c>
      <c r="X92" s="2">
        <v>1.28</v>
      </c>
      <c r="Y92" s="6">
        <f t="shared" si="10"/>
        <v>3.4168868957048668E-2</v>
      </c>
      <c r="AA92" t="s">
        <v>8010</v>
      </c>
      <c r="AB92">
        <v>16574</v>
      </c>
      <c r="AD92" t="s">
        <v>2</v>
      </c>
      <c r="AE92">
        <v>215</v>
      </c>
      <c r="AF92">
        <v>2</v>
      </c>
      <c r="AH92" t="s">
        <v>8009</v>
      </c>
      <c r="AI92" t="s">
        <v>8008</v>
      </c>
      <c r="AJ92" t="s">
        <v>8007</v>
      </c>
      <c r="AK92" t="s">
        <v>8006</v>
      </c>
      <c r="AL92">
        <v>105</v>
      </c>
      <c r="AM92" s="5">
        <f t="shared" si="11"/>
        <v>4.5652173913043477</v>
      </c>
      <c r="AN92" s="4">
        <f t="shared" si="12"/>
        <v>6.9143769652470245E-3</v>
      </c>
      <c r="AO92" s="3"/>
      <c r="AP92">
        <v>0</v>
      </c>
      <c r="AQ92" t="s">
        <v>52</v>
      </c>
      <c r="AR92" t="s">
        <v>430</v>
      </c>
      <c r="AS92" t="s">
        <v>51</v>
      </c>
      <c r="AT92" s="2">
        <v>4.1920000000000002</v>
      </c>
      <c r="AU92" s="1">
        <f t="shared" si="13"/>
        <v>2.5992521359508172</v>
      </c>
      <c r="AV92" s="1">
        <f t="shared" si="14"/>
        <v>2.0541622961147845</v>
      </c>
      <c r="AW92" s="1">
        <f t="shared" si="15"/>
        <v>1.5090724562787516</v>
      </c>
    </row>
    <row r="93" spans="1:49" x14ac:dyDescent="0.2">
      <c r="A93">
        <v>91</v>
      </c>
      <c r="B93" t="s">
        <v>8005</v>
      </c>
      <c r="C93" t="s">
        <v>8004</v>
      </c>
      <c r="F93" t="s">
        <v>8003</v>
      </c>
      <c r="G93" t="s">
        <v>6</v>
      </c>
      <c r="H93" t="s">
        <v>5</v>
      </c>
      <c r="I93" t="s">
        <v>8002</v>
      </c>
      <c r="J93">
        <v>60015099</v>
      </c>
      <c r="K93" t="s">
        <v>8001</v>
      </c>
      <c r="L93" t="s">
        <v>328</v>
      </c>
      <c r="M93" t="s">
        <v>3</v>
      </c>
      <c r="N93">
        <v>1</v>
      </c>
      <c r="O93" t="s">
        <v>8000</v>
      </c>
      <c r="P93">
        <v>6603624337</v>
      </c>
      <c r="Q93">
        <v>60015099</v>
      </c>
      <c r="R93" s="7">
        <v>36495</v>
      </c>
      <c r="S93" s="8">
        <f t="shared" si="8"/>
        <v>1999</v>
      </c>
      <c r="T93" s="8">
        <v>1999</v>
      </c>
      <c r="U93" s="8">
        <f t="shared" si="9"/>
        <v>23</v>
      </c>
      <c r="V93" s="7">
        <v>36495</v>
      </c>
      <c r="W93" t="s">
        <v>782</v>
      </c>
      <c r="X93" s="2">
        <v>0.22600000000000001</v>
      </c>
      <c r="Y93" s="6">
        <f t="shared" si="10"/>
        <v>6.0329409252289053E-3</v>
      </c>
      <c r="AA93">
        <v>2786648</v>
      </c>
      <c r="AB93">
        <v>17299</v>
      </c>
      <c r="AD93" t="s">
        <v>2</v>
      </c>
      <c r="AE93">
        <v>17</v>
      </c>
      <c r="AF93">
        <v>5</v>
      </c>
      <c r="AH93" t="s">
        <v>1311</v>
      </c>
      <c r="AI93" t="s">
        <v>7999</v>
      </c>
      <c r="AK93" t="s">
        <v>7998</v>
      </c>
      <c r="AL93">
        <v>6</v>
      </c>
      <c r="AM93" s="5">
        <f t="shared" si="11"/>
        <v>0.2608695652173913</v>
      </c>
      <c r="AN93" s="4">
        <f t="shared" si="12"/>
        <v>3.9510725515697282E-4</v>
      </c>
      <c r="AO93" s="3"/>
      <c r="AP93">
        <v>0</v>
      </c>
      <c r="AR93" t="s">
        <v>1</v>
      </c>
      <c r="AT93" s="2" t="s">
        <v>0</v>
      </c>
      <c r="AU93" s="1">
        <f t="shared" si="13"/>
        <v>0.43415908242073259</v>
      </c>
      <c r="AV93" s="1">
        <f t="shared" si="14"/>
        <v>0.32140240901929396</v>
      </c>
      <c r="AW93" s="1">
        <f t="shared" si="15"/>
        <v>0.20864573561785524</v>
      </c>
    </row>
    <row r="94" spans="1:49" x14ac:dyDescent="0.2">
      <c r="A94">
        <v>92</v>
      </c>
      <c r="B94" t="s">
        <v>7997</v>
      </c>
      <c r="C94" t="s">
        <v>7996</v>
      </c>
      <c r="E94">
        <v>10561584</v>
      </c>
      <c r="F94" t="s">
        <v>7995</v>
      </c>
      <c r="G94" t="s">
        <v>6</v>
      </c>
      <c r="H94" t="s">
        <v>5</v>
      </c>
      <c r="I94" t="s">
        <v>717</v>
      </c>
      <c r="J94">
        <v>60008734</v>
      </c>
      <c r="K94" t="s">
        <v>7994</v>
      </c>
      <c r="L94" t="s">
        <v>35</v>
      </c>
      <c r="M94" t="s">
        <v>34</v>
      </c>
      <c r="N94">
        <v>4</v>
      </c>
      <c r="O94" t="s">
        <v>7993</v>
      </c>
      <c r="P94" t="s">
        <v>7992</v>
      </c>
      <c r="Q94" t="s">
        <v>7991</v>
      </c>
      <c r="R94" s="7">
        <v>36495</v>
      </c>
      <c r="S94" s="8">
        <f t="shared" si="8"/>
        <v>1999</v>
      </c>
      <c r="T94" s="8">
        <v>1999</v>
      </c>
      <c r="U94" s="8">
        <f t="shared" si="9"/>
        <v>23</v>
      </c>
      <c r="V94" s="7">
        <v>36495</v>
      </c>
      <c r="W94" t="s">
        <v>845</v>
      </c>
      <c r="X94" s="2">
        <v>1.9810000000000001</v>
      </c>
      <c r="Y94" s="6">
        <f t="shared" si="10"/>
        <v>5.2881663596807349E-2</v>
      </c>
      <c r="AA94">
        <v>142956</v>
      </c>
      <c r="AB94">
        <v>39034</v>
      </c>
      <c r="AD94" t="s">
        <v>2</v>
      </c>
      <c r="AE94">
        <v>266</v>
      </c>
      <c r="AF94">
        <v>2</v>
      </c>
      <c r="AH94" t="s">
        <v>7990</v>
      </c>
      <c r="AI94" t="s">
        <v>7989</v>
      </c>
      <c r="AJ94" t="s">
        <v>7988</v>
      </c>
      <c r="AK94" t="s">
        <v>7987</v>
      </c>
      <c r="AL94">
        <v>146</v>
      </c>
      <c r="AM94" s="5">
        <f t="shared" si="11"/>
        <v>6.3478260869565215</v>
      </c>
      <c r="AN94" s="4">
        <f t="shared" si="12"/>
        <v>9.6142765421530045E-3</v>
      </c>
      <c r="AO94" s="3"/>
      <c r="AP94">
        <v>1</v>
      </c>
      <c r="AR94" t="s">
        <v>1</v>
      </c>
      <c r="AT94" s="2" t="s">
        <v>0</v>
      </c>
      <c r="AU94" s="1">
        <f t="shared" si="13"/>
        <v>3.9901447480411045</v>
      </c>
      <c r="AV94" s="1">
        <f t="shared" si="14"/>
        <v>3.1247970069480178</v>
      </c>
      <c r="AW94" s="1">
        <f t="shared" si="15"/>
        <v>2.2594492658549306</v>
      </c>
    </row>
    <row r="95" spans="1:49" x14ac:dyDescent="0.2">
      <c r="A95">
        <v>93</v>
      </c>
      <c r="B95" t="s">
        <v>7986</v>
      </c>
      <c r="C95" t="s">
        <v>7985</v>
      </c>
      <c r="D95" t="s">
        <v>7984</v>
      </c>
      <c r="E95">
        <v>10612900</v>
      </c>
      <c r="F95" t="s">
        <v>7983</v>
      </c>
      <c r="G95" t="s">
        <v>6</v>
      </c>
      <c r="H95" t="s">
        <v>5</v>
      </c>
      <c r="I95" t="s">
        <v>7982</v>
      </c>
      <c r="J95">
        <v>60009982</v>
      </c>
      <c r="K95" t="s">
        <v>841</v>
      </c>
      <c r="L95" t="s">
        <v>137</v>
      </c>
      <c r="M95" t="s">
        <v>3</v>
      </c>
      <c r="N95">
        <v>1</v>
      </c>
      <c r="O95" t="s">
        <v>840</v>
      </c>
      <c r="P95">
        <v>35586046100</v>
      </c>
      <c r="Q95">
        <v>60009982</v>
      </c>
      <c r="R95" s="7">
        <v>36495</v>
      </c>
      <c r="S95" s="8">
        <f t="shared" si="8"/>
        <v>1999</v>
      </c>
      <c r="T95" s="8">
        <v>1999</v>
      </c>
      <c r="U95" s="8">
        <f t="shared" si="9"/>
        <v>23</v>
      </c>
      <c r="V95" s="7">
        <v>36495</v>
      </c>
      <c r="W95" t="s">
        <v>839</v>
      </c>
      <c r="X95" s="2">
        <v>1.1479999999999999</v>
      </c>
      <c r="Y95" s="6">
        <f t="shared" si="10"/>
        <v>3.0645204345853019E-2</v>
      </c>
      <c r="AA95">
        <v>189294</v>
      </c>
      <c r="AB95">
        <v>16318</v>
      </c>
      <c r="AD95" t="s">
        <v>2</v>
      </c>
      <c r="AE95">
        <v>46</v>
      </c>
      <c r="AF95">
        <v>12</v>
      </c>
      <c r="AH95" t="s">
        <v>7981</v>
      </c>
      <c r="AI95" t="s">
        <v>7980</v>
      </c>
      <c r="AJ95" t="s">
        <v>7979</v>
      </c>
      <c r="AK95" t="s">
        <v>7978</v>
      </c>
      <c r="AL95">
        <v>19</v>
      </c>
      <c r="AM95" s="5">
        <f t="shared" si="11"/>
        <v>0.82608695652173914</v>
      </c>
      <c r="AN95" s="4">
        <f t="shared" si="12"/>
        <v>1.2511729746637473E-3</v>
      </c>
      <c r="AO95" s="3"/>
      <c r="AP95">
        <v>0</v>
      </c>
      <c r="AQ95" t="s">
        <v>757</v>
      </c>
      <c r="AR95" t="s">
        <v>838</v>
      </c>
      <c r="AS95" t="s">
        <v>756</v>
      </c>
      <c r="AT95" s="2" t="s">
        <v>0</v>
      </c>
      <c r="AU95" s="1">
        <f t="shared" si="13"/>
        <v>2.1826994934496238</v>
      </c>
      <c r="AV95" s="1">
        <f t="shared" si="14"/>
        <v>1.5948188660258384</v>
      </c>
      <c r="AW95" s="1">
        <f t="shared" si="15"/>
        <v>1.0069382386020529</v>
      </c>
    </row>
    <row r="96" spans="1:49" x14ac:dyDescent="0.2">
      <c r="A96">
        <v>94</v>
      </c>
      <c r="B96" t="s">
        <v>7977</v>
      </c>
      <c r="C96" t="s">
        <v>7976</v>
      </c>
      <c r="E96">
        <v>10612906</v>
      </c>
      <c r="F96" t="s">
        <v>7975</v>
      </c>
      <c r="G96" t="s">
        <v>6</v>
      </c>
      <c r="H96" t="s">
        <v>5</v>
      </c>
      <c r="I96" t="s">
        <v>7974</v>
      </c>
      <c r="J96">
        <v>60028628</v>
      </c>
      <c r="K96" t="s">
        <v>7973</v>
      </c>
      <c r="L96" t="s">
        <v>7972</v>
      </c>
      <c r="M96" t="s">
        <v>3</v>
      </c>
      <c r="N96">
        <v>4</v>
      </c>
      <c r="O96" t="s">
        <v>7971</v>
      </c>
      <c r="P96" t="s">
        <v>7970</v>
      </c>
      <c r="Q96" t="s">
        <v>7969</v>
      </c>
      <c r="R96" s="7">
        <v>36495</v>
      </c>
      <c r="S96" s="8">
        <f t="shared" si="8"/>
        <v>1999</v>
      </c>
      <c r="T96" s="8">
        <v>1999</v>
      </c>
      <c r="U96" s="8">
        <f t="shared" si="9"/>
        <v>23</v>
      </c>
      <c r="V96" s="7">
        <v>1999</v>
      </c>
      <c r="W96" t="s">
        <v>839</v>
      </c>
      <c r="X96" s="2">
        <v>1.1479999999999999</v>
      </c>
      <c r="Y96" s="6">
        <f t="shared" si="10"/>
        <v>3.0645204345853019E-2</v>
      </c>
      <c r="AA96">
        <v>189294</v>
      </c>
      <c r="AB96">
        <v>16318</v>
      </c>
      <c r="AD96" t="s">
        <v>2</v>
      </c>
      <c r="AE96">
        <v>46</v>
      </c>
      <c r="AF96">
        <v>12</v>
      </c>
      <c r="AH96" t="s">
        <v>7968</v>
      </c>
      <c r="AI96" t="s">
        <v>7967</v>
      </c>
      <c r="AJ96" t="s">
        <v>7966</v>
      </c>
      <c r="AK96" t="s">
        <v>7965</v>
      </c>
      <c r="AL96">
        <v>20</v>
      </c>
      <c r="AM96" s="5">
        <f t="shared" si="11"/>
        <v>0.86956521739130432</v>
      </c>
      <c r="AN96" s="4">
        <f t="shared" si="12"/>
        <v>1.317024183856576E-3</v>
      </c>
      <c r="AO96" s="3"/>
      <c r="AP96">
        <v>0</v>
      </c>
      <c r="AR96" t="s">
        <v>1</v>
      </c>
      <c r="AT96" s="2" t="s">
        <v>0</v>
      </c>
      <c r="AU96" s="1">
        <f t="shared" si="13"/>
        <v>2.1846750297254087</v>
      </c>
      <c r="AV96" s="1">
        <f t="shared" si="14"/>
        <v>1.5981114264854799</v>
      </c>
      <c r="AW96" s="1">
        <f t="shared" si="15"/>
        <v>1.0115478232455508</v>
      </c>
    </row>
    <row r="97" spans="1:49" x14ac:dyDescent="0.2">
      <c r="A97">
        <v>95</v>
      </c>
      <c r="B97" t="s">
        <v>7964</v>
      </c>
      <c r="F97" t="s">
        <v>7963</v>
      </c>
      <c r="G97" t="s">
        <v>6</v>
      </c>
      <c r="H97" t="s">
        <v>5</v>
      </c>
      <c r="I97" t="s">
        <v>7962</v>
      </c>
      <c r="J97" t="s">
        <v>7957</v>
      </c>
      <c r="K97" t="s">
        <v>7961</v>
      </c>
      <c r="L97" t="s">
        <v>7960</v>
      </c>
      <c r="M97" t="s">
        <v>3701</v>
      </c>
      <c r="N97">
        <v>2</v>
      </c>
      <c r="O97" t="s">
        <v>7959</v>
      </c>
      <c r="P97" t="s">
        <v>7958</v>
      </c>
      <c r="Q97" t="s">
        <v>7957</v>
      </c>
      <c r="R97" s="7">
        <v>36495</v>
      </c>
      <c r="S97" s="8">
        <f t="shared" si="8"/>
        <v>1999</v>
      </c>
      <c r="T97" s="8">
        <v>1999</v>
      </c>
      <c r="U97" s="8">
        <f t="shared" si="9"/>
        <v>23</v>
      </c>
      <c r="V97" s="7">
        <v>1999</v>
      </c>
      <c r="W97" t="s">
        <v>7956</v>
      </c>
      <c r="X97" s="2">
        <v>0.72</v>
      </c>
      <c r="Y97" s="6">
        <f t="shared" si="10"/>
        <v>1.9219988788339873E-2</v>
      </c>
      <c r="AA97">
        <v>678546</v>
      </c>
      <c r="AB97">
        <v>69955</v>
      </c>
      <c r="AD97" t="s">
        <v>2</v>
      </c>
      <c r="AE97">
        <v>68</v>
      </c>
      <c r="AF97">
        <v>1</v>
      </c>
      <c r="AH97" t="s">
        <v>7955</v>
      </c>
      <c r="AI97" t="s">
        <v>7954</v>
      </c>
      <c r="AJ97" t="s">
        <v>7953</v>
      </c>
      <c r="AK97" t="s">
        <v>7952</v>
      </c>
      <c r="AL97">
        <v>11</v>
      </c>
      <c r="AM97" s="5">
        <f t="shared" si="11"/>
        <v>0.47826086956521741</v>
      </c>
      <c r="AN97" s="4">
        <f t="shared" si="12"/>
        <v>7.2436330112111687E-4</v>
      </c>
      <c r="AO97" s="3"/>
      <c r="AP97">
        <v>0</v>
      </c>
      <c r="AR97" t="s">
        <v>1</v>
      </c>
      <c r="AT97" s="2">
        <v>2.839</v>
      </c>
      <c r="AU97" s="1">
        <f t="shared" si="13"/>
        <v>1.3671301142174246</v>
      </c>
      <c r="AV97" s="1">
        <f t="shared" si="14"/>
        <v>0.99721760447304941</v>
      </c>
      <c r="AW97" s="1">
        <f t="shared" si="15"/>
        <v>0.62730509472867435</v>
      </c>
    </row>
    <row r="98" spans="1:49" x14ac:dyDescent="0.2">
      <c r="A98">
        <v>96</v>
      </c>
      <c r="B98" t="s">
        <v>7951</v>
      </c>
      <c r="C98" t="s">
        <v>7950</v>
      </c>
      <c r="F98" t="s">
        <v>7949</v>
      </c>
      <c r="G98" t="s">
        <v>6</v>
      </c>
      <c r="H98" t="s">
        <v>5</v>
      </c>
      <c r="I98" t="s">
        <v>7948</v>
      </c>
      <c r="J98" t="s">
        <v>7947</v>
      </c>
      <c r="K98" t="s">
        <v>7946</v>
      </c>
      <c r="L98" t="s">
        <v>7945</v>
      </c>
      <c r="M98" t="s">
        <v>7944</v>
      </c>
      <c r="N98">
        <v>3</v>
      </c>
      <c r="O98" t="s">
        <v>7943</v>
      </c>
      <c r="P98" t="s">
        <v>7942</v>
      </c>
      <c r="Q98" t="s">
        <v>7941</v>
      </c>
      <c r="R98" s="7">
        <v>36495</v>
      </c>
      <c r="S98" s="8">
        <f t="shared" si="8"/>
        <v>1999</v>
      </c>
      <c r="T98" s="8">
        <v>1999</v>
      </c>
      <c r="U98" s="8">
        <f t="shared" si="9"/>
        <v>23</v>
      </c>
      <c r="V98" s="7">
        <v>1999</v>
      </c>
      <c r="W98" t="s">
        <v>402</v>
      </c>
      <c r="X98" s="2">
        <v>1.1579999999999999</v>
      </c>
      <c r="Y98" s="6">
        <f t="shared" si="10"/>
        <v>3.0912148634579962E-2</v>
      </c>
      <c r="AA98">
        <v>1668595</v>
      </c>
      <c r="AB98">
        <v>14223</v>
      </c>
      <c r="AD98" t="s">
        <v>2</v>
      </c>
      <c r="AE98">
        <v>61</v>
      </c>
      <c r="AF98">
        <v>3</v>
      </c>
      <c r="AH98" t="s">
        <v>7940</v>
      </c>
      <c r="AI98" t="s">
        <v>7939</v>
      </c>
      <c r="AJ98" t="s">
        <v>7938</v>
      </c>
      <c r="AK98" t="s">
        <v>7937</v>
      </c>
      <c r="AL98">
        <v>26</v>
      </c>
      <c r="AM98" s="5">
        <f t="shared" si="11"/>
        <v>1.1304347826086956</v>
      </c>
      <c r="AN98" s="4">
        <f t="shared" si="12"/>
        <v>1.7121314390135488E-3</v>
      </c>
      <c r="AO98" s="3"/>
      <c r="AP98">
        <v>0</v>
      </c>
      <c r="AQ98" t="s">
        <v>5061</v>
      </c>
      <c r="AR98" t="s">
        <v>7936</v>
      </c>
      <c r="AS98" t="s">
        <v>5059</v>
      </c>
      <c r="AT98" s="2">
        <v>3.573</v>
      </c>
      <c r="AU98" s="1">
        <f t="shared" si="13"/>
        <v>2.2152143475910036</v>
      </c>
      <c r="AV98" s="1">
        <f t="shared" si="14"/>
        <v>1.6312140036796756</v>
      </c>
      <c r="AW98" s="1">
        <f t="shared" si="15"/>
        <v>1.0472136597683472</v>
      </c>
    </row>
    <row r="99" spans="1:49" x14ac:dyDescent="0.2">
      <c r="A99">
        <v>97</v>
      </c>
      <c r="B99" t="s">
        <v>7935</v>
      </c>
      <c r="C99" t="s">
        <v>7934</v>
      </c>
      <c r="F99" t="s">
        <v>7933</v>
      </c>
      <c r="G99" t="s">
        <v>6</v>
      </c>
      <c r="H99" t="s">
        <v>5</v>
      </c>
      <c r="I99" t="s">
        <v>7932</v>
      </c>
      <c r="J99" t="s">
        <v>7931</v>
      </c>
      <c r="K99" t="s">
        <v>7930</v>
      </c>
      <c r="L99" t="s">
        <v>7929</v>
      </c>
      <c r="M99" t="s">
        <v>621</v>
      </c>
      <c r="N99">
        <v>2</v>
      </c>
      <c r="O99" t="s">
        <v>7928</v>
      </c>
      <c r="P99" t="s">
        <v>7927</v>
      </c>
      <c r="Q99" t="s">
        <v>7926</v>
      </c>
      <c r="R99" s="7">
        <v>36495</v>
      </c>
      <c r="S99" s="8">
        <f t="shared" si="8"/>
        <v>1999</v>
      </c>
      <c r="T99" s="8">
        <v>1999</v>
      </c>
      <c r="U99" s="8">
        <f t="shared" si="9"/>
        <v>23</v>
      </c>
      <c r="V99" s="7">
        <v>1999</v>
      </c>
      <c r="W99" t="s">
        <v>402</v>
      </c>
      <c r="X99" s="2">
        <v>1.1579999999999999</v>
      </c>
      <c r="Y99" s="6">
        <f t="shared" si="10"/>
        <v>3.0912148634579962E-2</v>
      </c>
      <c r="AA99">
        <v>1668595</v>
      </c>
      <c r="AB99">
        <v>14223</v>
      </c>
      <c r="AD99" t="s">
        <v>2</v>
      </c>
      <c r="AE99">
        <v>61</v>
      </c>
      <c r="AF99">
        <v>3</v>
      </c>
      <c r="AH99" t="s">
        <v>7925</v>
      </c>
      <c r="AI99" t="s">
        <v>7924</v>
      </c>
      <c r="AJ99" t="s">
        <v>7923</v>
      </c>
      <c r="AK99" t="s">
        <v>7922</v>
      </c>
      <c r="AL99">
        <v>22</v>
      </c>
      <c r="AM99" s="5">
        <f t="shared" si="11"/>
        <v>0.95652173913043481</v>
      </c>
      <c r="AN99" s="4">
        <f t="shared" si="12"/>
        <v>1.4487266022422337E-3</v>
      </c>
      <c r="AO99" s="3"/>
      <c r="AP99">
        <v>0</v>
      </c>
      <c r="AR99" t="s">
        <v>1</v>
      </c>
      <c r="AT99" s="2">
        <v>3.573</v>
      </c>
      <c r="AU99" s="1">
        <f t="shared" si="13"/>
        <v>2.2073122024878642</v>
      </c>
      <c r="AV99" s="1">
        <f t="shared" si="14"/>
        <v>1.6180437618411099</v>
      </c>
      <c r="AW99" s="1">
        <f t="shared" si="15"/>
        <v>1.0287753211943551</v>
      </c>
    </row>
    <row r="100" spans="1:49" x14ac:dyDescent="0.2">
      <c r="A100">
        <v>98</v>
      </c>
      <c r="B100" t="s">
        <v>7921</v>
      </c>
      <c r="F100" t="s">
        <v>7920</v>
      </c>
      <c r="G100" t="s">
        <v>6</v>
      </c>
      <c r="H100" t="s">
        <v>5</v>
      </c>
      <c r="I100" t="s">
        <v>7919</v>
      </c>
      <c r="J100">
        <v>60117421</v>
      </c>
      <c r="K100" t="s">
        <v>7918</v>
      </c>
      <c r="L100" t="s">
        <v>286</v>
      </c>
      <c r="M100" t="s">
        <v>65</v>
      </c>
      <c r="N100">
        <v>1</v>
      </c>
      <c r="O100" t="s">
        <v>7917</v>
      </c>
      <c r="P100">
        <v>6603033486</v>
      </c>
      <c r="Q100">
        <v>60117421</v>
      </c>
      <c r="R100" s="7">
        <v>36495</v>
      </c>
      <c r="S100" s="8">
        <f t="shared" si="8"/>
        <v>1999</v>
      </c>
      <c r="T100" s="8">
        <v>1999</v>
      </c>
      <c r="U100" s="8">
        <f t="shared" si="9"/>
        <v>23</v>
      </c>
      <c r="V100" s="7">
        <v>1999</v>
      </c>
      <c r="W100" t="s">
        <v>7916</v>
      </c>
      <c r="X100" s="2">
        <v>0.27800000000000002</v>
      </c>
      <c r="Y100" s="6">
        <f t="shared" si="10"/>
        <v>7.4210512266090073E-3</v>
      </c>
      <c r="AA100">
        <v>12178837</v>
      </c>
      <c r="AB100">
        <v>24077</v>
      </c>
      <c r="AD100" t="s">
        <v>2</v>
      </c>
      <c r="AE100">
        <v>45</v>
      </c>
      <c r="AF100">
        <v>2</v>
      </c>
      <c r="AH100" t="s">
        <v>7915</v>
      </c>
      <c r="AI100" t="s">
        <v>7914</v>
      </c>
      <c r="AJ100" t="s">
        <v>7913</v>
      </c>
      <c r="AK100" t="s">
        <v>7912</v>
      </c>
      <c r="AL100">
        <v>1</v>
      </c>
      <c r="AM100" s="5">
        <f t="shared" si="11"/>
        <v>4.3478260869565216E-2</v>
      </c>
      <c r="AN100" s="4">
        <f t="shared" si="12"/>
        <v>6.5851209192828807E-5</v>
      </c>
      <c r="AO100" s="3"/>
      <c r="AP100">
        <v>0</v>
      </c>
      <c r="AR100" t="s">
        <v>1</v>
      </c>
      <c r="AT100" s="2" t="s">
        <v>0</v>
      </c>
      <c r="AU100" s="1">
        <f t="shared" si="13"/>
        <v>0.52144912213841532</v>
      </c>
      <c r="AV100" s="1">
        <f t="shared" si="14"/>
        <v>0.37434512179009177</v>
      </c>
      <c r="AW100" s="1">
        <f t="shared" si="15"/>
        <v>0.22724112144176822</v>
      </c>
    </row>
    <row r="101" spans="1:49" x14ac:dyDescent="0.2">
      <c r="A101">
        <v>99</v>
      </c>
      <c r="B101" t="s">
        <v>7911</v>
      </c>
      <c r="C101" t="s">
        <v>7910</v>
      </c>
      <c r="F101" t="s">
        <v>7909</v>
      </c>
      <c r="G101" t="s">
        <v>6</v>
      </c>
      <c r="H101" t="s">
        <v>5</v>
      </c>
      <c r="I101" t="s">
        <v>7908</v>
      </c>
      <c r="J101" t="s">
        <v>7907</v>
      </c>
      <c r="K101" t="s">
        <v>7906</v>
      </c>
      <c r="L101" t="s">
        <v>7905</v>
      </c>
      <c r="M101" t="s">
        <v>846</v>
      </c>
      <c r="N101">
        <v>7</v>
      </c>
      <c r="O101" t="s">
        <v>7904</v>
      </c>
      <c r="P101" t="s">
        <v>7903</v>
      </c>
      <c r="Q101" t="s">
        <v>7902</v>
      </c>
      <c r="R101" s="7">
        <v>36495</v>
      </c>
      <c r="S101" s="8">
        <f t="shared" si="8"/>
        <v>1999</v>
      </c>
      <c r="T101" s="8">
        <v>1999</v>
      </c>
      <c r="U101" s="8">
        <f t="shared" si="9"/>
        <v>23</v>
      </c>
      <c r="V101" s="7">
        <v>1999</v>
      </c>
      <c r="W101" t="s">
        <v>402</v>
      </c>
      <c r="X101" s="2">
        <v>1.1579999999999999</v>
      </c>
      <c r="Y101" s="6">
        <f t="shared" si="10"/>
        <v>3.0912148634579962E-2</v>
      </c>
      <c r="AA101">
        <v>1668595</v>
      </c>
      <c r="AB101">
        <v>14223</v>
      </c>
      <c r="AD101" t="s">
        <v>2</v>
      </c>
      <c r="AE101">
        <v>61</v>
      </c>
      <c r="AF101">
        <v>3</v>
      </c>
      <c r="AH101" t="s">
        <v>7901</v>
      </c>
      <c r="AI101" t="s">
        <v>7900</v>
      </c>
      <c r="AJ101" t="s">
        <v>7899</v>
      </c>
      <c r="AK101" t="s">
        <v>7898</v>
      </c>
      <c r="AL101">
        <v>16</v>
      </c>
      <c r="AM101" s="5">
        <f t="shared" si="11"/>
        <v>0.69565217391304346</v>
      </c>
      <c r="AN101" s="4">
        <f t="shared" si="12"/>
        <v>1.0536193470852609E-3</v>
      </c>
      <c r="AO101" s="3"/>
      <c r="AP101">
        <v>0</v>
      </c>
      <c r="AR101" t="s">
        <v>1</v>
      </c>
      <c r="AT101" s="2">
        <v>3.573</v>
      </c>
      <c r="AU101" s="1">
        <f t="shared" si="13"/>
        <v>2.1954589848331549</v>
      </c>
      <c r="AV101" s="1">
        <f t="shared" si="14"/>
        <v>1.598288399083261</v>
      </c>
      <c r="AW101" s="1">
        <f t="shared" si="15"/>
        <v>1.0011178133333671</v>
      </c>
    </row>
    <row r="102" spans="1:49" x14ac:dyDescent="0.2">
      <c r="A102">
        <v>100</v>
      </c>
      <c r="B102" t="s">
        <v>7897</v>
      </c>
      <c r="C102" t="s">
        <v>7896</v>
      </c>
      <c r="F102" t="s">
        <v>7895</v>
      </c>
      <c r="G102" t="s">
        <v>6</v>
      </c>
      <c r="H102" t="s">
        <v>5</v>
      </c>
      <c r="I102" t="s">
        <v>7894</v>
      </c>
      <c r="J102">
        <v>60020697</v>
      </c>
      <c r="K102" t="s">
        <v>1730</v>
      </c>
      <c r="L102" t="s">
        <v>1729</v>
      </c>
      <c r="M102" t="s">
        <v>78</v>
      </c>
      <c r="N102">
        <v>4</v>
      </c>
      <c r="O102" t="s">
        <v>7893</v>
      </c>
      <c r="P102" t="s">
        <v>7892</v>
      </c>
      <c r="Q102" t="s">
        <v>7891</v>
      </c>
      <c r="R102" s="7">
        <v>36495</v>
      </c>
      <c r="S102" s="8">
        <f t="shared" si="8"/>
        <v>1999</v>
      </c>
      <c r="T102" s="8">
        <v>1999</v>
      </c>
      <c r="U102" s="8">
        <f t="shared" si="9"/>
        <v>23</v>
      </c>
      <c r="V102" s="7">
        <v>1999</v>
      </c>
      <c r="W102" t="s">
        <v>7879</v>
      </c>
      <c r="X102" s="2">
        <v>0.34799999999999998</v>
      </c>
      <c r="Y102" s="6">
        <f t="shared" si="10"/>
        <v>9.2896612476976049E-3</v>
      </c>
      <c r="AA102" t="s">
        <v>7878</v>
      </c>
      <c r="AB102">
        <v>27432</v>
      </c>
      <c r="AD102" t="s">
        <v>2</v>
      </c>
      <c r="AE102">
        <v>16</v>
      </c>
      <c r="AF102">
        <v>4</v>
      </c>
      <c r="AH102" t="s">
        <v>7890</v>
      </c>
      <c r="AI102" t="s">
        <v>7889</v>
      </c>
      <c r="AK102" t="s">
        <v>7888</v>
      </c>
      <c r="AL102">
        <v>2</v>
      </c>
      <c r="AM102" s="5">
        <f t="shared" si="11"/>
        <v>8.6956521739130432E-2</v>
      </c>
      <c r="AN102" s="4">
        <f t="shared" si="12"/>
        <v>1.3170241838565761E-4</v>
      </c>
      <c r="AO102" s="3"/>
      <c r="AP102">
        <v>0</v>
      </c>
      <c r="AR102" t="s">
        <v>1</v>
      </c>
      <c r="AT102" s="2">
        <v>1.4830000000000001</v>
      </c>
      <c r="AU102" s="1">
        <f t="shared" si="13"/>
        <v>0.65422735989040204</v>
      </c>
      <c r="AV102" s="1">
        <f t="shared" si="14"/>
        <v>0.47106818330416311</v>
      </c>
      <c r="AW102" s="1">
        <f t="shared" si="15"/>
        <v>0.28790900671792419</v>
      </c>
    </row>
    <row r="103" spans="1:49" x14ac:dyDescent="0.2">
      <c r="A103">
        <v>101</v>
      </c>
      <c r="B103" t="s">
        <v>7887</v>
      </c>
      <c r="C103" t="s">
        <v>7886</v>
      </c>
      <c r="F103" t="s">
        <v>7885</v>
      </c>
      <c r="G103" t="s">
        <v>6</v>
      </c>
      <c r="H103" t="s">
        <v>5</v>
      </c>
      <c r="I103" t="s">
        <v>7884</v>
      </c>
      <c r="J103">
        <v>60007171</v>
      </c>
      <c r="K103" t="s">
        <v>7883</v>
      </c>
      <c r="L103" t="s">
        <v>400</v>
      </c>
      <c r="M103" t="s">
        <v>78</v>
      </c>
      <c r="N103">
        <v>2</v>
      </c>
      <c r="O103" t="s">
        <v>7882</v>
      </c>
      <c r="P103" t="s">
        <v>7881</v>
      </c>
      <c r="Q103" t="s">
        <v>7880</v>
      </c>
      <c r="R103" s="7">
        <v>36495</v>
      </c>
      <c r="S103" s="8">
        <f t="shared" si="8"/>
        <v>1999</v>
      </c>
      <c r="T103" s="8">
        <v>1999</v>
      </c>
      <c r="U103" s="8">
        <f t="shared" si="9"/>
        <v>23</v>
      </c>
      <c r="V103" s="7">
        <v>1999</v>
      </c>
      <c r="W103" t="s">
        <v>7879</v>
      </c>
      <c r="X103" s="2">
        <v>0.34799999999999998</v>
      </c>
      <c r="Y103" s="6">
        <f t="shared" si="10"/>
        <v>9.2896612476976049E-3</v>
      </c>
      <c r="AA103" t="s">
        <v>7878</v>
      </c>
      <c r="AB103">
        <v>27432</v>
      </c>
      <c r="AD103" t="s">
        <v>2</v>
      </c>
      <c r="AE103">
        <v>16</v>
      </c>
      <c r="AF103">
        <v>3</v>
      </c>
      <c r="AH103" t="s">
        <v>7877</v>
      </c>
      <c r="AI103" t="s">
        <v>7876</v>
      </c>
      <c r="AK103" t="s">
        <v>7875</v>
      </c>
      <c r="AL103">
        <v>0</v>
      </c>
      <c r="AM103" s="5">
        <f t="shared" si="11"/>
        <v>0</v>
      </c>
      <c r="AN103" s="4">
        <f t="shared" si="12"/>
        <v>0</v>
      </c>
      <c r="AO103" s="3"/>
      <c r="AP103">
        <v>0</v>
      </c>
      <c r="AR103" t="s">
        <v>1</v>
      </c>
      <c r="AT103" s="2">
        <v>1.4830000000000001</v>
      </c>
      <c r="AU103" s="1">
        <f t="shared" si="13"/>
        <v>0.65027628733883236</v>
      </c>
      <c r="AV103" s="1">
        <f t="shared" si="14"/>
        <v>0.46448306238488024</v>
      </c>
      <c r="AW103" s="1">
        <f t="shared" si="15"/>
        <v>0.27868983743092812</v>
      </c>
    </row>
    <row r="104" spans="1:49" x14ac:dyDescent="0.2">
      <c r="A104">
        <v>102</v>
      </c>
      <c r="B104" t="s">
        <v>7874</v>
      </c>
      <c r="C104" t="s">
        <v>7873</v>
      </c>
      <c r="D104" t="s">
        <v>7872</v>
      </c>
      <c r="F104" t="s">
        <v>7871</v>
      </c>
      <c r="G104" t="s">
        <v>6</v>
      </c>
      <c r="H104" t="s">
        <v>5</v>
      </c>
      <c r="I104" t="s">
        <v>7870</v>
      </c>
      <c r="J104" t="s">
        <v>7869</v>
      </c>
      <c r="K104" t="s">
        <v>7868</v>
      </c>
      <c r="L104" t="s">
        <v>7867</v>
      </c>
      <c r="M104" t="s">
        <v>462</v>
      </c>
      <c r="N104">
        <v>5</v>
      </c>
      <c r="O104" t="s">
        <v>7866</v>
      </c>
      <c r="P104" t="s">
        <v>7865</v>
      </c>
      <c r="Q104" t="s">
        <v>7864</v>
      </c>
      <c r="R104" s="7">
        <v>36495</v>
      </c>
      <c r="S104" s="8">
        <f t="shared" si="8"/>
        <v>1999</v>
      </c>
      <c r="T104" s="8">
        <v>1999</v>
      </c>
      <c r="U104" s="8">
        <f t="shared" si="9"/>
        <v>23</v>
      </c>
      <c r="V104" s="7">
        <v>36495</v>
      </c>
      <c r="W104" t="s">
        <v>7863</v>
      </c>
      <c r="X104" s="2">
        <v>0.92500000000000004</v>
      </c>
      <c r="Y104" s="6">
        <f t="shared" si="10"/>
        <v>2.4692346707242199E-2</v>
      </c>
      <c r="AA104">
        <v>1657836</v>
      </c>
      <c r="AB104">
        <v>12781</v>
      </c>
      <c r="AD104" t="s">
        <v>2</v>
      </c>
      <c r="AE104">
        <v>44</v>
      </c>
      <c r="AF104">
        <v>2</v>
      </c>
      <c r="AH104" t="s">
        <v>7862</v>
      </c>
      <c r="AI104" t="s">
        <v>7861</v>
      </c>
      <c r="AJ104" t="s">
        <v>7860</v>
      </c>
      <c r="AK104" t="s">
        <v>7859</v>
      </c>
      <c r="AL104">
        <v>45</v>
      </c>
      <c r="AM104" s="5">
        <f t="shared" si="11"/>
        <v>1.9565217391304348</v>
      </c>
      <c r="AN104" s="4">
        <f t="shared" si="12"/>
        <v>2.9633044136772963E-3</v>
      </c>
      <c r="AO104" s="3"/>
      <c r="AP104">
        <v>0</v>
      </c>
      <c r="AQ104" t="s">
        <v>428</v>
      </c>
      <c r="AR104" t="s">
        <v>7858</v>
      </c>
      <c r="AS104" t="s">
        <v>427</v>
      </c>
      <c r="AT104" s="2">
        <v>2.4220000000000002</v>
      </c>
      <c r="AU104" s="1">
        <f t="shared" si="13"/>
        <v>1.8173634019172726</v>
      </c>
      <c r="AV104" s="1">
        <f t="shared" si="14"/>
        <v>1.3827825560459748</v>
      </c>
      <c r="AW104" s="1">
        <f t="shared" si="15"/>
        <v>0.94820171017467658</v>
      </c>
    </row>
    <row r="105" spans="1:49" x14ac:dyDescent="0.2">
      <c r="A105">
        <v>103</v>
      </c>
      <c r="B105" t="s">
        <v>7857</v>
      </c>
      <c r="C105" t="s">
        <v>7856</v>
      </c>
      <c r="D105" t="s">
        <v>7855</v>
      </c>
      <c r="F105" t="s">
        <v>7854</v>
      </c>
      <c r="G105" t="s">
        <v>6</v>
      </c>
      <c r="H105" t="s">
        <v>5</v>
      </c>
      <c r="I105" t="s">
        <v>577</v>
      </c>
      <c r="J105">
        <v>60000745</v>
      </c>
      <c r="K105" t="s">
        <v>212</v>
      </c>
      <c r="L105" t="s">
        <v>211</v>
      </c>
      <c r="M105" t="s">
        <v>3</v>
      </c>
      <c r="N105">
        <v>2</v>
      </c>
      <c r="O105" t="s">
        <v>7853</v>
      </c>
      <c r="P105" t="s">
        <v>7852</v>
      </c>
      <c r="Q105" t="s">
        <v>208</v>
      </c>
      <c r="R105" s="7">
        <v>36495</v>
      </c>
      <c r="S105" s="8">
        <f t="shared" si="8"/>
        <v>1999</v>
      </c>
      <c r="T105" s="8">
        <v>1999</v>
      </c>
      <c r="U105" s="8">
        <f t="shared" si="9"/>
        <v>23</v>
      </c>
      <c r="V105" s="7">
        <v>1999</v>
      </c>
      <c r="W105" t="s">
        <v>174</v>
      </c>
      <c r="X105" s="2">
        <v>1.3720000000000001</v>
      </c>
      <c r="Y105" s="6">
        <f t="shared" si="10"/>
        <v>3.662475641333654E-2</v>
      </c>
      <c r="AA105">
        <v>189480</v>
      </c>
      <c r="AB105">
        <v>17366</v>
      </c>
      <c r="AD105" t="s">
        <v>2</v>
      </c>
      <c r="AE105">
        <v>47</v>
      </c>
      <c r="AF105" t="s">
        <v>7674</v>
      </c>
      <c r="AH105" t="s">
        <v>7851</v>
      </c>
      <c r="AI105" t="s">
        <v>7850</v>
      </c>
      <c r="AJ105" t="s">
        <v>7849</v>
      </c>
      <c r="AK105" t="s">
        <v>7848</v>
      </c>
      <c r="AL105">
        <v>46</v>
      </c>
      <c r="AM105" s="5">
        <f t="shared" si="11"/>
        <v>2</v>
      </c>
      <c r="AN105" s="4">
        <f t="shared" si="12"/>
        <v>3.0291556228701248E-3</v>
      </c>
      <c r="AO105" s="3"/>
      <c r="AP105">
        <v>0</v>
      </c>
      <c r="AQ105" t="s">
        <v>205</v>
      </c>
      <c r="AR105" t="s">
        <v>7847</v>
      </c>
      <c r="AS105" t="s">
        <v>204</v>
      </c>
      <c r="AT105" s="2" t="s">
        <v>0</v>
      </c>
      <c r="AU105" s="1">
        <f t="shared" si="13"/>
        <v>2.6546076176196616</v>
      </c>
      <c r="AV105" s="1">
        <f t="shared" si="14"/>
        <v>1.9826956018103332</v>
      </c>
      <c r="AW105" s="1">
        <f t="shared" si="15"/>
        <v>1.3107835860010049</v>
      </c>
    </row>
    <row r="106" spans="1:49" x14ac:dyDescent="0.2">
      <c r="A106">
        <v>104</v>
      </c>
      <c r="B106" t="s">
        <v>7846</v>
      </c>
      <c r="C106" t="s">
        <v>7845</v>
      </c>
      <c r="F106" t="s">
        <v>7844</v>
      </c>
      <c r="G106" t="s">
        <v>6</v>
      </c>
      <c r="H106" t="s">
        <v>5</v>
      </c>
      <c r="I106" t="s">
        <v>7843</v>
      </c>
      <c r="J106" t="s">
        <v>7842</v>
      </c>
      <c r="K106" t="s">
        <v>7841</v>
      </c>
      <c r="L106" t="s">
        <v>514</v>
      </c>
      <c r="M106" t="s">
        <v>18</v>
      </c>
      <c r="N106">
        <v>5</v>
      </c>
      <c r="O106" t="s">
        <v>7840</v>
      </c>
      <c r="P106" t="s">
        <v>7839</v>
      </c>
      <c r="Q106" t="s">
        <v>7838</v>
      </c>
      <c r="R106" s="7">
        <v>36495</v>
      </c>
      <c r="S106" s="8">
        <f t="shared" si="8"/>
        <v>1999</v>
      </c>
      <c r="T106" s="8">
        <v>1999</v>
      </c>
      <c r="U106" s="8">
        <f t="shared" si="9"/>
        <v>23</v>
      </c>
      <c r="V106" s="7">
        <v>1999</v>
      </c>
      <c r="W106" s="12" t="s">
        <v>145</v>
      </c>
      <c r="X106" s="2">
        <v>2.383</v>
      </c>
      <c r="Y106" s="6">
        <f t="shared" si="10"/>
        <v>6.3612824003630442E-2</v>
      </c>
      <c r="AA106">
        <v>13502417</v>
      </c>
      <c r="AB106">
        <v>17416</v>
      </c>
      <c r="AD106" t="s">
        <v>2</v>
      </c>
      <c r="AE106">
        <v>146</v>
      </c>
      <c r="AF106">
        <v>5</v>
      </c>
      <c r="AH106" t="s">
        <v>7837</v>
      </c>
      <c r="AI106" t="s">
        <v>7836</v>
      </c>
      <c r="AK106" t="s">
        <v>7835</v>
      </c>
      <c r="AL106">
        <v>8</v>
      </c>
      <c r="AM106" s="5">
        <f t="shared" si="11"/>
        <v>0.34782608695652173</v>
      </c>
      <c r="AN106" s="4">
        <f t="shared" si="12"/>
        <v>5.2680967354263046E-4</v>
      </c>
      <c r="AO106" s="3"/>
      <c r="AP106">
        <v>0</v>
      </c>
      <c r="AR106" t="s">
        <v>1</v>
      </c>
      <c r="AT106" s="2" t="s">
        <v>0</v>
      </c>
      <c r="AU106" s="1">
        <f t="shared" si="13"/>
        <v>4.4687019704604101</v>
      </c>
      <c r="AV106" s="1">
        <f t="shared" si="14"/>
        <v>3.2069816838586536</v>
      </c>
      <c r="AW106" s="1">
        <f t="shared" si="15"/>
        <v>1.9452613972568973</v>
      </c>
    </row>
    <row r="107" spans="1:49" x14ac:dyDescent="0.2">
      <c r="A107">
        <v>105</v>
      </c>
      <c r="B107" t="s">
        <v>7834</v>
      </c>
      <c r="C107" t="s">
        <v>7833</v>
      </c>
      <c r="F107" t="s">
        <v>7832</v>
      </c>
      <c r="G107" t="s">
        <v>6</v>
      </c>
      <c r="H107" t="s">
        <v>5</v>
      </c>
      <c r="I107" t="s">
        <v>537</v>
      </c>
      <c r="J107">
        <v>60013983</v>
      </c>
      <c r="K107" t="s">
        <v>324</v>
      </c>
      <c r="L107" t="s">
        <v>323</v>
      </c>
      <c r="M107" t="s">
        <v>322</v>
      </c>
      <c r="N107">
        <v>3</v>
      </c>
      <c r="O107" t="s">
        <v>552</v>
      </c>
      <c r="P107" t="s">
        <v>551</v>
      </c>
      <c r="Q107" t="s">
        <v>321</v>
      </c>
      <c r="R107" s="7">
        <v>36495</v>
      </c>
      <c r="S107" s="8">
        <f t="shared" si="8"/>
        <v>1999</v>
      </c>
      <c r="T107" s="8">
        <v>1999</v>
      </c>
      <c r="U107" s="8">
        <f t="shared" si="9"/>
        <v>23</v>
      </c>
      <c r="V107" s="7">
        <v>1999</v>
      </c>
      <c r="W107" s="12" t="s">
        <v>145</v>
      </c>
      <c r="X107" s="2">
        <v>2.383</v>
      </c>
      <c r="Y107" s="6">
        <f t="shared" si="10"/>
        <v>6.3612824003630442E-2</v>
      </c>
      <c r="AA107">
        <v>13502417</v>
      </c>
      <c r="AB107">
        <v>17416</v>
      </c>
      <c r="AD107" t="s">
        <v>2</v>
      </c>
      <c r="AE107">
        <v>146</v>
      </c>
      <c r="AF107">
        <v>4</v>
      </c>
      <c r="AH107" t="s">
        <v>469</v>
      </c>
      <c r="AI107" t="s">
        <v>7831</v>
      </c>
      <c r="AK107" t="s">
        <v>7830</v>
      </c>
      <c r="AL107">
        <v>13</v>
      </c>
      <c r="AM107" s="5">
        <f t="shared" si="11"/>
        <v>0.56521739130434778</v>
      </c>
      <c r="AN107" s="4">
        <f t="shared" si="12"/>
        <v>8.560657195067744E-4</v>
      </c>
      <c r="AO107" s="3"/>
      <c r="AP107">
        <v>0</v>
      </c>
      <c r="AR107" t="s">
        <v>1</v>
      </c>
      <c r="AT107" s="2" t="s">
        <v>0</v>
      </c>
      <c r="AU107" s="1">
        <f t="shared" si="13"/>
        <v>4.4785796518393344</v>
      </c>
      <c r="AV107" s="1">
        <f t="shared" si="14"/>
        <v>3.2234444861568607</v>
      </c>
      <c r="AW107" s="1">
        <f t="shared" si="15"/>
        <v>1.9683093204743873</v>
      </c>
    </row>
    <row r="108" spans="1:49" x14ac:dyDescent="0.2">
      <c r="A108">
        <v>106</v>
      </c>
      <c r="B108" t="s">
        <v>7829</v>
      </c>
      <c r="C108" t="s">
        <v>7828</v>
      </c>
      <c r="F108" t="s">
        <v>7827</v>
      </c>
      <c r="G108" t="s">
        <v>6</v>
      </c>
      <c r="H108" t="s">
        <v>5</v>
      </c>
      <c r="I108" t="s">
        <v>7826</v>
      </c>
      <c r="J108" t="s">
        <v>375</v>
      </c>
      <c r="K108" t="s">
        <v>374</v>
      </c>
      <c r="L108" t="s">
        <v>373</v>
      </c>
      <c r="M108" t="s">
        <v>372</v>
      </c>
      <c r="N108">
        <v>3</v>
      </c>
      <c r="O108" t="s">
        <v>371</v>
      </c>
      <c r="P108" t="s">
        <v>370</v>
      </c>
      <c r="Q108" t="s">
        <v>369</v>
      </c>
      <c r="R108" s="7">
        <v>36495</v>
      </c>
      <c r="S108" s="8">
        <f t="shared" si="8"/>
        <v>1999</v>
      </c>
      <c r="T108" s="8">
        <v>1999</v>
      </c>
      <c r="U108" s="8">
        <f t="shared" si="9"/>
        <v>23</v>
      </c>
      <c r="V108" s="7">
        <v>1999</v>
      </c>
      <c r="W108" s="12" t="s">
        <v>145</v>
      </c>
      <c r="X108" s="2">
        <v>2.383</v>
      </c>
      <c r="Y108" s="6">
        <f t="shared" si="10"/>
        <v>6.3612824003630442E-2</v>
      </c>
      <c r="AA108">
        <v>13502417</v>
      </c>
      <c r="AB108">
        <v>17416</v>
      </c>
      <c r="AD108" t="s">
        <v>2</v>
      </c>
      <c r="AE108">
        <v>146</v>
      </c>
      <c r="AF108">
        <v>4</v>
      </c>
      <c r="AH108" t="s">
        <v>710</v>
      </c>
      <c r="AI108" t="s">
        <v>7825</v>
      </c>
      <c r="AK108" t="s">
        <v>7824</v>
      </c>
      <c r="AL108">
        <v>61</v>
      </c>
      <c r="AM108" s="5">
        <f t="shared" si="11"/>
        <v>2.652173913043478</v>
      </c>
      <c r="AN108" s="4">
        <f t="shared" si="12"/>
        <v>4.0169237607625566E-3</v>
      </c>
      <c r="AO108" s="3"/>
      <c r="AP108">
        <v>0</v>
      </c>
      <c r="AR108" t="s">
        <v>1</v>
      </c>
      <c r="AT108" s="2" t="s">
        <v>0</v>
      </c>
      <c r="AU108" s="1">
        <f t="shared" si="13"/>
        <v>4.5734053930770076</v>
      </c>
      <c r="AV108" s="1">
        <f t="shared" si="14"/>
        <v>3.3814873882196497</v>
      </c>
      <c r="AW108" s="1">
        <f t="shared" si="15"/>
        <v>2.1895693833622922</v>
      </c>
    </row>
    <row r="109" spans="1:49" x14ac:dyDescent="0.2">
      <c r="A109">
        <v>107</v>
      </c>
      <c r="B109" t="s">
        <v>7823</v>
      </c>
      <c r="C109" t="s">
        <v>7822</v>
      </c>
      <c r="F109" t="s">
        <v>7821</v>
      </c>
      <c r="G109" t="s">
        <v>6</v>
      </c>
      <c r="H109" t="s">
        <v>5</v>
      </c>
      <c r="I109" t="s">
        <v>7820</v>
      </c>
      <c r="J109" t="s">
        <v>7819</v>
      </c>
      <c r="K109" t="s">
        <v>7818</v>
      </c>
      <c r="L109" t="s">
        <v>7817</v>
      </c>
      <c r="M109" t="s">
        <v>30</v>
      </c>
      <c r="N109">
        <v>2</v>
      </c>
      <c r="O109" t="s">
        <v>7816</v>
      </c>
      <c r="P109" t="s">
        <v>7815</v>
      </c>
      <c r="Q109" t="s">
        <v>7814</v>
      </c>
      <c r="R109" s="7">
        <v>36495</v>
      </c>
      <c r="S109" s="8">
        <f t="shared" si="8"/>
        <v>1999</v>
      </c>
      <c r="T109" s="8">
        <v>1999</v>
      </c>
      <c r="U109" s="8">
        <f t="shared" si="9"/>
        <v>23</v>
      </c>
      <c r="V109" s="7">
        <v>1999</v>
      </c>
      <c r="W109" t="s">
        <v>685</v>
      </c>
      <c r="X109" s="2">
        <v>0.92900000000000005</v>
      </c>
      <c r="Y109" s="6">
        <f t="shared" si="10"/>
        <v>2.4799124422732979E-2</v>
      </c>
      <c r="AA109">
        <v>10897798</v>
      </c>
      <c r="AB109">
        <v>18896</v>
      </c>
      <c r="AD109" t="s">
        <v>2</v>
      </c>
      <c r="AE109">
        <v>3</v>
      </c>
      <c r="AF109">
        <v>6</v>
      </c>
      <c r="AH109" t="s">
        <v>7813</v>
      </c>
      <c r="AI109" t="s">
        <v>7812</v>
      </c>
      <c r="AK109" t="s">
        <v>7811</v>
      </c>
      <c r="AL109">
        <v>22</v>
      </c>
      <c r="AM109" s="5">
        <f t="shared" si="11"/>
        <v>0.95652173913043481</v>
      </c>
      <c r="AN109" s="4">
        <f t="shared" si="12"/>
        <v>1.4487266022422337E-3</v>
      </c>
      <c r="AO109" s="3"/>
      <c r="AP109">
        <v>0</v>
      </c>
      <c r="AR109" t="s">
        <v>1</v>
      </c>
      <c r="AT109" s="2">
        <v>3.4359999999999999</v>
      </c>
      <c r="AU109" s="1">
        <f t="shared" si="13"/>
        <v>1.7794005076585753</v>
      </c>
      <c r="AV109" s="1">
        <f t="shared" si="14"/>
        <v>1.3123925512487606</v>
      </c>
      <c r="AW109" s="1">
        <f t="shared" si="15"/>
        <v>0.84538459483894568</v>
      </c>
    </row>
    <row r="110" spans="1:49" x14ac:dyDescent="0.2">
      <c r="A110">
        <v>108</v>
      </c>
      <c r="B110" t="s">
        <v>7810</v>
      </c>
      <c r="C110" t="s">
        <v>7809</v>
      </c>
      <c r="D110" t="s">
        <v>7808</v>
      </c>
      <c r="F110" t="s">
        <v>7807</v>
      </c>
      <c r="G110" t="s">
        <v>6</v>
      </c>
      <c r="H110" t="s">
        <v>5</v>
      </c>
      <c r="I110" t="s">
        <v>531</v>
      </c>
      <c r="J110" t="s">
        <v>7806</v>
      </c>
      <c r="K110" t="s">
        <v>7805</v>
      </c>
      <c r="L110" t="s">
        <v>7804</v>
      </c>
      <c r="M110" t="s">
        <v>76</v>
      </c>
      <c r="N110">
        <v>2</v>
      </c>
      <c r="O110" t="s">
        <v>530</v>
      </c>
      <c r="P110" t="s">
        <v>529</v>
      </c>
      <c r="Q110" t="s">
        <v>7803</v>
      </c>
      <c r="R110" s="7">
        <v>36495</v>
      </c>
      <c r="S110" s="8">
        <f t="shared" si="8"/>
        <v>1999</v>
      </c>
      <c r="T110" s="8">
        <v>1999</v>
      </c>
      <c r="U110" s="8">
        <f t="shared" si="9"/>
        <v>23</v>
      </c>
      <c r="V110" s="7">
        <v>1999</v>
      </c>
      <c r="W110" t="s">
        <v>174</v>
      </c>
      <c r="X110" s="2">
        <v>1.3720000000000001</v>
      </c>
      <c r="Y110" s="6">
        <f t="shared" si="10"/>
        <v>3.662475641333654E-2</v>
      </c>
      <c r="AA110">
        <v>189480</v>
      </c>
      <c r="AB110">
        <v>17366</v>
      </c>
      <c r="AD110" t="s">
        <v>2</v>
      </c>
      <c r="AE110">
        <v>47</v>
      </c>
      <c r="AF110" t="s">
        <v>7686</v>
      </c>
      <c r="AH110" t="s">
        <v>7802</v>
      </c>
      <c r="AI110" t="s">
        <v>7801</v>
      </c>
      <c r="AJ110" t="s">
        <v>7800</v>
      </c>
      <c r="AK110" t="s">
        <v>7799</v>
      </c>
      <c r="AL110">
        <v>105</v>
      </c>
      <c r="AM110" s="5">
        <f t="shared" si="11"/>
        <v>4.5652173913043477</v>
      </c>
      <c r="AN110" s="4">
        <f t="shared" si="12"/>
        <v>6.9143769652470245E-3</v>
      </c>
      <c r="AO110" s="3"/>
      <c r="AP110">
        <v>0</v>
      </c>
      <c r="AQ110" t="s">
        <v>122</v>
      </c>
      <c r="AR110" t="s">
        <v>1</v>
      </c>
      <c r="AS110" t="s">
        <v>121</v>
      </c>
      <c r="AT110" s="2" t="s">
        <v>0</v>
      </c>
      <c r="AU110" s="1">
        <f t="shared" si="13"/>
        <v>2.7711642578909683</v>
      </c>
      <c r="AV110" s="1">
        <f t="shared" si="14"/>
        <v>2.1769566689291779</v>
      </c>
      <c r="AW110" s="1">
        <f t="shared" si="15"/>
        <v>1.5827490799673878</v>
      </c>
    </row>
    <row r="111" spans="1:49" x14ac:dyDescent="0.2">
      <c r="A111">
        <v>109</v>
      </c>
      <c r="B111" t="s">
        <v>7798</v>
      </c>
      <c r="C111" t="s">
        <v>7797</v>
      </c>
      <c r="D111" t="s">
        <v>7796</v>
      </c>
      <c r="F111" t="s">
        <v>7795</v>
      </c>
      <c r="G111" t="s">
        <v>6</v>
      </c>
      <c r="H111" t="s">
        <v>5</v>
      </c>
      <c r="I111" t="s">
        <v>754</v>
      </c>
      <c r="J111">
        <v>60110755</v>
      </c>
      <c r="K111" t="s">
        <v>246</v>
      </c>
      <c r="L111" t="s">
        <v>245</v>
      </c>
      <c r="M111" t="s">
        <v>47</v>
      </c>
      <c r="N111">
        <v>2</v>
      </c>
      <c r="O111" t="s">
        <v>7794</v>
      </c>
      <c r="P111" t="s">
        <v>7793</v>
      </c>
      <c r="Q111" t="s">
        <v>244</v>
      </c>
      <c r="R111" s="7">
        <v>36495</v>
      </c>
      <c r="S111" s="8">
        <f t="shared" si="8"/>
        <v>1999</v>
      </c>
      <c r="T111" s="8">
        <v>1999</v>
      </c>
      <c r="U111" s="8">
        <f t="shared" si="9"/>
        <v>23</v>
      </c>
      <c r="V111" s="7">
        <v>1999</v>
      </c>
      <c r="W111" t="s">
        <v>174</v>
      </c>
      <c r="X111" s="2">
        <v>1.3720000000000001</v>
      </c>
      <c r="Y111" s="6">
        <f t="shared" si="10"/>
        <v>3.662475641333654E-2</v>
      </c>
      <c r="AA111">
        <v>189480</v>
      </c>
      <c r="AB111">
        <v>17366</v>
      </c>
      <c r="AD111" t="s">
        <v>2</v>
      </c>
      <c r="AE111">
        <v>47</v>
      </c>
      <c r="AF111" t="s">
        <v>7674</v>
      </c>
      <c r="AH111" t="s">
        <v>7792</v>
      </c>
      <c r="AI111" t="s">
        <v>7791</v>
      </c>
      <c r="AJ111" t="s">
        <v>7790</v>
      </c>
      <c r="AK111" t="s">
        <v>7789</v>
      </c>
      <c r="AL111">
        <v>27</v>
      </c>
      <c r="AM111" s="5">
        <f t="shared" si="11"/>
        <v>1.173913043478261</v>
      </c>
      <c r="AN111" s="4">
        <f t="shared" si="12"/>
        <v>1.7779826482063779E-3</v>
      </c>
      <c r="AO111" s="3"/>
      <c r="AP111">
        <v>0</v>
      </c>
      <c r="AR111" t="s">
        <v>1</v>
      </c>
      <c r="AT111" s="2" t="s">
        <v>0</v>
      </c>
      <c r="AU111" s="1">
        <f t="shared" si="13"/>
        <v>2.6170724283797488</v>
      </c>
      <c r="AV111" s="1">
        <f t="shared" si="14"/>
        <v>1.9201369530771457</v>
      </c>
      <c r="AW111" s="1">
        <f t="shared" si="15"/>
        <v>1.2232014777745426</v>
      </c>
    </row>
    <row r="112" spans="1:49" x14ac:dyDescent="0.2">
      <c r="A112">
        <v>110</v>
      </c>
      <c r="B112" t="s">
        <v>7788</v>
      </c>
      <c r="C112" t="s">
        <v>7787</v>
      </c>
      <c r="D112" t="s">
        <v>7786</v>
      </c>
      <c r="F112" t="s">
        <v>7785</v>
      </c>
      <c r="G112" t="s">
        <v>6</v>
      </c>
      <c r="H112" t="s">
        <v>5</v>
      </c>
      <c r="I112" t="s">
        <v>695</v>
      </c>
      <c r="J112" t="s">
        <v>7784</v>
      </c>
      <c r="K112" t="s">
        <v>7783</v>
      </c>
      <c r="L112" t="s">
        <v>7782</v>
      </c>
      <c r="M112" t="s">
        <v>30</v>
      </c>
      <c r="N112">
        <v>4</v>
      </c>
      <c r="O112" t="s">
        <v>7781</v>
      </c>
      <c r="P112" t="s">
        <v>7780</v>
      </c>
      <c r="Q112" t="s">
        <v>7779</v>
      </c>
      <c r="R112" s="7">
        <v>36495</v>
      </c>
      <c r="S112" s="8">
        <f t="shared" si="8"/>
        <v>1999</v>
      </c>
      <c r="T112" s="8">
        <v>1999</v>
      </c>
      <c r="U112" s="8">
        <f t="shared" si="9"/>
        <v>23</v>
      </c>
      <c r="V112" s="7">
        <v>1999</v>
      </c>
      <c r="W112" t="s">
        <v>174</v>
      </c>
      <c r="X112" s="2">
        <v>1.3720000000000001</v>
      </c>
      <c r="Y112" s="6">
        <f t="shared" si="10"/>
        <v>3.662475641333654E-2</v>
      </c>
      <c r="AA112">
        <v>189480</v>
      </c>
      <c r="AB112">
        <v>17366</v>
      </c>
      <c r="AD112" t="s">
        <v>2</v>
      </c>
      <c r="AE112">
        <v>47</v>
      </c>
      <c r="AF112" t="s">
        <v>7778</v>
      </c>
      <c r="AH112" t="s">
        <v>7777</v>
      </c>
      <c r="AI112" t="s">
        <v>7776</v>
      </c>
      <c r="AJ112" t="s">
        <v>7775</v>
      </c>
      <c r="AK112" t="s">
        <v>7774</v>
      </c>
      <c r="AL112">
        <v>96</v>
      </c>
      <c r="AM112" s="5">
        <f t="shared" si="11"/>
        <v>4.1739130434782608</v>
      </c>
      <c r="AN112" s="4">
        <f t="shared" si="12"/>
        <v>6.3217160825115651E-3</v>
      </c>
      <c r="AO112" s="3"/>
      <c r="AP112">
        <v>0</v>
      </c>
      <c r="AR112" t="s">
        <v>1</v>
      </c>
      <c r="AT112" s="2" t="s">
        <v>0</v>
      </c>
      <c r="AU112" s="1">
        <f t="shared" si="13"/>
        <v>2.7533844314089047</v>
      </c>
      <c r="AV112" s="1">
        <f t="shared" si="14"/>
        <v>2.1473236247924055</v>
      </c>
      <c r="AW112" s="1">
        <f t="shared" si="15"/>
        <v>1.5412628181759056</v>
      </c>
    </row>
    <row r="113" spans="1:49" x14ac:dyDescent="0.2">
      <c r="A113">
        <v>111</v>
      </c>
      <c r="B113" t="s">
        <v>7773</v>
      </c>
      <c r="C113" t="s">
        <v>7772</v>
      </c>
      <c r="F113" t="s">
        <v>7771</v>
      </c>
      <c r="G113" t="s">
        <v>6</v>
      </c>
      <c r="H113" t="s">
        <v>5</v>
      </c>
      <c r="I113" t="s">
        <v>7770</v>
      </c>
      <c r="J113" t="s">
        <v>7769</v>
      </c>
      <c r="K113" t="s">
        <v>7768</v>
      </c>
      <c r="L113" t="s">
        <v>7767</v>
      </c>
      <c r="M113" t="s">
        <v>7766</v>
      </c>
      <c r="N113">
        <v>3</v>
      </c>
      <c r="O113" t="s">
        <v>7765</v>
      </c>
      <c r="P113" t="s">
        <v>7764</v>
      </c>
      <c r="Q113" t="s">
        <v>7763</v>
      </c>
      <c r="R113" s="7">
        <v>36495</v>
      </c>
      <c r="S113" s="8">
        <f t="shared" si="8"/>
        <v>1999</v>
      </c>
      <c r="T113" s="8">
        <v>1999</v>
      </c>
      <c r="U113" s="8">
        <f t="shared" si="9"/>
        <v>23</v>
      </c>
      <c r="V113" s="7">
        <v>1999</v>
      </c>
      <c r="W113" t="s">
        <v>167</v>
      </c>
      <c r="X113" s="2">
        <v>1.468</v>
      </c>
      <c r="Y113" s="6">
        <f t="shared" si="10"/>
        <v>3.9187421585115186E-2</v>
      </c>
      <c r="AA113">
        <v>906778</v>
      </c>
      <c r="AB113">
        <v>18931</v>
      </c>
      <c r="AD113" t="s">
        <v>2</v>
      </c>
      <c r="AE113">
        <v>47</v>
      </c>
      <c r="AF113">
        <v>9</v>
      </c>
      <c r="AH113" t="s">
        <v>7762</v>
      </c>
      <c r="AI113" t="s">
        <v>7761</v>
      </c>
      <c r="AK113" t="s">
        <v>7760</v>
      </c>
      <c r="AL113">
        <v>87</v>
      </c>
      <c r="AM113" s="5">
        <f t="shared" si="11"/>
        <v>3.7826086956521738</v>
      </c>
      <c r="AN113" s="4">
        <f t="shared" si="12"/>
        <v>5.7290551997761056E-3</v>
      </c>
      <c r="AO113" s="3"/>
      <c r="AP113">
        <v>0</v>
      </c>
      <c r="AQ113" t="s">
        <v>122</v>
      </c>
      <c r="AR113" t="s">
        <v>1</v>
      </c>
      <c r="AS113" t="s">
        <v>121</v>
      </c>
      <c r="AT113" s="2">
        <v>5.0830000000000002</v>
      </c>
      <c r="AU113" s="1">
        <f t="shared" si="13"/>
        <v>2.9149911669513457</v>
      </c>
      <c r="AV113" s="1">
        <f t="shared" si="14"/>
        <v>2.2458238392445642</v>
      </c>
      <c r="AW113" s="1">
        <f t="shared" si="15"/>
        <v>1.5766565115377829</v>
      </c>
    </row>
    <row r="114" spans="1:49" x14ac:dyDescent="0.2">
      <c r="A114">
        <v>112</v>
      </c>
      <c r="B114" t="s">
        <v>7759</v>
      </c>
      <c r="C114" t="s">
        <v>7758</v>
      </c>
      <c r="F114" t="s">
        <v>7757</v>
      </c>
      <c r="G114" t="s">
        <v>6</v>
      </c>
      <c r="H114" t="s">
        <v>5</v>
      </c>
      <c r="I114" t="s">
        <v>7756</v>
      </c>
      <c r="N114">
        <v>1</v>
      </c>
      <c r="O114" t="s">
        <v>7755</v>
      </c>
      <c r="P114">
        <v>7005312841</v>
      </c>
      <c r="R114" s="7">
        <v>36495</v>
      </c>
      <c r="S114" s="8">
        <f t="shared" si="8"/>
        <v>1999</v>
      </c>
      <c r="T114" s="8">
        <v>1999</v>
      </c>
      <c r="U114" s="8">
        <f t="shared" si="9"/>
        <v>23</v>
      </c>
      <c r="V114" s="7">
        <v>1999</v>
      </c>
      <c r="W114" t="s">
        <v>276</v>
      </c>
      <c r="X114" s="2">
        <v>0.22500000000000001</v>
      </c>
      <c r="Y114" s="6">
        <f t="shared" si="10"/>
        <v>6.0062464963562111E-3</v>
      </c>
      <c r="AA114">
        <v>189235</v>
      </c>
      <c r="AB114">
        <v>17318</v>
      </c>
      <c r="AD114" t="s">
        <v>2</v>
      </c>
      <c r="AE114">
        <v>36</v>
      </c>
      <c r="AF114">
        <v>9</v>
      </c>
      <c r="AH114" t="s">
        <v>7754</v>
      </c>
      <c r="AI114" t="s">
        <v>7753</v>
      </c>
      <c r="AK114" t="s">
        <v>7752</v>
      </c>
      <c r="AL114">
        <v>2</v>
      </c>
      <c r="AM114" s="5">
        <f t="shared" si="11"/>
        <v>8.6956521739130432E-2</v>
      </c>
      <c r="AN114" s="4">
        <f t="shared" si="12"/>
        <v>1.3170241838565761E-4</v>
      </c>
      <c r="AO114" s="3"/>
      <c r="AP114">
        <v>0</v>
      </c>
      <c r="AR114" t="s">
        <v>1</v>
      </c>
      <c r="AT114" s="2">
        <v>2.875</v>
      </c>
      <c r="AU114" s="1">
        <f t="shared" si="13"/>
        <v>0.4243883272965045</v>
      </c>
      <c r="AV114" s="1">
        <f t="shared" si="14"/>
        <v>0.30689744573709343</v>
      </c>
      <c r="AW114" s="1">
        <f t="shared" si="15"/>
        <v>0.18940656417768237</v>
      </c>
    </row>
    <row r="115" spans="1:49" x14ac:dyDescent="0.2">
      <c r="A115">
        <v>113</v>
      </c>
      <c r="B115" t="s">
        <v>7751</v>
      </c>
      <c r="C115" t="s">
        <v>7750</v>
      </c>
      <c r="F115" t="s">
        <v>7749</v>
      </c>
      <c r="G115" t="s">
        <v>6</v>
      </c>
      <c r="H115" t="s">
        <v>5</v>
      </c>
      <c r="I115" t="s">
        <v>7748</v>
      </c>
      <c r="J115">
        <v>60021097</v>
      </c>
      <c r="K115" t="s">
        <v>7747</v>
      </c>
      <c r="L115" t="s">
        <v>7746</v>
      </c>
      <c r="M115" t="s">
        <v>58</v>
      </c>
      <c r="N115">
        <v>2</v>
      </c>
      <c r="O115" t="s">
        <v>7745</v>
      </c>
      <c r="P115" t="s">
        <v>7744</v>
      </c>
      <c r="Q115" t="s">
        <v>7743</v>
      </c>
      <c r="R115" s="7">
        <v>36495</v>
      </c>
      <c r="S115" s="8">
        <f t="shared" si="8"/>
        <v>1999</v>
      </c>
      <c r="T115" s="8">
        <v>1999</v>
      </c>
      <c r="U115" s="8">
        <f t="shared" si="9"/>
        <v>23</v>
      </c>
      <c r="V115" s="7">
        <v>1999</v>
      </c>
      <c r="W115" s="12" t="s">
        <v>145</v>
      </c>
      <c r="X115" s="2">
        <v>2.383</v>
      </c>
      <c r="Y115" s="6">
        <f t="shared" si="10"/>
        <v>6.3612824003630442E-2</v>
      </c>
      <c r="AA115">
        <v>13502417</v>
      </c>
      <c r="AB115">
        <v>17416</v>
      </c>
      <c r="AD115" t="s">
        <v>2</v>
      </c>
      <c r="AE115">
        <v>146</v>
      </c>
      <c r="AF115">
        <v>5</v>
      </c>
      <c r="AH115" t="s">
        <v>7742</v>
      </c>
      <c r="AI115" t="s">
        <v>7741</v>
      </c>
      <c r="AK115" t="s">
        <v>7740</v>
      </c>
      <c r="AL115">
        <v>11</v>
      </c>
      <c r="AM115" s="5">
        <f t="shared" si="11"/>
        <v>0.47826086956521741</v>
      </c>
      <c r="AN115" s="4">
        <f t="shared" si="12"/>
        <v>7.2436330112111687E-4</v>
      </c>
      <c r="AO115" s="3"/>
      <c r="AP115">
        <v>0</v>
      </c>
      <c r="AR115" t="s">
        <v>1</v>
      </c>
      <c r="AT115" s="2" t="s">
        <v>0</v>
      </c>
      <c r="AU115" s="1">
        <f t="shared" si="13"/>
        <v>4.4746285792877645</v>
      </c>
      <c r="AV115" s="1">
        <f t="shared" si="14"/>
        <v>3.2168593652375779</v>
      </c>
      <c r="AW115" s="1">
        <f t="shared" si="15"/>
        <v>1.9590901511873915</v>
      </c>
    </row>
    <row r="116" spans="1:49" x14ac:dyDescent="0.2">
      <c r="A116">
        <v>114</v>
      </c>
      <c r="B116" t="s">
        <v>7739</v>
      </c>
      <c r="C116" t="s">
        <v>7738</v>
      </c>
      <c r="D116" t="s">
        <v>7737</v>
      </c>
      <c r="F116" t="s">
        <v>7736</v>
      </c>
      <c r="G116" t="s">
        <v>6</v>
      </c>
      <c r="H116" t="s">
        <v>5</v>
      </c>
      <c r="I116" t="s">
        <v>7735</v>
      </c>
      <c r="J116" t="s">
        <v>7734</v>
      </c>
      <c r="K116" t="s">
        <v>7733</v>
      </c>
      <c r="L116" t="s">
        <v>7732</v>
      </c>
      <c r="M116" t="s">
        <v>18</v>
      </c>
      <c r="N116">
        <v>2</v>
      </c>
      <c r="O116" t="s">
        <v>7731</v>
      </c>
      <c r="P116" t="s">
        <v>7730</v>
      </c>
      <c r="Q116" t="s">
        <v>7729</v>
      </c>
      <c r="R116" s="7">
        <v>36495</v>
      </c>
      <c r="S116" s="8">
        <f t="shared" si="8"/>
        <v>1999</v>
      </c>
      <c r="T116" s="8">
        <v>1999</v>
      </c>
      <c r="U116" s="8">
        <f t="shared" si="9"/>
        <v>23</v>
      </c>
      <c r="V116" s="7">
        <v>1999</v>
      </c>
      <c r="W116" t="s">
        <v>174</v>
      </c>
      <c r="X116" s="2">
        <v>1.3720000000000001</v>
      </c>
      <c r="Y116" s="6">
        <f t="shared" si="10"/>
        <v>3.662475641333654E-2</v>
      </c>
      <c r="AA116">
        <v>189480</v>
      </c>
      <c r="AB116">
        <v>17366</v>
      </c>
      <c r="AD116" t="s">
        <v>2</v>
      </c>
      <c r="AE116">
        <v>47</v>
      </c>
      <c r="AF116" t="s">
        <v>7674</v>
      </c>
      <c r="AH116" t="s">
        <v>7728</v>
      </c>
      <c r="AI116" t="s">
        <v>7727</v>
      </c>
      <c r="AJ116" t="s">
        <v>7726</v>
      </c>
      <c r="AK116" t="s">
        <v>7725</v>
      </c>
      <c r="AL116">
        <v>13</v>
      </c>
      <c r="AM116" s="5">
        <f t="shared" si="11"/>
        <v>0.56521739130434778</v>
      </c>
      <c r="AN116" s="4">
        <f t="shared" si="12"/>
        <v>8.560657195067744E-4</v>
      </c>
      <c r="AO116" s="3"/>
      <c r="AP116">
        <v>0</v>
      </c>
      <c r="AR116" t="s">
        <v>1</v>
      </c>
      <c r="AS116" t="s">
        <v>7724</v>
      </c>
      <c r="AT116" s="2" t="s">
        <v>0</v>
      </c>
      <c r="AU116" s="1">
        <f t="shared" si="13"/>
        <v>2.5894149205187609</v>
      </c>
      <c r="AV116" s="1">
        <f t="shared" si="14"/>
        <v>1.8740411066421658</v>
      </c>
      <c r="AW116" s="1">
        <f t="shared" si="15"/>
        <v>1.1586672927655706</v>
      </c>
    </row>
    <row r="117" spans="1:49" x14ac:dyDescent="0.2">
      <c r="A117">
        <v>115</v>
      </c>
      <c r="B117" t="s">
        <v>7723</v>
      </c>
      <c r="C117" t="s">
        <v>7722</v>
      </c>
      <c r="F117" t="s">
        <v>7721</v>
      </c>
      <c r="G117" t="s">
        <v>6</v>
      </c>
      <c r="H117" t="s">
        <v>5</v>
      </c>
      <c r="I117" t="s">
        <v>7720</v>
      </c>
      <c r="J117" t="s">
        <v>7719</v>
      </c>
      <c r="K117" t="s">
        <v>7718</v>
      </c>
      <c r="L117" t="s">
        <v>7717</v>
      </c>
      <c r="M117" t="s">
        <v>714</v>
      </c>
      <c r="N117">
        <v>3</v>
      </c>
      <c r="O117" t="s">
        <v>7716</v>
      </c>
      <c r="P117" t="s">
        <v>7715</v>
      </c>
      <c r="Q117" t="s">
        <v>7714</v>
      </c>
      <c r="R117" s="7">
        <v>36495</v>
      </c>
      <c r="S117" s="8">
        <f t="shared" si="8"/>
        <v>1999</v>
      </c>
      <c r="T117" s="8">
        <v>1999</v>
      </c>
      <c r="U117" s="8">
        <f t="shared" si="9"/>
        <v>23</v>
      </c>
      <c r="V117" s="7">
        <v>1999</v>
      </c>
      <c r="W117" t="s">
        <v>167</v>
      </c>
      <c r="X117" s="2">
        <v>1.468</v>
      </c>
      <c r="Y117" s="6">
        <f t="shared" si="10"/>
        <v>3.9187421585115186E-2</v>
      </c>
      <c r="AA117">
        <v>906778</v>
      </c>
      <c r="AB117">
        <v>18931</v>
      </c>
      <c r="AD117" t="s">
        <v>2</v>
      </c>
      <c r="AE117">
        <v>47</v>
      </c>
      <c r="AF117">
        <v>9</v>
      </c>
      <c r="AH117" t="s">
        <v>7713</v>
      </c>
      <c r="AI117" t="s">
        <v>7712</v>
      </c>
      <c r="AK117" t="s">
        <v>7711</v>
      </c>
      <c r="AL117">
        <v>5</v>
      </c>
      <c r="AM117" s="5">
        <f t="shared" si="11"/>
        <v>0.21739130434782608</v>
      </c>
      <c r="AN117" s="4">
        <f t="shared" si="12"/>
        <v>3.29256045964144E-4</v>
      </c>
      <c r="AO117" s="3"/>
      <c r="AP117">
        <v>0</v>
      </c>
      <c r="AQ117" t="s">
        <v>603</v>
      </c>
      <c r="AR117" t="s">
        <v>1</v>
      </c>
      <c r="AS117" t="s">
        <v>602</v>
      </c>
      <c r="AT117" s="2">
        <v>5.0830000000000002</v>
      </c>
      <c r="AU117" s="1">
        <f t="shared" si="13"/>
        <v>2.7529971923369869</v>
      </c>
      <c r="AV117" s="1">
        <f t="shared" si="14"/>
        <v>1.9758338815539664</v>
      </c>
      <c r="AW117" s="1">
        <f t="shared" si="15"/>
        <v>1.1986705707709457</v>
      </c>
    </row>
    <row r="118" spans="1:49" x14ac:dyDescent="0.2">
      <c r="A118">
        <v>116</v>
      </c>
      <c r="B118" t="s">
        <v>7710</v>
      </c>
      <c r="C118" t="s">
        <v>7709</v>
      </c>
      <c r="F118" t="s">
        <v>7708</v>
      </c>
      <c r="G118" t="s">
        <v>6</v>
      </c>
      <c r="H118" t="s">
        <v>5</v>
      </c>
      <c r="I118" t="s">
        <v>5825</v>
      </c>
      <c r="J118" t="s">
        <v>7707</v>
      </c>
      <c r="K118" t="s">
        <v>7706</v>
      </c>
      <c r="L118" t="s">
        <v>7705</v>
      </c>
      <c r="M118" t="s">
        <v>30</v>
      </c>
      <c r="N118">
        <v>3</v>
      </c>
      <c r="O118" t="s">
        <v>7704</v>
      </c>
      <c r="P118" t="s">
        <v>7703</v>
      </c>
      <c r="Q118" t="s">
        <v>7702</v>
      </c>
      <c r="R118" s="7">
        <v>36495</v>
      </c>
      <c r="S118" s="8">
        <f t="shared" si="8"/>
        <v>1999</v>
      </c>
      <c r="T118" s="8">
        <v>1999</v>
      </c>
      <c r="U118" s="8">
        <f t="shared" si="9"/>
        <v>23</v>
      </c>
      <c r="V118" s="7">
        <v>1999</v>
      </c>
      <c r="W118" t="s">
        <v>685</v>
      </c>
      <c r="X118" s="2">
        <v>0.92900000000000005</v>
      </c>
      <c r="Y118" s="6">
        <f t="shared" si="10"/>
        <v>2.4799124422732979E-2</v>
      </c>
      <c r="AA118">
        <v>10897798</v>
      </c>
      <c r="AB118">
        <v>18896</v>
      </c>
      <c r="AD118" t="s">
        <v>2</v>
      </c>
      <c r="AE118">
        <v>3</v>
      </c>
      <c r="AF118">
        <v>3</v>
      </c>
      <c r="AH118" t="s">
        <v>7701</v>
      </c>
      <c r="AI118" t="s">
        <v>7700</v>
      </c>
      <c r="AK118" t="s">
        <v>7699</v>
      </c>
      <c r="AL118">
        <v>1</v>
      </c>
      <c r="AM118" s="5">
        <f t="shared" si="11"/>
        <v>4.3478260869565216E-2</v>
      </c>
      <c r="AN118" s="4">
        <f t="shared" si="12"/>
        <v>6.5851209192828807E-5</v>
      </c>
      <c r="AO118" s="3"/>
      <c r="AP118">
        <v>0</v>
      </c>
      <c r="AR118" t="s">
        <v>1</v>
      </c>
      <c r="AT118" s="2">
        <v>3.4359999999999999</v>
      </c>
      <c r="AU118" s="1">
        <f t="shared" si="13"/>
        <v>1.7379142458670931</v>
      </c>
      <c r="AV118" s="1">
        <f t="shared" si="14"/>
        <v>1.2432487815962905</v>
      </c>
      <c r="AW118" s="1">
        <f t="shared" si="15"/>
        <v>0.74858331732548733</v>
      </c>
    </row>
    <row r="119" spans="1:49" x14ac:dyDescent="0.2">
      <c r="A119">
        <v>117</v>
      </c>
      <c r="B119" t="s">
        <v>7698</v>
      </c>
      <c r="C119" t="s">
        <v>7697</v>
      </c>
      <c r="D119" t="s">
        <v>7696</v>
      </c>
      <c r="F119" t="s">
        <v>7695</v>
      </c>
      <c r="G119" t="s">
        <v>6</v>
      </c>
      <c r="H119" t="s">
        <v>5</v>
      </c>
      <c r="I119" t="s">
        <v>7694</v>
      </c>
      <c r="J119" t="s">
        <v>7693</v>
      </c>
      <c r="K119" t="s">
        <v>7692</v>
      </c>
      <c r="L119" t="s">
        <v>7691</v>
      </c>
      <c r="M119" t="s">
        <v>7690</v>
      </c>
      <c r="N119">
        <v>3</v>
      </c>
      <c r="O119" t="s">
        <v>7689</v>
      </c>
      <c r="P119" t="s">
        <v>7688</v>
      </c>
      <c r="Q119" t="s">
        <v>7687</v>
      </c>
      <c r="R119" s="7">
        <v>36495</v>
      </c>
      <c r="S119" s="8">
        <f t="shared" si="8"/>
        <v>1999</v>
      </c>
      <c r="T119" s="8">
        <v>1999</v>
      </c>
      <c r="U119" s="8">
        <f t="shared" si="9"/>
        <v>23</v>
      </c>
      <c r="V119" s="7">
        <v>1999</v>
      </c>
      <c r="W119" t="s">
        <v>174</v>
      </c>
      <c r="X119" s="2">
        <v>1.3720000000000001</v>
      </c>
      <c r="Y119" s="6">
        <f t="shared" si="10"/>
        <v>3.662475641333654E-2</v>
      </c>
      <c r="AA119">
        <v>189480</v>
      </c>
      <c r="AB119">
        <v>17366</v>
      </c>
      <c r="AD119" t="s">
        <v>2</v>
      </c>
      <c r="AE119">
        <v>47</v>
      </c>
      <c r="AF119" t="s">
        <v>7686</v>
      </c>
      <c r="AH119" t="s">
        <v>7685</v>
      </c>
      <c r="AI119" t="s">
        <v>7684</v>
      </c>
      <c r="AJ119" t="s">
        <v>7683</v>
      </c>
      <c r="AK119" t="s">
        <v>7682</v>
      </c>
      <c r="AL119">
        <v>60</v>
      </c>
      <c r="AM119" s="5">
        <f t="shared" si="11"/>
        <v>2.6086956521739131</v>
      </c>
      <c r="AN119" s="4">
        <f t="shared" si="12"/>
        <v>3.9510725515697282E-3</v>
      </c>
      <c r="AO119" s="3"/>
      <c r="AP119">
        <v>0</v>
      </c>
      <c r="AQ119" t="s">
        <v>679</v>
      </c>
      <c r="AR119" t="s">
        <v>7681</v>
      </c>
      <c r="AS119" t="s">
        <v>5420</v>
      </c>
      <c r="AT119" s="2" t="s">
        <v>0</v>
      </c>
      <c r="AU119" s="1">
        <f t="shared" si="13"/>
        <v>2.6822651254806495</v>
      </c>
      <c r="AV119" s="1">
        <f t="shared" si="14"/>
        <v>2.0287914482453133</v>
      </c>
      <c r="AW119" s="1">
        <f t="shared" si="15"/>
        <v>1.3753177710099773</v>
      </c>
    </row>
    <row r="120" spans="1:49" x14ac:dyDescent="0.2">
      <c r="A120">
        <v>118</v>
      </c>
      <c r="B120" t="s">
        <v>7680</v>
      </c>
      <c r="C120" t="s">
        <v>7679</v>
      </c>
      <c r="D120" t="s">
        <v>7678</v>
      </c>
      <c r="F120" t="s">
        <v>7677</v>
      </c>
      <c r="G120" t="s">
        <v>6</v>
      </c>
      <c r="H120" t="s">
        <v>5</v>
      </c>
      <c r="I120" t="s">
        <v>7676</v>
      </c>
      <c r="J120">
        <v>60012162</v>
      </c>
      <c r="K120" t="s">
        <v>293</v>
      </c>
      <c r="L120" t="s">
        <v>292</v>
      </c>
      <c r="M120" t="s">
        <v>13</v>
      </c>
      <c r="N120">
        <v>1</v>
      </c>
      <c r="O120" t="s">
        <v>7675</v>
      </c>
      <c r="P120">
        <v>14067359300</v>
      </c>
      <c r="Q120">
        <v>60012162</v>
      </c>
      <c r="R120" s="7">
        <v>36495</v>
      </c>
      <c r="S120" s="8">
        <f t="shared" si="8"/>
        <v>1999</v>
      </c>
      <c r="T120" s="8">
        <v>1999</v>
      </c>
      <c r="U120" s="8">
        <f t="shared" si="9"/>
        <v>23</v>
      </c>
      <c r="V120" s="7">
        <v>1999</v>
      </c>
      <c r="W120" t="s">
        <v>174</v>
      </c>
      <c r="X120" s="2">
        <v>1.3720000000000001</v>
      </c>
      <c r="Y120" s="6">
        <f t="shared" si="10"/>
        <v>3.662475641333654E-2</v>
      </c>
      <c r="AA120">
        <v>189480</v>
      </c>
      <c r="AB120">
        <v>17366</v>
      </c>
      <c r="AD120" t="s">
        <v>2</v>
      </c>
      <c r="AE120">
        <v>47</v>
      </c>
      <c r="AF120" t="s">
        <v>7674</v>
      </c>
      <c r="AH120" t="s">
        <v>7673</v>
      </c>
      <c r="AI120" t="s">
        <v>7672</v>
      </c>
      <c r="AJ120" t="s">
        <v>7671</v>
      </c>
      <c r="AK120" t="s">
        <v>7670</v>
      </c>
      <c r="AL120">
        <v>25</v>
      </c>
      <c r="AM120" s="5">
        <f t="shared" si="11"/>
        <v>1.0869565217391304</v>
      </c>
      <c r="AN120" s="4">
        <f t="shared" si="12"/>
        <v>1.6462802298207199E-3</v>
      </c>
      <c r="AO120" s="3"/>
      <c r="AP120">
        <v>0</v>
      </c>
      <c r="AR120" t="s">
        <v>1</v>
      </c>
      <c r="AT120" s="2" t="s">
        <v>0</v>
      </c>
      <c r="AU120" s="1">
        <f t="shared" si="13"/>
        <v>2.6131213558281794</v>
      </c>
      <c r="AV120" s="1">
        <f t="shared" si="14"/>
        <v>1.9135518321578628</v>
      </c>
      <c r="AW120" s="1">
        <f t="shared" si="15"/>
        <v>1.2139823084875465</v>
      </c>
    </row>
    <row r="121" spans="1:49" x14ac:dyDescent="0.2">
      <c r="A121">
        <v>119</v>
      </c>
      <c r="B121" t="s">
        <v>7669</v>
      </c>
      <c r="C121" t="s">
        <v>7668</v>
      </c>
      <c r="F121" t="s">
        <v>7667</v>
      </c>
      <c r="G121" t="s">
        <v>6</v>
      </c>
      <c r="H121" t="s">
        <v>5</v>
      </c>
      <c r="I121" t="s">
        <v>7666</v>
      </c>
      <c r="J121" t="s">
        <v>7665</v>
      </c>
      <c r="K121" t="s">
        <v>7664</v>
      </c>
      <c r="L121" t="s">
        <v>7663</v>
      </c>
      <c r="M121" t="s">
        <v>30</v>
      </c>
      <c r="N121">
        <v>3</v>
      </c>
      <c r="O121" t="s">
        <v>7662</v>
      </c>
      <c r="P121" t="s">
        <v>7661</v>
      </c>
      <c r="Q121" t="s">
        <v>7660</v>
      </c>
      <c r="R121" s="7">
        <v>36495</v>
      </c>
      <c r="S121" s="8">
        <f t="shared" si="8"/>
        <v>1999</v>
      </c>
      <c r="T121" s="8">
        <v>1999</v>
      </c>
      <c r="U121" s="8">
        <f t="shared" si="9"/>
        <v>23</v>
      </c>
      <c r="V121" s="7">
        <v>1999</v>
      </c>
      <c r="W121" s="12" t="s">
        <v>145</v>
      </c>
      <c r="X121" s="2">
        <v>2.383</v>
      </c>
      <c r="Y121" s="6">
        <f t="shared" si="10"/>
        <v>6.3612824003630442E-2</v>
      </c>
      <c r="AA121">
        <v>13502417</v>
      </c>
      <c r="AB121">
        <v>17416</v>
      </c>
      <c r="AD121" t="s">
        <v>2</v>
      </c>
      <c r="AE121">
        <v>146</v>
      </c>
      <c r="AF121">
        <v>4</v>
      </c>
      <c r="AH121" t="s">
        <v>7659</v>
      </c>
      <c r="AI121" t="s">
        <v>7658</v>
      </c>
      <c r="AK121" t="s">
        <v>7657</v>
      </c>
      <c r="AL121">
        <v>16</v>
      </c>
      <c r="AM121" s="5">
        <f t="shared" si="11"/>
        <v>0.69565217391304346</v>
      </c>
      <c r="AN121" s="4">
        <f t="shared" si="12"/>
        <v>1.0536193470852609E-3</v>
      </c>
      <c r="AO121" s="3"/>
      <c r="AP121">
        <v>0</v>
      </c>
      <c r="AR121" t="s">
        <v>1</v>
      </c>
      <c r="AT121" s="2" t="s">
        <v>0</v>
      </c>
      <c r="AU121" s="1">
        <f t="shared" si="13"/>
        <v>4.4845062606666888</v>
      </c>
      <c r="AV121" s="1">
        <f t="shared" si="14"/>
        <v>3.2333221675357846</v>
      </c>
      <c r="AW121" s="1">
        <f t="shared" si="15"/>
        <v>1.9821380744048815</v>
      </c>
    </row>
    <row r="122" spans="1:49" x14ac:dyDescent="0.2">
      <c r="A122">
        <v>120</v>
      </c>
      <c r="B122" t="s">
        <v>7656</v>
      </c>
      <c r="C122" t="s">
        <v>7655</v>
      </c>
      <c r="F122" t="s">
        <v>7654</v>
      </c>
      <c r="G122" t="s">
        <v>6</v>
      </c>
      <c r="H122" t="s">
        <v>5</v>
      </c>
      <c r="I122" t="s">
        <v>7653</v>
      </c>
      <c r="J122">
        <v>60032083</v>
      </c>
      <c r="K122" t="s">
        <v>7652</v>
      </c>
      <c r="L122" t="s">
        <v>7651</v>
      </c>
      <c r="M122" t="s">
        <v>3</v>
      </c>
      <c r="N122">
        <v>1</v>
      </c>
      <c r="O122" t="s">
        <v>7650</v>
      </c>
      <c r="P122">
        <v>7003836627</v>
      </c>
      <c r="Q122">
        <v>60032083</v>
      </c>
      <c r="R122" s="7">
        <v>36495</v>
      </c>
      <c r="S122" s="8">
        <f t="shared" si="8"/>
        <v>1999</v>
      </c>
      <c r="T122" s="8">
        <v>1999</v>
      </c>
      <c r="U122" s="8">
        <f t="shared" si="9"/>
        <v>23</v>
      </c>
      <c r="V122" s="7">
        <v>1999</v>
      </c>
      <c r="W122" t="s">
        <v>167</v>
      </c>
      <c r="X122" s="2">
        <v>1.468</v>
      </c>
      <c r="Y122" s="6">
        <f t="shared" si="10"/>
        <v>3.9187421585115186E-2</v>
      </c>
      <c r="AA122">
        <v>906778</v>
      </c>
      <c r="AB122">
        <v>18931</v>
      </c>
      <c r="AD122" t="s">
        <v>2</v>
      </c>
      <c r="AE122">
        <v>47</v>
      </c>
      <c r="AF122">
        <v>9</v>
      </c>
      <c r="AH122" t="s">
        <v>7649</v>
      </c>
      <c r="AI122" t="s">
        <v>7648</v>
      </c>
      <c r="AK122" t="s">
        <v>7647</v>
      </c>
      <c r="AL122">
        <v>120</v>
      </c>
      <c r="AM122" s="5">
        <f t="shared" si="11"/>
        <v>5.2173913043478262</v>
      </c>
      <c r="AN122" s="4">
        <f t="shared" si="12"/>
        <v>7.9021451031394564E-3</v>
      </c>
      <c r="AO122" s="3"/>
      <c r="AP122">
        <v>0</v>
      </c>
      <c r="AQ122" t="s">
        <v>205</v>
      </c>
      <c r="AR122" t="s">
        <v>7646</v>
      </c>
      <c r="AS122" t="s">
        <v>204</v>
      </c>
      <c r="AT122" s="2">
        <v>5.0830000000000002</v>
      </c>
      <c r="AU122" s="1">
        <f t="shared" si="13"/>
        <v>2.9801838640522464</v>
      </c>
      <c r="AV122" s="1">
        <f t="shared" si="14"/>
        <v>2.354478334412732</v>
      </c>
      <c r="AW122" s="1">
        <f t="shared" si="15"/>
        <v>1.7287728047732174</v>
      </c>
    </row>
    <row r="123" spans="1:49" x14ac:dyDescent="0.2">
      <c r="A123">
        <v>121</v>
      </c>
      <c r="B123" t="s">
        <v>7645</v>
      </c>
      <c r="C123" t="s">
        <v>7644</v>
      </c>
      <c r="F123" t="s">
        <v>7643</v>
      </c>
      <c r="G123" t="s">
        <v>6</v>
      </c>
      <c r="H123" t="s">
        <v>5</v>
      </c>
      <c r="I123" t="s">
        <v>459</v>
      </c>
      <c r="J123" t="s">
        <v>7642</v>
      </c>
      <c r="K123" t="s">
        <v>7641</v>
      </c>
      <c r="L123" t="s">
        <v>7640</v>
      </c>
      <c r="M123" t="s">
        <v>18</v>
      </c>
      <c r="N123">
        <v>3</v>
      </c>
      <c r="O123" t="s">
        <v>7639</v>
      </c>
      <c r="P123" t="s">
        <v>7638</v>
      </c>
      <c r="Q123" t="s">
        <v>7637</v>
      </c>
      <c r="R123" s="7">
        <v>36495</v>
      </c>
      <c r="S123" s="8">
        <f t="shared" si="8"/>
        <v>1999</v>
      </c>
      <c r="T123" s="8">
        <v>1999</v>
      </c>
      <c r="U123" s="8">
        <f t="shared" si="9"/>
        <v>23</v>
      </c>
      <c r="V123" s="7">
        <v>1999</v>
      </c>
      <c r="W123" t="s">
        <v>124</v>
      </c>
      <c r="X123" s="2">
        <v>1.6519999999999999</v>
      </c>
      <c r="Y123" s="6">
        <f t="shared" si="10"/>
        <v>4.409919649769093E-2</v>
      </c>
      <c r="AA123" t="s">
        <v>123</v>
      </c>
      <c r="AB123">
        <v>17337</v>
      </c>
      <c r="AD123" t="s">
        <v>2</v>
      </c>
      <c r="AE123">
        <v>47</v>
      </c>
      <c r="AF123">
        <v>7</v>
      </c>
      <c r="AH123" t="s">
        <v>7636</v>
      </c>
      <c r="AI123" t="s">
        <v>7635</v>
      </c>
      <c r="AK123" t="s">
        <v>7634</v>
      </c>
      <c r="AL123">
        <v>11</v>
      </c>
      <c r="AM123" s="5">
        <f t="shared" si="11"/>
        <v>0.47826086956521741</v>
      </c>
      <c r="AN123" s="4">
        <f t="shared" si="12"/>
        <v>7.2436330112111687E-4</v>
      </c>
      <c r="AO123" s="3"/>
      <c r="AP123">
        <v>0</v>
      </c>
      <c r="AQ123" t="s">
        <v>7633</v>
      </c>
      <c r="AR123" t="s">
        <v>1</v>
      </c>
      <c r="AS123" t="s">
        <v>7632</v>
      </c>
      <c r="AT123" s="2" t="s">
        <v>0</v>
      </c>
      <c r="AU123" s="1">
        <f t="shared" si="13"/>
        <v>3.1086746538719989</v>
      </c>
      <c r="AV123" s="1">
        <f t="shared" si="14"/>
        <v>2.2411779899406024</v>
      </c>
      <c r="AW123" s="1">
        <f t="shared" si="15"/>
        <v>1.373681326009206</v>
      </c>
    </row>
    <row r="124" spans="1:49" x14ac:dyDescent="0.2">
      <c r="A124">
        <v>122</v>
      </c>
      <c r="B124" t="s">
        <v>7631</v>
      </c>
      <c r="C124" t="s">
        <v>7630</v>
      </c>
      <c r="D124" t="s">
        <v>7629</v>
      </c>
      <c r="F124" t="s">
        <v>7628</v>
      </c>
      <c r="G124" t="s">
        <v>6</v>
      </c>
      <c r="H124" t="s">
        <v>5</v>
      </c>
      <c r="I124" t="s">
        <v>709</v>
      </c>
      <c r="J124">
        <v>60103653</v>
      </c>
      <c r="K124" t="s">
        <v>487</v>
      </c>
      <c r="L124" t="s">
        <v>486</v>
      </c>
      <c r="M124" t="s">
        <v>485</v>
      </c>
      <c r="N124">
        <v>3</v>
      </c>
      <c r="O124" t="s">
        <v>7627</v>
      </c>
      <c r="P124" t="s">
        <v>708</v>
      </c>
      <c r="Q124" t="s">
        <v>707</v>
      </c>
      <c r="R124" s="7">
        <v>36495</v>
      </c>
      <c r="S124" s="8">
        <f t="shared" si="8"/>
        <v>1999</v>
      </c>
      <c r="T124" s="8">
        <v>1999</v>
      </c>
      <c r="U124" s="8">
        <f t="shared" si="9"/>
        <v>23</v>
      </c>
      <c r="V124" s="7">
        <v>1999</v>
      </c>
      <c r="W124" t="s">
        <v>124</v>
      </c>
      <c r="X124" s="2">
        <v>1.6519999999999999</v>
      </c>
      <c r="Y124" s="6">
        <f t="shared" si="10"/>
        <v>4.409919649769093E-2</v>
      </c>
      <c r="AA124" t="s">
        <v>123</v>
      </c>
      <c r="AB124">
        <v>17337</v>
      </c>
      <c r="AD124" t="s">
        <v>2</v>
      </c>
      <c r="AE124">
        <v>47</v>
      </c>
      <c r="AF124">
        <v>7</v>
      </c>
      <c r="AH124" t="s">
        <v>7626</v>
      </c>
      <c r="AI124" t="s">
        <v>7625</v>
      </c>
      <c r="AJ124" t="s">
        <v>7624</v>
      </c>
      <c r="AK124" t="s">
        <v>7623</v>
      </c>
      <c r="AL124">
        <v>61</v>
      </c>
      <c r="AM124" s="5">
        <f t="shared" si="11"/>
        <v>2.652173913043478</v>
      </c>
      <c r="AN124" s="4">
        <f t="shared" si="12"/>
        <v>4.0169237607625566E-3</v>
      </c>
      <c r="AO124" s="3"/>
      <c r="AP124">
        <v>0</v>
      </c>
      <c r="AR124" t="s">
        <v>1</v>
      </c>
      <c r="AS124" t="s">
        <v>7622</v>
      </c>
      <c r="AT124" s="2" t="s">
        <v>0</v>
      </c>
      <c r="AU124" s="1">
        <f t="shared" si="13"/>
        <v>3.2074514676612416</v>
      </c>
      <c r="AV124" s="1">
        <f t="shared" si="14"/>
        <v>2.4058060129226742</v>
      </c>
      <c r="AW124" s="1">
        <f t="shared" si="15"/>
        <v>1.604160558184107</v>
      </c>
    </row>
    <row r="125" spans="1:49" x14ac:dyDescent="0.2">
      <c r="A125">
        <v>123</v>
      </c>
      <c r="B125" t="s">
        <v>7621</v>
      </c>
      <c r="C125" t="s">
        <v>7620</v>
      </c>
      <c r="F125" t="s">
        <v>7619</v>
      </c>
      <c r="G125" t="s">
        <v>6</v>
      </c>
      <c r="H125" t="s">
        <v>5</v>
      </c>
      <c r="I125" t="s">
        <v>751</v>
      </c>
      <c r="J125">
        <v>60116768</v>
      </c>
      <c r="K125" t="s">
        <v>750</v>
      </c>
      <c r="L125" t="s">
        <v>217</v>
      </c>
      <c r="M125" t="s">
        <v>133</v>
      </c>
      <c r="N125">
        <v>3</v>
      </c>
      <c r="O125" t="s">
        <v>7618</v>
      </c>
      <c r="P125" t="s">
        <v>7617</v>
      </c>
      <c r="Q125" t="s">
        <v>7616</v>
      </c>
      <c r="R125" s="7">
        <v>36495</v>
      </c>
      <c r="S125" s="8">
        <f t="shared" si="8"/>
        <v>1999</v>
      </c>
      <c r="T125" s="8">
        <v>1999</v>
      </c>
      <c r="U125" s="8">
        <f t="shared" si="9"/>
        <v>23</v>
      </c>
      <c r="V125" s="7">
        <v>1999</v>
      </c>
      <c r="W125" t="s">
        <v>124</v>
      </c>
      <c r="X125" s="2">
        <v>1.6519999999999999</v>
      </c>
      <c r="Y125" s="6">
        <f t="shared" si="10"/>
        <v>4.409919649769093E-2</v>
      </c>
      <c r="AA125" t="s">
        <v>123</v>
      </c>
      <c r="AB125">
        <v>17337</v>
      </c>
      <c r="AD125" t="s">
        <v>2</v>
      </c>
      <c r="AE125">
        <v>47</v>
      </c>
      <c r="AF125">
        <v>7</v>
      </c>
      <c r="AH125" t="s">
        <v>7615</v>
      </c>
      <c r="AI125" t="s">
        <v>7614</v>
      </c>
      <c r="AK125" t="s">
        <v>7613</v>
      </c>
      <c r="AL125">
        <v>108</v>
      </c>
      <c r="AM125" s="5">
        <f t="shared" si="11"/>
        <v>4.6956521739130439</v>
      </c>
      <c r="AN125" s="4">
        <f t="shared" si="12"/>
        <v>7.1119305928255116E-3</v>
      </c>
      <c r="AO125" s="3"/>
      <c r="AP125">
        <v>0</v>
      </c>
      <c r="AR125" t="s">
        <v>1</v>
      </c>
      <c r="AT125" s="2" t="s">
        <v>0</v>
      </c>
      <c r="AU125" s="1">
        <f t="shared" si="13"/>
        <v>3.3003016726231307</v>
      </c>
      <c r="AV125" s="1">
        <f t="shared" si="14"/>
        <v>2.5605563545258221</v>
      </c>
      <c r="AW125" s="1">
        <f t="shared" si="15"/>
        <v>1.8208110364285137</v>
      </c>
    </row>
    <row r="126" spans="1:49" x14ac:dyDescent="0.2">
      <c r="A126">
        <v>124</v>
      </c>
      <c r="B126" t="s">
        <v>7612</v>
      </c>
      <c r="C126" t="s">
        <v>7611</v>
      </c>
      <c r="D126" t="s">
        <v>7610</v>
      </c>
      <c r="F126" t="s">
        <v>7609</v>
      </c>
      <c r="G126" t="s">
        <v>6</v>
      </c>
      <c r="H126" t="s">
        <v>5</v>
      </c>
      <c r="I126" t="s">
        <v>7608</v>
      </c>
      <c r="J126">
        <v>60000221</v>
      </c>
      <c r="K126" t="s">
        <v>681</v>
      </c>
      <c r="L126" t="s">
        <v>109</v>
      </c>
      <c r="M126" t="s">
        <v>3</v>
      </c>
      <c r="N126">
        <v>1</v>
      </c>
      <c r="O126" t="s">
        <v>7607</v>
      </c>
      <c r="P126">
        <v>7005070484</v>
      </c>
      <c r="Q126">
        <v>60000221</v>
      </c>
      <c r="R126" s="7">
        <v>36495</v>
      </c>
      <c r="S126" s="8">
        <f t="shared" si="8"/>
        <v>1999</v>
      </c>
      <c r="T126" s="8">
        <v>1999</v>
      </c>
      <c r="U126" s="8">
        <f t="shared" si="9"/>
        <v>23</v>
      </c>
      <c r="V126" s="7">
        <v>1999</v>
      </c>
      <c r="W126" t="s">
        <v>167</v>
      </c>
      <c r="X126" s="2">
        <v>1.468</v>
      </c>
      <c r="Y126" s="6">
        <f t="shared" si="10"/>
        <v>3.9187421585115186E-2</v>
      </c>
      <c r="AA126">
        <v>906778</v>
      </c>
      <c r="AB126">
        <v>18931</v>
      </c>
      <c r="AD126" t="s">
        <v>2</v>
      </c>
      <c r="AE126">
        <v>47</v>
      </c>
      <c r="AF126">
        <v>9</v>
      </c>
      <c r="AH126" t="s">
        <v>7606</v>
      </c>
      <c r="AI126" t="s">
        <v>7605</v>
      </c>
      <c r="AJ126" t="s">
        <v>7604</v>
      </c>
      <c r="AK126" t="s">
        <v>7603</v>
      </c>
      <c r="AL126">
        <v>12</v>
      </c>
      <c r="AM126" s="5">
        <f t="shared" si="11"/>
        <v>0.52173913043478259</v>
      </c>
      <c r="AN126" s="4">
        <f t="shared" si="12"/>
        <v>7.9021451031394564E-4</v>
      </c>
      <c r="AO126" s="3"/>
      <c r="AP126">
        <v>0</v>
      </c>
      <c r="AQ126" t="s">
        <v>205</v>
      </c>
      <c r="AR126" t="s">
        <v>7602</v>
      </c>
      <c r="AS126" t="s">
        <v>204</v>
      </c>
      <c r="AT126" s="2">
        <v>5.0830000000000002</v>
      </c>
      <c r="AU126" s="1">
        <f t="shared" si="13"/>
        <v>2.7668259462674811</v>
      </c>
      <c r="AV126" s="1">
        <f t="shared" si="14"/>
        <v>1.9988818047714567</v>
      </c>
      <c r="AW126" s="1">
        <f t="shared" si="15"/>
        <v>1.2309376632754319</v>
      </c>
    </row>
    <row r="127" spans="1:49" x14ac:dyDescent="0.2">
      <c r="A127">
        <v>125</v>
      </c>
      <c r="B127" t="s">
        <v>7601</v>
      </c>
      <c r="C127" t="s">
        <v>7600</v>
      </c>
      <c r="F127" t="s">
        <v>7599</v>
      </c>
      <c r="G127" t="s">
        <v>6</v>
      </c>
      <c r="H127" t="s">
        <v>5</v>
      </c>
      <c r="I127" t="s">
        <v>7598</v>
      </c>
      <c r="J127">
        <v>60013983</v>
      </c>
      <c r="K127" t="s">
        <v>324</v>
      </c>
      <c r="L127" t="s">
        <v>323</v>
      </c>
      <c r="M127" t="s">
        <v>322</v>
      </c>
      <c r="N127">
        <v>4</v>
      </c>
      <c r="O127" t="s">
        <v>7597</v>
      </c>
      <c r="P127" t="s">
        <v>7596</v>
      </c>
      <c r="Q127" t="s">
        <v>479</v>
      </c>
      <c r="R127" s="7">
        <v>36495</v>
      </c>
      <c r="S127" s="8">
        <f t="shared" si="8"/>
        <v>1999</v>
      </c>
      <c r="T127" s="8">
        <v>1999</v>
      </c>
      <c r="U127" s="8">
        <f t="shared" si="9"/>
        <v>23</v>
      </c>
      <c r="V127" s="7">
        <v>1999</v>
      </c>
      <c r="W127" t="s">
        <v>124</v>
      </c>
      <c r="X127" s="2">
        <v>1.6519999999999999</v>
      </c>
      <c r="Y127" s="6">
        <f t="shared" si="10"/>
        <v>4.409919649769093E-2</v>
      </c>
      <c r="AA127" t="s">
        <v>123</v>
      </c>
      <c r="AB127">
        <v>17337</v>
      </c>
      <c r="AD127" t="s">
        <v>2</v>
      </c>
      <c r="AE127">
        <v>47</v>
      </c>
      <c r="AF127">
        <v>7</v>
      </c>
      <c r="AH127" t="s">
        <v>7595</v>
      </c>
      <c r="AI127" t="s">
        <v>7594</v>
      </c>
      <c r="AK127" t="s">
        <v>7593</v>
      </c>
      <c r="AL127">
        <v>21</v>
      </c>
      <c r="AM127" s="5">
        <f t="shared" si="11"/>
        <v>0.91304347826086951</v>
      </c>
      <c r="AN127" s="4">
        <f t="shared" si="12"/>
        <v>1.3828753930494049E-3</v>
      </c>
      <c r="AO127" s="3"/>
      <c r="AP127">
        <v>0</v>
      </c>
      <c r="AQ127" t="s">
        <v>7592</v>
      </c>
      <c r="AR127" t="s">
        <v>1</v>
      </c>
      <c r="AS127" t="s">
        <v>324</v>
      </c>
      <c r="AT127" s="2" t="s">
        <v>0</v>
      </c>
      <c r="AU127" s="1">
        <f t="shared" si="13"/>
        <v>3.1284300166298471</v>
      </c>
      <c r="AV127" s="1">
        <f t="shared" si="14"/>
        <v>2.2741035945370167</v>
      </c>
      <c r="AW127" s="1">
        <f t="shared" si="15"/>
        <v>1.4197771724441861</v>
      </c>
    </row>
    <row r="128" spans="1:49" x14ac:dyDescent="0.2">
      <c r="A128">
        <v>126</v>
      </c>
      <c r="B128" t="s">
        <v>7591</v>
      </c>
      <c r="C128" t="s">
        <v>7590</v>
      </c>
      <c r="D128" t="s">
        <v>7589</v>
      </c>
      <c r="F128" t="s">
        <v>7588</v>
      </c>
      <c r="G128" t="s">
        <v>6</v>
      </c>
      <c r="H128" t="s">
        <v>5</v>
      </c>
      <c r="I128" t="s">
        <v>7587</v>
      </c>
      <c r="J128" t="s">
        <v>7586</v>
      </c>
      <c r="K128" t="s">
        <v>7585</v>
      </c>
      <c r="L128" t="s">
        <v>7584</v>
      </c>
      <c r="M128" t="s">
        <v>412</v>
      </c>
      <c r="N128">
        <v>3</v>
      </c>
      <c r="O128" t="s">
        <v>7583</v>
      </c>
      <c r="P128" t="s">
        <v>7582</v>
      </c>
      <c r="Q128" t="s">
        <v>7581</v>
      </c>
      <c r="R128" s="7">
        <v>36495</v>
      </c>
      <c r="S128" s="8">
        <f t="shared" si="8"/>
        <v>1999</v>
      </c>
      <c r="T128" s="8">
        <v>1999</v>
      </c>
      <c r="U128" s="8">
        <f t="shared" si="9"/>
        <v>23</v>
      </c>
      <c r="V128" s="7">
        <v>1999</v>
      </c>
      <c r="W128" t="s">
        <v>124</v>
      </c>
      <c r="X128" s="2">
        <v>1.6519999999999999</v>
      </c>
      <c r="Y128" s="6">
        <f t="shared" si="10"/>
        <v>4.409919649769093E-2</v>
      </c>
      <c r="AA128" t="s">
        <v>123</v>
      </c>
      <c r="AB128">
        <v>17337</v>
      </c>
      <c r="AD128" t="s">
        <v>2</v>
      </c>
      <c r="AE128">
        <v>47</v>
      </c>
      <c r="AF128">
        <v>7</v>
      </c>
      <c r="AH128" t="s">
        <v>7580</v>
      </c>
      <c r="AI128" t="s">
        <v>7579</v>
      </c>
      <c r="AJ128" t="s">
        <v>7578</v>
      </c>
      <c r="AK128" t="s">
        <v>7577</v>
      </c>
      <c r="AL128">
        <v>170</v>
      </c>
      <c r="AM128" s="5">
        <f t="shared" si="11"/>
        <v>7.3913043478260869</v>
      </c>
      <c r="AN128" s="4">
        <f t="shared" si="12"/>
        <v>1.1194705562780896E-2</v>
      </c>
      <c r="AO128" s="3"/>
      <c r="AP128">
        <v>0</v>
      </c>
      <c r="AR128" t="s">
        <v>1</v>
      </c>
      <c r="AT128" s="2" t="s">
        <v>0</v>
      </c>
      <c r="AU128" s="1">
        <f t="shared" si="13"/>
        <v>3.4227849217217923</v>
      </c>
      <c r="AV128" s="1">
        <f t="shared" si="14"/>
        <v>2.7646951030235916</v>
      </c>
      <c r="AW128" s="1">
        <f t="shared" si="15"/>
        <v>2.1066052843253904</v>
      </c>
    </row>
    <row r="129" spans="1:49" x14ac:dyDescent="0.2">
      <c r="A129">
        <v>127</v>
      </c>
      <c r="B129" t="s">
        <v>7576</v>
      </c>
      <c r="C129" t="s">
        <v>7575</v>
      </c>
      <c r="F129" t="s">
        <v>7574</v>
      </c>
      <c r="G129" t="s">
        <v>6</v>
      </c>
      <c r="H129" t="s">
        <v>5</v>
      </c>
      <c r="I129" t="s">
        <v>7573</v>
      </c>
      <c r="J129" t="s">
        <v>7572</v>
      </c>
      <c r="K129" t="s">
        <v>7571</v>
      </c>
      <c r="L129" t="s">
        <v>7570</v>
      </c>
      <c r="M129" t="s">
        <v>488</v>
      </c>
      <c r="N129">
        <v>3</v>
      </c>
      <c r="O129" t="s">
        <v>7569</v>
      </c>
      <c r="P129" t="s">
        <v>7568</v>
      </c>
      <c r="Q129" t="s">
        <v>7567</v>
      </c>
      <c r="R129" s="7">
        <v>36495</v>
      </c>
      <c r="S129" s="8">
        <f t="shared" si="8"/>
        <v>1999</v>
      </c>
      <c r="T129" s="8">
        <v>1999</v>
      </c>
      <c r="U129" s="8">
        <f t="shared" si="9"/>
        <v>23</v>
      </c>
      <c r="V129" s="7">
        <v>1999</v>
      </c>
      <c r="W129" s="12" t="s">
        <v>145</v>
      </c>
      <c r="X129" s="2">
        <v>2.383</v>
      </c>
      <c r="Y129" s="6">
        <f t="shared" si="10"/>
        <v>6.3612824003630442E-2</v>
      </c>
      <c r="AA129">
        <v>13502417</v>
      </c>
      <c r="AB129">
        <v>17416</v>
      </c>
      <c r="AD129" t="s">
        <v>2</v>
      </c>
      <c r="AE129">
        <v>146</v>
      </c>
      <c r="AF129">
        <v>5</v>
      </c>
      <c r="AH129" t="s">
        <v>7566</v>
      </c>
      <c r="AI129" t="s">
        <v>7565</v>
      </c>
      <c r="AK129" t="s">
        <v>7564</v>
      </c>
      <c r="AL129">
        <v>9</v>
      </c>
      <c r="AM129" s="5">
        <f t="shared" si="11"/>
        <v>0.39130434782608697</v>
      </c>
      <c r="AN129" s="4">
        <f t="shared" si="12"/>
        <v>5.9266088273545923E-4</v>
      </c>
      <c r="AO129" s="3"/>
      <c r="AP129">
        <v>0</v>
      </c>
      <c r="AR129" t="s">
        <v>1</v>
      </c>
      <c r="AT129" s="2" t="s">
        <v>0</v>
      </c>
      <c r="AU129" s="1">
        <f t="shared" si="13"/>
        <v>4.4706775067361946</v>
      </c>
      <c r="AV129" s="1">
        <f t="shared" si="14"/>
        <v>3.2102742443182954</v>
      </c>
      <c r="AW129" s="1">
        <f t="shared" si="15"/>
        <v>1.9498709819003954</v>
      </c>
    </row>
    <row r="130" spans="1:49" x14ac:dyDescent="0.2">
      <c r="A130">
        <v>128</v>
      </c>
      <c r="B130" t="s">
        <v>7563</v>
      </c>
      <c r="C130" t="s">
        <v>7562</v>
      </c>
      <c r="F130" t="s">
        <v>7561</v>
      </c>
      <c r="G130" t="s">
        <v>6</v>
      </c>
      <c r="H130" t="s">
        <v>5</v>
      </c>
      <c r="I130" t="s">
        <v>7560</v>
      </c>
      <c r="J130">
        <v>60011357</v>
      </c>
      <c r="K130" t="s">
        <v>218</v>
      </c>
      <c r="L130" t="s">
        <v>217</v>
      </c>
      <c r="M130" t="s">
        <v>133</v>
      </c>
      <c r="N130">
        <v>2</v>
      </c>
      <c r="O130" t="s">
        <v>7559</v>
      </c>
      <c r="P130" t="s">
        <v>7558</v>
      </c>
      <c r="Q130" t="s">
        <v>216</v>
      </c>
      <c r="R130" s="7">
        <v>36495</v>
      </c>
      <c r="S130" s="8">
        <f t="shared" ref="S130:S193" si="16">YEAR(R130)</f>
        <v>1999</v>
      </c>
      <c r="T130" s="8">
        <v>1999</v>
      </c>
      <c r="U130" s="8">
        <f t="shared" ref="U130:U193" si="17">2022-T130</f>
        <v>23</v>
      </c>
      <c r="V130" s="7">
        <v>1999</v>
      </c>
      <c r="W130" s="12" t="s">
        <v>145</v>
      </c>
      <c r="X130" s="2">
        <v>2.383</v>
      </c>
      <c r="Y130" s="6">
        <f t="shared" ref="Y130:Y193" si="18">(X130-$Z$3)/($Z$2-$Z$3)</f>
        <v>6.3612824003630442E-2</v>
      </c>
      <c r="AA130">
        <v>13502417</v>
      </c>
      <c r="AB130">
        <v>17416</v>
      </c>
      <c r="AD130" t="s">
        <v>2</v>
      </c>
      <c r="AE130">
        <v>146</v>
      </c>
      <c r="AF130">
        <v>5</v>
      </c>
      <c r="AH130" t="s">
        <v>7557</v>
      </c>
      <c r="AI130" t="s">
        <v>7556</v>
      </c>
      <c r="AK130" t="s">
        <v>7555</v>
      </c>
      <c r="AL130">
        <v>27</v>
      </c>
      <c r="AM130" s="5">
        <f t="shared" ref="AM130:AM193" si="19">AL130/U130</f>
        <v>1.173913043478261</v>
      </c>
      <c r="AN130" s="4">
        <f t="shared" ref="AN130:AN193" si="20">(AM130-$AO$3)/($AO$2-$AO$3)</f>
        <v>1.7779826482063779E-3</v>
      </c>
      <c r="AO130" s="3"/>
      <c r="AP130">
        <v>0</v>
      </c>
      <c r="AR130" t="s">
        <v>1</v>
      </c>
      <c r="AT130" s="2" t="s">
        <v>0</v>
      </c>
      <c r="AU130" s="1">
        <f t="shared" ref="AU130:AU193" si="21">(Y130*0.7+AN130*0.3)*100</f>
        <v>4.5062371597003219</v>
      </c>
      <c r="AV130" s="1">
        <f t="shared" ref="AV130:AV193" si="22">(Y130*0.5+AN130*0.5)*100</f>
        <v>3.2695403325918408</v>
      </c>
      <c r="AW130" s="1">
        <f t="shared" ref="AW130:AW193" si="23">(Y130*0.3+AN130*0.7)*100</f>
        <v>2.0328435054833598</v>
      </c>
    </row>
    <row r="131" spans="1:49" x14ac:dyDescent="0.2">
      <c r="A131">
        <v>129</v>
      </c>
      <c r="B131" t="s">
        <v>7554</v>
      </c>
      <c r="C131" t="s">
        <v>7553</v>
      </c>
      <c r="F131" t="s">
        <v>7552</v>
      </c>
      <c r="G131" t="s">
        <v>6</v>
      </c>
      <c r="H131" t="s">
        <v>5</v>
      </c>
      <c r="I131" t="s">
        <v>5380</v>
      </c>
      <c r="J131">
        <v>60026638</v>
      </c>
      <c r="K131" t="s">
        <v>806</v>
      </c>
      <c r="L131" t="s">
        <v>486</v>
      </c>
      <c r="M131" t="s">
        <v>485</v>
      </c>
      <c r="N131">
        <v>1</v>
      </c>
      <c r="O131" t="s">
        <v>7551</v>
      </c>
      <c r="P131">
        <v>57191109250</v>
      </c>
      <c r="Q131">
        <v>60026638</v>
      </c>
      <c r="R131" s="7">
        <v>36495</v>
      </c>
      <c r="S131" s="8">
        <f t="shared" si="16"/>
        <v>1999</v>
      </c>
      <c r="T131" s="8">
        <v>1999</v>
      </c>
      <c r="U131" s="8">
        <f t="shared" si="17"/>
        <v>23</v>
      </c>
      <c r="V131" s="7">
        <v>1999</v>
      </c>
      <c r="W131" t="s">
        <v>162</v>
      </c>
      <c r="X131" s="2">
        <v>0.30399999999999999</v>
      </c>
      <c r="Y131" s="6">
        <f t="shared" si="18"/>
        <v>8.115106377299057E-3</v>
      </c>
      <c r="AA131">
        <v>8952477</v>
      </c>
      <c r="AB131">
        <v>12250</v>
      </c>
      <c r="AD131" t="s">
        <v>2</v>
      </c>
      <c r="AE131">
        <v>23</v>
      </c>
      <c r="AF131">
        <v>6</v>
      </c>
      <c r="AH131" t="s">
        <v>7550</v>
      </c>
      <c r="AI131" t="s">
        <v>7549</v>
      </c>
      <c r="AK131" t="s">
        <v>7548</v>
      </c>
      <c r="AL131">
        <v>4</v>
      </c>
      <c r="AM131" s="5">
        <f t="shared" si="19"/>
        <v>0.17391304347826086</v>
      </c>
      <c r="AN131" s="4">
        <f t="shared" si="20"/>
        <v>2.6340483677131523E-4</v>
      </c>
      <c r="AO131" s="3"/>
      <c r="AP131">
        <v>0</v>
      </c>
      <c r="AR131" t="s">
        <v>1</v>
      </c>
      <c r="AT131" s="2" t="s">
        <v>0</v>
      </c>
      <c r="AU131" s="1">
        <f t="shared" si="21"/>
        <v>0.57595959151407339</v>
      </c>
      <c r="AV131" s="1">
        <f t="shared" si="22"/>
        <v>0.41892556070351861</v>
      </c>
      <c r="AW131" s="1">
        <f t="shared" si="23"/>
        <v>0.26189152989296377</v>
      </c>
    </row>
    <row r="132" spans="1:49" x14ac:dyDescent="0.2">
      <c r="A132">
        <v>130</v>
      </c>
      <c r="B132" t="s">
        <v>7547</v>
      </c>
      <c r="C132" t="s">
        <v>7546</v>
      </c>
      <c r="F132" t="s">
        <v>7545</v>
      </c>
      <c r="G132" t="s">
        <v>6</v>
      </c>
      <c r="H132" t="s">
        <v>5</v>
      </c>
      <c r="I132" t="s">
        <v>7544</v>
      </c>
      <c r="J132" t="s">
        <v>7543</v>
      </c>
      <c r="K132" t="s">
        <v>7542</v>
      </c>
      <c r="L132" t="s">
        <v>7541</v>
      </c>
      <c r="M132" t="s">
        <v>221</v>
      </c>
      <c r="N132">
        <v>3</v>
      </c>
      <c r="O132" t="s">
        <v>7540</v>
      </c>
      <c r="P132" t="s">
        <v>7539</v>
      </c>
      <c r="Q132" t="s">
        <v>7538</v>
      </c>
      <c r="R132" s="7">
        <v>36495</v>
      </c>
      <c r="S132" s="8">
        <f t="shared" si="16"/>
        <v>1999</v>
      </c>
      <c r="T132" s="8">
        <v>1999</v>
      </c>
      <c r="U132" s="8">
        <f t="shared" si="17"/>
        <v>23</v>
      </c>
      <c r="V132" s="7">
        <v>1999</v>
      </c>
      <c r="W132" t="s">
        <v>162</v>
      </c>
      <c r="X132" s="2">
        <v>0.30399999999999999</v>
      </c>
      <c r="Y132" s="6">
        <f t="shared" si="18"/>
        <v>8.115106377299057E-3</v>
      </c>
      <c r="AA132">
        <v>8952477</v>
      </c>
      <c r="AB132">
        <v>12250</v>
      </c>
      <c r="AD132" t="s">
        <v>2</v>
      </c>
      <c r="AE132">
        <v>23</v>
      </c>
      <c r="AF132">
        <v>6</v>
      </c>
      <c r="AH132" t="s">
        <v>7537</v>
      </c>
      <c r="AI132" t="s">
        <v>7536</v>
      </c>
      <c r="AK132" t="s">
        <v>7535</v>
      </c>
      <c r="AL132">
        <v>2</v>
      </c>
      <c r="AM132" s="5">
        <f t="shared" si="19"/>
        <v>8.6956521739130432E-2</v>
      </c>
      <c r="AN132" s="4">
        <f t="shared" si="20"/>
        <v>1.3170241838565761E-4</v>
      </c>
      <c r="AO132" s="3"/>
      <c r="AP132">
        <v>0</v>
      </c>
      <c r="AR132" t="s">
        <v>1</v>
      </c>
      <c r="AT132" s="2" t="s">
        <v>0</v>
      </c>
      <c r="AU132" s="1">
        <f t="shared" si="21"/>
        <v>0.57200851896250371</v>
      </c>
      <c r="AV132" s="1">
        <f t="shared" si="22"/>
        <v>0.41234043978423568</v>
      </c>
      <c r="AW132" s="1">
        <f t="shared" si="23"/>
        <v>0.25267236060596776</v>
      </c>
    </row>
    <row r="133" spans="1:49" x14ac:dyDescent="0.2">
      <c r="A133">
        <v>131</v>
      </c>
      <c r="B133" t="s">
        <v>7534</v>
      </c>
      <c r="C133" t="s">
        <v>7533</v>
      </c>
      <c r="F133" t="s">
        <v>7532</v>
      </c>
      <c r="G133" t="s">
        <v>6</v>
      </c>
      <c r="H133" t="s">
        <v>5</v>
      </c>
      <c r="I133" t="s">
        <v>6621</v>
      </c>
      <c r="J133" t="s">
        <v>6620</v>
      </c>
      <c r="K133" t="s">
        <v>6619</v>
      </c>
      <c r="L133" t="s">
        <v>6618</v>
      </c>
      <c r="M133" t="s">
        <v>498</v>
      </c>
      <c r="N133">
        <v>3</v>
      </c>
      <c r="O133" t="s">
        <v>6617</v>
      </c>
      <c r="P133" t="s">
        <v>6616</v>
      </c>
      <c r="Q133" t="s">
        <v>6615</v>
      </c>
      <c r="R133" s="7">
        <v>36495</v>
      </c>
      <c r="S133" s="8">
        <f t="shared" si="16"/>
        <v>1999</v>
      </c>
      <c r="T133" s="8">
        <v>1999</v>
      </c>
      <c r="U133" s="8">
        <f t="shared" si="17"/>
        <v>23</v>
      </c>
      <c r="V133" s="7">
        <v>1999</v>
      </c>
      <c r="W133" t="s">
        <v>190</v>
      </c>
      <c r="X133" s="2">
        <v>1.6379999999999999</v>
      </c>
      <c r="Y133" s="6">
        <f t="shared" si="18"/>
        <v>4.3725474493473214E-2</v>
      </c>
      <c r="AA133" t="s">
        <v>189</v>
      </c>
      <c r="AB133">
        <v>17391</v>
      </c>
      <c r="AD133" t="s">
        <v>2</v>
      </c>
      <c r="AE133">
        <v>47</v>
      </c>
      <c r="AF133">
        <v>10</v>
      </c>
      <c r="AH133" t="s">
        <v>7531</v>
      </c>
      <c r="AI133" t="s">
        <v>7530</v>
      </c>
      <c r="AK133" t="s">
        <v>7529</v>
      </c>
      <c r="AL133">
        <v>62</v>
      </c>
      <c r="AM133" s="5">
        <f t="shared" si="19"/>
        <v>2.6956521739130435</v>
      </c>
      <c r="AN133" s="4">
        <f t="shared" si="20"/>
        <v>4.0827749699553859E-3</v>
      </c>
      <c r="AO133" s="3"/>
      <c r="AP133">
        <v>0</v>
      </c>
      <c r="AR133" t="s">
        <v>1</v>
      </c>
      <c r="AT133" s="2">
        <v>4.931</v>
      </c>
      <c r="AU133" s="1">
        <f t="shared" si="21"/>
        <v>3.1832664636417864</v>
      </c>
      <c r="AV133" s="1">
        <f t="shared" si="22"/>
        <v>2.39041247317143</v>
      </c>
      <c r="AW133" s="1">
        <f t="shared" si="23"/>
        <v>1.5975584827010736</v>
      </c>
    </row>
    <row r="134" spans="1:49" x14ac:dyDescent="0.2">
      <c r="A134">
        <v>132</v>
      </c>
      <c r="B134" t="s">
        <v>7528</v>
      </c>
      <c r="C134" t="s">
        <v>7527</v>
      </c>
      <c r="F134" t="s">
        <v>7526</v>
      </c>
      <c r="G134" t="s">
        <v>6</v>
      </c>
      <c r="H134" t="s">
        <v>5</v>
      </c>
      <c r="I134" t="s">
        <v>7525</v>
      </c>
      <c r="J134">
        <v>60021902</v>
      </c>
      <c r="K134" t="s">
        <v>164</v>
      </c>
      <c r="L134" t="s">
        <v>163</v>
      </c>
      <c r="M134" t="s">
        <v>49</v>
      </c>
      <c r="N134">
        <v>2</v>
      </c>
      <c r="O134" t="s">
        <v>7524</v>
      </c>
      <c r="P134" t="s">
        <v>7523</v>
      </c>
      <c r="Q134" t="s">
        <v>6429</v>
      </c>
      <c r="R134" s="7">
        <v>36495</v>
      </c>
      <c r="S134" s="8">
        <f t="shared" si="16"/>
        <v>1999</v>
      </c>
      <c r="T134" s="8">
        <v>1999</v>
      </c>
      <c r="U134" s="8">
        <f t="shared" si="17"/>
        <v>23</v>
      </c>
      <c r="V134" s="7">
        <v>1999</v>
      </c>
      <c r="W134" t="s">
        <v>227</v>
      </c>
      <c r="X134" s="2">
        <v>0.375</v>
      </c>
      <c r="Y134" s="6">
        <f t="shared" si="18"/>
        <v>1.0010410827260351E-2</v>
      </c>
      <c r="AA134">
        <v>135194</v>
      </c>
      <c r="AB134">
        <v>24918</v>
      </c>
      <c r="AD134" t="s">
        <v>2</v>
      </c>
      <c r="AE134">
        <v>35</v>
      </c>
      <c r="AF134">
        <v>22</v>
      </c>
      <c r="AH134" t="s">
        <v>7522</v>
      </c>
      <c r="AI134" t="s">
        <v>7521</v>
      </c>
      <c r="AK134" t="s">
        <v>7520</v>
      </c>
      <c r="AL134">
        <v>3</v>
      </c>
      <c r="AM134" s="5">
        <f t="shared" si="19"/>
        <v>0.13043478260869565</v>
      </c>
      <c r="AN134" s="4">
        <f t="shared" si="20"/>
        <v>1.9755362757848641E-4</v>
      </c>
      <c r="AO134" s="3"/>
      <c r="AP134">
        <v>0</v>
      </c>
      <c r="AR134" t="s">
        <v>1</v>
      </c>
      <c r="AT134" s="2">
        <v>1.3140000000000001</v>
      </c>
      <c r="AU134" s="1">
        <f t="shared" si="21"/>
        <v>0.70665536673557916</v>
      </c>
      <c r="AV134" s="1">
        <f t="shared" si="22"/>
        <v>0.51039822274194191</v>
      </c>
      <c r="AW134" s="1">
        <f t="shared" si="23"/>
        <v>0.31414107874830455</v>
      </c>
    </row>
    <row r="135" spans="1:49" x14ac:dyDescent="0.2">
      <c r="A135">
        <v>133</v>
      </c>
      <c r="B135" t="s">
        <v>7519</v>
      </c>
      <c r="C135" t="s">
        <v>7518</v>
      </c>
      <c r="F135" t="s">
        <v>7517</v>
      </c>
      <c r="G135" t="s">
        <v>6</v>
      </c>
      <c r="H135" t="s">
        <v>5</v>
      </c>
      <c r="I135" t="s">
        <v>652</v>
      </c>
      <c r="J135" t="s">
        <v>651</v>
      </c>
      <c r="K135" t="s">
        <v>650</v>
      </c>
      <c r="L135" t="s">
        <v>649</v>
      </c>
      <c r="M135" t="s">
        <v>18</v>
      </c>
      <c r="N135">
        <v>5</v>
      </c>
      <c r="O135" t="s">
        <v>7516</v>
      </c>
      <c r="P135" t="s">
        <v>7515</v>
      </c>
      <c r="Q135" t="s">
        <v>7514</v>
      </c>
      <c r="R135" s="7">
        <v>36495</v>
      </c>
      <c r="S135" s="8">
        <f t="shared" si="16"/>
        <v>1999</v>
      </c>
      <c r="T135" s="8">
        <v>1999</v>
      </c>
      <c r="U135" s="8">
        <f t="shared" si="17"/>
        <v>23</v>
      </c>
      <c r="V135" s="7">
        <v>36495</v>
      </c>
      <c r="W135" t="s">
        <v>37</v>
      </c>
      <c r="X135" s="2">
        <v>0.48699999999999999</v>
      </c>
      <c r="Y135" s="6">
        <f t="shared" si="18"/>
        <v>1.3000186861002109E-2</v>
      </c>
      <c r="AA135">
        <v>214922</v>
      </c>
      <c r="AB135">
        <v>130262</v>
      </c>
      <c r="AD135" t="s">
        <v>2</v>
      </c>
      <c r="AE135">
        <v>38</v>
      </c>
      <c r="AF135" s="9">
        <v>0</v>
      </c>
      <c r="AH135" t="s">
        <v>7513</v>
      </c>
      <c r="AI135" t="s">
        <v>7512</v>
      </c>
      <c r="AJ135" t="s">
        <v>7511</v>
      </c>
      <c r="AK135" t="s">
        <v>7510</v>
      </c>
      <c r="AL135">
        <v>38</v>
      </c>
      <c r="AM135" s="5">
        <f t="shared" si="19"/>
        <v>1.6521739130434783</v>
      </c>
      <c r="AN135" s="4">
        <f t="shared" si="20"/>
        <v>2.5023459493274947E-3</v>
      </c>
      <c r="AO135" s="3"/>
      <c r="AP135">
        <v>0</v>
      </c>
      <c r="AR135" t="s">
        <v>1</v>
      </c>
      <c r="AT135" s="2" t="s">
        <v>0</v>
      </c>
      <c r="AU135" s="1">
        <f t="shared" si="21"/>
        <v>0.9850834587499725</v>
      </c>
      <c r="AV135" s="1">
        <f t="shared" si="22"/>
        <v>0.77512664051648017</v>
      </c>
      <c r="AW135" s="1">
        <f t="shared" si="23"/>
        <v>0.56516982228298784</v>
      </c>
    </row>
    <row r="136" spans="1:49" x14ac:dyDescent="0.2">
      <c r="A136">
        <v>134</v>
      </c>
      <c r="B136" t="s">
        <v>7509</v>
      </c>
      <c r="C136" t="s">
        <v>7508</v>
      </c>
      <c r="D136" t="s">
        <v>7507</v>
      </c>
      <c r="F136" t="s">
        <v>7506</v>
      </c>
      <c r="G136" t="s">
        <v>6</v>
      </c>
      <c r="H136" t="s">
        <v>5</v>
      </c>
      <c r="I136" t="s">
        <v>1877</v>
      </c>
      <c r="J136">
        <v>60002014</v>
      </c>
      <c r="K136" t="s">
        <v>822</v>
      </c>
      <c r="L136" t="s">
        <v>448</v>
      </c>
      <c r="M136" t="s">
        <v>289</v>
      </c>
      <c r="N136">
        <v>2</v>
      </c>
      <c r="O136" t="s">
        <v>7505</v>
      </c>
      <c r="P136" t="s">
        <v>7504</v>
      </c>
      <c r="Q136" t="s">
        <v>821</v>
      </c>
      <c r="R136" s="7">
        <v>36495</v>
      </c>
      <c r="S136" s="8">
        <f t="shared" si="16"/>
        <v>1999</v>
      </c>
      <c r="T136" s="8">
        <v>1999</v>
      </c>
      <c r="U136" s="8">
        <f t="shared" si="17"/>
        <v>23</v>
      </c>
      <c r="V136" s="7">
        <v>1999</v>
      </c>
      <c r="W136" t="s">
        <v>190</v>
      </c>
      <c r="X136" s="2">
        <v>1.6379999999999999</v>
      </c>
      <c r="Y136" s="6">
        <f t="shared" si="18"/>
        <v>4.3725474493473214E-2</v>
      </c>
      <c r="AA136" t="s">
        <v>189</v>
      </c>
      <c r="AB136">
        <v>17391</v>
      </c>
      <c r="AD136" t="s">
        <v>2</v>
      </c>
      <c r="AE136">
        <v>47</v>
      </c>
      <c r="AF136">
        <v>12</v>
      </c>
      <c r="AH136" t="s">
        <v>7503</v>
      </c>
      <c r="AI136" t="s">
        <v>7502</v>
      </c>
      <c r="AJ136" t="s">
        <v>7501</v>
      </c>
      <c r="AK136" t="s">
        <v>7500</v>
      </c>
      <c r="AL136">
        <v>154</v>
      </c>
      <c r="AM136" s="5">
        <f t="shared" si="19"/>
        <v>6.6956521739130439</v>
      </c>
      <c r="AN136" s="4">
        <f t="shared" si="20"/>
        <v>1.0141086215695636E-2</v>
      </c>
      <c r="AO136" s="3"/>
      <c r="AP136">
        <v>0</v>
      </c>
      <c r="AR136" t="s">
        <v>1</v>
      </c>
      <c r="AT136" s="2">
        <v>4.931</v>
      </c>
      <c r="AU136" s="1">
        <f t="shared" si="21"/>
        <v>3.3650158010139939</v>
      </c>
      <c r="AV136" s="1">
        <f t="shared" si="22"/>
        <v>2.6933280354584426</v>
      </c>
      <c r="AW136" s="1">
        <f t="shared" si="23"/>
        <v>2.0216402699028908</v>
      </c>
    </row>
    <row r="137" spans="1:49" x14ac:dyDescent="0.2">
      <c r="A137">
        <v>135</v>
      </c>
      <c r="B137" t="s">
        <v>7499</v>
      </c>
      <c r="C137" t="s">
        <v>7498</v>
      </c>
      <c r="F137" t="s">
        <v>7497</v>
      </c>
      <c r="G137" t="s">
        <v>6</v>
      </c>
      <c r="H137" t="s">
        <v>5</v>
      </c>
      <c r="I137" t="s">
        <v>7496</v>
      </c>
      <c r="J137" t="s">
        <v>7495</v>
      </c>
      <c r="K137" t="s">
        <v>7494</v>
      </c>
      <c r="L137" t="s">
        <v>7493</v>
      </c>
      <c r="M137" t="s">
        <v>7492</v>
      </c>
      <c r="N137">
        <v>2</v>
      </c>
      <c r="O137" t="s">
        <v>7491</v>
      </c>
      <c r="P137" t="s">
        <v>7490</v>
      </c>
      <c r="Q137" t="s">
        <v>7489</v>
      </c>
      <c r="R137" s="7">
        <v>36495</v>
      </c>
      <c r="S137" s="8">
        <f t="shared" si="16"/>
        <v>1999</v>
      </c>
      <c r="T137" s="8">
        <v>1999</v>
      </c>
      <c r="U137" s="8">
        <f t="shared" si="17"/>
        <v>23</v>
      </c>
      <c r="V137" s="7">
        <v>36495</v>
      </c>
      <c r="W137" t="s">
        <v>239</v>
      </c>
      <c r="X137" s="2">
        <v>2.9860000000000002</v>
      </c>
      <c r="Y137" s="6">
        <f t="shared" si="18"/>
        <v>7.9709564613865094E-2</v>
      </c>
      <c r="AA137">
        <v>7338716</v>
      </c>
      <c r="AB137">
        <v>18902</v>
      </c>
      <c r="AD137" t="s">
        <v>2</v>
      </c>
      <c r="AE137">
        <v>17</v>
      </c>
      <c r="AF137">
        <v>12</v>
      </c>
      <c r="AH137" t="s">
        <v>7488</v>
      </c>
      <c r="AI137" t="s">
        <v>7487</v>
      </c>
      <c r="AK137" t="s">
        <v>7486</v>
      </c>
      <c r="AL137">
        <v>45</v>
      </c>
      <c r="AM137" s="5">
        <f t="shared" si="19"/>
        <v>1.9565217391304348</v>
      </c>
      <c r="AN137" s="4">
        <f t="shared" si="20"/>
        <v>2.9633044136772963E-3</v>
      </c>
      <c r="AO137" s="3"/>
      <c r="AP137">
        <v>0</v>
      </c>
      <c r="AR137">
        <v>700136</v>
      </c>
      <c r="AT137" s="2" t="s">
        <v>0</v>
      </c>
      <c r="AU137" s="1">
        <f t="shared" si="21"/>
        <v>5.6685686553808745</v>
      </c>
      <c r="AV137" s="1">
        <f t="shared" si="22"/>
        <v>4.1336434513771199</v>
      </c>
      <c r="AW137" s="1">
        <f t="shared" si="23"/>
        <v>2.5987182473733634</v>
      </c>
    </row>
    <row r="138" spans="1:49" x14ac:dyDescent="0.2">
      <c r="A138">
        <v>136</v>
      </c>
      <c r="B138" t="s">
        <v>7485</v>
      </c>
      <c r="C138" t="s">
        <v>7484</v>
      </c>
      <c r="D138" t="s">
        <v>7483</v>
      </c>
      <c r="F138" t="s">
        <v>7482</v>
      </c>
      <c r="G138" t="s">
        <v>6</v>
      </c>
      <c r="H138" t="s">
        <v>5</v>
      </c>
      <c r="I138" t="s">
        <v>7481</v>
      </c>
      <c r="J138">
        <v>60025778</v>
      </c>
      <c r="K138" t="s">
        <v>156</v>
      </c>
      <c r="L138" t="s">
        <v>4</v>
      </c>
      <c r="M138" t="s">
        <v>3</v>
      </c>
      <c r="N138">
        <v>1</v>
      </c>
      <c r="O138" t="s">
        <v>835</v>
      </c>
      <c r="P138">
        <v>56228926500</v>
      </c>
      <c r="Q138">
        <v>60025778</v>
      </c>
      <c r="R138" s="7">
        <v>36495</v>
      </c>
      <c r="S138" s="8">
        <f t="shared" si="16"/>
        <v>1999</v>
      </c>
      <c r="T138" s="8">
        <v>1999</v>
      </c>
      <c r="U138" s="8">
        <f t="shared" si="17"/>
        <v>23</v>
      </c>
      <c r="V138" s="7">
        <v>1999</v>
      </c>
      <c r="W138" t="s">
        <v>124</v>
      </c>
      <c r="X138" s="2">
        <v>1.6519999999999999</v>
      </c>
      <c r="Y138" s="6">
        <f t="shared" si="18"/>
        <v>4.409919649769093E-2</v>
      </c>
      <c r="AA138" t="s">
        <v>123</v>
      </c>
      <c r="AB138">
        <v>17337</v>
      </c>
      <c r="AD138" t="s">
        <v>2</v>
      </c>
      <c r="AE138">
        <v>47</v>
      </c>
      <c r="AF138">
        <v>12</v>
      </c>
      <c r="AH138" t="s">
        <v>7480</v>
      </c>
      <c r="AI138" t="s">
        <v>7479</v>
      </c>
      <c r="AJ138" t="s">
        <v>7478</v>
      </c>
      <c r="AK138" t="s">
        <v>7477</v>
      </c>
      <c r="AL138">
        <v>86</v>
      </c>
      <c r="AM138" s="5">
        <f t="shared" si="19"/>
        <v>3.7391304347826089</v>
      </c>
      <c r="AN138" s="4">
        <f t="shared" si="20"/>
        <v>5.6632039905832772E-3</v>
      </c>
      <c r="AO138" s="3"/>
      <c r="AP138">
        <v>0</v>
      </c>
      <c r="AR138" t="s">
        <v>1</v>
      </c>
      <c r="AT138" s="2" t="s">
        <v>0</v>
      </c>
      <c r="AU138" s="1">
        <f t="shared" si="21"/>
        <v>3.2568398745558635</v>
      </c>
      <c r="AV138" s="1">
        <f t="shared" si="22"/>
        <v>2.4881200244137105</v>
      </c>
      <c r="AW138" s="1">
        <f t="shared" si="23"/>
        <v>1.719400174271557</v>
      </c>
    </row>
    <row r="139" spans="1:49" x14ac:dyDescent="0.2">
      <c r="A139">
        <v>137</v>
      </c>
      <c r="B139" t="s">
        <v>7476</v>
      </c>
      <c r="C139" t="s">
        <v>7475</v>
      </c>
      <c r="F139" t="s">
        <v>7474</v>
      </c>
      <c r="G139" t="s">
        <v>6</v>
      </c>
      <c r="H139" t="s">
        <v>5</v>
      </c>
      <c r="I139" t="s">
        <v>7473</v>
      </c>
      <c r="J139">
        <v>60025555</v>
      </c>
      <c r="K139" t="s">
        <v>33</v>
      </c>
      <c r="L139" t="s">
        <v>32</v>
      </c>
      <c r="M139" t="s">
        <v>7</v>
      </c>
      <c r="N139">
        <v>3</v>
      </c>
      <c r="O139" t="s">
        <v>7472</v>
      </c>
      <c r="P139" t="s">
        <v>7471</v>
      </c>
      <c r="Q139" t="s">
        <v>418</v>
      </c>
      <c r="R139" s="7">
        <v>36495</v>
      </c>
      <c r="S139" s="8">
        <f t="shared" si="16"/>
        <v>1999</v>
      </c>
      <c r="T139" s="8">
        <v>1999</v>
      </c>
      <c r="U139" s="8">
        <f t="shared" si="17"/>
        <v>23</v>
      </c>
      <c r="V139" s="7">
        <v>1999</v>
      </c>
      <c r="W139" t="s">
        <v>89</v>
      </c>
      <c r="X139" s="2">
        <v>1.365</v>
      </c>
      <c r="Y139" s="6">
        <f t="shared" si="18"/>
        <v>3.6437895411227675E-2</v>
      </c>
      <c r="AA139">
        <v>189545</v>
      </c>
      <c r="AB139">
        <v>17393</v>
      </c>
      <c r="AD139" t="s">
        <v>2</v>
      </c>
      <c r="AE139">
        <v>48</v>
      </c>
      <c r="AF139">
        <v>5</v>
      </c>
      <c r="AH139" t="s">
        <v>7470</v>
      </c>
      <c r="AI139" t="s">
        <v>7469</v>
      </c>
      <c r="AK139" t="s">
        <v>7468</v>
      </c>
      <c r="AL139">
        <v>4</v>
      </c>
      <c r="AM139" s="5">
        <f t="shared" si="19"/>
        <v>0.17391304347826086</v>
      </c>
      <c r="AN139" s="4">
        <f t="shared" si="20"/>
        <v>2.6340483677131523E-4</v>
      </c>
      <c r="AO139" s="3"/>
      <c r="AP139">
        <v>0</v>
      </c>
      <c r="AR139" t="s">
        <v>1</v>
      </c>
      <c r="AT139" s="2" t="s">
        <v>0</v>
      </c>
      <c r="AU139" s="1">
        <f t="shared" si="21"/>
        <v>2.5585548238890765</v>
      </c>
      <c r="AV139" s="1">
        <f t="shared" si="22"/>
        <v>1.8350650123999495</v>
      </c>
      <c r="AW139" s="1">
        <f t="shared" si="23"/>
        <v>1.1115752009108222</v>
      </c>
    </row>
    <row r="140" spans="1:49" x14ac:dyDescent="0.2">
      <c r="A140">
        <v>138</v>
      </c>
      <c r="B140" t="s">
        <v>7467</v>
      </c>
      <c r="C140" t="s">
        <v>7466</v>
      </c>
      <c r="F140" t="s">
        <v>7465</v>
      </c>
      <c r="G140" t="s">
        <v>6</v>
      </c>
      <c r="H140" t="s">
        <v>5</v>
      </c>
      <c r="I140" t="s">
        <v>7464</v>
      </c>
      <c r="J140">
        <v>60021378</v>
      </c>
      <c r="K140" t="s">
        <v>55</v>
      </c>
      <c r="L140" t="s">
        <v>54</v>
      </c>
      <c r="M140" t="s">
        <v>3</v>
      </c>
      <c r="N140">
        <v>1</v>
      </c>
      <c r="O140" t="s">
        <v>7463</v>
      </c>
      <c r="P140">
        <v>7402180320</v>
      </c>
      <c r="Q140">
        <v>60021378</v>
      </c>
      <c r="R140" s="7">
        <v>36495</v>
      </c>
      <c r="S140" s="8">
        <f t="shared" si="16"/>
        <v>1999</v>
      </c>
      <c r="T140" s="8">
        <v>1999</v>
      </c>
      <c r="U140" s="8">
        <f t="shared" si="17"/>
        <v>23</v>
      </c>
      <c r="V140" s="7">
        <v>1999</v>
      </c>
      <c r="W140" t="s">
        <v>89</v>
      </c>
      <c r="X140" s="2">
        <v>1.365</v>
      </c>
      <c r="Y140" s="6">
        <f t="shared" si="18"/>
        <v>3.6437895411227675E-2</v>
      </c>
      <c r="AA140">
        <v>189545</v>
      </c>
      <c r="AB140">
        <v>17393</v>
      </c>
      <c r="AD140" t="s">
        <v>2</v>
      </c>
      <c r="AE140">
        <v>48</v>
      </c>
      <c r="AF140">
        <v>6</v>
      </c>
      <c r="AH140" t="s">
        <v>7462</v>
      </c>
      <c r="AI140" t="s">
        <v>7461</v>
      </c>
      <c r="AK140" t="s">
        <v>7460</v>
      </c>
      <c r="AL140">
        <v>36</v>
      </c>
      <c r="AM140" s="5">
        <f t="shared" si="19"/>
        <v>1.5652173913043479</v>
      </c>
      <c r="AN140" s="4">
        <f t="shared" si="20"/>
        <v>2.3706435309418369E-3</v>
      </c>
      <c r="AO140" s="3"/>
      <c r="AP140">
        <v>0</v>
      </c>
      <c r="AR140" t="s">
        <v>1</v>
      </c>
      <c r="AT140" s="2" t="s">
        <v>0</v>
      </c>
      <c r="AU140" s="1">
        <f t="shared" si="21"/>
        <v>2.6217719847141918</v>
      </c>
      <c r="AV140" s="1">
        <f t="shared" si="22"/>
        <v>1.9404269471084756</v>
      </c>
      <c r="AW140" s="1">
        <f t="shared" si="23"/>
        <v>1.2590819095027588</v>
      </c>
    </row>
    <row r="141" spans="1:49" x14ac:dyDescent="0.2">
      <c r="A141">
        <v>139</v>
      </c>
      <c r="B141" t="s">
        <v>7459</v>
      </c>
      <c r="C141" t="s">
        <v>7458</v>
      </c>
      <c r="F141" t="s">
        <v>7457</v>
      </c>
      <c r="G141" t="s">
        <v>6</v>
      </c>
      <c r="H141" t="s">
        <v>5</v>
      </c>
      <c r="I141" t="s">
        <v>7456</v>
      </c>
      <c r="J141">
        <v>60008928</v>
      </c>
      <c r="K141" t="s">
        <v>7455</v>
      </c>
      <c r="L141" t="s">
        <v>323</v>
      </c>
      <c r="M141" t="s">
        <v>322</v>
      </c>
      <c r="N141">
        <v>2</v>
      </c>
      <c r="O141" t="s">
        <v>7454</v>
      </c>
      <c r="P141" t="s">
        <v>7453</v>
      </c>
      <c r="Q141" t="s">
        <v>7452</v>
      </c>
      <c r="R141" s="7">
        <v>36495</v>
      </c>
      <c r="S141" s="8">
        <f t="shared" si="16"/>
        <v>1999</v>
      </c>
      <c r="T141" s="8">
        <v>1999</v>
      </c>
      <c r="U141" s="8">
        <f t="shared" si="17"/>
        <v>23</v>
      </c>
      <c r="V141" s="7">
        <v>1999</v>
      </c>
      <c r="W141" t="s">
        <v>167</v>
      </c>
      <c r="X141" s="2">
        <v>1.468</v>
      </c>
      <c r="Y141" s="6">
        <f t="shared" si="18"/>
        <v>3.9187421585115186E-2</v>
      </c>
      <c r="AA141">
        <v>906778</v>
      </c>
      <c r="AB141">
        <v>18931</v>
      </c>
      <c r="AD141" t="s">
        <v>2</v>
      </c>
      <c r="AE141">
        <v>47</v>
      </c>
      <c r="AF141">
        <v>8</v>
      </c>
      <c r="AH141" t="s">
        <v>7451</v>
      </c>
      <c r="AI141" t="s">
        <v>7450</v>
      </c>
      <c r="AK141" t="s">
        <v>7449</v>
      </c>
      <c r="AL141">
        <v>125</v>
      </c>
      <c r="AM141" s="5">
        <f t="shared" si="19"/>
        <v>5.4347826086956523</v>
      </c>
      <c r="AN141" s="4">
        <f t="shared" si="20"/>
        <v>8.2314011491036003E-3</v>
      </c>
      <c r="AO141" s="3"/>
      <c r="AP141">
        <v>0</v>
      </c>
      <c r="AR141" t="s">
        <v>1</v>
      </c>
      <c r="AT141" s="2">
        <v>5.0830000000000002</v>
      </c>
      <c r="AU141" s="1">
        <f t="shared" si="21"/>
        <v>2.9900615454311708</v>
      </c>
      <c r="AV141" s="1">
        <f t="shared" si="22"/>
        <v>2.3709411367109392</v>
      </c>
      <c r="AW141" s="1">
        <f t="shared" si="23"/>
        <v>1.7518207279907076</v>
      </c>
    </row>
    <row r="142" spans="1:49" x14ac:dyDescent="0.2">
      <c r="A142">
        <v>140</v>
      </c>
      <c r="B142" t="s">
        <v>7448</v>
      </c>
      <c r="C142" t="s">
        <v>7447</v>
      </c>
      <c r="D142" t="s">
        <v>7446</v>
      </c>
      <c r="F142" t="s">
        <v>7445</v>
      </c>
      <c r="G142" t="s">
        <v>6</v>
      </c>
      <c r="H142" t="s">
        <v>5</v>
      </c>
      <c r="I142" t="s">
        <v>7444</v>
      </c>
      <c r="J142">
        <v>60002014</v>
      </c>
      <c r="K142" t="s">
        <v>822</v>
      </c>
      <c r="L142" t="s">
        <v>448</v>
      </c>
      <c r="M142" t="s">
        <v>289</v>
      </c>
      <c r="N142">
        <v>1</v>
      </c>
      <c r="O142" t="s">
        <v>7443</v>
      </c>
      <c r="P142">
        <v>6602083541</v>
      </c>
      <c r="Q142">
        <v>60002014</v>
      </c>
      <c r="R142" s="7">
        <v>36495</v>
      </c>
      <c r="S142" s="8">
        <f t="shared" si="16"/>
        <v>1999</v>
      </c>
      <c r="T142" s="8">
        <v>1999</v>
      </c>
      <c r="U142" s="8">
        <f t="shared" si="17"/>
        <v>23</v>
      </c>
      <c r="V142" s="7">
        <v>1999</v>
      </c>
      <c r="W142" t="s">
        <v>89</v>
      </c>
      <c r="X142" s="2">
        <v>1.365</v>
      </c>
      <c r="Y142" s="6">
        <f t="shared" si="18"/>
        <v>3.6437895411227675E-2</v>
      </c>
      <c r="AA142">
        <v>189545</v>
      </c>
      <c r="AB142">
        <v>17393</v>
      </c>
      <c r="AD142" t="s">
        <v>2</v>
      </c>
      <c r="AE142">
        <v>48</v>
      </c>
      <c r="AF142">
        <v>5</v>
      </c>
      <c r="AH142" t="s">
        <v>7442</v>
      </c>
      <c r="AI142" t="s">
        <v>7441</v>
      </c>
      <c r="AJ142" t="s">
        <v>7440</v>
      </c>
      <c r="AK142" t="s">
        <v>7439</v>
      </c>
      <c r="AL142">
        <v>11</v>
      </c>
      <c r="AM142" s="5">
        <f t="shared" si="19"/>
        <v>0.47826086956521741</v>
      </c>
      <c r="AN142" s="4">
        <f t="shared" si="20"/>
        <v>7.2436330112111687E-4</v>
      </c>
      <c r="AO142" s="3"/>
      <c r="AP142">
        <v>0</v>
      </c>
      <c r="AR142" t="s">
        <v>1</v>
      </c>
      <c r="AT142" s="2" t="s">
        <v>0</v>
      </c>
      <c r="AU142" s="1">
        <f t="shared" si="21"/>
        <v>2.5723835778195707</v>
      </c>
      <c r="AV142" s="1">
        <f t="shared" si="22"/>
        <v>1.8581129356174397</v>
      </c>
      <c r="AW142" s="1">
        <f t="shared" si="23"/>
        <v>1.1438422934153083</v>
      </c>
    </row>
    <row r="143" spans="1:49" x14ac:dyDescent="0.2">
      <c r="A143">
        <v>141</v>
      </c>
      <c r="B143" t="s">
        <v>7438</v>
      </c>
      <c r="C143" t="s">
        <v>7437</v>
      </c>
      <c r="F143" t="s">
        <v>7436</v>
      </c>
      <c r="G143" t="s">
        <v>6</v>
      </c>
      <c r="H143" t="s">
        <v>5</v>
      </c>
      <c r="I143" t="s">
        <v>7435</v>
      </c>
      <c r="J143" t="s">
        <v>7432</v>
      </c>
      <c r="K143" t="s">
        <v>7434</v>
      </c>
      <c r="L143" t="s">
        <v>7433</v>
      </c>
      <c r="M143" t="s">
        <v>30</v>
      </c>
      <c r="N143">
        <v>2</v>
      </c>
      <c r="O143" t="s">
        <v>6041</v>
      </c>
      <c r="P143" t="s">
        <v>6040</v>
      </c>
      <c r="Q143" t="s">
        <v>7432</v>
      </c>
      <c r="R143" s="7">
        <v>36495</v>
      </c>
      <c r="S143" s="8">
        <f t="shared" si="16"/>
        <v>1999</v>
      </c>
      <c r="T143" s="8">
        <v>1999</v>
      </c>
      <c r="U143" s="8">
        <f t="shared" si="17"/>
        <v>23</v>
      </c>
      <c r="V143" s="7">
        <v>1999</v>
      </c>
      <c r="W143" t="s">
        <v>53</v>
      </c>
      <c r="X143" s="2">
        <v>0.88100000000000001</v>
      </c>
      <c r="Y143" s="6">
        <f t="shared" si="18"/>
        <v>2.3517791836843653E-2</v>
      </c>
      <c r="AA143">
        <v>10459243</v>
      </c>
      <c r="AB143">
        <v>17248</v>
      </c>
      <c r="AD143" t="s">
        <v>2</v>
      </c>
      <c r="AE143">
        <v>41</v>
      </c>
      <c r="AF143">
        <v>5</v>
      </c>
      <c r="AH143" s="11">
        <v>42979</v>
      </c>
      <c r="AI143" t="s">
        <v>7431</v>
      </c>
      <c r="AJ143" t="s">
        <v>7430</v>
      </c>
      <c r="AK143" t="s">
        <v>7429</v>
      </c>
      <c r="AL143">
        <v>53</v>
      </c>
      <c r="AM143" s="5">
        <f t="shared" si="19"/>
        <v>2.3043478260869565</v>
      </c>
      <c r="AN143" s="4">
        <f t="shared" si="20"/>
        <v>3.4901140872199265E-3</v>
      </c>
      <c r="AO143" s="3"/>
      <c r="AP143">
        <v>0</v>
      </c>
      <c r="AQ143" t="s">
        <v>205</v>
      </c>
      <c r="AR143" t="s">
        <v>447</v>
      </c>
      <c r="AS143" t="s">
        <v>204</v>
      </c>
      <c r="AT143" s="2" t="s">
        <v>0</v>
      </c>
      <c r="AU143" s="1">
        <f t="shared" si="21"/>
        <v>1.7509488511956532</v>
      </c>
      <c r="AV143" s="1">
        <f t="shared" si="22"/>
        <v>1.3503952962031791</v>
      </c>
      <c r="AW143" s="1">
        <f t="shared" si="23"/>
        <v>0.94984174121070453</v>
      </c>
    </row>
    <row r="144" spans="1:49" x14ac:dyDescent="0.2">
      <c r="A144">
        <v>142</v>
      </c>
      <c r="B144" t="s">
        <v>7428</v>
      </c>
      <c r="C144" t="s">
        <v>7427</v>
      </c>
      <c r="F144" t="s">
        <v>7426</v>
      </c>
      <c r="G144" t="s">
        <v>6</v>
      </c>
      <c r="H144" t="s">
        <v>5</v>
      </c>
      <c r="I144" t="s">
        <v>7425</v>
      </c>
      <c r="J144">
        <v>60009037</v>
      </c>
      <c r="K144" t="s">
        <v>274</v>
      </c>
      <c r="L144" t="s">
        <v>107</v>
      </c>
      <c r="M144" t="s">
        <v>3</v>
      </c>
      <c r="N144">
        <v>2</v>
      </c>
      <c r="O144" t="s">
        <v>7424</v>
      </c>
      <c r="P144" t="s">
        <v>7423</v>
      </c>
      <c r="Q144" t="s">
        <v>658</v>
      </c>
      <c r="R144" s="7">
        <v>36495</v>
      </c>
      <c r="S144" s="8">
        <f t="shared" si="16"/>
        <v>1999</v>
      </c>
      <c r="T144" s="8">
        <v>1999</v>
      </c>
      <c r="U144" s="8">
        <f t="shared" si="17"/>
        <v>23</v>
      </c>
      <c r="V144" s="7">
        <v>36495</v>
      </c>
      <c r="W144" t="s">
        <v>53</v>
      </c>
      <c r="X144" s="2">
        <v>0.88100000000000001</v>
      </c>
      <c r="Y144" s="6">
        <f t="shared" si="18"/>
        <v>2.3517791836843653E-2</v>
      </c>
      <c r="AA144">
        <v>10459243</v>
      </c>
      <c r="AB144">
        <v>17248</v>
      </c>
      <c r="AD144" t="s">
        <v>2</v>
      </c>
      <c r="AE144">
        <v>41</v>
      </c>
      <c r="AF144">
        <v>6</v>
      </c>
      <c r="AH144" t="s">
        <v>7422</v>
      </c>
      <c r="AI144" t="s">
        <v>7421</v>
      </c>
      <c r="AK144" t="s">
        <v>7420</v>
      </c>
      <c r="AL144">
        <v>9</v>
      </c>
      <c r="AM144" s="5">
        <f t="shared" si="19"/>
        <v>0.39130434782608697</v>
      </c>
      <c r="AN144" s="4">
        <f t="shared" si="20"/>
        <v>5.9266088273545923E-4</v>
      </c>
      <c r="AO144" s="3"/>
      <c r="AP144">
        <v>0</v>
      </c>
      <c r="AR144" t="s">
        <v>1</v>
      </c>
      <c r="AT144" s="2" t="s">
        <v>0</v>
      </c>
      <c r="AU144" s="1">
        <f t="shared" si="21"/>
        <v>1.6640252550611194</v>
      </c>
      <c r="AV144" s="1">
        <f t="shared" si="22"/>
        <v>1.2055226359789557</v>
      </c>
      <c r="AW144" s="1">
        <f t="shared" si="23"/>
        <v>0.74702001689679165</v>
      </c>
    </row>
    <row r="145" spans="1:49" x14ac:dyDescent="0.2">
      <c r="A145">
        <v>143</v>
      </c>
      <c r="B145" t="s">
        <v>7419</v>
      </c>
      <c r="C145" t="s">
        <v>7418</v>
      </c>
      <c r="F145" t="s">
        <v>7417</v>
      </c>
      <c r="G145" t="s">
        <v>6</v>
      </c>
      <c r="H145" t="s">
        <v>5</v>
      </c>
      <c r="I145" t="s">
        <v>7416</v>
      </c>
      <c r="J145">
        <v>60016209</v>
      </c>
      <c r="K145" t="s">
        <v>7415</v>
      </c>
      <c r="L145" t="s">
        <v>311</v>
      </c>
      <c r="M145" t="s">
        <v>45</v>
      </c>
      <c r="N145">
        <v>3</v>
      </c>
      <c r="O145" t="s">
        <v>7414</v>
      </c>
      <c r="P145" t="s">
        <v>7413</v>
      </c>
      <c r="Q145" t="s">
        <v>7412</v>
      </c>
      <c r="R145" s="7">
        <v>36495</v>
      </c>
      <c r="S145" s="8">
        <f t="shared" si="16"/>
        <v>1999</v>
      </c>
      <c r="T145" s="8">
        <v>1999</v>
      </c>
      <c r="U145" s="8">
        <f t="shared" si="17"/>
        <v>23</v>
      </c>
      <c r="V145" s="7">
        <v>36495</v>
      </c>
      <c r="W145" t="s">
        <v>37</v>
      </c>
      <c r="X145" s="2">
        <v>0.48699999999999999</v>
      </c>
      <c r="Y145" s="6">
        <f t="shared" si="18"/>
        <v>1.3000186861002109E-2</v>
      </c>
      <c r="AA145">
        <v>214922</v>
      </c>
      <c r="AB145">
        <v>130262</v>
      </c>
      <c r="AD145" t="s">
        <v>2</v>
      </c>
      <c r="AE145">
        <v>38</v>
      </c>
      <c r="AF145" s="9">
        <v>0</v>
      </c>
      <c r="AH145" t="s">
        <v>7411</v>
      </c>
      <c r="AI145" t="s">
        <v>7410</v>
      </c>
      <c r="AJ145" t="s">
        <v>7409</v>
      </c>
      <c r="AK145" t="s">
        <v>7408</v>
      </c>
      <c r="AL145">
        <v>19</v>
      </c>
      <c r="AM145" s="5">
        <f t="shared" si="19"/>
        <v>0.82608695652173914</v>
      </c>
      <c r="AN145" s="4">
        <f t="shared" si="20"/>
        <v>1.2511729746637473E-3</v>
      </c>
      <c r="AO145" s="3"/>
      <c r="AP145">
        <v>0</v>
      </c>
      <c r="AR145" t="s">
        <v>1</v>
      </c>
      <c r="AT145" s="2" t="s">
        <v>0</v>
      </c>
      <c r="AU145" s="1">
        <f t="shared" si="21"/>
        <v>0.9475482695100601</v>
      </c>
      <c r="AV145" s="1">
        <f t="shared" si="22"/>
        <v>0.71256799178329278</v>
      </c>
      <c r="AW145" s="1">
        <f t="shared" si="23"/>
        <v>0.4775877140565255</v>
      </c>
    </row>
    <row r="146" spans="1:49" x14ac:dyDescent="0.2">
      <c r="A146">
        <v>144</v>
      </c>
      <c r="B146" t="s">
        <v>7407</v>
      </c>
      <c r="C146" t="s">
        <v>7406</v>
      </c>
      <c r="F146" t="s">
        <v>7405</v>
      </c>
      <c r="G146" t="s">
        <v>6</v>
      </c>
      <c r="H146" t="s">
        <v>5</v>
      </c>
      <c r="I146" t="s">
        <v>7404</v>
      </c>
      <c r="J146" t="s">
        <v>7403</v>
      </c>
      <c r="K146" t="s">
        <v>7402</v>
      </c>
      <c r="L146" t="s">
        <v>7401</v>
      </c>
      <c r="M146" t="s">
        <v>7400</v>
      </c>
      <c r="N146">
        <v>3</v>
      </c>
      <c r="O146" t="s">
        <v>7399</v>
      </c>
      <c r="P146" t="s">
        <v>7398</v>
      </c>
      <c r="Q146" t="s">
        <v>7397</v>
      </c>
      <c r="R146" s="7">
        <v>36495</v>
      </c>
      <c r="S146" s="8">
        <f t="shared" si="16"/>
        <v>1999</v>
      </c>
      <c r="T146" s="8">
        <v>1999</v>
      </c>
      <c r="U146" s="8">
        <f t="shared" si="17"/>
        <v>23</v>
      </c>
      <c r="V146" s="7">
        <v>1999</v>
      </c>
      <c r="W146" t="s">
        <v>89</v>
      </c>
      <c r="X146" s="2">
        <v>1.365</v>
      </c>
      <c r="Y146" s="6">
        <f t="shared" si="18"/>
        <v>3.6437895411227675E-2</v>
      </c>
      <c r="AA146">
        <v>189545</v>
      </c>
      <c r="AB146">
        <v>17393</v>
      </c>
      <c r="AD146" t="s">
        <v>2</v>
      </c>
      <c r="AE146">
        <v>48</v>
      </c>
      <c r="AF146">
        <v>6</v>
      </c>
      <c r="AH146" t="s">
        <v>7396</v>
      </c>
      <c r="AI146" t="s">
        <v>7395</v>
      </c>
      <c r="AK146" t="s">
        <v>7394</v>
      </c>
      <c r="AL146">
        <v>12</v>
      </c>
      <c r="AM146" s="5">
        <f t="shared" si="19"/>
        <v>0.52173913043478259</v>
      </c>
      <c r="AN146" s="4">
        <f t="shared" si="20"/>
        <v>7.9021451031394564E-4</v>
      </c>
      <c r="AO146" s="3"/>
      <c r="AP146">
        <v>0</v>
      </c>
      <c r="AR146" t="s">
        <v>1</v>
      </c>
      <c r="AT146" s="2" t="s">
        <v>0</v>
      </c>
      <c r="AU146" s="1">
        <f t="shared" si="21"/>
        <v>2.5743591140953552</v>
      </c>
      <c r="AV146" s="1">
        <f t="shared" si="22"/>
        <v>1.8614054960770812</v>
      </c>
      <c r="AW146" s="1">
        <f t="shared" si="23"/>
        <v>1.1484518780588064</v>
      </c>
    </row>
    <row r="147" spans="1:49" x14ac:dyDescent="0.2">
      <c r="A147">
        <v>145</v>
      </c>
      <c r="B147" t="s">
        <v>7393</v>
      </c>
      <c r="F147" t="s">
        <v>7392</v>
      </c>
      <c r="G147" t="s">
        <v>6</v>
      </c>
      <c r="H147" t="s">
        <v>5</v>
      </c>
      <c r="I147" t="s">
        <v>7391</v>
      </c>
      <c r="J147">
        <v>60032619</v>
      </c>
      <c r="K147" t="s">
        <v>7390</v>
      </c>
      <c r="L147" t="s">
        <v>7389</v>
      </c>
      <c r="M147" t="s">
        <v>125</v>
      </c>
      <c r="N147">
        <v>2</v>
      </c>
      <c r="O147" t="s">
        <v>7388</v>
      </c>
      <c r="P147" t="s">
        <v>7387</v>
      </c>
      <c r="Q147" t="s">
        <v>7386</v>
      </c>
      <c r="R147" s="7">
        <v>36495</v>
      </c>
      <c r="S147" s="8">
        <f t="shared" si="16"/>
        <v>1999</v>
      </c>
      <c r="T147" s="8">
        <v>1999</v>
      </c>
      <c r="U147" s="8">
        <f t="shared" si="17"/>
        <v>23</v>
      </c>
      <c r="V147" s="7">
        <v>1999</v>
      </c>
      <c r="W147" t="s">
        <v>7191</v>
      </c>
      <c r="X147" s="2" t="s">
        <v>0</v>
      </c>
      <c r="Y147" s="6" t="e">
        <f t="shared" si="18"/>
        <v>#VALUE!</v>
      </c>
      <c r="AA147">
        <v>82821</v>
      </c>
      <c r="AB147">
        <v>13808</v>
      </c>
      <c r="AD147" t="s">
        <v>2</v>
      </c>
      <c r="AE147">
        <v>45</v>
      </c>
      <c r="AF147">
        <v>3</v>
      </c>
      <c r="AH147" t="s">
        <v>7385</v>
      </c>
      <c r="AI147" t="s">
        <v>7384</v>
      </c>
      <c r="AK147" t="s">
        <v>7383</v>
      </c>
      <c r="AL147">
        <v>4</v>
      </c>
      <c r="AM147" s="5">
        <f t="shared" si="19"/>
        <v>0.17391304347826086</v>
      </c>
      <c r="AN147" s="4">
        <f t="shared" si="20"/>
        <v>2.6340483677131523E-4</v>
      </c>
      <c r="AO147" s="3"/>
      <c r="AP147">
        <v>0</v>
      </c>
      <c r="AR147" t="s">
        <v>1</v>
      </c>
      <c r="AT147" s="2" t="s">
        <v>0</v>
      </c>
      <c r="AU147" s="1" t="e">
        <f t="shared" si="21"/>
        <v>#VALUE!</v>
      </c>
      <c r="AV147" s="1" t="e">
        <f t="shared" si="22"/>
        <v>#VALUE!</v>
      </c>
      <c r="AW147" s="1" t="e">
        <f t="shared" si="23"/>
        <v>#VALUE!</v>
      </c>
    </row>
    <row r="148" spans="1:49" x14ac:dyDescent="0.2">
      <c r="A148">
        <v>146</v>
      </c>
      <c r="B148" t="s">
        <v>7382</v>
      </c>
      <c r="C148" t="s">
        <v>7381</v>
      </c>
      <c r="D148" t="s">
        <v>7380</v>
      </c>
      <c r="F148" t="s">
        <v>7379</v>
      </c>
      <c r="G148" t="s">
        <v>6</v>
      </c>
      <c r="H148" t="s">
        <v>5</v>
      </c>
      <c r="I148" t="s">
        <v>7378</v>
      </c>
      <c r="J148">
        <v>60012370</v>
      </c>
      <c r="K148" t="s">
        <v>201</v>
      </c>
      <c r="L148" t="s">
        <v>200</v>
      </c>
      <c r="M148" t="s">
        <v>133</v>
      </c>
      <c r="N148">
        <v>2</v>
      </c>
      <c r="O148" t="s">
        <v>7377</v>
      </c>
      <c r="P148" t="s">
        <v>7376</v>
      </c>
      <c r="Q148" t="s">
        <v>199</v>
      </c>
      <c r="R148" s="7">
        <v>36495</v>
      </c>
      <c r="S148" s="8">
        <f t="shared" si="16"/>
        <v>1999</v>
      </c>
      <c r="T148" s="8">
        <v>1999</v>
      </c>
      <c r="U148" s="8">
        <f t="shared" si="17"/>
        <v>23</v>
      </c>
      <c r="V148" s="7">
        <v>1999</v>
      </c>
      <c r="W148" t="s">
        <v>89</v>
      </c>
      <c r="X148" s="2">
        <v>1.365</v>
      </c>
      <c r="Y148" s="6">
        <f t="shared" si="18"/>
        <v>3.6437895411227675E-2</v>
      </c>
      <c r="AA148">
        <v>189545</v>
      </c>
      <c r="AB148">
        <v>17393</v>
      </c>
      <c r="AD148" t="s">
        <v>2</v>
      </c>
      <c r="AE148">
        <v>48</v>
      </c>
      <c r="AF148">
        <v>5</v>
      </c>
      <c r="AH148" t="s">
        <v>7141</v>
      </c>
      <c r="AI148" t="s">
        <v>7375</v>
      </c>
      <c r="AJ148" t="s">
        <v>7374</v>
      </c>
      <c r="AK148" t="s">
        <v>7373</v>
      </c>
      <c r="AL148">
        <v>12</v>
      </c>
      <c r="AM148" s="5">
        <f t="shared" si="19"/>
        <v>0.52173913043478259</v>
      </c>
      <c r="AN148" s="4">
        <f t="shared" si="20"/>
        <v>7.9021451031394564E-4</v>
      </c>
      <c r="AO148" s="3"/>
      <c r="AP148">
        <v>0</v>
      </c>
      <c r="AR148" t="s">
        <v>7372</v>
      </c>
      <c r="AT148" s="2" t="s">
        <v>0</v>
      </c>
      <c r="AU148" s="1">
        <f t="shared" si="21"/>
        <v>2.5743591140953552</v>
      </c>
      <c r="AV148" s="1">
        <f t="shared" si="22"/>
        <v>1.8614054960770812</v>
      </c>
      <c r="AW148" s="1">
        <f t="shared" si="23"/>
        <v>1.1484518780588064</v>
      </c>
    </row>
    <row r="149" spans="1:49" x14ac:dyDescent="0.2">
      <c r="A149">
        <v>147</v>
      </c>
      <c r="B149" t="s">
        <v>7371</v>
      </c>
      <c r="C149" t="s">
        <v>7370</v>
      </c>
      <c r="D149" t="s">
        <v>7369</v>
      </c>
      <c r="F149" t="s">
        <v>7368</v>
      </c>
      <c r="G149" t="s">
        <v>6</v>
      </c>
      <c r="H149" t="s">
        <v>5</v>
      </c>
      <c r="I149" t="s">
        <v>177</v>
      </c>
      <c r="J149">
        <v>60099252</v>
      </c>
      <c r="K149" t="s">
        <v>7367</v>
      </c>
      <c r="L149" t="s">
        <v>793</v>
      </c>
      <c r="M149" t="s">
        <v>67</v>
      </c>
      <c r="N149">
        <v>1</v>
      </c>
      <c r="O149" t="s">
        <v>176</v>
      </c>
      <c r="P149">
        <v>7501393707</v>
      </c>
      <c r="Q149">
        <v>60099252</v>
      </c>
      <c r="R149" s="7">
        <v>36495</v>
      </c>
      <c r="S149" s="8">
        <f t="shared" si="16"/>
        <v>1999</v>
      </c>
      <c r="T149" s="8">
        <v>1999</v>
      </c>
      <c r="U149" s="8">
        <f t="shared" si="17"/>
        <v>23</v>
      </c>
      <c r="V149" s="7">
        <v>1999</v>
      </c>
      <c r="W149" t="s">
        <v>89</v>
      </c>
      <c r="X149" s="2">
        <v>1.365</v>
      </c>
      <c r="Y149" s="6">
        <f t="shared" si="18"/>
        <v>3.6437895411227675E-2</v>
      </c>
      <c r="AA149">
        <v>189545</v>
      </c>
      <c r="AB149">
        <v>17393</v>
      </c>
      <c r="AD149" t="s">
        <v>2</v>
      </c>
      <c r="AE149">
        <v>48</v>
      </c>
      <c r="AF149">
        <v>5</v>
      </c>
      <c r="AH149" t="s">
        <v>7366</v>
      </c>
      <c r="AI149" t="s">
        <v>7365</v>
      </c>
      <c r="AJ149" t="s">
        <v>7364</v>
      </c>
      <c r="AK149" t="s">
        <v>7363</v>
      </c>
      <c r="AL149">
        <v>10</v>
      </c>
      <c r="AM149" s="5">
        <f t="shared" si="19"/>
        <v>0.43478260869565216</v>
      </c>
      <c r="AN149" s="4">
        <f t="shared" si="20"/>
        <v>6.5851209192828799E-4</v>
      </c>
      <c r="AO149" s="3"/>
      <c r="AP149">
        <v>0</v>
      </c>
      <c r="AR149" t="s">
        <v>1</v>
      </c>
      <c r="AT149" s="2" t="s">
        <v>0</v>
      </c>
      <c r="AU149" s="1">
        <f t="shared" si="21"/>
        <v>2.5704080415437853</v>
      </c>
      <c r="AV149" s="1">
        <f t="shared" si="22"/>
        <v>1.8548203751577983</v>
      </c>
      <c r="AW149" s="1">
        <f t="shared" si="23"/>
        <v>1.1392327087718102</v>
      </c>
    </row>
    <row r="150" spans="1:49" x14ac:dyDescent="0.2">
      <c r="A150">
        <v>148</v>
      </c>
      <c r="B150" t="s">
        <v>7362</v>
      </c>
      <c r="C150" t="s">
        <v>7361</v>
      </c>
      <c r="F150" t="s">
        <v>7360</v>
      </c>
      <c r="G150" t="s">
        <v>6</v>
      </c>
      <c r="H150" t="s">
        <v>5</v>
      </c>
      <c r="I150" t="s">
        <v>7359</v>
      </c>
      <c r="J150" t="s">
        <v>7358</v>
      </c>
      <c r="K150" t="s">
        <v>7357</v>
      </c>
      <c r="L150" t="s">
        <v>7356</v>
      </c>
      <c r="M150" t="s">
        <v>7355</v>
      </c>
      <c r="N150">
        <v>2</v>
      </c>
      <c r="O150" t="s">
        <v>7354</v>
      </c>
      <c r="P150" t="s">
        <v>7353</v>
      </c>
      <c r="Q150" t="s">
        <v>7352</v>
      </c>
      <c r="R150" s="7">
        <v>36495</v>
      </c>
      <c r="S150" s="8">
        <f t="shared" si="16"/>
        <v>1999</v>
      </c>
      <c r="T150" s="8">
        <v>1999</v>
      </c>
      <c r="U150" s="8">
        <f t="shared" si="17"/>
        <v>23</v>
      </c>
      <c r="V150" s="7">
        <v>1999</v>
      </c>
      <c r="W150" t="s">
        <v>227</v>
      </c>
      <c r="X150" s="2">
        <v>0.375</v>
      </c>
      <c r="Y150" s="6">
        <f t="shared" si="18"/>
        <v>1.0010410827260351E-2</v>
      </c>
      <c r="AA150">
        <v>135194</v>
      </c>
      <c r="AB150">
        <v>24918</v>
      </c>
      <c r="AD150" t="s">
        <v>2</v>
      </c>
      <c r="AE150">
        <v>35</v>
      </c>
      <c r="AF150">
        <v>22</v>
      </c>
      <c r="AH150" t="s">
        <v>7351</v>
      </c>
      <c r="AI150" t="s">
        <v>7350</v>
      </c>
      <c r="AK150" t="s">
        <v>7349</v>
      </c>
      <c r="AL150">
        <v>0</v>
      </c>
      <c r="AM150" s="5">
        <f t="shared" si="19"/>
        <v>0</v>
      </c>
      <c r="AN150" s="4">
        <f t="shared" si="20"/>
        <v>0</v>
      </c>
      <c r="AO150" s="3"/>
      <c r="AP150">
        <v>0</v>
      </c>
      <c r="AR150" t="s">
        <v>1</v>
      </c>
      <c r="AT150" s="2">
        <v>1.3140000000000001</v>
      </c>
      <c r="AU150" s="1">
        <f t="shared" si="21"/>
        <v>0.70072875790822453</v>
      </c>
      <c r="AV150" s="1">
        <f t="shared" si="22"/>
        <v>0.5005205413630176</v>
      </c>
      <c r="AW150" s="1">
        <f t="shared" si="23"/>
        <v>0.30031232481781051</v>
      </c>
    </row>
    <row r="151" spans="1:49" x14ac:dyDescent="0.2">
      <c r="A151">
        <v>149</v>
      </c>
      <c r="B151" t="s">
        <v>7348</v>
      </c>
      <c r="C151" t="s">
        <v>7347</v>
      </c>
      <c r="F151" t="s">
        <v>7346</v>
      </c>
      <c r="G151" t="s">
        <v>6</v>
      </c>
      <c r="H151" t="s">
        <v>5</v>
      </c>
      <c r="I151" t="s">
        <v>6876</v>
      </c>
      <c r="J151" t="s">
        <v>7345</v>
      </c>
      <c r="K151" t="s">
        <v>7344</v>
      </c>
      <c r="L151" t="s">
        <v>7343</v>
      </c>
      <c r="M151" t="s">
        <v>7342</v>
      </c>
      <c r="N151">
        <v>2</v>
      </c>
      <c r="O151" t="s">
        <v>7341</v>
      </c>
      <c r="P151" t="s">
        <v>7340</v>
      </c>
      <c r="Q151" t="s">
        <v>7339</v>
      </c>
      <c r="R151" s="7">
        <v>36495</v>
      </c>
      <c r="S151" s="8">
        <f t="shared" si="16"/>
        <v>1999</v>
      </c>
      <c r="T151" s="8">
        <v>1999</v>
      </c>
      <c r="U151" s="8">
        <f t="shared" si="17"/>
        <v>23</v>
      </c>
      <c r="V151" s="7">
        <v>1999</v>
      </c>
      <c r="W151" t="s">
        <v>53</v>
      </c>
      <c r="X151" s="2">
        <v>0.88100000000000001</v>
      </c>
      <c r="Y151" s="6">
        <f t="shared" si="18"/>
        <v>2.3517791836843653E-2</v>
      </c>
      <c r="AA151">
        <v>10459243</v>
      </c>
      <c r="AB151">
        <v>17248</v>
      </c>
      <c r="AD151" t="s">
        <v>2</v>
      </c>
      <c r="AE151">
        <v>41</v>
      </c>
      <c r="AF151">
        <v>5</v>
      </c>
      <c r="AH151" t="s">
        <v>628</v>
      </c>
      <c r="AL151">
        <v>1</v>
      </c>
      <c r="AM151" s="5">
        <f t="shared" si="19"/>
        <v>4.3478260869565216E-2</v>
      </c>
      <c r="AN151" s="4">
        <f t="shared" si="20"/>
        <v>6.5851209192828807E-5</v>
      </c>
      <c r="AO151" s="3"/>
      <c r="AP151">
        <v>0</v>
      </c>
      <c r="AR151" t="s">
        <v>1</v>
      </c>
      <c r="AT151" s="2" t="s">
        <v>0</v>
      </c>
      <c r="AU151" s="1">
        <f t="shared" si="21"/>
        <v>1.6482209648548403</v>
      </c>
      <c r="AV151" s="1">
        <f t="shared" si="22"/>
        <v>1.179182152301824</v>
      </c>
      <c r="AW151" s="1">
        <f t="shared" si="23"/>
        <v>0.7101433397488075</v>
      </c>
    </row>
    <row r="152" spans="1:49" x14ac:dyDescent="0.2">
      <c r="A152">
        <v>150</v>
      </c>
      <c r="B152" t="s">
        <v>7338</v>
      </c>
      <c r="C152" t="s">
        <v>7337</v>
      </c>
      <c r="F152" t="s">
        <v>7336</v>
      </c>
      <c r="G152" t="s">
        <v>6</v>
      </c>
      <c r="H152" t="s">
        <v>5</v>
      </c>
      <c r="I152" t="s">
        <v>6815</v>
      </c>
      <c r="J152">
        <v>60030821</v>
      </c>
      <c r="K152" t="s">
        <v>544</v>
      </c>
      <c r="L152" t="s">
        <v>257</v>
      </c>
      <c r="M152" t="s">
        <v>3</v>
      </c>
      <c r="N152">
        <v>1</v>
      </c>
      <c r="O152" t="s">
        <v>6814</v>
      </c>
      <c r="P152">
        <v>7003900610</v>
      </c>
      <c r="Q152">
        <v>60030821</v>
      </c>
      <c r="R152" s="7">
        <v>36495</v>
      </c>
      <c r="S152" s="8">
        <f t="shared" si="16"/>
        <v>1999</v>
      </c>
      <c r="T152" s="8">
        <v>1999</v>
      </c>
      <c r="U152" s="8">
        <f t="shared" si="17"/>
        <v>23</v>
      </c>
      <c r="V152" s="7">
        <v>1999</v>
      </c>
      <c r="W152" t="s">
        <v>403</v>
      </c>
      <c r="X152" s="2">
        <v>1.137</v>
      </c>
      <c r="Y152" s="6">
        <f t="shared" si="18"/>
        <v>3.0351565628253384E-2</v>
      </c>
      <c r="AA152">
        <v>189251</v>
      </c>
      <c r="AB152">
        <v>17336</v>
      </c>
      <c r="AD152" t="s">
        <v>2</v>
      </c>
      <c r="AE152">
        <v>35</v>
      </c>
      <c r="AF152">
        <v>4</v>
      </c>
      <c r="AH152" t="s">
        <v>7335</v>
      </c>
      <c r="AI152" t="s">
        <v>7334</v>
      </c>
      <c r="AK152" t="s">
        <v>7333</v>
      </c>
      <c r="AL152">
        <v>4</v>
      </c>
      <c r="AM152" s="5">
        <f t="shared" si="19"/>
        <v>0.17391304347826086</v>
      </c>
      <c r="AN152" s="4">
        <f t="shared" si="20"/>
        <v>2.6340483677131523E-4</v>
      </c>
      <c r="AO152" s="3"/>
      <c r="AP152">
        <v>0</v>
      </c>
      <c r="AR152" t="s">
        <v>1</v>
      </c>
      <c r="AT152" s="2" t="s">
        <v>0</v>
      </c>
      <c r="AU152" s="1">
        <f t="shared" si="21"/>
        <v>2.1325117390808761</v>
      </c>
      <c r="AV152" s="1">
        <f t="shared" si="22"/>
        <v>1.5307485232512348</v>
      </c>
      <c r="AW152" s="1">
        <f t="shared" si="23"/>
        <v>0.92898530742159358</v>
      </c>
    </row>
    <row r="153" spans="1:49" x14ac:dyDescent="0.2">
      <c r="A153">
        <v>151</v>
      </c>
      <c r="B153" t="s">
        <v>7332</v>
      </c>
      <c r="C153" t="s">
        <v>7331</v>
      </c>
      <c r="F153" t="s">
        <v>7330</v>
      </c>
      <c r="G153" t="s">
        <v>6</v>
      </c>
      <c r="H153" t="s">
        <v>5</v>
      </c>
      <c r="I153" t="s">
        <v>175</v>
      </c>
      <c r="J153">
        <v>117648629</v>
      </c>
      <c r="K153" t="s">
        <v>7329</v>
      </c>
      <c r="M153" t="s">
        <v>3</v>
      </c>
      <c r="N153">
        <v>1</v>
      </c>
      <c r="O153" t="s">
        <v>7328</v>
      </c>
      <c r="P153">
        <v>7202771665</v>
      </c>
      <c r="Q153">
        <v>117648629</v>
      </c>
      <c r="R153" s="7">
        <v>36495</v>
      </c>
      <c r="S153" s="8">
        <f t="shared" si="16"/>
        <v>1999</v>
      </c>
      <c r="T153" s="8">
        <v>1999</v>
      </c>
      <c r="U153" s="8">
        <f t="shared" si="17"/>
        <v>23</v>
      </c>
      <c r="V153" s="7">
        <v>1999</v>
      </c>
      <c r="W153" t="s">
        <v>403</v>
      </c>
      <c r="X153" s="2">
        <v>1.137</v>
      </c>
      <c r="Y153" s="6">
        <f t="shared" si="18"/>
        <v>3.0351565628253384E-2</v>
      </c>
      <c r="AA153">
        <v>189251</v>
      </c>
      <c r="AB153">
        <v>17336</v>
      </c>
      <c r="AD153" t="s">
        <v>2</v>
      </c>
      <c r="AE153">
        <v>35</v>
      </c>
      <c r="AF153">
        <v>4</v>
      </c>
      <c r="AH153" t="s">
        <v>7327</v>
      </c>
      <c r="AI153" t="s">
        <v>7326</v>
      </c>
      <c r="AK153" t="s">
        <v>7325</v>
      </c>
      <c r="AL153">
        <v>17</v>
      </c>
      <c r="AM153" s="5">
        <f t="shared" si="19"/>
        <v>0.73913043478260865</v>
      </c>
      <c r="AN153" s="4">
        <f t="shared" si="20"/>
        <v>1.1194705562780896E-3</v>
      </c>
      <c r="AO153" s="3"/>
      <c r="AP153">
        <v>0</v>
      </c>
      <c r="AR153" t="s">
        <v>1</v>
      </c>
      <c r="AT153" s="2" t="s">
        <v>0</v>
      </c>
      <c r="AU153" s="1">
        <f t="shared" si="21"/>
        <v>2.1581937106660796</v>
      </c>
      <c r="AV153" s="1">
        <f t="shared" si="22"/>
        <v>1.5735518092265737</v>
      </c>
      <c r="AW153" s="1">
        <f t="shared" si="23"/>
        <v>0.98890990778706789</v>
      </c>
    </row>
    <row r="154" spans="1:49" x14ac:dyDescent="0.2">
      <c r="A154">
        <v>152</v>
      </c>
      <c r="B154" t="s">
        <v>7324</v>
      </c>
      <c r="C154" t="s">
        <v>7323</v>
      </c>
      <c r="F154" t="s">
        <v>7322</v>
      </c>
      <c r="G154" t="s">
        <v>6</v>
      </c>
      <c r="H154" t="s">
        <v>5</v>
      </c>
      <c r="I154" t="s">
        <v>7321</v>
      </c>
      <c r="J154">
        <v>60015574</v>
      </c>
      <c r="K154" t="s">
        <v>7320</v>
      </c>
      <c r="L154" t="s">
        <v>7319</v>
      </c>
      <c r="M154" t="s">
        <v>3</v>
      </c>
      <c r="N154">
        <v>1</v>
      </c>
      <c r="O154" t="s">
        <v>7318</v>
      </c>
      <c r="P154">
        <v>6602515607</v>
      </c>
      <c r="Q154">
        <v>60015574</v>
      </c>
      <c r="R154" s="7">
        <v>36495</v>
      </c>
      <c r="S154" s="8">
        <f t="shared" si="16"/>
        <v>1999</v>
      </c>
      <c r="T154" s="8">
        <v>1999</v>
      </c>
      <c r="U154" s="8">
        <f t="shared" si="17"/>
        <v>23</v>
      </c>
      <c r="V154" s="7">
        <v>1999</v>
      </c>
      <c r="W154" t="s">
        <v>124</v>
      </c>
      <c r="X154" s="2">
        <v>1.6519999999999999</v>
      </c>
      <c r="Y154" s="6">
        <f t="shared" si="18"/>
        <v>4.409919649769093E-2</v>
      </c>
      <c r="AA154" t="s">
        <v>123</v>
      </c>
      <c r="AB154">
        <v>17337</v>
      </c>
      <c r="AD154" t="s">
        <v>2</v>
      </c>
      <c r="AE154">
        <v>47</v>
      </c>
      <c r="AF154">
        <v>12</v>
      </c>
      <c r="AH154" t="s">
        <v>7317</v>
      </c>
      <c r="AI154" t="s">
        <v>7316</v>
      </c>
      <c r="AK154" t="s">
        <v>7315</v>
      </c>
      <c r="AL154">
        <v>109</v>
      </c>
      <c r="AM154" s="5">
        <f t="shared" si="19"/>
        <v>4.7391304347826084</v>
      </c>
      <c r="AN154" s="4">
        <f t="shared" si="20"/>
        <v>7.1777818020183392E-3</v>
      </c>
      <c r="AO154" s="3"/>
      <c r="AP154">
        <v>0</v>
      </c>
      <c r="AQ154" t="s">
        <v>196</v>
      </c>
      <c r="AR154" t="s">
        <v>7314</v>
      </c>
      <c r="AS154" t="s">
        <v>195</v>
      </c>
      <c r="AT154" s="2" t="s">
        <v>0</v>
      </c>
      <c r="AU154" s="1">
        <f t="shared" si="21"/>
        <v>3.3022772088989156</v>
      </c>
      <c r="AV154" s="1">
        <f t="shared" si="22"/>
        <v>2.5638489149854635</v>
      </c>
      <c r="AW154" s="1">
        <f t="shared" si="23"/>
        <v>1.8254206210720116</v>
      </c>
    </row>
    <row r="155" spans="1:49" x14ac:dyDescent="0.2">
      <c r="A155">
        <v>153</v>
      </c>
      <c r="B155" t="s">
        <v>7313</v>
      </c>
      <c r="C155" t="s">
        <v>7312</v>
      </c>
      <c r="D155" t="s">
        <v>7311</v>
      </c>
      <c r="F155" t="s">
        <v>7310</v>
      </c>
      <c r="G155" t="s">
        <v>6</v>
      </c>
      <c r="H155" t="s">
        <v>5</v>
      </c>
      <c r="I155" t="s">
        <v>7309</v>
      </c>
      <c r="J155">
        <v>60002947</v>
      </c>
      <c r="K155" t="s">
        <v>151</v>
      </c>
      <c r="L155" t="s">
        <v>150</v>
      </c>
      <c r="M155" t="s">
        <v>149</v>
      </c>
      <c r="N155">
        <v>1</v>
      </c>
      <c r="O155" t="s">
        <v>7308</v>
      </c>
      <c r="P155">
        <v>6701834611</v>
      </c>
      <c r="Q155">
        <v>60002947</v>
      </c>
      <c r="R155" s="7">
        <v>36495</v>
      </c>
      <c r="S155" s="8">
        <f t="shared" si="16"/>
        <v>1999</v>
      </c>
      <c r="T155" s="8">
        <v>1999</v>
      </c>
      <c r="U155" s="8">
        <f t="shared" si="17"/>
        <v>23</v>
      </c>
      <c r="V155" s="7">
        <v>1999</v>
      </c>
      <c r="W155" t="s">
        <v>124</v>
      </c>
      <c r="X155" s="2">
        <v>1.6519999999999999</v>
      </c>
      <c r="Y155" s="6">
        <f t="shared" si="18"/>
        <v>4.409919649769093E-2</v>
      </c>
      <c r="AA155" t="s">
        <v>123</v>
      </c>
      <c r="AB155">
        <v>17337</v>
      </c>
      <c r="AD155" t="s">
        <v>2</v>
      </c>
      <c r="AE155">
        <v>47</v>
      </c>
      <c r="AF155">
        <v>12</v>
      </c>
      <c r="AH155" t="s">
        <v>7307</v>
      </c>
      <c r="AI155" t="s">
        <v>7306</v>
      </c>
      <c r="AJ155" t="s">
        <v>7305</v>
      </c>
      <c r="AK155" t="s">
        <v>7304</v>
      </c>
      <c r="AL155">
        <v>14</v>
      </c>
      <c r="AM155" s="5">
        <f t="shared" si="19"/>
        <v>0.60869565217391308</v>
      </c>
      <c r="AN155" s="4">
        <f t="shared" si="20"/>
        <v>9.2191692869960328E-4</v>
      </c>
      <c r="AO155" s="3"/>
      <c r="AP155">
        <v>0</v>
      </c>
      <c r="AQ155" t="s">
        <v>241</v>
      </c>
      <c r="AR155" t="s">
        <v>7303</v>
      </c>
      <c r="AS155" t="s">
        <v>240</v>
      </c>
      <c r="AT155" s="2" t="s">
        <v>0</v>
      </c>
      <c r="AU155" s="1">
        <f t="shared" si="21"/>
        <v>3.1146012626993529</v>
      </c>
      <c r="AV155" s="1">
        <f t="shared" si="22"/>
        <v>2.2510556713195267</v>
      </c>
      <c r="AW155" s="1">
        <f t="shared" si="23"/>
        <v>1.3875100799397</v>
      </c>
    </row>
    <row r="156" spans="1:49" x14ac:dyDescent="0.2">
      <c r="A156">
        <v>154</v>
      </c>
      <c r="B156" t="s">
        <v>7302</v>
      </c>
      <c r="F156" t="s">
        <v>7301</v>
      </c>
      <c r="G156" t="s">
        <v>6</v>
      </c>
      <c r="H156" t="s">
        <v>5</v>
      </c>
      <c r="I156" t="s">
        <v>7300</v>
      </c>
      <c r="J156" t="s">
        <v>7299</v>
      </c>
      <c r="K156" t="s">
        <v>7298</v>
      </c>
      <c r="L156" t="s">
        <v>7297</v>
      </c>
      <c r="M156" t="s">
        <v>488</v>
      </c>
      <c r="N156">
        <v>3</v>
      </c>
      <c r="O156" t="s">
        <v>7296</v>
      </c>
      <c r="P156" t="s">
        <v>7295</v>
      </c>
      <c r="Q156" t="s">
        <v>7294</v>
      </c>
      <c r="R156" s="7">
        <v>36495</v>
      </c>
      <c r="S156" s="8">
        <f t="shared" si="16"/>
        <v>1999</v>
      </c>
      <c r="T156" s="8">
        <v>1999</v>
      </c>
      <c r="U156" s="8">
        <f t="shared" si="17"/>
        <v>23</v>
      </c>
      <c r="V156" s="7">
        <v>1999</v>
      </c>
      <c r="W156" t="s">
        <v>87</v>
      </c>
      <c r="X156" s="2">
        <v>0.54700000000000004</v>
      </c>
      <c r="Y156" s="6">
        <f t="shared" si="18"/>
        <v>1.4601852593363766E-2</v>
      </c>
      <c r="AA156">
        <v>11096</v>
      </c>
      <c r="AB156">
        <v>31211</v>
      </c>
      <c r="AD156" t="s">
        <v>2</v>
      </c>
      <c r="AE156">
        <v>53</v>
      </c>
      <c r="AF156">
        <v>6</v>
      </c>
      <c r="AH156" t="s">
        <v>7293</v>
      </c>
      <c r="AI156" t="s">
        <v>7292</v>
      </c>
      <c r="AK156" t="s">
        <v>7291</v>
      </c>
      <c r="AL156">
        <v>2</v>
      </c>
      <c r="AM156" s="5">
        <f t="shared" si="19"/>
        <v>8.6956521739130432E-2</v>
      </c>
      <c r="AN156" s="4">
        <f t="shared" si="20"/>
        <v>1.3170241838565761E-4</v>
      </c>
      <c r="AO156" s="3"/>
      <c r="AP156">
        <v>0</v>
      </c>
      <c r="AR156" t="s">
        <v>1</v>
      </c>
      <c r="AT156" s="2" t="s">
        <v>0</v>
      </c>
      <c r="AU156" s="1">
        <f t="shared" si="21"/>
        <v>1.0260807540870334</v>
      </c>
      <c r="AV156" s="1">
        <f t="shared" si="22"/>
        <v>0.7366777505874712</v>
      </c>
      <c r="AW156" s="1">
        <f t="shared" si="23"/>
        <v>0.44727474708790899</v>
      </c>
    </row>
    <row r="157" spans="1:49" x14ac:dyDescent="0.2">
      <c r="A157">
        <v>155</v>
      </c>
      <c r="B157" t="s">
        <v>7290</v>
      </c>
      <c r="C157" t="s">
        <v>7289</v>
      </c>
      <c r="F157" t="s">
        <v>7288</v>
      </c>
      <c r="G157" t="s">
        <v>6</v>
      </c>
      <c r="H157" t="s">
        <v>5</v>
      </c>
      <c r="I157" t="s">
        <v>687</v>
      </c>
      <c r="J157">
        <v>60004661</v>
      </c>
      <c r="K157" t="s">
        <v>686</v>
      </c>
      <c r="L157" t="s">
        <v>448</v>
      </c>
      <c r="M157" t="s">
        <v>289</v>
      </c>
      <c r="N157">
        <v>3</v>
      </c>
      <c r="O157" t="s">
        <v>7287</v>
      </c>
      <c r="P157" t="s">
        <v>7286</v>
      </c>
      <c r="Q157" t="s">
        <v>7285</v>
      </c>
      <c r="R157" s="7">
        <v>36495</v>
      </c>
      <c r="S157" s="8">
        <f t="shared" si="16"/>
        <v>1999</v>
      </c>
      <c r="T157" s="8">
        <v>1999</v>
      </c>
      <c r="U157" s="8">
        <f t="shared" si="17"/>
        <v>23</v>
      </c>
      <c r="V157" s="7">
        <v>1999</v>
      </c>
      <c r="W157" t="s">
        <v>89</v>
      </c>
      <c r="X157" s="2">
        <v>1.365</v>
      </c>
      <c r="Y157" s="6">
        <f t="shared" si="18"/>
        <v>3.6437895411227675E-2</v>
      </c>
      <c r="AA157">
        <v>189545</v>
      </c>
      <c r="AB157">
        <v>17393</v>
      </c>
      <c r="AD157" t="s">
        <v>2</v>
      </c>
      <c r="AE157">
        <v>48</v>
      </c>
      <c r="AF157">
        <v>5</v>
      </c>
      <c r="AH157" t="s">
        <v>7284</v>
      </c>
      <c r="AI157" t="s">
        <v>7283</v>
      </c>
      <c r="AK157" t="s">
        <v>7282</v>
      </c>
      <c r="AL157">
        <v>22</v>
      </c>
      <c r="AM157" s="5">
        <f t="shared" si="19"/>
        <v>0.95652173913043481</v>
      </c>
      <c r="AN157" s="4">
        <f t="shared" si="20"/>
        <v>1.4487266022422337E-3</v>
      </c>
      <c r="AO157" s="3"/>
      <c r="AP157">
        <v>0</v>
      </c>
      <c r="AR157" t="s">
        <v>1</v>
      </c>
      <c r="AT157" s="2" t="s">
        <v>0</v>
      </c>
      <c r="AU157" s="1">
        <f t="shared" si="21"/>
        <v>2.5941144768532038</v>
      </c>
      <c r="AV157" s="1">
        <f t="shared" si="22"/>
        <v>1.8943311006734953</v>
      </c>
      <c r="AW157" s="1">
        <f t="shared" si="23"/>
        <v>1.1945477244937865</v>
      </c>
    </row>
    <row r="158" spans="1:49" x14ac:dyDescent="0.2">
      <c r="A158">
        <v>156</v>
      </c>
      <c r="B158" t="s">
        <v>7281</v>
      </c>
      <c r="C158" t="s">
        <v>7280</v>
      </c>
      <c r="D158" t="s">
        <v>7279</v>
      </c>
      <c r="F158" t="s">
        <v>7278</v>
      </c>
      <c r="G158" t="s">
        <v>6</v>
      </c>
      <c r="H158" t="s">
        <v>5</v>
      </c>
      <c r="I158" t="s">
        <v>7277</v>
      </c>
      <c r="J158" t="s">
        <v>7276</v>
      </c>
      <c r="K158" t="s">
        <v>7275</v>
      </c>
      <c r="L158" t="s">
        <v>7274</v>
      </c>
      <c r="M158" t="s">
        <v>547</v>
      </c>
      <c r="N158">
        <v>4</v>
      </c>
      <c r="O158" t="s">
        <v>7273</v>
      </c>
      <c r="P158" t="s">
        <v>7272</v>
      </c>
      <c r="Q158" t="s">
        <v>7271</v>
      </c>
      <c r="R158" s="7">
        <v>36495</v>
      </c>
      <c r="S158" s="8">
        <f t="shared" si="16"/>
        <v>1999</v>
      </c>
      <c r="T158" s="8">
        <v>1999</v>
      </c>
      <c r="U158" s="8">
        <f t="shared" si="17"/>
        <v>23</v>
      </c>
      <c r="V158" s="7">
        <v>1999</v>
      </c>
      <c r="W158" t="s">
        <v>7270</v>
      </c>
      <c r="X158" s="2" t="s">
        <v>0</v>
      </c>
      <c r="Y158" s="6" t="e">
        <f t="shared" si="18"/>
        <v>#VALUE!</v>
      </c>
      <c r="AA158">
        <v>15213331</v>
      </c>
      <c r="AB158">
        <v>17341</v>
      </c>
      <c r="AD158" t="s">
        <v>2</v>
      </c>
      <c r="AE158">
        <v>22</v>
      </c>
      <c r="AF158">
        <v>2</v>
      </c>
      <c r="AH158" t="s">
        <v>7269</v>
      </c>
      <c r="AI158" t="s">
        <v>7268</v>
      </c>
      <c r="AJ158" t="s">
        <v>7267</v>
      </c>
      <c r="AK158" t="s">
        <v>7266</v>
      </c>
      <c r="AL158">
        <v>104</v>
      </c>
      <c r="AM158" s="5">
        <f t="shared" si="19"/>
        <v>4.5217391304347823</v>
      </c>
      <c r="AN158" s="4">
        <f t="shared" si="20"/>
        <v>6.8485257560541952E-3</v>
      </c>
      <c r="AO158" s="3"/>
      <c r="AP158">
        <v>0</v>
      </c>
      <c r="AR158" t="s">
        <v>1</v>
      </c>
      <c r="AS158" t="s">
        <v>7265</v>
      </c>
      <c r="AT158" s="2" t="s">
        <v>0</v>
      </c>
      <c r="AU158" s="1" t="e">
        <f t="shared" si="21"/>
        <v>#VALUE!</v>
      </c>
      <c r="AV158" s="1" t="e">
        <f t="shared" si="22"/>
        <v>#VALUE!</v>
      </c>
      <c r="AW158" s="1" t="e">
        <f t="shared" si="23"/>
        <v>#VALUE!</v>
      </c>
    </row>
    <row r="159" spans="1:49" x14ac:dyDescent="0.2">
      <c r="A159">
        <v>157</v>
      </c>
      <c r="B159" t="s">
        <v>7264</v>
      </c>
      <c r="F159" t="s">
        <v>7263</v>
      </c>
      <c r="G159" t="s">
        <v>6</v>
      </c>
      <c r="H159" t="s">
        <v>5</v>
      </c>
      <c r="I159" t="s">
        <v>7262</v>
      </c>
      <c r="J159">
        <v>100426482</v>
      </c>
      <c r="K159" t="s">
        <v>7261</v>
      </c>
      <c r="L159" t="s">
        <v>737</v>
      </c>
      <c r="M159" t="s">
        <v>58</v>
      </c>
      <c r="N159">
        <v>8</v>
      </c>
      <c r="O159" t="s">
        <v>7260</v>
      </c>
      <c r="P159" t="s">
        <v>7259</v>
      </c>
      <c r="Q159" t="s">
        <v>7258</v>
      </c>
      <c r="R159" s="7">
        <v>36495</v>
      </c>
      <c r="S159" s="8">
        <f t="shared" si="16"/>
        <v>1999</v>
      </c>
      <c r="T159" s="8">
        <v>1999</v>
      </c>
      <c r="U159" s="8">
        <f t="shared" si="17"/>
        <v>23</v>
      </c>
      <c r="V159" s="7">
        <v>1999</v>
      </c>
      <c r="W159" t="s">
        <v>779</v>
      </c>
      <c r="X159" s="2" t="s">
        <v>0</v>
      </c>
      <c r="Y159" s="6" t="e">
        <f t="shared" si="18"/>
        <v>#VALUE!</v>
      </c>
      <c r="AA159" t="s">
        <v>778</v>
      </c>
      <c r="AB159">
        <v>26720</v>
      </c>
      <c r="AD159" t="s">
        <v>2</v>
      </c>
      <c r="AF159" t="s">
        <v>7257</v>
      </c>
      <c r="AI159" t="s">
        <v>7256</v>
      </c>
      <c r="AK159" t="s">
        <v>7255</v>
      </c>
      <c r="AL159">
        <v>2</v>
      </c>
      <c r="AM159" s="5">
        <f t="shared" si="19"/>
        <v>8.6956521739130432E-2</v>
      </c>
      <c r="AN159" s="4">
        <f t="shared" si="20"/>
        <v>1.3170241838565761E-4</v>
      </c>
      <c r="AO159" s="3"/>
      <c r="AP159">
        <v>0</v>
      </c>
      <c r="AR159" t="s">
        <v>1</v>
      </c>
      <c r="AT159" s="2" t="s">
        <v>0</v>
      </c>
      <c r="AU159" s="1" t="e">
        <f t="shared" si="21"/>
        <v>#VALUE!</v>
      </c>
      <c r="AV159" s="1" t="e">
        <f t="shared" si="22"/>
        <v>#VALUE!</v>
      </c>
      <c r="AW159" s="1" t="e">
        <f t="shared" si="23"/>
        <v>#VALUE!</v>
      </c>
    </row>
    <row r="160" spans="1:49" x14ac:dyDescent="0.2">
      <c r="A160">
        <v>158</v>
      </c>
      <c r="B160" t="s">
        <v>7254</v>
      </c>
      <c r="C160" t="s">
        <v>7253</v>
      </c>
      <c r="F160" t="s">
        <v>7252</v>
      </c>
      <c r="G160" t="s">
        <v>6</v>
      </c>
      <c r="H160" t="s">
        <v>5</v>
      </c>
      <c r="I160" t="s">
        <v>752</v>
      </c>
      <c r="J160">
        <v>60019118</v>
      </c>
      <c r="K160" t="s">
        <v>7251</v>
      </c>
      <c r="L160" t="s">
        <v>1729</v>
      </c>
      <c r="M160" t="s">
        <v>78</v>
      </c>
      <c r="N160">
        <v>3</v>
      </c>
      <c r="O160" t="s">
        <v>7250</v>
      </c>
      <c r="P160" t="s">
        <v>7249</v>
      </c>
      <c r="Q160" t="s">
        <v>7248</v>
      </c>
      <c r="R160" s="7">
        <v>36495</v>
      </c>
      <c r="S160" s="8">
        <f t="shared" si="16"/>
        <v>1999</v>
      </c>
      <c r="T160" s="8">
        <v>1999</v>
      </c>
      <c r="U160" s="8">
        <f t="shared" si="17"/>
        <v>23</v>
      </c>
      <c r="V160" s="7">
        <v>1999</v>
      </c>
      <c r="W160" t="s">
        <v>174</v>
      </c>
      <c r="X160" s="2">
        <v>1.3720000000000001</v>
      </c>
      <c r="Y160" s="6">
        <f t="shared" si="18"/>
        <v>3.662475641333654E-2</v>
      </c>
      <c r="AA160">
        <v>189480</v>
      </c>
      <c r="AB160">
        <v>17366</v>
      </c>
      <c r="AD160" t="s">
        <v>2</v>
      </c>
      <c r="AE160">
        <v>47</v>
      </c>
      <c r="AF160">
        <v>10</v>
      </c>
      <c r="AH160" t="s">
        <v>7247</v>
      </c>
      <c r="AI160" t="s">
        <v>7246</v>
      </c>
      <c r="AK160" t="s">
        <v>7245</v>
      </c>
      <c r="AL160">
        <v>4</v>
      </c>
      <c r="AM160" s="5">
        <f t="shared" si="19"/>
        <v>0.17391304347826086</v>
      </c>
      <c r="AN160" s="4">
        <f t="shared" si="20"/>
        <v>2.6340483677131523E-4</v>
      </c>
      <c r="AO160" s="3"/>
      <c r="AP160">
        <v>0</v>
      </c>
      <c r="AR160" t="s">
        <v>1</v>
      </c>
      <c r="AT160" s="2" t="s">
        <v>0</v>
      </c>
      <c r="AU160" s="1">
        <f t="shared" si="21"/>
        <v>2.5716350940366972</v>
      </c>
      <c r="AV160" s="1">
        <f t="shared" si="22"/>
        <v>1.8444080625053927</v>
      </c>
      <c r="AW160" s="1">
        <f t="shared" si="23"/>
        <v>1.1171810309740884</v>
      </c>
    </row>
    <row r="161" spans="1:49" x14ac:dyDescent="0.2">
      <c r="A161">
        <v>159</v>
      </c>
      <c r="B161" t="s">
        <v>7244</v>
      </c>
      <c r="F161" t="s">
        <v>7243</v>
      </c>
      <c r="G161" t="s">
        <v>6</v>
      </c>
      <c r="H161" t="s">
        <v>5</v>
      </c>
      <c r="I161" t="s">
        <v>528</v>
      </c>
      <c r="J161">
        <v>60006297</v>
      </c>
      <c r="K161" t="s">
        <v>7242</v>
      </c>
      <c r="L161" t="s">
        <v>7241</v>
      </c>
      <c r="M161" t="s">
        <v>3</v>
      </c>
      <c r="N161">
        <v>4</v>
      </c>
      <c r="O161" t="s">
        <v>7240</v>
      </c>
      <c r="P161" t="s">
        <v>7239</v>
      </c>
      <c r="Q161" t="s">
        <v>7238</v>
      </c>
      <c r="R161" s="7">
        <v>36495</v>
      </c>
      <c r="S161" s="8">
        <f t="shared" si="16"/>
        <v>1999</v>
      </c>
      <c r="T161" s="8">
        <v>1999</v>
      </c>
      <c r="U161" s="8">
        <f t="shared" si="17"/>
        <v>23</v>
      </c>
      <c r="V161" s="7">
        <v>1999</v>
      </c>
      <c r="W161" t="s">
        <v>7237</v>
      </c>
      <c r="X161" s="2" t="s">
        <v>0</v>
      </c>
      <c r="Y161" s="6" t="e">
        <f t="shared" si="18"/>
        <v>#VALUE!</v>
      </c>
      <c r="AA161">
        <v>10587268</v>
      </c>
      <c r="AB161">
        <v>95372</v>
      </c>
      <c r="AD161" t="s">
        <v>2</v>
      </c>
      <c r="AE161">
        <v>22</v>
      </c>
      <c r="AF161" s="10">
        <v>44287</v>
      </c>
      <c r="AH161" t="s">
        <v>7236</v>
      </c>
      <c r="AI161" t="s">
        <v>7235</v>
      </c>
      <c r="AK161" t="s">
        <v>7234</v>
      </c>
      <c r="AL161">
        <v>0</v>
      </c>
      <c r="AM161" s="5">
        <f t="shared" si="19"/>
        <v>0</v>
      </c>
      <c r="AN161" s="4">
        <f t="shared" si="20"/>
        <v>0</v>
      </c>
      <c r="AO161" s="3"/>
      <c r="AP161">
        <v>0</v>
      </c>
      <c r="AR161" t="s">
        <v>1</v>
      </c>
      <c r="AT161" s="2" t="s">
        <v>0</v>
      </c>
      <c r="AU161" s="1" t="e">
        <f t="shared" si="21"/>
        <v>#VALUE!</v>
      </c>
      <c r="AV161" s="1" t="e">
        <f t="shared" si="22"/>
        <v>#VALUE!</v>
      </c>
      <c r="AW161" s="1" t="e">
        <f t="shared" si="23"/>
        <v>#VALUE!</v>
      </c>
    </row>
    <row r="162" spans="1:49" x14ac:dyDescent="0.2">
      <c r="A162">
        <v>160</v>
      </c>
      <c r="B162" t="s">
        <v>7233</v>
      </c>
      <c r="C162" t="s">
        <v>7232</v>
      </c>
      <c r="F162" t="s">
        <v>7231</v>
      </c>
      <c r="G162" t="s">
        <v>6</v>
      </c>
      <c r="H162" t="s">
        <v>5</v>
      </c>
      <c r="I162" t="s">
        <v>570</v>
      </c>
      <c r="J162">
        <v>60027161</v>
      </c>
      <c r="K162" t="s">
        <v>378</v>
      </c>
      <c r="L162" t="s">
        <v>377</v>
      </c>
      <c r="M162" t="s">
        <v>71</v>
      </c>
      <c r="N162">
        <v>1</v>
      </c>
      <c r="O162" t="s">
        <v>7230</v>
      </c>
      <c r="P162">
        <v>7003773766</v>
      </c>
      <c r="Q162">
        <v>60027161</v>
      </c>
      <c r="R162" s="7">
        <v>36495</v>
      </c>
      <c r="S162" s="8">
        <f t="shared" si="16"/>
        <v>1999</v>
      </c>
      <c r="T162" s="8">
        <v>1999</v>
      </c>
      <c r="U162" s="8">
        <f t="shared" si="17"/>
        <v>23</v>
      </c>
      <c r="V162" s="7">
        <v>36495</v>
      </c>
      <c r="W162" t="s">
        <v>53</v>
      </c>
      <c r="X162" s="2">
        <v>0.88100000000000001</v>
      </c>
      <c r="Y162" s="6">
        <f t="shared" si="18"/>
        <v>2.3517791836843653E-2</v>
      </c>
      <c r="AA162">
        <v>10459243</v>
      </c>
      <c r="AB162">
        <v>17248</v>
      </c>
      <c r="AD162" t="s">
        <v>2</v>
      </c>
      <c r="AE162">
        <v>41</v>
      </c>
      <c r="AF162">
        <v>6</v>
      </c>
      <c r="AH162" t="s">
        <v>575</v>
      </c>
      <c r="AI162" t="s">
        <v>7229</v>
      </c>
      <c r="AK162" t="s">
        <v>7228</v>
      </c>
      <c r="AL162">
        <v>35</v>
      </c>
      <c r="AM162" s="5">
        <f t="shared" si="19"/>
        <v>1.5217391304347827</v>
      </c>
      <c r="AN162" s="4">
        <f t="shared" si="20"/>
        <v>2.3047923217490085E-3</v>
      </c>
      <c r="AO162" s="3"/>
      <c r="AP162">
        <v>0</v>
      </c>
      <c r="AR162" t="s">
        <v>1</v>
      </c>
      <c r="AT162" s="2" t="s">
        <v>0</v>
      </c>
      <c r="AU162" s="1">
        <f t="shared" si="21"/>
        <v>1.7153891982315257</v>
      </c>
      <c r="AV162" s="1">
        <f t="shared" si="22"/>
        <v>1.291129207929633</v>
      </c>
      <c r="AW162" s="1">
        <f t="shared" si="23"/>
        <v>0.86686921762774016</v>
      </c>
    </row>
    <row r="163" spans="1:49" x14ac:dyDescent="0.2">
      <c r="A163">
        <v>161</v>
      </c>
      <c r="B163" t="s">
        <v>7227</v>
      </c>
      <c r="C163" t="s">
        <v>7226</v>
      </c>
      <c r="F163" t="s">
        <v>7225</v>
      </c>
      <c r="G163" t="s">
        <v>6</v>
      </c>
      <c r="H163" t="s">
        <v>5</v>
      </c>
      <c r="I163" t="s">
        <v>7224</v>
      </c>
      <c r="J163">
        <v>60011520</v>
      </c>
      <c r="K163" t="s">
        <v>7223</v>
      </c>
      <c r="L163" t="s">
        <v>450</v>
      </c>
      <c r="M163" t="s">
        <v>58</v>
      </c>
      <c r="N163">
        <v>2</v>
      </c>
      <c r="O163" t="s">
        <v>7222</v>
      </c>
      <c r="P163" t="s">
        <v>7221</v>
      </c>
      <c r="Q163" t="s">
        <v>7220</v>
      </c>
      <c r="R163" s="7">
        <v>36495</v>
      </c>
      <c r="S163" s="8">
        <f t="shared" si="16"/>
        <v>1999</v>
      </c>
      <c r="T163" s="8">
        <v>1999</v>
      </c>
      <c r="U163" s="8">
        <f t="shared" si="17"/>
        <v>23</v>
      </c>
      <c r="V163" s="7">
        <v>36495</v>
      </c>
      <c r="W163" t="s">
        <v>239</v>
      </c>
      <c r="X163" s="2">
        <v>2.9860000000000002</v>
      </c>
      <c r="Y163" s="6">
        <f t="shared" si="18"/>
        <v>7.9709564613865094E-2</v>
      </c>
      <c r="AA163">
        <v>7338716</v>
      </c>
      <c r="AB163">
        <v>18902</v>
      </c>
      <c r="AD163" t="s">
        <v>2</v>
      </c>
      <c r="AE163">
        <v>17</v>
      </c>
      <c r="AF163">
        <v>12</v>
      </c>
      <c r="AH163" t="s">
        <v>7219</v>
      </c>
      <c r="AI163" t="s">
        <v>7218</v>
      </c>
      <c r="AK163" t="s">
        <v>7217</v>
      </c>
      <c r="AL163">
        <v>55</v>
      </c>
      <c r="AM163" s="5">
        <f t="shared" si="19"/>
        <v>2.3913043478260869</v>
      </c>
      <c r="AN163" s="4">
        <f t="shared" si="20"/>
        <v>3.6218165056055842E-3</v>
      </c>
      <c r="AO163" s="3"/>
      <c r="AP163">
        <v>0</v>
      </c>
      <c r="AR163" t="s">
        <v>1</v>
      </c>
      <c r="AT163" s="2" t="s">
        <v>0</v>
      </c>
      <c r="AU163" s="1">
        <f t="shared" si="21"/>
        <v>5.6883240181387231</v>
      </c>
      <c r="AV163" s="1">
        <f t="shared" si="22"/>
        <v>4.1665690559735342</v>
      </c>
      <c r="AW163" s="1">
        <f t="shared" si="23"/>
        <v>2.6448140938083435</v>
      </c>
    </row>
    <row r="164" spans="1:49" x14ac:dyDescent="0.2">
      <c r="A164">
        <v>162</v>
      </c>
      <c r="B164" t="s">
        <v>7216</v>
      </c>
      <c r="C164" t="s">
        <v>7215</v>
      </c>
      <c r="D164" t="s">
        <v>7214</v>
      </c>
      <c r="F164" t="s">
        <v>7213</v>
      </c>
      <c r="G164" t="s">
        <v>6</v>
      </c>
      <c r="H164" t="s">
        <v>5</v>
      </c>
      <c r="I164" t="s">
        <v>7212</v>
      </c>
      <c r="J164">
        <v>112526306</v>
      </c>
      <c r="K164" t="s">
        <v>493</v>
      </c>
      <c r="L164" t="s">
        <v>492</v>
      </c>
      <c r="M164" t="s">
        <v>58</v>
      </c>
      <c r="N164">
        <v>1</v>
      </c>
      <c r="O164" t="s">
        <v>7211</v>
      </c>
      <c r="P164">
        <v>6602759661</v>
      </c>
      <c r="Q164">
        <v>112526306</v>
      </c>
      <c r="R164" s="7">
        <v>36495</v>
      </c>
      <c r="S164" s="8">
        <f t="shared" si="16"/>
        <v>1999</v>
      </c>
      <c r="T164" s="8">
        <v>1999</v>
      </c>
      <c r="U164" s="8">
        <f t="shared" si="17"/>
        <v>23</v>
      </c>
      <c r="V164" s="7">
        <v>1999</v>
      </c>
      <c r="W164" t="s">
        <v>124</v>
      </c>
      <c r="X164" s="2">
        <v>1.6519999999999999</v>
      </c>
      <c r="Y164" s="6">
        <f t="shared" si="18"/>
        <v>4.409919649769093E-2</v>
      </c>
      <c r="AA164" t="s">
        <v>123</v>
      </c>
      <c r="AB164">
        <v>17337</v>
      </c>
      <c r="AD164" t="s">
        <v>2</v>
      </c>
      <c r="AE164">
        <v>47</v>
      </c>
      <c r="AF164">
        <v>9</v>
      </c>
      <c r="AH164" t="s">
        <v>7210</v>
      </c>
      <c r="AI164" t="s">
        <v>7209</v>
      </c>
      <c r="AJ164" t="s">
        <v>7208</v>
      </c>
      <c r="AK164" t="s">
        <v>7207</v>
      </c>
      <c r="AL164">
        <v>24</v>
      </c>
      <c r="AM164" s="5">
        <f t="shared" si="19"/>
        <v>1.0434782608695652</v>
      </c>
      <c r="AN164" s="4">
        <f t="shared" si="20"/>
        <v>1.5804290206278913E-3</v>
      </c>
      <c r="AO164" s="3"/>
      <c r="AP164">
        <v>0</v>
      </c>
      <c r="AR164" t="s">
        <v>1</v>
      </c>
      <c r="AT164" s="2" t="s">
        <v>0</v>
      </c>
      <c r="AU164" s="1">
        <f t="shared" si="21"/>
        <v>3.134356625457202</v>
      </c>
      <c r="AV164" s="1">
        <f t="shared" si="22"/>
        <v>2.283981275915941</v>
      </c>
      <c r="AW164" s="1">
        <f t="shared" si="23"/>
        <v>1.4336059263746803</v>
      </c>
    </row>
    <row r="165" spans="1:49" x14ac:dyDescent="0.2">
      <c r="A165">
        <v>163</v>
      </c>
      <c r="B165" t="s">
        <v>7206</v>
      </c>
      <c r="C165" t="s">
        <v>7205</v>
      </c>
      <c r="F165" t="s">
        <v>7204</v>
      </c>
      <c r="G165" t="s">
        <v>6</v>
      </c>
      <c r="H165" t="s">
        <v>5</v>
      </c>
      <c r="I165" t="s">
        <v>7203</v>
      </c>
      <c r="J165">
        <v>60015901</v>
      </c>
      <c r="K165" t="s">
        <v>357</v>
      </c>
      <c r="L165" t="s">
        <v>353</v>
      </c>
      <c r="M165" t="s">
        <v>352</v>
      </c>
      <c r="N165">
        <v>2</v>
      </c>
      <c r="O165" t="s">
        <v>7202</v>
      </c>
      <c r="P165" t="s">
        <v>7201</v>
      </c>
      <c r="Q165" t="s">
        <v>6922</v>
      </c>
      <c r="R165" s="7">
        <v>36495</v>
      </c>
      <c r="S165" s="8">
        <f t="shared" si="16"/>
        <v>1999</v>
      </c>
      <c r="T165" s="8">
        <v>1999</v>
      </c>
      <c r="U165" s="8">
        <f t="shared" si="17"/>
        <v>23</v>
      </c>
      <c r="V165" s="7">
        <v>1999</v>
      </c>
      <c r="W165" t="s">
        <v>227</v>
      </c>
      <c r="X165" s="2">
        <v>0.375</v>
      </c>
      <c r="Y165" s="6">
        <f t="shared" si="18"/>
        <v>1.0010410827260351E-2</v>
      </c>
      <c r="AA165">
        <v>135194</v>
      </c>
      <c r="AB165">
        <v>24918</v>
      </c>
      <c r="AD165" t="s">
        <v>2</v>
      </c>
      <c r="AE165">
        <v>35</v>
      </c>
      <c r="AF165">
        <v>22</v>
      </c>
      <c r="AH165" t="s">
        <v>7200</v>
      </c>
      <c r="AI165" t="s">
        <v>7199</v>
      </c>
      <c r="AK165" t="s">
        <v>7198</v>
      </c>
      <c r="AL165">
        <v>1</v>
      </c>
      <c r="AM165" s="5">
        <f t="shared" si="19"/>
        <v>4.3478260869565216E-2</v>
      </c>
      <c r="AN165" s="4">
        <f t="shared" si="20"/>
        <v>6.5851209192828807E-5</v>
      </c>
      <c r="AO165" s="3"/>
      <c r="AP165">
        <v>0</v>
      </c>
      <c r="AR165" t="s">
        <v>1</v>
      </c>
      <c r="AT165" s="2">
        <v>1.3140000000000001</v>
      </c>
      <c r="AU165" s="1">
        <f t="shared" si="21"/>
        <v>0.70270429418400948</v>
      </c>
      <c r="AV165" s="1">
        <f t="shared" si="22"/>
        <v>0.50381310182265904</v>
      </c>
      <c r="AW165" s="1">
        <f t="shared" si="23"/>
        <v>0.30492190946130854</v>
      </c>
    </row>
    <row r="166" spans="1:49" x14ac:dyDescent="0.2">
      <c r="A166">
        <v>164</v>
      </c>
      <c r="B166" t="s">
        <v>7197</v>
      </c>
      <c r="F166" t="s">
        <v>7196</v>
      </c>
      <c r="G166" t="s">
        <v>6</v>
      </c>
      <c r="H166" t="s">
        <v>5</v>
      </c>
      <c r="I166" t="s">
        <v>7195</v>
      </c>
      <c r="J166">
        <v>60002306</v>
      </c>
      <c r="K166" t="s">
        <v>1161</v>
      </c>
      <c r="L166" t="s">
        <v>1160</v>
      </c>
      <c r="M166" t="s">
        <v>125</v>
      </c>
      <c r="N166">
        <v>2</v>
      </c>
      <c r="O166" t="s">
        <v>7194</v>
      </c>
      <c r="P166" t="s">
        <v>7193</v>
      </c>
      <c r="Q166" t="s">
        <v>7192</v>
      </c>
      <c r="R166" s="7">
        <v>36495</v>
      </c>
      <c r="S166" s="8">
        <f t="shared" si="16"/>
        <v>1999</v>
      </c>
      <c r="T166" s="8">
        <v>1999</v>
      </c>
      <c r="U166" s="8">
        <f t="shared" si="17"/>
        <v>23</v>
      </c>
      <c r="V166" s="7">
        <v>1999</v>
      </c>
      <c r="W166" t="s">
        <v>7191</v>
      </c>
      <c r="X166" s="2" t="s">
        <v>0</v>
      </c>
      <c r="Y166" s="6" t="e">
        <f t="shared" si="18"/>
        <v>#VALUE!</v>
      </c>
      <c r="AA166">
        <v>82821</v>
      </c>
      <c r="AB166">
        <v>13808</v>
      </c>
      <c r="AD166" t="s">
        <v>2</v>
      </c>
      <c r="AE166">
        <v>45</v>
      </c>
      <c r="AF166">
        <v>3</v>
      </c>
      <c r="AH166" t="s">
        <v>7190</v>
      </c>
      <c r="AI166" t="s">
        <v>7189</v>
      </c>
      <c r="AK166" t="s">
        <v>7188</v>
      </c>
      <c r="AL166">
        <v>0</v>
      </c>
      <c r="AM166" s="5">
        <f t="shared" si="19"/>
        <v>0</v>
      </c>
      <c r="AN166" s="4">
        <f t="shared" si="20"/>
        <v>0</v>
      </c>
      <c r="AO166" s="3"/>
      <c r="AP166">
        <v>0</v>
      </c>
      <c r="AR166" t="s">
        <v>1</v>
      </c>
      <c r="AT166" s="2" t="s">
        <v>0</v>
      </c>
      <c r="AU166" s="1" t="e">
        <f t="shared" si="21"/>
        <v>#VALUE!</v>
      </c>
      <c r="AV166" s="1" t="e">
        <f t="shared" si="22"/>
        <v>#VALUE!</v>
      </c>
      <c r="AW166" s="1" t="e">
        <f t="shared" si="23"/>
        <v>#VALUE!</v>
      </c>
    </row>
    <row r="167" spans="1:49" x14ac:dyDescent="0.2">
      <c r="A167">
        <v>165</v>
      </c>
      <c r="B167" t="s">
        <v>7187</v>
      </c>
      <c r="C167" t="s">
        <v>7186</v>
      </c>
      <c r="F167" t="s">
        <v>7185</v>
      </c>
      <c r="G167" t="s">
        <v>6</v>
      </c>
      <c r="H167" t="s">
        <v>5</v>
      </c>
      <c r="I167" t="s">
        <v>7184</v>
      </c>
      <c r="J167">
        <v>60018008</v>
      </c>
      <c r="K167" t="s">
        <v>7183</v>
      </c>
      <c r="L167" t="s">
        <v>7182</v>
      </c>
      <c r="M167" t="s">
        <v>3</v>
      </c>
      <c r="N167">
        <v>1</v>
      </c>
      <c r="O167" t="s">
        <v>7181</v>
      </c>
      <c r="P167">
        <v>7201358059</v>
      </c>
      <c r="Q167">
        <v>60018008</v>
      </c>
      <c r="R167" s="7">
        <v>36495</v>
      </c>
      <c r="S167" s="8">
        <f t="shared" si="16"/>
        <v>1999</v>
      </c>
      <c r="T167" s="8">
        <v>1999</v>
      </c>
      <c r="U167" s="8">
        <f t="shared" si="17"/>
        <v>23</v>
      </c>
      <c r="V167" s="7">
        <v>1999</v>
      </c>
      <c r="W167" t="s">
        <v>190</v>
      </c>
      <c r="X167" s="2">
        <v>1.6379999999999999</v>
      </c>
      <c r="Y167" s="6">
        <f t="shared" si="18"/>
        <v>4.3725474493473214E-2</v>
      </c>
      <c r="AA167" t="s">
        <v>189</v>
      </c>
      <c r="AB167">
        <v>17391</v>
      </c>
      <c r="AD167" t="s">
        <v>2</v>
      </c>
      <c r="AE167">
        <v>47</v>
      </c>
      <c r="AF167">
        <v>12</v>
      </c>
      <c r="AH167" t="s">
        <v>7180</v>
      </c>
      <c r="AI167" t="s">
        <v>7179</v>
      </c>
      <c r="AK167" t="s">
        <v>7178</v>
      </c>
      <c r="AL167">
        <v>50</v>
      </c>
      <c r="AM167" s="5">
        <f t="shared" si="19"/>
        <v>2.1739130434782608</v>
      </c>
      <c r="AN167" s="4">
        <f t="shared" si="20"/>
        <v>3.2925604596414399E-3</v>
      </c>
      <c r="AO167" s="3"/>
      <c r="AP167">
        <v>0</v>
      </c>
      <c r="AQ167" t="s">
        <v>205</v>
      </c>
      <c r="AR167" t="s">
        <v>7177</v>
      </c>
      <c r="AS167" t="s">
        <v>204</v>
      </c>
      <c r="AT167" s="2">
        <v>4.931</v>
      </c>
      <c r="AU167" s="1">
        <f t="shared" si="21"/>
        <v>3.1595600283323679</v>
      </c>
      <c r="AV167" s="1">
        <f t="shared" si="22"/>
        <v>2.3509017476557328</v>
      </c>
      <c r="AW167" s="1">
        <f t="shared" si="23"/>
        <v>1.5422434669790972</v>
      </c>
    </row>
    <row r="168" spans="1:49" x14ac:dyDescent="0.2">
      <c r="A168">
        <v>166</v>
      </c>
      <c r="B168" t="s">
        <v>7176</v>
      </c>
      <c r="F168" t="s">
        <v>7175</v>
      </c>
      <c r="G168" t="s">
        <v>6</v>
      </c>
      <c r="H168" t="s">
        <v>5</v>
      </c>
      <c r="I168" t="s">
        <v>7174</v>
      </c>
      <c r="J168">
        <v>60068756</v>
      </c>
      <c r="K168" t="s">
        <v>7173</v>
      </c>
      <c r="L168" t="s">
        <v>7172</v>
      </c>
      <c r="M168" t="s">
        <v>7171</v>
      </c>
      <c r="N168">
        <v>1</v>
      </c>
      <c r="O168" t="s">
        <v>7170</v>
      </c>
      <c r="P168">
        <v>6603208353</v>
      </c>
      <c r="Q168">
        <v>60068756</v>
      </c>
      <c r="R168" s="7">
        <v>36495</v>
      </c>
      <c r="S168" s="8">
        <f t="shared" si="16"/>
        <v>1999</v>
      </c>
      <c r="T168" s="8">
        <v>1999</v>
      </c>
      <c r="U168" s="8">
        <f t="shared" si="17"/>
        <v>23</v>
      </c>
      <c r="V168" s="7">
        <v>1999</v>
      </c>
      <c r="W168" t="s">
        <v>7169</v>
      </c>
      <c r="X168" s="2" t="s">
        <v>0</v>
      </c>
      <c r="Y168" s="6" t="e">
        <f t="shared" si="18"/>
        <v>#VALUE!</v>
      </c>
      <c r="AA168">
        <v>12595985</v>
      </c>
      <c r="AB168">
        <v>28513</v>
      </c>
      <c r="AD168" t="s">
        <v>2</v>
      </c>
      <c r="AE168">
        <v>72</v>
      </c>
      <c r="AF168">
        <v>1</v>
      </c>
      <c r="AI168" t="s">
        <v>7168</v>
      </c>
      <c r="AK168" t="s">
        <v>7167</v>
      </c>
      <c r="AL168">
        <v>0</v>
      </c>
      <c r="AM168" s="5">
        <f t="shared" si="19"/>
        <v>0</v>
      </c>
      <c r="AN168" s="4">
        <f t="shared" si="20"/>
        <v>0</v>
      </c>
      <c r="AO168" s="3"/>
      <c r="AP168">
        <v>0</v>
      </c>
      <c r="AR168" t="s">
        <v>1</v>
      </c>
      <c r="AT168" s="2" t="s">
        <v>0</v>
      </c>
      <c r="AU168" s="1" t="e">
        <f t="shared" si="21"/>
        <v>#VALUE!</v>
      </c>
      <c r="AV168" s="1" t="e">
        <f t="shared" si="22"/>
        <v>#VALUE!</v>
      </c>
      <c r="AW168" s="1" t="e">
        <f t="shared" si="23"/>
        <v>#VALUE!</v>
      </c>
    </row>
    <row r="169" spans="1:49" x14ac:dyDescent="0.2">
      <c r="A169">
        <v>167</v>
      </c>
      <c r="B169" t="s">
        <v>7166</v>
      </c>
      <c r="C169" t="s">
        <v>7165</v>
      </c>
      <c r="F169" t="s">
        <v>7164</v>
      </c>
      <c r="G169" t="s">
        <v>6</v>
      </c>
      <c r="H169" t="s">
        <v>5</v>
      </c>
      <c r="I169" t="s">
        <v>7163</v>
      </c>
      <c r="J169">
        <v>60017592</v>
      </c>
      <c r="K169" t="s">
        <v>7162</v>
      </c>
      <c r="L169" t="s">
        <v>342</v>
      </c>
      <c r="M169" t="s">
        <v>125</v>
      </c>
      <c r="N169">
        <v>3</v>
      </c>
      <c r="O169" t="s">
        <v>7161</v>
      </c>
      <c r="P169" t="s">
        <v>7160</v>
      </c>
      <c r="Q169" t="s">
        <v>7159</v>
      </c>
      <c r="R169" s="7">
        <v>36495</v>
      </c>
      <c r="S169" s="8">
        <f t="shared" si="16"/>
        <v>1999</v>
      </c>
      <c r="T169" s="8">
        <v>1999</v>
      </c>
      <c r="U169" s="8">
        <f t="shared" si="17"/>
        <v>23</v>
      </c>
      <c r="V169" s="7">
        <v>1999</v>
      </c>
      <c r="W169" t="s">
        <v>89</v>
      </c>
      <c r="X169" s="2">
        <v>1.365</v>
      </c>
      <c r="Y169" s="6">
        <f t="shared" si="18"/>
        <v>3.6437895411227675E-2</v>
      </c>
      <c r="AA169">
        <v>189545</v>
      </c>
      <c r="AB169">
        <v>17393</v>
      </c>
      <c r="AD169" t="s">
        <v>2</v>
      </c>
      <c r="AE169">
        <v>48</v>
      </c>
      <c r="AF169">
        <v>5</v>
      </c>
      <c r="AH169" t="s">
        <v>7158</v>
      </c>
      <c r="AI169" t="s">
        <v>7157</v>
      </c>
      <c r="AK169" t="s">
        <v>7156</v>
      </c>
      <c r="AL169">
        <v>10</v>
      </c>
      <c r="AM169" s="5">
        <f t="shared" si="19"/>
        <v>0.43478260869565216</v>
      </c>
      <c r="AN169" s="4">
        <f t="shared" si="20"/>
        <v>6.5851209192828799E-4</v>
      </c>
      <c r="AO169" s="3"/>
      <c r="AP169">
        <v>0</v>
      </c>
      <c r="AR169" t="s">
        <v>1</v>
      </c>
      <c r="AS169" t="s">
        <v>384</v>
      </c>
      <c r="AT169" s="2" t="s">
        <v>0</v>
      </c>
      <c r="AU169" s="1">
        <f t="shared" si="21"/>
        <v>2.5704080415437853</v>
      </c>
      <c r="AV169" s="1">
        <f t="shared" si="22"/>
        <v>1.8548203751577983</v>
      </c>
      <c r="AW169" s="1">
        <f t="shared" si="23"/>
        <v>1.1392327087718102</v>
      </c>
    </row>
    <row r="170" spans="1:49" x14ac:dyDescent="0.2">
      <c r="A170">
        <v>168</v>
      </c>
      <c r="B170" t="s">
        <v>7155</v>
      </c>
      <c r="C170" t="s">
        <v>7154</v>
      </c>
      <c r="F170" t="s">
        <v>7153</v>
      </c>
      <c r="G170" t="s">
        <v>6</v>
      </c>
      <c r="H170" t="s">
        <v>5</v>
      </c>
      <c r="I170" t="s">
        <v>7152</v>
      </c>
      <c r="J170">
        <v>60024872</v>
      </c>
      <c r="K170" t="s">
        <v>260</v>
      </c>
      <c r="L170" t="s">
        <v>259</v>
      </c>
      <c r="M170" t="s">
        <v>45</v>
      </c>
      <c r="N170">
        <v>3</v>
      </c>
      <c r="O170" t="s">
        <v>7151</v>
      </c>
      <c r="P170" t="s">
        <v>7150</v>
      </c>
      <c r="Q170" t="s">
        <v>1272</v>
      </c>
      <c r="R170" s="7">
        <v>36495</v>
      </c>
      <c r="S170" s="8">
        <f t="shared" si="16"/>
        <v>1999</v>
      </c>
      <c r="T170" s="8">
        <v>1999</v>
      </c>
      <c r="U170" s="8">
        <f t="shared" si="17"/>
        <v>23</v>
      </c>
      <c r="V170" s="7">
        <v>1999</v>
      </c>
      <c r="W170" t="s">
        <v>162</v>
      </c>
      <c r="X170" s="2">
        <v>0.30399999999999999</v>
      </c>
      <c r="Y170" s="6">
        <f t="shared" si="18"/>
        <v>8.115106377299057E-3</v>
      </c>
      <c r="AA170">
        <v>8952477</v>
      </c>
      <c r="AB170">
        <v>12250</v>
      </c>
      <c r="AD170" t="s">
        <v>2</v>
      </c>
      <c r="AE170">
        <v>23</v>
      </c>
      <c r="AF170">
        <v>6</v>
      </c>
      <c r="AH170" t="s">
        <v>7149</v>
      </c>
      <c r="AI170" t="s">
        <v>7148</v>
      </c>
      <c r="AK170" t="s">
        <v>7147</v>
      </c>
      <c r="AL170">
        <v>2</v>
      </c>
      <c r="AM170" s="5">
        <f t="shared" si="19"/>
        <v>8.6956521739130432E-2</v>
      </c>
      <c r="AN170" s="4">
        <f t="shared" si="20"/>
        <v>1.3170241838565761E-4</v>
      </c>
      <c r="AO170" s="3"/>
      <c r="AP170">
        <v>0</v>
      </c>
      <c r="AR170" t="s">
        <v>1</v>
      </c>
      <c r="AT170" s="2" t="s">
        <v>0</v>
      </c>
      <c r="AU170" s="1">
        <f t="shared" si="21"/>
        <v>0.57200851896250371</v>
      </c>
      <c r="AV170" s="1">
        <f t="shared" si="22"/>
        <v>0.41234043978423568</v>
      </c>
      <c r="AW170" s="1">
        <f t="shared" si="23"/>
        <v>0.25267236060596776</v>
      </c>
    </row>
    <row r="171" spans="1:49" x14ac:dyDescent="0.2">
      <c r="A171">
        <v>169</v>
      </c>
      <c r="B171" t="s">
        <v>7146</v>
      </c>
      <c r="C171" t="s">
        <v>7145</v>
      </c>
      <c r="F171" t="s">
        <v>7144</v>
      </c>
      <c r="G171" t="s">
        <v>6</v>
      </c>
      <c r="H171" t="s">
        <v>5</v>
      </c>
      <c r="I171" t="s">
        <v>7143</v>
      </c>
      <c r="J171">
        <v>60099662</v>
      </c>
      <c r="K171" t="s">
        <v>781</v>
      </c>
      <c r="L171" t="s">
        <v>780</v>
      </c>
      <c r="M171" t="s">
        <v>58</v>
      </c>
      <c r="N171">
        <v>1</v>
      </c>
      <c r="O171" t="s">
        <v>7142</v>
      </c>
      <c r="P171">
        <v>6603651267</v>
      </c>
      <c r="Q171">
        <v>60099662</v>
      </c>
      <c r="R171" s="7">
        <v>36495</v>
      </c>
      <c r="S171" s="8">
        <f t="shared" si="16"/>
        <v>1999</v>
      </c>
      <c r="T171" s="8">
        <v>1999</v>
      </c>
      <c r="U171" s="8">
        <f t="shared" si="17"/>
        <v>23</v>
      </c>
      <c r="V171" s="7">
        <v>1999</v>
      </c>
      <c r="W171" t="s">
        <v>167</v>
      </c>
      <c r="X171" s="2">
        <v>1.468</v>
      </c>
      <c r="Y171" s="6">
        <f t="shared" si="18"/>
        <v>3.9187421585115186E-2</v>
      </c>
      <c r="AA171">
        <v>906778</v>
      </c>
      <c r="AB171">
        <v>18931</v>
      </c>
      <c r="AD171" t="s">
        <v>2</v>
      </c>
      <c r="AE171">
        <v>47</v>
      </c>
      <c r="AF171">
        <v>10</v>
      </c>
      <c r="AH171" t="s">
        <v>7141</v>
      </c>
      <c r="AI171" t="s">
        <v>7140</v>
      </c>
      <c r="AK171" t="s">
        <v>7139</v>
      </c>
      <c r="AL171">
        <v>67</v>
      </c>
      <c r="AM171" s="5">
        <f t="shared" si="19"/>
        <v>2.9130434782608696</v>
      </c>
      <c r="AN171" s="4">
        <f t="shared" si="20"/>
        <v>4.4120310159195299E-3</v>
      </c>
      <c r="AO171" s="3"/>
      <c r="AP171">
        <v>0</v>
      </c>
      <c r="AR171" t="s">
        <v>1</v>
      </c>
      <c r="AT171" s="2">
        <v>5.0830000000000002</v>
      </c>
      <c r="AU171" s="1">
        <f t="shared" si="21"/>
        <v>2.875480441435649</v>
      </c>
      <c r="AV171" s="1">
        <f t="shared" si="22"/>
        <v>2.1799726300517359</v>
      </c>
      <c r="AW171" s="1">
        <f t="shared" si="23"/>
        <v>1.4844648186678226</v>
      </c>
    </row>
    <row r="172" spans="1:49" x14ac:dyDescent="0.2">
      <c r="A172">
        <v>170</v>
      </c>
      <c r="B172" t="s">
        <v>7138</v>
      </c>
      <c r="C172" t="s">
        <v>7137</v>
      </c>
      <c r="F172" t="s">
        <v>7136</v>
      </c>
      <c r="G172" t="s">
        <v>6</v>
      </c>
      <c r="H172" t="s">
        <v>5</v>
      </c>
      <c r="I172" t="s">
        <v>358</v>
      </c>
      <c r="J172">
        <v>60015901</v>
      </c>
      <c r="K172" t="s">
        <v>357</v>
      </c>
      <c r="L172" t="s">
        <v>353</v>
      </c>
      <c r="M172" t="s">
        <v>352</v>
      </c>
      <c r="N172">
        <v>2</v>
      </c>
      <c r="O172" t="s">
        <v>7135</v>
      </c>
      <c r="P172" t="s">
        <v>7134</v>
      </c>
      <c r="Q172" t="s">
        <v>6922</v>
      </c>
      <c r="R172" s="7">
        <v>36495</v>
      </c>
      <c r="S172" s="8">
        <f t="shared" si="16"/>
        <v>1999</v>
      </c>
      <c r="T172" s="8">
        <v>1999</v>
      </c>
      <c r="U172" s="8">
        <f t="shared" si="17"/>
        <v>23</v>
      </c>
      <c r="V172" s="7">
        <v>1999</v>
      </c>
      <c r="W172" t="s">
        <v>89</v>
      </c>
      <c r="X172" s="2">
        <v>1.365</v>
      </c>
      <c r="Y172" s="6">
        <f t="shared" si="18"/>
        <v>3.6437895411227675E-2</v>
      </c>
      <c r="AA172">
        <v>189545</v>
      </c>
      <c r="AB172">
        <v>17393</v>
      </c>
      <c r="AD172" t="s">
        <v>2</v>
      </c>
      <c r="AE172">
        <v>48</v>
      </c>
      <c r="AF172">
        <v>5</v>
      </c>
      <c r="AH172" t="s">
        <v>7133</v>
      </c>
      <c r="AI172" t="s">
        <v>7132</v>
      </c>
      <c r="AK172" t="s">
        <v>7131</v>
      </c>
      <c r="AL172">
        <v>19</v>
      </c>
      <c r="AM172" s="5">
        <f t="shared" si="19"/>
        <v>0.82608695652173914</v>
      </c>
      <c r="AN172" s="4">
        <f t="shared" si="20"/>
        <v>1.2511729746637473E-3</v>
      </c>
      <c r="AO172" s="3"/>
      <c r="AP172">
        <v>0</v>
      </c>
      <c r="AR172" t="s">
        <v>1</v>
      </c>
      <c r="AT172" s="2" t="s">
        <v>0</v>
      </c>
      <c r="AU172" s="1">
        <f t="shared" si="21"/>
        <v>2.5881878680258494</v>
      </c>
      <c r="AV172" s="1">
        <f t="shared" si="22"/>
        <v>1.8844534192945712</v>
      </c>
      <c r="AW172" s="1">
        <f t="shared" si="23"/>
        <v>1.1807189705632926</v>
      </c>
    </row>
    <row r="173" spans="1:49" x14ac:dyDescent="0.2">
      <c r="A173">
        <v>171</v>
      </c>
      <c r="B173" t="s">
        <v>7130</v>
      </c>
      <c r="C173" t="s">
        <v>7129</v>
      </c>
      <c r="F173" t="s">
        <v>7128</v>
      </c>
      <c r="G173" t="s">
        <v>6</v>
      </c>
      <c r="H173" t="s">
        <v>5</v>
      </c>
      <c r="I173" t="s">
        <v>7127</v>
      </c>
      <c r="J173">
        <v>60024592</v>
      </c>
      <c r="K173" t="s">
        <v>7126</v>
      </c>
      <c r="L173" t="s">
        <v>482</v>
      </c>
      <c r="M173" t="s">
        <v>3</v>
      </c>
      <c r="N173">
        <v>1</v>
      </c>
      <c r="O173" t="s">
        <v>7125</v>
      </c>
      <c r="P173">
        <v>57196870882</v>
      </c>
      <c r="Q173">
        <v>60024592</v>
      </c>
      <c r="R173" s="7">
        <v>36495</v>
      </c>
      <c r="S173" s="8">
        <f t="shared" si="16"/>
        <v>1999</v>
      </c>
      <c r="T173" s="8">
        <v>1999</v>
      </c>
      <c r="U173" s="8">
        <f t="shared" si="17"/>
        <v>23</v>
      </c>
      <c r="V173" s="7">
        <v>1999</v>
      </c>
      <c r="W173" t="s">
        <v>403</v>
      </c>
      <c r="X173" s="2">
        <v>1.137</v>
      </c>
      <c r="Y173" s="6">
        <f t="shared" si="18"/>
        <v>3.0351565628253384E-2</v>
      </c>
      <c r="AA173">
        <v>189251</v>
      </c>
      <c r="AB173">
        <v>17336</v>
      </c>
      <c r="AD173" t="s">
        <v>2</v>
      </c>
      <c r="AE173">
        <v>35</v>
      </c>
      <c r="AF173">
        <v>4</v>
      </c>
      <c r="AH173" t="s">
        <v>7124</v>
      </c>
      <c r="AI173" t="s">
        <v>7123</v>
      </c>
      <c r="AK173" t="s">
        <v>7122</v>
      </c>
      <c r="AL173">
        <v>4</v>
      </c>
      <c r="AM173" s="5">
        <f t="shared" si="19"/>
        <v>0.17391304347826086</v>
      </c>
      <c r="AN173" s="4">
        <f t="shared" si="20"/>
        <v>2.6340483677131523E-4</v>
      </c>
      <c r="AO173" s="3"/>
      <c r="AP173">
        <v>0</v>
      </c>
      <c r="AR173" t="s">
        <v>7121</v>
      </c>
      <c r="AT173" s="2" t="s">
        <v>0</v>
      </c>
      <c r="AU173" s="1">
        <f t="shared" si="21"/>
        <v>2.1325117390808761</v>
      </c>
      <c r="AV173" s="1">
        <f t="shared" si="22"/>
        <v>1.5307485232512348</v>
      </c>
      <c r="AW173" s="1">
        <f t="shared" si="23"/>
        <v>0.92898530742159358</v>
      </c>
    </row>
    <row r="174" spans="1:49" x14ac:dyDescent="0.2">
      <c r="A174">
        <v>172</v>
      </c>
      <c r="B174" t="s">
        <v>7120</v>
      </c>
      <c r="C174" t="s">
        <v>7119</v>
      </c>
      <c r="F174" t="s">
        <v>7118</v>
      </c>
      <c r="G174" t="s">
        <v>6</v>
      </c>
      <c r="H174" t="s">
        <v>5</v>
      </c>
      <c r="I174" t="s">
        <v>7117</v>
      </c>
      <c r="J174">
        <v>60024590</v>
      </c>
      <c r="K174" t="s">
        <v>91</v>
      </c>
      <c r="L174" t="s">
        <v>90</v>
      </c>
      <c r="M174" t="s">
        <v>3</v>
      </c>
      <c r="N174">
        <v>1</v>
      </c>
      <c r="O174" t="s">
        <v>7116</v>
      </c>
      <c r="P174">
        <v>57225339023</v>
      </c>
      <c r="Q174">
        <v>60024590</v>
      </c>
      <c r="R174" s="7">
        <v>36495</v>
      </c>
      <c r="S174" s="8">
        <f t="shared" si="16"/>
        <v>1999</v>
      </c>
      <c r="T174" s="8">
        <v>1999</v>
      </c>
      <c r="U174" s="8">
        <f t="shared" si="17"/>
        <v>23</v>
      </c>
      <c r="V174" s="7">
        <v>1999</v>
      </c>
      <c r="W174" t="s">
        <v>124</v>
      </c>
      <c r="X174" s="2">
        <v>1.6519999999999999</v>
      </c>
      <c r="Y174" s="6">
        <f t="shared" si="18"/>
        <v>4.409919649769093E-2</v>
      </c>
      <c r="AA174" t="s">
        <v>123</v>
      </c>
      <c r="AB174">
        <v>17337</v>
      </c>
      <c r="AD174" t="s">
        <v>2</v>
      </c>
      <c r="AE174">
        <v>47</v>
      </c>
      <c r="AF174">
        <v>12</v>
      </c>
      <c r="AH174" t="s">
        <v>7115</v>
      </c>
      <c r="AI174" t="s">
        <v>7114</v>
      </c>
      <c r="AK174" t="s">
        <v>7113</v>
      </c>
      <c r="AL174">
        <v>144</v>
      </c>
      <c r="AM174" s="5">
        <f t="shared" si="19"/>
        <v>6.2608695652173916</v>
      </c>
      <c r="AN174" s="4">
        <f t="shared" si="20"/>
        <v>9.4825741237673476E-3</v>
      </c>
      <c r="AO174" s="3"/>
      <c r="AP174">
        <v>0</v>
      </c>
      <c r="AR174" t="s">
        <v>1</v>
      </c>
      <c r="AT174" s="2" t="s">
        <v>0</v>
      </c>
      <c r="AU174" s="1">
        <f t="shared" si="21"/>
        <v>3.3714209785513858</v>
      </c>
      <c r="AV174" s="1">
        <f t="shared" si="22"/>
        <v>2.6790885310729138</v>
      </c>
      <c r="AW174" s="1">
        <f t="shared" si="23"/>
        <v>1.986756083594442</v>
      </c>
    </row>
    <row r="175" spans="1:49" x14ac:dyDescent="0.2">
      <c r="A175">
        <v>173</v>
      </c>
      <c r="B175" t="s">
        <v>7112</v>
      </c>
      <c r="C175" t="s">
        <v>7111</v>
      </c>
      <c r="F175" t="s">
        <v>7110</v>
      </c>
      <c r="G175" t="s">
        <v>6</v>
      </c>
      <c r="H175" t="s">
        <v>5</v>
      </c>
      <c r="I175" t="s">
        <v>7109</v>
      </c>
      <c r="J175">
        <v>60013983</v>
      </c>
      <c r="K175" t="s">
        <v>324</v>
      </c>
      <c r="L175" t="s">
        <v>323</v>
      </c>
      <c r="M175" t="s">
        <v>322</v>
      </c>
      <c r="N175">
        <v>3</v>
      </c>
      <c r="O175" t="s">
        <v>7108</v>
      </c>
      <c r="P175" t="s">
        <v>7107</v>
      </c>
      <c r="Q175" t="s">
        <v>321</v>
      </c>
      <c r="R175" s="7">
        <v>36495</v>
      </c>
      <c r="S175" s="8">
        <f t="shared" si="16"/>
        <v>1999</v>
      </c>
      <c r="T175" s="8">
        <v>1999</v>
      </c>
      <c r="U175" s="8">
        <f t="shared" si="17"/>
        <v>23</v>
      </c>
      <c r="V175" s="7">
        <v>1999</v>
      </c>
      <c r="W175" t="s">
        <v>162</v>
      </c>
      <c r="X175" s="2">
        <v>0.30399999999999999</v>
      </c>
      <c r="Y175" s="6">
        <f t="shared" si="18"/>
        <v>8.115106377299057E-3</v>
      </c>
      <c r="AA175">
        <v>8952477</v>
      </c>
      <c r="AB175">
        <v>12250</v>
      </c>
      <c r="AD175" t="s">
        <v>2</v>
      </c>
      <c r="AE175">
        <v>23</v>
      </c>
      <c r="AF175">
        <v>6</v>
      </c>
      <c r="AH175" t="s">
        <v>7106</v>
      </c>
      <c r="AI175" t="s">
        <v>7105</v>
      </c>
      <c r="AK175" t="s">
        <v>7104</v>
      </c>
      <c r="AL175">
        <v>13</v>
      </c>
      <c r="AM175" s="5">
        <f t="shared" si="19"/>
        <v>0.56521739130434778</v>
      </c>
      <c r="AN175" s="4">
        <f t="shared" si="20"/>
        <v>8.560657195067744E-4</v>
      </c>
      <c r="AO175" s="3"/>
      <c r="AP175">
        <v>0</v>
      </c>
      <c r="AR175" t="s">
        <v>1</v>
      </c>
      <c r="AT175" s="2" t="s">
        <v>0</v>
      </c>
      <c r="AU175" s="1">
        <f t="shared" si="21"/>
        <v>0.59373941799613716</v>
      </c>
      <c r="AV175" s="1">
        <f t="shared" si="22"/>
        <v>0.44855860484029159</v>
      </c>
      <c r="AW175" s="1">
        <f t="shared" si="23"/>
        <v>0.30337779168444595</v>
      </c>
    </row>
    <row r="176" spans="1:49" x14ac:dyDescent="0.2">
      <c r="A176">
        <v>174</v>
      </c>
      <c r="B176" t="s">
        <v>7103</v>
      </c>
      <c r="C176" t="s">
        <v>7102</v>
      </c>
      <c r="F176" t="s">
        <v>7101</v>
      </c>
      <c r="G176" t="s">
        <v>6</v>
      </c>
      <c r="H176" t="s">
        <v>5</v>
      </c>
      <c r="I176" t="s">
        <v>789</v>
      </c>
      <c r="J176">
        <v>60019330</v>
      </c>
      <c r="K176" t="s">
        <v>7100</v>
      </c>
      <c r="L176" t="s">
        <v>217</v>
      </c>
      <c r="M176" t="s">
        <v>133</v>
      </c>
      <c r="N176">
        <v>2</v>
      </c>
      <c r="O176" t="s">
        <v>7099</v>
      </c>
      <c r="P176" t="s">
        <v>7098</v>
      </c>
      <c r="Q176" t="s">
        <v>7097</v>
      </c>
      <c r="R176" s="7">
        <v>36495</v>
      </c>
      <c r="S176" s="8">
        <f t="shared" si="16"/>
        <v>1999</v>
      </c>
      <c r="T176" s="8">
        <v>1999</v>
      </c>
      <c r="U176" s="8">
        <f t="shared" si="17"/>
        <v>23</v>
      </c>
      <c r="V176" s="7">
        <v>1999</v>
      </c>
      <c r="W176" t="s">
        <v>124</v>
      </c>
      <c r="X176" s="2">
        <v>1.6519999999999999</v>
      </c>
      <c r="Y176" s="6">
        <f t="shared" si="18"/>
        <v>4.409919649769093E-2</v>
      </c>
      <c r="AA176" t="s">
        <v>123</v>
      </c>
      <c r="AB176">
        <v>17337</v>
      </c>
      <c r="AD176" t="s">
        <v>2</v>
      </c>
      <c r="AE176">
        <v>47</v>
      </c>
      <c r="AF176">
        <v>10</v>
      </c>
      <c r="AH176" t="s">
        <v>7096</v>
      </c>
      <c r="AI176" t="s">
        <v>7095</v>
      </c>
      <c r="AK176" t="s">
        <v>7094</v>
      </c>
      <c r="AL176">
        <v>58</v>
      </c>
      <c r="AM176" s="5">
        <f t="shared" si="19"/>
        <v>2.5217391304347827</v>
      </c>
      <c r="AN176" s="4">
        <f t="shared" si="20"/>
        <v>3.8193701331840709E-3</v>
      </c>
      <c r="AO176" s="3"/>
      <c r="AP176">
        <v>0</v>
      </c>
      <c r="AR176" t="s">
        <v>1</v>
      </c>
      <c r="AT176" s="2" t="s">
        <v>0</v>
      </c>
      <c r="AU176" s="1">
        <f t="shared" si="21"/>
        <v>3.2015248588338876</v>
      </c>
      <c r="AV176" s="1">
        <f t="shared" si="22"/>
        <v>2.3959283315437498</v>
      </c>
      <c r="AW176" s="1">
        <f t="shared" si="23"/>
        <v>1.5903318042536128</v>
      </c>
    </row>
    <row r="177" spans="1:49" x14ac:dyDescent="0.2">
      <c r="A177">
        <v>175</v>
      </c>
      <c r="B177" t="s">
        <v>7093</v>
      </c>
      <c r="C177" t="s">
        <v>7092</v>
      </c>
      <c r="F177" t="s">
        <v>7091</v>
      </c>
      <c r="G177" t="s">
        <v>6</v>
      </c>
      <c r="H177" t="s">
        <v>5</v>
      </c>
      <c r="I177" t="s">
        <v>388</v>
      </c>
      <c r="J177">
        <v>101525602</v>
      </c>
      <c r="K177" t="s">
        <v>7090</v>
      </c>
      <c r="L177" t="s">
        <v>7089</v>
      </c>
      <c r="M177" t="s">
        <v>47</v>
      </c>
      <c r="N177">
        <v>2</v>
      </c>
      <c r="O177" t="s">
        <v>7088</v>
      </c>
      <c r="P177" t="s">
        <v>7087</v>
      </c>
      <c r="Q177" t="s">
        <v>7086</v>
      </c>
      <c r="R177" s="7">
        <v>36495</v>
      </c>
      <c r="S177" s="8">
        <f t="shared" si="16"/>
        <v>1999</v>
      </c>
      <c r="T177" s="8">
        <v>1999</v>
      </c>
      <c r="U177" s="8">
        <f t="shared" si="17"/>
        <v>23</v>
      </c>
      <c r="V177" s="7">
        <v>1999</v>
      </c>
      <c r="W177" t="s">
        <v>124</v>
      </c>
      <c r="X177" s="2">
        <v>1.6519999999999999</v>
      </c>
      <c r="Y177" s="6">
        <f t="shared" si="18"/>
        <v>4.409919649769093E-2</v>
      </c>
      <c r="AA177" t="s">
        <v>123</v>
      </c>
      <c r="AB177">
        <v>17337</v>
      </c>
      <c r="AD177" t="s">
        <v>2</v>
      </c>
      <c r="AE177">
        <v>47</v>
      </c>
      <c r="AF177">
        <v>10</v>
      </c>
      <c r="AH177" t="s">
        <v>7085</v>
      </c>
      <c r="AI177" t="s">
        <v>7084</v>
      </c>
      <c r="AK177" t="s">
        <v>7083</v>
      </c>
      <c r="AL177">
        <v>34</v>
      </c>
      <c r="AM177" s="5">
        <f t="shared" si="19"/>
        <v>1.4782608695652173</v>
      </c>
      <c r="AN177" s="4">
        <f t="shared" si="20"/>
        <v>2.2389411125561792E-3</v>
      </c>
      <c r="AO177" s="3"/>
      <c r="AP177">
        <v>0</v>
      </c>
      <c r="AR177" t="s">
        <v>1</v>
      </c>
      <c r="AT177" s="2" t="s">
        <v>0</v>
      </c>
      <c r="AU177" s="1">
        <f t="shared" si="21"/>
        <v>3.1541119882150506</v>
      </c>
      <c r="AV177" s="1">
        <f t="shared" si="22"/>
        <v>2.3169068805123554</v>
      </c>
      <c r="AW177" s="1">
        <f t="shared" si="23"/>
        <v>1.4797017728096602</v>
      </c>
    </row>
    <row r="178" spans="1:49" x14ac:dyDescent="0.2">
      <c r="A178">
        <v>176</v>
      </c>
      <c r="B178" t="s">
        <v>7082</v>
      </c>
      <c r="C178" t="s">
        <v>7081</v>
      </c>
      <c r="F178" t="s">
        <v>7080</v>
      </c>
      <c r="G178" t="s">
        <v>6</v>
      </c>
      <c r="H178" t="s">
        <v>5</v>
      </c>
      <c r="I178" t="s">
        <v>7079</v>
      </c>
      <c r="J178" t="s">
        <v>7078</v>
      </c>
      <c r="K178" t="s">
        <v>7077</v>
      </c>
      <c r="L178" t="s">
        <v>7076</v>
      </c>
      <c r="M178" t="s">
        <v>7075</v>
      </c>
      <c r="N178">
        <v>4</v>
      </c>
      <c r="O178" t="s">
        <v>7074</v>
      </c>
      <c r="P178" t="s">
        <v>7073</v>
      </c>
      <c r="Q178" t="s">
        <v>7072</v>
      </c>
      <c r="R178" s="7">
        <v>36495</v>
      </c>
      <c r="S178" s="8">
        <f t="shared" si="16"/>
        <v>1999</v>
      </c>
      <c r="T178" s="8">
        <v>1999</v>
      </c>
      <c r="U178" s="8">
        <f t="shared" si="17"/>
        <v>23</v>
      </c>
      <c r="V178" s="7">
        <v>1999</v>
      </c>
      <c r="W178" t="s">
        <v>948</v>
      </c>
      <c r="X178" s="2">
        <v>2.141</v>
      </c>
      <c r="Y178" s="6">
        <f t="shared" si="18"/>
        <v>5.7152772216438434E-2</v>
      </c>
      <c r="AA178">
        <v>1962892</v>
      </c>
      <c r="AB178">
        <v>17360</v>
      </c>
      <c r="AD178" t="s">
        <v>2</v>
      </c>
      <c r="AE178">
        <v>37</v>
      </c>
      <c r="AF178" t="s">
        <v>7071</v>
      </c>
      <c r="AH178" t="s">
        <v>7070</v>
      </c>
      <c r="AI178" t="s">
        <v>7069</v>
      </c>
      <c r="AK178" t="s">
        <v>7068</v>
      </c>
      <c r="AL178">
        <v>37</v>
      </c>
      <c r="AM178" s="5">
        <f t="shared" si="19"/>
        <v>1.6086956521739131</v>
      </c>
      <c r="AN178" s="4">
        <f t="shared" si="20"/>
        <v>2.4364947401346658E-3</v>
      </c>
      <c r="AO178" s="3"/>
      <c r="AP178">
        <v>0</v>
      </c>
      <c r="AQ178" t="s">
        <v>467</v>
      </c>
      <c r="AR178" t="s">
        <v>7067</v>
      </c>
      <c r="AS178" t="s">
        <v>326</v>
      </c>
      <c r="AT178" s="2" t="s">
        <v>0</v>
      </c>
      <c r="AU178" s="1">
        <f t="shared" si="21"/>
        <v>4.0737888973547296</v>
      </c>
      <c r="AV178" s="1">
        <f t="shared" si="22"/>
        <v>2.9794633478286552</v>
      </c>
      <c r="AW178" s="1">
        <f t="shared" si="23"/>
        <v>1.8851377983025794</v>
      </c>
    </row>
    <row r="179" spans="1:49" x14ac:dyDescent="0.2">
      <c r="A179">
        <v>177</v>
      </c>
      <c r="B179" t="s">
        <v>7066</v>
      </c>
      <c r="C179" t="s">
        <v>7065</v>
      </c>
      <c r="F179" t="s">
        <v>7064</v>
      </c>
      <c r="G179" t="s">
        <v>6</v>
      </c>
      <c r="H179" t="s">
        <v>5</v>
      </c>
      <c r="I179" t="s">
        <v>625</v>
      </c>
      <c r="J179">
        <v>60101699</v>
      </c>
      <c r="K179" t="s">
        <v>554</v>
      </c>
      <c r="L179" t="s">
        <v>32</v>
      </c>
      <c r="M179" t="s">
        <v>7</v>
      </c>
      <c r="N179">
        <v>5</v>
      </c>
      <c r="O179" t="s">
        <v>7063</v>
      </c>
      <c r="P179" t="s">
        <v>7062</v>
      </c>
      <c r="Q179" t="s">
        <v>5126</v>
      </c>
      <c r="R179" s="7">
        <v>36495</v>
      </c>
      <c r="S179" s="8">
        <f t="shared" si="16"/>
        <v>1999</v>
      </c>
      <c r="T179" s="8">
        <v>1999</v>
      </c>
      <c r="U179" s="8">
        <f t="shared" si="17"/>
        <v>23</v>
      </c>
      <c r="V179" s="7">
        <v>1999</v>
      </c>
      <c r="W179" t="s">
        <v>4164</v>
      </c>
      <c r="X179" s="2">
        <v>0.13900000000000001</v>
      </c>
      <c r="Y179" s="6">
        <f t="shared" si="18"/>
        <v>3.7105256133045036E-3</v>
      </c>
      <c r="AA179" t="s">
        <v>4163</v>
      </c>
      <c r="AB179">
        <v>24891</v>
      </c>
      <c r="AD179" t="s">
        <v>2</v>
      </c>
      <c r="AE179">
        <v>82</v>
      </c>
      <c r="AF179">
        <v>12</v>
      </c>
      <c r="AH179" t="s">
        <v>7061</v>
      </c>
      <c r="AI179" t="s">
        <v>7060</v>
      </c>
      <c r="AK179" t="s">
        <v>7059</v>
      </c>
      <c r="AL179">
        <v>0</v>
      </c>
      <c r="AM179" s="5">
        <f t="shared" si="19"/>
        <v>0</v>
      </c>
      <c r="AN179" s="4">
        <f t="shared" si="20"/>
        <v>0</v>
      </c>
      <c r="AO179" s="3"/>
      <c r="AP179">
        <v>0</v>
      </c>
      <c r="AR179" t="s">
        <v>1</v>
      </c>
      <c r="AT179" s="2" t="s">
        <v>0</v>
      </c>
      <c r="AU179" s="1">
        <f t="shared" si="21"/>
        <v>0.25973679293131524</v>
      </c>
      <c r="AV179" s="1">
        <f t="shared" si="22"/>
        <v>0.1855262806652252</v>
      </c>
      <c r="AW179" s="1">
        <f t="shared" si="23"/>
        <v>0.1113157683991351</v>
      </c>
    </row>
    <row r="180" spans="1:49" x14ac:dyDescent="0.2">
      <c r="A180">
        <v>178</v>
      </c>
      <c r="B180" t="s">
        <v>7058</v>
      </c>
      <c r="C180" t="s">
        <v>7057</v>
      </c>
      <c r="F180" t="s">
        <v>7056</v>
      </c>
      <c r="G180" t="s">
        <v>6</v>
      </c>
      <c r="H180" t="s">
        <v>5</v>
      </c>
      <c r="I180" t="s">
        <v>7055</v>
      </c>
      <c r="J180" t="s">
        <v>7054</v>
      </c>
      <c r="K180" t="s">
        <v>7053</v>
      </c>
      <c r="L180" t="s">
        <v>7052</v>
      </c>
      <c r="M180" t="s">
        <v>19</v>
      </c>
      <c r="N180">
        <v>9</v>
      </c>
      <c r="O180" t="s">
        <v>7051</v>
      </c>
      <c r="P180" t="s">
        <v>7050</v>
      </c>
      <c r="Q180" t="s">
        <v>7049</v>
      </c>
      <c r="R180" s="7">
        <v>36495</v>
      </c>
      <c r="S180" s="8">
        <f t="shared" si="16"/>
        <v>1999</v>
      </c>
      <c r="T180" s="8">
        <v>1999</v>
      </c>
      <c r="U180" s="8">
        <f t="shared" si="17"/>
        <v>23</v>
      </c>
      <c r="V180" s="7">
        <v>1999</v>
      </c>
      <c r="W180" t="s">
        <v>263</v>
      </c>
      <c r="X180" s="2">
        <v>0.46700000000000003</v>
      </c>
      <c r="Y180" s="6">
        <f t="shared" si="18"/>
        <v>1.2466298283548225E-2</v>
      </c>
      <c r="AA180">
        <v>10518223</v>
      </c>
      <c r="AB180">
        <v>26026</v>
      </c>
      <c r="AD180" t="s">
        <v>2</v>
      </c>
      <c r="AE180">
        <v>9</v>
      </c>
      <c r="AF180">
        <v>4</v>
      </c>
      <c r="AH180" t="s">
        <v>7048</v>
      </c>
      <c r="AI180" t="s">
        <v>7047</v>
      </c>
      <c r="AK180" t="s">
        <v>7046</v>
      </c>
      <c r="AL180">
        <v>9</v>
      </c>
      <c r="AM180" s="5">
        <f t="shared" si="19"/>
        <v>0.39130434782608697</v>
      </c>
      <c r="AN180" s="4">
        <f t="shared" si="20"/>
        <v>5.9266088273545923E-4</v>
      </c>
      <c r="AO180" s="3"/>
      <c r="AP180">
        <v>0</v>
      </c>
      <c r="AQ180" t="s">
        <v>7045</v>
      </c>
      <c r="AR180" t="s">
        <v>7044</v>
      </c>
      <c r="AS180" t="s">
        <v>7043</v>
      </c>
      <c r="AT180" s="2" t="s">
        <v>0</v>
      </c>
      <c r="AU180" s="1">
        <f t="shared" si="21"/>
        <v>0.89042070633043957</v>
      </c>
      <c r="AV180" s="1">
        <f t="shared" si="22"/>
        <v>0.65294795831418428</v>
      </c>
      <c r="AW180" s="1">
        <f t="shared" si="23"/>
        <v>0.41547521029792883</v>
      </c>
    </row>
    <row r="181" spans="1:49" x14ac:dyDescent="0.2">
      <c r="A181">
        <v>179</v>
      </c>
      <c r="B181" t="s">
        <v>7042</v>
      </c>
      <c r="C181" t="s">
        <v>7041</v>
      </c>
      <c r="F181" t="s">
        <v>7040</v>
      </c>
      <c r="G181" t="s">
        <v>6</v>
      </c>
      <c r="H181" t="s">
        <v>5</v>
      </c>
      <c r="I181" t="s">
        <v>7039</v>
      </c>
      <c r="N181">
        <v>2</v>
      </c>
      <c r="O181" t="s">
        <v>7038</v>
      </c>
      <c r="P181" t="s">
        <v>7037</v>
      </c>
      <c r="Q181" t="s">
        <v>85</v>
      </c>
      <c r="R181" s="7">
        <v>36495</v>
      </c>
      <c r="S181" s="8">
        <f t="shared" si="16"/>
        <v>1999</v>
      </c>
      <c r="T181" s="8">
        <v>1999</v>
      </c>
      <c r="U181" s="8">
        <f t="shared" si="17"/>
        <v>23</v>
      </c>
      <c r="V181" s="7">
        <v>36495</v>
      </c>
      <c r="W181" t="s">
        <v>782</v>
      </c>
      <c r="X181" s="2">
        <v>0.22600000000000001</v>
      </c>
      <c r="Y181" s="6">
        <f t="shared" si="18"/>
        <v>6.0329409252289053E-3</v>
      </c>
      <c r="AA181">
        <v>2786648</v>
      </c>
      <c r="AB181">
        <v>17299</v>
      </c>
      <c r="AD181" t="s">
        <v>2</v>
      </c>
      <c r="AE181">
        <v>18</v>
      </c>
      <c r="AF181">
        <v>5</v>
      </c>
      <c r="AH181" t="s">
        <v>161</v>
      </c>
      <c r="AI181" t="s">
        <v>7036</v>
      </c>
      <c r="AK181" t="s">
        <v>7035</v>
      </c>
      <c r="AL181">
        <v>1</v>
      </c>
      <c r="AM181" s="5">
        <f t="shared" si="19"/>
        <v>4.3478260869565216E-2</v>
      </c>
      <c r="AN181" s="4">
        <f t="shared" si="20"/>
        <v>6.5851209192828807E-5</v>
      </c>
      <c r="AO181" s="3"/>
      <c r="AP181">
        <v>0</v>
      </c>
      <c r="AQ181" t="s">
        <v>160</v>
      </c>
      <c r="AR181" t="s">
        <v>1</v>
      </c>
      <c r="AS181" t="s">
        <v>159</v>
      </c>
      <c r="AT181" s="2" t="s">
        <v>0</v>
      </c>
      <c r="AU181" s="1">
        <f t="shared" si="21"/>
        <v>0.42428140104180823</v>
      </c>
      <c r="AV181" s="1">
        <f t="shared" si="22"/>
        <v>0.30493960672108666</v>
      </c>
      <c r="AW181" s="1">
        <f t="shared" si="23"/>
        <v>0.18559781240036516</v>
      </c>
    </row>
    <row r="182" spans="1:49" x14ac:dyDescent="0.2">
      <c r="A182">
        <v>180</v>
      </c>
      <c r="B182" t="s">
        <v>7034</v>
      </c>
      <c r="C182" t="s">
        <v>7033</v>
      </c>
      <c r="F182" t="s">
        <v>7032</v>
      </c>
      <c r="G182" t="s">
        <v>6</v>
      </c>
      <c r="H182" t="s">
        <v>5</v>
      </c>
      <c r="I182" t="s">
        <v>7031</v>
      </c>
      <c r="J182">
        <v>60001563</v>
      </c>
      <c r="K182" t="s">
        <v>7030</v>
      </c>
      <c r="L182" t="s">
        <v>7029</v>
      </c>
      <c r="M182" t="s">
        <v>3328</v>
      </c>
      <c r="N182">
        <v>1</v>
      </c>
      <c r="O182" t="s">
        <v>7028</v>
      </c>
      <c r="P182">
        <v>6701663373</v>
      </c>
      <c r="Q182">
        <v>60001563</v>
      </c>
      <c r="R182" s="7">
        <v>36495</v>
      </c>
      <c r="S182" s="8">
        <f t="shared" si="16"/>
        <v>1999</v>
      </c>
      <c r="T182" s="8">
        <v>1999</v>
      </c>
      <c r="U182" s="8">
        <f t="shared" si="17"/>
        <v>23</v>
      </c>
      <c r="V182" s="7">
        <v>1999</v>
      </c>
      <c r="W182" t="s">
        <v>403</v>
      </c>
      <c r="X182" s="2">
        <v>1.137</v>
      </c>
      <c r="Y182" s="6">
        <f t="shared" si="18"/>
        <v>3.0351565628253384E-2</v>
      </c>
      <c r="AA182">
        <v>189251</v>
      </c>
      <c r="AB182">
        <v>17336</v>
      </c>
      <c r="AD182" t="s">
        <v>2</v>
      </c>
      <c r="AE182">
        <v>35</v>
      </c>
      <c r="AF182">
        <v>4</v>
      </c>
      <c r="AH182" t="s">
        <v>7027</v>
      </c>
      <c r="AI182" t="s">
        <v>7026</v>
      </c>
      <c r="AK182" t="s">
        <v>7025</v>
      </c>
      <c r="AL182">
        <v>10</v>
      </c>
      <c r="AM182" s="5">
        <f t="shared" si="19"/>
        <v>0.43478260869565216</v>
      </c>
      <c r="AN182" s="4">
        <f t="shared" si="20"/>
        <v>6.5851209192828799E-4</v>
      </c>
      <c r="AO182" s="3"/>
      <c r="AP182">
        <v>0</v>
      </c>
      <c r="AR182" t="s">
        <v>1</v>
      </c>
      <c r="AT182" s="2" t="s">
        <v>0</v>
      </c>
      <c r="AU182" s="1">
        <f t="shared" si="21"/>
        <v>2.1443649567355854</v>
      </c>
      <c r="AV182" s="1">
        <f t="shared" si="22"/>
        <v>1.5505038860090836</v>
      </c>
      <c r="AW182" s="1">
        <f t="shared" si="23"/>
        <v>0.95664281528258166</v>
      </c>
    </row>
    <row r="183" spans="1:49" x14ac:dyDescent="0.2">
      <c r="A183">
        <v>181</v>
      </c>
      <c r="B183" t="s">
        <v>7024</v>
      </c>
      <c r="C183" t="s">
        <v>7023</v>
      </c>
      <c r="F183" t="s">
        <v>7022</v>
      </c>
      <c r="G183" t="s">
        <v>6</v>
      </c>
      <c r="H183" t="s">
        <v>5</v>
      </c>
      <c r="I183" t="s">
        <v>7021</v>
      </c>
      <c r="J183">
        <v>60020650</v>
      </c>
      <c r="K183" t="s">
        <v>60</v>
      </c>
      <c r="L183" t="s">
        <v>59</v>
      </c>
      <c r="M183" t="s">
        <v>58</v>
      </c>
      <c r="N183">
        <v>1</v>
      </c>
      <c r="O183" t="s">
        <v>354</v>
      </c>
      <c r="P183">
        <v>7004302468</v>
      </c>
      <c r="Q183">
        <v>60020650</v>
      </c>
      <c r="R183" s="7">
        <v>36495</v>
      </c>
      <c r="S183" s="8">
        <f t="shared" si="16"/>
        <v>1999</v>
      </c>
      <c r="T183" s="8">
        <v>1999</v>
      </c>
      <c r="U183" s="8">
        <f t="shared" si="17"/>
        <v>23</v>
      </c>
      <c r="V183" s="7">
        <v>1999</v>
      </c>
      <c r="W183" s="12" t="s">
        <v>7020</v>
      </c>
      <c r="X183" s="2">
        <v>2.383</v>
      </c>
      <c r="Y183" s="6">
        <f t="shared" si="18"/>
        <v>6.3612824003630442E-2</v>
      </c>
      <c r="AA183">
        <v>13502425</v>
      </c>
      <c r="AB183">
        <v>17413</v>
      </c>
      <c r="AD183" t="s">
        <v>2</v>
      </c>
      <c r="AE183">
        <v>146</v>
      </c>
      <c r="AF183">
        <v>5</v>
      </c>
      <c r="AH183" t="s">
        <v>7019</v>
      </c>
      <c r="AI183" t="s">
        <v>7018</v>
      </c>
      <c r="AK183" t="s">
        <v>7017</v>
      </c>
      <c r="AL183">
        <v>9</v>
      </c>
      <c r="AM183" s="5">
        <f t="shared" si="19"/>
        <v>0.39130434782608697</v>
      </c>
      <c r="AN183" s="4">
        <f t="shared" si="20"/>
        <v>5.9266088273545923E-4</v>
      </c>
      <c r="AO183" s="3"/>
      <c r="AP183">
        <v>0</v>
      </c>
      <c r="AR183" t="s">
        <v>1</v>
      </c>
      <c r="AT183" s="2" t="s">
        <v>0</v>
      </c>
      <c r="AU183" s="1">
        <f t="shared" si="21"/>
        <v>4.4706775067361946</v>
      </c>
      <c r="AV183" s="1">
        <f t="shared" si="22"/>
        <v>3.2102742443182954</v>
      </c>
      <c r="AW183" s="1">
        <f t="shared" si="23"/>
        <v>1.9498709819003954</v>
      </c>
    </row>
    <row r="184" spans="1:49" x14ac:dyDescent="0.2">
      <c r="A184">
        <v>182</v>
      </c>
      <c r="B184" t="s">
        <v>7016</v>
      </c>
      <c r="C184" t="s">
        <v>7015</v>
      </c>
      <c r="F184" t="s">
        <v>7014</v>
      </c>
      <c r="G184" t="s">
        <v>6</v>
      </c>
      <c r="H184" t="s">
        <v>5</v>
      </c>
      <c r="I184" t="s">
        <v>7013</v>
      </c>
      <c r="J184">
        <v>60004176</v>
      </c>
      <c r="K184" t="s">
        <v>106</v>
      </c>
      <c r="L184" t="s">
        <v>105</v>
      </c>
      <c r="M184" t="s">
        <v>7</v>
      </c>
      <c r="N184">
        <v>3</v>
      </c>
      <c r="O184" t="s">
        <v>7012</v>
      </c>
      <c r="P184" t="s">
        <v>7011</v>
      </c>
      <c r="Q184" t="s">
        <v>515</v>
      </c>
      <c r="R184" s="7">
        <v>36495</v>
      </c>
      <c r="S184" s="8">
        <f t="shared" si="16"/>
        <v>1999</v>
      </c>
      <c r="T184" s="8">
        <v>1999</v>
      </c>
      <c r="U184" s="8">
        <f t="shared" si="17"/>
        <v>23</v>
      </c>
      <c r="V184" s="7">
        <v>36495</v>
      </c>
      <c r="W184" t="s">
        <v>37</v>
      </c>
      <c r="X184" s="2">
        <v>0.48699999999999999</v>
      </c>
      <c r="Y184" s="6">
        <f t="shared" si="18"/>
        <v>1.3000186861002109E-2</v>
      </c>
      <c r="AA184">
        <v>214922</v>
      </c>
      <c r="AB184">
        <v>130262</v>
      </c>
      <c r="AD184" t="s">
        <v>2</v>
      </c>
      <c r="AE184">
        <v>38</v>
      </c>
      <c r="AF184" s="9">
        <v>0</v>
      </c>
      <c r="AH184" t="s">
        <v>7010</v>
      </c>
      <c r="AI184" t="s">
        <v>7009</v>
      </c>
      <c r="AJ184" t="s">
        <v>7008</v>
      </c>
      <c r="AK184" t="s">
        <v>7007</v>
      </c>
      <c r="AL184">
        <v>0</v>
      </c>
      <c r="AM184" s="5">
        <f t="shared" si="19"/>
        <v>0</v>
      </c>
      <c r="AN184" s="4">
        <f t="shared" si="20"/>
        <v>0</v>
      </c>
      <c r="AO184" s="3"/>
      <c r="AP184">
        <v>0</v>
      </c>
      <c r="AR184" t="s">
        <v>1</v>
      </c>
      <c r="AT184" s="2" t="s">
        <v>0</v>
      </c>
      <c r="AU184" s="1">
        <f t="shared" si="21"/>
        <v>0.9100130802701476</v>
      </c>
      <c r="AV184" s="1">
        <f t="shared" si="22"/>
        <v>0.65000934305010538</v>
      </c>
      <c r="AW184" s="1">
        <f t="shared" si="23"/>
        <v>0.39000560583006322</v>
      </c>
    </row>
    <row r="185" spans="1:49" x14ac:dyDescent="0.2">
      <c r="A185">
        <v>183</v>
      </c>
      <c r="B185" t="s">
        <v>7006</v>
      </c>
      <c r="C185" t="s">
        <v>7005</v>
      </c>
      <c r="D185" t="s">
        <v>7004</v>
      </c>
      <c r="F185" t="s">
        <v>7003</v>
      </c>
      <c r="G185" t="s">
        <v>6</v>
      </c>
      <c r="H185" t="s">
        <v>5</v>
      </c>
      <c r="I185" t="s">
        <v>43</v>
      </c>
      <c r="J185" t="s">
        <v>7002</v>
      </c>
      <c r="K185" t="s">
        <v>7001</v>
      </c>
      <c r="L185" t="s">
        <v>7000</v>
      </c>
      <c r="M185" t="s">
        <v>346</v>
      </c>
      <c r="N185">
        <v>3</v>
      </c>
      <c r="O185" t="s">
        <v>6999</v>
      </c>
      <c r="P185" t="s">
        <v>6998</v>
      </c>
      <c r="Q185" t="s">
        <v>6997</v>
      </c>
      <c r="R185" s="7">
        <v>36495</v>
      </c>
      <c r="S185" s="8">
        <f t="shared" si="16"/>
        <v>1999</v>
      </c>
      <c r="T185" s="8">
        <v>1999</v>
      </c>
      <c r="U185" s="8">
        <f t="shared" si="17"/>
        <v>23</v>
      </c>
      <c r="V185" s="7">
        <v>1999</v>
      </c>
      <c r="W185" t="s">
        <v>124</v>
      </c>
      <c r="X185" s="2">
        <v>1.6519999999999999</v>
      </c>
      <c r="Y185" s="6">
        <f t="shared" si="18"/>
        <v>4.409919649769093E-2</v>
      </c>
      <c r="AA185" t="s">
        <v>123</v>
      </c>
      <c r="AB185">
        <v>17337</v>
      </c>
      <c r="AD185" t="s">
        <v>2</v>
      </c>
      <c r="AE185">
        <v>47</v>
      </c>
      <c r="AF185">
        <v>9</v>
      </c>
      <c r="AH185" t="s">
        <v>6996</v>
      </c>
      <c r="AI185" t="s">
        <v>6995</v>
      </c>
      <c r="AJ185" t="s">
        <v>6994</v>
      </c>
      <c r="AK185" t="s">
        <v>6993</v>
      </c>
      <c r="AL185">
        <v>54</v>
      </c>
      <c r="AM185" s="5">
        <f t="shared" si="19"/>
        <v>2.347826086956522</v>
      </c>
      <c r="AN185" s="4">
        <f t="shared" si="20"/>
        <v>3.5559652964127558E-3</v>
      </c>
      <c r="AO185" s="3"/>
      <c r="AP185">
        <v>0</v>
      </c>
      <c r="AR185" t="s">
        <v>1</v>
      </c>
      <c r="AT185" s="2" t="s">
        <v>0</v>
      </c>
      <c r="AU185" s="1">
        <f t="shared" si="21"/>
        <v>3.1936227137307474</v>
      </c>
      <c r="AV185" s="1">
        <f t="shared" si="22"/>
        <v>2.3827580897051845</v>
      </c>
      <c r="AW185" s="1">
        <f t="shared" si="23"/>
        <v>1.5718934656796208</v>
      </c>
    </row>
    <row r="186" spans="1:49" x14ac:dyDescent="0.2">
      <c r="A186">
        <v>184</v>
      </c>
      <c r="B186" t="s">
        <v>6992</v>
      </c>
      <c r="C186" t="s">
        <v>6991</v>
      </c>
      <c r="F186" t="s">
        <v>6990</v>
      </c>
      <c r="G186" t="s">
        <v>6</v>
      </c>
      <c r="H186" t="s">
        <v>5</v>
      </c>
      <c r="I186" t="s">
        <v>6989</v>
      </c>
      <c r="J186">
        <v>60027550</v>
      </c>
      <c r="K186" t="s">
        <v>22</v>
      </c>
      <c r="L186" t="s">
        <v>21</v>
      </c>
      <c r="M186" t="s">
        <v>3</v>
      </c>
      <c r="N186">
        <v>1</v>
      </c>
      <c r="O186" t="s">
        <v>6988</v>
      </c>
      <c r="P186">
        <v>6507818858</v>
      </c>
      <c r="Q186">
        <v>60027550</v>
      </c>
      <c r="R186" s="7">
        <v>36495</v>
      </c>
      <c r="S186" s="8">
        <f t="shared" si="16"/>
        <v>1999</v>
      </c>
      <c r="T186" s="8">
        <v>1999</v>
      </c>
      <c r="U186" s="8">
        <f t="shared" si="17"/>
        <v>23</v>
      </c>
      <c r="V186" s="7">
        <v>1999</v>
      </c>
      <c r="W186" t="s">
        <v>124</v>
      </c>
      <c r="X186" s="2">
        <v>1.6519999999999999</v>
      </c>
      <c r="Y186" s="6">
        <f t="shared" si="18"/>
        <v>4.409919649769093E-2</v>
      </c>
      <c r="AA186" t="s">
        <v>123</v>
      </c>
      <c r="AB186">
        <v>17337</v>
      </c>
      <c r="AD186" t="s">
        <v>2</v>
      </c>
      <c r="AE186">
        <v>47</v>
      </c>
      <c r="AF186">
        <v>10</v>
      </c>
      <c r="AH186" t="s">
        <v>6987</v>
      </c>
      <c r="AI186" t="s">
        <v>6986</v>
      </c>
      <c r="AK186" t="s">
        <v>6985</v>
      </c>
      <c r="AL186">
        <v>162</v>
      </c>
      <c r="AM186" s="5">
        <f t="shared" si="19"/>
        <v>7.0434782608695654</v>
      </c>
      <c r="AN186" s="4">
        <f t="shared" si="20"/>
        <v>1.0667895889238267E-2</v>
      </c>
      <c r="AO186" s="3"/>
      <c r="AP186">
        <v>0</v>
      </c>
      <c r="AQ186" t="s">
        <v>297</v>
      </c>
      <c r="AR186" t="s">
        <v>6984</v>
      </c>
      <c r="AS186" t="s">
        <v>295</v>
      </c>
      <c r="AT186" s="2" t="s">
        <v>0</v>
      </c>
      <c r="AU186" s="1">
        <f t="shared" si="21"/>
        <v>3.4069806315155131</v>
      </c>
      <c r="AV186" s="1">
        <f t="shared" si="22"/>
        <v>2.7383546193464601</v>
      </c>
      <c r="AW186" s="1">
        <f t="shared" si="23"/>
        <v>2.0697286071774066</v>
      </c>
    </row>
    <row r="187" spans="1:49" x14ac:dyDescent="0.2">
      <c r="A187">
        <v>185</v>
      </c>
      <c r="B187" t="s">
        <v>6983</v>
      </c>
      <c r="C187" t="s">
        <v>6982</v>
      </c>
      <c r="F187" t="s">
        <v>6981</v>
      </c>
      <c r="G187" t="s">
        <v>6</v>
      </c>
      <c r="H187" t="s">
        <v>5</v>
      </c>
      <c r="I187" t="s">
        <v>739</v>
      </c>
      <c r="J187">
        <v>60074719</v>
      </c>
      <c r="K187" t="s">
        <v>738</v>
      </c>
      <c r="L187" t="s">
        <v>737</v>
      </c>
      <c r="M187" t="s">
        <v>3</v>
      </c>
      <c r="N187">
        <v>2</v>
      </c>
      <c r="O187" t="s">
        <v>6980</v>
      </c>
      <c r="P187" t="s">
        <v>6979</v>
      </c>
      <c r="Q187" t="s">
        <v>736</v>
      </c>
      <c r="R187" s="7">
        <v>36495</v>
      </c>
      <c r="S187" s="8">
        <f t="shared" si="16"/>
        <v>1999</v>
      </c>
      <c r="T187" s="8">
        <v>1999</v>
      </c>
      <c r="U187" s="8">
        <f t="shared" si="17"/>
        <v>23</v>
      </c>
      <c r="V187" s="7">
        <v>1999</v>
      </c>
      <c r="W187" t="s">
        <v>534</v>
      </c>
      <c r="X187" s="2">
        <v>0.78200000000000003</v>
      </c>
      <c r="Y187" s="6">
        <f t="shared" si="18"/>
        <v>2.0875043378446919E-2</v>
      </c>
      <c r="AA187">
        <v>189316</v>
      </c>
      <c r="AB187">
        <v>19901</v>
      </c>
      <c r="AD187" t="s">
        <v>2</v>
      </c>
      <c r="AE187">
        <v>45</v>
      </c>
      <c r="AF187">
        <v>4</v>
      </c>
      <c r="AH187" t="s">
        <v>6978</v>
      </c>
      <c r="AI187" t="s">
        <v>6977</v>
      </c>
      <c r="AK187" t="s">
        <v>6976</v>
      </c>
      <c r="AL187">
        <v>8</v>
      </c>
      <c r="AM187" s="5">
        <f t="shared" si="19"/>
        <v>0.34782608695652173</v>
      </c>
      <c r="AN187" s="4">
        <f t="shared" si="20"/>
        <v>5.2680967354263046E-4</v>
      </c>
      <c r="AO187" s="3"/>
      <c r="AP187">
        <v>0</v>
      </c>
      <c r="AR187" t="s">
        <v>1</v>
      </c>
      <c r="AT187" s="2">
        <v>3.863</v>
      </c>
      <c r="AU187" s="1">
        <f t="shared" si="21"/>
        <v>1.4770573266975631</v>
      </c>
      <c r="AV187" s="1">
        <f t="shared" si="22"/>
        <v>1.0700926525994774</v>
      </c>
      <c r="AW187" s="1">
        <f t="shared" si="23"/>
        <v>0.66312797850139171</v>
      </c>
    </row>
    <row r="188" spans="1:49" x14ac:dyDescent="0.2">
      <c r="A188">
        <v>186</v>
      </c>
      <c r="B188" t="s">
        <v>6975</v>
      </c>
      <c r="F188" t="s">
        <v>6974</v>
      </c>
      <c r="G188" t="s">
        <v>6</v>
      </c>
      <c r="H188" t="s">
        <v>5</v>
      </c>
      <c r="I188" t="s">
        <v>6973</v>
      </c>
      <c r="J188">
        <v>60021859</v>
      </c>
      <c r="K188" t="s">
        <v>256</v>
      </c>
      <c r="L188" t="s">
        <v>255</v>
      </c>
      <c r="M188" t="s">
        <v>13</v>
      </c>
      <c r="N188">
        <v>2</v>
      </c>
      <c r="O188" t="s">
        <v>6972</v>
      </c>
      <c r="P188" t="s">
        <v>6971</v>
      </c>
      <c r="Q188" t="s">
        <v>6970</v>
      </c>
      <c r="R188" s="7">
        <v>36495</v>
      </c>
      <c r="S188" s="8">
        <f t="shared" si="16"/>
        <v>1999</v>
      </c>
      <c r="T188" s="8">
        <v>1999</v>
      </c>
      <c r="U188" s="8">
        <f t="shared" si="17"/>
        <v>23</v>
      </c>
      <c r="V188" s="7">
        <v>1999</v>
      </c>
      <c r="W188" t="s">
        <v>6391</v>
      </c>
      <c r="X188" s="2">
        <v>0.11</v>
      </c>
      <c r="Y188" s="6">
        <f t="shared" si="18"/>
        <v>2.9363871759963698E-3</v>
      </c>
      <c r="AA188">
        <v>11201908</v>
      </c>
      <c r="AB188">
        <v>24118</v>
      </c>
      <c r="AD188" t="s">
        <v>2</v>
      </c>
      <c r="AE188">
        <v>11</v>
      </c>
      <c r="AF188">
        <v>4</v>
      </c>
      <c r="AH188" t="s">
        <v>6969</v>
      </c>
      <c r="AI188" t="s">
        <v>6968</v>
      </c>
      <c r="AK188" t="s">
        <v>6967</v>
      </c>
      <c r="AL188">
        <v>0</v>
      </c>
      <c r="AM188" s="5">
        <f t="shared" si="19"/>
        <v>0</v>
      </c>
      <c r="AN188" s="4">
        <f t="shared" si="20"/>
        <v>0</v>
      </c>
      <c r="AO188" s="3"/>
      <c r="AP188">
        <v>0</v>
      </c>
      <c r="AR188" t="s">
        <v>1</v>
      </c>
      <c r="AT188" s="2" t="s">
        <v>0</v>
      </c>
      <c r="AU188" s="1">
        <f t="shared" si="21"/>
        <v>0.20554710231974588</v>
      </c>
      <c r="AV188" s="1">
        <f t="shared" si="22"/>
        <v>0.1468193587998185</v>
      </c>
      <c r="AW188" s="1">
        <f t="shared" si="23"/>
        <v>8.8091615279891095E-2</v>
      </c>
    </row>
    <row r="189" spans="1:49" x14ac:dyDescent="0.2">
      <c r="A189">
        <v>187</v>
      </c>
      <c r="B189" t="s">
        <v>6966</v>
      </c>
      <c r="C189" t="s">
        <v>6965</v>
      </c>
      <c r="F189" t="s">
        <v>6964</v>
      </c>
      <c r="G189" t="s">
        <v>6</v>
      </c>
      <c r="H189" t="s">
        <v>5</v>
      </c>
      <c r="I189" t="s">
        <v>6963</v>
      </c>
      <c r="J189" t="s">
        <v>6962</v>
      </c>
      <c r="K189" t="s">
        <v>6961</v>
      </c>
      <c r="L189" t="s">
        <v>6960</v>
      </c>
      <c r="M189" t="s">
        <v>6959</v>
      </c>
      <c r="N189">
        <v>4</v>
      </c>
      <c r="O189" t="s">
        <v>6958</v>
      </c>
      <c r="P189" t="s">
        <v>6957</v>
      </c>
      <c r="Q189" t="s">
        <v>6956</v>
      </c>
      <c r="R189" s="7">
        <v>36495</v>
      </c>
      <c r="S189" s="8">
        <f t="shared" si="16"/>
        <v>1999</v>
      </c>
      <c r="T189" s="8">
        <v>1999</v>
      </c>
      <c r="U189" s="8">
        <f t="shared" si="17"/>
        <v>23</v>
      </c>
      <c r="V189" s="7">
        <v>1999</v>
      </c>
      <c r="W189" t="s">
        <v>124</v>
      </c>
      <c r="X189" s="2">
        <v>1.6519999999999999</v>
      </c>
      <c r="Y189" s="6">
        <f t="shared" si="18"/>
        <v>4.409919649769093E-2</v>
      </c>
      <c r="AA189" t="s">
        <v>123</v>
      </c>
      <c r="AB189">
        <v>17337</v>
      </c>
      <c r="AD189" t="s">
        <v>2</v>
      </c>
      <c r="AE189">
        <v>47</v>
      </c>
      <c r="AF189">
        <v>9</v>
      </c>
      <c r="AH189" t="s">
        <v>6955</v>
      </c>
      <c r="AI189" t="s">
        <v>6954</v>
      </c>
      <c r="AK189" t="s">
        <v>6953</v>
      </c>
      <c r="AL189">
        <v>22</v>
      </c>
      <c r="AM189" s="5">
        <f t="shared" si="19"/>
        <v>0.95652173913043481</v>
      </c>
      <c r="AN189" s="4">
        <f t="shared" si="20"/>
        <v>1.4487266022422337E-3</v>
      </c>
      <c r="AO189" s="3"/>
      <c r="AP189">
        <v>0</v>
      </c>
      <c r="AQ189" t="s">
        <v>432</v>
      </c>
      <c r="AR189" t="s">
        <v>6952</v>
      </c>
      <c r="AS189" t="s">
        <v>431</v>
      </c>
      <c r="AT189" s="2" t="s">
        <v>0</v>
      </c>
      <c r="AU189" s="1">
        <f t="shared" si="21"/>
        <v>3.1304055529056325</v>
      </c>
      <c r="AV189" s="1">
        <f t="shared" si="22"/>
        <v>2.2773961549966582</v>
      </c>
      <c r="AW189" s="1">
        <f t="shared" si="23"/>
        <v>1.424386757087684</v>
      </c>
    </row>
    <row r="190" spans="1:49" x14ac:dyDescent="0.2">
      <c r="A190">
        <v>188</v>
      </c>
      <c r="B190" t="s">
        <v>6951</v>
      </c>
      <c r="C190" t="s">
        <v>6950</v>
      </c>
      <c r="F190" t="s">
        <v>6949</v>
      </c>
      <c r="G190" t="s">
        <v>6</v>
      </c>
      <c r="H190" t="s">
        <v>5</v>
      </c>
      <c r="I190" t="s">
        <v>6948</v>
      </c>
      <c r="J190">
        <v>60002162</v>
      </c>
      <c r="K190" t="s">
        <v>6947</v>
      </c>
      <c r="L190" t="s">
        <v>6946</v>
      </c>
      <c r="M190" t="s">
        <v>3</v>
      </c>
      <c r="N190">
        <v>1</v>
      </c>
      <c r="O190" t="s">
        <v>6945</v>
      </c>
      <c r="P190">
        <v>6508140147</v>
      </c>
      <c r="Q190">
        <v>60002162</v>
      </c>
      <c r="R190" s="7">
        <v>36495</v>
      </c>
      <c r="S190" s="8">
        <f t="shared" si="16"/>
        <v>1999</v>
      </c>
      <c r="T190" s="8">
        <v>1999</v>
      </c>
      <c r="U190" s="8">
        <f t="shared" si="17"/>
        <v>23</v>
      </c>
      <c r="V190" s="7">
        <v>1999</v>
      </c>
      <c r="W190" t="s">
        <v>403</v>
      </c>
      <c r="X190" s="2">
        <v>1.137</v>
      </c>
      <c r="Y190" s="6">
        <f t="shared" si="18"/>
        <v>3.0351565628253384E-2</v>
      </c>
      <c r="AA190">
        <v>189251</v>
      </c>
      <c r="AB190">
        <v>17336</v>
      </c>
      <c r="AD190" t="s">
        <v>2</v>
      </c>
      <c r="AE190">
        <v>35</v>
      </c>
      <c r="AF190">
        <v>4</v>
      </c>
      <c r="AH190" t="s">
        <v>6944</v>
      </c>
      <c r="AI190" t="s">
        <v>6943</v>
      </c>
      <c r="AK190" t="s">
        <v>6942</v>
      </c>
      <c r="AL190">
        <v>10</v>
      </c>
      <c r="AM190" s="5">
        <f t="shared" si="19"/>
        <v>0.43478260869565216</v>
      </c>
      <c r="AN190" s="4">
        <f t="shared" si="20"/>
        <v>6.5851209192828799E-4</v>
      </c>
      <c r="AO190" s="3"/>
      <c r="AP190">
        <v>0</v>
      </c>
      <c r="AQ190" t="s">
        <v>171</v>
      </c>
      <c r="AR190" t="s">
        <v>6941</v>
      </c>
      <c r="AS190" t="s">
        <v>170</v>
      </c>
      <c r="AT190" s="2" t="s">
        <v>0</v>
      </c>
      <c r="AU190" s="1">
        <f t="shared" si="21"/>
        <v>2.1443649567355854</v>
      </c>
      <c r="AV190" s="1">
        <f t="shared" si="22"/>
        <v>1.5505038860090836</v>
      </c>
      <c r="AW190" s="1">
        <f t="shared" si="23"/>
        <v>0.95664281528258166</v>
      </c>
    </row>
    <row r="191" spans="1:49" x14ac:dyDescent="0.2">
      <c r="A191">
        <v>189</v>
      </c>
      <c r="B191" t="s">
        <v>6940</v>
      </c>
      <c r="C191" t="s">
        <v>6939</v>
      </c>
      <c r="D191" t="s">
        <v>6938</v>
      </c>
      <c r="F191" t="s">
        <v>6937</v>
      </c>
      <c r="G191" t="s">
        <v>6</v>
      </c>
      <c r="H191" t="s">
        <v>5</v>
      </c>
      <c r="I191" t="s">
        <v>6936</v>
      </c>
      <c r="J191">
        <v>60002096</v>
      </c>
      <c r="K191" t="s">
        <v>6935</v>
      </c>
      <c r="L191" t="s">
        <v>6934</v>
      </c>
      <c r="M191" t="s">
        <v>82</v>
      </c>
      <c r="N191">
        <v>1</v>
      </c>
      <c r="O191" t="s">
        <v>6933</v>
      </c>
      <c r="P191">
        <v>7202468796</v>
      </c>
      <c r="Q191">
        <v>60002096</v>
      </c>
      <c r="R191" s="7">
        <v>36495</v>
      </c>
      <c r="S191" s="8">
        <f t="shared" si="16"/>
        <v>1999</v>
      </c>
      <c r="T191" s="8">
        <v>1999</v>
      </c>
      <c r="U191" s="8">
        <f t="shared" si="17"/>
        <v>23</v>
      </c>
      <c r="V191" s="7">
        <v>36495</v>
      </c>
      <c r="W191" t="s">
        <v>6932</v>
      </c>
      <c r="X191" s="2">
        <v>0.84499999999999997</v>
      </c>
      <c r="Y191" s="6">
        <f t="shared" si="18"/>
        <v>2.2556792397426657E-2</v>
      </c>
      <c r="AA191">
        <v>3787796</v>
      </c>
      <c r="AB191">
        <v>16044</v>
      </c>
      <c r="AD191" t="s">
        <v>2</v>
      </c>
      <c r="AE191">
        <v>52</v>
      </c>
      <c r="AF191">
        <v>3</v>
      </c>
      <c r="AH191" t="s">
        <v>6931</v>
      </c>
      <c r="AI191" t="s">
        <v>6930</v>
      </c>
      <c r="AK191" t="s">
        <v>6929</v>
      </c>
      <c r="AL191">
        <v>0</v>
      </c>
      <c r="AM191" s="5">
        <f t="shared" si="19"/>
        <v>0</v>
      </c>
      <c r="AN191" s="4">
        <f t="shared" si="20"/>
        <v>0</v>
      </c>
      <c r="AO191" s="3"/>
      <c r="AP191">
        <v>0</v>
      </c>
      <c r="AR191" t="s">
        <v>1</v>
      </c>
      <c r="AT191" s="2">
        <v>3.4140000000000001</v>
      </c>
      <c r="AU191" s="1">
        <f t="shared" si="21"/>
        <v>1.578975467819866</v>
      </c>
      <c r="AV191" s="1">
        <f t="shared" si="22"/>
        <v>1.1278396198713327</v>
      </c>
      <c r="AW191" s="1">
        <f t="shared" si="23"/>
        <v>0.67670377192279962</v>
      </c>
    </row>
    <row r="192" spans="1:49" x14ac:dyDescent="0.2">
      <c r="A192">
        <v>190</v>
      </c>
      <c r="B192" t="s">
        <v>6928</v>
      </c>
      <c r="C192" t="s">
        <v>6927</v>
      </c>
      <c r="F192" t="s">
        <v>6926</v>
      </c>
      <c r="G192" t="s">
        <v>6</v>
      </c>
      <c r="H192" t="s">
        <v>5</v>
      </c>
      <c r="I192" t="s">
        <v>6925</v>
      </c>
      <c r="J192">
        <v>60015901</v>
      </c>
      <c r="K192" t="s">
        <v>357</v>
      </c>
      <c r="L192" t="s">
        <v>353</v>
      </c>
      <c r="M192" t="s">
        <v>352</v>
      </c>
      <c r="N192">
        <v>2</v>
      </c>
      <c r="O192" t="s">
        <v>6924</v>
      </c>
      <c r="P192" t="s">
        <v>6923</v>
      </c>
      <c r="Q192" t="s">
        <v>6922</v>
      </c>
      <c r="R192" s="7">
        <v>36495</v>
      </c>
      <c r="S192" s="8">
        <f t="shared" si="16"/>
        <v>1999</v>
      </c>
      <c r="T192" s="8">
        <v>1999</v>
      </c>
      <c r="U192" s="8">
        <f t="shared" si="17"/>
        <v>23</v>
      </c>
      <c r="V192" s="7">
        <v>1999</v>
      </c>
      <c r="W192" t="s">
        <v>89</v>
      </c>
      <c r="X192" s="2">
        <v>1.365</v>
      </c>
      <c r="Y192" s="6">
        <f t="shared" si="18"/>
        <v>3.6437895411227675E-2</v>
      </c>
      <c r="AA192">
        <v>189545</v>
      </c>
      <c r="AB192">
        <v>17393</v>
      </c>
      <c r="AD192" t="s">
        <v>2</v>
      </c>
      <c r="AE192">
        <v>48</v>
      </c>
      <c r="AF192">
        <v>5</v>
      </c>
      <c r="AH192" t="s">
        <v>6921</v>
      </c>
      <c r="AI192" t="s">
        <v>6920</v>
      </c>
      <c r="AK192" t="s">
        <v>6919</v>
      </c>
      <c r="AL192">
        <v>26</v>
      </c>
      <c r="AM192" s="5">
        <f t="shared" si="19"/>
        <v>1.1304347826086956</v>
      </c>
      <c r="AN192" s="4">
        <f t="shared" si="20"/>
        <v>1.7121314390135488E-3</v>
      </c>
      <c r="AO192" s="3"/>
      <c r="AP192">
        <v>0</v>
      </c>
      <c r="AR192" t="s">
        <v>1</v>
      </c>
      <c r="AT192" s="2" t="s">
        <v>0</v>
      </c>
      <c r="AU192" s="1">
        <f t="shared" si="21"/>
        <v>2.6020166219563432</v>
      </c>
      <c r="AV192" s="1">
        <f t="shared" si="22"/>
        <v>1.907501342512061</v>
      </c>
      <c r="AW192" s="1">
        <f t="shared" si="23"/>
        <v>1.2129860630677785</v>
      </c>
    </row>
    <row r="193" spans="1:49" x14ac:dyDescent="0.2">
      <c r="A193">
        <v>191</v>
      </c>
      <c r="B193" t="s">
        <v>6918</v>
      </c>
      <c r="C193" t="s">
        <v>6917</v>
      </c>
      <c r="F193" t="s">
        <v>6916</v>
      </c>
      <c r="G193" t="s">
        <v>6</v>
      </c>
      <c r="H193" t="s">
        <v>5</v>
      </c>
      <c r="I193" t="s">
        <v>6915</v>
      </c>
      <c r="J193">
        <v>100354998</v>
      </c>
      <c r="K193" t="s">
        <v>6914</v>
      </c>
      <c r="L193" t="s">
        <v>6913</v>
      </c>
      <c r="M193" t="s">
        <v>3</v>
      </c>
      <c r="N193">
        <v>1</v>
      </c>
      <c r="O193" t="s">
        <v>6912</v>
      </c>
      <c r="P193">
        <v>7203076017</v>
      </c>
      <c r="Q193">
        <v>100354998</v>
      </c>
      <c r="R193" s="7">
        <v>36495</v>
      </c>
      <c r="S193" s="8">
        <f t="shared" si="16"/>
        <v>1999</v>
      </c>
      <c r="T193" s="8">
        <v>1999</v>
      </c>
      <c r="U193" s="8">
        <f t="shared" si="17"/>
        <v>23</v>
      </c>
      <c r="V193" s="7">
        <v>1999</v>
      </c>
      <c r="W193" t="s">
        <v>167</v>
      </c>
      <c r="X193" s="2">
        <v>1.468</v>
      </c>
      <c r="Y193" s="6">
        <f t="shared" si="18"/>
        <v>3.9187421585115186E-2</v>
      </c>
      <c r="AA193">
        <v>906778</v>
      </c>
      <c r="AB193">
        <v>18931</v>
      </c>
      <c r="AD193" t="s">
        <v>2</v>
      </c>
      <c r="AE193">
        <v>47</v>
      </c>
      <c r="AF193">
        <v>10</v>
      </c>
      <c r="AH193" t="s">
        <v>6911</v>
      </c>
      <c r="AI193" t="s">
        <v>6910</v>
      </c>
      <c r="AK193" t="s">
        <v>6909</v>
      </c>
      <c r="AL193">
        <v>758</v>
      </c>
      <c r="AM193" s="5">
        <f t="shared" si="19"/>
        <v>32.956521739130437</v>
      </c>
      <c r="AN193" s="4">
        <f t="shared" si="20"/>
        <v>4.9915216568164236E-2</v>
      </c>
      <c r="AO193" s="3"/>
      <c r="AP193">
        <v>0</v>
      </c>
      <c r="AR193" t="s">
        <v>1</v>
      </c>
      <c r="AT193" s="2">
        <v>5.0830000000000002</v>
      </c>
      <c r="AU193" s="1">
        <f t="shared" si="21"/>
        <v>4.2405760080029902</v>
      </c>
      <c r="AV193" s="1">
        <f t="shared" si="22"/>
        <v>4.4551319076639713</v>
      </c>
      <c r="AW193" s="1">
        <f t="shared" si="23"/>
        <v>4.6696878073249524</v>
      </c>
    </row>
    <row r="194" spans="1:49" x14ac:dyDescent="0.2">
      <c r="A194">
        <v>192</v>
      </c>
      <c r="B194" t="s">
        <v>6908</v>
      </c>
      <c r="C194" t="s">
        <v>6907</v>
      </c>
      <c r="F194" t="s">
        <v>6906</v>
      </c>
      <c r="G194" t="s">
        <v>6</v>
      </c>
      <c r="H194" t="s">
        <v>5</v>
      </c>
      <c r="I194" t="s">
        <v>243</v>
      </c>
      <c r="J194">
        <v>60002642</v>
      </c>
      <c r="K194" t="s">
        <v>295</v>
      </c>
      <c r="L194" t="s">
        <v>596</v>
      </c>
      <c r="M194" t="s">
        <v>3</v>
      </c>
      <c r="N194">
        <v>2</v>
      </c>
      <c r="O194" t="s">
        <v>6905</v>
      </c>
      <c r="P194" t="s">
        <v>6904</v>
      </c>
      <c r="Q194" t="s">
        <v>595</v>
      </c>
      <c r="R194" s="7">
        <v>36495</v>
      </c>
      <c r="S194" s="8">
        <f t="shared" ref="S194:S257" si="24">YEAR(R194)</f>
        <v>1999</v>
      </c>
      <c r="T194" s="8">
        <v>1999</v>
      </c>
      <c r="U194" s="8">
        <f t="shared" ref="U194:U257" si="25">2022-T194</f>
        <v>23</v>
      </c>
      <c r="V194" s="7">
        <v>1999</v>
      </c>
      <c r="W194" t="s">
        <v>162</v>
      </c>
      <c r="X194" s="2">
        <v>0.30399999999999999</v>
      </c>
      <c r="Y194" s="6">
        <f t="shared" ref="Y194:Y257" si="26">(X194-$Z$3)/($Z$2-$Z$3)</f>
        <v>8.115106377299057E-3</v>
      </c>
      <c r="AA194">
        <v>8952477</v>
      </c>
      <c r="AB194">
        <v>12250</v>
      </c>
      <c r="AD194" t="s">
        <v>2</v>
      </c>
      <c r="AE194">
        <v>23</v>
      </c>
      <c r="AF194">
        <v>6</v>
      </c>
      <c r="AH194" t="s">
        <v>6196</v>
      </c>
      <c r="AI194" t="s">
        <v>6903</v>
      </c>
      <c r="AK194" t="s">
        <v>6902</v>
      </c>
      <c r="AL194">
        <v>7</v>
      </c>
      <c r="AM194" s="5">
        <f t="shared" ref="AM194:AM257" si="27">AL194/U194</f>
        <v>0.30434782608695654</v>
      </c>
      <c r="AN194" s="4">
        <f t="shared" ref="AN194:AN257" si="28">(AM194-$AO$3)/($AO$2-$AO$3)</f>
        <v>4.6095846434980164E-4</v>
      </c>
      <c r="AO194" s="3"/>
      <c r="AP194">
        <v>0</v>
      </c>
      <c r="AR194" t="s">
        <v>1</v>
      </c>
      <c r="AT194" s="2" t="s">
        <v>0</v>
      </c>
      <c r="AU194" s="1">
        <f t="shared" ref="AU194:AU257" si="29">(Y194*0.7+AN194*0.3)*100</f>
        <v>0.58188620034142791</v>
      </c>
      <c r="AV194" s="1">
        <f t="shared" ref="AV194:AV257" si="30">(Y194*0.5+AN194*0.5)*100</f>
        <v>0.42880324208244291</v>
      </c>
      <c r="AW194" s="1">
        <f t="shared" ref="AW194:AW257" si="31">(Y194*0.3+AN194*0.7)*100</f>
        <v>0.27572028382345781</v>
      </c>
    </row>
    <row r="195" spans="1:49" x14ac:dyDescent="0.2">
      <c r="A195">
        <v>193</v>
      </c>
      <c r="B195" t="s">
        <v>6901</v>
      </c>
      <c r="C195" t="s">
        <v>6900</v>
      </c>
      <c r="F195" t="s">
        <v>6899</v>
      </c>
      <c r="G195" t="s">
        <v>6</v>
      </c>
      <c r="H195" t="s">
        <v>5</v>
      </c>
      <c r="I195" t="s">
        <v>6898</v>
      </c>
      <c r="J195" t="s">
        <v>6897</v>
      </c>
      <c r="K195" t="s">
        <v>6896</v>
      </c>
      <c r="L195" t="s">
        <v>6895</v>
      </c>
      <c r="M195" t="s">
        <v>27</v>
      </c>
      <c r="N195">
        <v>3</v>
      </c>
      <c r="O195" t="s">
        <v>6894</v>
      </c>
      <c r="P195" t="s">
        <v>6893</v>
      </c>
      <c r="Q195" t="s">
        <v>6892</v>
      </c>
      <c r="R195" s="7">
        <v>36495</v>
      </c>
      <c r="S195" s="8">
        <f t="shared" si="24"/>
        <v>1999</v>
      </c>
      <c r="T195" s="8">
        <v>1999</v>
      </c>
      <c r="U195" s="8">
        <f t="shared" si="25"/>
        <v>23</v>
      </c>
      <c r="V195" s="7">
        <v>1999</v>
      </c>
      <c r="W195" t="s">
        <v>231</v>
      </c>
      <c r="X195" s="2">
        <v>1.218</v>
      </c>
      <c r="Y195" s="6">
        <f t="shared" si="26"/>
        <v>3.2513814366941618E-2</v>
      </c>
      <c r="AA195">
        <v>189448</v>
      </c>
      <c r="AB195">
        <v>15107</v>
      </c>
      <c r="AD195" t="s">
        <v>2</v>
      </c>
      <c r="AE195">
        <v>45</v>
      </c>
      <c r="AF195">
        <v>7</v>
      </c>
      <c r="AH195" t="s">
        <v>6891</v>
      </c>
      <c r="AI195" t="s">
        <v>6890</v>
      </c>
      <c r="AK195" t="s">
        <v>6889</v>
      </c>
      <c r="AL195">
        <v>121</v>
      </c>
      <c r="AM195" s="5">
        <f t="shared" si="27"/>
        <v>5.2608695652173916</v>
      </c>
      <c r="AN195" s="4">
        <f t="shared" si="28"/>
        <v>7.9679963123322848E-3</v>
      </c>
      <c r="AO195" s="3"/>
      <c r="AP195">
        <v>0</v>
      </c>
      <c r="AQ195" t="s">
        <v>205</v>
      </c>
      <c r="AR195" t="s">
        <v>296</v>
      </c>
      <c r="AS195" t="s">
        <v>204</v>
      </c>
      <c r="AT195" s="2" t="s">
        <v>0</v>
      </c>
      <c r="AU195" s="1">
        <f t="shared" si="29"/>
        <v>2.5150068950558815</v>
      </c>
      <c r="AV195" s="1">
        <f t="shared" si="30"/>
        <v>2.0240905339636952</v>
      </c>
      <c r="AW195" s="1">
        <f t="shared" si="31"/>
        <v>1.5331741728715085</v>
      </c>
    </row>
    <row r="196" spans="1:49" x14ac:dyDescent="0.2">
      <c r="A196">
        <v>194</v>
      </c>
      <c r="B196" t="s">
        <v>6888</v>
      </c>
      <c r="C196" t="s">
        <v>6887</v>
      </c>
      <c r="F196" t="s">
        <v>6886</v>
      </c>
      <c r="G196" t="s">
        <v>6</v>
      </c>
      <c r="H196" t="s">
        <v>5</v>
      </c>
      <c r="I196" t="s">
        <v>6885</v>
      </c>
      <c r="N196">
        <v>1</v>
      </c>
      <c r="O196" t="s">
        <v>6884</v>
      </c>
      <c r="P196">
        <v>57191929110</v>
      </c>
      <c r="R196" s="7">
        <v>36495</v>
      </c>
      <c r="S196" s="8">
        <f t="shared" si="24"/>
        <v>1999</v>
      </c>
      <c r="T196" s="8">
        <v>1999</v>
      </c>
      <c r="U196" s="8">
        <f t="shared" si="25"/>
        <v>23</v>
      </c>
      <c r="V196" s="7">
        <v>1999</v>
      </c>
      <c r="W196" t="s">
        <v>53</v>
      </c>
      <c r="X196" s="2">
        <v>0.88100000000000001</v>
      </c>
      <c r="Y196" s="6">
        <f t="shared" si="26"/>
        <v>2.3517791836843653E-2</v>
      </c>
      <c r="AA196">
        <v>10459243</v>
      </c>
      <c r="AB196">
        <v>17248</v>
      </c>
      <c r="AD196" t="s">
        <v>2</v>
      </c>
      <c r="AE196">
        <v>41</v>
      </c>
      <c r="AF196">
        <v>6</v>
      </c>
      <c r="AH196" t="s">
        <v>6883</v>
      </c>
      <c r="AI196" t="s">
        <v>6882</v>
      </c>
      <c r="AJ196" t="s">
        <v>6881</v>
      </c>
      <c r="AK196" t="s">
        <v>6880</v>
      </c>
      <c r="AL196">
        <v>3</v>
      </c>
      <c r="AM196" s="5">
        <f t="shared" si="27"/>
        <v>0.13043478260869565</v>
      </c>
      <c r="AN196" s="4">
        <f t="shared" si="28"/>
        <v>1.9755362757848641E-4</v>
      </c>
      <c r="AO196" s="3"/>
      <c r="AP196">
        <v>0</v>
      </c>
      <c r="AR196" t="s">
        <v>1</v>
      </c>
      <c r="AT196" s="2" t="s">
        <v>0</v>
      </c>
      <c r="AU196" s="1">
        <f t="shared" si="29"/>
        <v>1.6521720374064102</v>
      </c>
      <c r="AV196" s="1">
        <f t="shared" si="30"/>
        <v>1.1857672732211069</v>
      </c>
      <c r="AW196" s="1">
        <f t="shared" si="31"/>
        <v>0.71936250903580357</v>
      </c>
    </row>
    <row r="197" spans="1:49" x14ac:dyDescent="0.2">
      <c r="A197">
        <v>195</v>
      </c>
      <c r="B197" t="s">
        <v>6879</v>
      </c>
      <c r="C197" t="s">
        <v>6878</v>
      </c>
      <c r="F197" t="s">
        <v>6877</v>
      </c>
      <c r="G197" t="s">
        <v>6</v>
      </c>
      <c r="H197" t="s">
        <v>5</v>
      </c>
      <c r="I197" t="s">
        <v>6876</v>
      </c>
      <c r="J197" t="s">
        <v>6875</v>
      </c>
      <c r="K197" t="s">
        <v>6874</v>
      </c>
      <c r="L197" t="s">
        <v>6873</v>
      </c>
      <c r="M197" t="s">
        <v>169</v>
      </c>
      <c r="N197">
        <v>2</v>
      </c>
      <c r="O197" t="s">
        <v>6872</v>
      </c>
      <c r="P197" t="s">
        <v>6871</v>
      </c>
      <c r="Q197" t="s">
        <v>6870</v>
      </c>
      <c r="R197" s="7">
        <v>36495</v>
      </c>
      <c r="S197" s="8">
        <f t="shared" si="24"/>
        <v>1999</v>
      </c>
      <c r="T197" s="8">
        <v>1999</v>
      </c>
      <c r="U197" s="8">
        <f t="shared" si="25"/>
        <v>23</v>
      </c>
      <c r="V197" s="7">
        <v>1999</v>
      </c>
      <c r="W197" t="s">
        <v>53</v>
      </c>
      <c r="X197" s="2">
        <v>0.88100000000000001</v>
      </c>
      <c r="Y197" s="6">
        <f t="shared" si="26"/>
        <v>2.3517791836843653E-2</v>
      </c>
      <c r="AA197">
        <v>10459243</v>
      </c>
      <c r="AB197">
        <v>17248</v>
      </c>
      <c r="AD197" t="s">
        <v>2</v>
      </c>
      <c r="AE197">
        <v>41</v>
      </c>
      <c r="AF197">
        <v>6</v>
      </c>
      <c r="AH197" t="s">
        <v>6869</v>
      </c>
      <c r="AI197" t="s">
        <v>6868</v>
      </c>
      <c r="AK197" t="s">
        <v>6867</v>
      </c>
      <c r="AL197">
        <v>27</v>
      </c>
      <c r="AM197" s="5">
        <f t="shared" si="27"/>
        <v>1.173913043478261</v>
      </c>
      <c r="AN197" s="4">
        <f t="shared" si="28"/>
        <v>1.7779826482063779E-3</v>
      </c>
      <c r="AO197" s="3"/>
      <c r="AP197">
        <v>0</v>
      </c>
      <c r="AR197" t="s">
        <v>1</v>
      </c>
      <c r="AT197" s="2" t="s">
        <v>0</v>
      </c>
      <c r="AU197" s="1">
        <f t="shared" si="29"/>
        <v>1.6995849080252468</v>
      </c>
      <c r="AV197" s="1">
        <f t="shared" si="30"/>
        <v>1.2647887242525016</v>
      </c>
      <c r="AW197" s="1">
        <f t="shared" si="31"/>
        <v>0.82999254047975601</v>
      </c>
    </row>
    <row r="198" spans="1:49" x14ac:dyDescent="0.2">
      <c r="A198">
        <v>196</v>
      </c>
      <c r="B198" t="s">
        <v>6866</v>
      </c>
      <c r="C198" t="s">
        <v>6865</v>
      </c>
      <c r="F198" t="s">
        <v>6864</v>
      </c>
      <c r="G198" t="s">
        <v>6</v>
      </c>
      <c r="H198" t="s">
        <v>5</v>
      </c>
      <c r="I198" t="s">
        <v>6863</v>
      </c>
      <c r="J198" t="s">
        <v>6862</v>
      </c>
      <c r="K198" t="s">
        <v>6861</v>
      </c>
      <c r="L198" t="s">
        <v>6860</v>
      </c>
      <c r="M198" t="s">
        <v>6859</v>
      </c>
      <c r="N198">
        <v>2</v>
      </c>
      <c r="O198" t="s">
        <v>6858</v>
      </c>
      <c r="P198" t="s">
        <v>6857</v>
      </c>
      <c r="Q198" t="s">
        <v>6856</v>
      </c>
      <c r="R198" s="7">
        <v>36495</v>
      </c>
      <c r="S198" s="8">
        <f t="shared" si="24"/>
        <v>1999</v>
      </c>
      <c r="T198" s="8">
        <v>1999</v>
      </c>
      <c r="U198" s="8">
        <f t="shared" si="25"/>
        <v>23</v>
      </c>
      <c r="V198" s="7">
        <v>36495</v>
      </c>
      <c r="W198" t="s">
        <v>239</v>
      </c>
      <c r="X198" s="2">
        <v>2.9860000000000002</v>
      </c>
      <c r="Y198" s="6">
        <f t="shared" si="26"/>
        <v>7.9709564613865094E-2</v>
      </c>
      <c r="AA198">
        <v>7338716</v>
      </c>
      <c r="AB198">
        <v>18902</v>
      </c>
      <c r="AD198" t="s">
        <v>2</v>
      </c>
      <c r="AE198">
        <v>17</v>
      </c>
      <c r="AF198">
        <v>12</v>
      </c>
      <c r="AH198" t="s">
        <v>6855</v>
      </c>
      <c r="AI198" t="s">
        <v>6854</v>
      </c>
      <c r="AK198" t="s">
        <v>6853</v>
      </c>
      <c r="AL198">
        <v>1</v>
      </c>
      <c r="AM198" s="5">
        <f t="shared" si="27"/>
        <v>4.3478260869565216E-2</v>
      </c>
      <c r="AN198" s="4">
        <f t="shared" si="28"/>
        <v>6.5851209192828807E-5</v>
      </c>
      <c r="AO198" s="3"/>
      <c r="AP198">
        <v>0</v>
      </c>
      <c r="AQ198" t="s">
        <v>464</v>
      </c>
      <c r="AR198" t="s">
        <v>1</v>
      </c>
      <c r="AS198" t="s">
        <v>463</v>
      </c>
      <c r="AT198" s="2" t="s">
        <v>0</v>
      </c>
      <c r="AU198" s="1">
        <f t="shared" si="29"/>
        <v>5.5816450592463411</v>
      </c>
      <c r="AV198" s="1">
        <f t="shared" si="30"/>
        <v>3.9887707911528967</v>
      </c>
      <c r="AW198" s="1">
        <f t="shared" si="31"/>
        <v>2.3958965230594509</v>
      </c>
    </row>
    <row r="199" spans="1:49" x14ac:dyDescent="0.2">
      <c r="A199">
        <v>197</v>
      </c>
      <c r="B199" t="s">
        <v>6852</v>
      </c>
      <c r="C199" t="s">
        <v>6851</v>
      </c>
      <c r="F199" t="s">
        <v>6850</v>
      </c>
      <c r="G199" t="s">
        <v>6</v>
      </c>
      <c r="H199" t="s">
        <v>5</v>
      </c>
      <c r="I199" t="s">
        <v>694</v>
      </c>
      <c r="J199">
        <v>60011362</v>
      </c>
      <c r="K199" t="s">
        <v>300</v>
      </c>
      <c r="L199" t="s">
        <v>299</v>
      </c>
      <c r="M199" t="s">
        <v>67</v>
      </c>
      <c r="N199">
        <v>1</v>
      </c>
      <c r="O199" t="s">
        <v>6790</v>
      </c>
      <c r="P199">
        <v>35478779700</v>
      </c>
      <c r="Q199">
        <v>60011362</v>
      </c>
      <c r="R199" s="7">
        <v>36495</v>
      </c>
      <c r="S199" s="8">
        <f t="shared" si="24"/>
        <v>1999</v>
      </c>
      <c r="T199" s="8">
        <v>1999</v>
      </c>
      <c r="U199" s="8">
        <f t="shared" si="25"/>
        <v>23</v>
      </c>
      <c r="V199" s="7">
        <v>1999</v>
      </c>
      <c r="W199" t="s">
        <v>124</v>
      </c>
      <c r="X199" s="2">
        <v>1.6519999999999999</v>
      </c>
      <c r="Y199" s="6">
        <f t="shared" si="26"/>
        <v>4.409919649769093E-2</v>
      </c>
      <c r="AA199" t="s">
        <v>123</v>
      </c>
      <c r="AB199">
        <v>17337</v>
      </c>
      <c r="AD199" t="s">
        <v>2</v>
      </c>
      <c r="AE199">
        <v>47</v>
      </c>
      <c r="AF199">
        <v>12</v>
      </c>
      <c r="AH199" t="s">
        <v>6849</v>
      </c>
      <c r="AI199" t="s">
        <v>6848</v>
      </c>
      <c r="AK199" t="s">
        <v>6847</v>
      </c>
      <c r="AL199">
        <v>151</v>
      </c>
      <c r="AM199" s="5">
        <f t="shared" si="27"/>
        <v>6.5652173913043477</v>
      </c>
      <c r="AN199" s="4">
        <f t="shared" si="28"/>
        <v>9.9435325881171484E-3</v>
      </c>
      <c r="AO199" s="3"/>
      <c r="AP199">
        <v>0</v>
      </c>
      <c r="AR199" t="s">
        <v>1</v>
      </c>
      <c r="AT199" s="2" t="s">
        <v>0</v>
      </c>
      <c r="AU199" s="1">
        <f t="shared" si="29"/>
        <v>3.3852497324818791</v>
      </c>
      <c r="AV199" s="1">
        <f t="shared" si="30"/>
        <v>2.7021364542904038</v>
      </c>
      <c r="AW199" s="1">
        <f t="shared" si="31"/>
        <v>2.0190231760989281</v>
      </c>
    </row>
    <row r="200" spans="1:49" x14ac:dyDescent="0.2">
      <c r="A200">
        <v>198</v>
      </c>
      <c r="B200" t="s">
        <v>6846</v>
      </c>
      <c r="C200" t="s">
        <v>6845</v>
      </c>
      <c r="F200" t="s">
        <v>6844</v>
      </c>
      <c r="G200" t="s">
        <v>6</v>
      </c>
      <c r="H200" t="s">
        <v>5</v>
      </c>
      <c r="I200" t="s">
        <v>6843</v>
      </c>
      <c r="J200">
        <v>60027550</v>
      </c>
      <c r="K200" t="s">
        <v>22</v>
      </c>
      <c r="L200" t="s">
        <v>21</v>
      </c>
      <c r="M200" t="s">
        <v>3</v>
      </c>
      <c r="N200">
        <v>1</v>
      </c>
      <c r="O200" t="s">
        <v>6842</v>
      </c>
      <c r="P200">
        <v>7004515434</v>
      </c>
      <c r="Q200">
        <v>60027550</v>
      </c>
      <c r="R200" s="7">
        <v>36495</v>
      </c>
      <c r="S200" s="8">
        <f t="shared" si="24"/>
        <v>1999</v>
      </c>
      <c r="T200" s="8">
        <v>1999</v>
      </c>
      <c r="U200" s="8">
        <f t="shared" si="25"/>
        <v>23</v>
      </c>
      <c r="V200" s="7">
        <v>1999</v>
      </c>
      <c r="W200" t="s">
        <v>124</v>
      </c>
      <c r="X200" s="2">
        <v>1.6519999999999999</v>
      </c>
      <c r="Y200" s="6">
        <f t="shared" si="26"/>
        <v>4.409919649769093E-2</v>
      </c>
      <c r="AA200" t="s">
        <v>123</v>
      </c>
      <c r="AB200">
        <v>17337</v>
      </c>
      <c r="AD200" t="s">
        <v>2</v>
      </c>
      <c r="AE200">
        <v>47</v>
      </c>
      <c r="AF200">
        <v>12</v>
      </c>
      <c r="AH200" t="s">
        <v>6841</v>
      </c>
      <c r="AI200" t="s">
        <v>6840</v>
      </c>
      <c r="AK200" t="s">
        <v>6839</v>
      </c>
      <c r="AL200">
        <v>235</v>
      </c>
      <c r="AM200" s="5">
        <f t="shared" si="27"/>
        <v>10.217391304347826</v>
      </c>
      <c r="AN200" s="4">
        <f t="shared" si="28"/>
        <v>1.5475034160314769E-2</v>
      </c>
      <c r="AO200" s="3"/>
      <c r="AP200">
        <v>0</v>
      </c>
      <c r="AQ200" t="s">
        <v>196</v>
      </c>
      <c r="AR200" t="s">
        <v>4766</v>
      </c>
      <c r="AS200" t="s">
        <v>195</v>
      </c>
      <c r="AT200" s="2" t="s">
        <v>0</v>
      </c>
      <c r="AU200" s="1">
        <f t="shared" si="29"/>
        <v>3.5511947796478078</v>
      </c>
      <c r="AV200" s="1">
        <f t="shared" si="30"/>
        <v>2.9787115329002849</v>
      </c>
      <c r="AW200" s="1">
        <f t="shared" si="31"/>
        <v>2.4062282861527615</v>
      </c>
    </row>
    <row r="201" spans="1:49" x14ac:dyDescent="0.2">
      <c r="A201">
        <v>199</v>
      </c>
      <c r="B201" t="s">
        <v>6838</v>
      </c>
      <c r="C201" t="s">
        <v>6837</v>
      </c>
      <c r="F201" t="s">
        <v>6836</v>
      </c>
      <c r="G201" t="s">
        <v>6</v>
      </c>
      <c r="H201" t="s">
        <v>5</v>
      </c>
      <c r="I201" t="s">
        <v>6835</v>
      </c>
      <c r="J201" t="s">
        <v>6834</v>
      </c>
      <c r="K201" t="s">
        <v>6833</v>
      </c>
      <c r="L201" t="s">
        <v>6832</v>
      </c>
      <c r="M201" t="s">
        <v>30</v>
      </c>
      <c r="N201">
        <v>1</v>
      </c>
      <c r="O201" t="s">
        <v>6831</v>
      </c>
      <c r="P201">
        <v>55944913200</v>
      </c>
      <c r="Q201" t="s">
        <v>6830</v>
      </c>
      <c r="R201" s="7">
        <v>36495</v>
      </c>
      <c r="S201" s="8">
        <f t="shared" si="24"/>
        <v>1999</v>
      </c>
      <c r="T201" s="8">
        <v>1999</v>
      </c>
      <c r="U201" s="8">
        <f t="shared" si="25"/>
        <v>23</v>
      </c>
      <c r="V201" s="7">
        <v>36495</v>
      </c>
      <c r="W201" t="s">
        <v>6829</v>
      </c>
      <c r="X201" s="2" t="s">
        <v>0</v>
      </c>
      <c r="Y201" s="6" t="e">
        <f t="shared" si="26"/>
        <v>#VALUE!</v>
      </c>
      <c r="AA201">
        <v>10577122</v>
      </c>
      <c r="AB201">
        <v>26028</v>
      </c>
      <c r="AD201" t="s">
        <v>2</v>
      </c>
      <c r="AE201">
        <v>46</v>
      </c>
      <c r="AF201">
        <v>12</v>
      </c>
      <c r="AH201" t="s">
        <v>6828</v>
      </c>
      <c r="AI201" t="s">
        <v>6827</v>
      </c>
      <c r="AK201" t="s">
        <v>6826</v>
      </c>
      <c r="AL201">
        <v>10</v>
      </c>
      <c r="AM201" s="5">
        <f t="shared" si="27"/>
        <v>0.43478260869565216</v>
      </c>
      <c r="AN201" s="4">
        <f t="shared" si="28"/>
        <v>6.5851209192828799E-4</v>
      </c>
      <c r="AO201" s="3"/>
      <c r="AP201">
        <v>0</v>
      </c>
      <c r="AR201" t="s">
        <v>1</v>
      </c>
      <c r="AT201" s="2" t="s">
        <v>0</v>
      </c>
      <c r="AU201" s="1" t="e">
        <f t="shared" si="29"/>
        <v>#VALUE!</v>
      </c>
      <c r="AV201" s="1" t="e">
        <f t="shared" si="30"/>
        <v>#VALUE!</v>
      </c>
      <c r="AW201" s="1" t="e">
        <f t="shared" si="31"/>
        <v>#VALUE!</v>
      </c>
    </row>
    <row r="202" spans="1:49" x14ac:dyDescent="0.2">
      <c r="A202">
        <v>200</v>
      </c>
      <c r="B202" t="s">
        <v>6825</v>
      </c>
      <c r="F202" t="s">
        <v>6824</v>
      </c>
      <c r="G202" t="s">
        <v>6</v>
      </c>
      <c r="H202" t="s">
        <v>5</v>
      </c>
      <c r="I202" t="s">
        <v>6823</v>
      </c>
      <c r="J202">
        <v>60007798</v>
      </c>
      <c r="K202" t="s">
        <v>607</v>
      </c>
      <c r="L202" t="s">
        <v>606</v>
      </c>
      <c r="M202" t="s">
        <v>65</v>
      </c>
      <c r="N202">
        <v>1</v>
      </c>
      <c r="O202" t="s">
        <v>6822</v>
      </c>
      <c r="P202">
        <v>6603842988</v>
      </c>
      <c r="Q202">
        <v>60007798</v>
      </c>
      <c r="R202" s="7">
        <v>36495</v>
      </c>
      <c r="S202" s="8">
        <f t="shared" si="24"/>
        <v>1999</v>
      </c>
      <c r="T202" s="8">
        <v>1999</v>
      </c>
      <c r="U202" s="8">
        <f t="shared" si="25"/>
        <v>23</v>
      </c>
      <c r="V202" s="7">
        <v>1999</v>
      </c>
      <c r="W202" t="s">
        <v>87</v>
      </c>
      <c r="X202" s="2">
        <v>0.54700000000000004</v>
      </c>
      <c r="Y202" s="6">
        <f t="shared" si="26"/>
        <v>1.4601852593363766E-2</v>
      </c>
      <c r="AA202">
        <v>11096</v>
      </c>
      <c r="AB202">
        <v>31211</v>
      </c>
      <c r="AD202" t="s">
        <v>2</v>
      </c>
      <c r="AE202">
        <v>53</v>
      </c>
      <c r="AF202">
        <v>6</v>
      </c>
      <c r="AH202" t="s">
        <v>6821</v>
      </c>
      <c r="AI202" t="s">
        <v>6820</v>
      </c>
      <c r="AK202" t="s">
        <v>6819</v>
      </c>
      <c r="AL202">
        <v>44</v>
      </c>
      <c r="AM202" s="5">
        <f t="shared" si="27"/>
        <v>1.9130434782608696</v>
      </c>
      <c r="AN202" s="4">
        <f t="shared" si="28"/>
        <v>2.8974532044844675E-3</v>
      </c>
      <c r="AO202" s="3"/>
      <c r="AP202">
        <v>0</v>
      </c>
      <c r="AR202" t="s">
        <v>1</v>
      </c>
      <c r="AT202" s="2" t="s">
        <v>0</v>
      </c>
      <c r="AU202" s="1">
        <f t="shared" si="29"/>
        <v>1.1090532776699975</v>
      </c>
      <c r="AV202" s="1">
        <f t="shared" si="30"/>
        <v>0.87496528989241174</v>
      </c>
      <c r="AW202" s="1">
        <f t="shared" si="31"/>
        <v>0.64087730211482563</v>
      </c>
    </row>
    <row r="203" spans="1:49" x14ac:dyDescent="0.2">
      <c r="A203">
        <v>201</v>
      </c>
      <c r="B203" t="s">
        <v>6818</v>
      </c>
      <c r="C203" t="s">
        <v>6817</v>
      </c>
      <c r="F203" t="s">
        <v>6816</v>
      </c>
      <c r="G203" t="s">
        <v>6</v>
      </c>
      <c r="H203" t="s">
        <v>5</v>
      </c>
      <c r="I203" t="s">
        <v>6815</v>
      </c>
      <c r="J203">
        <v>60030821</v>
      </c>
      <c r="K203" t="s">
        <v>544</v>
      </c>
      <c r="L203" t="s">
        <v>257</v>
      </c>
      <c r="M203" t="s">
        <v>3</v>
      </c>
      <c r="N203">
        <v>1</v>
      </c>
      <c r="O203" t="s">
        <v>6814</v>
      </c>
      <c r="P203">
        <v>7003900610</v>
      </c>
      <c r="Q203">
        <v>60030821</v>
      </c>
      <c r="R203" s="7">
        <v>36495</v>
      </c>
      <c r="S203" s="8">
        <f t="shared" si="24"/>
        <v>1999</v>
      </c>
      <c r="T203" s="8">
        <v>1999</v>
      </c>
      <c r="U203" s="8">
        <f t="shared" si="25"/>
        <v>23</v>
      </c>
      <c r="V203" s="7">
        <v>1999</v>
      </c>
      <c r="W203" t="s">
        <v>403</v>
      </c>
      <c r="X203" s="2">
        <v>1.137</v>
      </c>
      <c r="Y203" s="6">
        <f t="shared" si="26"/>
        <v>3.0351565628253384E-2</v>
      </c>
      <c r="AA203">
        <v>189251</v>
      </c>
      <c r="AB203">
        <v>17336</v>
      </c>
      <c r="AD203" t="s">
        <v>2</v>
      </c>
      <c r="AE203">
        <v>35</v>
      </c>
      <c r="AF203">
        <v>4</v>
      </c>
      <c r="AH203" t="s">
        <v>6813</v>
      </c>
      <c r="AI203" t="s">
        <v>6812</v>
      </c>
      <c r="AK203" t="s">
        <v>6811</v>
      </c>
      <c r="AL203">
        <v>1</v>
      </c>
      <c r="AM203" s="5">
        <f t="shared" si="27"/>
        <v>4.3478260869565216E-2</v>
      </c>
      <c r="AN203" s="4">
        <f t="shared" si="28"/>
        <v>6.5851209192828807E-5</v>
      </c>
      <c r="AO203" s="3"/>
      <c r="AP203">
        <v>0</v>
      </c>
      <c r="AR203" t="s">
        <v>1</v>
      </c>
      <c r="AT203" s="2" t="s">
        <v>0</v>
      </c>
      <c r="AU203" s="1">
        <f t="shared" si="29"/>
        <v>2.1265851302535212</v>
      </c>
      <c r="AV203" s="1">
        <f t="shared" si="30"/>
        <v>1.5208708418723107</v>
      </c>
      <c r="AW203" s="1">
        <f t="shared" si="31"/>
        <v>0.91515655349109959</v>
      </c>
    </row>
    <row r="204" spans="1:49" x14ac:dyDescent="0.2">
      <c r="A204">
        <v>202</v>
      </c>
      <c r="B204" t="s">
        <v>6810</v>
      </c>
      <c r="C204" t="s">
        <v>6809</v>
      </c>
      <c r="F204" t="s">
        <v>6808</v>
      </c>
      <c r="G204" t="s">
        <v>6</v>
      </c>
      <c r="H204" t="s">
        <v>5</v>
      </c>
      <c r="I204" t="s">
        <v>6807</v>
      </c>
      <c r="J204">
        <v>60009697</v>
      </c>
      <c r="K204" t="s">
        <v>250</v>
      </c>
      <c r="L204" t="s">
        <v>249</v>
      </c>
      <c r="M204" t="s">
        <v>125</v>
      </c>
      <c r="N204">
        <v>1</v>
      </c>
      <c r="O204" t="s">
        <v>6806</v>
      </c>
      <c r="P204">
        <v>6507391631</v>
      </c>
      <c r="Q204">
        <v>60009697</v>
      </c>
      <c r="R204" s="7">
        <v>36495</v>
      </c>
      <c r="S204" s="8">
        <f t="shared" si="24"/>
        <v>1999</v>
      </c>
      <c r="T204" s="8">
        <v>1999</v>
      </c>
      <c r="U204" s="8">
        <f t="shared" si="25"/>
        <v>23</v>
      </c>
      <c r="V204" s="7">
        <v>1999</v>
      </c>
      <c r="W204" t="s">
        <v>124</v>
      </c>
      <c r="X204" s="2">
        <v>1.6519999999999999</v>
      </c>
      <c r="Y204" s="6">
        <f t="shared" si="26"/>
        <v>4.409919649769093E-2</v>
      </c>
      <c r="AA204" t="s">
        <v>123</v>
      </c>
      <c r="AB204">
        <v>17337</v>
      </c>
      <c r="AD204" t="s">
        <v>2</v>
      </c>
      <c r="AE204">
        <v>47</v>
      </c>
      <c r="AF204">
        <v>10</v>
      </c>
      <c r="AH204" t="s">
        <v>6805</v>
      </c>
      <c r="AI204" t="s">
        <v>6804</v>
      </c>
      <c r="AK204" t="s">
        <v>6803</v>
      </c>
      <c r="AL204">
        <v>89</v>
      </c>
      <c r="AM204" s="5">
        <f t="shared" si="27"/>
        <v>3.8695652173913042</v>
      </c>
      <c r="AN204" s="4">
        <f t="shared" si="28"/>
        <v>5.8607576181617634E-3</v>
      </c>
      <c r="AO204" s="3"/>
      <c r="AP204">
        <v>0</v>
      </c>
      <c r="AR204" t="s">
        <v>1</v>
      </c>
      <c r="AT204" s="2" t="s">
        <v>0</v>
      </c>
      <c r="AU204" s="1">
        <f t="shared" si="29"/>
        <v>3.262766483383218</v>
      </c>
      <c r="AV204" s="1">
        <f t="shared" si="30"/>
        <v>2.4979977057926348</v>
      </c>
      <c r="AW204" s="1">
        <f t="shared" si="31"/>
        <v>1.7332289282020512</v>
      </c>
    </row>
    <row r="205" spans="1:49" x14ac:dyDescent="0.2">
      <c r="A205">
        <v>203</v>
      </c>
      <c r="B205" t="s">
        <v>6802</v>
      </c>
      <c r="C205" t="s">
        <v>6801</v>
      </c>
      <c r="F205" t="s">
        <v>6800</v>
      </c>
      <c r="G205" t="s">
        <v>6</v>
      </c>
      <c r="H205" t="s">
        <v>5</v>
      </c>
      <c r="I205" t="s">
        <v>6799</v>
      </c>
      <c r="J205">
        <v>60005304</v>
      </c>
      <c r="K205" t="s">
        <v>194</v>
      </c>
      <c r="L205" t="s">
        <v>193</v>
      </c>
      <c r="M205" t="s">
        <v>3</v>
      </c>
      <c r="N205">
        <v>1</v>
      </c>
      <c r="O205" t="s">
        <v>6798</v>
      </c>
      <c r="P205">
        <v>7201565355</v>
      </c>
      <c r="Q205">
        <v>60005304</v>
      </c>
      <c r="R205" s="7">
        <v>36495</v>
      </c>
      <c r="S205" s="8">
        <f t="shared" si="24"/>
        <v>1999</v>
      </c>
      <c r="T205" s="8">
        <v>1999</v>
      </c>
      <c r="U205" s="8">
        <f t="shared" si="25"/>
        <v>23</v>
      </c>
      <c r="V205" s="7">
        <v>1999</v>
      </c>
      <c r="W205" t="s">
        <v>124</v>
      </c>
      <c r="X205" s="2">
        <v>1.6519999999999999</v>
      </c>
      <c r="Y205" s="6">
        <f t="shared" si="26"/>
        <v>4.409919649769093E-2</v>
      </c>
      <c r="AA205" t="s">
        <v>123</v>
      </c>
      <c r="AB205">
        <v>17337</v>
      </c>
      <c r="AD205" t="s">
        <v>2</v>
      </c>
      <c r="AE205">
        <v>47</v>
      </c>
      <c r="AF205">
        <v>12</v>
      </c>
      <c r="AH205" t="s">
        <v>6797</v>
      </c>
      <c r="AI205" t="s">
        <v>6796</v>
      </c>
      <c r="AK205" t="s">
        <v>6795</v>
      </c>
      <c r="AL205">
        <v>51</v>
      </c>
      <c r="AM205" s="5">
        <f t="shared" si="27"/>
        <v>2.2173913043478262</v>
      </c>
      <c r="AN205" s="4">
        <f t="shared" si="28"/>
        <v>3.3584116688342692E-3</v>
      </c>
      <c r="AO205" s="3"/>
      <c r="AP205">
        <v>0</v>
      </c>
      <c r="AR205" t="s">
        <v>1</v>
      </c>
      <c r="AS205" t="s">
        <v>6794</v>
      </c>
      <c r="AT205" s="2" t="s">
        <v>0</v>
      </c>
      <c r="AU205" s="1">
        <f t="shared" si="29"/>
        <v>3.1876961049033934</v>
      </c>
      <c r="AV205" s="1">
        <f t="shared" si="30"/>
        <v>2.3728804083262602</v>
      </c>
      <c r="AW205" s="1">
        <f t="shared" si="31"/>
        <v>1.5580647117491266</v>
      </c>
    </row>
    <row r="206" spans="1:49" x14ac:dyDescent="0.2">
      <c r="A206">
        <v>204</v>
      </c>
      <c r="B206" t="s">
        <v>6793</v>
      </c>
      <c r="C206" t="s">
        <v>6792</v>
      </c>
      <c r="F206" t="s">
        <v>6791</v>
      </c>
      <c r="G206" t="s">
        <v>6</v>
      </c>
      <c r="H206" t="s">
        <v>5</v>
      </c>
      <c r="I206" t="s">
        <v>694</v>
      </c>
      <c r="J206">
        <v>60011362</v>
      </c>
      <c r="K206" t="s">
        <v>300</v>
      </c>
      <c r="L206" t="s">
        <v>299</v>
      </c>
      <c r="M206" t="s">
        <v>67</v>
      </c>
      <c r="N206">
        <v>1</v>
      </c>
      <c r="O206" t="s">
        <v>6790</v>
      </c>
      <c r="P206">
        <v>35478779700</v>
      </c>
      <c r="Q206">
        <v>60011362</v>
      </c>
      <c r="R206" s="7">
        <v>36495</v>
      </c>
      <c r="S206" s="8">
        <f t="shared" si="24"/>
        <v>1999</v>
      </c>
      <c r="T206" s="8">
        <v>1999</v>
      </c>
      <c r="U206" s="8">
        <f t="shared" si="25"/>
        <v>23</v>
      </c>
      <c r="V206" s="7">
        <v>1999</v>
      </c>
      <c r="W206" t="s">
        <v>124</v>
      </c>
      <c r="X206" s="2">
        <v>1.6519999999999999</v>
      </c>
      <c r="Y206" s="6">
        <f t="shared" si="26"/>
        <v>4.409919649769093E-2</v>
      </c>
      <c r="AA206" t="s">
        <v>123</v>
      </c>
      <c r="AB206">
        <v>17337</v>
      </c>
      <c r="AD206" t="s">
        <v>2</v>
      </c>
      <c r="AE206">
        <v>47</v>
      </c>
      <c r="AF206">
        <v>12</v>
      </c>
      <c r="AH206" t="s">
        <v>6789</v>
      </c>
      <c r="AI206" t="s">
        <v>6788</v>
      </c>
      <c r="AK206" t="s">
        <v>6787</v>
      </c>
      <c r="AL206">
        <v>118</v>
      </c>
      <c r="AM206" s="5">
        <f t="shared" si="27"/>
        <v>5.1304347826086953</v>
      </c>
      <c r="AN206" s="4">
        <f t="shared" si="28"/>
        <v>7.7704426847537986E-3</v>
      </c>
      <c r="AO206" s="3"/>
      <c r="AP206">
        <v>0</v>
      </c>
      <c r="AR206" t="s">
        <v>1</v>
      </c>
      <c r="AT206" s="2" t="s">
        <v>0</v>
      </c>
      <c r="AU206" s="1">
        <f t="shared" si="29"/>
        <v>3.3200570353809793</v>
      </c>
      <c r="AV206" s="1">
        <f t="shared" si="30"/>
        <v>2.5934819591222364</v>
      </c>
      <c r="AW206" s="1">
        <f t="shared" si="31"/>
        <v>1.8669068828634936</v>
      </c>
    </row>
    <row r="207" spans="1:49" x14ac:dyDescent="0.2">
      <c r="A207">
        <v>205</v>
      </c>
      <c r="B207" t="s">
        <v>6786</v>
      </c>
      <c r="C207" t="s">
        <v>6785</v>
      </c>
      <c r="F207" t="s">
        <v>6784</v>
      </c>
      <c r="G207" t="s">
        <v>6</v>
      </c>
      <c r="H207" t="s">
        <v>5</v>
      </c>
      <c r="I207" t="s">
        <v>6783</v>
      </c>
      <c r="J207">
        <v>60030612</v>
      </c>
      <c r="K207" t="s">
        <v>6782</v>
      </c>
      <c r="L207" t="s">
        <v>777</v>
      </c>
      <c r="M207" t="s">
        <v>3</v>
      </c>
      <c r="N207">
        <v>1</v>
      </c>
      <c r="O207" t="s">
        <v>6781</v>
      </c>
      <c r="P207">
        <v>7006070875</v>
      </c>
      <c r="Q207">
        <v>60030612</v>
      </c>
      <c r="R207" s="7">
        <v>36495</v>
      </c>
      <c r="S207" s="8">
        <f t="shared" si="24"/>
        <v>1999</v>
      </c>
      <c r="T207" s="8">
        <v>1999</v>
      </c>
      <c r="U207" s="8">
        <f t="shared" si="25"/>
        <v>23</v>
      </c>
      <c r="V207" s="7">
        <v>1999</v>
      </c>
      <c r="W207" t="s">
        <v>834</v>
      </c>
      <c r="X207" s="2">
        <v>3.2160000000000002</v>
      </c>
      <c r="Y207" s="6">
        <f t="shared" si="26"/>
        <v>8.5849283254584782E-2</v>
      </c>
      <c r="AA207">
        <v>10709916</v>
      </c>
      <c r="AB207">
        <v>80015</v>
      </c>
      <c r="AD207" t="s">
        <v>2</v>
      </c>
      <c r="AE207">
        <v>6</v>
      </c>
      <c r="AF207">
        <v>5</v>
      </c>
      <c r="AH207" s="11">
        <v>42583</v>
      </c>
      <c r="AI207" t="s">
        <v>6780</v>
      </c>
      <c r="AK207" t="s">
        <v>6779</v>
      </c>
      <c r="AL207">
        <v>2</v>
      </c>
      <c r="AM207" s="5">
        <f t="shared" si="27"/>
        <v>8.6956521739130432E-2</v>
      </c>
      <c r="AN207" s="4">
        <f t="shared" si="28"/>
        <v>1.3170241838565761E-4</v>
      </c>
      <c r="AO207" s="3"/>
      <c r="AP207">
        <v>0</v>
      </c>
      <c r="AR207" t="s">
        <v>1</v>
      </c>
      <c r="AT207" s="2" t="s">
        <v>0</v>
      </c>
      <c r="AU207" s="1">
        <f t="shared" si="29"/>
        <v>6.0134009003725035</v>
      </c>
      <c r="AV207" s="1">
        <f t="shared" si="30"/>
        <v>4.2990492836485217</v>
      </c>
      <c r="AW207" s="1">
        <f t="shared" si="31"/>
        <v>2.5846976669245394</v>
      </c>
    </row>
    <row r="208" spans="1:49" x14ac:dyDescent="0.2">
      <c r="A208">
        <v>206</v>
      </c>
      <c r="B208" t="s">
        <v>6778</v>
      </c>
      <c r="C208" t="s">
        <v>6777</v>
      </c>
      <c r="F208" t="s">
        <v>6776</v>
      </c>
      <c r="G208" t="s">
        <v>6</v>
      </c>
      <c r="H208" t="s">
        <v>5</v>
      </c>
      <c r="I208" t="s">
        <v>6775</v>
      </c>
      <c r="N208">
        <v>1</v>
      </c>
      <c r="O208" t="s">
        <v>6774</v>
      </c>
      <c r="P208">
        <v>56697571600</v>
      </c>
      <c r="R208" s="7">
        <v>36495</v>
      </c>
      <c r="S208" s="8">
        <f t="shared" si="24"/>
        <v>1999</v>
      </c>
      <c r="T208" s="8">
        <v>1999</v>
      </c>
      <c r="U208" s="8">
        <f t="shared" si="25"/>
        <v>23</v>
      </c>
      <c r="V208" s="7">
        <v>1999</v>
      </c>
      <c r="W208" t="s">
        <v>139</v>
      </c>
      <c r="X208" s="2">
        <v>2.383</v>
      </c>
      <c r="Y208" s="6">
        <f t="shared" si="26"/>
        <v>6.3612824003630442E-2</v>
      </c>
      <c r="AA208">
        <v>189219</v>
      </c>
      <c r="AB208">
        <v>17915</v>
      </c>
      <c r="AD208" t="s">
        <v>2</v>
      </c>
      <c r="AE208">
        <v>87</v>
      </c>
      <c r="AF208">
        <v>10</v>
      </c>
      <c r="AH208" t="s">
        <v>6773</v>
      </c>
      <c r="AI208" t="s">
        <v>6772</v>
      </c>
      <c r="AK208" t="s">
        <v>6771</v>
      </c>
      <c r="AL208">
        <v>1</v>
      </c>
      <c r="AM208" s="5">
        <f t="shared" si="27"/>
        <v>4.3478260869565216E-2</v>
      </c>
      <c r="AN208" s="4">
        <f t="shared" si="28"/>
        <v>6.5851209192828807E-5</v>
      </c>
      <c r="AO208" s="3"/>
      <c r="AP208">
        <v>0</v>
      </c>
      <c r="AR208" t="s">
        <v>1</v>
      </c>
      <c r="AT208" s="2">
        <v>10.961</v>
      </c>
      <c r="AU208" s="1">
        <f t="shared" si="29"/>
        <v>4.4548732165299159</v>
      </c>
      <c r="AV208" s="1">
        <f t="shared" si="30"/>
        <v>3.183933760641164</v>
      </c>
      <c r="AW208" s="1">
        <f t="shared" si="31"/>
        <v>1.9129943047524114</v>
      </c>
    </row>
    <row r="209" spans="1:49" x14ac:dyDescent="0.2">
      <c r="A209">
        <v>207</v>
      </c>
      <c r="B209" t="s">
        <v>6770</v>
      </c>
      <c r="C209" t="s">
        <v>6769</v>
      </c>
      <c r="F209" t="s">
        <v>6768</v>
      </c>
      <c r="G209" t="s">
        <v>6</v>
      </c>
      <c r="H209" t="s">
        <v>5</v>
      </c>
      <c r="I209" t="s">
        <v>4957</v>
      </c>
      <c r="J209" t="s">
        <v>6767</v>
      </c>
      <c r="K209" t="s">
        <v>6766</v>
      </c>
      <c r="L209" t="s">
        <v>6765</v>
      </c>
      <c r="M209" t="s">
        <v>6764</v>
      </c>
      <c r="N209">
        <v>3</v>
      </c>
      <c r="O209" t="s">
        <v>4955</v>
      </c>
      <c r="P209" t="s">
        <v>4954</v>
      </c>
      <c r="Q209" t="s">
        <v>6763</v>
      </c>
      <c r="R209" s="7">
        <v>36495</v>
      </c>
      <c r="S209" s="8">
        <f t="shared" si="24"/>
        <v>1999</v>
      </c>
      <c r="T209" s="8">
        <v>1999</v>
      </c>
      <c r="U209" s="8">
        <f t="shared" si="25"/>
        <v>23</v>
      </c>
      <c r="V209" s="7">
        <v>1999</v>
      </c>
      <c r="W209" t="s">
        <v>190</v>
      </c>
      <c r="X209" s="2">
        <v>1.6379999999999999</v>
      </c>
      <c r="Y209" s="6">
        <f t="shared" si="26"/>
        <v>4.3725474493473214E-2</v>
      </c>
      <c r="AA209" t="s">
        <v>189</v>
      </c>
      <c r="AB209">
        <v>17391</v>
      </c>
      <c r="AD209" t="s">
        <v>2</v>
      </c>
      <c r="AE209">
        <v>47</v>
      </c>
      <c r="AF209">
        <v>10</v>
      </c>
      <c r="AH209" t="s">
        <v>6762</v>
      </c>
      <c r="AI209" t="s">
        <v>6761</v>
      </c>
      <c r="AK209" t="s">
        <v>6760</v>
      </c>
      <c r="AL209">
        <v>53</v>
      </c>
      <c r="AM209" s="5">
        <f t="shared" si="27"/>
        <v>2.3043478260869565</v>
      </c>
      <c r="AN209" s="4">
        <f t="shared" si="28"/>
        <v>3.4901140872199265E-3</v>
      </c>
      <c r="AO209" s="3"/>
      <c r="AP209">
        <v>0</v>
      </c>
      <c r="AR209" t="s">
        <v>1</v>
      </c>
      <c r="AT209" s="2">
        <v>4.931</v>
      </c>
      <c r="AU209" s="1">
        <f t="shared" si="29"/>
        <v>3.1654866371597228</v>
      </c>
      <c r="AV209" s="1">
        <f t="shared" si="30"/>
        <v>2.3607794290346571</v>
      </c>
      <c r="AW209" s="1">
        <f t="shared" si="31"/>
        <v>1.5560722209095914</v>
      </c>
    </row>
    <row r="210" spans="1:49" x14ac:dyDescent="0.2">
      <c r="A210">
        <v>208</v>
      </c>
      <c r="B210" t="s">
        <v>6759</v>
      </c>
      <c r="C210" t="s">
        <v>6758</v>
      </c>
      <c r="F210" t="s">
        <v>6757</v>
      </c>
      <c r="G210" t="s">
        <v>6</v>
      </c>
      <c r="H210" t="s">
        <v>5</v>
      </c>
      <c r="I210" t="s">
        <v>393</v>
      </c>
      <c r="J210">
        <v>60002838</v>
      </c>
      <c r="K210" t="s">
        <v>6756</v>
      </c>
      <c r="L210" t="s">
        <v>6755</v>
      </c>
      <c r="M210" t="s">
        <v>13</v>
      </c>
      <c r="N210">
        <v>3</v>
      </c>
      <c r="O210" t="s">
        <v>6754</v>
      </c>
      <c r="P210" t="s">
        <v>6753</v>
      </c>
      <c r="Q210" t="s">
        <v>6752</v>
      </c>
      <c r="R210" s="7">
        <v>36495</v>
      </c>
      <c r="S210" s="8">
        <f t="shared" si="24"/>
        <v>1999</v>
      </c>
      <c r="T210" s="8">
        <v>1999</v>
      </c>
      <c r="U210" s="8">
        <f t="shared" si="25"/>
        <v>23</v>
      </c>
      <c r="V210" s="7">
        <v>1999</v>
      </c>
      <c r="W210" t="s">
        <v>124</v>
      </c>
      <c r="X210" s="2">
        <v>1.6519999999999999</v>
      </c>
      <c r="Y210" s="6">
        <f t="shared" si="26"/>
        <v>4.409919649769093E-2</v>
      </c>
      <c r="AA210" t="s">
        <v>123</v>
      </c>
      <c r="AB210">
        <v>17337</v>
      </c>
      <c r="AD210" t="s">
        <v>2</v>
      </c>
      <c r="AE210">
        <v>47</v>
      </c>
      <c r="AF210">
        <v>10</v>
      </c>
      <c r="AH210" t="s">
        <v>6751</v>
      </c>
      <c r="AI210" t="s">
        <v>6750</v>
      </c>
      <c r="AK210" t="s">
        <v>6749</v>
      </c>
      <c r="AL210">
        <v>20</v>
      </c>
      <c r="AM210" s="5">
        <f t="shared" si="27"/>
        <v>0.86956521739130432</v>
      </c>
      <c r="AN210" s="4">
        <f t="shared" si="28"/>
        <v>1.317024183856576E-3</v>
      </c>
      <c r="AO210" s="3"/>
      <c r="AP210">
        <v>0</v>
      </c>
      <c r="AR210" t="s">
        <v>1</v>
      </c>
      <c r="AT210" s="2" t="s">
        <v>0</v>
      </c>
      <c r="AU210" s="1">
        <f t="shared" si="29"/>
        <v>3.1264544803540621</v>
      </c>
      <c r="AV210" s="1">
        <f t="shared" si="30"/>
        <v>2.2708110340773753</v>
      </c>
      <c r="AW210" s="1">
        <f t="shared" si="31"/>
        <v>1.4151675878006882</v>
      </c>
    </row>
    <row r="211" spans="1:49" x14ac:dyDescent="0.2">
      <c r="A211">
        <v>209</v>
      </c>
      <c r="B211" t="s">
        <v>6748</v>
      </c>
      <c r="C211" t="s">
        <v>6747</v>
      </c>
      <c r="D211" t="s">
        <v>6746</v>
      </c>
      <c r="F211" t="s">
        <v>6745</v>
      </c>
      <c r="G211" t="s">
        <v>6</v>
      </c>
      <c r="H211" t="s">
        <v>5</v>
      </c>
      <c r="I211" t="s">
        <v>6744</v>
      </c>
      <c r="J211">
        <v>60002014</v>
      </c>
      <c r="K211" t="s">
        <v>822</v>
      </c>
      <c r="L211" t="s">
        <v>448</v>
      </c>
      <c r="M211" t="s">
        <v>289</v>
      </c>
      <c r="N211">
        <v>2</v>
      </c>
      <c r="O211" t="s">
        <v>6743</v>
      </c>
      <c r="P211" t="s">
        <v>6742</v>
      </c>
      <c r="Q211" t="s">
        <v>821</v>
      </c>
      <c r="R211" s="7">
        <v>36495</v>
      </c>
      <c r="S211" s="8">
        <f t="shared" si="24"/>
        <v>1999</v>
      </c>
      <c r="T211" s="8">
        <v>1999</v>
      </c>
      <c r="U211" s="8">
        <f t="shared" si="25"/>
        <v>23</v>
      </c>
      <c r="V211" s="7">
        <v>1999</v>
      </c>
      <c r="W211" t="s">
        <v>124</v>
      </c>
      <c r="X211" s="2">
        <v>1.6519999999999999</v>
      </c>
      <c r="Y211" s="6">
        <f t="shared" si="26"/>
        <v>4.409919649769093E-2</v>
      </c>
      <c r="AA211" t="s">
        <v>123</v>
      </c>
      <c r="AB211">
        <v>17337</v>
      </c>
      <c r="AD211" t="s">
        <v>2</v>
      </c>
      <c r="AE211">
        <v>47</v>
      </c>
      <c r="AF211">
        <v>10</v>
      </c>
      <c r="AH211" t="s">
        <v>6741</v>
      </c>
      <c r="AI211" t="s">
        <v>6740</v>
      </c>
      <c r="AJ211" t="s">
        <v>6739</v>
      </c>
      <c r="AK211" t="s">
        <v>6738</v>
      </c>
      <c r="AL211">
        <v>48</v>
      </c>
      <c r="AM211" s="5">
        <f t="shared" si="27"/>
        <v>2.0869565217391304</v>
      </c>
      <c r="AN211" s="4">
        <f t="shared" si="28"/>
        <v>3.1608580412557825E-3</v>
      </c>
      <c r="AO211" s="3"/>
      <c r="AP211">
        <v>0</v>
      </c>
      <c r="AR211" t="s">
        <v>1</v>
      </c>
      <c r="AT211" s="2" t="s">
        <v>0</v>
      </c>
      <c r="AU211" s="1">
        <f t="shared" si="29"/>
        <v>3.181769496076039</v>
      </c>
      <c r="AV211" s="1">
        <f t="shared" si="30"/>
        <v>2.3630027269473359</v>
      </c>
      <c r="AW211" s="1">
        <f t="shared" si="31"/>
        <v>1.5442359578186327</v>
      </c>
    </row>
    <row r="212" spans="1:49" x14ac:dyDescent="0.2">
      <c r="A212">
        <v>210</v>
      </c>
      <c r="B212" t="s">
        <v>6737</v>
      </c>
      <c r="C212" t="s">
        <v>6736</v>
      </c>
      <c r="D212" t="s">
        <v>6735</v>
      </c>
      <c r="F212" t="s">
        <v>6734</v>
      </c>
      <c r="G212" t="s">
        <v>6</v>
      </c>
      <c r="H212" t="s">
        <v>5</v>
      </c>
      <c r="I212" t="s">
        <v>6733</v>
      </c>
      <c r="N212">
        <v>1</v>
      </c>
      <c r="O212" t="s">
        <v>6732</v>
      </c>
      <c r="P212">
        <v>6602320569</v>
      </c>
      <c r="R212" s="7">
        <v>36495</v>
      </c>
      <c r="S212" s="8">
        <f t="shared" si="24"/>
        <v>1999</v>
      </c>
      <c r="T212" s="8">
        <v>1999</v>
      </c>
      <c r="U212" s="8">
        <f t="shared" si="25"/>
        <v>23</v>
      </c>
      <c r="V212" s="7">
        <v>1999</v>
      </c>
      <c r="W212" t="s">
        <v>124</v>
      </c>
      <c r="X212" s="2">
        <v>1.6519999999999999</v>
      </c>
      <c r="Y212" s="6">
        <f t="shared" si="26"/>
        <v>4.409919649769093E-2</v>
      </c>
      <c r="AA212" t="s">
        <v>123</v>
      </c>
      <c r="AB212">
        <v>17337</v>
      </c>
      <c r="AD212" t="s">
        <v>2</v>
      </c>
      <c r="AE212">
        <v>47</v>
      </c>
      <c r="AF212">
        <v>10</v>
      </c>
      <c r="AH212" t="s">
        <v>6731</v>
      </c>
      <c r="AI212" t="s">
        <v>6730</v>
      </c>
      <c r="AJ212" t="s">
        <v>6729</v>
      </c>
      <c r="AK212" t="s">
        <v>6728</v>
      </c>
      <c r="AL212">
        <v>43</v>
      </c>
      <c r="AM212" s="5">
        <f t="shared" si="27"/>
        <v>1.8695652173913044</v>
      </c>
      <c r="AN212" s="4">
        <f t="shared" si="28"/>
        <v>2.8316019952916386E-3</v>
      </c>
      <c r="AO212" s="3"/>
      <c r="AP212">
        <v>0</v>
      </c>
      <c r="AR212" t="s">
        <v>1</v>
      </c>
      <c r="AT212" s="2" t="s">
        <v>0</v>
      </c>
      <c r="AU212" s="1">
        <f t="shared" si="29"/>
        <v>3.1718918146971142</v>
      </c>
      <c r="AV212" s="1">
        <f t="shared" si="30"/>
        <v>2.3465399246491283</v>
      </c>
      <c r="AW212" s="1">
        <f t="shared" si="31"/>
        <v>1.5211880346011424</v>
      </c>
    </row>
    <row r="213" spans="1:49" x14ac:dyDescent="0.2">
      <c r="A213">
        <v>211</v>
      </c>
      <c r="B213" t="s">
        <v>6727</v>
      </c>
      <c r="C213" t="s">
        <v>6726</v>
      </c>
      <c r="F213" t="s">
        <v>6725</v>
      </c>
      <c r="G213" t="s">
        <v>6</v>
      </c>
      <c r="H213" t="s">
        <v>5</v>
      </c>
      <c r="I213" t="s">
        <v>6724</v>
      </c>
      <c r="J213">
        <v>60003858</v>
      </c>
      <c r="K213" t="s">
        <v>6723</v>
      </c>
      <c r="L213" t="s">
        <v>410</v>
      </c>
      <c r="M213" t="s">
        <v>289</v>
      </c>
      <c r="N213">
        <v>3</v>
      </c>
      <c r="O213" t="s">
        <v>6722</v>
      </c>
      <c r="P213" t="s">
        <v>6721</v>
      </c>
      <c r="Q213" t="s">
        <v>6720</v>
      </c>
      <c r="R213" s="7">
        <v>36495</v>
      </c>
      <c r="S213" s="8">
        <f t="shared" si="24"/>
        <v>1999</v>
      </c>
      <c r="T213" s="8">
        <v>1999</v>
      </c>
      <c r="U213" s="8">
        <f t="shared" si="25"/>
        <v>23</v>
      </c>
      <c r="V213" s="7">
        <v>1999</v>
      </c>
      <c r="W213" t="s">
        <v>167</v>
      </c>
      <c r="X213" s="2">
        <v>1.468</v>
      </c>
      <c r="Y213" s="6">
        <f t="shared" si="26"/>
        <v>3.9187421585115186E-2</v>
      </c>
      <c r="AA213">
        <v>906778</v>
      </c>
      <c r="AB213">
        <v>18931</v>
      </c>
      <c r="AD213" t="s">
        <v>2</v>
      </c>
      <c r="AE213">
        <v>47</v>
      </c>
      <c r="AF213">
        <v>10</v>
      </c>
      <c r="AH213" t="s">
        <v>6719</v>
      </c>
      <c r="AI213" t="s">
        <v>6718</v>
      </c>
      <c r="AK213" t="s">
        <v>6717</v>
      </c>
      <c r="AL213">
        <v>52</v>
      </c>
      <c r="AM213" s="5">
        <f t="shared" si="27"/>
        <v>2.2608695652173911</v>
      </c>
      <c r="AN213" s="4">
        <f t="shared" si="28"/>
        <v>3.4242628780270976E-3</v>
      </c>
      <c r="AO213" s="3"/>
      <c r="AP213">
        <v>0</v>
      </c>
      <c r="AR213" t="s">
        <v>1</v>
      </c>
      <c r="AT213" s="2">
        <v>5.0830000000000002</v>
      </c>
      <c r="AU213" s="1">
        <f t="shared" si="29"/>
        <v>2.8458473972988756</v>
      </c>
      <c r="AV213" s="1">
        <f t="shared" si="30"/>
        <v>2.1305842231571144</v>
      </c>
      <c r="AW213" s="1">
        <f t="shared" si="31"/>
        <v>1.4153210490153525</v>
      </c>
    </row>
    <row r="214" spans="1:49" x14ac:dyDescent="0.2">
      <c r="A214">
        <v>212</v>
      </c>
      <c r="B214" t="s">
        <v>6716</v>
      </c>
      <c r="C214" t="s">
        <v>6715</v>
      </c>
      <c r="F214" t="s">
        <v>6714</v>
      </c>
      <c r="G214" t="s">
        <v>6</v>
      </c>
      <c r="H214" t="s">
        <v>5</v>
      </c>
      <c r="I214" t="s">
        <v>2271</v>
      </c>
      <c r="J214" t="s">
        <v>2270</v>
      </c>
      <c r="K214" t="s">
        <v>2269</v>
      </c>
      <c r="L214" t="s">
        <v>2268</v>
      </c>
      <c r="M214" t="s">
        <v>2267</v>
      </c>
      <c r="N214">
        <v>1</v>
      </c>
      <c r="O214" t="s">
        <v>6713</v>
      </c>
      <c r="P214">
        <v>15623757700</v>
      </c>
      <c r="Q214" t="s">
        <v>2265</v>
      </c>
      <c r="R214" s="7">
        <v>36495</v>
      </c>
      <c r="S214" s="8">
        <f t="shared" si="24"/>
        <v>1999</v>
      </c>
      <c r="T214" s="8">
        <v>1999</v>
      </c>
      <c r="U214" s="8">
        <f t="shared" si="25"/>
        <v>23</v>
      </c>
      <c r="V214" s="7">
        <v>1999</v>
      </c>
      <c r="W214" t="s">
        <v>53</v>
      </c>
      <c r="X214" s="2">
        <v>0.88100000000000001</v>
      </c>
      <c r="Y214" s="6">
        <f t="shared" si="26"/>
        <v>2.3517791836843653E-2</v>
      </c>
      <c r="AA214">
        <v>10459243</v>
      </c>
      <c r="AB214">
        <v>17248</v>
      </c>
      <c r="AD214" t="s">
        <v>2</v>
      </c>
      <c r="AE214">
        <v>41</v>
      </c>
      <c r="AF214">
        <v>6</v>
      </c>
      <c r="AH214" t="s">
        <v>6712</v>
      </c>
      <c r="AI214" t="s">
        <v>6711</v>
      </c>
      <c r="AJ214" t="s">
        <v>6710</v>
      </c>
      <c r="AK214" t="s">
        <v>6709</v>
      </c>
      <c r="AL214">
        <v>23</v>
      </c>
      <c r="AM214" s="5">
        <f t="shared" si="27"/>
        <v>1</v>
      </c>
      <c r="AN214" s="4">
        <f t="shared" si="28"/>
        <v>1.5145778114350624E-3</v>
      </c>
      <c r="AO214" s="3"/>
      <c r="AP214">
        <v>0</v>
      </c>
      <c r="AR214" t="s">
        <v>1</v>
      </c>
      <c r="AT214" s="2" t="s">
        <v>0</v>
      </c>
      <c r="AU214" s="1">
        <f t="shared" si="29"/>
        <v>1.6916827629221074</v>
      </c>
      <c r="AV214" s="1">
        <f t="shared" si="30"/>
        <v>1.2516184824139358</v>
      </c>
      <c r="AW214" s="1">
        <f t="shared" si="31"/>
        <v>0.81155420190576388</v>
      </c>
    </row>
    <row r="215" spans="1:49" x14ac:dyDescent="0.2">
      <c r="A215">
        <v>213</v>
      </c>
      <c r="B215" t="s">
        <v>6708</v>
      </c>
      <c r="F215" t="s">
        <v>6707</v>
      </c>
      <c r="G215" t="s">
        <v>6</v>
      </c>
      <c r="H215" t="s">
        <v>5</v>
      </c>
      <c r="I215" t="s">
        <v>6706</v>
      </c>
      <c r="J215">
        <v>60031828</v>
      </c>
      <c r="K215" t="s">
        <v>6705</v>
      </c>
      <c r="L215" t="s">
        <v>6704</v>
      </c>
      <c r="M215" t="s">
        <v>125</v>
      </c>
      <c r="N215">
        <v>1</v>
      </c>
      <c r="O215" t="s">
        <v>6703</v>
      </c>
      <c r="P215">
        <v>7006198109</v>
      </c>
      <c r="Q215">
        <v>60031828</v>
      </c>
      <c r="R215" s="7">
        <v>36495</v>
      </c>
      <c r="S215" s="8">
        <f t="shared" si="24"/>
        <v>1999</v>
      </c>
      <c r="T215" s="8">
        <v>1999</v>
      </c>
      <c r="U215" s="8">
        <f t="shared" si="25"/>
        <v>23</v>
      </c>
      <c r="V215" s="7">
        <v>1999</v>
      </c>
      <c r="W215" t="s">
        <v>87</v>
      </c>
      <c r="X215" s="2">
        <v>0.54700000000000004</v>
      </c>
      <c r="Y215" s="6">
        <f t="shared" si="26"/>
        <v>1.4601852593363766E-2</v>
      </c>
      <c r="AA215">
        <v>11096</v>
      </c>
      <c r="AB215">
        <v>31211</v>
      </c>
      <c r="AD215" t="s">
        <v>2</v>
      </c>
      <c r="AE215">
        <v>53</v>
      </c>
      <c r="AF215">
        <v>6</v>
      </c>
      <c r="AH215" t="s">
        <v>6702</v>
      </c>
      <c r="AI215" t="s">
        <v>6701</v>
      </c>
      <c r="AK215" t="s">
        <v>6700</v>
      </c>
      <c r="AL215">
        <v>116</v>
      </c>
      <c r="AM215" s="5">
        <f t="shared" si="27"/>
        <v>5.0434782608695654</v>
      </c>
      <c r="AN215" s="4">
        <f t="shared" si="28"/>
        <v>7.6387402663681417E-3</v>
      </c>
      <c r="AO215" s="3"/>
      <c r="AP215">
        <v>0</v>
      </c>
      <c r="AR215" t="s">
        <v>1</v>
      </c>
      <c r="AT215" s="2" t="s">
        <v>0</v>
      </c>
      <c r="AU215" s="1">
        <f t="shared" si="29"/>
        <v>1.2512918895265079</v>
      </c>
      <c r="AV215" s="1">
        <f t="shared" si="30"/>
        <v>1.1120296429865955</v>
      </c>
      <c r="AW215" s="1">
        <f t="shared" si="31"/>
        <v>0.97276739644668286</v>
      </c>
    </row>
    <row r="216" spans="1:49" x14ac:dyDescent="0.2">
      <c r="A216">
        <v>214</v>
      </c>
      <c r="B216" t="s">
        <v>6699</v>
      </c>
      <c r="C216" t="s">
        <v>6698</v>
      </c>
      <c r="F216" t="s">
        <v>6697</v>
      </c>
      <c r="G216" t="s">
        <v>6</v>
      </c>
      <c r="H216" t="s">
        <v>5</v>
      </c>
      <c r="I216" t="s">
        <v>6696</v>
      </c>
      <c r="J216">
        <v>60027550</v>
      </c>
      <c r="K216" t="s">
        <v>22</v>
      </c>
      <c r="L216" t="s">
        <v>21</v>
      </c>
      <c r="M216" t="s">
        <v>3</v>
      </c>
      <c r="N216">
        <v>4</v>
      </c>
      <c r="O216" t="s">
        <v>6695</v>
      </c>
      <c r="P216" t="s">
        <v>6694</v>
      </c>
      <c r="Q216" t="s">
        <v>662</v>
      </c>
      <c r="R216" s="7">
        <v>36495</v>
      </c>
      <c r="S216" s="8">
        <f t="shared" si="24"/>
        <v>1999</v>
      </c>
      <c r="T216" s="8">
        <v>1999</v>
      </c>
      <c r="U216" s="8">
        <f t="shared" si="25"/>
        <v>23</v>
      </c>
      <c r="V216" s="7">
        <v>1999</v>
      </c>
      <c r="W216" t="s">
        <v>227</v>
      </c>
      <c r="X216" s="2">
        <v>0.375</v>
      </c>
      <c r="Y216" s="6">
        <f t="shared" si="26"/>
        <v>1.0010410827260351E-2</v>
      </c>
      <c r="AA216">
        <v>135194</v>
      </c>
      <c r="AB216">
        <v>24918</v>
      </c>
      <c r="AD216" t="s">
        <v>2</v>
      </c>
      <c r="AE216">
        <v>35</v>
      </c>
      <c r="AF216">
        <v>22</v>
      </c>
      <c r="AH216" t="s">
        <v>6693</v>
      </c>
      <c r="AI216" t="s">
        <v>6692</v>
      </c>
      <c r="AK216" t="s">
        <v>6691</v>
      </c>
      <c r="AL216">
        <v>6</v>
      </c>
      <c r="AM216" s="5">
        <f t="shared" si="27"/>
        <v>0.2608695652173913</v>
      </c>
      <c r="AN216" s="4">
        <f t="shared" si="28"/>
        <v>3.9510725515697282E-4</v>
      </c>
      <c r="AO216" s="3"/>
      <c r="AP216">
        <v>0</v>
      </c>
      <c r="AR216" t="s">
        <v>1</v>
      </c>
      <c r="AT216" s="2">
        <v>1.3140000000000001</v>
      </c>
      <c r="AU216" s="1">
        <f t="shared" si="29"/>
        <v>0.71258197556293379</v>
      </c>
      <c r="AV216" s="1">
        <f t="shared" si="30"/>
        <v>0.52027590412086622</v>
      </c>
      <c r="AW216" s="1">
        <f t="shared" si="31"/>
        <v>0.32796983267879859</v>
      </c>
    </row>
    <row r="217" spans="1:49" x14ac:dyDescent="0.2">
      <c r="A217">
        <v>215</v>
      </c>
      <c r="B217" t="s">
        <v>6690</v>
      </c>
      <c r="C217" t="s">
        <v>6689</v>
      </c>
      <c r="F217" t="s">
        <v>6688</v>
      </c>
      <c r="G217" t="s">
        <v>6</v>
      </c>
      <c r="H217" t="s">
        <v>5</v>
      </c>
      <c r="I217" t="s">
        <v>1292</v>
      </c>
      <c r="J217">
        <v>60011357</v>
      </c>
      <c r="K217" t="s">
        <v>218</v>
      </c>
      <c r="L217" t="s">
        <v>217</v>
      </c>
      <c r="M217" t="s">
        <v>133</v>
      </c>
      <c r="N217">
        <v>3</v>
      </c>
      <c r="O217" t="s">
        <v>6687</v>
      </c>
      <c r="P217" t="s">
        <v>6686</v>
      </c>
      <c r="Q217" t="s">
        <v>657</v>
      </c>
      <c r="R217" s="7">
        <v>36495</v>
      </c>
      <c r="S217" s="8">
        <f t="shared" si="24"/>
        <v>1999</v>
      </c>
      <c r="T217" s="8">
        <v>1999</v>
      </c>
      <c r="U217" s="8">
        <f t="shared" si="25"/>
        <v>23</v>
      </c>
      <c r="V217" s="7">
        <v>1999</v>
      </c>
      <c r="W217" t="s">
        <v>162</v>
      </c>
      <c r="X217" s="2">
        <v>0.30399999999999999</v>
      </c>
      <c r="Y217" s="6">
        <f t="shared" si="26"/>
        <v>8.115106377299057E-3</v>
      </c>
      <c r="AA217">
        <v>8952477</v>
      </c>
      <c r="AB217">
        <v>12250</v>
      </c>
      <c r="AD217" t="s">
        <v>2</v>
      </c>
      <c r="AE217">
        <v>23</v>
      </c>
      <c r="AF217">
        <v>6</v>
      </c>
      <c r="AH217" t="s">
        <v>6685</v>
      </c>
      <c r="AI217" t="s">
        <v>6684</v>
      </c>
      <c r="AK217" t="s">
        <v>6683</v>
      </c>
      <c r="AL217">
        <v>33</v>
      </c>
      <c r="AM217" s="5">
        <f t="shared" si="27"/>
        <v>1.4347826086956521</v>
      </c>
      <c r="AN217" s="4">
        <f t="shared" si="28"/>
        <v>2.1730899033633503E-3</v>
      </c>
      <c r="AO217" s="3"/>
      <c r="AP217">
        <v>0</v>
      </c>
      <c r="AR217" t="s">
        <v>1</v>
      </c>
      <c r="AT217" s="2" t="s">
        <v>0</v>
      </c>
      <c r="AU217" s="1">
        <f t="shared" si="29"/>
        <v>0.6332501435118344</v>
      </c>
      <c r="AV217" s="1">
        <f t="shared" si="30"/>
        <v>0.51440981403312036</v>
      </c>
      <c r="AW217" s="1">
        <f t="shared" si="31"/>
        <v>0.39556948455440627</v>
      </c>
    </row>
    <row r="218" spans="1:49" x14ac:dyDescent="0.2">
      <c r="A218">
        <v>216</v>
      </c>
      <c r="B218" t="s">
        <v>6682</v>
      </c>
      <c r="C218" t="s">
        <v>6681</v>
      </c>
      <c r="F218" t="s">
        <v>6680</v>
      </c>
      <c r="G218" t="s">
        <v>6</v>
      </c>
      <c r="H218" t="s">
        <v>5</v>
      </c>
      <c r="I218" t="s">
        <v>6679</v>
      </c>
      <c r="J218">
        <v>60031101</v>
      </c>
      <c r="K218" t="s">
        <v>6678</v>
      </c>
      <c r="L218" t="s">
        <v>137</v>
      </c>
      <c r="M218" t="s">
        <v>58</v>
      </c>
      <c r="N218">
        <v>3</v>
      </c>
      <c r="O218" t="s">
        <v>6677</v>
      </c>
      <c r="P218" t="s">
        <v>6676</v>
      </c>
      <c r="Q218" t="s">
        <v>6675</v>
      </c>
      <c r="R218" s="7">
        <v>36495</v>
      </c>
      <c r="S218" s="8">
        <f t="shared" si="24"/>
        <v>1999</v>
      </c>
      <c r="T218" s="8">
        <v>1999</v>
      </c>
      <c r="U218" s="8">
        <f t="shared" si="25"/>
        <v>23</v>
      </c>
      <c r="V218" s="7">
        <v>1999</v>
      </c>
      <c r="W218" t="s">
        <v>6674</v>
      </c>
      <c r="X218" s="2">
        <v>0.76700000000000002</v>
      </c>
      <c r="Y218" s="6">
        <f t="shared" si="26"/>
        <v>2.0474626945356504E-2</v>
      </c>
      <c r="AA218">
        <v>983063</v>
      </c>
      <c r="AB218">
        <v>26048</v>
      </c>
      <c r="AD218" t="s">
        <v>2</v>
      </c>
      <c r="AE218">
        <v>45</v>
      </c>
      <c r="AF218">
        <v>4</v>
      </c>
      <c r="AH218" t="s">
        <v>6673</v>
      </c>
      <c r="AI218" t="s">
        <v>6672</v>
      </c>
      <c r="AK218" t="s">
        <v>6671</v>
      </c>
      <c r="AL218">
        <v>3</v>
      </c>
      <c r="AM218" s="5">
        <f t="shared" si="27"/>
        <v>0.13043478260869565</v>
      </c>
      <c r="AN218" s="4">
        <f t="shared" si="28"/>
        <v>1.9755362757848641E-4</v>
      </c>
      <c r="AO218" s="3"/>
      <c r="AP218">
        <v>0</v>
      </c>
      <c r="AR218" t="s">
        <v>1</v>
      </c>
      <c r="AT218" s="2" t="s">
        <v>0</v>
      </c>
      <c r="AU218" s="1">
        <f t="shared" si="29"/>
        <v>1.4391504950023097</v>
      </c>
      <c r="AV218" s="1">
        <f t="shared" si="30"/>
        <v>1.0336090286467494</v>
      </c>
      <c r="AW218" s="1">
        <f t="shared" si="31"/>
        <v>0.6280675622911891</v>
      </c>
    </row>
    <row r="219" spans="1:49" x14ac:dyDescent="0.2">
      <c r="A219">
        <v>217</v>
      </c>
      <c r="B219" t="s">
        <v>6670</v>
      </c>
      <c r="C219" t="s">
        <v>6669</v>
      </c>
      <c r="F219" t="s">
        <v>6668</v>
      </c>
      <c r="G219" t="s">
        <v>6</v>
      </c>
      <c r="H219" t="s">
        <v>5</v>
      </c>
      <c r="I219" t="s">
        <v>6667</v>
      </c>
      <c r="J219">
        <v>101338252</v>
      </c>
      <c r="K219" t="s">
        <v>6666</v>
      </c>
      <c r="L219" t="s">
        <v>471</v>
      </c>
      <c r="M219" t="s">
        <v>127</v>
      </c>
      <c r="N219">
        <v>2</v>
      </c>
      <c r="O219" t="s">
        <v>6665</v>
      </c>
      <c r="P219" t="s">
        <v>6664</v>
      </c>
      <c r="Q219" t="s">
        <v>6663</v>
      </c>
      <c r="R219" s="7">
        <v>36495</v>
      </c>
      <c r="S219" s="8">
        <f t="shared" si="24"/>
        <v>1999</v>
      </c>
      <c r="T219" s="8">
        <v>1999</v>
      </c>
      <c r="U219" s="8">
        <f t="shared" si="25"/>
        <v>23</v>
      </c>
      <c r="V219" s="7">
        <v>1999</v>
      </c>
      <c r="W219" t="s">
        <v>124</v>
      </c>
      <c r="X219" s="2">
        <v>1.6519999999999999</v>
      </c>
      <c r="Y219" s="6">
        <f t="shared" si="26"/>
        <v>4.409919649769093E-2</v>
      </c>
      <c r="AA219" t="s">
        <v>123</v>
      </c>
      <c r="AB219">
        <v>17337</v>
      </c>
      <c r="AD219" t="s">
        <v>2</v>
      </c>
      <c r="AE219">
        <v>47</v>
      </c>
      <c r="AF219">
        <v>9</v>
      </c>
      <c r="AH219" t="s">
        <v>6662</v>
      </c>
      <c r="AI219" t="s">
        <v>6661</v>
      </c>
      <c r="AK219" t="s">
        <v>6660</v>
      </c>
      <c r="AL219">
        <v>1</v>
      </c>
      <c r="AM219" s="5">
        <f t="shared" si="27"/>
        <v>4.3478260869565216E-2</v>
      </c>
      <c r="AN219" s="4">
        <f t="shared" si="28"/>
        <v>6.5851209192828807E-5</v>
      </c>
      <c r="AO219" s="3"/>
      <c r="AP219">
        <v>0</v>
      </c>
      <c r="AR219" t="s">
        <v>1</v>
      </c>
      <c r="AT219" s="2" t="s">
        <v>0</v>
      </c>
      <c r="AU219" s="1">
        <f t="shared" si="29"/>
        <v>3.0889192911141499</v>
      </c>
      <c r="AV219" s="1">
        <f t="shared" si="30"/>
        <v>2.208252385344188</v>
      </c>
      <c r="AW219" s="1">
        <f t="shared" si="31"/>
        <v>1.3275854795742259</v>
      </c>
    </row>
    <row r="220" spans="1:49" x14ac:dyDescent="0.2">
      <c r="A220">
        <v>218</v>
      </c>
      <c r="B220" t="s">
        <v>6659</v>
      </c>
      <c r="C220" t="s">
        <v>6658</v>
      </c>
      <c r="D220" t="s">
        <v>6657</v>
      </c>
      <c r="F220" t="s">
        <v>6656</v>
      </c>
      <c r="G220" t="s">
        <v>6</v>
      </c>
      <c r="H220" t="s">
        <v>5</v>
      </c>
      <c r="I220" t="s">
        <v>6655</v>
      </c>
      <c r="J220">
        <v>60017161</v>
      </c>
      <c r="K220" t="s">
        <v>340</v>
      </c>
      <c r="L220" t="s">
        <v>306</v>
      </c>
      <c r="M220" t="s">
        <v>305</v>
      </c>
      <c r="N220">
        <v>5</v>
      </c>
      <c r="O220" t="s">
        <v>6654</v>
      </c>
      <c r="P220" t="s">
        <v>6653</v>
      </c>
      <c r="Q220" t="s">
        <v>355</v>
      </c>
      <c r="R220" s="7">
        <v>36495</v>
      </c>
      <c r="S220" s="8">
        <f t="shared" si="24"/>
        <v>1999</v>
      </c>
      <c r="T220" s="8">
        <v>1999</v>
      </c>
      <c r="U220" s="8">
        <f t="shared" si="25"/>
        <v>23</v>
      </c>
      <c r="V220" s="7">
        <v>1999</v>
      </c>
      <c r="W220" t="s">
        <v>124</v>
      </c>
      <c r="X220" s="2">
        <v>1.6519999999999999</v>
      </c>
      <c r="Y220" s="6">
        <f t="shared" si="26"/>
        <v>4.409919649769093E-2</v>
      </c>
      <c r="AA220" t="s">
        <v>123</v>
      </c>
      <c r="AB220">
        <v>17337</v>
      </c>
      <c r="AD220" t="s">
        <v>2</v>
      </c>
      <c r="AE220">
        <v>47</v>
      </c>
      <c r="AF220">
        <v>9</v>
      </c>
      <c r="AH220" t="s">
        <v>6652</v>
      </c>
      <c r="AI220" t="s">
        <v>6651</v>
      </c>
      <c r="AJ220" t="s">
        <v>6650</v>
      </c>
      <c r="AK220" t="s">
        <v>6649</v>
      </c>
      <c r="AL220">
        <v>98</v>
      </c>
      <c r="AM220" s="5">
        <f t="shared" si="27"/>
        <v>4.2608695652173916</v>
      </c>
      <c r="AN220" s="4">
        <f t="shared" si="28"/>
        <v>6.4534185008972228E-3</v>
      </c>
      <c r="AO220" s="3"/>
      <c r="AP220">
        <v>0</v>
      </c>
      <c r="AR220" t="s">
        <v>1</v>
      </c>
      <c r="AT220" s="2" t="s">
        <v>0</v>
      </c>
      <c r="AU220" s="1">
        <f t="shared" si="29"/>
        <v>3.2805463098652816</v>
      </c>
      <c r="AV220" s="1">
        <f t="shared" si="30"/>
        <v>2.5276307499294077</v>
      </c>
      <c r="AW220" s="1">
        <f t="shared" si="31"/>
        <v>1.7747151899935334</v>
      </c>
    </row>
    <row r="221" spans="1:49" x14ac:dyDescent="0.2">
      <c r="A221">
        <v>219</v>
      </c>
      <c r="B221" t="s">
        <v>6648</v>
      </c>
      <c r="C221" t="s">
        <v>6647</v>
      </c>
      <c r="D221" t="s">
        <v>6646</v>
      </c>
      <c r="F221" t="s">
        <v>6645</v>
      </c>
      <c r="G221" t="s">
        <v>6</v>
      </c>
      <c r="H221" t="s">
        <v>5</v>
      </c>
      <c r="I221" t="s">
        <v>6644</v>
      </c>
      <c r="J221">
        <v>60005429</v>
      </c>
      <c r="K221" t="s">
        <v>135</v>
      </c>
      <c r="L221" t="s">
        <v>134</v>
      </c>
      <c r="M221" t="s">
        <v>133</v>
      </c>
      <c r="N221">
        <v>1</v>
      </c>
      <c r="O221" t="s">
        <v>6643</v>
      </c>
      <c r="P221">
        <v>7404961676</v>
      </c>
      <c r="Q221">
        <v>60005429</v>
      </c>
      <c r="R221" s="7">
        <v>36495</v>
      </c>
      <c r="S221" s="8">
        <f t="shared" si="24"/>
        <v>1999</v>
      </c>
      <c r="T221" s="8">
        <v>1999</v>
      </c>
      <c r="U221" s="8">
        <f t="shared" si="25"/>
        <v>23</v>
      </c>
      <c r="V221" s="7">
        <v>1999</v>
      </c>
      <c r="W221" t="s">
        <v>124</v>
      </c>
      <c r="X221" s="2">
        <v>1.6519999999999999</v>
      </c>
      <c r="Y221" s="6">
        <f t="shared" si="26"/>
        <v>4.409919649769093E-2</v>
      </c>
      <c r="AA221" t="s">
        <v>123</v>
      </c>
      <c r="AB221">
        <v>17337</v>
      </c>
      <c r="AD221" t="s">
        <v>2</v>
      </c>
      <c r="AE221">
        <v>47</v>
      </c>
      <c r="AF221">
        <v>10</v>
      </c>
      <c r="AH221" t="s">
        <v>6642</v>
      </c>
      <c r="AI221" t="s">
        <v>6641</v>
      </c>
      <c r="AJ221" t="s">
        <v>6640</v>
      </c>
      <c r="AK221" t="s">
        <v>6639</v>
      </c>
      <c r="AL221">
        <v>40</v>
      </c>
      <c r="AM221" s="5">
        <f t="shared" si="27"/>
        <v>1.7391304347826086</v>
      </c>
      <c r="AN221" s="4">
        <f t="shared" si="28"/>
        <v>2.634048367713152E-3</v>
      </c>
      <c r="AO221" s="3"/>
      <c r="AP221">
        <v>0</v>
      </c>
      <c r="AQ221" t="s">
        <v>84</v>
      </c>
      <c r="AR221" t="s">
        <v>6638</v>
      </c>
      <c r="AS221" t="s">
        <v>83</v>
      </c>
      <c r="AT221" s="2" t="s">
        <v>0</v>
      </c>
      <c r="AU221" s="1">
        <f t="shared" si="29"/>
        <v>3.1659652058697598</v>
      </c>
      <c r="AV221" s="1">
        <f t="shared" si="30"/>
        <v>2.336662243270204</v>
      </c>
      <c r="AW221" s="1">
        <f t="shared" si="31"/>
        <v>1.5073592806706484</v>
      </c>
    </row>
    <row r="222" spans="1:49" x14ac:dyDescent="0.2">
      <c r="A222">
        <v>220</v>
      </c>
      <c r="B222" t="s">
        <v>6637</v>
      </c>
      <c r="C222" t="s">
        <v>6636</v>
      </c>
      <c r="D222" t="s">
        <v>6635</v>
      </c>
      <c r="F222" t="s">
        <v>6634</v>
      </c>
      <c r="G222" t="s">
        <v>6</v>
      </c>
      <c r="H222" t="s">
        <v>5</v>
      </c>
      <c r="I222" t="s">
        <v>6633</v>
      </c>
      <c r="J222">
        <v>60033019</v>
      </c>
      <c r="K222" t="s">
        <v>3149</v>
      </c>
      <c r="L222" t="s">
        <v>3148</v>
      </c>
      <c r="M222" t="s">
        <v>23</v>
      </c>
      <c r="N222">
        <v>4</v>
      </c>
      <c r="O222" t="s">
        <v>6632</v>
      </c>
      <c r="P222" t="s">
        <v>6631</v>
      </c>
      <c r="Q222" t="s">
        <v>6630</v>
      </c>
      <c r="R222" s="7">
        <v>36495</v>
      </c>
      <c r="S222" s="8">
        <f t="shared" si="24"/>
        <v>1999</v>
      </c>
      <c r="T222" s="8">
        <v>1999</v>
      </c>
      <c r="U222" s="8">
        <f t="shared" si="25"/>
        <v>23</v>
      </c>
      <c r="V222" s="7">
        <v>1999</v>
      </c>
      <c r="W222" t="s">
        <v>124</v>
      </c>
      <c r="X222" s="2">
        <v>1.6519999999999999</v>
      </c>
      <c r="Y222" s="6">
        <f t="shared" si="26"/>
        <v>4.409919649769093E-2</v>
      </c>
      <c r="AA222" t="s">
        <v>123</v>
      </c>
      <c r="AB222">
        <v>17337</v>
      </c>
      <c r="AD222" t="s">
        <v>2</v>
      </c>
      <c r="AE222">
        <v>47</v>
      </c>
      <c r="AF222">
        <v>9</v>
      </c>
      <c r="AH222" t="s">
        <v>6629</v>
      </c>
      <c r="AI222" t="s">
        <v>6628</v>
      </c>
      <c r="AJ222" t="s">
        <v>6627</v>
      </c>
      <c r="AK222" t="s">
        <v>6626</v>
      </c>
      <c r="AL222">
        <v>0</v>
      </c>
      <c r="AM222" s="5">
        <f t="shared" si="27"/>
        <v>0</v>
      </c>
      <c r="AN222" s="4">
        <f t="shared" si="28"/>
        <v>0</v>
      </c>
      <c r="AO222" s="3"/>
      <c r="AP222">
        <v>0</v>
      </c>
      <c r="AQ222" t="s">
        <v>679</v>
      </c>
      <c r="AR222" t="s">
        <v>6625</v>
      </c>
      <c r="AS222" t="s">
        <v>5420</v>
      </c>
      <c r="AT222" s="2" t="s">
        <v>0</v>
      </c>
      <c r="AU222" s="1">
        <f t="shared" si="29"/>
        <v>3.0869437548383649</v>
      </c>
      <c r="AV222" s="1">
        <f t="shared" si="30"/>
        <v>2.2049598248845466</v>
      </c>
      <c r="AW222" s="1">
        <f t="shared" si="31"/>
        <v>1.3229758949307278</v>
      </c>
    </row>
    <row r="223" spans="1:49" x14ac:dyDescent="0.2">
      <c r="A223">
        <v>221</v>
      </c>
      <c r="B223" t="s">
        <v>6624</v>
      </c>
      <c r="C223" t="s">
        <v>6623</v>
      </c>
      <c r="F223" t="s">
        <v>6622</v>
      </c>
      <c r="G223" t="s">
        <v>6</v>
      </c>
      <c r="H223" t="s">
        <v>5</v>
      </c>
      <c r="I223" t="s">
        <v>6621</v>
      </c>
      <c r="J223" t="s">
        <v>6620</v>
      </c>
      <c r="K223" t="s">
        <v>6619</v>
      </c>
      <c r="L223" t="s">
        <v>6618</v>
      </c>
      <c r="M223" t="s">
        <v>498</v>
      </c>
      <c r="N223">
        <v>3</v>
      </c>
      <c r="O223" t="s">
        <v>6617</v>
      </c>
      <c r="P223" t="s">
        <v>6616</v>
      </c>
      <c r="Q223" t="s">
        <v>6615</v>
      </c>
      <c r="R223" s="7">
        <v>36495</v>
      </c>
      <c r="S223" s="8">
        <f t="shared" si="24"/>
        <v>1999</v>
      </c>
      <c r="T223" s="8">
        <v>1999</v>
      </c>
      <c r="U223" s="8">
        <f t="shared" si="25"/>
        <v>23</v>
      </c>
      <c r="V223" s="7">
        <v>1999</v>
      </c>
      <c r="W223" t="s">
        <v>190</v>
      </c>
      <c r="X223" s="2">
        <v>1.6379999999999999</v>
      </c>
      <c r="Y223" s="6">
        <f t="shared" si="26"/>
        <v>4.3725474493473214E-2</v>
      </c>
      <c r="AA223" t="s">
        <v>189</v>
      </c>
      <c r="AB223">
        <v>17391</v>
      </c>
      <c r="AD223" t="s">
        <v>2</v>
      </c>
      <c r="AE223">
        <v>47</v>
      </c>
      <c r="AF223">
        <v>10</v>
      </c>
      <c r="AH223" t="s">
        <v>6614</v>
      </c>
      <c r="AI223" t="s">
        <v>6613</v>
      </c>
      <c r="AK223" t="s">
        <v>6612</v>
      </c>
      <c r="AL223">
        <v>20</v>
      </c>
      <c r="AM223" s="5">
        <f t="shared" si="27"/>
        <v>0.86956521739130432</v>
      </c>
      <c r="AN223" s="4">
        <f t="shared" si="28"/>
        <v>1.317024183856576E-3</v>
      </c>
      <c r="AO223" s="3"/>
      <c r="AP223">
        <v>0</v>
      </c>
      <c r="AR223" t="s">
        <v>1</v>
      </c>
      <c r="AT223" s="2">
        <v>4.931</v>
      </c>
      <c r="AU223" s="1">
        <f t="shared" si="29"/>
        <v>3.1002939400588221</v>
      </c>
      <c r="AV223" s="1">
        <f t="shared" si="30"/>
        <v>2.2521249338664893</v>
      </c>
      <c r="AW223" s="1">
        <f t="shared" si="31"/>
        <v>1.4039559276741567</v>
      </c>
    </row>
    <row r="224" spans="1:49" x14ac:dyDescent="0.2">
      <c r="A224">
        <v>222</v>
      </c>
      <c r="B224" t="s">
        <v>6611</v>
      </c>
      <c r="F224" t="s">
        <v>6610</v>
      </c>
      <c r="G224" t="s">
        <v>6</v>
      </c>
      <c r="H224" t="s">
        <v>5</v>
      </c>
      <c r="I224" t="s">
        <v>6609</v>
      </c>
      <c r="J224">
        <v>60012729</v>
      </c>
      <c r="K224" t="s">
        <v>6608</v>
      </c>
      <c r="L224" t="s">
        <v>6607</v>
      </c>
      <c r="M224" t="s">
        <v>590</v>
      </c>
      <c r="N224">
        <v>5</v>
      </c>
      <c r="O224" t="s">
        <v>6606</v>
      </c>
      <c r="P224" t="s">
        <v>6605</v>
      </c>
      <c r="Q224" t="s">
        <v>6604</v>
      </c>
      <c r="R224" s="7">
        <v>36495</v>
      </c>
      <c r="S224" s="8">
        <f t="shared" si="24"/>
        <v>1999</v>
      </c>
      <c r="T224" s="8">
        <v>1999</v>
      </c>
      <c r="U224" s="8">
        <f t="shared" si="25"/>
        <v>23</v>
      </c>
      <c r="V224" s="7">
        <v>1999</v>
      </c>
      <c r="W224" t="s">
        <v>6603</v>
      </c>
      <c r="X224" s="2" t="s">
        <v>0</v>
      </c>
      <c r="Y224" s="6" t="e">
        <f t="shared" si="26"/>
        <v>#VALUE!</v>
      </c>
      <c r="AA224">
        <v>2529769</v>
      </c>
      <c r="AB224">
        <v>28601</v>
      </c>
      <c r="AD224" t="s">
        <v>2</v>
      </c>
      <c r="AE224">
        <v>50</v>
      </c>
      <c r="AH224" t="s">
        <v>6602</v>
      </c>
      <c r="AI224" t="s">
        <v>6601</v>
      </c>
      <c r="AK224" t="s">
        <v>6600</v>
      </c>
      <c r="AL224">
        <v>1</v>
      </c>
      <c r="AM224" s="5">
        <f t="shared" si="27"/>
        <v>4.3478260869565216E-2</v>
      </c>
      <c r="AN224" s="4">
        <f t="shared" si="28"/>
        <v>6.5851209192828807E-5</v>
      </c>
      <c r="AO224" s="3"/>
      <c r="AP224">
        <v>0</v>
      </c>
      <c r="AR224" t="s">
        <v>1</v>
      </c>
      <c r="AT224" s="2" t="s">
        <v>0</v>
      </c>
      <c r="AU224" s="1" t="e">
        <f t="shared" si="29"/>
        <v>#VALUE!</v>
      </c>
      <c r="AV224" s="1" t="e">
        <f t="shared" si="30"/>
        <v>#VALUE!</v>
      </c>
      <c r="AW224" s="1" t="e">
        <f t="shared" si="31"/>
        <v>#VALUE!</v>
      </c>
    </row>
    <row r="225" spans="1:49" x14ac:dyDescent="0.2">
      <c r="A225">
        <v>223</v>
      </c>
      <c r="B225" t="s">
        <v>6599</v>
      </c>
      <c r="F225" t="s">
        <v>6598</v>
      </c>
      <c r="G225" t="s">
        <v>6</v>
      </c>
      <c r="H225" t="s">
        <v>5</v>
      </c>
      <c r="I225" t="s">
        <v>481</v>
      </c>
      <c r="J225">
        <v>60103737</v>
      </c>
      <c r="K225" t="s">
        <v>6597</v>
      </c>
      <c r="L225" t="s">
        <v>6596</v>
      </c>
      <c r="M225" t="s">
        <v>114</v>
      </c>
      <c r="N225">
        <v>2</v>
      </c>
      <c r="O225" t="s">
        <v>6595</v>
      </c>
      <c r="P225" t="s">
        <v>6594</v>
      </c>
      <c r="Q225" t="s">
        <v>6593</v>
      </c>
      <c r="R225" s="7">
        <v>36495</v>
      </c>
      <c r="S225" s="8">
        <f t="shared" si="24"/>
        <v>1999</v>
      </c>
      <c r="T225" s="8">
        <v>1999</v>
      </c>
      <c r="U225" s="8">
        <f t="shared" si="25"/>
        <v>23</v>
      </c>
      <c r="V225" s="7">
        <v>1999</v>
      </c>
      <c r="W225" t="s">
        <v>6583</v>
      </c>
      <c r="X225" s="2" t="s">
        <v>0</v>
      </c>
      <c r="Y225" s="6" t="e">
        <f t="shared" si="26"/>
        <v>#VALUE!</v>
      </c>
      <c r="AA225">
        <v>8929270</v>
      </c>
      <c r="AB225">
        <v>30115</v>
      </c>
      <c r="AD225" t="s">
        <v>2</v>
      </c>
      <c r="AE225">
        <v>19</v>
      </c>
      <c r="AF225">
        <v>2</v>
      </c>
      <c r="AH225" t="s">
        <v>6592</v>
      </c>
      <c r="AI225" t="s">
        <v>6591</v>
      </c>
      <c r="AK225" t="s">
        <v>6590</v>
      </c>
      <c r="AL225">
        <v>0</v>
      </c>
      <c r="AM225" s="5">
        <f t="shared" si="27"/>
        <v>0</v>
      </c>
      <c r="AN225" s="4">
        <f t="shared" si="28"/>
        <v>0</v>
      </c>
      <c r="AO225" s="3"/>
      <c r="AP225">
        <v>0</v>
      </c>
      <c r="AR225" t="s">
        <v>1</v>
      </c>
      <c r="AT225" s="2" t="s">
        <v>0</v>
      </c>
      <c r="AU225" s="1" t="e">
        <f t="shared" si="29"/>
        <v>#VALUE!</v>
      </c>
      <c r="AV225" s="1" t="e">
        <f t="shared" si="30"/>
        <v>#VALUE!</v>
      </c>
      <c r="AW225" s="1" t="e">
        <f t="shared" si="31"/>
        <v>#VALUE!</v>
      </c>
    </row>
    <row r="226" spans="1:49" x14ac:dyDescent="0.2">
      <c r="A226">
        <v>224</v>
      </c>
      <c r="B226" t="s">
        <v>6589</v>
      </c>
      <c r="F226" t="s">
        <v>6588</v>
      </c>
      <c r="G226" t="s">
        <v>6</v>
      </c>
      <c r="H226" t="s">
        <v>5</v>
      </c>
      <c r="I226" t="s">
        <v>6587</v>
      </c>
      <c r="J226">
        <v>60004407</v>
      </c>
      <c r="K226" t="s">
        <v>6586</v>
      </c>
      <c r="L226" t="s">
        <v>6585</v>
      </c>
      <c r="M226" t="s">
        <v>58</v>
      </c>
      <c r="N226">
        <v>1</v>
      </c>
      <c r="O226" t="s">
        <v>6584</v>
      </c>
      <c r="P226">
        <v>26657601500</v>
      </c>
      <c r="Q226">
        <v>60004407</v>
      </c>
      <c r="R226" s="7">
        <v>36495</v>
      </c>
      <c r="S226" s="8">
        <f t="shared" si="24"/>
        <v>1999</v>
      </c>
      <c r="T226" s="8">
        <v>1999</v>
      </c>
      <c r="U226" s="8">
        <f t="shared" si="25"/>
        <v>23</v>
      </c>
      <c r="V226" s="7">
        <v>1999</v>
      </c>
      <c r="W226" t="s">
        <v>6583</v>
      </c>
      <c r="X226" s="2" t="s">
        <v>0</v>
      </c>
      <c r="Y226" s="6" t="e">
        <f t="shared" si="26"/>
        <v>#VALUE!</v>
      </c>
      <c r="AA226">
        <v>8929270</v>
      </c>
      <c r="AB226">
        <v>30115</v>
      </c>
      <c r="AD226" t="s">
        <v>2</v>
      </c>
      <c r="AE226">
        <v>19</v>
      </c>
      <c r="AF226">
        <v>2</v>
      </c>
      <c r="AH226" t="s">
        <v>473</v>
      </c>
      <c r="AI226" t="s">
        <v>6582</v>
      </c>
      <c r="AK226" t="s">
        <v>6581</v>
      </c>
      <c r="AL226">
        <v>0</v>
      </c>
      <c r="AM226" s="5">
        <f t="shared" si="27"/>
        <v>0</v>
      </c>
      <c r="AN226" s="4">
        <f t="shared" si="28"/>
        <v>0</v>
      </c>
      <c r="AO226" s="3"/>
      <c r="AP226">
        <v>0</v>
      </c>
      <c r="AR226" t="s">
        <v>1</v>
      </c>
      <c r="AT226" s="2" t="s">
        <v>0</v>
      </c>
      <c r="AU226" s="1" t="e">
        <f t="shared" si="29"/>
        <v>#VALUE!</v>
      </c>
      <c r="AV226" s="1" t="e">
        <f t="shared" si="30"/>
        <v>#VALUE!</v>
      </c>
      <c r="AW226" s="1" t="e">
        <f t="shared" si="31"/>
        <v>#VALUE!</v>
      </c>
    </row>
    <row r="227" spans="1:49" x14ac:dyDescent="0.2">
      <c r="A227">
        <v>225</v>
      </c>
      <c r="B227" t="s">
        <v>6580</v>
      </c>
      <c r="F227" t="s">
        <v>6579</v>
      </c>
      <c r="G227" t="s">
        <v>6</v>
      </c>
      <c r="H227" t="s">
        <v>5</v>
      </c>
      <c r="I227" t="s">
        <v>5486</v>
      </c>
      <c r="J227">
        <v>60000990</v>
      </c>
      <c r="K227" t="s">
        <v>291</v>
      </c>
      <c r="L227" t="s">
        <v>290</v>
      </c>
      <c r="M227" t="s">
        <v>289</v>
      </c>
      <c r="N227">
        <v>1</v>
      </c>
      <c r="O227" t="s">
        <v>5485</v>
      </c>
      <c r="P227">
        <v>6603550129</v>
      </c>
      <c r="Q227">
        <v>60000990</v>
      </c>
      <c r="R227" s="7">
        <v>36495</v>
      </c>
      <c r="S227" s="8">
        <f t="shared" si="24"/>
        <v>1999</v>
      </c>
      <c r="T227" s="8">
        <v>1999</v>
      </c>
      <c r="U227" s="8">
        <f t="shared" si="25"/>
        <v>23</v>
      </c>
      <c r="V227" s="7">
        <v>1999</v>
      </c>
      <c r="W227" t="s">
        <v>6548</v>
      </c>
      <c r="X227" s="2">
        <v>0.125</v>
      </c>
      <c r="Y227" s="6">
        <f t="shared" si="26"/>
        <v>3.3368036090867838E-3</v>
      </c>
      <c r="AA227" t="s">
        <v>6547</v>
      </c>
      <c r="AB227">
        <v>64260</v>
      </c>
      <c r="AD227" t="s">
        <v>2</v>
      </c>
      <c r="AF227">
        <v>1499</v>
      </c>
      <c r="AH227" t="s">
        <v>6578</v>
      </c>
      <c r="AI227" t="s">
        <v>6577</v>
      </c>
      <c r="AK227" t="s">
        <v>6576</v>
      </c>
      <c r="AL227">
        <v>0</v>
      </c>
      <c r="AM227" s="5">
        <f t="shared" si="27"/>
        <v>0</v>
      </c>
      <c r="AN227" s="4">
        <f t="shared" si="28"/>
        <v>0</v>
      </c>
      <c r="AO227" s="3"/>
      <c r="AP227">
        <v>0</v>
      </c>
      <c r="AR227" t="s">
        <v>1</v>
      </c>
      <c r="AT227" s="2" t="s">
        <v>0</v>
      </c>
      <c r="AU227" s="1">
        <f t="shared" si="29"/>
        <v>0.23357625263607484</v>
      </c>
      <c r="AV227" s="1">
        <f t="shared" si="30"/>
        <v>0.16684018045433918</v>
      </c>
      <c r="AW227" s="1">
        <f t="shared" si="31"/>
        <v>0.10010410827260351</v>
      </c>
    </row>
    <row r="228" spans="1:49" x14ac:dyDescent="0.2">
      <c r="A228">
        <v>226</v>
      </c>
      <c r="B228" t="s">
        <v>6575</v>
      </c>
      <c r="F228" t="s">
        <v>6574</v>
      </c>
      <c r="G228" t="s">
        <v>6</v>
      </c>
      <c r="H228" t="s">
        <v>5</v>
      </c>
      <c r="I228" t="s">
        <v>6573</v>
      </c>
      <c r="N228">
        <v>4</v>
      </c>
      <c r="O228" t="s">
        <v>6572</v>
      </c>
      <c r="P228" t="s">
        <v>6571</v>
      </c>
      <c r="Q228" t="s">
        <v>112</v>
      </c>
      <c r="R228" s="7">
        <v>36495</v>
      </c>
      <c r="S228" s="8">
        <f t="shared" si="24"/>
        <v>1999</v>
      </c>
      <c r="T228" s="8">
        <v>1999</v>
      </c>
      <c r="U228" s="8">
        <f t="shared" si="25"/>
        <v>23</v>
      </c>
      <c r="V228" s="7">
        <v>1999</v>
      </c>
      <c r="W228" t="s">
        <v>6570</v>
      </c>
      <c r="X228" s="2" t="s">
        <v>0</v>
      </c>
      <c r="Y228" s="6" t="e">
        <f t="shared" si="26"/>
        <v>#VALUE!</v>
      </c>
      <c r="AB228">
        <v>96228</v>
      </c>
      <c r="AD228" t="s">
        <v>2</v>
      </c>
      <c r="AE228">
        <v>44</v>
      </c>
      <c r="AH228" t="s">
        <v>6569</v>
      </c>
      <c r="AI228" t="s">
        <v>6568</v>
      </c>
      <c r="AK228" t="s">
        <v>6567</v>
      </c>
      <c r="AL228">
        <v>2</v>
      </c>
      <c r="AM228" s="5">
        <f t="shared" si="27"/>
        <v>8.6956521739130432E-2</v>
      </c>
      <c r="AN228" s="4">
        <f t="shared" si="28"/>
        <v>1.3170241838565761E-4</v>
      </c>
      <c r="AO228" s="3"/>
      <c r="AP228">
        <v>0</v>
      </c>
      <c r="AR228" t="s">
        <v>1</v>
      </c>
      <c r="AT228" s="2" t="s">
        <v>0</v>
      </c>
      <c r="AU228" s="1" t="e">
        <f t="shared" si="29"/>
        <v>#VALUE!</v>
      </c>
      <c r="AV228" s="1" t="e">
        <f t="shared" si="30"/>
        <v>#VALUE!</v>
      </c>
      <c r="AW228" s="1" t="e">
        <f t="shared" si="31"/>
        <v>#VALUE!</v>
      </c>
    </row>
    <row r="229" spans="1:49" x14ac:dyDescent="0.2">
      <c r="A229">
        <v>227</v>
      </c>
      <c r="B229" t="s">
        <v>6566</v>
      </c>
      <c r="C229" t="s">
        <v>6565</v>
      </c>
      <c r="F229" t="s">
        <v>6564</v>
      </c>
      <c r="G229" t="s">
        <v>6</v>
      </c>
      <c r="H229" t="s">
        <v>5</v>
      </c>
      <c r="I229" t="s">
        <v>6563</v>
      </c>
      <c r="J229">
        <v>60012835</v>
      </c>
      <c r="K229" t="s">
        <v>6562</v>
      </c>
      <c r="L229" t="s">
        <v>6561</v>
      </c>
      <c r="M229" t="s">
        <v>6560</v>
      </c>
      <c r="N229">
        <v>3</v>
      </c>
      <c r="O229" t="s">
        <v>6559</v>
      </c>
      <c r="P229" t="s">
        <v>6558</v>
      </c>
      <c r="Q229" t="s">
        <v>6557</v>
      </c>
      <c r="R229" s="7">
        <v>36495</v>
      </c>
      <c r="S229" s="8">
        <f t="shared" si="24"/>
        <v>1999</v>
      </c>
      <c r="T229" s="8">
        <v>1999</v>
      </c>
      <c r="U229" s="8">
        <f t="shared" si="25"/>
        <v>23</v>
      </c>
      <c r="V229" s="7">
        <v>1999</v>
      </c>
      <c r="W229" t="s">
        <v>6556</v>
      </c>
      <c r="X229" s="2">
        <v>0.39100000000000001</v>
      </c>
      <c r="Y229" s="6">
        <f t="shared" si="26"/>
        <v>1.043752168922346E-2</v>
      </c>
      <c r="AA229">
        <v>2663511</v>
      </c>
      <c r="AB229">
        <v>78854</v>
      </c>
      <c r="AD229" t="s">
        <v>2</v>
      </c>
      <c r="AE229">
        <v>14</v>
      </c>
      <c r="AF229">
        <v>4</v>
      </c>
      <c r="AH229" t="s">
        <v>6555</v>
      </c>
      <c r="AI229" t="s">
        <v>6554</v>
      </c>
      <c r="AK229" t="s">
        <v>6553</v>
      </c>
      <c r="AL229">
        <v>10</v>
      </c>
      <c r="AM229" s="5">
        <f t="shared" si="27"/>
        <v>0.43478260869565216</v>
      </c>
      <c r="AN229" s="4">
        <f t="shared" si="28"/>
        <v>6.5851209192828799E-4</v>
      </c>
      <c r="AO229" s="3"/>
      <c r="AP229">
        <v>0</v>
      </c>
      <c r="AR229" t="s">
        <v>1</v>
      </c>
      <c r="AT229" s="2" t="s">
        <v>0</v>
      </c>
      <c r="AU229" s="1">
        <f t="shared" si="29"/>
        <v>0.75038188100349068</v>
      </c>
      <c r="AV229" s="1">
        <f t="shared" si="30"/>
        <v>0.55480168905758742</v>
      </c>
      <c r="AW229" s="1">
        <f t="shared" si="31"/>
        <v>0.35922149711168394</v>
      </c>
    </row>
    <row r="230" spans="1:49" x14ac:dyDescent="0.2">
      <c r="A230">
        <v>228</v>
      </c>
      <c r="B230" t="s">
        <v>6552</v>
      </c>
      <c r="F230" t="s">
        <v>6551</v>
      </c>
      <c r="G230" t="s">
        <v>6</v>
      </c>
      <c r="H230" t="s">
        <v>5</v>
      </c>
      <c r="I230" t="s">
        <v>6550</v>
      </c>
      <c r="J230">
        <v>60000990</v>
      </c>
      <c r="K230" t="s">
        <v>291</v>
      </c>
      <c r="L230" t="s">
        <v>290</v>
      </c>
      <c r="M230" t="s">
        <v>289</v>
      </c>
      <c r="N230">
        <v>1</v>
      </c>
      <c r="O230" t="s">
        <v>6549</v>
      </c>
      <c r="P230">
        <v>6603066853</v>
      </c>
      <c r="Q230">
        <v>60000990</v>
      </c>
      <c r="R230" s="7">
        <v>36495</v>
      </c>
      <c r="S230" s="8">
        <f t="shared" si="24"/>
        <v>1999</v>
      </c>
      <c r="T230" s="8">
        <v>1999</v>
      </c>
      <c r="U230" s="8">
        <f t="shared" si="25"/>
        <v>23</v>
      </c>
      <c r="V230" s="7">
        <v>1999</v>
      </c>
      <c r="W230" t="s">
        <v>6548</v>
      </c>
      <c r="X230" s="2">
        <v>0.125</v>
      </c>
      <c r="Y230" s="6">
        <f t="shared" si="26"/>
        <v>3.3368036090867838E-3</v>
      </c>
      <c r="AA230" t="s">
        <v>6547</v>
      </c>
      <c r="AB230">
        <v>64260</v>
      </c>
      <c r="AD230" t="s">
        <v>2</v>
      </c>
      <c r="AF230">
        <v>1524</v>
      </c>
      <c r="AH230" t="s">
        <v>6546</v>
      </c>
      <c r="AI230" t="s">
        <v>6545</v>
      </c>
      <c r="AK230" t="s">
        <v>6544</v>
      </c>
      <c r="AL230">
        <v>0</v>
      </c>
      <c r="AM230" s="5">
        <f t="shared" si="27"/>
        <v>0</v>
      </c>
      <c r="AN230" s="4">
        <f t="shared" si="28"/>
        <v>0</v>
      </c>
      <c r="AO230" s="3"/>
      <c r="AP230">
        <v>0</v>
      </c>
      <c r="AR230" t="s">
        <v>1</v>
      </c>
      <c r="AT230" s="2" t="s">
        <v>0</v>
      </c>
      <c r="AU230" s="1">
        <f t="shared" si="29"/>
        <v>0.23357625263607484</v>
      </c>
      <c r="AV230" s="1">
        <f t="shared" si="30"/>
        <v>0.16684018045433918</v>
      </c>
      <c r="AW230" s="1">
        <f t="shared" si="31"/>
        <v>0.10010410827260351</v>
      </c>
    </row>
    <row r="231" spans="1:49" x14ac:dyDescent="0.2">
      <c r="A231">
        <v>229</v>
      </c>
      <c r="B231" t="s">
        <v>6543</v>
      </c>
      <c r="E231">
        <v>10749436</v>
      </c>
      <c r="F231" t="s">
        <v>6542</v>
      </c>
      <c r="G231" t="s">
        <v>6</v>
      </c>
      <c r="H231" t="s">
        <v>5</v>
      </c>
      <c r="I231" t="s">
        <v>2575</v>
      </c>
      <c r="J231">
        <v>60011347</v>
      </c>
      <c r="K231" t="s">
        <v>2574</v>
      </c>
      <c r="L231" t="s">
        <v>2573</v>
      </c>
      <c r="M231" t="s">
        <v>3</v>
      </c>
      <c r="N231">
        <v>2</v>
      </c>
      <c r="O231" t="s">
        <v>6541</v>
      </c>
      <c r="P231" t="s">
        <v>6540</v>
      </c>
      <c r="Q231" t="s">
        <v>2570</v>
      </c>
      <c r="R231" s="7">
        <v>36495</v>
      </c>
      <c r="S231" s="8">
        <f t="shared" si="24"/>
        <v>1999</v>
      </c>
      <c r="T231" s="8">
        <v>1999</v>
      </c>
      <c r="U231" s="8">
        <f t="shared" si="25"/>
        <v>23</v>
      </c>
      <c r="V231" s="7">
        <v>36495</v>
      </c>
      <c r="W231" t="s">
        <v>2569</v>
      </c>
      <c r="X231" s="2">
        <v>0.41899999999999998</v>
      </c>
      <c r="Y231" s="6">
        <f t="shared" si="26"/>
        <v>1.1184965697658899E-2</v>
      </c>
      <c r="AA231">
        <v>10427260</v>
      </c>
      <c r="AB231">
        <v>18331</v>
      </c>
      <c r="AD231" t="s">
        <v>2</v>
      </c>
      <c r="AE231">
        <v>30</v>
      </c>
      <c r="AF231">
        <v>4</v>
      </c>
      <c r="AH231" t="s">
        <v>6539</v>
      </c>
      <c r="AI231" t="s">
        <v>6538</v>
      </c>
      <c r="AJ231" t="s">
        <v>6537</v>
      </c>
      <c r="AK231" t="s">
        <v>6536</v>
      </c>
      <c r="AL231">
        <v>6</v>
      </c>
      <c r="AM231" s="5">
        <f t="shared" si="27"/>
        <v>0.2608695652173913</v>
      </c>
      <c r="AN231" s="4">
        <f t="shared" si="28"/>
        <v>3.9510725515697282E-4</v>
      </c>
      <c r="AO231" s="3"/>
      <c r="AP231">
        <v>0</v>
      </c>
      <c r="AR231" t="s">
        <v>1</v>
      </c>
      <c r="AT231" s="2">
        <v>0.77600000000000002</v>
      </c>
      <c r="AU231" s="1">
        <f t="shared" si="29"/>
        <v>0.79480081649083212</v>
      </c>
      <c r="AV231" s="1">
        <f t="shared" si="30"/>
        <v>0.5790036476407936</v>
      </c>
      <c r="AW231" s="1">
        <f t="shared" si="31"/>
        <v>0.36320647879075507</v>
      </c>
    </row>
    <row r="232" spans="1:49" x14ac:dyDescent="0.2">
      <c r="A232">
        <v>230</v>
      </c>
      <c r="B232" t="s">
        <v>6535</v>
      </c>
      <c r="C232" t="s">
        <v>6534</v>
      </c>
      <c r="F232" t="s">
        <v>6533</v>
      </c>
      <c r="G232" t="s">
        <v>6</v>
      </c>
      <c r="H232" t="s">
        <v>5</v>
      </c>
      <c r="I232" t="s">
        <v>6532</v>
      </c>
      <c r="J232">
        <v>60006288</v>
      </c>
      <c r="K232" t="s">
        <v>380</v>
      </c>
      <c r="L232" t="s">
        <v>379</v>
      </c>
      <c r="M232" t="s">
        <v>34</v>
      </c>
      <c r="N232">
        <v>1</v>
      </c>
      <c r="O232" t="s">
        <v>6531</v>
      </c>
      <c r="P232">
        <v>7103080721</v>
      </c>
      <c r="Q232">
        <v>60006288</v>
      </c>
      <c r="R232" s="7">
        <v>36495</v>
      </c>
      <c r="S232" s="8">
        <f t="shared" si="24"/>
        <v>1999</v>
      </c>
      <c r="T232" s="8">
        <v>1999</v>
      </c>
      <c r="U232" s="8">
        <f t="shared" si="25"/>
        <v>23</v>
      </c>
      <c r="V232" s="7">
        <v>36495</v>
      </c>
      <c r="W232" t="s">
        <v>97</v>
      </c>
      <c r="X232" s="2">
        <v>0.30199999999999999</v>
      </c>
      <c r="Y232" s="6">
        <f t="shared" si="26"/>
        <v>8.0617175195536687E-3</v>
      </c>
      <c r="AA232">
        <v>9296212</v>
      </c>
      <c r="AB232">
        <v>20725</v>
      </c>
      <c r="AD232" t="s">
        <v>2</v>
      </c>
      <c r="AE232">
        <v>11</v>
      </c>
      <c r="AF232">
        <v>3</v>
      </c>
      <c r="AH232" t="s">
        <v>6530</v>
      </c>
      <c r="AI232" t="s">
        <v>6529</v>
      </c>
      <c r="AK232" t="s">
        <v>6528</v>
      </c>
      <c r="AL232">
        <v>1</v>
      </c>
      <c r="AM232" s="5">
        <f t="shared" si="27"/>
        <v>4.3478260869565216E-2</v>
      </c>
      <c r="AN232" s="4">
        <f t="shared" si="28"/>
        <v>6.5851209192828807E-5</v>
      </c>
      <c r="AO232" s="3"/>
      <c r="AP232">
        <v>0</v>
      </c>
      <c r="AR232" t="s">
        <v>1</v>
      </c>
      <c r="AT232" s="2">
        <v>1.671</v>
      </c>
      <c r="AU232" s="1">
        <f t="shared" si="29"/>
        <v>0.56629576264454162</v>
      </c>
      <c r="AV232" s="1">
        <f t="shared" si="30"/>
        <v>0.40637843643732485</v>
      </c>
      <c r="AW232" s="1">
        <f t="shared" si="31"/>
        <v>0.24646111023010805</v>
      </c>
    </row>
    <row r="233" spans="1:49" x14ac:dyDescent="0.2">
      <c r="A233">
        <v>231</v>
      </c>
      <c r="B233" t="s">
        <v>6527</v>
      </c>
      <c r="C233" t="s">
        <v>6526</v>
      </c>
      <c r="D233" t="s">
        <v>6525</v>
      </c>
      <c r="F233" t="s">
        <v>6524</v>
      </c>
      <c r="G233" t="s">
        <v>6</v>
      </c>
      <c r="H233" t="s">
        <v>5</v>
      </c>
      <c r="I233" t="s">
        <v>604</v>
      </c>
      <c r="J233" t="s">
        <v>6523</v>
      </c>
      <c r="K233" t="s">
        <v>6522</v>
      </c>
      <c r="L233" t="s">
        <v>6521</v>
      </c>
      <c r="M233" t="s">
        <v>203</v>
      </c>
      <c r="N233">
        <v>3</v>
      </c>
      <c r="O233" t="s">
        <v>6520</v>
      </c>
      <c r="P233" t="s">
        <v>6519</v>
      </c>
      <c r="Q233" t="s">
        <v>6518</v>
      </c>
      <c r="R233" s="7">
        <v>36495</v>
      </c>
      <c r="S233" s="8">
        <f t="shared" si="24"/>
        <v>1999</v>
      </c>
      <c r="T233" s="8">
        <v>1999</v>
      </c>
      <c r="U233" s="8">
        <f t="shared" si="25"/>
        <v>23</v>
      </c>
      <c r="V233" s="7">
        <v>1999</v>
      </c>
      <c r="W233" t="s">
        <v>174</v>
      </c>
      <c r="X233" s="2">
        <v>1.3720000000000001</v>
      </c>
      <c r="Y233" s="6">
        <f t="shared" si="26"/>
        <v>3.662475641333654E-2</v>
      </c>
      <c r="AA233">
        <v>189480</v>
      </c>
      <c r="AB233">
        <v>17366</v>
      </c>
      <c r="AD233" t="s">
        <v>2</v>
      </c>
      <c r="AE233">
        <v>47</v>
      </c>
      <c r="AF233">
        <v>12</v>
      </c>
      <c r="AH233" t="s">
        <v>6517</v>
      </c>
      <c r="AI233" t="s">
        <v>6516</v>
      </c>
      <c r="AJ233" t="s">
        <v>6515</v>
      </c>
      <c r="AK233" t="s">
        <v>6514</v>
      </c>
      <c r="AL233">
        <v>69</v>
      </c>
      <c r="AM233" s="5">
        <f t="shared" si="27"/>
        <v>3</v>
      </c>
      <c r="AN233" s="4">
        <f t="shared" si="28"/>
        <v>4.5437334343051876E-3</v>
      </c>
      <c r="AO233" s="3"/>
      <c r="AP233">
        <v>0</v>
      </c>
      <c r="AR233" t="s">
        <v>1</v>
      </c>
      <c r="AT233" s="2" t="s">
        <v>0</v>
      </c>
      <c r="AU233" s="1">
        <f t="shared" si="29"/>
        <v>2.7000449519627132</v>
      </c>
      <c r="AV233" s="1">
        <f t="shared" si="30"/>
        <v>2.0584244923820867</v>
      </c>
      <c r="AW233" s="1">
        <f t="shared" si="31"/>
        <v>1.4168040328014595</v>
      </c>
    </row>
    <row r="234" spans="1:49" x14ac:dyDescent="0.2">
      <c r="A234">
        <v>232</v>
      </c>
      <c r="B234" t="s">
        <v>6513</v>
      </c>
      <c r="C234" t="s">
        <v>6512</v>
      </c>
      <c r="D234" t="s">
        <v>6511</v>
      </c>
      <c r="F234" t="s">
        <v>6510</v>
      </c>
      <c r="G234" t="s">
        <v>6</v>
      </c>
      <c r="H234" t="s">
        <v>5</v>
      </c>
      <c r="I234" t="s">
        <v>6509</v>
      </c>
      <c r="J234">
        <v>60006337</v>
      </c>
      <c r="K234" t="s">
        <v>5856</v>
      </c>
      <c r="L234" t="s">
        <v>5855</v>
      </c>
      <c r="M234" t="s">
        <v>3</v>
      </c>
      <c r="N234">
        <v>1</v>
      </c>
      <c r="O234" t="s">
        <v>6508</v>
      </c>
      <c r="P234">
        <v>7005621665</v>
      </c>
      <c r="Q234">
        <v>60006337</v>
      </c>
      <c r="R234" s="7">
        <v>36495</v>
      </c>
      <c r="S234" s="8">
        <f t="shared" si="24"/>
        <v>1999</v>
      </c>
      <c r="T234" s="8">
        <v>1999</v>
      </c>
      <c r="U234" s="8">
        <f t="shared" si="25"/>
        <v>23</v>
      </c>
      <c r="V234" s="7">
        <v>1999</v>
      </c>
      <c r="W234" t="s">
        <v>174</v>
      </c>
      <c r="X234" s="2">
        <v>1.3720000000000001</v>
      </c>
      <c r="Y234" s="6">
        <f t="shared" si="26"/>
        <v>3.662475641333654E-2</v>
      </c>
      <c r="AA234">
        <v>189480</v>
      </c>
      <c r="AB234">
        <v>17366</v>
      </c>
      <c r="AD234" t="s">
        <v>2</v>
      </c>
      <c r="AE234">
        <v>47</v>
      </c>
      <c r="AF234">
        <v>12</v>
      </c>
      <c r="AH234" t="s">
        <v>6507</v>
      </c>
      <c r="AI234" t="s">
        <v>6506</v>
      </c>
      <c r="AJ234" t="s">
        <v>6505</v>
      </c>
      <c r="AK234" t="s">
        <v>6504</v>
      </c>
      <c r="AL234">
        <v>73</v>
      </c>
      <c r="AM234" s="5">
        <f t="shared" si="27"/>
        <v>3.1739130434782608</v>
      </c>
      <c r="AN234" s="4">
        <f t="shared" si="28"/>
        <v>4.8071382710765023E-3</v>
      </c>
      <c r="AO234" s="3"/>
      <c r="AP234">
        <v>0</v>
      </c>
      <c r="AR234" t="s">
        <v>1</v>
      </c>
      <c r="AT234" s="2" t="s">
        <v>0</v>
      </c>
      <c r="AU234" s="1">
        <f t="shared" si="29"/>
        <v>2.7079470970658526</v>
      </c>
      <c r="AV234" s="1">
        <f t="shared" si="30"/>
        <v>2.071594734220652</v>
      </c>
      <c r="AW234" s="1">
        <f t="shared" si="31"/>
        <v>1.4352423713754514</v>
      </c>
    </row>
    <row r="235" spans="1:49" x14ac:dyDescent="0.2">
      <c r="A235">
        <v>233</v>
      </c>
      <c r="B235" t="s">
        <v>6503</v>
      </c>
      <c r="C235" t="s">
        <v>6502</v>
      </c>
      <c r="D235" t="s">
        <v>6501</v>
      </c>
      <c r="F235" t="s">
        <v>6500</v>
      </c>
      <c r="G235" t="s">
        <v>6</v>
      </c>
      <c r="H235" t="s">
        <v>5</v>
      </c>
      <c r="I235" t="s">
        <v>6499</v>
      </c>
      <c r="J235">
        <v>60009628</v>
      </c>
      <c r="K235" t="s">
        <v>827</v>
      </c>
      <c r="L235" t="s">
        <v>292</v>
      </c>
      <c r="M235" t="s">
        <v>13</v>
      </c>
      <c r="N235">
        <v>1</v>
      </c>
      <c r="O235" t="s">
        <v>6498</v>
      </c>
      <c r="P235">
        <v>6603461308</v>
      </c>
      <c r="Q235">
        <v>60009628</v>
      </c>
      <c r="R235" s="7">
        <v>36495</v>
      </c>
      <c r="S235" s="8">
        <f t="shared" si="24"/>
        <v>1999</v>
      </c>
      <c r="T235" s="8">
        <v>1999</v>
      </c>
      <c r="U235" s="8">
        <f t="shared" si="25"/>
        <v>23</v>
      </c>
      <c r="V235" s="7">
        <v>1999</v>
      </c>
      <c r="W235" t="s">
        <v>174</v>
      </c>
      <c r="X235" s="2">
        <v>1.3720000000000001</v>
      </c>
      <c r="Y235" s="6">
        <f t="shared" si="26"/>
        <v>3.662475641333654E-2</v>
      </c>
      <c r="AA235">
        <v>189480</v>
      </c>
      <c r="AB235">
        <v>17366</v>
      </c>
      <c r="AD235" t="s">
        <v>2</v>
      </c>
      <c r="AE235">
        <v>47</v>
      </c>
      <c r="AF235">
        <v>12</v>
      </c>
      <c r="AH235" t="s">
        <v>6497</v>
      </c>
      <c r="AI235" t="s">
        <v>6496</v>
      </c>
      <c r="AK235" t="s">
        <v>6495</v>
      </c>
      <c r="AL235">
        <v>52</v>
      </c>
      <c r="AM235" s="5">
        <f t="shared" si="27"/>
        <v>2.2608695652173911</v>
      </c>
      <c r="AN235" s="4">
        <f t="shared" si="28"/>
        <v>3.4242628780270976E-3</v>
      </c>
      <c r="AO235" s="3"/>
      <c r="AP235">
        <v>0</v>
      </c>
      <c r="AR235" t="s">
        <v>1</v>
      </c>
      <c r="AT235" s="2" t="s">
        <v>0</v>
      </c>
      <c r="AU235" s="1">
        <f t="shared" si="29"/>
        <v>2.6664608352743704</v>
      </c>
      <c r="AV235" s="1">
        <f t="shared" si="30"/>
        <v>2.0024509645681818</v>
      </c>
      <c r="AW235" s="1">
        <f t="shared" si="31"/>
        <v>1.3384410938619931</v>
      </c>
    </row>
    <row r="236" spans="1:49" x14ac:dyDescent="0.2">
      <c r="A236">
        <v>234</v>
      </c>
      <c r="B236" t="s">
        <v>6494</v>
      </c>
      <c r="C236" t="s">
        <v>6493</v>
      </c>
      <c r="D236" t="s">
        <v>6492</v>
      </c>
      <c r="F236" t="s">
        <v>6491</v>
      </c>
      <c r="G236" t="s">
        <v>6</v>
      </c>
      <c r="H236" t="s">
        <v>5</v>
      </c>
      <c r="I236" t="s">
        <v>6490</v>
      </c>
      <c r="J236" t="s">
        <v>6489</v>
      </c>
      <c r="K236" t="s">
        <v>6488</v>
      </c>
      <c r="L236" t="s">
        <v>6487</v>
      </c>
      <c r="M236" t="s">
        <v>6486</v>
      </c>
      <c r="N236">
        <v>5</v>
      </c>
      <c r="O236" t="s">
        <v>6485</v>
      </c>
      <c r="P236" t="s">
        <v>6484</v>
      </c>
      <c r="Q236" t="s">
        <v>6483</v>
      </c>
      <c r="R236" s="7">
        <v>36495</v>
      </c>
      <c r="S236" s="8">
        <f t="shared" si="24"/>
        <v>1999</v>
      </c>
      <c r="T236" s="8">
        <v>1999</v>
      </c>
      <c r="U236" s="8">
        <f t="shared" si="25"/>
        <v>23</v>
      </c>
      <c r="V236" s="7">
        <v>1999</v>
      </c>
      <c r="W236" t="s">
        <v>167</v>
      </c>
      <c r="X236" s="2">
        <v>1.468</v>
      </c>
      <c r="Y236" s="6">
        <f t="shared" si="26"/>
        <v>3.9187421585115186E-2</v>
      </c>
      <c r="AA236">
        <v>906778</v>
      </c>
      <c r="AB236">
        <v>18931</v>
      </c>
      <c r="AD236" t="s">
        <v>2</v>
      </c>
      <c r="AE236">
        <v>47</v>
      </c>
      <c r="AF236">
        <v>12</v>
      </c>
      <c r="AH236" t="s">
        <v>6482</v>
      </c>
      <c r="AI236" t="s">
        <v>6481</v>
      </c>
      <c r="AJ236" t="s">
        <v>6480</v>
      </c>
      <c r="AK236" t="s">
        <v>6479</v>
      </c>
      <c r="AL236">
        <v>14</v>
      </c>
      <c r="AM236" s="5">
        <f t="shared" si="27"/>
        <v>0.60869565217391308</v>
      </c>
      <c r="AN236" s="4">
        <f t="shared" si="28"/>
        <v>9.2191692869960328E-4</v>
      </c>
      <c r="AO236" s="3"/>
      <c r="AP236">
        <v>0</v>
      </c>
      <c r="AQ236" t="s">
        <v>6478</v>
      </c>
      <c r="AR236" t="s">
        <v>1</v>
      </c>
      <c r="AS236" t="s">
        <v>6477</v>
      </c>
      <c r="AT236" s="2">
        <v>5.0830000000000002</v>
      </c>
      <c r="AU236" s="1">
        <f t="shared" si="29"/>
        <v>2.7707770188190506</v>
      </c>
      <c r="AV236" s="1">
        <f t="shared" si="30"/>
        <v>2.0054669256907394</v>
      </c>
      <c r="AW236" s="1">
        <f t="shared" si="31"/>
        <v>1.2401568325624277</v>
      </c>
    </row>
    <row r="237" spans="1:49" x14ac:dyDescent="0.2">
      <c r="A237">
        <v>235</v>
      </c>
      <c r="B237" t="s">
        <v>6476</v>
      </c>
      <c r="C237" t="s">
        <v>6475</v>
      </c>
      <c r="D237" t="s">
        <v>6474</v>
      </c>
      <c r="F237" t="s">
        <v>6473</v>
      </c>
      <c r="G237" t="s">
        <v>6</v>
      </c>
      <c r="H237" t="s">
        <v>5</v>
      </c>
      <c r="I237" t="s">
        <v>6472</v>
      </c>
      <c r="J237">
        <v>60027550</v>
      </c>
      <c r="K237" t="s">
        <v>22</v>
      </c>
      <c r="L237" t="s">
        <v>21</v>
      </c>
      <c r="M237" t="s">
        <v>3</v>
      </c>
      <c r="N237">
        <v>1</v>
      </c>
      <c r="O237" t="s">
        <v>6471</v>
      </c>
      <c r="P237">
        <v>57224704376</v>
      </c>
      <c r="Q237">
        <v>60027550</v>
      </c>
      <c r="R237" s="7">
        <v>36495</v>
      </c>
      <c r="S237" s="8">
        <f t="shared" si="24"/>
        <v>1999</v>
      </c>
      <c r="T237" s="8">
        <v>1999</v>
      </c>
      <c r="U237" s="8">
        <f t="shared" si="25"/>
        <v>23</v>
      </c>
      <c r="V237" s="7">
        <v>1999</v>
      </c>
      <c r="W237" t="s">
        <v>174</v>
      </c>
      <c r="X237" s="2">
        <v>1.3720000000000001</v>
      </c>
      <c r="Y237" s="6">
        <f t="shared" si="26"/>
        <v>3.662475641333654E-2</v>
      </c>
      <c r="AA237">
        <v>189480</v>
      </c>
      <c r="AB237">
        <v>17366</v>
      </c>
      <c r="AD237" t="s">
        <v>2</v>
      </c>
      <c r="AE237">
        <v>47</v>
      </c>
      <c r="AF237">
        <v>12</v>
      </c>
      <c r="AH237" t="s">
        <v>6470</v>
      </c>
      <c r="AI237" t="s">
        <v>6469</v>
      </c>
      <c r="AJ237" t="s">
        <v>6468</v>
      </c>
      <c r="AK237" t="s">
        <v>6467</v>
      </c>
      <c r="AL237">
        <v>137</v>
      </c>
      <c r="AM237" s="5">
        <f t="shared" si="27"/>
        <v>5.9565217391304346</v>
      </c>
      <c r="AN237" s="4">
        <f t="shared" si="28"/>
        <v>9.0216156594175451E-3</v>
      </c>
      <c r="AO237" s="3"/>
      <c r="AP237">
        <v>0</v>
      </c>
      <c r="AQ237" t="s">
        <v>160</v>
      </c>
      <c r="AR237" t="s">
        <v>6466</v>
      </c>
      <c r="AS237" t="s">
        <v>159</v>
      </c>
      <c r="AT237" s="2" t="s">
        <v>0</v>
      </c>
      <c r="AU237" s="1">
        <f t="shared" si="29"/>
        <v>2.8343814187160841</v>
      </c>
      <c r="AV237" s="1">
        <f t="shared" si="30"/>
        <v>2.2823186036377043</v>
      </c>
      <c r="AW237" s="1">
        <f t="shared" si="31"/>
        <v>1.7302557885593244</v>
      </c>
    </row>
    <row r="238" spans="1:49" x14ac:dyDescent="0.2">
      <c r="A238">
        <v>236</v>
      </c>
      <c r="B238" t="s">
        <v>6465</v>
      </c>
      <c r="C238" t="s">
        <v>6464</v>
      </c>
      <c r="D238" t="s">
        <v>6463</v>
      </c>
      <c r="F238" t="s">
        <v>6462</v>
      </c>
      <c r="G238" t="s">
        <v>6</v>
      </c>
      <c r="H238" t="s">
        <v>5</v>
      </c>
      <c r="I238" t="s">
        <v>5291</v>
      </c>
      <c r="J238">
        <v>60029241</v>
      </c>
      <c r="K238" t="s">
        <v>2673</v>
      </c>
      <c r="L238" t="s">
        <v>2672</v>
      </c>
      <c r="M238" t="s">
        <v>3</v>
      </c>
      <c r="N238">
        <v>1</v>
      </c>
      <c r="O238" t="s">
        <v>5290</v>
      </c>
      <c r="P238">
        <v>7201585777</v>
      </c>
      <c r="Q238">
        <v>60029241</v>
      </c>
      <c r="R238" s="7">
        <v>36495</v>
      </c>
      <c r="S238" s="8">
        <f t="shared" si="24"/>
        <v>1999</v>
      </c>
      <c r="T238" s="8">
        <v>1999</v>
      </c>
      <c r="U238" s="8">
        <f t="shared" si="25"/>
        <v>23</v>
      </c>
      <c r="V238" s="7">
        <v>1999</v>
      </c>
      <c r="W238" t="s">
        <v>174</v>
      </c>
      <c r="X238" s="2">
        <v>1.3720000000000001</v>
      </c>
      <c r="Y238" s="6">
        <f t="shared" si="26"/>
        <v>3.662475641333654E-2</v>
      </c>
      <c r="AA238">
        <v>189480</v>
      </c>
      <c r="AB238">
        <v>17366</v>
      </c>
      <c r="AD238" t="s">
        <v>2</v>
      </c>
      <c r="AE238">
        <v>47</v>
      </c>
      <c r="AF238">
        <v>12</v>
      </c>
      <c r="AH238" t="s">
        <v>6461</v>
      </c>
      <c r="AI238" t="s">
        <v>6460</v>
      </c>
      <c r="AJ238" t="s">
        <v>6459</v>
      </c>
      <c r="AK238" t="s">
        <v>6458</v>
      </c>
      <c r="AL238">
        <v>138</v>
      </c>
      <c r="AM238" s="5">
        <f t="shared" si="27"/>
        <v>6</v>
      </c>
      <c r="AN238" s="4">
        <f t="shared" si="28"/>
        <v>9.0874668686103752E-3</v>
      </c>
      <c r="AO238" s="3"/>
      <c r="AP238">
        <v>0</v>
      </c>
      <c r="AQ238" t="s">
        <v>6457</v>
      </c>
      <c r="AR238" t="s">
        <v>5285</v>
      </c>
      <c r="AS238" t="s">
        <v>2673</v>
      </c>
      <c r="AT238" s="2" t="s">
        <v>0</v>
      </c>
      <c r="AU238" s="1">
        <f t="shared" si="29"/>
        <v>2.836356954991869</v>
      </c>
      <c r="AV238" s="1">
        <f t="shared" si="30"/>
        <v>2.2856111640973458</v>
      </c>
      <c r="AW238" s="1">
        <f t="shared" si="31"/>
        <v>1.7348653732028225</v>
      </c>
    </row>
    <row r="239" spans="1:49" x14ac:dyDescent="0.2">
      <c r="A239">
        <v>237</v>
      </c>
      <c r="B239" t="s">
        <v>6456</v>
      </c>
      <c r="C239" t="s">
        <v>6455</v>
      </c>
      <c r="D239" t="s">
        <v>6454</v>
      </c>
      <c r="F239" t="s">
        <v>6453</v>
      </c>
      <c r="G239" t="s">
        <v>6</v>
      </c>
      <c r="H239" t="s">
        <v>5</v>
      </c>
      <c r="I239" t="s">
        <v>6452</v>
      </c>
      <c r="J239">
        <v>60000221</v>
      </c>
      <c r="K239" t="s">
        <v>681</v>
      </c>
      <c r="L239" t="s">
        <v>109</v>
      </c>
      <c r="M239" t="s">
        <v>3</v>
      </c>
      <c r="N239">
        <v>1</v>
      </c>
      <c r="O239" t="s">
        <v>6451</v>
      </c>
      <c r="P239">
        <v>7201537721</v>
      </c>
      <c r="Q239">
        <v>60000221</v>
      </c>
      <c r="R239" s="7">
        <v>36495</v>
      </c>
      <c r="S239" s="8">
        <f t="shared" si="24"/>
        <v>1999</v>
      </c>
      <c r="T239" s="8">
        <v>1999</v>
      </c>
      <c r="U239" s="8">
        <f t="shared" si="25"/>
        <v>23</v>
      </c>
      <c r="V239" s="7">
        <v>1999</v>
      </c>
      <c r="W239" t="s">
        <v>174</v>
      </c>
      <c r="X239" s="2">
        <v>1.3720000000000001</v>
      </c>
      <c r="Y239" s="6">
        <f t="shared" si="26"/>
        <v>3.662475641333654E-2</v>
      </c>
      <c r="AA239">
        <v>189480</v>
      </c>
      <c r="AB239">
        <v>17366</v>
      </c>
      <c r="AD239" t="s">
        <v>2</v>
      </c>
      <c r="AE239">
        <v>47</v>
      </c>
      <c r="AF239">
        <v>12</v>
      </c>
      <c r="AH239" t="s">
        <v>6450</v>
      </c>
      <c r="AI239" t="s">
        <v>6449</v>
      </c>
      <c r="AJ239" t="s">
        <v>6448</v>
      </c>
      <c r="AK239" t="s">
        <v>6447</v>
      </c>
      <c r="AL239">
        <v>8</v>
      </c>
      <c r="AM239" s="5">
        <f t="shared" si="27"/>
        <v>0.34782608695652173</v>
      </c>
      <c r="AN239" s="4">
        <f t="shared" si="28"/>
        <v>5.2680967354263046E-4</v>
      </c>
      <c r="AO239" s="3"/>
      <c r="AP239">
        <v>0</v>
      </c>
      <c r="AQ239" t="s">
        <v>297</v>
      </c>
      <c r="AR239" t="s">
        <v>1</v>
      </c>
      <c r="AS239" t="s">
        <v>295</v>
      </c>
      <c r="AT239" s="2" t="s">
        <v>0</v>
      </c>
      <c r="AU239" s="1">
        <f t="shared" si="29"/>
        <v>2.5795372391398366</v>
      </c>
      <c r="AV239" s="1">
        <f t="shared" si="30"/>
        <v>1.8575783043439584</v>
      </c>
      <c r="AW239" s="1">
        <f t="shared" si="31"/>
        <v>1.1356193695480803</v>
      </c>
    </row>
    <row r="240" spans="1:49" x14ac:dyDescent="0.2">
      <c r="A240">
        <v>238</v>
      </c>
      <c r="B240" t="s">
        <v>6446</v>
      </c>
      <c r="C240" t="s">
        <v>6445</v>
      </c>
      <c r="D240" t="s">
        <v>6444</v>
      </c>
      <c r="F240" t="s">
        <v>6443</v>
      </c>
      <c r="G240" t="s">
        <v>6</v>
      </c>
      <c r="H240" t="s">
        <v>5</v>
      </c>
      <c r="I240" t="s">
        <v>3040</v>
      </c>
      <c r="J240">
        <v>60028218</v>
      </c>
      <c r="K240" t="s">
        <v>3039</v>
      </c>
      <c r="L240" t="s">
        <v>3038</v>
      </c>
      <c r="M240" t="s">
        <v>13</v>
      </c>
      <c r="N240">
        <v>3</v>
      </c>
      <c r="O240" t="s">
        <v>6442</v>
      </c>
      <c r="P240" t="s">
        <v>6441</v>
      </c>
      <c r="Q240" t="s">
        <v>6440</v>
      </c>
      <c r="R240" s="7">
        <v>36495</v>
      </c>
      <c r="S240" s="8">
        <f t="shared" si="24"/>
        <v>1999</v>
      </c>
      <c r="T240" s="8">
        <v>1999</v>
      </c>
      <c r="U240" s="8">
        <f t="shared" si="25"/>
        <v>23</v>
      </c>
      <c r="V240" s="7">
        <v>1999</v>
      </c>
      <c r="W240" t="s">
        <v>167</v>
      </c>
      <c r="X240" s="2">
        <v>1.468</v>
      </c>
      <c r="Y240" s="6">
        <f t="shared" si="26"/>
        <v>3.9187421585115186E-2</v>
      </c>
      <c r="AA240">
        <v>906778</v>
      </c>
      <c r="AB240">
        <v>18931</v>
      </c>
      <c r="AD240" t="s">
        <v>2</v>
      </c>
      <c r="AE240">
        <v>47</v>
      </c>
      <c r="AF240">
        <v>12</v>
      </c>
      <c r="AH240" t="s">
        <v>6439</v>
      </c>
      <c r="AI240" t="s">
        <v>6438</v>
      </c>
      <c r="AJ240" t="s">
        <v>6437</v>
      </c>
      <c r="AK240" t="s">
        <v>6436</v>
      </c>
      <c r="AL240">
        <v>37</v>
      </c>
      <c r="AM240" s="5">
        <f t="shared" si="27"/>
        <v>1.6086956521739131</v>
      </c>
      <c r="AN240" s="4">
        <f t="shared" si="28"/>
        <v>2.4364947401346658E-3</v>
      </c>
      <c r="AO240" s="3"/>
      <c r="AP240">
        <v>0</v>
      </c>
      <c r="AQ240" t="s">
        <v>6234</v>
      </c>
      <c r="AR240" t="s">
        <v>1</v>
      </c>
      <c r="AS240" t="s">
        <v>4437</v>
      </c>
      <c r="AT240" s="2">
        <v>5.0830000000000002</v>
      </c>
      <c r="AU240" s="1">
        <f t="shared" si="29"/>
        <v>2.8162143531621031</v>
      </c>
      <c r="AV240" s="1">
        <f t="shared" si="30"/>
        <v>2.0811958162624924</v>
      </c>
      <c r="AW240" s="1">
        <f t="shared" si="31"/>
        <v>1.3461772793628823</v>
      </c>
    </row>
    <row r="241" spans="1:49" x14ac:dyDescent="0.2">
      <c r="A241">
        <v>239</v>
      </c>
      <c r="B241" t="s">
        <v>6435</v>
      </c>
      <c r="C241" t="s">
        <v>6434</v>
      </c>
      <c r="F241" t="s">
        <v>6433</v>
      </c>
      <c r="G241" t="s">
        <v>6</v>
      </c>
      <c r="H241" t="s">
        <v>5</v>
      </c>
      <c r="I241" t="s">
        <v>6432</v>
      </c>
      <c r="J241">
        <v>60021902</v>
      </c>
      <c r="K241" t="s">
        <v>164</v>
      </c>
      <c r="L241" t="s">
        <v>163</v>
      </c>
      <c r="M241" t="s">
        <v>49</v>
      </c>
      <c r="N241">
        <v>2</v>
      </c>
      <c r="O241" t="s">
        <v>6431</v>
      </c>
      <c r="P241" t="s">
        <v>6430</v>
      </c>
      <c r="Q241" t="s">
        <v>6429</v>
      </c>
      <c r="R241" s="7">
        <v>36495</v>
      </c>
      <c r="S241" s="8">
        <f t="shared" si="24"/>
        <v>1999</v>
      </c>
      <c r="T241" s="8">
        <v>1999</v>
      </c>
      <c r="U241" s="8">
        <f t="shared" si="25"/>
        <v>23</v>
      </c>
      <c r="V241" s="7">
        <v>36495</v>
      </c>
      <c r="W241" s="12" t="s">
        <v>145</v>
      </c>
      <c r="X241" s="2">
        <v>2.383</v>
      </c>
      <c r="Y241" s="6">
        <f t="shared" si="26"/>
        <v>6.3612824003630442E-2</v>
      </c>
      <c r="AA241">
        <v>13502417</v>
      </c>
      <c r="AB241">
        <v>17416</v>
      </c>
      <c r="AD241" t="s">
        <v>2</v>
      </c>
      <c r="AE241">
        <v>146</v>
      </c>
      <c r="AF241">
        <v>6</v>
      </c>
      <c r="AH241" t="s">
        <v>6428</v>
      </c>
      <c r="AI241" t="s">
        <v>6427</v>
      </c>
      <c r="AK241" t="s">
        <v>6426</v>
      </c>
      <c r="AL241">
        <v>13</v>
      </c>
      <c r="AM241" s="5">
        <f t="shared" si="27"/>
        <v>0.56521739130434778</v>
      </c>
      <c r="AN241" s="4">
        <f t="shared" si="28"/>
        <v>8.560657195067744E-4</v>
      </c>
      <c r="AO241" s="3"/>
      <c r="AP241">
        <v>0</v>
      </c>
      <c r="AR241" t="s">
        <v>1</v>
      </c>
      <c r="AT241" s="2" t="s">
        <v>0</v>
      </c>
      <c r="AU241" s="1">
        <f t="shared" si="29"/>
        <v>4.4785796518393344</v>
      </c>
      <c r="AV241" s="1">
        <f t="shared" si="30"/>
        <v>3.2234444861568607</v>
      </c>
      <c r="AW241" s="1">
        <f t="shared" si="31"/>
        <v>1.9683093204743873</v>
      </c>
    </row>
    <row r="242" spans="1:49" x14ac:dyDescent="0.2">
      <c r="A242">
        <v>240</v>
      </c>
      <c r="B242" t="s">
        <v>6425</v>
      </c>
      <c r="C242" t="s">
        <v>6424</v>
      </c>
      <c r="D242" t="s">
        <v>6423</v>
      </c>
      <c r="F242" t="s">
        <v>6422</v>
      </c>
      <c r="G242" t="s">
        <v>6</v>
      </c>
      <c r="H242" t="s">
        <v>5</v>
      </c>
      <c r="I242" t="s">
        <v>6421</v>
      </c>
      <c r="J242">
        <v>60013791</v>
      </c>
      <c r="K242" t="s">
        <v>6420</v>
      </c>
      <c r="L242" t="s">
        <v>6419</v>
      </c>
      <c r="M242" t="s">
        <v>3</v>
      </c>
      <c r="N242">
        <v>1</v>
      </c>
      <c r="O242" t="s">
        <v>6418</v>
      </c>
      <c r="P242">
        <v>7201459774</v>
      </c>
      <c r="Q242">
        <v>60013791</v>
      </c>
      <c r="R242" s="7">
        <v>36495</v>
      </c>
      <c r="S242" s="8">
        <f t="shared" si="24"/>
        <v>1999</v>
      </c>
      <c r="T242" s="8">
        <v>1999</v>
      </c>
      <c r="U242" s="8">
        <f t="shared" si="25"/>
        <v>23</v>
      </c>
      <c r="V242" s="7">
        <v>1999</v>
      </c>
      <c r="W242" t="s">
        <v>174</v>
      </c>
      <c r="X242" s="2">
        <v>1.3720000000000001</v>
      </c>
      <c r="Y242" s="6">
        <f t="shared" si="26"/>
        <v>3.662475641333654E-2</v>
      </c>
      <c r="AA242">
        <v>189480</v>
      </c>
      <c r="AB242">
        <v>17366</v>
      </c>
      <c r="AD242" t="s">
        <v>2</v>
      </c>
      <c r="AE242">
        <v>47</v>
      </c>
      <c r="AF242">
        <v>12</v>
      </c>
      <c r="AH242" t="s">
        <v>6417</v>
      </c>
      <c r="AI242" t="s">
        <v>6416</v>
      </c>
      <c r="AK242" t="s">
        <v>6415</v>
      </c>
      <c r="AL242">
        <v>1</v>
      </c>
      <c r="AM242" s="5">
        <f t="shared" si="27"/>
        <v>4.3478260869565216E-2</v>
      </c>
      <c r="AN242" s="4">
        <f t="shared" si="28"/>
        <v>6.5851209192828807E-5</v>
      </c>
      <c r="AO242" s="3"/>
      <c r="AP242">
        <v>0</v>
      </c>
      <c r="AQ242" t="s">
        <v>171</v>
      </c>
      <c r="AR242" t="s">
        <v>6414</v>
      </c>
      <c r="AS242" t="s">
        <v>170</v>
      </c>
      <c r="AT242" s="2" t="s">
        <v>0</v>
      </c>
      <c r="AU242" s="1">
        <f t="shared" si="29"/>
        <v>2.5657084852093424</v>
      </c>
      <c r="AV242" s="1">
        <f t="shared" si="30"/>
        <v>1.8345303811264684</v>
      </c>
      <c r="AW242" s="1">
        <f t="shared" si="31"/>
        <v>1.1033522770435944</v>
      </c>
    </row>
    <row r="243" spans="1:49" x14ac:dyDescent="0.2">
      <c r="A243">
        <v>241</v>
      </c>
      <c r="B243" t="s">
        <v>6413</v>
      </c>
      <c r="F243" t="s">
        <v>6412</v>
      </c>
      <c r="G243" t="s">
        <v>6</v>
      </c>
      <c r="H243" t="s">
        <v>5</v>
      </c>
      <c r="I243" t="s">
        <v>6411</v>
      </c>
      <c r="N243">
        <v>1</v>
      </c>
      <c r="O243" t="s">
        <v>6410</v>
      </c>
      <c r="P243">
        <v>7202758354</v>
      </c>
      <c r="R243" s="7">
        <v>36495</v>
      </c>
      <c r="S243" s="8">
        <f t="shared" si="24"/>
        <v>1999</v>
      </c>
      <c r="T243" s="8">
        <v>1999</v>
      </c>
      <c r="U243" s="8">
        <f t="shared" si="25"/>
        <v>23</v>
      </c>
      <c r="V243" s="7">
        <v>36495</v>
      </c>
      <c r="W243" t="s">
        <v>2661</v>
      </c>
      <c r="X243" s="2">
        <v>0.14099999999999999</v>
      </c>
      <c r="Y243" s="6">
        <f t="shared" si="26"/>
        <v>3.7639144710498915E-3</v>
      </c>
      <c r="AA243">
        <v>7252986</v>
      </c>
      <c r="AB243">
        <v>18037</v>
      </c>
      <c r="AD243" t="s">
        <v>2</v>
      </c>
      <c r="AE243">
        <v>19</v>
      </c>
      <c r="AF243">
        <v>4</v>
      </c>
      <c r="AH243" t="s">
        <v>6409</v>
      </c>
      <c r="AI243" t="s">
        <v>6408</v>
      </c>
      <c r="AK243" t="s">
        <v>6407</v>
      </c>
      <c r="AL243">
        <v>0</v>
      </c>
      <c r="AM243" s="5">
        <f t="shared" si="27"/>
        <v>0</v>
      </c>
      <c r="AN243" s="4">
        <f t="shared" si="28"/>
        <v>0</v>
      </c>
      <c r="AO243" s="3"/>
      <c r="AP243">
        <v>0</v>
      </c>
      <c r="AR243" t="s">
        <v>1</v>
      </c>
      <c r="AT243" s="2" t="s">
        <v>0</v>
      </c>
      <c r="AU243" s="1">
        <f t="shared" si="29"/>
        <v>0.26347401297349238</v>
      </c>
      <c r="AV243" s="1">
        <f t="shared" si="30"/>
        <v>0.18819572355249459</v>
      </c>
      <c r="AW243" s="1">
        <f t="shared" si="31"/>
        <v>0.11291743413149673</v>
      </c>
    </row>
    <row r="244" spans="1:49" x14ac:dyDescent="0.2">
      <c r="A244">
        <v>242</v>
      </c>
      <c r="B244" t="s">
        <v>6406</v>
      </c>
      <c r="F244" t="s">
        <v>6405</v>
      </c>
      <c r="G244" t="s">
        <v>6</v>
      </c>
      <c r="H244" t="s">
        <v>5</v>
      </c>
      <c r="I244" t="s">
        <v>6404</v>
      </c>
      <c r="N244">
        <v>2</v>
      </c>
      <c r="O244" t="s">
        <v>6403</v>
      </c>
      <c r="P244" t="s">
        <v>6402</v>
      </c>
      <c r="Q244" t="s">
        <v>85</v>
      </c>
      <c r="R244" s="7">
        <v>36495</v>
      </c>
      <c r="S244" s="8">
        <f t="shared" si="24"/>
        <v>1999</v>
      </c>
      <c r="T244" s="8">
        <v>1999</v>
      </c>
      <c r="U244" s="8">
        <f t="shared" si="25"/>
        <v>23</v>
      </c>
      <c r="V244" s="7">
        <v>36495</v>
      </c>
      <c r="W244" t="s">
        <v>2661</v>
      </c>
      <c r="X244" s="2">
        <v>0.14099999999999999</v>
      </c>
      <c r="Y244" s="6">
        <f t="shared" si="26"/>
        <v>3.7639144710498915E-3</v>
      </c>
      <c r="AA244">
        <v>7252986</v>
      </c>
      <c r="AB244">
        <v>18037</v>
      </c>
      <c r="AD244" t="s">
        <v>2</v>
      </c>
      <c r="AE244">
        <v>19</v>
      </c>
      <c r="AF244">
        <v>4</v>
      </c>
      <c r="AH244" t="s">
        <v>6401</v>
      </c>
      <c r="AI244" t="s">
        <v>6400</v>
      </c>
      <c r="AK244" t="s">
        <v>6399</v>
      </c>
      <c r="AL244">
        <v>0</v>
      </c>
      <c r="AM244" s="5">
        <f t="shared" si="27"/>
        <v>0</v>
      </c>
      <c r="AN244" s="4">
        <f t="shared" si="28"/>
        <v>0</v>
      </c>
      <c r="AO244" s="3"/>
      <c r="AP244">
        <v>0</v>
      </c>
      <c r="AR244" t="s">
        <v>1</v>
      </c>
      <c r="AT244" s="2" t="s">
        <v>0</v>
      </c>
      <c r="AU244" s="1">
        <f t="shared" si="29"/>
        <v>0.26347401297349238</v>
      </c>
      <c r="AV244" s="1">
        <f t="shared" si="30"/>
        <v>0.18819572355249459</v>
      </c>
      <c r="AW244" s="1">
        <f t="shared" si="31"/>
        <v>0.11291743413149673</v>
      </c>
    </row>
    <row r="245" spans="1:49" x14ac:dyDescent="0.2">
      <c r="A245">
        <v>243</v>
      </c>
      <c r="B245" t="s">
        <v>6398</v>
      </c>
      <c r="F245" t="s">
        <v>6397</v>
      </c>
      <c r="G245" t="s">
        <v>6</v>
      </c>
      <c r="H245" t="s">
        <v>5</v>
      </c>
      <c r="I245" t="s">
        <v>6396</v>
      </c>
      <c r="J245">
        <v>60027509</v>
      </c>
      <c r="K245" t="s">
        <v>6395</v>
      </c>
      <c r="L245" t="s">
        <v>543</v>
      </c>
      <c r="M245" t="s">
        <v>13</v>
      </c>
      <c r="N245">
        <v>3</v>
      </c>
      <c r="O245" t="s">
        <v>6394</v>
      </c>
      <c r="P245" t="s">
        <v>6393</v>
      </c>
      <c r="Q245" t="s">
        <v>6392</v>
      </c>
      <c r="R245" s="7">
        <v>36495</v>
      </c>
      <c r="S245" s="8">
        <f t="shared" si="24"/>
        <v>1999</v>
      </c>
      <c r="T245" s="8">
        <v>1999</v>
      </c>
      <c r="U245" s="8">
        <f t="shared" si="25"/>
        <v>23</v>
      </c>
      <c r="V245" s="7">
        <v>1999</v>
      </c>
      <c r="W245" t="s">
        <v>6391</v>
      </c>
      <c r="X245" s="2">
        <v>0.11</v>
      </c>
      <c r="Y245" s="6">
        <f t="shared" si="26"/>
        <v>2.9363871759963698E-3</v>
      </c>
      <c r="AA245">
        <v>11201908</v>
      </c>
      <c r="AB245">
        <v>24118</v>
      </c>
      <c r="AD245" t="s">
        <v>2</v>
      </c>
      <c r="AE245">
        <v>11</v>
      </c>
      <c r="AF245">
        <v>3</v>
      </c>
      <c r="AH245" t="s">
        <v>6390</v>
      </c>
      <c r="AI245" t="s">
        <v>6389</v>
      </c>
      <c r="AK245" t="s">
        <v>6388</v>
      </c>
      <c r="AL245">
        <v>0</v>
      </c>
      <c r="AM245" s="5">
        <f t="shared" si="27"/>
        <v>0</v>
      </c>
      <c r="AN245" s="4">
        <f t="shared" si="28"/>
        <v>0</v>
      </c>
      <c r="AO245" s="3"/>
      <c r="AP245">
        <v>0</v>
      </c>
      <c r="AR245" t="s">
        <v>1</v>
      </c>
      <c r="AT245" s="2" t="s">
        <v>0</v>
      </c>
      <c r="AU245" s="1">
        <f t="shared" si="29"/>
        <v>0.20554710231974588</v>
      </c>
      <c r="AV245" s="1">
        <f t="shared" si="30"/>
        <v>0.1468193587998185</v>
      </c>
      <c r="AW245" s="1">
        <f t="shared" si="31"/>
        <v>8.8091615279891095E-2</v>
      </c>
    </row>
    <row r="246" spans="1:49" x14ac:dyDescent="0.2">
      <c r="A246">
        <v>244</v>
      </c>
      <c r="B246" t="s">
        <v>6387</v>
      </c>
      <c r="C246" t="s">
        <v>6386</v>
      </c>
      <c r="F246" t="s">
        <v>6385</v>
      </c>
      <c r="G246" t="s">
        <v>6</v>
      </c>
      <c r="H246" t="s">
        <v>5</v>
      </c>
      <c r="I246" t="s">
        <v>6384</v>
      </c>
      <c r="J246">
        <v>60005734</v>
      </c>
      <c r="K246" t="s">
        <v>6383</v>
      </c>
      <c r="L246" t="s">
        <v>6382</v>
      </c>
      <c r="M246" t="s">
        <v>6381</v>
      </c>
      <c r="N246">
        <v>1</v>
      </c>
      <c r="O246" t="s">
        <v>6380</v>
      </c>
      <c r="P246">
        <v>6701860135</v>
      </c>
      <c r="Q246">
        <v>60005734</v>
      </c>
      <c r="R246" s="7">
        <v>36495</v>
      </c>
      <c r="S246" s="8">
        <f t="shared" si="24"/>
        <v>1999</v>
      </c>
      <c r="T246" s="8">
        <v>1999</v>
      </c>
      <c r="U246" s="8">
        <f t="shared" si="25"/>
        <v>23</v>
      </c>
      <c r="V246" s="7">
        <v>36495</v>
      </c>
      <c r="W246" t="s">
        <v>28</v>
      </c>
      <c r="X246" s="2">
        <v>0.251</v>
      </c>
      <c r="Y246" s="6">
        <f t="shared" si="26"/>
        <v>6.7003016470462617E-3</v>
      </c>
      <c r="AA246">
        <v>207217</v>
      </c>
      <c r="AB246">
        <v>26145</v>
      </c>
      <c r="AD246" t="s">
        <v>2</v>
      </c>
      <c r="AE246">
        <v>86</v>
      </c>
      <c r="AF246">
        <v>12</v>
      </c>
      <c r="AH246" t="s">
        <v>6379</v>
      </c>
      <c r="AI246" t="s">
        <v>6378</v>
      </c>
      <c r="AK246" t="s">
        <v>6377</v>
      </c>
      <c r="AL246">
        <v>0</v>
      </c>
      <c r="AM246" s="5">
        <f t="shared" si="27"/>
        <v>0</v>
      </c>
      <c r="AN246" s="4">
        <f t="shared" si="28"/>
        <v>0</v>
      </c>
      <c r="AO246" s="3"/>
      <c r="AP246">
        <v>0</v>
      </c>
      <c r="AR246" t="s">
        <v>1</v>
      </c>
      <c r="AT246" s="2">
        <v>1.3360000000000001</v>
      </c>
      <c r="AU246" s="1">
        <f t="shared" si="29"/>
        <v>0.46902111529323826</v>
      </c>
      <c r="AV246" s="1">
        <f t="shared" si="30"/>
        <v>0.33501508235231309</v>
      </c>
      <c r="AW246" s="1">
        <f t="shared" si="31"/>
        <v>0.20100904941138784</v>
      </c>
    </row>
    <row r="247" spans="1:49" x14ac:dyDescent="0.2">
      <c r="A247">
        <v>245</v>
      </c>
      <c r="B247" t="s">
        <v>6376</v>
      </c>
      <c r="F247" t="s">
        <v>6375</v>
      </c>
      <c r="G247" t="s">
        <v>6</v>
      </c>
      <c r="H247" t="s">
        <v>5</v>
      </c>
      <c r="I247" t="s">
        <v>6374</v>
      </c>
      <c r="J247">
        <v>60107918</v>
      </c>
      <c r="K247" t="s">
        <v>6373</v>
      </c>
      <c r="L247" t="s">
        <v>6372</v>
      </c>
      <c r="M247" t="s">
        <v>45</v>
      </c>
      <c r="N247">
        <v>7</v>
      </c>
      <c r="O247" t="s">
        <v>6371</v>
      </c>
      <c r="P247" t="s">
        <v>6370</v>
      </c>
      <c r="Q247" t="s">
        <v>6369</v>
      </c>
      <c r="R247" s="7">
        <v>36495</v>
      </c>
      <c r="S247" s="8">
        <f t="shared" si="24"/>
        <v>1999</v>
      </c>
      <c r="T247" s="8">
        <v>1999</v>
      </c>
      <c r="U247" s="8">
        <f t="shared" si="25"/>
        <v>23</v>
      </c>
      <c r="V247" s="7">
        <v>1999</v>
      </c>
      <c r="W247" t="s">
        <v>6368</v>
      </c>
      <c r="X247" s="2">
        <v>0.215</v>
      </c>
      <c r="Y247" s="6">
        <f t="shared" si="26"/>
        <v>5.7393022076292679E-3</v>
      </c>
      <c r="AA247">
        <v>3744884</v>
      </c>
      <c r="AB247">
        <v>28637</v>
      </c>
      <c r="AD247" t="s">
        <v>2</v>
      </c>
      <c r="AE247">
        <v>35</v>
      </c>
      <c r="AF247" t="s">
        <v>4912</v>
      </c>
      <c r="AI247" t="s">
        <v>6367</v>
      </c>
      <c r="AK247" t="s">
        <v>6366</v>
      </c>
      <c r="AL247">
        <v>1</v>
      </c>
      <c r="AM247" s="5">
        <f t="shared" si="27"/>
        <v>4.3478260869565216E-2</v>
      </c>
      <c r="AN247" s="4">
        <f t="shared" si="28"/>
        <v>6.5851209192828807E-5</v>
      </c>
      <c r="AO247" s="3"/>
      <c r="AP247">
        <v>0</v>
      </c>
      <c r="AR247" t="s">
        <v>1</v>
      </c>
      <c r="AT247" s="2">
        <v>0.64900000000000002</v>
      </c>
      <c r="AU247" s="1">
        <f t="shared" si="29"/>
        <v>0.40372669080983364</v>
      </c>
      <c r="AV247" s="1">
        <f t="shared" si="30"/>
        <v>0.29025767084110482</v>
      </c>
      <c r="AW247" s="1">
        <f t="shared" si="31"/>
        <v>0.17678865087237605</v>
      </c>
    </row>
    <row r="248" spans="1:49" x14ac:dyDescent="0.2">
      <c r="A248">
        <v>246</v>
      </c>
      <c r="B248" t="s">
        <v>6365</v>
      </c>
      <c r="C248" t="s">
        <v>6364</v>
      </c>
      <c r="E248">
        <v>10559768</v>
      </c>
      <c r="F248" t="s">
        <v>6363</v>
      </c>
      <c r="G248" t="s">
        <v>6</v>
      </c>
      <c r="H248" t="s">
        <v>5</v>
      </c>
      <c r="I248" t="s">
        <v>6362</v>
      </c>
      <c r="J248" t="s">
        <v>6361</v>
      </c>
      <c r="K248" t="s">
        <v>6360</v>
      </c>
      <c r="L248" t="s">
        <v>6359</v>
      </c>
      <c r="M248" t="s">
        <v>27</v>
      </c>
      <c r="N248">
        <v>5</v>
      </c>
      <c r="O248" t="s">
        <v>6358</v>
      </c>
      <c r="P248" t="s">
        <v>6357</v>
      </c>
      <c r="Q248" t="s">
        <v>6356</v>
      </c>
      <c r="R248" s="7">
        <v>36495</v>
      </c>
      <c r="S248" s="8">
        <f t="shared" si="24"/>
        <v>1999</v>
      </c>
      <c r="T248" s="8">
        <v>1999</v>
      </c>
      <c r="U248" s="8">
        <f t="shared" si="25"/>
        <v>23</v>
      </c>
      <c r="V248" s="7">
        <v>36495</v>
      </c>
      <c r="W248" t="s">
        <v>4876</v>
      </c>
      <c r="X248" s="2">
        <v>0.435</v>
      </c>
      <c r="Y248" s="6">
        <f t="shared" si="26"/>
        <v>1.1612076559622007E-2</v>
      </c>
      <c r="AA248">
        <v>1978462</v>
      </c>
      <c r="AB248">
        <v>14839</v>
      </c>
      <c r="AD248" t="s">
        <v>2</v>
      </c>
      <c r="AE248">
        <v>20</v>
      </c>
      <c r="AF248">
        <v>8</v>
      </c>
      <c r="AH248" t="s">
        <v>6355</v>
      </c>
      <c r="AI248" t="s">
        <v>6354</v>
      </c>
      <c r="AJ248" t="s">
        <v>6353</v>
      </c>
      <c r="AK248" t="s">
        <v>6352</v>
      </c>
      <c r="AL248">
        <v>39</v>
      </c>
      <c r="AM248" s="5">
        <f t="shared" si="27"/>
        <v>1.6956521739130435</v>
      </c>
      <c r="AN248" s="4">
        <f t="shared" si="28"/>
        <v>2.5681971585203231E-3</v>
      </c>
      <c r="AO248" s="3"/>
      <c r="AP248">
        <v>0</v>
      </c>
      <c r="AR248" t="s">
        <v>1</v>
      </c>
      <c r="AT248" s="2">
        <v>2.0099999999999998</v>
      </c>
      <c r="AU248" s="1">
        <f t="shared" si="29"/>
        <v>0.88989127392915013</v>
      </c>
      <c r="AV248" s="1">
        <f t="shared" si="30"/>
        <v>0.70901368590711655</v>
      </c>
      <c r="AW248" s="1">
        <f t="shared" si="31"/>
        <v>0.52813609788508287</v>
      </c>
    </row>
    <row r="249" spans="1:49" x14ac:dyDescent="0.2">
      <c r="A249">
        <v>247</v>
      </c>
      <c r="B249" t="s">
        <v>6351</v>
      </c>
      <c r="F249" t="s">
        <v>6350</v>
      </c>
      <c r="G249" t="s">
        <v>6</v>
      </c>
      <c r="H249" t="s">
        <v>5</v>
      </c>
      <c r="I249" t="s">
        <v>6349</v>
      </c>
      <c r="J249" t="s">
        <v>6348</v>
      </c>
      <c r="K249" t="s">
        <v>6347</v>
      </c>
      <c r="L249" t="s">
        <v>6346</v>
      </c>
      <c r="M249" t="s">
        <v>30</v>
      </c>
      <c r="N249">
        <v>2</v>
      </c>
      <c r="O249" t="s">
        <v>6345</v>
      </c>
      <c r="P249" t="s">
        <v>6344</v>
      </c>
      <c r="Q249" t="s">
        <v>6343</v>
      </c>
      <c r="R249" s="7">
        <v>36495</v>
      </c>
      <c r="S249" s="8">
        <f t="shared" si="24"/>
        <v>1999</v>
      </c>
      <c r="T249" s="8">
        <v>1999</v>
      </c>
      <c r="U249" s="8">
        <f t="shared" si="25"/>
        <v>23</v>
      </c>
      <c r="V249" s="7">
        <v>1999</v>
      </c>
      <c r="W249" t="s">
        <v>6342</v>
      </c>
      <c r="X249" s="2">
        <v>0.54700000000000004</v>
      </c>
      <c r="Y249" s="6">
        <f t="shared" si="26"/>
        <v>1.4601852593363766E-2</v>
      </c>
      <c r="AA249">
        <v>1618202</v>
      </c>
      <c r="AB249">
        <v>22540</v>
      </c>
      <c r="AD249" t="s">
        <v>2</v>
      </c>
      <c r="AE249">
        <v>27</v>
      </c>
      <c r="AF249">
        <v>2</v>
      </c>
      <c r="AH249" t="s">
        <v>6341</v>
      </c>
      <c r="AI249" t="s">
        <v>6340</v>
      </c>
      <c r="AK249" t="s">
        <v>6339</v>
      </c>
      <c r="AL249">
        <v>42</v>
      </c>
      <c r="AM249" s="5">
        <f t="shared" si="27"/>
        <v>1.826086956521739</v>
      </c>
      <c r="AN249" s="4">
        <f t="shared" si="28"/>
        <v>2.7657507860988097E-3</v>
      </c>
      <c r="AO249" s="3"/>
      <c r="AP249">
        <v>0</v>
      </c>
      <c r="AR249" t="s">
        <v>1</v>
      </c>
      <c r="AT249" s="2">
        <v>1.01</v>
      </c>
      <c r="AU249" s="1">
        <f t="shared" si="29"/>
        <v>1.1051022051184278</v>
      </c>
      <c r="AV249" s="1">
        <f t="shared" si="30"/>
        <v>0.86838016897312875</v>
      </c>
      <c r="AW249" s="1">
        <f t="shared" si="31"/>
        <v>0.63165813282782968</v>
      </c>
    </row>
    <row r="250" spans="1:49" x14ac:dyDescent="0.2">
      <c r="A250">
        <v>248</v>
      </c>
      <c r="B250" t="s">
        <v>6338</v>
      </c>
      <c r="C250" t="s">
        <v>6337</v>
      </c>
      <c r="E250">
        <v>10463128</v>
      </c>
      <c r="F250" t="s">
        <v>6336</v>
      </c>
      <c r="G250" t="s">
        <v>6</v>
      </c>
      <c r="H250" t="s">
        <v>5</v>
      </c>
      <c r="I250" t="s">
        <v>799</v>
      </c>
      <c r="J250">
        <v>60030443</v>
      </c>
      <c r="K250" t="s">
        <v>6325</v>
      </c>
      <c r="L250" t="s">
        <v>6324</v>
      </c>
      <c r="M250" t="s">
        <v>3</v>
      </c>
      <c r="N250">
        <v>2</v>
      </c>
      <c r="O250" t="s">
        <v>6335</v>
      </c>
      <c r="P250" t="s">
        <v>6334</v>
      </c>
      <c r="Q250" t="s">
        <v>6333</v>
      </c>
      <c r="R250" s="7">
        <v>36495</v>
      </c>
      <c r="S250" s="8">
        <f t="shared" si="24"/>
        <v>1999</v>
      </c>
      <c r="T250" s="8">
        <v>1999</v>
      </c>
      <c r="U250" s="8">
        <f t="shared" si="25"/>
        <v>23</v>
      </c>
      <c r="V250" s="7">
        <v>1999</v>
      </c>
      <c r="W250" t="s">
        <v>6320</v>
      </c>
      <c r="X250" s="2">
        <v>2.3220000000000001</v>
      </c>
      <c r="Y250" s="6">
        <f t="shared" si="26"/>
        <v>6.1984463842396094E-2</v>
      </c>
      <c r="AA250">
        <v>2780062</v>
      </c>
      <c r="AB250">
        <v>16733</v>
      </c>
      <c r="AD250" t="s">
        <v>2</v>
      </c>
      <c r="AE250">
        <v>18</v>
      </c>
      <c r="AF250">
        <v>6</v>
      </c>
      <c r="AH250" t="s">
        <v>6332</v>
      </c>
      <c r="AI250" t="s">
        <v>6331</v>
      </c>
      <c r="AK250" t="s">
        <v>6330</v>
      </c>
      <c r="AL250">
        <v>54</v>
      </c>
      <c r="AM250" s="5">
        <f t="shared" si="27"/>
        <v>2.347826086956522</v>
      </c>
      <c r="AN250" s="4">
        <f t="shared" si="28"/>
        <v>3.5559652964127558E-3</v>
      </c>
      <c r="AO250" s="3"/>
      <c r="AP250">
        <v>0</v>
      </c>
      <c r="AQ250" t="s">
        <v>757</v>
      </c>
      <c r="AR250" t="s">
        <v>6316</v>
      </c>
      <c r="AS250" t="s">
        <v>756</v>
      </c>
      <c r="AT250" s="2">
        <v>10.048</v>
      </c>
      <c r="AU250" s="1">
        <f t="shared" si="29"/>
        <v>4.4455914278601085</v>
      </c>
      <c r="AV250" s="1">
        <f t="shared" si="30"/>
        <v>3.2770214569404423</v>
      </c>
      <c r="AW250" s="1">
        <f t="shared" si="31"/>
        <v>2.1084514860207753</v>
      </c>
    </row>
    <row r="251" spans="1:49" x14ac:dyDescent="0.2">
      <c r="A251">
        <v>249</v>
      </c>
      <c r="B251" t="s">
        <v>6329</v>
      </c>
      <c r="C251" t="s">
        <v>6328</v>
      </c>
      <c r="E251">
        <v>10463129</v>
      </c>
      <c r="F251" t="s">
        <v>6327</v>
      </c>
      <c r="G251" t="s">
        <v>6</v>
      </c>
      <c r="H251" t="s">
        <v>5</v>
      </c>
      <c r="I251" t="s">
        <v>6326</v>
      </c>
      <c r="J251">
        <v>60030443</v>
      </c>
      <c r="K251" t="s">
        <v>6325</v>
      </c>
      <c r="L251" t="s">
        <v>6324</v>
      </c>
      <c r="M251" t="s">
        <v>3</v>
      </c>
      <c r="N251">
        <v>5</v>
      </c>
      <c r="O251" t="s">
        <v>6323</v>
      </c>
      <c r="P251" t="s">
        <v>6322</v>
      </c>
      <c r="Q251" t="s">
        <v>6321</v>
      </c>
      <c r="R251" s="7">
        <v>36495</v>
      </c>
      <c r="S251" s="8">
        <f t="shared" si="24"/>
        <v>1999</v>
      </c>
      <c r="T251" s="8">
        <v>1999</v>
      </c>
      <c r="U251" s="8">
        <f t="shared" si="25"/>
        <v>23</v>
      </c>
      <c r="V251" s="7">
        <v>1999</v>
      </c>
      <c r="W251" t="s">
        <v>6320</v>
      </c>
      <c r="X251" s="2">
        <v>2.3220000000000001</v>
      </c>
      <c r="Y251" s="6">
        <f t="shared" si="26"/>
        <v>6.1984463842396094E-2</v>
      </c>
      <c r="AA251">
        <v>2780062</v>
      </c>
      <c r="AB251">
        <v>16733</v>
      </c>
      <c r="AD251" t="s">
        <v>2</v>
      </c>
      <c r="AE251">
        <v>18</v>
      </c>
      <c r="AF251">
        <v>6</v>
      </c>
      <c r="AH251" t="s">
        <v>6319</v>
      </c>
      <c r="AI251" t="s">
        <v>6318</v>
      </c>
      <c r="AK251" t="s">
        <v>6317</v>
      </c>
      <c r="AL251">
        <v>98</v>
      </c>
      <c r="AM251" s="5">
        <f t="shared" si="27"/>
        <v>4.2608695652173916</v>
      </c>
      <c r="AN251" s="4">
        <f t="shared" si="28"/>
        <v>6.4534185008972228E-3</v>
      </c>
      <c r="AO251" s="3"/>
      <c r="AP251">
        <v>0</v>
      </c>
      <c r="AQ251" t="s">
        <v>757</v>
      </c>
      <c r="AR251" t="s">
        <v>6316</v>
      </c>
      <c r="AS251" t="s">
        <v>756</v>
      </c>
      <c r="AT251" s="2">
        <v>10.048</v>
      </c>
      <c r="AU251" s="1">
        <f t="shared" si="29"/>
        <v>4.5325150239946428</v>
      </c>
      <c r="AV251" s="1">
        <f t="shared" si="30"/>
        <v>3.421894117164666</v>
      </c>
      <c r="AW251" s="1">
        <f t="shared" si="31"/>
        <v>2.3112732103346882</v>
      </c>
    </row>
    <row r="252" spans="1:49" x14ac:dyDescent="0.2">
      <c r="A252">
        <v>250</v>
      </c>
      <c r="B252" t="s">
        <v>6315</v>
      </c>
      <c r="F252" t="s">
        <v>6314</v>
      </c>
      <c r="G252" t="s">
        <v>6</v>
      </c>
      <c r="H252" t="s">
        <v>5</v>
      </c>
      <c r="I252" t="s">
        <v>6313</v>
      </c>
      <c r="J252" t="s">
        <v>6303</v>
      </c>
      <c r="K252" t="s">
        <v>6302</v>
      </c>
      <c r="L252" t="s">
        <v>6301</v>
      </c>
      <c r="M252" t="s">
        <v>6300</v>
      </c>
      <c r="N252">
        <v>2</v>
      </c>
      <c r="O252" t="s">
        <v>6312</v>
      </c>
      <c r="P252" t="s">
        <v>6311</v>
      </c>
      <c r="Q252" t="s">
        <v>6310</v>
      </c>
      <c r="R252" s="7">
        <v>36495</v>
      </c>
      <c r="S252" s="8">
        <f t="shared" si="24"/>
        <v>1999</v>
      </c>
      <c r="T252" s="8">
        <v>1999</v>
      </c>
      <c r="U252" s="8">
        <f t="shared" si="25"/>
        <v>23</v>
      </c>
      <c r="V252" s="7">
        <v>36495</v>
      </c>
      <c r="W252" t="s">
        <v>733</v>
      </c>
      <c r="X252" s="2">
        <v>0.33300000000000002</v>
      </c>
      <c r="Y252" s="6">
        <f t="shared" si="26"/>
        <v>8.8892448146071917E-3</v>
      </c>
      <c r="AA252" t="s">
        <v>732</v>
      </c>
      <c r="AB252">
        <v>29252</v>
      </c>
      <c r="AD252" t="s">
        <v>2</v>
      </c>
      <c r="AE252">
        <v>25</v>
      </c>
      <c r="AF252">
        <v>12</v>
      </c>
      <c r="AH252" t="s">
        <v>6309</v>
      </c>
      <c r="AI252" t="s">
        <v>6308</v>
      </c>
      <c r="AK252" t="s">
        <v>6307</v>
      </c>
      <c r="AL252">
        <v>1</v>
      </c>
      <c r="AM252" s="5">
        <f t="shared" si="27"/>
        <v>4.3478260869565216E-2</v>
      </c>
      <c r="AN252" s="4">
        <f t="shared" si="28"/>
        <v>6.5851209192828807E-5</v>
      </c>
      <c r="AO252" s="3"/>
      <c r="AP252">
        <v>0</v>
      </c>
      <c r="AR252" t="s">
        <v>1</v>
      </c>
      <c r="AT252" s="2">
        <v>0.97699999999999998</v>
      </c>
      <c r="AU252" s="1">
        <f t="shared" si="29"/>
        <v>0.62422267329828829</v>
      </c>
      <c r="AV252" s="1">
        <f t="shared" si="30"/>
        <v>0.44775480119000099</v>
      </c>
      <c r="AW252" s="1">
        <f t="shared" si="31"/>
        <v>0.27128692908171376</v>
      </c>
    </row>
    <row r="253" spans="1:49" x14ac:dyDescent="0.2">
      <c r="A253">
        <v>251</v>
      </c>
      <c r="B253" t="s">
        <v>6306</v>
      </c>
      <c r="F253" t="s">
        <v>6305</v>
      </c>
      <c r="G253" t="s">
        <v>6</v>
      </c>
      <c r="H253" t="s">
        <v>5</v>
      </c>
      <c r="I253" t="s">
        <v>6304</v>
      </c>
      <c r="J253" t="s">
        <v>6303</v>
      </c>
      <c r="K253" t="s">
        <v>6302</v>
      </c>
      <c r="L253" t="s">
        <v>6301</v>
      </c>
      <c r="M253" t="s">
        <v>6300</v>
      </c>
      <c r="N253">
        <v>1</v>
      </c>
      <c r="O253" t="s">
        <v>6299</v>
      </c>
      <c r="P253">
        <v>8509959200</v>
      </c>
      <c r="Q253" t="s">
        <v>6298</v>
      </c>
      <c r="R253" s="7">
        <v>36495</v>
      </c>
      <c r="S253" s="8">
        <f t="shared" si="24"/>
        <v>1999</v>
      </c>
      <c r="T253" s="8">
        <v>1999</v>
      </c>
      <c r="U253" s="8">
        <f t="shared" si="25"/>
        <v>23</v>
      </c>
      <c r="V253" s="7">
        <v>36495</v>
      </c>
      <c r="W253" t="s">
        <v>733</v>
      </c>
      <c r="X253" s="2">
        <v>0.33300000000000002</v>
      </c>
      <c r="Y253" s="6">
        <f t="shared" si="26"/>
        <v>8.8892448146071917E-3</v>
      </c>
      <c r="AA253" t="s">
        <v>732</v>
      </c>
      <c r="AB253">
        <v>29252</v>
      </c>
      <c r="AD253" t="s">
        <v>2</v>
      </c>
      <c r="AE253">
        <v>25</v>
      </c>
      <c r="AF253">
        <v>12</v>
      </c>
      <c r="AH253" t="s">
        <v>639</v>
      </c>
      <c r="AI253" t="s">
        <v>6297</v>
      </c>
      <c r="AK253" t="s">
        <v>6296</v>
      </c>
      <c r="AL253">
        <v>2</v>
      </c>
      <c r="AM253" s="5">
        <f t="shared" si="27"/>
        <v>8.6956521739130432E-2</v>
      </c>
      <c r="AN253" s="4">
        <f t="shared" si="28"/>
        <v>1.3170241838565761E-4</v>
      </c>
      <c r="AO253" s="3"/>
      <c r="AP253">
        <v>0</v>
      </c>
      <c r="AR253" t="s">
        <v>1</v>
      </c>
      <c r="AT253" s="2">
        <v>0.97699999999999998</v>
      </c>
      <c r="AU253" s="1">
        <f t="shared" si="29"/>
        <v>0.62619820957407313</v>
      </c>
      <c r="AV253" s="1">
        <f t="shared" si="30"/>
        <v>0.45104736164964243</v>
      </c>
      <c r="AW253" s="1">
        <f t="shared" si="31"/>
        <v>0.27589651372521173</v>
      </c>
    </row>
    <row r="254" spans="1:49" x14ac:dyDescent="0.2">
      <c r="A254">
        <v>252</v>
      </c>
      <c r="B254" t="s">
        <v>6295</v>
      </c>
      <c r="C254" t="s">
        <v>6294</v>
      </c>
      <c r="D254" t="s">
        <v>6293</v>
      </c>
      <c r="F254" t="s">
        <v>6292</v>
      </c>
      <c r="G254" t="s">
        <v>6</v>
      </c>
      <c r="H254" t="s">
        <v>5</v>
      </c>
      <c r="I254" t="s">
        <v>6291</v>
      </c>
      <c r="J254">
        <v>60015457</v>
      </c>
      <c r="K254" t="s">
        <v>6290</v>
      </c>
      <c r="L254" t="s">
        <v>6289</v>
      </c>
      <c r="M254" t="s">
        <v>3</v>
      </c>
      <c r="N254">
        <v>1</v>
      </c>
      <c r="O254" t="s">
        <v>6288</v>
      </c>
      <c r="P254">
        <v>7406222045</v>
      </c>
      <c r="Q254">
        <v>60015457</v>
      </c>
      <c r="R254" s="7">
        <v>36495</v>
      </c>
      <c r="S254" s="8">
        <f t="shared" si="24"/>
        <v>1999</v>
      </c>
      <c r="T254" s="8">
        <v>1999</v>
      </c>
      <c r="U254" s="8">
        <f t="shared" si="25"/>
        <v>23</v>
      </c>
      <c r="V254" s="7">
        <v>1999</v>
      </c>
      <c r="W254" t="s">
        <v>948</v>
      </c>
      <c r="X254" s="2">
        <v>2.141</v>
      </c>
      <c r="Y254" s="6">
        <f t="shared" si="26"/>
        <v>5.7152772216438434E-2</v>
      </c>
      <c r="AA254">
        <v>1962892</v>
      </c>
      <c r="AB254">
        <v>17360</v>
      </c>
      <c r="AD254" t="s">
        <v>2</v>
      </c>
      <c r="AE254">
        <v>37</v>
      </c>
      <c r="AF254">
        <v>6</v>
      </c>
      <c r="AH254" t="s">
        <v>6287</v>
      </c>
      <c r="AI254" t="s">
        <v>6286</v>
      </c>
      <c r="AJ254" t="s">
        <v>6285</v>
      </c>
      <c r="AK254" t="s">
        <v>6284</v>
      </c>
      <c r="AL254">
        <v>53</v>
      </c>
      <c r="AM254" s="5">
        <f t="shared" si="27"/>
        <v>2.3043478260869565</v>
      </c>
      <c r="AN254" s="4">
        <f t="shared" si="28"/>
        <v>3.4901140872199265E-3</v>
      </c>
      <c r="AO254" s="3"/>
      <c r="AP254">
        <v>0</v>
      </c>
      <c r="AR254" t="s">
        <v>1</v>
      </c>
      <c r="AT254" s="2" t="s">
        <v>0</v>
      </c>
      <c r="AU254" s="1">
        <f t="shared" si="29"/>
        <v>4.1053974777672879</v>
      </c>
      <c r="AV254" s="1">
        <f t="shared" si="30"/>
        <v>3.0321443151829182</v>
      </c>
      <c r="AW254" s="1">
        <f t="shared" si="31"/>
        <v>1.9588911525985477</v>
      </c>
    </row>
    <row r="255" spans="1:49" x14ac:dyDescent="0.2">
      <c r="A255">
        <v>253</v>
      </c>
      <c r="B255" t="s">
        <v>6283</v>
      </c>
      <c r="F255" t="s">
        <v>6282</v>
      </c>
      <c r="G255" t="s">
        <v>6</v>
      </c>
      <c r="H255" t="s">
        <v>5</v>
      </c>
      <c r="I255" t="s">
        <v>6281</v>
      </c>
      <c r="N255">
        <v>4</v>
      </c>
      <c r="O255" t="s">
        <v>6280</v>
      </c>
      <c r="P255" t="s">
        <v>6279</v>
      </c>
      <c r="Q255" t="s">
        <v>112</v>
      </c>
      <c r="R255" s="7">
        <v>36495</v>
      </c>
      <c r="S255" s="8">
        <f t="shared" si="24"/>
        <v>1999</v>
      </c>
      <c r="T255" s="8">
        <v>1999</v>
      </c>
      <c r="U255" s="8">
        <f t="shared" si="25"/>
        <v>23</v>
      </c>
      <c r="V255" s="7">
        <v>1999</v>
      </c>
      <c r="W255" t="s">
        <v>719</v>
      </c>
      <c r="X255" s="2" t="s">
        <v>0</v>
      </c>
      <c r="Y255" s="6" t="e">
        <f t="shared" si="26"/>
        <v>#VALUE!</v>
      </c>
      <c r="AA255">
        <v>9149260</v>
      </c>
      <c r="AB255">
        <v>23105</v>
      </c>
      <c r="AD255" t="s">
        <v>2</v>
      </c>
      <c r="AE255">
        <v>46</v>
      </c>
      <c r="AF255">
        <v>3</v>
      </c>
      <c r="AH255" t="s">
        <v>6278</v>
      </c>
      <c r="AI255" t="s">
        <v>6277</v>
      </c>
      <c r="AK255" t="s">
        <v>6276</v>
      </c>
      <c r="AL255">
        <v>0</v>
      </c>
      <c r="AM255" s="5">
        <f t="shared" si="27"/>
        <v>0</v>
      </c>
      <c r="AN255" s="4">
        <f t="shared" si="28"/>
        <v>0</v>
      </c>
      <c r="AO255" s="3"/>
      <c r="AP255">
        <v>0</v>
      </c>
      <c r="AR255" t="s">
        <v>1</v>
      </c>
      <c r="AT255" s="2" t="s">
        <v>0</v>
      </c>
      <c r="AU255" s="1" t="e">
        <f t="shared" si="29"/>
        <v>#VALUE!</v>
      </c>
      <c r="AV255" s="1" t="e">
        <f t="shared" si="30"/>
        <v>#VALUE!</v>
      </c>
      <c r="AW255" s="1" t="e">
        <f t="shared" si="31"/>
        <v>#VALUE!</v>
      </c>
    </row>
    <row r="256" spans="1:49" x14ac:dyDescent="0.2">
      <c r="A256">
        <v>254</v>
      </c>
      <c r="B256" t="s">
        <v>6275</v>
      </c>
      <c r="F256" t="s">
        <v>6274</v>
      </c>
      <c r="G256" t="s">
        <v>6</v>
      </c>
      <c r="H256" t="s">
        <v>5</v>
      </c>
      <c r="I256" t="s">
        <v>6273</v>
      </c>
      <c r="J256">
        <v>100493553</v>
      </c>
      <c r="K256" t="s">
        <v>6272</v>
      </c>
      <c r="L256" t="s">
        <v>32</v>
      </c>
      <c r="M256" t="s">
        <v>7</v>
      </c>
      <c r="N256">
        <v>3</v>
      </c>
      <c r="O256" t="s">
        <v>6271</v>
      </c>
      <c r="P256" t="s">
        <v>6270</v>
      </c>
      <c r="Q256" t="s">
        <v>6269</v>
      </c>
      <c r="R256" s="7">
        <v>36495</v>
      </c>
      <c r="S256" s="8">
        <f t="shared" si="24"/>
        <v>1999</v>
      </c>
      <c r="T256" s="8">
        <v>1999</v>
      </c>
      <c r="U256" s="8">
        <f t="shared" si="25"/>
        <v>23</v>
      </c>
      <c r="V256" s="7">
        <v>1999</v>
      </c>
      <c r="W256" t="s">
        <v>719</v>
      </c>
      <c r="X256" s="2" t="s">
        <v>0</v>
      </c>
      <c r="Y256" s="6" t="e">
        <f t="shared" si="26"/>
        <v>#VALUE!</v>
      </c>
      <c r="AA256">
        <v>9149260</v>
      </c>
      <c r="AB256">
        <v>23105</v>
      </c>
      <c r="AD256" t="s">
        <v>2</v>
      </c>
      <c r="AE256">
        <v>46</v>
      </c>
      <c r="AF256">
        <v>3</v>
      </c>
      <c r="AH256" t="s">
        <v>6268</v>
      </c>
      <c r="AI256" t="s">
        <v>6267</v>
      </c>
      <c r="AK256" t="s">
        <v>6266</v>
      </c>
      <c r="AL256">
        <v>0</v>
      </c>
      <c r="AM256" s="5">
        <f t="shared" si="27"/>
        <v>0</v>
      </c>
      <c r="AN256" s="4">
        <f t="shared" si="28"/>
        <v>0</v>
      </c>
      <c r="AO256" s="3"/>
      <c r="AP256">
        <v>0</v>
      </c>
      <c r="AR256" t="s">
        <v>1</v>
      </c>
      <c r="AT256" s="2" t="s">
        <v>0</v>
      </c>
      <c r="AU256" s="1" t="e">
        <f t="shared" si="29"/>
        <v>#VALUE!</v>
      </c>
      <c r="AV256" s="1" t="e">
        <f t="shared" si="30"/>
        <v>#VALUE!</v>
      </c>
      <c r="AW256" s="1" t="e">
        <f t="shared" si="31"/>
        <v>#VALUE!</v>
      </c>
    </row>
    <row r="257" spans="1:49" x14ac:dyDescent="0.2">
      <c r="A257">
        <v>255</v>
      </c>
      <c r="B257" t="s">
        <v>6265</v>
      </c>
      <c r="F257" t="s">
        <v>6264</v>
      </c>
      <c r="G257" t="s">
        <v>6</v>
      </c>
      <c r="H257" t="s">
        <v>5</v>
      </c>
      <c r="I257" t="s">
        <v>6263</v>
      </c>
      <c r="J257">
        <v>60092258</v>
      </c>
      <c r="K257" t="s">
        <v>103</v>
      </c>
      <c r="L257" t="s">
        <v>102</v>
      </c>
      <c r="M257" t="s">
        <v>7</v>
      </c>
      <c r="N257">
        <v>1</v>
      </c>
      <c r="O257" t="s">
        <v>6262</v>
      </c>
      <c r="P257">
        <v>55570148900</v>
      </c>
      <c r="Q257">
        <v>60092258</v>
      </c>
      <c r="R257" s="7">
        <v>36495</v>
      </c>
      <c r="S257" s="8">
        <f t="shared" si="24"/>
        <v>1999</v>
      </c>
      <c r="T257" s="8">
        <v>1999</v>
      </c>
      <c r="U257" s="8">
        <f t="shared" si="25"/>
        <v>23</v>
      </c>
      <c r="V257" s="7">
        <v>1999</v>
      </c>
      <c r="W257" t="s">
        <v>719</v>
      </c>
      <c r="X257" s="2" t="s">
        <v>0</v>
      </c>
      <c r="Y257" s="6" t="e">
        <f t="shared" si="26"/>
        <v>#VALUE!</v>
      </c>
      <c r="AA257">
        <v>9149260</v>
      </c>
      <c r="AB257">
        <v>23105</v>
      </c>
      <c r="AD257" t="s">
        <v>2</v>
      </c>
      <c r="AE257">
        <v>46</v>
      </c>
      <c r="AF257">
        <v>3</v>
      </c>
      <c r="AH257" t="s">
        <v>6261</v>
      </c>
      <c r="AL257">
        <v>0</v>
      </c>
      <c r="AM257" s="5">
        <f t="shared" si="27"/>
        <v>0</v>
      </c>
      <c r="AN257" s="4">
        <f t="shared" si="28"/>
        <v>0</v>
      </c>
      <c r="AO257" s="3"/>
      <c r="AP257">
        <v>0</v>
      </c>
      <c r="AR257" t="s">
        <v>1</v>
      </c>
      <c r="AT257" s="2" t="s">
        <v>0</v>
      </c>
      <c r="AU257" s="1" t="e">
        <f t="shared" si="29"/>
        <v>#VALUE!</v>
      </c>
      <c r="AV257" s="1" t="e">
        <f t="shared" si="30"/>
        <v>#VALUE!</v>
      </c>
      <c r="AW257" s="1" t="e">
        <f t="shared" si="31"/>
        <v>#VALUE!</v>
      </c>
    </row>
    <row r="258" spans="1:49" x14ac:dyDescent="0.2">
      <c r="A258">
        <v>256</v>
      </c>
      <c r="B258" t="s">
        <v>6260</v>
      </c>
      <c r="F258" t="s">
        <v>6259</v>
      </c>
      <c r="G258" t="s">
        <v>6</v>
      </c>
      <c r="H258" t="s">
        <v>5</v>
      </c>
      <c r="I258" t="s">
        <v>6258</v>
      </c>
      <c r="J258">
        <v>60032315</v>
      </c>
      <c r="K258" t="s">
        <v>391</v>
      </c>
      <c r="L258" t="s">
        <v>390</v>
      </c>
      <c r="M258" t="s">
        <v>7</v>
      </c>
      <c r="N258">
        <v>2</v>
      </c>
      <c r="O258" t="s">
        <v>6257</v>
      </c>
      <c r="P258" t="s">
        <v>6256</v>
      </c>
      <c r="Q258" t="s">
        <v>6255</v>
      </c>
      <c r="R258" s="7">
        <v>36495</v>
      </c>
      <c r="S258" s="8">
        <f t="shared" ref="S258:S321" si="32">YEAR(R258)</f>
        <v>1999</v>
      </c>
      <c r="T258" s="8">
        <v>1999</v>
      </c>
      <c r="U258" s="8">
        <f t="shared" ref="U258:U321" si="33">2022-T258</f>
        <v>23</v>
      </c>
      <c r="V258" s="7">
        <v>1999</v>
      </c>
      <c r="W258" t="s">
        <v>719</v>
      </c>
      <c r="X258" s="2" t="s">
        <v>0</v>
      </c>
      <c r="Y258" s="6" t="e">
        <f t="shared" ref="Y258:Y321" si="34">(X258-$Z$3)/($Z$2-$Z$3)</f>
        <v>#VALUE!</v>
      </c>
      <c r="AA258">
        <v>9149260</v>
      </c>
      <c r="AB258">
        <v>23105</v>
      </c>
      <c r="AD258" t="s">
        <v>2</v>
      </c>
      <c r="AE258">
        <v>46</v>
      </c>
      <c r="AF258">
        <v>3</v>
      </c>
      <c r="AH258">
        <v>379</v>
      </c>
      <c r="AL258">
        <v>0</v>
      </c>
      <c r="AM258" s="5">
        <f t="shared" ref="AM258:AM321" si="35">AL258/U258</f>
        <v>0</v>
      </c>
      <c r="AN258" s="4">
        <f t="shared" ref="AN258:AN321" si="36">(AM258-$AO$3)/($AO$2-$AO$3)</f>
        <v>0</v>
      </c>
      <c r="AO258" s="3"/>
      <c r="AP258">
        <v>0</v>
      </c>
      <c r="AR258" t="s">
        <v>1</v>
      </c>
      <c r="AT258" s="2" t="s">
        <v>0</v>
      </c>
      <c r="AU258" s="1" t="e">
        <f t="shared" ref="AU258:AU321" si="37">(Y258*0.7+AN258*0.3)*100</f>
        <v>#VALUE!</v>
      </c>
      <c r="AV258" s="1" t="e">
        <f t="shared" ref="AV258:AV321" si="38">(Y258*0.5+AN258*0.5)*100</f>
        <v>#VALUE!</v>
      </c>
      <c r="AW258" s="1" t="e">
        <f t="shared" ref="AW258:AW321" si="39">(Y258*0.3+AN258*0.7)*100</f>
        <v>#VALUE!</v>
      </c>
    </row>
    <row r="259" spans="1:49" x14ac:dyDescent="0.2">
      <c r="A259">
        <v>257</v>
      </c>
      <c r="B259" t="s">
        <v>6254</v>
      </c>
      <c r="C259" t="s">
        <v>6253</v>
      </c>
      <c r="D259" t="s">
        <v>6252</v>
      </c>
      <c r="F259" t="s">
        <v>6251</v>
      </c>
      <c r="G259" t="s">
        <v>6</v>
      </c>
      <c r="H259" t="s">
        <v>5</v>
      </c>
      <c r="I259" t="s">
        <v>6250</v>
      </c>
      <c r="J259">
        <v>60006288</v>
      </c>
      <c r="K259" t="s">
        <v>380</v>
      </c>
      <c r="L259" t="s">
        <v>379</v>
      </c>
      <c r="M259" t="s">
        <v>34</v>
      </c>
      <c r="N259">
        <v>2</v>
      </c>
      <c r="O259" t="s">
        <v>6249</v>
      </c>
      <c r="P259" t="s">
        <v>6248</v>
      </c>
      <c r="Q259" t="s">
        <v>6247</v>
      </c>
      <c r="R259" s="7">
        <v>36495</v>
      </c>
      <c r="S259" s="8">
        <f t="shared" si="32"/>
        <v>1999</v>
      </c>
      <c r="T259" s="8">
        <v>1999</v>
      </c>
      <c r="U259" s="8">
        <f t="shared" si="33"/>
        <v>23</v>
      </c>
      <c r="V259" s="7">
        <v>1999</v>
      </c>
      <c r="W259" t="s">
        <v>190</v>
      </c>
      <c r="X259" s="2">
        <v>1.6379999999999999</v>
      </c>
      <c r="Y259" s="6">
        <f t="shared" si="34"/>
        <v>4.3725474493473214E-2</v>
      </c>
      <c r="AA259" t="s">
        <v>189</v>
      </c>
      <c r="AB259">
        <v>17391</v>
      </c>
      <c r="AD259" t="s">
        <v>2</v>
      </c>
      <c r="AE259">
        <v>47</v>
      </c>
      <c r="AF259">
        <v>11</v>
      </c>
      <c r="AH259" t="s">
        <v>6246</v>
      </c>
      <c r="AI259" t="s">
        <v>6245</v>
      </c>
      <c r="AJ259" t="s">
        <v>6244</v>
      </c>
      <c r="AK259" t="s">
        <v>6243</v>
      </c>
      <c r="AL259">
        <v>53</v>
      </c>
      <c r="AM259" s="5">
        <f t="shared" si="35"/>
        <v>2.3043478260869565</v>
      </c>
      <c r="AN259" s="4">
        <f t="shared" si="36"/>
        <v>3.4901140872199265E-3</v>
      </c>
      <c r="AO259" s="3"/>
      <c r="AP259">
        <v>0</v>
      </c>
      <c r="AR259" t="s">
        <v>1</v>
      </c>
      <c r="AT259" s="2">
        <v>4.931</v>
      </c>
      <c r="AU259" s="1">
        <f t="shared" si="37"/>
        <v>3.1654866371597228</v>
      </c>
      <c r="AV259" s="1">
        <f t="shared" si="38"/>
        <v>2.3607794290346571</v>
      </c>
      <c r="AW259" s="1">
        <f t="shared" si="39"/>
        <v>1.5560722209095914</v>
      </c>
    </row>
    <row r="260" spans="1:49" x14ac:dyDescent="0.2">
      <c r="A260">
        <v>258</v>
      </c>
      <c r="B260" t="s">
        <v>6242</v>
      </c>
      <c r="C260" t="s">
        <v>6241</v>
      </c>
      <c r="D260" t="s">
        <v>6240</v>
      </c>
      <c r="F260" t="s">
        <v>6239</v>
      </c>
      <c r="G260" t="s">
        <v>6</v>
      </c>
      <c r="H260" t="s">
        <v>5</v>
      </c>
      <c r="I260" t="s">
        <v>3449</v>
      </c>
      <c r="J260">
        <v>60028218</v>
      </c>
      <c r="K260" t="s">
        <v>3039</v>
      </c>
      <c r="L260" t="s">
        <v>3038</v>
      </c>
      <c r="M260" t="s">
        <v>13</v>
      </c>
      <c r="N260">
        <v>2</v>
      </c>
      <c r="O260" t="s">
        <v>6238</v>
      </c>
      <c r="P260" t="s">
        <v>3447</v>
      </c>
      <c r="Q260" t="s">
        <v>3035</v>
      </c>
      <c r="R260" s="7">
        <v>36495</v>
      </c>
      <c r="S260" s="8">
        <f t="shared" si="32"/>
        <v>1999</v>
      </c>
      <c r="T260" s="8">
        <v>1999</v>
      </c>
      <c r="U260" s="8">
        <f t="shared" si="33"/>
        <v>23</v>
      </c>
      <c r="V260" s="7">
        <v>1999</v>
      </c>
      <c r="W260" t="s">
        <v>167</v>
      </c>
      <c r="X260" s="2">
        <v>1.468</v>
      </c>
      <c r="Y260" s="6">
        <f t="shared" si="34"/>
        <v>3.9187421585115186E-2</v>
      </c>
      <c r="AA260">
        <v>906778</v>
      </c>
      <c r="AB260">
        <v>18931</v>
      </c>
      <c r="AD260" t="s">
        <v>2</v>
      </c>
      <c r="AE260">
        <v>47</v>
      </c>
      <c r="AF260">
        <v>11</v>
      </c>
      <c r="AH260" t="s">
        <v>6237</v>
      </c>
      <c r="AI260" t="s">
        <v>6236</v>
      </c>
      <c r="AK260" t="s">
        <v>6235</v>
      </c>
      <c r="AL260">
        <v>27</v>
      </c>
      <c r="AM260" s="5">
        <f t="shared" si="35"/>
        <v>1.173913043478261</v>
      </c>
      <c r="AN260" s="4">
        <f t="shared" si="36"/>
        <v>1.7779826482063779E-3</v>
      </c>
      <c r="AO260" s="3"/>
      <c r="AP260">
        <v>0</v>
      </c>
      <c r="AQ260" t="s">
        <v>6234</v>
      </c>
      <c r="AR260" t="s">
        <v>1</v>
      </c>
      <c r="AS260" t="s">
        <v>4437</v>
      </c>
      <c r="AT260" s="2">
        <v>5.0830000000000002</v>
      </c>
      <c r="AU260" s="1">
        <f t="shared" si="37"/>
        <v>2.7964589904042541</v>
      </c>
      <c r="AV260" s="1">
        <f t="shared" si="38"/>
        <v>2.048270211666078</v>
      </c>
      <c r="AW260" s="1">
        <f t="shared" si="39"/>
        <v>1.300081432927902</v>
      </c>
    </row>
    <row r="261" spans="1:49" x14ac:dyDescent="0.2">
      <c r="A261">
        <v>259</v>
      </c>
      <c r="B261" t="s">
        <v>6233</v>
      </c>
      <c r="C261" t="s">
        <v>6232</v>
      </c>
      <c r="D261" t="s">
        <v>6231</v>
      </c>
      <c r="F261" t="s">
        <v>6230</v>
      </c>
      <c r="G261" t="s">
        <v>6</v>
      </c>
      <c r="H261" t="s">
        <v>5</v>
      </c>
      <c r="I261" t="s">
        <v>6229</v>
      </c>
      <c r="J261" t="s">
        <v>6228</v>
      </c>
      <c r="K261" t="s">
        <v>6227</v>
      </c>
      <c r="L261" t="s">
        <v>6226</v>
      </c>
      <c r="M261" t="s">
        <v>610</v>
      </c>
      <c r="N261">
        <v>3</v>
      </c>
      <c r="O261" t="s">
        <v>6225</v>
      </c>
      <c r="P261" t="s">
        <v>6224</v>
      </c>
      <c r="Q261" t="s">
        <v>6223</v>
      </c>
      <c r="R261" s="7">
        <v>36495</v>
      </c>
      <c r="S261" s="8">
        <f t="shared" si="32"/>
        <v>1999</v>
      </c>
      <c r="T261" s="8">
        <v>1999</v>
      </c>
      <c r="U261" s="8">
        <f t="shared" si="33"/>
        <v>23</v>
      </c>
      <c r="V261" s="7">
        <v>1999</v>
      </c>
      <c r="W261" t="s">
        <v>165</v>
      </c>
      <c r="X261" s="2">
        <v>0.65500000000000003</v>
      </c>
      <c r="Y261" s="6">
        <f t="shared" si="34"/>
        <v>1.7484850911614749E-2</v>
      </c>
      <c r="AA261">
        <v>189375</v>
      </c>
      <c r="AB261">
        <v>26051</v>
      </c>
      <c r="AD261" t="s">
        <v>2</v>
      </c>
      <c r="AE261">
        <v>41</v>
      </c>
      <c r="AF261" t="s">
        <v>6167</v>
      </c>
      <c r="AH261" t="s">
        <v>6222</v>
      </c>
      <c r="AI261" t="s">
        <v>6221</v>
      </c>
      <c r="AJ261" t="s">
        <v>6220</v>
      </c>
      <c r="AK261" t="s">
        <v>6219</v>
      </c>
      <c r="AL261">
        <v>24</v>
      </c>
      <c r="AM261" s="5">
        <f t="shared" si="35"/>
        <v>1.0434782608695652</v>
      </c>
      <c r="AN261" s="4">
        <f t="shared" si="36"/>
        <v>1.5804290206278913E-3</v>
      </c>
      <c r="AO261" s="3"/>
      <c r="AP261">
        <v>0</v>
      </c>
      <c r="AR261" t="s">
        <v>1</v>
      </c>
      <c r="AT261" s="2" t="s">
        <v>0</v>
      </c>
      <c r="AU261" s="1">
        <f t="shared" si="37"/>
        <v>1.271352434431869</v>
      </c>
      <c r="AV261" s="1">
        <f t="shared" si="38"/>
        <v>0.95326399661213213</v>
      </c>
      <c r="AW261" s="1">
        <f t="shared" si="39"/>
        <v>0.63517555879239485</v>
      </c>
    </row>
    <row r="262" spans="1:49" x14ac:dyDescent="0.2">
      <c r="A262">
        <v>260</v>
      </c>
      <c r="B262" t="s">
        <v>6218</v>
      </c>
      <c r="C262" t="s">
        <v>6217</v>
      </c>
      <c r="D262" t="s">
        <v>6216</v>
      </c>
      <c r="F262" t="s">
        <v>6215</v>
      </c>
      <c r="G262" t="s">
        <v>6</v>
      </c>
      <c r="H262" t="s">
        <v>5</v>
      </c>
      <c r="I262" t="s">
        <v>6214</v>
      </c>
      <c r="J262" t="s">
        <v>6213</v>
      </c>
      <c r="K262" t="s">
        <v>6212</v>
      </c>
      <c r="L262" t="s">
        <v>6211</v>
      </c>
      <c r="M262" t="s">
        <v>6210</v>
      </c>
      <c r="N262">
        <v>5</v>
      </c>
      <c r="O262" t="s">
        <v>6209</v>
      </c>
      <c r="P262" t="s">
        <v>6208</v>
      </c>
      <c r="Q262" t="s">
        <v>6207</v>
      </c>
      <c r="R262" s="7">
        <v>36495</v>
      </c>
      <c r="S262" s="8">
        <f t="shared" si="32"/>
        <v>1999</v>
      </c>
      <c r="T262" s="8">
        <v>1999</v>
      </c>
      <c r="U262" s="8">
        <f t="shared" si="33"/>
        <v>23</v>
      </c>
      <c r="V262" s="7">
        <v>1999</v>
      </c>
      <c r="W262" t="s">
        <v>165</v>
      </c>
      <c r="X262" s="2">
        <v>0.65500000000000003</v>
      </c>
      <c r="Y262" s="6">
        <f t="shared" si="34"/>
        <v>1.7484850911614749E-2</v>
      </c>
      <c r="AA262">
        <v>189375</v>
      </c>
      <c r="AB262">
        <v>26051</v>
      </c>
      <c r="AD262" t="s">
        <v>2</v>
      </c>
      <c r="AE262">
        <v>41</v>
      </c>
      <c r="AF262" t="s">
        <v>6167</v>
      </c>
      <c r="AH262" t="s">
        <v>6206</v>
      </c>
      <c r="AI262" t="s">
        <v>6205</v>
      </c>
      <c r="AJ262" t="s">
        <v>6204</v>
      </c>
      <c r="AK262" t="s">
        <v>6203</v>
      </c>
      <c r="AL262">
        <v>19</v>
      </c>
      <c r="AM262" s="5">
        <f t="shared" si="35"/>
        <v>0.82608695652173914</v>
      </c>
      <c r="AN262" s="4">
        <f t="shared" si="36"/>
        <v>1.2511729746637473E-3</v>
      </c>
      <c r="AO262" s="3"/>
      <c r="AP262">
        <v>0</v>
      </c>
      <c r="AR262" t="s">
        <v>1</v>
      </c>
      <c r="AT262" s="2" t="s">
        <v>0</v>
      </c>
      <c r="AU262" s="1">
        <f t="shared" si="37"/>
        <v>1.2614747530529447</v>
      </c>
      <c r="AV262" s="1">
        <f t="shared" si="38"/>
        <v>0.93680119431392483</v>
      </c>
      <c r="AW262" s="1">
        <f t="shared" si="39"/>
        <v>0.61212763557490479</v>
      </c>
    </row>
    <row r="263" spans="1:49" x14ac:dyDescent="0.2">
      <c r="A263">
        <v>261</v>
      </c>
      <c r="B263" t="s">
        <v>6202</v>
      </c>
      <c r="C263" t="s">
        <v>6201</v>
      </c>
      <c r="D263" t="s">
        <v>6200</v>
      </c>
      <c r="F263" t="s">
        <v>6199</v>
      </c>
      <c r="G263" t="s">
        <v>6</v>
      </c>
      <c r="H263" t="s">
        <v>5</v>
      </c>
      <c r="I263" t="s">
        <v>6198</v>
      </c>
      <c r="J263">
        <v>60023053</v>
      </c>
      <c r="K263" t="s">
        <v>541</v>
      </c>
      <c r="L263" t="s">
        <v>94</v>
      </c>
      <c r="M263" t="s">
        <v>3</v>
      </c>
      <c r="N263">
        <v>1</v>
      </c>
      <c r="O263" t="s">
        <v>6197</v>
      </c>
      <c r="P263">
        <v>56050028200</v>
      </c>
      <c r="Q263">
        <v>60023053</v>
      </c>
      <c r="R263" s="7">
        <v>36495</v>
      </c>
      <c r="S263" s="8">
        <f t="shared" si="32"/>
        <v>1999</v>
      </c>
      <c r="T263" s="8">
        <v>1999</v>
      </c>
      <c r="U263" s="8">
        <f t="shared" si="33"/>
        <v>23</v>
      </c>
      <c r="V263" s="7">
        <v>1999</v>
      </c>
      <c r="W263" t="s">
        <v>165</v>
      </c>
      <c r="X263" s="2">
        <v>0.65500000000000003</v>
      </c>
      <c r="Y263" s="6">
        <f t="shared" si="34"/>
        <v>1.7484850911614749E-2</v>
      </c>
      <c r="AA263">
        <v>189375</v>
      </c>
      <c r="AB263">
        <v>26051</v>
      </c>
      <c r="AD263" t="s">
        <v>2</v>
      </c>
      <c r="AE263">
        <v>41</v>
      </c>
      <c r="AF263" t="s">
        <v>6140</v>
      </c>
      <c r="AH263" t="s">
        <v>6196</v>
      </c>
      <c r="AI263" t="s">
        <v>6195</v>
      </c>
      <c r="AJ263" t="s">
        <v>6194</v>
      </c>
      <c r="AK263" t="s">
        <v>6193</v>
      </c>
      <c r="AL263">
        <v>44</v>
      </c>
      <c r="AM263" s="5">
        <f t="shared" si="35"/>
        <v>1.9130434782608696</v>
      </c>
      <c r="AN263" s="4">
        <f t="shared" si="36"/>
        <v>2.8974532044844675E-3</v>
      </c>
      <c r="AO263" s="3"/>
      <c r="AP263">
        <v>0</v>
      </c>
      <c r="AR263" t="s">
        <v>1</v>
      </c>
      <c r="AT263" s="2" t="s">
        <v>0</v>
      </c>
      <c r="AU263" s="1">
        <f t="shared" si="37"/>
        <v>1.3108631599475662</v>
      </c>
      <c r="AV263" s="1">
        <f t="shared" si="38"/>
        <v>1.0191152058049608</v>
      </c>
      <c r="AW263" s="1">
        <f t="shared" si="39"/>
        <v>0.72736725166235516</v>
      </c>
    </row>
    <row r="264" spans="1:49" x14ac:dyDescent="0.2">
      <c r="A264">
        <v>262</v>
      </c>
      <c r="B264" t="s">
        <v>6192</v>
      </c>
      <c r="C264" t="s">
        <v>6191</v>
      </c>
      <c r="D264" t="s">
        <v>6190</v>
      </c>
      <c r="F264" t="s">
        <v>6189</v>
      </c>
      <c r="G264" t="s">
        <v>6</v>
      </c>
      <c r="H264" t="s">
        <v>5</v>
      </c>
      <c r="I264" t="s">
        <v>6188</v>
      </c>
      <c r="J264" t="s">
        <v>6187</v>
      </c>
      <c r="K264" t="s">
        <v>6186</v>
      </c>
      <c r="L264" t="s">
        <v>6185</v>
      </c>
      <c r="M264" t="s">
        <v>452</v>
      </c>
      <c r="N264">
        <v>3</v>
      </c>
      <c r="O264" t="s">
        <v>6184</v>
      </c>
      <c r="P264" t="s">
        <v>6183</v>
      </c>
      <c r="Q264" t="s">
        <v>6182</v>
      </c>
      <c r="R264" s="7">
        <v>36495</v>
      </c>
      <c r="S264" s="8">
        <f t="shared" si="32"/>
        <v>1999</v>
      </c>
      <c r="T264" s="8">
        <v>1999</v>
      </c>
      <c r="U264" s="8">
        <f t="shared" si="33"/>
        <v>23</v>
      </c>
      <c r="V264" s="7">
        <v>1999</v>
      </c>
      <c r="W264" t="s">
        <v>165</v>
      </c>
      <c r="X264" s="2">
        <v>0.65500000000000003</v>
      </c>
      <c r="Y264" s="6">
        <f t="shared" si="34"/>
        <v>1.7484850911614749E-2</v>
      </c>
      <c r="AA264">
        <v>189375</v>
      </c>
      <c r="AB264">
        <v>26051</v>
      </c>
      <c r="AD264" t="s">
        <v>2</v>
      </c>
      <c r="AE264">
        <v>41</v>
      </c>
      <c r="AF264" t="s">
        <v>6140</v>
      </c>
      <c r="AH264" t="s">
        <v>6181</v>
      </c>
      <c r="AI264" t="s">
        <v>6180</v>
      </c>
      <c r="AJ264" t="s">
        <v>6179</v>
      </c>
      <c r="AK264" t="s">
        <v>6178</v>
      </c>
      <c r="AL264">
        <v>20</v>
      </c>
      <c r="AM264" s="5">
        <f t="shared" si="35"/>
        <v>0.86956521739130432</v>
      </c>
      <c r="AN264" s="4">
        <f t="shared" si="36"/>
        <v>1.317024183856576E-3</v>
      </c>
      <c r="AO264" s="3"/>
      <c r="AP264">
        <v>0</v>
      </c>
      <c r="AQ264" t="s">
        <v>252</v>
      </c>
      <c r="AR264" t="s">
        <v>1</v>
      </c>
      <c r="AS264" t="s">
        <v>251</v>
      </c>
      <c r="AT264" s="2" t="s">
        <v>0</v>
      </c>
      <c r="AU264" s="1">
        <f t="shared" si="37"/>
        <v>1.2634502893287296</v>
      </c>
      <c r="AV264" s="1">
        <f t="shared" si="38"/>
        <v>0.94009375477356627</v>
      </c>
      <c r="AW264" s="1">
        <f t="shared" si="39"/>
        <v>0.61673722021840283</v>
      </c>
    </row>
    <row r="265" spans="1:49" x14ac:dyDescent="0.2">
      <c r="A265">
        <v>263</v>
      </c>
      <c r="B265" t="s">
        <v>6177</v>
      </c>
      <c r="C265" t="s">
        <v>6176</v>
      </c>
      <c r="D265" t="s">
        <v>6175</v>
      </c>
      <c r="F265" t="s">
        <v>6174</v>
      </c>
      <c r="G265" t="s">
        <v>6</v>
      </c>
      <c r="H265" t="s">
        <v>5</v>
      </c>
      <c r="I265" t="s">
        <v>6173</v>
      </c>
      <c r="J265">
        <v>60018353</v>
      </c>
      <c r="K265" t="s">
        <v>6172</v>
      </c>
      <c r="L265" t="s">
        <v>6171</v>
      </c>
      <c r="M265" t="s">
        <v>65</v>
      </c>
      <c r="N265">
        <v>3</v>
      </c>
      <c r="O265" t="s">
        <v>6170</v>
      </c>
      <c r="P265" t="s">
        <v>6169</v>
      </c>
      <c r="Q265" t="s">
        <v>6168</v>
      </c>
      <c r="R265" s="7">
        <v>36495</v>
      </c>
      <c r="S265" s="8">
        <f t="shared" si="32"/>
        <v>1999</v>
      </c>
      <c r="T265" s="8">
        <v>1999</v>
      </c>
      <c r="U265" s="8">
        <f t="shared" si="33"/>
        <v>23</v>
      </c>
      <c r="V265" s="7">
        <v>1999</v>
      </c>
      <c r="W265" t="s">
        <v>165</v>
      </c>
      <c r="X265" s="2">
        <v>0.65500000000000003</v>
      </c>
      <c r="Y265" s="6">
        <f t="shared" si="34"/>
        <v>1.7484850911614749E-2</v>
      </c>
      <c r="AA265">
        <v>189375</v>
      </c>
      <c r="AB265">
        <v>26051</v>
      </c>
      <c r="AD265" t="s">
        <v>2</v>
      </c>
      <c r="AE265">
        <v>41</v>
      </c>
      <c r="AF265" t="s">
        <v>6167</v>
      </c>
      <c r="AH265" t="s">
        <v>6166</v>
      </c>
      <c r="AI265" t="s">
        <v>6165</v>
      </c>
      <c r="AJ265" t="s">
        <v>6164</v>
      </c>
      <c r="AK265" t="s">
        <v>6163</v>
      </c>
      <c r="AL265">
        <v>7</v>
      </c>
      <c r="AM265" s="5">
        <f t="shared" si="35"/>
        <v>0.30434782608695654</v>
      </c>
      <c r="AN265" s="4">
        <f t="shared" si="36"/>
        <v>4.6095846434980164E-4</v>
      </c>
      <c r="AO265" s="3"/>
      <c r="AP265">
        <v>0</v>
      </c>
      <c r="AR265" t="s">
        <v>1</v>
      </c>
      <c r="AT265" s="2" t="s">
        <v>0</v>
      </c>
      <c r="AU265" s="1">
        <f t="shared" si="37"/>
        <v>1.2377683177435264</v>
      </c>
      <c r="AV265" s="1">
        <f t="shared" si="38"/>
        <v>0.8972904687982276</v>
      </c>
      <c r="AW265" s="1">
        <f t="shared" si="39"/>
        <v>0.55681261985292851</v>
      </c>
    </row>
    <row r="266" spans="1:49" x14ac:dyDescent="0.2">
      <c r="A266">
        <v>264</v>
      </c>
      <c r="B266" t="s">
        <v>6162</v>
      </c>
      <c r="C266" t="s">
        <v>6161</v>
      </c>
      <c r="D266" t="s">
        <v>6160</v>
      </c>
      <c r="F266" t="s">
        <v>6159</v>
      </c>
      <c r="G266" t="s">
        <v>6</v>
      </c>
      <c r="H266" t="s">
        <v>5</v>
      </c>
      <c r="I266" t="s">
        <v>6158</v>
      </c>
      <c r="J266">
        <v>60016418</v>
      </c>
      <c r="K266" t="s">
        <v>550</v>
      </c>
      <c r="L266" t="s">
        <v>549</v>
      </c>
      <c r="M266" t="s">
        <v>58</v>
      </c>
      <c r="N266">
        <v>2</v>
      </c>
      <c r="O266" t="s">
        <v>6157</v>
      </c>
      <c r="P266" t="s">
        <v>6156</v>
      </c>
      <c r="Q266" t="s">
        <v>548</v>
      </c>
      <c r="R266" s="7">
        <v>36495</v>
      </c>
      <c r="S266" s="8">
        <f t="shared" si="32"/>
        <v>1999</v>
      </c>
      <c r="T266" s="8">
        <v>1999</v>
      </c>
      <c r="U266" s="8">
        <f t="shared" si="33"/>
        <v>23</v>
      </c>
      <c r="V266" s="7">
        <v>1999</v>
      </c>
      <c r="W266" t="s">
        <v>165</v>
      </c>
      <c r="X266" s="2">
        <v>0.65500000000000003</v>
      </c>
      <c r="Y266" s="6">
        <f t="shared" si="34"/>
        <v>1.7484850911614749E-2</v>
      </c>
      <c r="AA266">
        <v>189375</v>
      </c>
      <c r="AB266">
        <v>26051</v>
      </c>
      <c r="AD266" t="s">
        <v>2</v>
      </c>
      <c r="AE266">
        <v>41</v>
      </c>
      <c r="AF266" t="s">
        <v>6140</v>
      </c>
      <c r="AH266" t="s">
        <v>6155</v>
      </c>
      <c r="AI266" t="s">
        <v>6154</v>
      </c>
      <c r="AJ266" t="s">
        <v>6153</v>
      </c>
      <c r="AK266" t="s">
        <v>6152</v>
      </c>
      <c r="AL266">
        <v>0</v>
      </c>
      <c r="AM266" s="5">
        <f t="shared" si="35"/>
        <v>0</v>
      </c>
      <c r="AN266" s="4">
        <f t="shared" si="36"/>
        <v>0</v>
      </c>
      <c r="AO266" s="3"/>
      <c r="AP266">
        <v>0</v>
      </c>
      <c r="AR266" t="s">
        <v>1</v>
      </c>
      <c r="AT266" s="2" t="s">
        <v>0</v>
      </c>
      <c r="AU266" s="1">
        <f t="shared" si="37"/>
        <v>1.2239395638130324</v>
      </c>
      <c r="AV266" s="1">
        <f t="shared" si="38"/>
        <v>0.87424254558073744</v>
      </c>
      <c r="AW266" s="1">
        <f t="shared" si="39"/>
        <v>0.52454552734844251</v>
      </c>
    </row>
    <row r="267" spans="1:49" x14ac:dyDescent="0.2">
      <c r="A267">
        <v>265</v>
      </c>
      <c r="B267" t="s">
        <v>6151</v>
      </c>
      <c r="C267" t="s">
        <v>6150</v>
      </c>
      <c r="D267" t="s">
        <v>6149</v>
      </c>
      <c r="F267" t="s">
        <v>6148</v>
      </c>
      <c r="G267" t="s">
        <v>6</v>
      </c>
      <c r="H267" t="s">
        <v>5</v>
      </c>
      <c r="I267" t="s">
        <v>6147</v>
      </c>
      <c r="J267" t="s">
        <v>6146</v>
      </c>
      <c r="K267" t="s">
        <v>6145</v>
      </c>
      <c r="L267" t="s">
        <v>6144</v>
      </c>
      <c r="M267" t="s">
        <v>30</v>
      </c>
      <c r="N267">
        <v>3</v>
      </c>
      <c r="O267" t="s">
        <v>6143</v>
      </c>
      <c r="P267" t="s">
        <v>6142</v>
      </c>
      <c r="Q267" t="s">
        <v>6141</v>
      </c>
      <c r="R267" s="7">
        <v>36495</v>
      </c>
      <c r="S267" s="8">
        <f t="shared" si="32"/>
        <v>1999</v>
      </c>
      <c r="T267" s="8">
        <v>1999</v>
      </c>
      <c r="U267" s="8">
        <f t="shared" si="33"/>
        <v>23</v>
      </c>
      <c r="V267" s="7">
        <v>1999</v>
      </c>
      <c r="W267" t="s">
        <v>165</v>
      </c>
      <c r="X267" s="2">
        <v>0.65500000000000003</v>
      </c>
      <c r="Y267" s="6">
        <f t="shared" si="34"/>
        <v>1.7484850911614749E-2</v>
      </c>
      <c r="AA267">
        <v>189375</v>
      </c>
      <c r="AB267">
        <v>26051</v>
      </c>
      <c r="AD267" t="s">
        <v>2</v>
      </c>
      <c r="AE267">
        <v>41</v>
      </c>
      <c r="AF267" t="s">
        <v>6140</v>
      </c>
      <c r="AH267" t="s">
        <v>6139</v>
      </c>
      <c r="AI267" t="s">
        <v>6138</v>
      </c>
      <c r="AJ267" t="s">
        <v>6137</v>
      </c>
      <c r="AK267" t="s">
        <v>6136</v>
      </c>
      <c r="AL267">
        <v>17</v>
      </c>
      <c r="AM267" s="5">
        <f t="shared" si="35"/>
        <v>0.73913043478260865</v>
      </c>
      <c r="AN267" s="4">
        <f t="shared" si="36"/>
        <v>1.1194705562780896E-3</v>
      </c>
      <c r="AO267" s="3"/>
      <c r="AP267">
        <v>0</v>
      </c>
      <c r="AR267" t="s">
        <v>1</v>
      </c>
      <c r="AT267" s="2" t="s">
        <v>0</v>
      </c>
      <c r="AU267" s="1">
        <f t="shared" si="37"/>
        <v>1.257523680501375</v>
      </c>
      <c r="AV267" s="1">
        <f t="shared" si="38"/>
        <v>0.93021607339464196</v>
      </c>
      <c r="AW267" s="1">
        <f t="shared" si="39"/>
        <v>0.60290846628790873</v>
      </c>
    </row>
    <row r="268" spans="1:49" x14ac:dyDescent="0.2">
      <c r="A268">
        <v>266</v>
      </c>
      <c r="B268" t="s">
        <v>6135</v>
      </c>
      <c r="C268" t="s">
        <v>6134</v>
      </c>
      <c r="D268" t="s">
        <v>6133</v>
      </c>
      <c r="F268" t="s">
        <v>6132</v>
      </c>
      <c r="G268" t="s">
        <v>6</v>
      </c>
      <c r="H268" t="s">
        <v>5</v>
      </c>
      <c r="I268" t="s">
        <v>6131</v>
      </c>
      <c r="J268">
        <v>60018405</v>
      </c>
      <c r="K268" t="s">
        <v>6130</v>
      </c>
      <c r="L268" t="s">
        <v>6129</v>
      </c>
      <c r="M268" t="s">
        <v>133</v>
      </c>
      <c r="N268">
        <v>2</v>
      </c>
      <c r="O268" t="s">
        <v>6128</v>
      </c>
      <c r="P268" t="s">
        <v>6127</v>
      </c>
      <c r="Q268" t="s">
        <v>6126</v>
      </c>
      <c r="R268" s="7">
        <v>36495</v>
      </c>
      <c r="S268" s="8">
        <f t="shared" si="32"/>
        <v>1999</v>
      </c>
      <c r="T268" s="8">
        <v>1999</v>
      </c>
      <c r="U268" s="8">
        <f t="shared" si="33"/>
        <v>23</v>
      </c>
      <c r="V268" s="7">
        <v>1999</v>
      </c>
      <c r="W268" t="s">
        <v>534</v>
      </c>
      <c r="X268" s="2">
        <v>0.78200000000000003</v>
      </c>
      <c r="Y268" s="6">
        <f t="shared" si="34"/>
        <v>2.0875043378446919E-2</v>
      </c>
      <c r="AA268">
        <v>189316</v>
      </c>
      <c r="AB268">
        <v>19901</v>
      </c>
      <c r="AD268" t="s">
        <v>2</v>
      </c>
      <c r="AE268">
        <v>45</v>
      </c>
      <c r="AF268">
        <v>3</v>
      </c>
      <c r="AH268" t="s">
        <v>6125</v>
      </c>
      <c r="AI268" t="s">
        <v>6124</v>
      </c>
      <c r="AJ268" t="s">
        <v>6123</v>
      </c>
      <c r="AK268" t="s">
        <v>6122</v>
      </c>
      <c r="AL268">
        <v>7</v>
      </c>
      <c r="AM268" s="5">
        <f t="shared" si="35"/>
        <v>0.30434782608695654</v>
      </c>
      <c r="AN268" s="4">
        <f t="shared" si="36"/>
        <v>4.6095846434980164E-4</v>
      </c>
      <c r="AO268" s="3"/>
      <c r="AP268">
        <v>0</v>
      </c>
      <c r="AR268" t="s">
        <v>1</v>
      </c>
      <c r="AT268" s="2">
        <v>3.863</v>
      </c>
      <c r="AU268" s="1">
        <f t="shared" si="37"/>
        <v>1.4750817904217781</v>
      </c>
      <c r="AV268" s="1">
        <f t="shared" si="38"/>
        <v>1.0668000921398362</v>
      </c>
      <c r="AW268" s="1">
        <f t="shared" si="39"/>
        <v>0.65851839385789368</v>
      </c>
    </row>
    <row r="269" spans="1:49" x14ac:dyDescent="0.2">
      <c r="A269">
        <v>267</v>
      </c>
      <c r="B269" t="s">
        <v>6121</v>
      </c>
      <c r="C269" t="s">
        <v>6120</v>
      </c>
      <c r="D269" t="s">
        <v>6119</v>
      </c>
      <c r="F269" t="s">
        <v>6118</v>
      </c>
      <c r="G269" t="s">
        <v>6</v>
      </c>
      <c r="H269" t="s">
        <v>5</v>
      </c>
      <c r="I269" t="s">
        <v>202</v>
      </c>
      <c r="J269" t="s">
        <v>507</v>
      </c>
      <c r="K269" t="s">
        <v>506</v>
      </c>
      <c r="L269" t="s">
        <v>505</v>
      </c>
      <c r="M269" t="s">
        <v>310</v>
      </c>
      <c r="N269">
        <v>3</v>
      </c>
      <c r="O269" t="s">
        <v>1533</v>
      </c>
      <c r="P269" t="s">
        <v>1532</v>
      </c>
      <c r="Q269" t="s">
        <v>6117</v>
      </c>
      <c r="R269" s="7">
        <v>36495</v>
      </c>
      <c r="S269" s="8">
        <f t="shared" si="32"/>
        <v>1999</v>
      </c>
      <c r="T269" s="8">
        <v>1999</v>
      </c>
      <c r="U269" s="8">
        <f t="shared" si="33"/>
        <v>23</v>
      </c>
      <c r="V269" s="7">
        <v>1999</v>
      </c>
      <c r="W269" t="s">
        <v>124</v>
      </c>
      <c r="X269" s="2">
        <v>1.6519999999999999</v>
      </c>
      <c r="Y269" s="6">
        <f t="shared" si="34"/>
        <v>4.409919649769093E-2</v>
      </c>
      <c r="AA269" t="s">
        <v>123</v>
      </c>
      <c r="AB269">
        <v>17337</v>
      </c>
      <c r="AD269" t="s">
        <v>2</v>
      </c>
      <c r="AE269">
        <v>47</v>
      </c>
      <c r="AF269">
        <v>8</v>
      </c>
      <c r="AH269" t="s">
        <v>6116</v>
      </c>
      <c r="AI269" t="s">
        <v>6115</v>
      </c>
      <c r="AJ269" t="s">
        <v>6114</v>
      </c>
      <c r="AK269" t="s">
        <v>6113</v>
      </c>
      <c r="AL269">
        <v>39</v>
      </c>
      <c r="AM269" s="5">
        <f t="shared" si="35"/>
        <v>1.6956521739130435</v>
      </c>
      <c r="AN269" s="4">
        <f t="shared" si="36"/>
        <v>2.5681971585203231E-3</v>
      </c>
      <c r="AO269" s="3"/>
      <c r="AP269">
        <v>0</v>
      </c>
      <c r="AQ269" t="s">
        <v>84</v>
      </c>
      <c r="AR269" t="s">
        <v>6112</v>
      </c>
      <c r="AS269" t="s">
        <v>83</v>
      </c>
      <c r="AT269" s="2" t="s">
        <v>0</v>
      </c>
      <c r="AU269" s="1">
        <f t="shared" si="37"/>
        <v>3.1639896695939749</v>
      </c>
      <c r="AV269" s="1">
        <f t="shared" si="38"/>
        <v>2.3333696828105626</v>
      </c>
      <c r="AW269" s="1">
        <f t="shared" si="39"/>
        <v>1.5027496960271505</v>
      </c>
    </row>
    <row r="270" spans="1:49" x14ac:dyDescent="0.2">
      <c r="A270">
        <v>268</v>
      </c>
      <c r="B270" t="s">
        <v>6111</v>
      </c>
      <c r="C270" t="s">
        <v>6110</v>
      </c>
      <c r="D270" t="s">
        <v>6109</v>
      </c>
      <c r="F270" t="s">
        <v>6108</v>
      </c>
      <c r="G270" t="s">
        <v>6</v>
      </c>
      <c r="H270" t="s">
        <v>5</v>
      </c>
      <c r="I270" t="s">
        <v>6107</v>
      </c>
      <c r="J270" t="s">
        <v>6106</v>
      </c>
      <c r="K270" t="s">
        <v>6105</v>
      </c>
      <c r="L270" t="s">
        <v>6104</v>
      </c>
      <c r="M270" t="s">
        <v>30</v>
      </c>
      <c r="N270">
        <v>3</v>
      </c>
      <c r="O270" t="s">
        <v>6103</v>
      </c>
      <c r="P270" t="s">
        <v>6102</v>
      </c>
      <c r="Q270" t="s">
        <v>6101</v>
      </c>
      <c r="R270" s="7">
        <v>36495</v>
      </c>
      <c r="S270" s="8">
        <f t="shared" si="32"/>
        <v>1999</v>
      </c>
      <c r="T270" s="8">
        <v>1999</v>
      </c>
      <c r="U270" s="8">
        <f t="shared" si="33"/>
        <v>23</v>
      </c>
      <c r="V270" s="7">
        <v>1999</v>
      </c>
      <c r="W270" t="s">
        <v>124</v>
      </c>
      <c r="X270" s="2">
        <v>1.6519999999999999</v>
      </c>
      <c r="Y270" s="6">
        <f t="shared" si="34"/>
        <v>4.409919649769093E-2</v>
      </c>
      <c r="AA270" t="s">
        <v>123</v>
      </c>
      <c r="AB270">
        <v>17337</v>
      </c>
      <c r="AD270" t="s">
        <v>2</v>
      </c>
      <c r="AE270">
        <v>47</v>
      </c>
      <c r="AF270">
        <v>8</v>
      </c>
      <c r="AH270" t="s">
        <v>6100</v>
      </c>
      <c r="AI270" t="s">
        <v>6099</v>
      </c>
      <c r="AJ270" t="s">
        <v>6098</v>
      </c>
      <c r="AK270" t="s">
        <v>6097</v>
      </c>
      <c r="AL270">
        <v>25</v>
      </c>
      <c r="AM270" s="5">
        <f t="shared" si="35"/>
        <v>1.0869565217391304</v>
      </c>
      <c r="AN270" s="4">
        <f t="shared" si="36"/>
        <v>1.6462802298207199E-3</v>
      </c>
      <c r="AO270" s="3"/>
      <c r="AP270">
        <v>0</v>
      </c>
      <c r="AR270" t="s">
        <v>1</v>
      </c>
      <c r="AT270" s="2" t="s">
        <v>0</v>
      </c>
      <c r="AU270" s="1">
        <f t="shared" si="37"/>
        <v>3.1363321617329869</v>
      </c>
      <c r="AV270" s="1">
        <f t="shared" si="38"/>
        <v>2.2872738363755825</v>
      </c>
      <c r="AW270" s="1">
        <f t="shared" si="39"/>
        <v>1.438215511018178</v>
      </c>
    </row>
    <row r="271" spans="1:49" x14ac:dyDescent="0.2">
      <c r="A271">
        <v>269</v>
      </c>
      <c r="B271" t="s">
        <v>6096</v>
      </c>
      <c r="C271" t="s">
        <v>6095</v>
      </c>
      <c r="F271" t="s">
        <v>6094</v>
      </c>
      <c r="G271" t="s">
        <v>6</v>
      </c>
      <c r="H271" t="s">
        <v>5</v>
      </c>
      <c r="I271" t="s">
        <v>243</v>
      </c>
      <c r="J271" t="s">
        <v>6093</v>
      </c>
      <c r="K271" t="s">
        <v>6092</v>
      </c>
      <c r="L271" t="s">
        <v>6091</v>
      </c>
      <c r="M271" t="s">
        <v>30</v>
      </c>
      <c r="N271">
        <v>2</v>
      </c>
      <c r="O271" t="s">
        <v>6090</v>
      </c>
      <c r="P271" t="s">
        <v>6089</v>
      </c>
      <c r="Q271" t="s">
        <v>6088</v>
      </c>
      <c r="R271" s="7">
        <v>36495</v>
      </c>
      <c r="S271" s="8">
        <f t="shared" si="32"/>
        <v>1999</v>
      </c>
      <c r="T271" s="8">
        <v>1999</v>
      </c>
      <c r="U271" s="8">
        <f t="shared" si="33"/>
        <v>23</v>
      </c>
      <c r="V271" s="7">
        <v>1999</v>
      </c>
      <c r="W271" t="s">
        <v>124</v>
      </c>
      <c r="X271" s="2">
        <v>1.6519999999999999</v>
      </c>
      <c r="Y271" s="6">
        <f t="shared" si="34"/>
        <v>4.409919649769093E-2</v>
      </c>
      <c r="AA271" t="s">
        <v>123</v>
      </c>
      <c r="AB271">
        <v>17337</v>
      </c>
      <c r="AD271" t="s">
        <v>2</v>
      </c>
      <c r="AE271">
        <v>47</v>
      </c>
      <c r="AF271">
        <v>8</v>
      </c>
      <c r="AH271" t="s">
        <v>6087</v>
      </c>
      <c r="AI271" t="s">
        <v>6086</v>
      </c>
      <c r="AK271" t="s">
        <v>6085</v>
      </c>
      <c r="AL271">
        <v>11</v>
      </c>
      <c r="AM271" s="5">
        <f t="shared" si="35"/>
        <v>0.47826086956521741</v>
      </c>
      <c r="AN271" s="4">
        <f t="shared" si="36"/>
        <v>7.2436330112111687E-4</v>
      </c>
      <c r="AO271" s="3"/>
      <c r="AP271">
        <v>0</v>
      </c>
      <c r="AR271" t="s">
        <v>1</v>
      </c>
      <c r="AT271" s="2" t="s">
        <v>0</v>
      </c>
      <c r="AU271" s="1">
        <f t="shared" si="37"/>
        <v>3.1086746538719989</v>
      </c>
      <c r="AV271" s="1">
        <f t="shared" si="38"/>
        <v>2.2411779899406024</v>
      </c>
      <c r="AW271" s="1">
        <f t="shared" si="39"/>
        <v>1.373681326009206</v>
      </c>
    </row>
    <row r="272" spans="1:49" x14ac:dyDescent="0.2">
      <c r="A272">
        <v>270</v>
      </c>
      <c r="B272" t="s">
        <v>6084</v>
      </c>
      <c r="C272" t="s">
        <v>6083</v>
      </c>
      <c r="D272" t="s">
        <v>6082</v>
      </c>
      <c r="F272" t="s">
        <v>6081</v>
      </c>
      <c r="G272" t="s">
        <v>6</v>
      </c>
      <c r="H272" t="s">
        <v>5</v>
      </c>
      <c r="I272" t="s">
        <v>6080</v>
      </c>
      <c r="J272" t="s">
        <v>6079</v>
      </c>
      <c r="K272" t="s">
        <v>6078</v>
      </c>
      <c r="L272" t="s">
        <v>6077</v>
      </c>
      <c r="M272" t="s">
        <v>6076</v>
      </c>
      <c r="N272">
        <v>3</v>
      </c>
      <c r="O272" t="s">
        <v>6075</v>
      </c>
      <c r="P272" t="s">
        <v>6074</v>
      </c>
      <c r="Q272" t="s">
        <v>6073</v>
      </c>
      <c r="R272" s="7">
        <v>36495</v>
      </c>
      <c r="S272" s="8">
        <f t="shared" si="32"/>
        <v>1999</v>
      </c>
      <c r="T272" s="8">
        <v>1999</v>
      </c>
      <c r="U272" s="8">
        <f t="shared" si="33"/>
        <v>23</v>
      </c>
      <c r="V272" s="7">
        <v>1999</v>
      </c>
      <c r="W272" t="s">
        <v>124</v>
      </c>
      <c r="X272" s="2">
        <v>1.6519999999999999</v>
      </c>
      <c r="Y272" s="6">
        <f t="shared" si="34"/>
        <v>4.409919649769093E-2</v>
      </c>
      <c r="AA272" t="s">
        <v>123</v>
      </c>
      <c r="AB272">
        <v>17337</v>
      </c>
      <c r="AD272" t="s">
        <v>2</v>
      </c>
      <c r="AE272">
        <v>47</v>
      </c>
      <c r="AF272">
        <v>8</v>
      </c>
      <c r="AH272">
        <v>1374</v>
      </c>
      <c r="AI272" t="s">
        <v>6072</v>
      </c>
      <c r="AJ272" t="s">
        <v>6071</v>
      </c>
      <c r="AK272" t="s">
        <v>6070</v>
      </c>
      <c r="AL272">
        <v>5</v>
      </c>
      <c r="AM272" s="5">
        <f t="shared" si="35"/>
        <v>0.21739130434782608</v>
      </c>
      <c r="AN272" s="4">
        <f t="shared" si="36"/>
        <v>3.29256045964144E-4</v>
      </c>
      <c r="AO272" s="3"/>
      <c r="AP272">
        <v>0</v>
      </c>
      <c r="AR272" t="s">
        <v>1</v>
      </c>
      <c r="AT272" s="2" t="s">
        <v>0</v>
      </c>
      <c r="AU272" s="1">
        <f t="shared" si="37"/>
        <v>3.0968214362172892</v>
      </c>
      <c r="AV272" s="1">
        <f t="shared" si="38"/>
        <v>2.2214226271827537</v>
      </c>
      <c r="AW272" s="1">
        <f t="shared" si="39"/>
        <v>1.346023818148218</v>
      </c>
    </row>
    <row r="273" spans="1:49" x14ac:dyDescent="0.2">
      <c r="A273">
        <v>271</v>
      </c>
      <c r="B273" t="s">
        <v>6069</v>
      </c>
      <c r="C273" t="s">
        <v>6068</v>
      </c>
      <c r="D273" t="s">
        <v>6067</v>
      </c>
      <c r="F273" t="s">
        <v>6066</v>
      </c>
      <c r="G273" t="s">
        <v>6</v>
      </c>
      <c r="H273" t="s">
        <v>5</v>
      </c>
      <c r="I273" t="s">
        <v>567</v>
      </c>
      <c r="J273" t="s">
        <v>562</v>
      </c>
      <c r="K273" t="s">
        <v>566</v>
      </c>
      <c r="L273" t="s">
        <v>565</v>
      </c>
      <c r="M273" t="s">
        <v>138</v>
      </c>
      <c r="N273">
        <v>2</v>
      </c>
      <c r="O273" t="s">
        <v>564</v>
      </c>
      <c r="P273" t="s">
        <v>563</v>
      </c>
      <c r="Q273" t="s">
        <v>562</v>
      </c>
      <c r="R273" s="7">
        <v>36495</v>
      </c>
      <c r="S273" s="8">
        <f t="shared" si="32"/>
        <v>1999</v>
      </c>
      <c r="T273" s="8">
        <v>1999</v>
      </c>
      <c r="U273" s="8">
        <f t="shared" si="33"/>
        <v>23</v>
      </c>
      <c r="V273" s="7">
        <v>1999</v>
      </c>
      <c r="W273" t="s">
        <v>124</v>
      </c>
      <c r="X273" s="2">
        <v>1.6519999999999999</v>
      </c>
      <c r="Y273" s="6">
        <f t="shared" si="34"/>
        <v>4.409919649769093E-2</v>
      </c>
      <c r="AA273" t="s">
        <v>123</v>
      </c>
      <c r="AB273">
        <v>17337</v>
      </c>
      <c r="AD273" t="s">
        <v>2</v>
      </c>
      <c r="AE273">
        <v>47</v>
      </c>
      <c r="AF273">
        <v>8</v>
      </c>
      <c r="AH273" t="s">
        <v>6065</v>
      </c>
      <c r="AI273" t="s">
        <v>6064</v>
      </c>
      <c r="AJ273" t="s">
        <v>6063</v>
      </c>
      <c r="AK273" t="s">
        <v>6062</v>
      </c>
      <c r="AL273">
        <v>15</v>
      </c>
      <c r="AM273" s="5">
        <f t="shared" si="35"/>
        <v>0.65217391304347827</v>
      </c>
      <c r="AN273" s="4">
        <f t="shared" si="36"/>
        <v>9.8776813789243204E-4</v>
      </c>
      <c r="AO273" s="3"/>
      <c r="AP273">
        <v>0</v>
      </c>
      <c r="AQ273" t="s">
        <v>160</v>
      </c>
      <c r="AR273" t="s">
        <v>6061</v>
      </c>
      <c r="AS273" t="s">
        <v>159</v>
      </c>
      <c r="AT273" s="2" t="s">
        <v>0</v>
      </c>
      <c r="AU273" s="1">
        <f t="shared" si="37"/>
        <v>3.1165767989751378</v>
      </c>
      <c r="AV273" s="1">
        <f t="shared" si="38"/>
        <v>2.2543482317791681</v>
      </c>
      <c r="AW273" s="1">
        <f t="shared" si="39"/>
        <v>1.3921196645831979</v>
      </c>
    </row>
    <row r="274" spans="1:49" x14ac:dyDescent="0.2">
      <c r="A274">
        <v>272</v>
      </c>
      <c r="B274" t="s">
        <v>6060</v>
      </c>
      <c r="C274" t="s">
        <v>6059</v>
      </c>
      <c r="D274" t="s">
        <v>6058</v>
      </c>
      <c r="F274" t="s">
        <v>6057</v>
      </c>
      <c r="G274" t="s">
        <v>6</v>
      </c>
      <c r="H274" t="s">
        <v>5</v>
      </c>
      <c r="I274" t="s">
        <v>660</v>
      </c>
      <c r="J274">
        <v>60013983</v>
      </c>
      <c r="K274" t="s">
        <v>324</v>
      </c>
      <c r="L274" t="s">
        <v>323</v>
      </c>
      <c r="M274" t="s">
        <v>322</v>
      </c>
      <c r="N274">
        <v>3</v>
      </c>
      <c r="O274" t="s">
        <v>6056</v>
      </c>
      <c r="P274" t="s">
        <v>659</v>
      </c>
      <c r="Q274" t="s">
        <v>321</v>
      </c>
      <c r="R274" s="7">
        <v>36495</v>
      </c>
      <c r="S274" s="8">
        <f t="shared" si="32"/>
        <v>1999</v>
      </c>
      <c r="T274" s="8">
        <v>1999</v>
      </c>
      <c r="U274" s="8">
        <f t="shared" si="33"/>
        <v>23</v>
      </c>
      <c r="V274" s="7">
        <v>1999</v>
      </c>
      <c r="W274" t="s">
        <v>124</v>
      </c>
      <c r="X274" s="2">
        <v>1.6519999999999999</v>
      </c>
      <c r="Y274" s="6">
        <f t="shared" si="34"/>
        <v>4.409919649769093E-2</v>
      </c>
      <c r="AA274" t="s">
        <v>123</v>
      </c>
      <c r="AB274">
        <v>17337</v>
      </c>
      <c r="AD274" t="s">
        <v>2</v>
      </c>
      <c r="AE274">
        <v>47</v>
      </c>
      <c r="AF274">
        <v>8</v>
      </c>
      <c r="AH274" t="s">
        <v>6055</v>
      </c>
      <c r="AI274" t="s">
        <v>6054</v>
      </c>
      <c r="AJ274" t="s">
        <v>6053</v>
      </c>
      <c r="AK274" t="s">
        <v>6052</v>
      </c>
      <c r="AL274">
        <v>8</v>
      </c>
      <c r="AM274" s="5">
        <f t="shared" si="35"/>
        <v>0.34782608695652173</v>
      </c>
      <c r="AN274" s="4">
        <f t="shared" si="36"/>
        <v>5.2680967354263046E-4</v>
      </c>
      <c r="AO274" s="3"/>
      <c r="AP274">
        <v>0</v>
      </c>
      <c r="AQ274" t="s">
        <v>6051</v>
      </c>
      <c r="AR274" t="s">
        <v>6050</v>
      </c>
      <c r="AS274" t="s">
        <v>6049</v>
      </c>
      <c r="AT274" s="2" t="s">
        <v>0</v>
      </c>
      <c r="AU274" s="1">
        <f t="shared" si="37"/>
        <v>3.1027480450446441</v>
      </c>
      <c r="AV274" s="1">
        <f t="shared" si="38"/>
        <v>2.231300308561678</v>
      </c>
      <c r="AW274" s="1">
        <f t="shared" si="39"/>
        <v>1.359852572078712</v>
      </c>
    </row>
    <row r="275" spans="1:49" x14ac:dyDescent="0.2">
      <c r="A275">
        <v>273</v>
      </c>
      <c r="B275" t="s">
        <v>6048</v>
      </c>
      <c r="C275" t="s">
        <v>6047</v>
      </c>
      <c r="D275" t="s">
        <v>6046</v>
      </c>
      <c r="F275" t="s">
        <v>6045</v>
      </c>
      <c r="G275" t="s">
        <v>6</v>
      </c>
      <c r="H275" t="s">
        <v>5</v>
      </c>
      <c r="I275" t="s">
        <v>6044</v>
      </c>
      <c r="J275" t="s">
        <v>6039</v>
      </c>
      <c r="K275" t="s">
        <v>6043</v>
      </c>
      <c r="L275" t="s">
        <v>6042</v>
      </c>
      <c r="M275" t="s">
        <v>30</v>
      </c>
      <c r="N275">
        <v>2</v>
      </c>
      <c r="O275" t="s">
        <v>6041</v>
      </c>
      <c r="P275" t="s">
        <v>6040</v>
      </c>
      <c r="Q275" t="s">
        <v>6039</v>
      </c>
      <c r="R275" s="7">
        <v>36495</v>
      </c>
      <c r="S275" s="8">
        <f t="shared" si="32"/>
        <v>1999</v>
      </c>
      <c r="T275" s="8">
        <v>1999</v>
      </c>
      <c r="U275" s="8">
        <f t="shared" si="33"/>
        <v>23</v>
      </c>
      <c r="V275" s="7">
        <v>1999</v>
      </c>
      <c r="W275" t="s">
        <v>124</v>
      </c>
      <c r="X275" s="2">
        <v>1.6519999999999999</v>
      </c>
      <c r="Y275" s="6">
        <f t="shared" si="34"/>
        <v>4.409919649769093E-2</v>
      </c>
      <c r="AA275" t="s">
        <v>123</v>
      </c>
      <c r="AB275">
        <v>17337</v>
      </c>
      <c r="AD275" t="s">
        <v>2</v>
      </c>
      <c r="AE275">
        <v>47</v>
      </c>
      <c r="AF275">
        <v>8</v>
      </c>
      <c r="AH275" t="s">
        <v>6038</v>
      </c>
      <c r="AI275" t="s">
        <v>6037</v>
      </c>
      <c r="AJ275" t="s">
        <v>6036</v>
      </c>
      <c r="AK275" t="s">
        <v>6035</v>
      </c>
      <c r="AL275">
        <v>46</v>
      </c>
      <c r="AM275" s="5">
        <f t="shared" si="35"/>
        <v>2</v>
      </c>
      <c r="AN275" s="4">
        <f t="shared" si="36"/>
        <v>3.0291556228701248E-3</v>
      </c>
      <c r="AO275" s="3"/>
      <c r="AP275">
        <v>0</v>
      </c>
      <c r="AQ275" t="s">
        <v>241</v>
      </c>
      <c r="AR275" t="s">
        <v>6034</v>
      </c>
      <c r="AS275" t="s">
        <v>240</v>
      </c>
      <c r="AT275" s="2" t="s">
        <v>0</v>
      </c>
      <c r="AU275" s="1">
        <f t="shared" si="37"/>
        <v>3.1778184235244686</v>
      </c>
      <c r="AV275" s="1">
        <f t="shared" si="38"/>
        <v>2.3564176060280526</v>
      </c>
      <c r="AW275" s="1">
        <f t="shared" si="39"/>
        <v>1.5350167885316366</v>
      </c>
    </row>
    <row r="276" spans="1:49" x14ac:dyDescent="0.2">
      <c r="A276">
        <v>274</v>
      </c>
      <c r="B276" t="s">
        <v>6033</v>
      </c>
      <c r="C276" t="s">
        <v>6032</v>
      </c>
      <c r="D276" t="s">
        <v>6031</v>
      </c>
      <c r="F276" t="s">
        <v>6030</v>
      </c>
      <c r="G276" t="s">
        <v>6</v>
      </c>
      <c r="H276" t="s">
        <v>5</v>
      </c>
      <c r="I276" t="s">
        <v>4327</v>
      </c>
      <c r="J276" t="s">
        <v>599</v>
      </c>
      <c r="K276" t="s">
        <v>598</v>
      </c>
      <c r="L276" t="s">
        <v>597</v>
      </c>
      <c r="M276" t="s">
        <v>310</v>
      </c>
      <c r="N276">
        <v>2</v>
      </c>
      <c r="O276" t="s">
        <v>6029</v>
      </c>
      <c r="P276" t="s">
        <v>6028</v>
      </c>
      <c r="Q276" t="s">
        <v>599</v>
      </c>
      <c r="R276" s="7">
        <v>36495</v>
      </c>
      <c r="S276" s="8">
        <f t="shared" si="32"/>
        <v>1999</v>
      </c>
      <c r="T276" s="8">
        <v>1999</v>
      </c>
      <c r="U276" s="8">
        <f t="shared" si="33"/>
        <v>23</v>
      </c>
      <c r="V276" s="7">
        <v>1999</v>
      </c>
      <c r="W276" t="s">
        <v>124</v>
      </c>
      <c r="X276" s="2">
        <v>1.6519999999999999</v>
      </c>
      <c r="Y276" s="6">
        <f t="shared" si="34"/>
        <v>4.409919649769093E-2</v>
      </c>
      <c r="AA276" t="s">
        <v>123</v>
      </c>
      <c r="AB276">
        <v>17337</v>
      </c>
      <c r="AD276" t="s">
        <v>2</v>
      </c>
      <c r="AE276">
        <v>47</v>
      </c>
      <c r="AF276">
        <v>8</v>
      </c>
      <c r="AH276" t="s">
        <v>6027</v>
      </c>
      <c r="AI276" t="s">
        <v>6026</v>
      </c>
      <c r="AJ276" t="s">
        <v>6025</v>
      </c>
      <c r="AK276" t="s">
        <v>6024</v>
      </c>
      <c r="AL276">
        <v>131</v>
      </c>
      <c r="AM276" s="5">
        <f t="shared" si="35"/>
        <v>5.6956521739130439</v>
      </c>
      <c r="AN276" s="4">
        <f t="shared" si="36"/>
        <v>8.6265084042605744E-3</v>
      </c>
      <c r="AO276" s="3"/>
      <c r="AP276">
        <v>0</v>
      </c>
      <c r="AR276" t="s">
        <v>1</v>
      </c>
      <c r="AT276" s="2" t="s">
        <v>0</v>
      </c>
      <c r="AU276" s="1">
        <f t="shared" si="37"/>
        <v>3.3457390069661823</v>
      </c>
      <c r="AV276" s="1">
        <f t="shared" si="38"/>
        <v>2.6362852450975751</v>
      </c>
      <c r="AW276" s="1">
        <f t="shared" si="39"/>
        <v>1.9268314832289679</v>
      </c>
    </row>
    <row r="277" spans="1:49" x14ac:dyDescent="0.2">
      <c r="A277">
        <v>275</v>
      </c>
      <c r="B277" t="s">
        <v>6023</v>
      </c>
      <c r="C277" t="s">
        <v>6022</v>
      </c>
      <c r="D277" t="s">
        <v>6021</v>
      </c>
      <c r="F277" t="s">
        <v>6020</v>
      </c>
      <c r="G277" t="s">
        <v>6</v>
      </c>
      <c r="H277" t="s">
        <v>5</v>
      </c>
      <c r="I277" t="s">
        <v>6019</v>
      </c>
      <c r="J277">
        <v>60025778</v>
      </c>
      <c r="K277" t="s">
        <v>156</v>
      </c>
      <c r="L277" t="s">
        <v>4</v>
      </c>
      <c r="M277" t="s">
        <v>3</v>
      </c>
      <c r="N277">
        <v>2</v>
      </c>
      <c r="O277" t="s">
        <v>6018</v>
      </c>
      <c r="P277" t="s">
        <v>6017</v>
      </c>
      <c r="Q277" t="s">
        <v>155</v>
      </c>
      <c r="R277" s="7">
        <v>36495</v>
      </c>
      <c r="S277" s="8">
        <f t="shared" si="32"/>
        <v>1999</v>
      </c>
      <c r="T277" s="8">
        <v>1999</v>
      </c>
      <c r="U277" s="8">
        <f t="shared" si="33"/>
        <v>23</v>
      </c>
      <c r="V277" s="7">
        <v>1999</v>
      </c>
      <c r="W277" t="s">
        <v>124</v>
      </c>
      <c r="X277" s="2">
        <v>1.6519999999999999</v>
      </c>
      <c r="Y277" s="6">
        <f t="shared" si="34"/>
        <v>4.409919649769093E-2</v>
      </c>
      <c r="AA277" t="s">
        <v>123</v>
      </c>
      <c r="AB277">
        <v>17337</v>
      </c>
      <c r="AD277" t="s">
        <v>2</v>
      </c>
      <c r="AE277">
        <v>47</v>
      </c>
      <c r="AF277">
        <v>8</v>
      </c>
      <c r="AH277" t="s">
        <v>6016</v>
      </c>
      <c r="AI277" t="s">
        <v>6015</v>
      </c>
      <c r="AJ277" t="s">
        <v>6014</v>
      </c>
      <c r="AK277" t="s">
        <v>6013</v>
      </c>
      <c r="AL277">
        <v>63</v>
      </c>
      <c r="AM277" s="5">
        <f t="shared" si="35"/>
        <v>2.7391304347826089</v>
      </c>
      <c r="AN277" s="4">
        <f t="shared" si="36"/>
        <v>4.1486261791482152E-3</v>
      </c>
      <c r="AO277" s="3"/>
      <c r="AP277">
        <v>0</v>
      </c>
      <c r="AR277" t="s">
        <v>1</v>
      </c>
      <c r="AT277" s="2" t="s">
        <v>0</v>
      </c>
      <c r="AU277" s="1">
        <f t="shared" si="37"/>
        <v>3.2114025402128115</v>
      </c>
      <c r="AV277" s="1">
        <f t="shared" si="38"/>
        <v>2.412391133841957</v>
      </c>
      <c r="AW277" s="1">
        <f t="shared" si="39"/>
        <v>1.613379727471103</v>
      </c>
    </row>
    <row r="278" spans="1:49" x14ac:dyDescent="0.2">
      <c r="A278">
        <v>276</v>
      </c>
      <c r="B278" t="s">
        <v>6012</v>
      </c>
      <c r="C278" t="s">
        <v>6011</v>
      </c>
      <c r="D278" t="s">
        <v>6010</v>
      </c>
      <c r="F278" t="s">
        <v>6009</v>
      </c>
      <c r="G278" t="s">
        <v>6</v>
      </c>
      <c r="H278" t="s">
        <v>5</v>
      </c>
      <c r="I278" t="s">
        <v>6008</v>
      </c>
      <c r="J278" t="s">
        <v>6007</v>
      </c>
      <c r="K278" t="s">
        <v>6006</v>
      </c>
      <c r="L278" t="s">
        <v>6005</v>
      </c>
      <c r="M278" t="s">
        <v>6004</v>
      </c>
      <c r="N278">
        <v>2</v>
      </c>
      <c r="O278" t="s">
        <v>6003</v>
      </c>
      <c r="P278" t="s">
        <v>6002</v>
      </c>
      <c r="Q278" t="s">
        <v>6001</v>
      </c>
      <c r="R278" s="7">
        <v>36495</v>
      </c>
      <c r="S278" s="8">
        <f t="shared" si="32"/>
        <v>1999</v>
      </c>
      <c r="T278" s="8">
        <v>1999</v>
      </c>
      <c r="U278" s="8">
        <f t="shared" si="33"/>
        <v>23</v>
      </c>
      <c r="V278" s="7">
        <v>1999</v>
      </c>
      <c r="W278" t="s">
        <v>124</v>
      </c>
      <c r="X278" s="2">
        <v>1.6519999999999999</v>
      </c>
      <c r="Y278" s="6">
        <f t="shared" si="34"/>
        <v>4.409919649769093E-2</v>
      </c>
      <c r="AA278" t="s">
        <v>123</v>
      </c>
      <c r="AB278">
        <v>17337</v>
      </c>
      <c r="AD278" t="s">
        <v>2</v>
      </c>
      <c r="AE278">
        <v>47</v>
      </c>
      <c r="AF278">
        <v>8</v>
      </c>
      <c r="AH278" t="s">
        <v>6000</v>
      </c>
      <c r="AI278" t="s">
        <v>5999</v>
      </c>
      <c r="AJ278" t="s">
        <v>5998</v>
      </c>
      <c r="AK278" t="s">
        <v>5997</v>
      </c>
      <c r="AL278">
        <v>5</v>
      </c>
      <c r="AM278" s="5">
        <f t="shared" si="35"/>
        <v>0.21739130434782608</v>
      </c>
      <c r="AN278" s="4">
        <f t="shared" si="36"/>
        <v>3.29256045964144E-4</v>
      </c>
      <c r="AO278" s="3"/>
      <c r="AP278">
        <v>0</v>
      </c>
      <c r="AR278" t="s">
        <v>1</v>
      </c>
      <c r="AS278" t="s">
        <v>5996</v>
      </c>
      <c r="AT278" s="2" t="s">
        <v>0</v>
      </c>
      <c r="AU278" s="1">
        <f t="shared" si="37"/>
        <v>3.0968214362172892</v>
      </c>
      <c r="AV278" s="1">
        <f t="shared" si="38"/>
        <v>2.2214226271827537</v>
      </c>
      <c r="AW278" s="1">
        <f t="shared" si="39"/>
        <v>1.346023818148218</v>
      </c>
    </row>
    <row r="279" spans="1:49" x14ac:dyDescent="0.2">
      <c r="A279">
        <v>277</v>
      </c>
      <c r="B279" t="s">
        <v>5995</v>
      </c>
      <c r="C279" t="s">
        <v>5994</v>
      </c>
      <c r="D279" t="s">
        <v>5993</v>
      </c>
      <c r="F279" t="s">
        <v>5992</v>
      </c>
      <c r="G279" t="s">
        <v>6</v>
      </c>
      <c r="H279" t="s">
        <v>5</v>
      </c>
      <c r="I279" t="s">
        <v>5991</v>
      </c>
      <c r="J279">
        <v>60032730</v>
      </c>
      <c r="K279" t="s">
        <v>5990</v>
      </c>
      <c r="L279" t="s">
        <v>545</v>
      </c>
      <c r="M279" t="s">
        <v>114</v>
      </c>
      <c r="N279">
        <v>2</v>
      </c>
      <c r="O279" t="s">
        <v>5989</v>
      </c>
      <c r="P279" t="s">
        <v>5988</v>
      </c>
      <c r="Q279" t="s">
        <v>5987</v>
      </c>
      <c r="R279" s="7">
        <v>36495</v>
      </c>
      <c r="S279" s="8">
        <f t="shared" si="32"/>
        <v>1999</v>
      </c>
      <c r="T279" s="8">
        <v>1999</v>
      </c>
      <c r="U279" s="8">
        <f t="shared" si="33"/>
        <v>23</v>
      </c>
      <c r="V279" s="7">
        <v>1999</v>
      </c>
      <c r="W279" t="s">
        <v>124</v>
      </c>
      <c r="X279" s="2">
        <v>1.6519999999999999</v>
      </c>
      <c r="Y279" s="6">
        <f t="shared" si="34"/>
        <v>4.409919649769093E-2</v>
      </c>
      <c r="AA279" t="s">
        <v>123</v>
      </c>
      <c r="AB279">
        <v>17337</v>
      </c>
      <c r="AD279" t="s">
        <v>2</v>
      </c>
      <c r="AE279">
        <v>47</v>
      </c>
      <c r="AF279">
        <v>8</v>
      </c>
      <c r="AH279" t="s">
        <v>5986</v>
      </c>
      <c r="AI279" t="s">
        <v>5985</v>
      </c>
      <c r="AJ279" t="s">
        <v>5984</v>
      </c>
      <c r="AK279" t="s">
        <v>5983</v>
      </c>
      <c r="AL279">
        <v>25</v>
      </c>
      <c r="AM279" s="5">
        <f t="shared" si="35"/>
        <v>1.0869565217391304</v>
      </c>
      <c r="AN279" s="4">
        <f t="shared" si="36"/>
        <v>1.6462802298207199E-3</v>
      </c>
      <c r="AO279" s="3"/>
      <c r="AP279">
        <v>0</v>
      </c>
      <c r="AR279" t="s">
        <v>1</v>
      </c>
      <c r="AT279" s="2" t="s">
        <v>0</v>
      </c>
      <c r="AU279" s="1">
        <f t="shared" si="37"/>
        <v>3.1363321617329869</v>
      </c>
      <c r="AV279" s="1">
        <f t="shared" si="38"/>
        <v>2.2872738363755825</v>
      </c>
      <c r="AW279" s="1">
        <f t="shared" si="39"/>
        <v>1.438215511018178</v>
      </c>
    </row>
    <row r="280" spans="1:49" x14ac:dyDescent="0.2">
      <c r="A280">
        <v>278</v>
      </c>
      <c r="B280" t="s">
        <v>5982</v>
      </c>
      <c r="C280" t="s">
        <v>5981</v>
      </c>
      <c r="D280" t="s">
        <v>5980</v>
      </c>
      <c r="F280" t="s">
        <v>5979</v>
      </c>
      <c r="G280" t="s">
        <v>6</v>
      </c>
      <c r="H280" t="s">
        <v>5</v>
      </c>
      <c r="I280" t="s">
        <v>5978</v>
      </c>
      <c r="J280">
        <v>60025778</v>
      </c>
      <c r="K280" t="s">
        <v>156</v>
      </c>
      <c r="L280" t="s">
        <v>4</v>
      </c>
      <c r="M280" t="s">
        <v>3</v>
      </c>
      <c r="N280">
        <v>2</v>
      </c>
      <c r="O280" t="s">
        <v>5977</v>
      </c>
      <c r="P280" t="s">
        <v>5976</v>
      </c>
      <c r="Q280" t="s">
        <v>155</v>
      </c>
      <c r="R280" s="7">
        <v>36495</v>
      </c>
      <c r="S280" s="8">
        <f t="shared" si="32"/>
        <v>1999</v>
      </c>
      <c r="T280" s="8">
        <v>1999</v>
      </c>
      <c r="U280" s="8">
        <f t="shared" si="33"/>
        <v>23</v>
      </c>
      <c r="V280" s="7">
        <v>1999</v>
      </c>
      <c r="W280" t="s">
        <v>124</v>
      </c>
      <c r="X280" s="2">
        <v>1.6519999999999999</v>
      </c>
      <c r="Y280" s="6">
        <f t="shared" si="34"/>
        <v>4.409919649769093E-2</v>
      </c>
      <c r="AA280" t="s">
        <v>123</v>
      </c>
      <c r="AB280">
        <v>17337</v>
      </c>
      <c r="AD280" t="s">
        <v>2</v>
      </c>
      <c r="AE280">
        <v>47</v>
      </c>
      <c r="AF280">
        <v>8</v>
      </c>
      <c r="AH280" t="s">
        <v>5975</v>
      </c>
      <c r="AI280" t="s">
        <v>5974</v>
      </c>
      <c r="AJ280" t="s">
        <v>5973</v>
      </c>
      <c r="AK280" t="s">
        <v>5972</v>
      </c>
      <c r="AL280">
        <v>9</v>
      </c>
      <c r="AM280" s="5">
        <f t="shared" si="35"/>
        <v>0.39130434782608697</v>
      </c>
      <c r="AN280" s="4">
        <f t="shared" si="36"/>
        <v>5.9266088273545923E-4</v>
      </c>
      <c r="AO280" s="3"/>
      <c r="AP280">
        <v>0</v>
      </c>
      <c r="AR280" t="s">
        <v>1</v>
      </c>
      <c r="AT280" s="2" t="s">
        <v>0</v>
      </c>
      <c r="AU280" s="1">
        <f t="shared" si="37"/>
        <v>3.104723581320429</v>
      </c>
      <c r="AV280" s="1">
        <f t="shared" si="38"/>
        <v>2.2345928690213195</v>
      </c>
      <c r="AW280" s="1">
        <f t="shared" si="39"/>
        <v>1.3644621567222099</v>
      </c>
    </row>
    <row r="281" spans="1:49" x14ac:dyDescent="0.2">
      <c r="A281">
        <v>279</v>
      </c>
      <c r="B281" t="s">
        <v>5971</v>
      </c>
      <c r="C281" t="s">
        <v>5970</v>
      </c>
      <c r="D281" t="s">
        <v>5969</v>
      </c>
      <c r="F281" t="s">
        <v>5968</v>
      </c>
      <c r="G281" t="s">
        <v>6</v>
      </c>
      <c r="H281" t="s">
        <v>5</v>
      </c>
      <c r="I281" t="s">
        <v>143</v>
      </c>
      <c r="J281">
        <v>60001439</v>
      </c>
      <c r="K281" t="s">
        <v>142</v>
      </c>
      <c r="L281" t="s">
        <v>141</v>
      </c>
      <c r="M281" t="s">
        <v>3</v>
      </c>
      <c r="N281">
        <v>1</v>
      </c>
      <c r="O281" t="s">
        <v>5967</v>
      </c>
      <c r="P281">
        <v>55925714300</v>
      </c>
      <c r="Q281">
        <v>60001439</v>
      </c>
      <c r="R281" s="7">
        <v>36495</v>
      </c>
      <c r="S281" s="8">
        <f t="shared" si="32"/>
        <v>1999</v>
      </c>
      <c r="T281" s="8">
        <v>1999</v>
      </c>
      <c r="U281" s="8">
        <f t="shared" si="33"/>
        <v>23</v>
      </c>
      <c r="V281" s="7">
        <v>1999</v>
      </c>
      <c r="W281" t="s">
        <v>124</v>
      </c>
      <c r="X281" s="2">
        <v>1.6519999999999999</v>
      </c>
      <c r="Y281" s="6">
        <f t="shared" si="34"/>
        <v>4.409919649769093E-2</v>
      </c>
      <c r="AA281" t="s">
        <v>123</v>
      </c>
      <c r="AB281">
        <v>17337</v>
      </c>
      <c r="AD281" t="s">
        <v>2</v>
      </c>
      <c r="AE281">
        <v>47</v>
      </c>
      <c r="AF281">
        <v>8</v>
      </c>
      <c r="AH281" t="s">
        <v>5966</v>
      </c>
      <c r="AI281" t="s">
        <v>5965</v>
      </c>
      <c r="AJ281" t="s">
        <v>5964</v>
      </c>
      <c r="AK281" t="s">
        <v>5963</v>
      </c>
      <c r="AL281">
        <v>19</v>
      </c>
      <c r="AM281" s="5">
        <f t="shared" si="35"/>
        <v>0.82608695652173914</v>
      </c>
      <c r="AN281" s="4">
        <f t="shared" si="36"/>
        <v>1.2511729746637473E-3</v>
      </c>
      <c r="AO281" s="3"/>
      <c r="AP281">
        <v>0</v>
      </c>
      <c r="AR281" t="s">
        <v>1</v>
      </c>
      <c r="AT281" s="2" t="s">
        <v>0</v>
      </c>
      <c r="AU281" s="1">
        <f t="shared" si="37"/>
        <v>3.1244789440782772</v>
      </c>
      <c r="AV281" s="1">
        <f t="shared" si="38"/>
        <v>2.2675184736177338</v>
      </c>
      <c r="AW281" s="1">
        <f t="shared" si="39"/>
        <v>1.41055800315719</v>
      </c>
    </row>
    <row r="282" spans="1:49" x14ac:dyDescent="0.2">
      <c r="A282">
        <v>280</v>
      </c>
      <c r="B282" t="s">
        <v>5962</v>
      </c>
      <c r="F282" t="s">
        <v>5961</v>
      </c>
      <c r="G282" t="s">
        <v>6</v>
      </c>
      <c r="H282" t="s">
        <v>5</v>
      </c>
      <c r="I282" t="s">
        <v>5960</v>
      </c>
      <c r="J282">
        <v>60005681</v>
      </c>
      <c r="K282" t="s">
        <v>73</v>
      </c>
      <c r="L282" t="s">
        <v>72</v>
      </c>
      <c r="M282" t="s">
        <v>71</v>
      </c>
      <c r="N282">
        <v>1</v>
      </c>
      <c r="O282" t="s">
        <v>5959</v>
      </c>
      <c r="P282">
        <v>7004253055</v>
      </c>
      <c r="Q282">
        <v>60005681</v>
      </c>
      <c r="R282" s="7">
        <v>36495</v>
      </c>
      <c r="S282" s="8">
        <f t="shared" si="32"/>
        <v>1999</v>
      </c>
      <c r="T282" s="8">
        <v>1999</v>
      </c>
      <c r="U282" s="8">
        <f t="shared" si="33"/>
        <v>23</v>
      </c>
      <c r="V282" s="7">
        <v>1999</v>
      </c>
      <c r="W282" t="s">
        <v>403</v>
      </c>
      <c r="X282" s="2">
        <v>1.137</v>
      </c>
      <c r="Y282" s="6">
        <f t="shared" si="34"/>
        <v>3.0351565628253384E-2</v>
      </c>
      <c r="AA282">
        <v>189251</v>
      </c>
      <c r="AB282">
        <v>17336</v>
      </c>
      <c r="AD282" t="s">
        <v>2</v>
      </c>
      <c r="AE282">
        <v>35</v>
      </c>
      <c r="AF282">
        <v>3</v>
      </c>
      <c r="AH282" t="s">
        <v>5958</v>
      </c>
      <c r="AI282" t="s">
        <v>5957</v>
      </c>
      <c r="AK282" t="s">
        <v>5956</v>
      </c>
      <c r="AL282">
        <v>0</v>
      </c>
      <c r="AM282" s="5">
        <f t="shared" si="35"/>
        <v>0</v>
      </c>
      <c r="AN282" s="4">
        <f t="shared" si="36"/>
        <v>0</v>
      </c>
      <c r="AO282" s="3"/>
      <c r="AP282">
        <v>0</v>
      </c>
      <c r="AR282" t="s">
        <v>1</v>
      </c>
      <c r="AT282" s="2" t="s">
        <v>0</v>
      </c>
      <c r="AU282" s="1">
        <f t="shared" si="37"/>
        <v>2.1246095939777367</v>
      </c>
      <c r="AV282" s="1">
        <f t="shared" si="38"/>
        <v>1.5175782814126693</v>
      </c>
      <c r="AW282" s="1">
        <f t="shared" si="39"/>
        <v>0.91054696884760156</v>
      </c>
    </row>
    <row r="283" spans="1:49" x14ac:dyDescent="0.2">
      <c r="A283">
        <v>281</v>
      </c>
      <c r="B283" t="s">
        <v>5955</v>
      </c>
      <c r="C283" t="s">
        <v>5954</v>
      </c>
      <c r="F283" t="s">
        <v>5953</v>
      </c>
      <c r="G283" t="s">
        <v>6</v>
      </c>
      <c r="H283" t="s">
        <v>5</v>
      </c>
      <c r="I283" t="s">
        <v>5952</v>
      </c>
      <c r="J283">
        <v>60022195</v>
      </c>
      <c r="K283" t="s">
        <v>298</v>
      </c>
      <c r="L283" t="s">
        <v>137</v>
      </c>
      <c r="M283" t="s">
        <v>3</v>
      </c>
      <c r="N283">
        <v>2</v>
      </c>
      <c r="O283" t="s">
        <v>5951</v>
      </c>
      <c r="P283" t="s">
        <v>5950</v>
      </c>
      <c r="Q283" t="s">
        <v>574</v>
      </c>
      <c r="R283" s="7">
        <v>36495</v>
      </c>
      <c r="S283" s="8">
        <f t="shared" si="32"/>
        <v>1999</v>
      </c>
      <c r="T283" s="8">
        <v>1999</v>
      </c>
      <c r="U283" s="8">
        <f t="shared" si="33"/>
        <v>23</v>
      </c>
      <c r="V283" s="7">
        <v>1999</v>
      </c>
      <c r="W283" t="s">
        <v>403</v>
      </c>
      <c r="X283" s="2">
        <v>1.137</v>
      </c>
      <c r="Y283" s="6">
        <f t="shared" si="34"/>
        <v>3.0351565628253384E-2</v>
      </c>
      <c r="AA283">
        <v>189251</v>
      </c>
      <c r="AB283">
        <v>17336</v>
      </c>
      <c r="AD283" t="s">
        <v>2</v>
      </c>
      <c r="AE283">
        <v>35</v>
      </c>
      <c r="AF283">
        <v>3</v>
      </c>
      <c r="AH283" t="s">
        <v>5949</v>
      </c>
      <c r="AI283" t="s">
        <v>5948</v>
      </c>
      <c r="AK283" t="s">
        <v>5947</v>
      </c>
      <c r="AL283">
        <v>56</v>
      </c>
      <c r="AM283" s="5">
        <f t="shared" si="35"/>
        <v>2.4347826086956523</v>
      </c>
      <c r="AN283" s="4">
        <f t="shared" si="36"/>
        <v>3.6876677147984131E-3</v>
      </c>
      <c r="AO283" s="3"/>
      <c r="AP283">
        <v>0</v>
      </c>
      <c r="AQ283" t="s">
        <v>297</v>
      </c>
      <c r="AR283" t="s">
        <v>5946</v>
      </c>
      <c r="AS283" t="s">
        <v>295</v>
      </c>
      <c r="AT283" s="2" t="s">
        <v>0</v>
      </c>
      <c r="AU283" s="1">
        <f t="shared" si="37"/>
        <v>2.2352396254216891</v>
      </c>
      <c r="AV283" s="1">
        <f t="shared" si="38"/>
        <v>1.7019616671525899</v>
      </c>
      <c r="AW283" s="1">
        <f t="shared" si="39"/>
        <v>1.1686837088834905</v>
      </c>
    </row>
    <row r="284" spans="1:49" x14ac:dyDescent="0.2">
      <c r="A284">
        <v>282</v>
      </c>
      <c r="B284" t="s">
        <v>5945</v>
      </c>
      <c r="C284" t="s">
        <v>5944</v>
      </c>
      <c r="D284" t="s">
        <v>5943</v>
      </c>
      <c r="F284" t="s">
        <v>5942</v>
      </c>
      <c r="G284" t="s">
        <v>6</v>
      </c>
      <c r="H284" t="s">
        <v>5</v>
      </c>
      <c r="I284" t="s">
        <v>5941</v>
      </c>
      <c r="J284" t="s">
        <v>5940</v>
      </c>
      <c r="K284" t="s">
        <v>5939</v>
      </c>
      <c r="L284" t="s">
        <v>5938</v>
      </c>
      <c r="M284" t="s">
        <v>138</v>
      </c>
      <c r="N284">
        <v>2</v>
      </c>
      <c r="O284" t="s">
        <v>5937</v>
      </c>
      <c r="P284" t="s">
        <v>5936</v>
      </c>
      <c r="Q284" t="s">
        <v>5935</v>
      </c>
      <c r="R284" s="7">
        <v>36495</v>
      </c>
      <c r="S284" s="8">
        <f t="shared" si="32"/>
        <v>1999</v>
      </c>
      <c r="T284" s="8">
        <v>1999</v>
      </c>
      <c r="U284" s="8">
        <f t="shared" si="33"/>
        <v>23</v>
      </c>
      <c r="V284" s="7">
        <v>1999</v>
      </c>
      <c r="W284" t="s">
        <v>190</v>
      </c>
      <c r="X284" s="2">
        <v>1.6379999999999999</v>
      </c>
      <c r="Y284" s="6">
        <f t="shared" si="34"/>
        <v>4.3725474493473214E-2</v>
      </c>
      <c r="AA284" t="s">
        <v>189</v>
      </c>
      <c r="AB284">
        <v>17391</v>
      </c>
      <c r="AD284" t="s">
        <v>2</v>
      </c>
      <c r="AE284">
        <v>47</v>
      </c>
      <c r="AF284">
        <v>3</v>
      </c>
      <c r="AH284" t="s">
        <v>5934</v>
      </c>
      <c r="AI284" t="s">
        <v>5933</v>
      </c>
      <c r="AK284" t="s">
        <v>5932</v>
      </c>
      <c r="AL284">
        <v>85</v>
      </c>
      <c r="AM284" s="5">
        <f t="shared" si="35"/>
        <v>3.6956521739130435</v>
      </c>
      <c r="AN284" s="4">
        <f t="shared" si="36"/>
        <v>5.5973527813904479E-3</v>
      </c>
      <c r="AO284" s="3"/>
      <c r="AP284">
        <v>0</v>
      </c>
      <c r="AR284" t="s">
        <v>1</v>
      </c>
      <c r="AT284" s="2">
        <v>4.931</v>
      </c>
      <c r="AU284" s="1">
        <f t="shared" si="37"/>
        <v>3.2287037979848381</v>
      </c>
      <c r="AV284" s="1">
        <f t="shared" si="38"/>
        <v>2.466141363743183</v>
      </c>
      <c r="AW284" s="1">
        <f t="shared" si="39"/>
        <v>1.7035789295015278</v>
      </c>
    </row>
    <row r="285" spans="1:49" x14ac:dyDescent="0.2">
      <c r="A285">
        <v>283</v>
      </c>
      <c r="B285" t="s">
        <v>5931</v>
      </c>
      <c r="C285" t="s">
        <v>5930</v>
      </c>
      <c r="D285" t="s">
        <v>5929</v>
      </c>
      <c r="F285" t="s">
        <v>5928</v>
      </c>
      <c r="G285" t="s">
        <v>6</v>
      </c>
      <c r="H285" t="s">
        <v>5</v>
      </c>
      <c r="I285" t="s">
        <v>5927</v>
      </c>
      <c r="J285">
        <v>60012708</v>
      </c>
      <c r="K285" t="s">
        <v>113</v>
      </c>
      <c r="L285" t="s">
        <v>111</v>
      </c>
      <c r="M285" t="s">
        <v>3</v>
      </c>
      <c r="N285">
        <v>2</v>
      </c>
      <c r="O285" t="s">
        <v>5926</v>
      </c>
      <c r="P285" t="s">
        <v>5925</v>
      </c>
      <c r="Q285" t="s">
        <v>718</v>
      </c>
      <c r="R285" s="7">
        <v>36495</v>
      </c>
      <c r="S285" s="8">
        <f t="shared" si="32"/>
        <v>1999</v>
      </c>
      <c r="T285" s="8">
        <v>1999</v>
      </c>
      <c r="U285" s="8">
        <f t="shared" si="33"/>
        <v>23</v>
      </c>
      <c r="V285" s="7">
        <v>1999</v>
      </c>
      <c r="W285" t="s">
        <v>190</v>
      </c>
      <c r="X285" s="2">
        <v>1.6379999999999999</v>
      </c>
      <c r="Y285" s="6">
        <f t="shared" si="34"/>
        <v>4.3725474493473214E-2</v>
      </c>
      <c r="AA285" t="s">
        <v>189</v>
      </c>
      <c r="AB285">
        <v>17391</v>
      </c>
      <c r="AD285" t="s">
        <v>2</v>
      </c>
      <c r="AE285">
        <v>47</v>
      </c>
      <c r="AF285">
        <v>3</v>
      </c>
      <c r="AH285" t="s">
        <v>5924</v>
      </c>
      <c r="AI285" t="s">
        <v>5923</v>
      </c>
      <c r="AK285" t="s">
        <v>5922</v>
      </c>
      <c r="AL285">
        <v>204</v>
      </c>
      <c r="AM285" s="5">
        <f t="shared" si="35"/>
        <v>8.8695652173913047</v>
      </c>
      <c r="AN285" s="4">
        <f t="shared" si="36"/>
        <v>1.3433646675337077E-2</v>
      </c>
      <c r="AO285" s="3"/>
      <c r="AP285">
        <v>0</v>
      </c>
      <c r="AQ285" t="s">
        <v>160</v>
      </c>
      <c r="AR285" t="s">
        <v>5921</v>
      </c>
      <c r="AS285" t="s">
        <v>159</v>
      </c>
      <c r="AT285" s="2">
        <v>4.931</v>
      </c>
      <c r="AU285" s="1">
        <f t="shared" si="37"/>
        <v>3.463792614803237</v>
      </c>
      <c r="AV285" s="1">
        <f t="shared" si="38"/>
        <v>2.8579560584405148</v>
      </c>
      <c r="AW285" s="1">
        <f t="shared" si="39"/>
        <v>2.2521195020777913</v>
      </c>
    </row>
    <row r="286" spans="1:49" x14ac:dyDescent="0.2">
      <c r="A286">
        <v>284</v>
      </c>
      <c r="B286" t="s">
        <v>5920</v>
      </c>
      <c r="C286" t="s">
        <v>5919</v>
      </c>
      <c r="D286" t="s">
        <v>5918</v>
      </c>
      <c r="F286" t="s">
        <v>5917</v>
      </c>
      <c r="G286" t="s">
        <v>6</v>
      </c>
      <c r="H286" t="s">
        <v>5</v>
      </c>
      <c r="I286" t="s">
        <v>5916</v>
      </c>
      <c r="J286">
        <v>60008435</v>
      </c>
      <c r="K286" t="s">
        <v>532</v>
      </c>
      <c r="L286" t="s">
        <v>492</v>
      </c>
      <c r="M286" t="s">
        <v>7</v>
      </c>
      <c r="N286">
        <v>3</v>
      </c>
      <c r="O286" t="s">
        <v>5915</v>
      </c>
      <c r="P286" t="s">
        <v>5914</v>
      </c>
      <c r="Q286" t="s">
        <v>5913</v>
      </c>
      <c r="R286" s="7">
        <v>36495</v>
      </c>
      <c r="S286" s="8">
        <f t="shared" si="32"/>
        <v>1999</v>
      </c>
      <c r="T286" s="8">
        <v>1999</v>
      </c>
      <c r="U286" s="8">
        <f t="shared" si="33"/>
        <v>23</v>
      </c>
      <c r="V286" s="7">
        <v>1999</v>
      </c>
      <c r="W286" t="s">
        <v>948</v>
      </c>
      <c r="X286" s="2">
        <v>2.141</v>
      </c>
      <c r="Y286" s="6">
        <f t="shared" si="34"/>
        <v>5.7152772216438434E-2</v>
      </c>
      <c r="AA286">
        <v>1962892</v>
      </c>
      <c r="AB286">
        <v>17360</v>
      </c>
      <c r="AD286" t="s">
        <v>2</v>
      </c>
      <c r="AE286">
        <v>37</v>
      </c>
      <c r="AF286" t="s">
        <v>5879</v>
      </c>
      <c r="AH286" t="s">
        <v>5912</v>
      </c>
      <c r="AI286" t="s">
        <v>5911</v>
      </c>
      <c r="AJ286" t="s">
        <v>5910</v>
      </c>
      <c r="AK286" t="s">
        <v>5909</v>
      </c>
      <c r="AL286">
        <v>74</v>
      </c>
      <c r="AM286" s="5">
        <f t="shared" si="35"/>
        <v>3.2173913043478262</v>
      </c>
      <c r="AN286" s="4">
        <f t="shared" si="36"/>
        <v>4.8729894802693316E-3</v>
      </c>
      <c r="AO286" s="3"/>
      <c r="AP286">
        <v>0</v>
      </c>
      <c r="AQ286" t="s">
        <v>465</v>
      </c>
      <c r="AR286">
        <v>8555253</v>
      </c>
      <c r="AS286" t="s">
        <v>4384</v>
      </c>
      <c r="AT286" s="2" t="s">
        <v>0</v>
      </c>
      <c r="AU286" s="1">
        <f t="shared" si="37"/>
        <v>4.1468837395587705</v>
      </c>
      <c r="AV286" s="1">
        <f t="shared" si="38"/>
        <v>3.1012880848353883</v>
      </c>
      <c r="AW286" s="1">
        <f t="shared" si="39"/>
        <v>2.0556924301120065</v>
      </c>
    </row>
    <row r="287" spans="1:49" x14ac:dyDescent="0.2">
      <c r="A287">
        <v>285</v>
      </c>
      <c r="B287" t="s">
        <v>5908</v>
      </c>
      <c r="C287" t="s">
        <v>5907</v>
      </c>
      <c r="D287" t="s">
        <v>5906</v>
      </c>
      <c r="F287" t="s">
        <v>5905</v>
      </c>
      <c r="G287" t="s">
        <v>6</v>
      </c>
      <c r="H287" t="s">
        <v>5</v>
      </c>
      <c r="I287" t="s">
        <v>5904</v>
      </c>
      <c r="J287">
        <v>60025038</v>
      </c>
      <c r="K287" t="s">
        <v>2215</v>
      </c>
      <c r="L287" t="s">
        <v>2214</v>
      </c>
      <c r="M287" t="s">
        <v>3</v>
      </c>
      <c r="N287">
        <v>2</v>
      </c>
      <c r="O287" t="s">
        <v>5903</v>
      </c>
      <c r="P287" t="s">
        <v>5902</v>
      </c>
      <c r="Q287" t="s">
        <v>5901</v>
      </c>
      <c r="R287" s="7">
        <v>36495</v>
      </c>
      <c r="S287" s="8">
        <f t="shared" si="32"/>
        <v>1999</v>
      </c>
      <c r="T287" s="8">
        <v>1999</v>
      </c>
      <c r="U287" s="8">
        <f t="shared" si="33"/>
        <v>23</v>
      </c>
      <c r="V287" s="7">
        <v>1999</v>
      </c>
      <c r="W287" t="s">
        <v>231</v>
      </c>
      <c r="X287" s="2">
        <v>1.218</v>
      </c>
      <c r="Y287" s="6">
        <f t="shared" si="34"/>
        <v>3.2513814366941618E-2</v>
      </c>
      <c r="AA287">
        <v>189448</v>
      </c>
      <c r="AB287">
        <v>15107</v>
      </c>
      <c r="AD287" t="s">
        <v>2</v>
      </c>
      <c r="AE287">
        <v>45</v>
      </c>
      <c r="AF287">
        <v>2</v>
      </c>
      <c r="AH287" t="s">
        <v>5900</v>
      </c>
      <c r="AI287" t="s">
        <v>5899</v>
      </c>
      <c r="AJ287" t="s">
        <v>5898</v>
      </c>
      <c r="AK287" t="s">
        <v>5897</v>
      </c>
      <c r="AL287">
        <v>705</v>
      </c>
      <c r="AM287" s="5">
        <f t="shared" si="35"/>
        <v>30.652173913043477</v>
      </c>
      <c r="AN287" s="4">
        <f t="shared" si="36"/>
        <v>4.6425102480944301E-2</v>
      </c>
      <c r="AO287" s="3"/>
      <c r="AP287">
        <v>0</v>
      </c>
      <c r="AQ287" t="s">
        <v>205</v>
      </c>
      <c r="AR287" t="s">
        <v>5896</v>
      </c>
      <c r="AS287" t="s">
        <v>204</v>
      </c>
      <c r="AT287" s="2" t="s">
        <v>0</v>
      </c>
      <c r="AU287" s="1">
        <f t="shared" si="37"/>
        <v>3.6687200801142419</v>
      </c>
      <c r="AV287" s="1">
        <f t="shared" si="38"/>
        <v>3.9469458423942965</v>
      </c>
      <c r="AW287" s="1">
        <f t="shared" si="39"/>
        <v>4.2251716046743493</v>
      </c>
    </row>
    <row r="288" spans="1:49" x14ac:dyDescent="0.2">
      <c r="A288">
        <v>286</v>
      </c>
      <c r="B288" t="s">
        <v>5895</v>
      </c>
      <c r="C288" t="s">
        <v>5894</v>
      </c>
      <c r="D288" t="s">
        <v>5893</v>
      </c>
      <c r="F288" t="s">
        <v>5892</v>
      </c>
      <c r="G288" t="s">
        <v>6</v>
      </c>
      <c r="H288" t="s">
        <v>5</v>
      </c>
      <c r="I288" t="s">
        <v>5891</v>
      </c>
      <c r="J288">
        <v>60010065</v>
      </c>
      <c r="K288" t="s">
        <v>198</v>
      </c>
      <c r="L288" t="s">
        <v>197</v>
      </c>
      <c r="M288" t="s">
        <v>3</v>
      </c>
      <c r="N288">
        <v>4</v>
      </c>
      <c r="O288" t="s">
        <v>5890</v>
      </c>
      <c r="P288" t="s">
        <v>5889</v>
      </c>
      <c r="Q288" t="s">
        <v>762</v>
      </c>
      <c r="R288" s="7">
        <v>36495</v>
      </c>
      <c r="S288" s="8">
        <f t="shared" si="32"/>
        <v>1999</v>
      </c>
      <c r="T288" s="8">
        <v>1999</v>
      </c>
      <c r="U288" s="8">
        <f t="shared" si="33"/>
        <v>23</v>
      </c>
      <c r="V288" s="7">
        <v>1999</v>
      </c>
      <c r="W288" t="s">
        <v>948</v>
      </c>
      <c r="X288" s="2">
        <v>2.141</v>
      </c>
      <c r="Y288" s="6">
        <f t="shared" si="34"/>
        <v>5.7152772216438434E-2</v>
      </c>
      <c r="AA288">
        <v>1962892</v>
      </c>
      <c r="AB288">
        <v>17360</v>
      </c>
      <c r="AD288" t="s">
        <v>2</v>
      </c>
      <c r="AE288">
        <v>37</v>
      </c>
      <c r="AF288" t="s">
        <v>5851</v>
      </c>
      <c r="AH288" t="s">
        <v>5888</v>
      </c>
      <c r="AI288" t="s">
        <v>5887</v>
      </c>
      <c r="AJ288" t="s">
        <v>5886</v>
      </c>
      <c r="AK288" t="s">
        <v>5885</v>
      </c>
      <c r="AL288">
        <v>22</v>
      </c>
      <c r="AM288" s="5">
        <f t="shared" si="35"/>
        <v>0.95652173913043481</v>
      </c>
      <c r="AN288" s="4">
        <f t="shared" si="36"/>
        <v>1.4487266022422337E-3</v>
      </c>
      <c r="AO288" s="3"/>
      <c r="AP288">
        <v>0</v>
      </c>
      <c r="AQ288" t="s">
        <v>205</v>
      </c>
      <c r="AR288" t="s">
        <v>5884</v>
      </c>
      <c r="AS288" t="s">
        <v>204</v>
      </c>
      <c r="AT288" s="2" t="s">
        <v>0</v>
      </c>
      <c r="AU288" s="1">
        <f t="shared" si="37"/>
        <v>4.0441558532179576</v>
      </c>
      <c r="AV288" s="1">
        <f t="shared" si="38"/>
        <v>2.9300749409340332</v>
      </c>
      <c r="AW288" s="1">
        <f t="shared" si="39"/>
        <v>1.8159940286501093</v>
      </c>
    </row>
    <row r="289" spans="1:49" x14ac:dyDescent="0.2">
      <c r="A289">
        <v>287</v>
      </c>
      <c r="B289" t="s">
        <v>5883</v>
      </c>
      <c r="C289" t="s">
        <v>5882</v>
      </c>
      <c r="D289" t="s">
        <v>5881</v>
      </c>
      <c r="F289" t="s">
        <v>5880</v>
      </c>
      <c r="G289" t="s">
        <v>6</v>
      </c>
      <c r="H289" t="s">
        <v>5</v>
      </c>
      <c r="I289" t="s">
        <v>235</v>
      </c>
      <c r="J289">
        <v>60005248</v>
      </c>
      <c r="K289" t="s">
        <v>234</v>
      </c>
      <c r="L289" t="s">
        <v>233</v>
      </c>
      <c r="M289" t="s">
        <v>3</v>
      </c>
      <c r="N289">
        <v>1</v>
      </c>
      <c r="O289" t="s">
        <v>232</v>
      </c>
      <c r="P289">
        <v>57213701041</v>
      </c>
      <c r="Q289">
        <v>60005248</v>
      </c>
      <c r="R289" s="7">
        <v>36495</v>
      </c>
      <c r="S289" s="8">
        <f t="shared" si="32"/>
        <v>1999</v>
      </c>
      <c r="T289" s="8">
        <v>1999</v>
      </c>
      <c r="U289" s="8">
        <f t="shared" si="33"/>
        <v>23</v>
      </c>
      <c r="V289" s="7">
        <v>1999</v>
      </c>
      <c r="W289" t="s">
        <v>948</v>
      </c>
      <c r="X289" s="2">
        <v>2.141</v>
      </c>
      <c r="Y289" s="6">
        <f t="shared" si="34"/>
        <v>5.7152772216438434E-2</v>
      </c>
      <c r="AA289">
        <v>1962892</v>
      </c>
      <c r="AB289">
        <v>17360</v>
      </c>
      <c r="AD289" t="s">
        <v>2</v>
      </c>
      <c r="AE289">
        <v>37</v>
      </c>
      <c r="AF289" t="s">
        <v>5879</v>
      </c>
      <c r="AH289" t="s">
        <v>5878</v>
      </c>
      <c r="AI289" t="s">
        <v>5877</v>
      </c>
      <c r="AJ289" t="s">
        <v>5876</v>
      </c>
      <c r="AK289" t="s">
        <v>5875</v>
      </c>
      <c r="AL289">
        <v>28</v>
      </c>
      <c r="AM289" s="5">
        <f t="shared" si="35"/>
        <v>1.2173913043478262</v>
      </c>
      <c r="AN289" s="4">
        <f t="shared" si="36"/>
        <v>1.8438338573992066E-3</v>
      </c>
      <c r="AO289" s="3"/>
      <c r="AP289">
        <v>0</v>
      </c>
      <c r="AR289" t="s">
        <v>1</v>
      </c>
      <c r="AT289" s="2" t="s">
        <v>0</v>
      </c>
      <c r="AU289" s="1">
        <f t="shared" si="37"/>
        <v>4.0560090708726664</v>
      </c>
      <c r="AV289" s="1">
        <f t="shared" si="38"/>
        <v>2.9498303036918818</v>
      </c>
      <c r="AW289" s="1">
        <f t="shared" si="39"/>
        <v>1.8436515365110973</v>
      </c>
    </row>
    <row r="290" spans="1:49" x14ac:dyDescent="0.2">
      <c r="A290">
        <v>288</v>
      </c>
      <c r="B290" t="s">
        <v>5874</v>
      </c>
      <c r="C290" t="s">
        <v>5873</v>
      </c>
      <c r="D290" t="s">
        <v>5872</v>
      </c>
      <c r="F290" t="s">
        <v>5871</v>
      </c>
      <c r="G290" t="s">
        <v>6</v>
      </c>
      <c r="H290" t="s">
        <v>5</v>
      </c>
      <c r="I290" t="s">
        <v>5870</v>
      </c>
      <c r="J290">
        <v>60005681</v>
      </c>
      <c r="K290" t="s">
        <v>73</v>
      </c>
      <c r="L290" t="s">
        <v>72</v>
      </c>
      <c r="M290" t="s">
        <v>71</v>
      </c>
      <c r="N290">
        <v>2</v>
      </c>
      <c r="O290" t="s">
        <v>5869</v>
      </c>
      <c r="P290" t="s">
        <v>5868</v>
      </c>
      <c r="Q290" t="s">
        <v>70</v>
      </c>
      <c r="R290" s="7">
        <v>36495</v>
      </c>
      <c r="S290" s="8">
        <f t="shared" si="32"/>
        <v>1999</v>
      </c>
      <c r="T290" s="8">
        <v>1999</v>
      </c>
      <c r="U290" s="8">
        <f t="shared" si="33"/>
        <v>23</v>
      </c>
      <c r="V290" s="7">
        <v>1999</v>
      </c>
      <c r="W290" t="s">
        <v>948</v>
      </c>
      <c r="X290" s="2">
        <v>2.141</v>
      </c>
      <c r="Y290" s="6">
        <f t="shared" si="34"/>
        <v>5.7152772216438434E-2</v>
      </c>
      <c r="AA290">
        <v>1962892</v>
      </c>
      <c r="AB290">
        <v>17360</v>
      </c>
      <c r="AD290" t="s">
        <v>2</v>
      </c>
      <c r="AE290">
        <v>37</v>
      </c>
      <c r="AF290" t="s">
        <v>5851</v>
      </c>
      <c r="AH290" t="s">
        <v>800</v>
      </c>
      <c r="AI290" t="s">
        <v>5867</v>
      </c>
      <c r="AJ290" t="s">
        <v>5866</v>
      </c>
      <c r="AK290" t="s">
        <v>5865</v>
      </c>
      <c r="AL290">
        <v>5</v>
      </c>
      <c r="AM290" s="5">
        <f t="shared" si="35"/>
        <v>0.21739130434782608</v>
      </c>
      <c r="AN290" s="4">
        <f t="shared" si="36"/>
        <v>3.29256045964144E-4</v>
      </c>
      <c r="AO290" s="3"/>
      <c r="AP290">
        <v>0</v>
      </c>
      <c r="AQ290" t="s">
        <v>5864</v>
      </c>
      <c r="AR290" t="s">
        <v>5863</v>
      </c>
      <c r="AS290" t="s">
        <v>5862</v>
      </c>
      <c r="AT290" s="2" t="s">
        <v>0</v>
      </c>
      <c r="AU290" s="1">
        <f t="shared" si="37"/>
        <v>4.0105717365296147</v>
      </c>
      <c r="AV290" s="1">
        <f t="shared" si="38"/>
        <v>2.8741014131201288</v>
      </c>
      <c r="AW290" s="1">
        <f t="shared" si="39"/>
        <v>1.7376310897106431</v>
      </c>
    </row>
    <row r="291" spans="1:49" x14ac:dyDescent="0.2">
      <c r="A291">
        <v>289</v>
      </c>
      <c r="B291" t="s">
        <v>5861</v>
      </c>
      <c r="C291" t="s">
        <v>5860</v>
      </c>
      <c r="D291" t="s">
        <v>5859</v>
      </c>
      <c r="F291" t="s">
        <v>5858</v>
      </c>
      <c r="G291" t="s">
        <v>6</v>
      </c>
      <c r="H291" t="s">
        <v>5</v>
      </c>
      <c r="I291" t="s">
        <v>5857</v>
      </c>
      <c r="J291">
        <v>60006337</v>
      </c>
      <c r="K291" t="s">
        <v>5856</v>
      </c>
      <c r="L291" t="s">
        <v>5855</v>
      </c>
      <c r="M291" t="s">
        <v>3</v>
      </c>
      <c r="N291">
        <v>3</v>
      </c>
      <c r="O291" t="s">
        <v>5854</v>
      </c>
      <c r="P291" t="s">
        <v>5853</v>
      </c>
      <c r="Q291" t="s">
        <v>5852</v>
      </c>
      <c r="R291" s="7">
        <v>36495</v>
      </c>
      <c r="S291" s="8">
        <f t="shared" si="32"/>
        <v>1999</v>
      </c>
      <c r="T291" s="8">
        <v>1999</v>
      </c>
      <c r="U291" s="8">
        <f t="shared" si="33"/>
        <v>23</v>
      </c>
      <c r="V291" s="7">
        <v>1999</v>
      </c>
      <c r="W291" t="s">
        <v>948</v>
      </c>
      <c r="X291" s="2">
        <v>2.141</v>
      </c>
      <c r="Y291" s="6">
        <f t="shared" si="34"/>
        <v>5.7152772216438434E-2</v>
      </c>
      <c r="AA291">
        <v>1962892</v>
      </c>
      <c r="AB291">
        <v>17360</v>
      </c>
      <c r="AD291" t="s">
        <v>2</v>
      </c>
      <c r="AE291">
        <v>37</v>
      </c>
      <c r="AF291" t="s">
        <v>5851</v>
      </c>
      <c r="AH291" t="s">
        <v>5850</v>
      </c>
      <c r="AI291" t="s">
        <v>5849</v>
      </c>
      <c r="AJ291" t="s">
        <v>5848</v>
      </c>
      <c r="AK291" t="s">
        <v>5847</v>
      </c>
      <c r="AL291">
        <v>13</v>
      </c>
      <c r="AM291" s="5">
        <f t="shared" si="35"/>
        <v>0.56521739130434778</v>
      </c>
      <c r="AN291" s="4">
        <f t="shared" si="36"/>
        <v>8.560657195067744E-4</v>
      </c>
      <c r="AO291" s="3"/>
      <c r="AP291">
        <v>0</v>
      </c>
      <c r="AR291" t="s">
        <v>1</v>
      </c>
      <c r="AT291" s="2" t="s">
        <v>0</v>
      </c>
      <c r="AU291" s="1">
        <f t="shared" si="37"/>
        <v>4.0263760267358935</v>
      </c>
      <c r="AV291" s="1">
        <f t="shared" si="38"/>
        <v>2.9004418967972607</v>
      </c>
      <c r="AW291" s="1">
        <f t="shared" si="39"/>
        <v>1.7745077668586271</v>
      </c>
    </row>
    <row r="292" spans="1:49" x14ac:dyDescent="0.2">
      <c r="A292">
        <v>290</v>
      </c>
      <c r="B292" t="s">
        <v>5846</v>
      </c>
      <c r="C292" t="s">
        <v>5845</v>
      </c>
      <c r="D292" t="s">
        <v>5844</v>
      </c>
      <c r="F292" t="s">
        <v>5843</v>
      </c>
      <c r="G292" t="s">
        <v>6</v>
      </c>
      <c r="H292" t="s">
        <v>5</v>
      </c>
      <c r="I292" t="s">
        <v>5842</v>
      </c>
      <c r="J292" t="s">
        <v>5841</v>
      </c>
      <c r="K292" t="s">
        <v>5840</v>
      </c>
      <c r="L292" t="s">
        <v>5839</v>
      </c>
      <c r="M292" t="s">
        <v>5838</v>
      </c>
      <c r="N292">
        <v>2</v>
      </c>
      <c r="O292" t="s">
        <v>5837</v>
      </c>
      <c r="P292" t="s">
        <v>5836</v>
      </c>
      <c r="Q292" t="s">
        <v>5835</v>
      </c>
      <c r="R292" s="7">
        <v>36495</v>
      </c>
      <c r="S292" s="8">
        <f t="shared" si="32"/>
        <v>1999</v>
      </c>
      <c r="T292" s="8">
        <v>1999</v>
      </c>
      <c r="U292" s="8">
        <f t="shared" si="33"/>
        <v>23</v>
      </c>
      <c r="V292" s="7">
        <v>1999</v>
      </c>
      <c r="W292" t="s">
        <v>174</v>
      </c>
      <c r="X292" s="2">
        <v>1.3720000000000001</v>
      </c>
      <c r="Y292" s="6">
        <f t="shared" si="34"/>
        <v>3.662475641333654E-2</v>
      </c>
      <c r="AA292">
        <v>189480</v>
      </c>
      <c r="AB292">
        <v>17366</v>
      </c>
      <c r="AD292" t="s">
        <v>2</v>
      </c>
      <c r="AE292">
        <v>47</v>
      </c>
      <c r="AF292">
        <v>3</v>
      </c>
      <c r="AH292" t="s">
        <v>5834</v>
      </c>
      <c r="AI292" t="s">
        <v>5833</v>
      </c>
      <c r="AJ292" t="s">
        <v>5832</v>
      </c>
      <c r="AK292" t="s">
        <v>5831</v>
      </c>
      <c r="AL292">
        <v>14</v>
      </c>
      <c r="AM292" s="5">
        <f t="shared" si="35"/>
        <v>0.60869565217391308</v>
      </c>
      <c r="AN292" s="4">
        <f t="shared" si="36"/>
        <v>9.2191692869960328E-4</v>
      </c>
      <c r="AO292" s="3"/>
      <c r="AP292">
        <v>0</v>
      </c>
      <c r="AR292" t="s">
        <v>5830</v>
      </c>
      <c r="AT292" s="2" t="s">
        <v>0</v>
      </c>
      <c r="AU292" s="1">
        <f t="shared" si="37"/>
        <v>2.5913904567945458</v>
      </c>
      <c r="AV292" s="1">
        <f t="shared" si="38"/>
        <v>1.8773336671018073</v>
      </c>
      <c r="AW292" s="1">
        <f t="shared" si="39"/>
        <v>1.1632768774090685</v>
      </c>
    </row>
    <row r="293" spans="1:49" x14ac:dyDescent="0.2">
      <c r="A293">
        <v>291</v>
      </c>
      <c r="B293" t="s">
        <v>5829</v>
      </c>
      <c r="C293" t="s">
        <v>5828</v>
      </c>
      <c r="D293" t="s">
        <v>5827</v>
      </c>
      <c r="F293" t="s">
        <v>5826</v>
      </c>
      <c r="G293" t="s">
        <v>6</v>
      </c>
      <c r="H293" t="s">
        <v>5</v>
      </c>
      <c r="I293" t="s">
        <v>5825</v>
      </c>
      <c r="J293">
        <v>60014300</v>
      </c>
      <c r="K293" t="s">
        <v>93</v>
      </c>
      <c r="L293" t="s">
        <v>92</v>
      </c>
      <c r="M293" t="s">
        <v>3</v>
      </c>
      <c r="N293">
        <v>1</v>
      </c>
      <c r="O293" t="s">
        <v>5824</v>
      </c>
      <c r="P293">
        <v>7102662778</v>
      </c>
      <c r="Q293">
        <v>60014300</v>
      </c>
      <c r="R293" s="7">
        <v>36495</v>
      </c>
      <c r="S293" s="8">
        <f t="shared" si="32"/>
        <v>1999</v>
      </c>
      <c r="T293" s="8">
        <v>1999</v>
      </c>
      <c r="U293" s="8">
        <f t="shared" si="33"/>
        <v>23</v>
      </c>
      <c r="V293" s="7">
        <v>1999</v>
      </c>
      <c r="W293" t="s">
        <v>89</v>
      </c>
      <c r="X293" s="2">
        <v>1.365</v>
      </c>
      <c r="Y293" s="6">
        <f t="shared" si="34"/>
        <v>3.6437895411227675E-2</v>
      </c>
      <c r="AA293">
        <v>189545</v>
      </c>
      <c r="AB293">
        <v>17393</v>
      </c>
      <c r="AD293" t="s">
        <v>2</v>
      </c>
      <c r="AE293">
        <v>48</v>
      </c>
      <c r="AF293">
        <v>2</v>
      </c>
      <c r="AH293" t="s">
        <v>5823</v>
      </c>
      <c r="AI293" t="s">
        <v>5822</v>
      </c>
      <c r="AK293" t="s">
        <v>5821</v>
      </c>
      <c r="AL293">
        <v>28</v>
      </c>
      <c r="AM293" s="5">
        <f t="shared" si="35"/>
        <v>1.2173913043478262</v>
      </c>
      <c r="AN293" s="4">
        <f t="shared" si="36"/>
        <v>1.8438338573992066E-3</v>
      </c>
      <c r="AO293" s="3"/>
      <c r="AP293">
        <v>0</v>
      </c>
      <c r="AR293" t="s">
        <v>1</v>
      </c>
      <c r="AT293" s="2" t="s">
        <v>0</v>
      </c>
      <c r="AU293" s="1">
        <f t="shared" si="37"/>
        <v>2.6059676945079131</v>
      </c>
      <c r="AV293" s="1">
        <f t="shared" si="38"/>
        <v>1.9140864634313439</v>
      </c>
      <c r="AW293" s="1">
        <f t="shared" si="39"/>
        <v>1.2222052323547747</v>
      </c>
    </row>
    <row r="294" spans="1:49" x14ac:dyDescent="0.2">
      <c r="A294">
        <v>292</v>
      </c>
      <c r="B294" t="s">
        <v>5820</v>
      </c>
      <c r="C294" t="s">
        <v>5819</v>
      </c>
      <c r="D294" t="s">
        <v>5818</v>
      </c>
      <c r="F294" t="s">
        <v>5817</v>
      </c>
      <c r="G294" t="s">
        <v>6</v>
      </c>
      <c r="H294" t="s">
        <v>5</v>
      </c>
      <c r="I294" t="s">
        <v>5816</v>
      </c>
      <c r="J294">
        <v>100637243</v>
      </c>
      <c r="K294" t="s">
        <v>5815</v>
      </c>
      <c r="L294" t="s">
        <v>72</v>
      </c>
      <c r="M294" t="s">
        <v>71</v>
      </c>
      <c r="N294">
        <v>2</v>
      </c>
      <c r="O294" t="s">
        <v>5814</v>
      </c>
      <c r="P294" t="s">
        <v>5813</v>
      </c>
      <c r="Q294" t="s">
        <v>5812</v>
      </c>
      <c r="R294" s="7">
        <v>36495</v>
      </c>
      <c r="S294" s="8">
        <f t="shared" si="32"/>
        <v>1999</v>
      </c>
      <c r="T294" s="8">
        <v>1999</v>
      </c>
      <c r="U294" s="8">
        <f t="shared" si="33"/>
        <v>23</v>
      </c>
      <c r="V294" s="7">
        <v>1999</v>
      </c>
      <c r="W294" t="s">
        <v>190</v>
      </c>
      <c r="X294" s="2">
        <v>1.6379999999999999</v>
      </c>
      <c r="Y294" s="6">
        <f t="shared" si="34"/>
        <v>4.3725474493473214E-2</v>
      </c>
      <c r="AA294" t="s">
        <v>189</v>
      </c>
      <c r="AB294">
        <v>17391</v>
      </c>
      <c r="AD294" t="s">
        <v>2</v>
      </c>
      <c r="AE294">
        <v>47</v>
      </c>
      <c r="AF294">
        <v>2</v>
      </c>
      <c r="AH294" t="s">
        <v>5811</v>
      </c>
      <c r="AI294" t="s">
        <v>5810</v>
      </c>
      <c r="AJ294" t="s">
        <v>5809</v>
      </c>
      <c r="AK294" t="s">
        <v>5808</v>
      </c>
      <c r="AL294">
        <v>19</v>
      </c>
      <c r="AM294" s="5">
        <f t="shared" si="35"/>
        <v>0.82608695652173914</v>
      </c>
      <c r="AN294" s="4">
        <f t="shared" si="36"/>
        <v>1.2511729746637473E-3</v>
      </c>
      <c r="AO294" s="3"/>
      <c r="AP294">
        <v>0</v>
      </c>
      <c r="AR294" t="s">
        <v>1</v>
      </c>
      <c r="AT294" s="2">
        <v>4.931</v>
      </c>
      <c r="AU294" s="1">
        <f t="shared" si="37"/>
        <v>3.0983184037830371</v>
      </c>
      <c r="AV294" s="1">
        <f t="shared" si="38"/>
        <v>2.2488323734068483</v>
      </c>
      <c r="AW294" s="1">
        <f t="shared" si="39"/>
        <v>1.3993463430306587</v>
      </c>
    </row>
    <row r="295" spans="1:49" x14ac:dyDescent="0.2">
      <c r="A295">
        <v>293</v>
      </c>
      <c r="B295" t="s">
        <v>5807</v>
      </c>
      <c r="C295" t="s">
        <v>5806</v>
      </c>
      <c r="D295" t="s">
        <v>5805</v>
      </c>
      <c r="F295" t="s">
        <v>5804</v>
      </c>
      <c r="G295" t="s">
        <v>6</v>
      </c>
      <c r="H295" t="s">
        <v>5</v>
      </c>
      <c r="I295" t="s">
        <v>5803</v>
      </c>
      <c r="J295">
        <v>60012370</v>
      </c>
      <c r="K295" t="s">
        <v>201</v>
      </c>
      <c r="L295" t="s">
        <v>200</v>
      </c>
      <c r="M295" t="s">
        <v>133</v>
      </c>
      <c r="N295">
        <v>2</v>
      </c>
      <c r="O295" t="s">
        <v>5802</v>
      </c>
      <c r="P295" t="s">
        <v>5801</v>
      </c>
      <c r="Q295" t="s">
        <v>199</v>
      </c>
      <c r="R295" s="7">
        <v>36495</v>
      </c>
      <c r="S295" s="8">
        <f t="shared" si="32"/>
        <v>1999</v>
      </c>
      <c r="T295" s="8">
        <v>1999</v>
      </c>
      <c r="U295" s="8">
        <f t="shared" si="33"/>
        <v>23</v>
      </c>
      <c r="V295" s="7">
        <v>1999</v>
      </c>
      <c r="W295" t="s">
        <v>174</v>
      </c>
      <c r="X295" s="2">
        <v>1.3720000000000001</v>
      </c>
      <c r="Y295" s="6">
        <f t="shared" si="34"/>
        <v>3.662475641333654E-2</v>
      </c>
      <c r="AA295">
        <v>189480</v>
      </c>
      <c r="AB295">
        <v>17366</v>
      </c>
      <c r="AD295" t="s">
        <v>2</v>
      </c>
      <c r="AE295">
        <v>47</v>
      </c>
      <c r="AF295">
        <v>2</v>
      </c>
      <c r="AH295" t="s">
        <v>5800</v>
      </c>
      <c r="AI295" t="s">
        <v>5799</v>
      </c>
      <c r="AJ295" t="s">
        <v>5798</v>
      </c>
      <c r="AK295" t="s">
        <v>5797</v>
      </c>
      <c r="AL295">
        <v>5</v>
      </c>
      <c r="AM295" s="5">
        <f t="shared" si="35"/>
        <v>0.21739130434782608</v>
      </c>
      <c r="AN295" s="4">
        <f t="shared" si="36"/>
        <v>3.29256045964144E-4</v>
      </c>
      <c r="AO295" s="3"/>
      <c r="AP295">
        <v>0</v>
      </c>
      <c r="AR295" t="s">
        <v>1</v>
      </c>
      <c r="AT295" s="2" t="s">
        <v>0</v>
      </c>
      <c r="AU295" s="1">
        <f t="shared" si="37"/>
        <v>2.5736106303124817</v>
      </c>
      <c r="AV295" s="1">
        <f t="shared" si="38"/>
        <v>1.8477006229650341</v>
      </c>
      <c r="AW295" s="1">
        <f t="shared" si="39"/>
        <v>1.1217906156175863</v>
      </c>
    </row>
    <row r="296" spans="1:49" x14ac:dyDescent="0.2">
      <c r="A296">
        <v>294</v>
      </c>
      <c r="B296" t="s">
        <v>5796</v>
      </c>
      <c r="C296" t="s">
        <v>5795</v>
      </c>
      <c r="D296" t="s">
        <v>5794</v>
      </c>
      <c r="F296" t="s">
        <v>5793</v>
      </c>
      <c r="G296" t="s">
        <v>6</v>
      </c>
      <c r="H296" t="s">
        <v>5</v>
      </c>
      <c r="I296" t="s">
        <v>524</v>
      </c>
      <c r="J296">
        <v>60019983</v>
      </c>
      <c r="K296" t="s">
        <v>523</v>
      </c>
      <c r="L296" t="s">
        <v>522</v>
      </c>
      <c r="M296" t="s">
        <v>7</v>
      </c>
      <c r="N296">
        <v>2</v>
      </c>
      <c r="O296" t="s">
        <v>5792</v>
      </c>
      <c r="P296" t="s">
        <v>521</v>
      </c>
      <c r="Q296" t="s">
        <v>520</v>
      </c>
      <c r="R296" s="7">
        <v>36495</v>
      </c>
      <c r="S296" s="8">
        <f t="shared" si="32"/>
        <v>1999</v>
      </c>
      <c r="T296" s="8">
        <v>1999</v>
      </c>
      <c r="U296" s="8">
        <f t="shared" si="33"/>
        <v>23</v>
      </c>
      <c r="V296" s="7">
        <v>1999</v>
      </c>
      <c r="W296" t="s">
        <v>677</v>
      </c>
      <c r="X296" s="2">
        <v>0.9</v>
      </c>
      <c r="Y296" s="6">
        <f t="shared" si="34"/>
        <v>2.4024985985424845E-2</v>
      </c>
      <c r="AA296">
        <v>9630252</v>
      </c>
      <c r="AB296">
        <v>29614</v>
      </c>
      <c r="AD296" t="s">
        <v>2</v>
      </c>
      <c r="AE296">
        <v>8</v>
      </c>
      <c r="AF296">
        <v>1</v>
      </c>
      <c r="AH296" t="s">
        <v>5791</v>
      </c>
      <c r="AI296" t="s">
        <v>5790</v>
      </c>
      <c r="AK296" t="s">
        <v>5789</v>
      </c>
      <c r="AL296">
        <v>6</v>
      </c>
      <c r="AM296" s="5">
        <f t="shared" si="35"/>
        <v>0.2608695652173913</v>
      </c>
      <c r="AN296" s="4">
        <f t="shared" si="36"/>
        <v>3.9510725515697282E-4</v>
      </c>
      <c r="AO296" s="3"/>
      <c r="AP296">
        <v>0</v>
      </c>
      <c r="AR296" t="s">
        <v>1</v>
      </c>
      <c r="AT296" s="2" t="s">
        <v>0</v>
      </c>
      <c r="AU296" s="1">
        <f t="shared" si="37"/>
        <v>1.6936022366344481</v>
      </c>
      <c r="AV296" s="1">
        <f t="shared" si="38"/>
        <v>1.2210046620290909</v>
      </c>
      <c r="AW296" s="1">
        <f t="shared" si="39"/>
        <v>0.74840708742373341</v>
      </c>
    </row>
    <row r="297" spans="1:49" x14ac:dyDescent="0.2">
      <c r="A297">
        <v>295</v>
      </c>
      <c r="B297" t="s">
        <v>5788</v>
      </c>
      <c r="C297" t="s">
        <v>5787</v>
      </c>
      <c r="D297" t="s">
        <v>5786</v>
      </c>
      <c r="F297" t="s">
        <v>5785</v>
      </c>
      <c r="G297" t="s">
        <v>6</v>
      </c>
      <c r="H297" t="s">
        <v>5</v>
      </c>
      <c r="I297" t="s">
        <v>5784</v>
      </c>
      <c r="J297">
        <v>60014300</v>
      </c>
      <c r="K297" t="s">
        <v>93</v>
      </c>
      <c r="L297" t="s">
        <v>92</v>
      </c>
      <c r="M297" t="s">
        <v>3</v>
      </c>
      <c r="N297">
        <v>1</v>
      </c>
      <c r="O297" t="s">
        <v>5783</v>
      </c>
      <c r="P297">
        <v>7401775859</v>
      </c>
      <c r="Q297">
        <v>60014300</v>
      </c>
      <c r="R297" s="7">
        <v>36495</v>
      </c>
      <c r="S297" s="8">
        <f t="shared" si="32"/>
        <v>1999</v>
      </c>
      <c r="T297" s="8">
        <v>1999</v>
      </c>
      <c r="U297" s="8">
        <f t="shared" si="33"/>
        <v>23</v>
      </c>
      <c r="V297" s="7">
        <v>1999</v>
      </c>
      <c r="W297" t="s">
        <v>89</v>
      </c>
      <c r="X297" s="2">
        <v>1.365</v>
      </c>
      <c r="Y297" s="6">
        <f t="shared" si="34"/>
        <v>3.6437895411227675E-2</v>
      </c>
      <c r="AA297">
        <v>189545</v>
      </c>
      <c r="AB297">
        <v>17393</v>
      </c>
      <c r="AD297" t="s">
        <v>2</v>
      </c>
      <c r="AE297">
        <v>48</v>
      </c>
      <c r="AF297">
        <v>1</v>
      </c>
      <c r="AH297" t="s">
        <v>5782</v>
      </c>
      <c r="AI297" t="s">
        <v>5781</v>
      </c>
      <c r="AJ297" t="s">
        <v>5780</v>
      </c>
      <c r="AK297" t="s">
        <v>5779</v>
      </c>
      <c r="AL297">
        <v>21</v>
      </c>
      <c r="AM297" s="5">
        <f t="shared" si="35"/>
        <v>0.91304347826086951</v>
      </c>
      <c r="AN297" s="4">
        <f t="shared" si="36"/>
        <v>1.3828753930494049E-3</v>
      </c>
      <c r="AO297" s="3"/>
      <c r="AP297">
        <v>0</v>
      </c>
      <c r="AR297" t="s">
        <v>1</v>
      </c>
      <c r="AT297" s="2" t="s">
        <v>0</v>
      </c>
      <c r="AU297" s="1">
        <f t="shared" si="37"/>
        <v>2.5921389405774193</v>
      </c>
      <c r="AV297" s="1">
        <f t="shared" si="38"/>
        <v>1.8910385402138539</v>
      </c>
      <c r="AW297" s="1">
        <f t="shared" si="39"/>
        <v>1.1899381398502886</v>
      </c>
    </row>
    <row r="298" spans="1:49" x14ac:dyDescent="0.2">
      <c r="A298">
        <v>296</v>
      </c>
      <c r="B298" t="s">
        <v>5778</v>
      </c>
      <c r="C298" t="s">
        <v>5777</v>
      </c>
      <c r="D298" t="s">
        <v>5776</v>
      </c>
      <c r="F298" t="s">
        <v>5775</v>
      </c>
      <c r="G298" t="s">
        <v>6</v>
      </c>
      <c r="H298" t="s">
        <v>5</v>
      </c>
      <c r="I298" t="s">
        <v>5774</v>
      </c>
      <c r="J298">
        <v>60005686</v>
      </c>
      <c r="K298" t="s">
        <v>5773</v>
      </c>
      <c r="L298" t="s">
        <v>454</v>
      </c>
      <c r="M298" t="s">
        <v>352</v>
      </c>
      <c r="N298">
        <v>1</v>
      </c>
      <c r="O298" t="s">
        <v>5772</v>
      </c>
      <c r="P298">
        <v>6602247280</v>
      </c>
      <c r="Q298">
        <v>60005686</v>
      </c>
      <c r="R298" s="7">
        <v>36495</v>
      </c>
      <c r="S298" s="8">
        <f t="shared" si="32"/>
        <v>1999</v>
      </c>
      <c r="T298" s="8">
        <v>1999</v>
      </c>
      <c r="U298" s="8">
        <f t="shared" si="33"/>
        <v>23</v>
      </c>
      <c r="V298" s="7">
        <v>1999</v>
      </c>
      <c r="W298" t="s">
        <v>89</v>
      </c>
      <c r="X298" s="2">
        <v>1.365</v>
      </c>
      <c r="Y298" s="6">
        <f t="shared" si="34"/>
        <v>3.6437895411227675E-2</v>
      </c>
      <c r="AA298">
        <v>189545</v>
      </c>
      <c r="AB298">
        <v>17393</v>
      </c>
      <c r="AD298" t="s">
        <v>2</v>
      </c>
      <c r="AE298">
        <v>48</v>
      </c>
      <c r="AF298">
        <v>1</v>
      </c>
      <c r="AH298" s="11">
        <v>43678</v>
      </c>
      <c r="AI298" t="s">
        <v>5771</v>
      </c>
      <c r="AK298" t="s">
        <v>5770</v>
      </c>
      <c r="AL298">
        <v>12</v>
      </c>
      <c r="AM298" s="5">
        <f t="shared" si="35"/>
        <v>0.52173913043478259</v>
      </c>
      <c r="AN298" s="4">
        <f t="shared" si="36"/>
        <v>7.9021451031394564E-4</v>
      </c>
      <c r="AO298" s="3"/>
      <c r="AP298">
        <v>0</v>
      </c>
      <c r="AR298" t="s">
        <v>1</v>
      </c>
      <c r="AT298" s="2" t="s">
        <v>0</v>
      </c>
      <c r="AU298" s="1">
        <f t="shared" si="37"/>
        <v>2.5743591140953552</v>
      </c>
      <c r="AV298" s="1">
        <f t="shared" si="38"/>
        <v>1.8614054960770812</v>
      </c>
      <c r="AW298" s="1">
        <f t="shared" si="39"/>
        <v>1.1484518780588064</v>
      </c>
    </row>
    <row r="299" spans="1:49" x14ac:dyDescent="0.2">
      <c r="A299">
        <v>297</v>
      </c>
      <c r="B299" t="s">
        <v>5769</v>
      </c>
      <c r="C299" t="s">
        <v>5768</v>
      </c>
      <c r="F299" t="s">
        <v>5767</v>
      </c>
      <c r="G299" t="s">
        <v>6</v>
      </c>
      <c r="H299" t="s">
        <v>5</v>
      </c>
      <c r="I299" t="s">
        <v>5766</v>
      </c>
      <c r="J299">
        <v>60014171</v>
      </c>
      <c r="K299" t="s">
        <v>5765</v>
      </c>
      <c r="L299" t="s">
        <v>5764</v>
      </c>
      <c r="M299" t="s">
        <v>125</v>
      </c>
      <c r="N299">
        <v>2</v>
      </c>
      <c r="O299" t="s">
        <v>5763</v>
      </c>
      <c r="P299" t="s">
        <v>5762</v>
      </c>
      <c r="Q299" t="s">
        <v>5761</v>
      </c>
      <c r="R299" s="7">
        <v>36495</v>
      </c>
      <c r="S299" s="8">
        <f t="shared" si="32"/>
        <v>1999</v>
      </c>
      <c r="T299" s="8">
        <v>1999</v>
      </c>
      <c r="U299" s="8">
        <f t="shared" si="33"/>
        <v>23</v>
      </c>
      <c r="V299" s="7">
        <v>36495</v>
      </c>
      <c r="W299" t="s">
        <v>5760</v>
      </c>
      <c r="X299" s="2">
        <v>0.69299999999999995</v>
      </c>
      <c r="Y299" s="6">
        <f t="shared" si="34"/>
        <v>1.8499239208777128E-2</v>
      </c>
      <c r="AA299" t="s">
        <v>5759</v>
      </c>
      <c r="AB299">
        <v>12762</v>
      </c>
      <c r="AD299" t="s">
        <v>2</v>
      </c>
      <c r="AE299">
        <v>6</v>
      </c>
      <c r="AF299">
        <v>6</v>
      </c>
      <c r="AH299" t="s">
        <v>5758</v>
      </c>
      <c r="AI299" t="s">
        <v>5757</v>
      </c>
      <c r="AJ299" t="s">
        <v>5756</v>
      </c>
      <c r="AK299" t="s">
        <v>5755</v>
      </c>
      <c r="AL299">
        <v>17</v>
      </c>
      <c r="AM299" s="5">
        <f t="shared" si="35"/>
        <v>0.73913043478260865</v>
      </c>
      <c r="AN299" s="4">
        <f t="shared" si="36"/>
        <v>1.1194705562780896E-3</v>
      </c>
      <c r="AO299" s="3"/>
      <c r="AP299">
        <v>0</v>
      </c>
      <c r="AR299" t="s">
        <v>1</v>
      </c>
      <c r="AT299" s="2">
        <v>1.8939999999999999</v>
      </c>
      <c r="AU299" s="1">
        <f t="shared" si="37"/>
        <v>1.3285308613027416</v>
      </c>
      <c r="AV299" s="1">
        <f t="shared" si="38"/>
        <v>0.98093548825276089</v>
      </c>
      <c r="AW299" s="1">
        <f t="shared" si="39"/>
        <v>0.63334011520278011</v>
      </c>
    </row>
    <row r="300" spans="1:49" x14ac:dyDescent="0.2">
      <c r="A300">
        <v>298</v>
      </c>
      <c r="B300" t="s">
        <v>5754</v>
      </c>
      <c r="C300" t="s">
        <v>5753</v>
      </c>
      <c r="D300" t="s">
        <v>5752</v>
      </c>
      <c r="F300" t="s">
        <v>5751</v>
      </c>
      <c r="G300" t="s">
        <v>6</v>
      </c>
      <c r="H300" t="s">
        <v>5</v>
      </c>
      <c r="I300" t="s">
        <v>5750</v>
      </c>
      <c r="J300">
        <v>60004661</v>
      </c>
      <c r="K300" t="s">
        <v>686</v>
      </c>
      <c r="L300" t="s">
        <v>448</v>
      </c>
      <c r="M300" t="s">
        <v>289</v>
      </c>
      <c r="N300">
        <v>1</v>
      </c>
      <c r="O300" t="s">
        <v>5749</v>
      </c>
      <c r="P300">
        <v>6603284684</v>
      </c>
      <c r="Q300">
        <v>60004661</v>
      </c>
      <c r="R300" s="7">
        <v>36495</v>
      </c>
      <c r="S300" s="8">
        <f t="shared" si="32"/>
        <v>1999</v>
      </c>
      <c r="T300" s="8">
        <v>1999</v>
      </c>
      <c r="U300" s="8">
        <f t="shared" si="33"/>
        <v>23</v>
      </c>
      <c r="V300" s="7">
        <v>1999</v>
      </c>
      <c r="W300" t="s">
        <v>89</v>
      </c>
      <c r="X300" s="2">
        <v>1.365</v>
      </c>
      <c r="Y300" s="6">
        <f t="shared" si="34"/>
        <v>3.6437895411227675E-2</v>
      </c>
      <c r="AA300">
        <v>189545</v>
      </c>
      <c r="AB300">
        <v>17393</v>
      </c>
      <c r="AD300" t="s">
        <v>2</v>
      </c>
      <c r="AE300">
        <v>48</v>
      </c>
      <c r="AF300">
        <v>1</v>
      </c>
      <c r="AH300" t="s">
        <v>5748</v>
      </c>
      <c r="AI300" t="s">
        <v>5747</v>
      </c>
      <c r="AJ300" t="s">
        <v>5746</v>
      </c>
      <c r="AK300" t="s">
        <v>5745</v>
      </c>
      <c r="AL300">
        <v>2</v>
      </c>
      <c r="AM300" s="5">
        <f t="shared" si="35"/>
        <v>8.6956521739130432E-2</v>
      </c>
      <c r="AN300" s="4">
        <f t="shared" si="36"/>
        <v>1.3170241838565761E-4</v>
      </c>
      <c r="AO300" s="3"/>
      <c r="AP300">
        <v>0</v>
      </c>
      <c r="AR300" t="s">
        <v>1</v>
      </c>
      <c r="AT300" s="2" t="s">
        <v>0</v>
      </c>
      <c r="AU300" s="1">
        <f t="shared" si="37"/>
        <v>2.5546037513375066</v>
      </c>
      <c r="AV300" s="1">
        <f t="shared" si="38"/>
        <v>1.8284798914806666</v>
      </c>
      <c r="AW300" s="1">
        <f t="shared" si="39"/>
        <v>1.1023560316238261</v>
      </c>
    </row>
    <row r="301" spans="1:49" x14ac:dyDescent="0.2">
      <c r="A301">
        <v>299</v>
      </c>
      <c r="B301" t="s">
        <v>5744</v>
      </c>
      <c r="F301" t="s">
        <v>5743</v>
      </c>
      <c r="G301" t="s">
        <v>6</v>
      </c>
      <c r="H301" t="s">
        <v>5</v>
      </c>
      <c r="I301" t="s">
        <v>5742</v>
      </c>
      <c r="J301" t="s">
        <v>5741</v>
      </c>
      <c r="K301" t="s">
        <v>5740</v>
      </c>
      <c r="L301" t="s">
        <v>5739</v>
      </c>
      <c r="M301" t="s">
        <v>5738</v>
      </c>
      <c r="N301">
        <v>3</v>
      </c>
      <c r="O301" t="s">
        <v>5737</v>
      </c>
      <c r="P301" t="s">
        <v>5736</v>
      </c>
      <c r="Q301" t="s">
        <v>5735</v>
      </c>
      <c r="R301" s="7">
        <v>36495</v>
      </c>
      <c r="S301" s="8">
        <f t="shared" si="32"/>
        <v>1999</v>
      </c>
      <c r="T301" s="8">
        <v>1999</v>
      </c>
      <c r="U301" s="8">
        <f t="shared" si="33"/>
        <v>23</v>
      </c>
      <c r="V301" s="7">
        <v>1999</v>
      </c>
      <c r="W301" t="s">
        <v>3189</v>
      </c>
      <c r="X301" s="2">
        <v>0.22</v>
      </c>
      <c r="Y301" s="6">
        <f t="shared" si="34"/>
        <v>5.8727743519927395E-3</v>
      </c>
      <c r="AA301">
        <v>2705214</v>
      </c>
      <c r="AB301">
        <v>28119</v>
      </c>
      <c r="AD301" t="s">
        <v>2</v>
      </c>
      <c r="AE301">
        <v>20</v>
      </c>
      <c r="AF301">
        <v>1</v>
      </c>
      <c r="AH301" t="s">
        <v>5734</v>
      </c>
      <c r="AI301" t="s">
        <v>5733</v>
      </c>
      <c r="AJ301" t="s">
        <v>5732</v>
      </c>
      <c r="AK301" t="s">
        <v>5731</v>
      </c>
      <c r="AL301">
        <v>7</v>
      </c>
      <c r="AM301" s="5">
        <f t="shared" si="35"/>
        <v>0.30434782608695654</v>
      </c>
      <c r="AN301" s="4">
        <f t="shared" si="36"/>
        <v>4.6095846434980164E-4</v>
      </c>
      <c r="AO301" s="3"/>
      <c r="AP301">
        <v>0</v>
      </c>
      <c r="AR301" t="s">
        <v>1</v>
      </c>
      <c r="AT301" s="2" t="s">
        <v>0</v>
      </c>
      <c r="AU301" s="1">
        <f t="shared" si="37"/>
        <v>0.4249229585699858</v>
      </c>
      <c r="AV301" s="1">
        <f t="shared" si="38"/>
        <v>0.31668664081712705</v>
      </c>
      <c r="AW301" s="1">
        <f t="shared" si="39"/>
        <v>0.20845032306426831</v>
      </c>
    </row>
    <row r="302" spans="1:49" x14ac:dyDescent="0.2">
      <c r="A302">
        <v>300</v>
      </c>
      <c r="B302" t="s">
        <v>5730</v>
      </c>
      <c r="C302" t="s">
        <v>5729</v>
      </c>
      <c r="D302" t="s">
        <v>5728</v>
      </c>
      <c r="F302" t="s">
        <v>5727</v>
      </c>
      <c r="G302" t="s">
        <v>6</v>
      </c>
      <c r="H302" t="s">
        <v>5</v>
      </c>
      <c r="I302" t="s">
        <v>5726</v>
      </c>
      <c r="J302">
        <v>60003416</v>
      </c>
      <c r="K302" t="s">
        <v>5725</v>
      </c>
      <c r="L302" t="s">
        <v>5724</v>
      </c>
      <c r="M302" t="s">
        <v>7</v>
      </c>
      <c r="N302">
        <v>1</v>
      </c>
      <c r="O302" t="s">
        <v>5723</v>
      </c>
      <c r="P302">
        <v>7103309077</v>
      </c>
      <c r="Q302">
        <v>60003416</v>
      </c>
      <c r="R302" s="7">
        <v>36495</v>
      </c>
      <c r="S302" s="8">
        <f t="shared" si="32"/>
        <v>1999</v>
      </c>
      <c r="T302" s="8">
        <v>1999</v>
      </c>
      <c r="U302" s="8">
        <f t="shared" si="33"/>
        <v>23</v>
      </c>
      <c r="V302" s="7">
        <v>1999</v>
      </c>
      <c r="W302" t="s">
        <v>89</v>
      </c>
      <c r="X302" s="2">
        <v>1.365</v>
      </c>
      <c r="Y302" s="6">
        <f t="shared" si="34"/>
        <v>3.6437895411227675E-2</v>
      </c>
      <c r="AA302">
        <v>189545</v>
      </c>
      <c r="AB302">
        <v>17393</v>
      </c>
      <c r="AD302" t="s">
        <v>2</v>
      </c>
      <c r="AE302">
        <v>48</v>
      </c>
      <c r="AF302">
        <v>1</v>
      </c>
      <c r="AH302" s="10">
        <v>44378</v>
      </c>
      <c r="AI302" t="s">
        <v>5722</v>
      </c>
      <c r="AJ302" t="s">
        <v>5721</v>
      </c>
      <c r="AK302" t="s">
        <v>5720</v>
      </c>
      <c r="AL302">
        <v>32</v>
      </c>
      <c r="AM302" s="5">
        <f t="shared" si="35"/>
        <v>1.3913043478260869</v>
      </c>
      <c r="AN302" s="4">
        <f t="shared" si="36"/>
        <v>2.1072386941705218E-3</v>
      </c>
      <c r="AO302" s="3"/>
      <c r="AP302">
        <v>0</v>
      </c>
      <c r="AR302" t="s">
        <v>1</v>
      </c>
      <c r="AS302" t="s">
        <v>5719</v>
      </c>
      <c r="AT302" s="2" t="s">
        <v>0</v>
      </c>
      <c r="AU302" s="1">
        <f t="shared" si="37"/>
        <v>2.6138698396110525</v>
      </c>
      <c r="AV302" s="1">
        <f t="shared" si="38"/>
        <v>1.9272567052699099</v>
      </c>
      <c r="AW302" s="1">
        <f t="shared" si="39"/>
        <v>1.2406435709287666</v>
      </c>
    </row>
    <row r="303" spans="1:49" x14ac:dyDescent="0.2">
      <c r="A303">
        <v>301</v>
      </c>
      <c r="B303" t="s">
        <v>5718</v>
      </c>
      <c r="C303" t="s">
        <v>5717</v>
      </c>
      <c r="F303" t="s">
        <v>5716</v>
      </c>
      <c r="G303" t="s">
        <v>6</v>
      </c>
      <c r="H303" t="s">
        <v>5</v>
      </c>
      <c r="I303" t="s">
        <v>5715</v>
      </c>
      <c r="J303">
        <v>60006662</v>
      </c>
      <c r="K303" t="s">
        <v>5714</v>
      </c>
      <c r="L303" t="s">
        <v>69</v>
      </c>
      <c r="M303" t="s">
        <v>47</v>
      </c>
      <c r="N303">
        <v>1</v>
      </c>
      <c r="O303" t="s">
        <v>5713</v>
      </c>
      <c r="P303">
        <v>55950880800</v>
      </c>
      <c r="Q303">
        <v>60006662</v>
      </c>
      <c r="R303" s="7">
        <v>36495</v>
      </c>
      <c r="S303" s="8">
        <f t="shared" si="32"/>
        <v>1999</v>
      </c>
      <c r="T303" s="8">
        <v>1999</v>
      </c>
      <c r="U303" s="8">
        <f t="shared" si="33"/>
        <v>23</v>
      </c>
      <c r="V303" s="7">
        <v>1999</v>
      </c>
      <c r="W303" t="s">
        <v>5712</v>
      </c>
      <c r="X303" s="2">
        <v>0.81499999999999995</v>
      </c>
      <c r="Y303" s="6">
        <f t="shared" si="34"/>
        <v>2.1755959531245827E-2</v>
      </c>
      <c r="AA303">
        <v>10709908</v>
      </c>
      <c r="AB303">
        <v>17316</v>
      </c>
      <c r="AD303" t="s">
        <v>2</v>
      </c>
      <c r="AE303">
        <v>6</v>
      </c>
      <c r="AF303">
        <v>1</v>
      </c>
      <c r="AH303" t="s">
        <v>5711</v>
      </c>
      <c r="AI303" t="s">
        <v>5710</v>
      </c>
      <c r="AJ303" t="s">
        <v>5709</v>
      </c>
      <c r="AK303" t="s">
        <v>5708</v>
      </c>
      <c r="AL303">
        <v>5</v>
      </c>
      <c r="AM303" s="5">
        <f t="shared" si="35"/>
        <v>0.21739130434782608</v>
      </c>
      <c r="AN303" s="4">
        <f t="shared" si="36"/>
        <v>3.29256045964144E-4</v>
      </c>
      <c r="AO303" s="3"/>
      <c r="AP303">
        <v>0</v>
      </c>
      <c r="AR303" t="s">
        <v>1</v>
      </c>
      <c r="AT303" s="2">
        <v>3.109</v>
      </c>
      <c r="AU303" s="1">
        <f t="shared" si="37"/>
        <v>1.532794848566132</v>
      </c>
      <c r="AV303" s="1">
        <f t="shared" si="38"/>
        <v>1.1042607788604986</v>
      </c>
      <c r="AW303" s="1">
        <f t="shared" si="39"/>
        <v>0.67572670915486477</v>
      </c>
    </row>
    <row r="304" spans="1:49" x14ac:dyDescent="0.2">
      <c r="A304">
        <v>302</v>
      </c>
      <c r="B304" t="s">
        <v>5707</v>
      </c>
      <c r="C304" t="s">
        <v>5706</v>
      </c>
      <c r="D304" t="s">
        <v>5705</v>
      </c>
      <c r="F304" t="s">
        <v>5704</v>
      </c>
      <c r="G304" t="s">
        <v>6</v>
      </c>
      <c r="H304" t="s">
        <v>5</v>
      </c>
      <c r="I304" t="s">
        <v>5703</v>
      </c>
      <c r="J304">
        <v>60026717</v>
      </c>
      <c r="K304" t="s">
        <v>4621</v>
      </c>
      <c r="L304" t="s">
        <v>207</v>
      </c>
      <c r="M304" t="s">
        <v>3</v>
      </c>
      <c r="N304">
        <v>2</v>
      </c>
      <c r="O304" t="s">
        <v>5702</v>
      </c>
      <c r="P304" t="s">
        <v>5701</v>
      </c>
      <c r="Q304" t="s">
        <v>5700</v>
      </c>
      <c r="R304" s="7">
        <v>36495</v>
      </c>
      <c r="S304" s="8">
        <f t="shared" si="32"/>
        <v>1999</v>
      </c>
      <c r="T304" s="8">
        <v>1999</v>
      </c>
      <c r="U304" s="8">
        <f t="shared" si="33"/>
        <v>23</v>
      </c>
      <c r="V304" s="7">
        <v>1999</v>
      </c>
      <c r="W304" t="s">
        <v>174</v>
      </c>
      <c r="X304" s="2">
        <v>1.3720000000000001</v>
      </c>
      <c r="Y304" s="6">
        <f t="shared" si="34"/>
        <v>3.662475641333654E-2</v>
      </c>
      <c r="AA304">
        <v>189480</v>
      </c>
      <c r="AB304">
        <v>17366</v>
      </c>
      <c r="AD304" t="s">
        <v>2</v>
      </c>
      <c r="AE304">
        <v>47</v>
      </c>
      <c r="AF304">
        <v>1</v>
      </c>
      <c r="AH304" t="s">
        <v>5699</v>
      </c>
      <c r="AI304" t="s">
        <v>5698</v>
      </c>
      <c r="AJ304" t="s">
        <v>5697</v>
      </c>
      <c r="AK304" t="s">
        <v>5696</v>
      </c>
      <c r="AL304">
        <v>40</v>
      </c>
      <c r="AM304" s="5">
        <f t="shared" si="35"/>
        <v>1.7391304347826086</v>
      </c>
      <c r="AN304" s="4">
        <f t="shared" si="36"/>
        <v>2.634048367713152E-3</v>
      </c>
      <c r="AO304" s="3"/>
      <c r="AP304">
        <v>0</v>
      </c>
      <c r="AR304" t="s">
        <v>1</v>
      </c>
      <c r="AT304" s="2" t="s">
        <v>0</v>
      </c>
      <c r="AU304" s="1">
        <f t="shared" si="37"/>
        <v>2.6427543999649519</v>
      </c>
      <c r="AV304" s="1">
        <f t="shared" si="38"/>
        <v>1.9629402390524846</v>
      </c>
      <c r="AW304" s="1">
        <f t="shared" si="39"/>
        <v>1.2831260781400169</v>
      </c>
    </row>
    <row r="305" spans="1:49" x14ac:dyDescent="0.2">
      <c r="A305">
        <v>303</v>
      </c>
      <c r="B305" t="s">
        <v>5695</v>
      </c>
      <c r="C305" t="s">
        <v>5694</v>
      </c>
      <c r="D305" t="s">
        <v>5693</v>
      </c>
      <c r="F305" t="s">
        <v>5692</v>
      </c>
      <c r="G305" t="s">
        <v>6</v>
      </c>
      <c r="H305" t="s">
        <v>5</v>
      </c>
      <c r="I305" t="s">
        <v>5691</v>
      </c>
      <c r="J305" t="s">
        <v>5690</v>
      </c>
      <c r="K305" t="s">
        <v>5689</v>
      </c>
      <c r="L305" t="s">
        <v>5688</v>
      </c>
      <c r="M305" t="s">
        <v>30</v>
      </c>
      <c r="N305">
        <v>2</v>
      </c>
      <c r="O305" t="s">
        <v>5687</v>
      </c>
      <c r="P305" t="s">
        <v>5686</v>
      </c>
      <c r="Q305" t="s">
        <v>5685</v>
      </c>
      <c r="R305" s="7">
        <v>36495</v>
      </c>
      <c r="S305" s="8">
        <f t="shared" si="32"/>
        <v>1999</v>
      </c>
      <c r="T305" s="8">
        <v>1999</v>
      </c>
      <c r="U305" s="8">
        <f t="shared" si="33"/>
        <v>23</v>
      </c>
      <c r="V305" s="7">
        <v>1999</v>
      </c>
      <c r="W305" t="s">
        <v>948</v>
      </c>
      <c r="X305" s="2">
        <v>2.141</v>
      </c>
      <c r="Y305" s="6">
        <f t="shared" si="34"/>
        <v>5.7152772216438434E-2</v>
      </c>
      <c r="AA305">
        <v>1962892</v>
      </c>
      <c r="AB305">
        <v>17360</v>
      </c>
      <c r="AD305" t="s">
        <v>2</v>
      </c>
      <c r="AE305">
        <v>37</v>
      </c>
      <c r="AF305" t="s">
        <v>56</v>
      </c>
      <c r="AH305" t="s">
        <v>5684</v>
      </c>
      <c r="AI305" t="s">
        <v>5683</v>
      </c>
      <c r="AJ305" t="s">
        <v>5682</v>
      </c>
      <c r="AK305" t="s">
        <v>5681</v>
      </c>
      <c r="AL305">
        <v>105</v>
      </c>
      <c r="AM305" s="5">
        <f t="shared" si="35"/>
        <v>4.5652173913043477</v>
      </c>
      <c r="AN305" s="4">
        <f t="shared" si="36"/>
        <v>6.9143769652470245E-3</v>
      </c>
      <c r="AO305" s="3"/>
      <c r="AP305">
        <v>0</v>
      </c>
      <c r="AQ305" t="s">
        <v>5680</v>
      </c>
      <c r="AR305" t="s">
        <v>5679</v>
      </c>
      <c r="AS305" t="s">
        <v>5678</v>
      </c>
      <c r="AT305" s="2" t="s">
        <v>0</v>
      </c>
      <c r="AU305" s="1">
        <f t="shared" si="37"/>
        <v>4.2081253641081009</v>
      </c>
      <c r="AV305" s="1">
        <f t="shared" si="38"/>
        <v>3.2033574590842733</v>
      </c>
      <c r="AW305" s="1">
        <f t="shared" si="39"/>
        <v>2.1985895540604448</v>
      </c>
    </row>
    <row r="306" spans="1:49" x14ac:dyDescent="0.2">
      <c r="A306">
        <v>304</v>
      </c>
      <c r="B306" t="s">
        <v>5677</v>
      </c>
      <c r="C306" t="s">
        <v>5676</v>
      </c>
      <c r="D306" t="s">
        <v>5675</v>
      </c>
      <c r="F306" t="s">
        <v>5674</v>
      </c>
      <c r="G306" t="s">
        <v>6</v>
      </c>
      <c r="H306" t="s">
        <v>5</v>
      </c>
      <c r="I306" t="s">
        <v>5673</v>
      </c>
      <c r="J306" t="s">
        <v>5672</v>
      </c>
      <c r="K306" t="s">
        <v>5671</v>
      </c>
      <c r="L306" t="s">
        <v>5670</v>
      </c>
      <c r="M306" t="s">
        <v>30</v>
      </c>
      <c r="N306">
        <v>5</v>
      </c>
      <c r="O306" t="s">
        <v>5669</v>
      </c>
      <c r="P306" t="s">
        <v>5668</v>
      </c>
      <c r="Q306" t="s">
        <v>5667</v>
      </c>
      <c r="R306" s="7">
        <v>36495</v>
      </c>
      <c r="S306" s="8">
        <f t="shared" si="32"/>
        <v>1999</v>
      </c>
      <c r="T306" s="8">
        <v>1999</v>
      </c>
      <c r="U306" s="8">
        <f t="shared" si="33"/>
        <v>23</v>
      </c>
      <c r="V306" s="7">
        <v>1999</v>
      </c>
      <c r="W306" t="s">
        <v>948</v>
      </c>
      <c r="X306" s="2">
        <v>2.141</v>
      </c>
      <c r="Y306" s="6">
        <f t="shared" si="34"/>
        <v>5.7152772216438434E-2</v>
      </c>
      <c r="AA306">
        <v>1962892</v>
      </c>
      <c r="AB306">
        <v>17360</v>
      </c>
      <c r="AD306" t="s">
        <v>2</v>
      </c>
      <c r="AE306">
        <v>37</v>
      </c>
      <c r="AF306" t="s">
        <v>226</v>
      </c>
      <c r="AH306" t="s">
        <v>5666</v>
      </c>
      <c r="AI306" t="s">
        <v>5665</v>
      </c>
      <c r="AJ306" t="s">
        <v>5664</v>
      </c>
      <c r="AK306" t="s">
        <v>5663</v>
      </c>
      <c r="AL306">
        <v>31</v>
      </c>
      <c r="AM306" s="5">
        <f t="shared" si="35"/>
        <v>1.3478260869565217</v>
      </c>
      <c r="AN306" s="4">
        <f t="shared" si="36"/>
        <v>2.041387484977693E-3</v>
      </c>
      <c r="AO306" s="3"/>
      <c r="AP306">
        <v>0</v>
      </c>
      <c r="AQ306" t="s">
        <v>171</v>
      </c>
      <c r="AR306" t="s">
        <v>1</v>
      </c>
      <c r="AS306" t="s">
        <v>170</v>
      </c>
      <c r="AT306" s="2" t="s">
        <v>0</v>
      </c>
      <c r="AU306" s="1">
        <f t="shared" si="37"/>
        <v>4.0619356797000208</v>
      </c>
      <c r="AV306" s="1">
        <f t="shared" si="38"/>
        <v>2.9597079850708066</v>
      </c>
      <c r="AW306" s="1">
        <f t="shared" si="39"/>
        <v>1.8574802904415915</v>
      </c>
    </row>
    <row r="307" spans="1:49" x14ac:dyDescent="0.2">
      <c r="A307">
        <v>305</v>
      </c>
      <c r="B307" t="s">
        <v>5662</v>
      </c>
      <c r="C307" t="s">
        <v>5661</v>
      </c>
      <c r="D307" t="s">
        <v>5660</v>
      </c>
      <c r="F307" t="s">
        <v>5659</v>
      </c>
      <c r="G307" t="s">
        <v>6</v>
      </c>
      <c r="H307" t="s">
        <v>5</v>
      </c>
      <c r="I307" t="s">
        <v>5658</v>
      </c>
      <c r="J307">
        <v>60009037</v>
      </c>
      <c r="K307" t="s">
        <v>274</v>
      </c>
      <c r="L307" t="s">
        <v>107</v>
      </c>
      <c r="M307" t="s">
        <v>3</v>
      </c>
      <c r="N307">
        <v>2</v>
      </c>
      <c r="O307" t="s">
        <v>5657</v>
      </c>
      <c r="P307" t="s">
        <v>5656</v>
      </c>
      <c r="Q307" t="s">
        <v>658</v>
      </c>
      <c r="R307" s="7">
        <v>36495</v>
      </c>
      <c r="S307" s="8">
        <f t="shared" si="32"/>
        <v>1999</v>
      </c>
      <c r="T307" s="8">
        <v>1999</v>
      </c>
      <c r="U307" s="8">
        <f t="shared" si="33"/>
        <v>23</v>
      </c>
      <c r="V307" s="7">
        <v>1999</v>
      </c>
      <c r="W307" t="s">
        <v>948</v>
      </c>
      <c r="X307" s="2">
        <v>2.141</v>
      </c>
      <c r="Y307" s="6">
        <f t="shared" si="34"/>
        <v>5.7152772216438434E-2</v>
      </c>
      <c r="AA307">
        <v>1962892</v>
      </c>
      <c r="AB307">
        <v>17360</v>
      </c>
      <c r="AD307" t="s">
        <v>2</v>
      </c>
      <c r="AE307">
        <v>37</v>
      </c>
      <c r="AF307" t="s">
        <v>56</v>
      </c>
      <c r="AH307" t="s">
        <v>5655</v>
      </c>
      <c r="AI307" t="s">
        <v>5654</v>
      </c>
      <c r="AJ307" t="s">
        <v>5653</v>
      </c>
      <c r="AK307" t="s">
        <v>5652</v>
      </c>
      <c r="AL307">
        <v>4</v>
      </c>
      <c r="AM307" s="5">
        <f t="shared" si="35"/>
        <v>0.17391304347826086</v>
      </c>
      <c r="AN307" s="4">
        <f t="shared" si="36"/>
        <v>2.6340483677131523E-4</v>
      </c>
      <c r="AO307" s="3"/>
      <c r="AP307">
        <v>0</v>
      </c>
      <c r="AQ307" t="s">
        <v>171</v>
      </c>
      <c r="AR307" t="s">
        <v>1</v>
      </c>
      <c r="AS307" t="s">
        <v>170</v>
      </c>
      <c r="AT307" s="2" t="s">
        <v>0</v>
      </c>
      <c r="AU307" s="1">
        <f t="shared" si="37"/>
        <v>4.0085962002538293</v>
      </c>
      <c r="AV307" s="1">
        <f t="shared" si="38"/>
        <v>2.8708088526604874</v>
      </c>
      <c r="AW307" s="1">
        <f t="shared" si="39"/>
        <v>1.7330215050671449</v>
      </c>
    </row>
    <row r="308" spans="1:49" x14ac:dyDescent="0.2">
      <c r="A308">
        <v>306</v>
      </c>
      <c r="B308" t="s">
        <v>5651</v>
      </c>
      <c r="C308" t="s">
        <v>5650</v>
      </c>
      <c r="F308" t="s">
        <v>5649</v>
      </c>
      <c r="G308" t="s">
        <v>6</v>
      </c>
      <c r="H308" t="s">
        <v>5</v>
      </c>
      <c r="I308" t="s">
        <v>5648</v>
      </c>
      <c r="J308">
        <v>60006288</v>
      </c>
      <c r="K308" t="s">
        <v>380</v>
      </c>
      <c r="L308" t="s">
        <v>379</v>
      </c>
      <c r="M308" t="s">
        <v>34</v>
      </c>
      <c r="N308">
        <v>1</v>
      </c>
      <c r="O308" t="s">
        <v>5647</v>
      </c>
      <c r="P308">
        <v>23010615100</v>
      </c>
      <c r="Q308">
        <v>60006288</v>
      </c>
      <c r="R308" s="7">
        <v>36495</v>
      </c>
      <c r="S308" s="8">
        <f t="shared" si="32"/>
        <v>1999</v>
      </c>
      <c r="T308" s="8">
        <v>1999</v>
      </c>
      <c r="U308" s="8">
        <f t="shared" si="33"/>
        <v>23</v>
      </c>
      <c r="V308" s="7">
        <v>1999</v>
      </c>
      <c r="W308" t="s">
        <v>682</v>
      </c>
      <c r="X308" s="2">
        <v>0.81</v>
      </c>
      <c r="Y308" s="6">
        <f t="shared" si="34"/>
        <v>2.1622487386882359E-2</v>
      </c>
      <c r="AA308">
        <v>10411135</v>
      </c>
      <c r="AB308">
        <v>12116</v>
      </c>
      <c r="AD308" t="s">
        <v>2</v>
      </c>
      <c r="AE308">
        <v>11</v>
      </c>
      <c r="AF308">
        <v>1</v>
      </c>
      <c r="AH308" t="s">
        <v>5646</v>
      </c>
      <c r="AI308" t="s">
        <v>5645</v>
      </c>
      <c r="AJ308" t="s">
        <v>5644</v>
      </c>
      <c r="AK308" t="s">
        <v>5643</v>
      </c>
      <c r="AL308">
        <v>0</v>
      </c>
      <c r="AM308" s="5">
        <f t="shared" si="35"/>
        <v>0</v>
      </c>
      <c r="AN308" s="4">
        <f t="shared" si="36"/>
        <v>0</v>
      </c>
      <c r="AO308" s="3"/>
      <c r="AP308">
        <v>0</v>
      </c>
      <c r="AR308" t="s">
        <v>1</v>
      </c>
      <c r="AT308" s="2">
        <v>2.468</v>
      </c>
      <c r="AU308" s="1">
        <f t="shared" si="37"/>
        <v>1.5135741170817649</v>
      </c>
      <c r="AV308" s="1">
        <f t="shared" si="38"/>
        <v>1.0811243693441179</v>
      </c>
      <c r="AW308" s="1">
        <f t="shared" si="39"/>
        <v>0.64867462160647071</v>
      </c>
    </row>
    <row r="309" spans="1:49" x14ac:dyDescent="0.2">
      <c r="A309">
        <v>307</v>
      </c>
      <c r="B309" t="s">
        <v>5642</v>
      </c>
      <c r="C309" t="s">
        <v>5641</v>
      </c>
      <c r="D309" t="s">
        <v>5640</v>
      </c>
      <c r="F309" t="s">
        <v>5639</v>
      </c>
      <c r="G309" t="s">
        <v>6</v>
      </c>
      <c r="H309" t="s">
        <v>5</v>
      </c>
      <c r="I309" t="s">
        <v>1448</v>
      </c>
      <c r="J309">
        <v>60001881</v>
      </c>
      <c r="K309" t="s">
        <v>623</v>
      </c>
      <c r="L309" t="s">
        <v>622</v>
      </c>
      <c r="M309" t="s">
        <v>58</v>
      </c>
      <c r="N309">
        <v>2</v>
      </c>
      <c r="O309" t="s">
        <v>5638</v>
      </c>
      <c r="P309" t="s">
        <v>5637</v>
      </c>
      <c r="Q309" t="s">
        <v>5636</v>
      </c>
      <c r="R309" s="7">
        <v>36495</v>
      </c>
      <c r="S309" s="8">
        <f t="shared" si="32"/>
        <v>1999</v>
      </c>
      <c r="T309" s="8">
        <v>1999</v>
      </c>
      <c r="U309" s="8">
        <f t="shared" si="33"/>
        <v>23</v>
      </c>
      <c r="V309" s="7">
        <v>1999</v>
      </c>
      <c r="W309" t="s">
        <v>948</v>
      </c>
      <c r="X309" s="2">
        <v>2.141</v>
      </c>
      <c r="Y309" s="6">
        <f t="shared" si="34"/>
        <v>5.7152772216438434E-2</v>
      </c>
      <c r="AA309">
        <v>1962892</v>
      </c>
      <c r="AB309">
        <v>17360</v>
      </c>
      <c r="AD309" t="s">
        <v>2</v>
      </c>
      <c r="AE309">
        <v>37</v>
      </c>
      <c r="AF309" t="s">
        <v>226</v>
      </c>
      <c r="AH309" t="s">
        <v>653</v>
      </c>
      <c r="AI309" t="s">
        <v>5635</v>
      </c>
      <c r="AJ309" t="s">
        <v>5634</v>
      </c>
      <c r="AK309" t="s">
        <v>5633</v>
      </c>
      <c r="AL309">
        <v>18</v>
      </c>
      <c r="AM309" s="5">
        <f t="shared" si="35"/>
        <v>0.78260869565217395</v>
      </c>
      <c r="AN309" s="4">
        <f t="shared" si="36"/>
        <v>1.1853217654709185E-3</v>
      </c>
      <c r="AO309" s="3"/>
      <c r="AP309">
        <v>0</v>
      </c>
      <c r="AR309" t="s">
        <v>1</v>
      </c>
      <c r="AS309" t="s">
        <v>5632</v>
      </c>
      <c r="AT309" s="2" t="s">
        <v>0</v>
      </c>
      <c r="AU309" s="1">
        <f t="shared" si="37"/>
        <v>4.0362537081148178</v>
      </c>
      <c r="AV309" s="1">
        <f t="shared" si="38"/>
        <v>2.9169046990954675</v>
      </c>
      <c r="AW309" s="1">
        <f t="shared" si="39"/>
        <v>1.7975556900761174</v>
      </c>
    </row>
    <row r="310" spans="1:49" x14ac:dyDescent="0.2">
      <c r="A310">
        <v>308</v>
      </c>
      <c r="B310" t="s">
        <v>5631</v>
      </c>
      <c r="C310" t="s">
        <v>5630</v>
      </c>
      <c r="D310" t="s">
        <v>5629</v>
      </c>
      <c r="F310" t="s">
        <v>5628</v>
      </c>
      <c r="G310" t="s">
        <v>6</v>
      </c>
      <c r="H310" t="s">
        <v>5</v>
      </c>
      <c r="I310" t="s">
        <v>2534</v>
      </c>
      <c r="J310">
        <v>60001741</v>
      </c>
      <c r="K310" t="s">
        <v>5627</v>
      </c>
      <c r="L310" t="s">
        <v>1863</v>
      </c>
      <c r="M310" t="s">
        <v>23</v>
      </c>
      <c r="N310">
        <v>3</v>
      </c>
      <c r="O310" t="s">
        <v>5626</v>
      </c>
      <c r="P310" t="s">
        <v>5625</v>
      </c>
      <c r="Q310" t="s">
        <v>5624</v>
      </c>
      <c r="R310" s="7">
        <v>36495</v>
      </c>
      <c r="S310" s="8">
        <f t="shared" si="32"/>
        <v>1999</v>
      </c>
      <c r="T310" s="8">
        <v>1999</v>
      </c>
      <c r="U310" s="8">
        <f t="shared" si="33"/>
        <v>23</v>
      </c>
      <c r="V310" s="7">
        <v>1999</v>
      </c>
      <c r="W310" t="s">
        <v>190</v>
      </c>
      <c r="X310" s="2">
        <v>1.6379999999999999</v>
      </c>
      <c r="Y310" s="6">
        <f t="shared" si="34"/>
        <v>4.3725474493473214E-2</v>
      </c>
      <c r="AA310" t="s">
        <v>189</v>
      </c>
      <c r="AB310">
        <v>17391</v>
      </c>
      <c r="AD310" t="s">
        <v>2</v>
      </c>
      <c r="AE310">
        <v>47</v>
      </c>
      <c r="AF310">
        <v>1</v>
      </c>
      <c r="AH310" t="s">
        <v>5623</v>
      </c>
      <c r="AI310" t="s">
        <v>5622</v>
      </c>
      <c r="AJ310" t="s">
        <v>5621</v>
      </c>
      <c r="AK310" t="s">
        <v>5620</v>
      </c>
      <c r="AL310">
        <v>22</v>
      </c>
      <c r="AM310" s="5">
        <f t="shared" si="35"/>
        <v>0.95652173913043481</v>
      </c>
      <c r="AN310" s="4">
        <f t="shared" si="36"/>
        <v>1.4487266022422337E-3</v>
      </c>
      <c r="AO310" s="3"/>
      <c r="AP310">
        <v>0</v>
      </c>
      <c r="AQ310" t="s">
        <v>205</v>
      </c>
      <c r="AR310" t="s">
        <v>5619</v>
      </c>
      <c r="AS310" t="s">
        <v>204</v>
      </c>
      <c r="AT310" s="2">
        <v>4.931</v>
      </c>
      <c r="AU310" s="1">
        <f t="shared" si="37"/>
        <v>3.104245012610392</v>
      </c>
      <c r="AV310" s="1">
        <f t="shared" si="38"/>
        <v>2.2587100547857721</v>
      </c>
      <c r="AW310" s="1">
        <f t="shared" si="39"/>
        <v>1.4131750969611527</v>
      </c>
    </row>
    <row r="311" spans="1:49" x14ac:dyDescent="0.2">
      <c r="A311">
        <v>309</v>
      </c>
      <c r="B311" t="s">
        <v>5618</v>
      </c>
      <c r="C311" t="s">
        <v>5617</v>
      </c>
      <c r="F311" t="s">
        <v>5616</v>
      </c>
      <c r="G311" t="s">
        <v>6</v>
      </c>
      <c r="H311" t="s">
        <v>5</v>
      </c>
      <c r="I311" t="s">
        <v>5615</v>
      </c>
      <c r="J311">
        <v>60003480</v>
      </c>
      <c r="K311" t="s">
        <v>5614</v>
      </c>
      <c r="L311" t="s">
        <v>279</v>
      </c>
      <c r="M311" t="s">
        <v>67</v>
      </c>
      <c r="N311">
        <v>1</v>
      </c>
      <c r="O311" t="s">
        <v>5613</v>
      </c>
      <c r="P311">
        <v>36930959200</v>
      </c>
      <c r="Q311">
        <v>60003480</v>
      </c>
      <c r="R311" s="7">
        <v>36495</v>
      </c>
      <c r="S311" s="8">
        <f t="shared" si="32"/>
        <v>1999</v>
      </c>
      <c r="T311" s="8">
        <v>1999</v>
      </c>
      <c r="U311" s="8">
        <f t="shared" si="33"/>
        <v>23</v>
      </c>
      <c r="V311" s="7">
        <v>1999</v>
      </c>
      <c r="W311" t="s">
        <v>403</v>
      </c>
      <c r="X311" s="2">
        <v>1.137</v>
      </c>
      <c r="Y311" s="6">
        <f t="shared" si="34"/>
        <v>3.0351565628253384E-2</v>
      </c>
      <c r="AA311">
        <v>189251</v>
      </c>
      <c r="AB311">
        <v>17336</v>
      </c>
      <c r="AD311" t="s">
        <v>2</v>
      </c>
      <c r="AE311">
        <v>35</v>
      </c>
      <c r="AF311">
        <v>1</v>
      </c>
      <c r="AH311" t="s">
        <v>5612</v>
      </c>
      <c r="AI311" t="s">
        <v>5611</v>
      </c>
      <c r="AK311" t="s">
        <v>5610</v>
      </c>
      <c r="AL311">
        <v>8</v>
      </c>
      <c r="AM311" s="5">
        <f t="shared" si="35"/>
        <v>0.34782608695652173</v>
      </c>
      <c r="AN311" s="4">
        <f t="shared" si="36"/>
        <v>5.2680967354263046E-4</v>
      </c>
      <c r="AO311" s="3"/>
      <c r="AP311">
        <v>0</v>
      </c>
      <c r="AR311" t="s">
        <v>1</v>
      </c>
      <c r="AT311" s="2" t="s">
        <v>0</v>
      </c>
      <c r="AU311" s="1">
        <f t="shared" si="37"/>
        <v>2.1404138841840155</v>
      </c>
      <c r="AV311" s="1">
        <f t="shared" si="38"/>
        <v>1.5439187650898007</v>
      </c>
      <c r="AW311" s="1">
        <f t="shared" si="39"/>
        <v>0.94742364599558571</v>
      </c>
    </row>
    <row r="312" spans="1:49" x14ac:dyDescent="0.2">
      <c r="A312">
        <v>310</v>
      </c>
      <c r="B312" t="s">
        <v>5609</v>
      </c>
      <c r="C312" t="s">
        <v>5608</v>
      </c>
      <c r="D312" t="s">
        <v>5607</v>
      </c>
      <c r="F312" t="s">
        <v>5606</v>
      </c>
      <c r="G312" t="s">
        <v>6</v>
      </c>
      <c r="H312" t="s">
        <v>5</v>
      </c>
      <c r="I312" t="s">
        <v>5605</v>
      </c>
      <c r="J312">
        <v>60011754</v>
      </c>
      <c r="K312" t="s">
        <v>367</v>
      </c>
      <c r="L312" t="s">
        <v>366</v>
      </c>
      <c r="M312" t="s">
        <v>3</v>
      </c>
      <c r="N312">
        <v>2</v>
      </c>
      <c r="O312" t="s">
        <v>5604</v>
      </c>
      <c r="P312" t="s">
        <v>5603</v>
      </c>
      <c r="Q312" t="s">
        <v>470</v>
      </c>
      <c r="R312" s="7">
        <v>36495</v>
      </c>
      <c r="S312" s="8">
        <f t="shared" si="32"/>
        <v>1999</v>
      </c>
      <c r="T312" s="8">
        <v>1999</v>
      </c>
      <c r="U312" s="8">
        <f t="shared" si="33"/>
        <v>23</v>
      </c>
      <c r="V312" s="7">
        <v>1999</v>
      </c>
      <c r="W312" t="s">
        <v>190</v>
      </c>
      <c r="X312" s="2">
        <v>1.6379999999999999</v>
      </c>
      <c r="Y312" s="6">
        <f t="shared" si="34"/>
        <v>4.3725474493473214E-2</v>
      </c>
      <c r="AA312" t="s">
        <v>189</v>
      </c>
      <c r="AB312">
        <v>17391</v>
      </c>
      <c r="AD312" t="s">
        <v>2</v>
      </c>
      <c r="AE312">
        <v>47</v>
      </c>
      <c r="AF312">
        <v>1</v>
      </c>
      <c r="AH312" t="s">
        <v>5602</v>
      </c>
      <c r="AI312" t="s">
        <v>5601</v>
      </c>
      <c r="AJ312" t="s">
        <v>5600</v>
      </c>
      <c r="AK312" t="s">
        <v>5599</v>
      </c>
      <c r="AL312">
        <v>15</v>
      </c>
      <c r="AM312" s="5">
        <f t="shared" si="35"/>
        <v>0.65217391304347827</v>
      </c>
      <c r="AN312" s="4">
        <f t="shared" si="36"/>
        <v>9.8776813789243204E-4</v>
      </c>
      <c r="AO312" s="3"/>
      <c r="AP312">
        <v>0</v>
      </c>
      <c r="AQ312" t="s">
        <v>205</v>
      </c>
      <c r="AR312" t="s">
        <v>365</v>
      </c>
      <c r="AS312" t="s">
        <v>204</v>
      </c>
      <c r="AT312" s="2">
        <v>4.931</v>
      </c>
      <c r="AU312" s="1">
        <f t="shared" si="37"/>
        <v>3.0904162586798978</v>
      </c>
      <c r="AV312" s="1">
        <f t="shared" si="38"/>
        <v>2.2356621315682825</v>
      </c>
      <c r="AW312" s="1">
        <f t="shared" si="39"/>
        <v>1.3809080044566666</v>
      </c>
    </row>
    <row r="313" spans="1:49" x14ac:dyDescent="0.2">
      <c r="A313">
        <v>311</v>
      </c>
      <c r="B313" t="s">
        <v>5598</v>
      </c>
      <c r="C313" t="s">
        <v>5597</v>
      </c>
      <c r="D313" t="s">
        <v>5596</v>
      </c>
      <c r="F313" t="s">
        <v>5595</v>
      </c>
      <c r="G313" t="s">
        <v>6</v>
      </c>
      <c r="H313" t="s">
        <v>5</v>
      </c>
      <c r="I313" t="s">
        <v>44</v>
      </c>
      <c r="J313" t="s">
        <v>5594</v>
      </c>
      <c r="K313" t="s">
        <v>5593</v>
      </c>
      <c r="L313" t="s">
        <v>5592</v>
      </c>
      <c r="M313" t="s">
        <v>5591</v>
      </c>
      <c r="N313">
        <v>1</v>
      </c>
      <c r="O313" t="s">
        <v>5590</v>
      </c>
      <c r="P313">
        <v>8627612400</v>
      </c>
      <c r="Q313" t="s">
        <v>5589</v>
      </c>
      <c r="R313" s="7">
        <v>36495</v>
      </c>
      <c r="S313" s="8">
        <f t="shared" si="32"/>
        <v>1999</v>
      </c>
      <c r="T313" s="8">
        <v>1999</v>
      </c>
      <c r="U313" s="8">
        <f t="shared" si="33"/>
        <v>23</v>
      </c>
      <c r="V313" s="7">
        <v>1999</v>
      </c>
      <c r="W313" t="s">
        <v>571</v>
      </c>
      <c r="X313" s="2">
        <v>1.3280000000000001</v>
      </c>
      <c r="Y313" s="6">
        <f t="shared" si="34"/>
        <v>3.5450201542937994E-2</v>
      </c>
      <c r="AA313">
        <v>7413335</v>
      </c>
      <c r="AB313">
        <v>29251</v>
      </c>
      <c r="AD313" t="s">
        <v>2</v>
      </c>
      <c r="AE313">
        <v>41</v>
      </c>
      <c r="AF313">
        <v>1</v>
      </c>
      <c r="AH313" t="s">
        <v>5588</v>
      </c>
      <c r="AI313" t="s">
        <v>5587</v>
      </c>
      <c r="AK313" t="s">
        <v>5586</v>
      </c>
      <c r="AL313">
        <v>29</v>
      </c>
      <c r="AM313" s="5">
        <f t="shared" si="35"/>
        <v>1.2608695652173914</v>
      </c>
      <c r="AN313" s="4">
        <f t="shared" si="36"/>
        <v>1.9096850665920354E-3</v>
      </c>
      <c r="AO313" s="3"/>
      <c r="AP313">
        <v>0</v>
      </c>
      <c r="AR313" t="s">
        <v>1</v>
      </c>
      <c r="AT313" s="2">
        <v>2.4580000000000002</v>
      </c>
      <c r="AU313" s="1">
        <f t="shared" si="37"/>
        <v>2.5388046600034206</v>
      </c>
      <c r="AV313" s="1">
        <f t="shared" si="38"/>
        <v>1.8679943304765017</v>
      </c>
      <c r="AW313" s="1">
        <f t="shared" si="39"/>
        <v>1.1971840009495824</v>
      </c>
    </row>
    <row r="314" spans="1:49" x14ac:dyDescent="0.2">
      <c r="A314">
        <v>312</v>
      </c>
      <c r="B314" t="s">
        <v>5585</v>
      </c>
      <c r="C314" t="s">
        <v>5584</v>
      </c>
      <c r="D314" t="s">
        <v>5583</v>
      </c>
      <c r="F314" t="s">
        <v>5582</v>
      </c>
      <c r="G314" t="s">
        <v>6</v>
      </c>
      <c r="H314" t="s">
        <v>5</v>
      </c>
      <c r="I314" t="s">
        <v>5581</v>
      </c>
      <c r="J314" t="s">
        <v>5580</v>
      </c>
      <c r="K314" t="s">
        <v>5579</v>
      </c>
      <c r="L314" t="s">
        <v>5578</v>
      </c>
      <c r="M314" t="s">
        <v>5577</v>
      </c>
      <c r="N314">
        <v>4</v>
      </c>
      <c r="O314" t="s">
        <v>5576</v>
      </c>
      <c r="P314" t="s">
        <v>5575</v>
      </c>
      <c r="Q314" t="s">
        <v>5574</v>
      </c>
      <c r="R314" s="7">
        <v>36495</v>
      </c>
      <c r="S314" s="8">
        <f t="shared" si="32"/>
        <v>1999</v>
      </c>
      <c r="T314" s="8">
        <v>1999</v>
      </c>
      <c r="U314" s="8">
        <f t="shared" si="33"/>
        <v>23</v>
      </c>
      <c r="V314" s="7">
        <v>1999</v>
      </c>
      <c r="W314" t="s">
        <v>948</v>
      </c>
      <c r="X314" s="2">
        <v>2.141</v>
      </c>
      <c r="Y314" s="6">
        <f t="shared" si="34"/>
        <v>5.7152772216438434E-2</v>
      </c>
      <c r="AA314">
        <v>1962892</v>
      </c>
      <c r="AB314">
        <v>17360</v>
      </c>
      <c r="AD314" t="s">
        <v>2</v>
      </c>
      <c r="AE314">
        <v>37</v>
      </c>
      <c r="AF314" t="s">
        <v>226</v>
      </c>
      <c r="AH314" t="s">
        <v>5573</v>
      </c>
      <c r="AI314" t="s">
        <v>5572</v>
      </c>
      <c r="AJ314" t="s">
        <v>5571</v>
      </c>
      <c r="AK314" t="s">
        <v>5570</v>
      </c>
      <c r="AL314">
        <v>116</v>
      </c>
      <c r="AM314" s="5">
        <f t="shared" si="35"/>
        <v>5.0434782608695654</v>
      </c>
      <c r="AN314" s="4">
        <f t="shared" si="36"/>
        <v>7.6387402663681417E-3</v>
      </c>
      <c r="AO314" s="3"/>
      <c r="AP314">
        <v>0</v>
      </c>
      <c r="AR314" t="s">
        <v>1</v>
      </c>
      <c r="AT314" s="2" t="s">
        <v>0</v>
      </c>
      <c r="AU314" s="1">
        <f t="shared" si="37"/>
        <v>4.229856263141734</v>
      </c>
      <c r="AV314" s="1">
        <f t="shared" si="38"/>
        <v>3.2395756241403291</v>
      </c>
      <c r="AW314" s="1">
        <f t="shared" si="39"/>
        <v>2.2492949851389228</v>
      </c>
    </row>
    <row r="315" spans="1:49" x14ac:dyDescent="0.2">
      <c r="A315">
        <v>313</v>
      </c>
      <c r="B315" t="s">
        <v>5569</v>
      </c>
      <c r="C315" t="s">
        <v>5568</v>
      </c>
      <c r="D315" t="s">
        <v>5567</v>
      </c>
      <c r="F315" t="s">
        <v>5566</v>
      </c>
      <c r="G315" t="s">
        <v>6</v>
      </c>
      <c r="H315" t="s">
        <v>5</v>
      </c>
      <c r="I315" t="s">
        <v>5565</v>
      </c>
      <c r="J315" t="s">
        <v>5564</v>
      </c>
      <c r="K315" t="s">
        <v>5563</v>
      </c>
      <c r="L315" t="s">
        <v>5562</v>
      </c>
      <c r="M315" t="s">
        <v>363</v>
      </c>
      <c r="N315">
        <v>3</v>
      </c>
      <c r="O315" t="s">
        <v>5561</v>
      </c>
      <c r="P315" t="s">
        <v>5560</v>
      </c>
      <c r="Q315" t="s">
        <v>5559</v>
      </c>
      <c r="R315" s="7">
        <v>36495</v>
      </c>
      <c r="S315" s="8">
        <f t="shared" si="32"/>
        <v>1999</v>
      </c>
      <c r="T315" s="8">
        <v>1999</v>
      </c>
      <c r="U315" s="8">
        <f t="shared" si="33"/>
        <v>23</v>
      </c>
      <c r="V315" s="7">
        <v>1999</v>
      </c>
      <c r="W315" t="s">
        <v>948</v>
      </c>
      <c r="X315" s="2">
        <v>2.141</v>
      </c>
      <c r="Y315" s="6">
        <f t="shared" si="34"/>
        <v>5.7152772216438434E-2</v>
      </c>
      <c r="AA315">
        <v>1962892</v>
      </c>
      <c r="AB315">
        <v>17360</v>
      </c>
      <c r="AD315" t="s">
        <v>2</v>
      </c>
      <c r="AE315">
        <v>37</v>
      </c>
      <c r="AF315" t="s">
        <v>226</v>
      </c>
      <c r="AH315" t="s">
        <v>5558</v>
      </c>
      <c r="AI315" t="s">
        <v>5557</v>
      </c>
      <c r="AJ315" t="s">
        <v>5556</v>
      </c>
      <c r="AK315" t="s">
        <v>5555</v>
      </c>
      <c r="AL315">
        <v>15</v>
      </c>
      <c r="AM315" s="5">
        <f t="shared" si="35"/>
        <v>0.65217391304347827</v>
      </c>
      <c r="AN315" s="4">
        <f t="shared" si="36"/>
        <v>9.8776813789243204E-4</v>
      </c>
      <c r="AO315" s="3"/>
      <c r="AP315">
        <v>0</v>
      </c>
      <c r="AQ315" t="s">
        <v>84</v>
      </c>
      <c r="AR315" t="s">
        <v>5554</v>
      </c>
      <c r="AS315" t="s">
        <v>83</v>
      </c>
      <c r="AT315" s="2" t="s">
        <v>0</v>
      </c>
      <c r="AU315" s="1">
        <f t="shared" si="37"/>
        <v>4.0303270992874634</v>
      </c>
      <c r="AV315" s="1">
        <f t="shared" si="38"/>
        <v>2.9070270177165436</v>
      </c>
      <c r="AW315" s="1">
        <f t="shared" si="39"/>
        <v>1.7837269361456232</v>
      </c>
    </row>
    <row r="316" spans="1:49" x14ac:dyDescent="0.2">
      <c r="A316">
        <v>314</v>
      </c>
      <c r="B316" t="s">
        <v>5553</v>
      </c>
      <c r="C316" t="s">
        <v>5552</v>
      </c>
      <c r="D316" t="s">
        <v>5551</v>
      </c>
      <c r="F316" t="s">
        <v>5550</v>
      </c>
      <c r="G316" t="s">
        <v>6</v>
      </c>
      <c r="H316" t="s">
        <v>5</v>
      </c>
      <c r="I316" t="s">
        <v>5549</v>
      </c>
      <c r="J316">
        <v>60027716</v>
      </c>
      <c r="K316" t="s">
        <v>5548</v>
      </c>
      <c r="L316" t="s">
        <v>219</v>
      </c>
      <c r="M316" t="s">
        <v>3</v>
      </c>
      <c r="N316">
        <v>1</v>
      </c>
      <c r="O316" t="s">
        <v>5547</v>
      </c>
      <c r="P316">
        <v>7005120393</v>
      </c>
      <c r="Q316">
        <v>60027716</v>
      </c>
      <c r="R316" s="7">
        <v>36495</v>
      </c>
      <c r="S316" s="8">
        <f t="shared" si="32"/>
        <v>1999</v>
      </c>
      <c r="T316" s="8">
        <v>1999</v>
      </c>
      <c r="U316" s="8">
        <f t="shared" si="33"/>
        <v>23</v>
      </c>
      <c r="V316" s="7">
        <v>1999</v>
      </c>
      <c r="W316" t="s">
        <v>948</v>
      </c>
      <c r="X316" s="2">
        <v>2.141</v>
      </c>
      <c r="Y316" s="6">
        <f t="shared" si="34"/>
        <v>5.7152772216438434E-2</v>
      </c>
      <c r="AA316">
        <v>1962892</v>
      </c>
      <c r="AB316">
        <v>17360</v>
      </c>
      <c r="AD316" t="s">
        <v>2</v>
      </c>
      <c r="AE316">
        <v>37</v>
      </c>
      <c r="AF316" t="s">
        <v>226</v>
      </c>
      <c r="AH316" t="s">
        <v>725</v>
      </c>
      <c r="AI316" t="s">
        <v>5546</v>
      </c>
      <c r="AJ316" t="s">
        <v>5545</v>
      </c>
      <c r="AK316" t="s">
        <v>5544</v>
      </c>
      <c r="AL316">
        <v>58</v>
      </c>
      <c r="AM316" s="5">
        <f t="shared" si="35"/>
        <v>2.5217391304347827</v>
      </c>
      <c r="AN316" s="4">
        <f t="shared" si="36"/>
        <v>3.8193701331840709E-3</v>
      </c>
      <c r="AO316" s="3"/>
      <c r="AP316">
        <v>0</v>
      </c>
      <c r="AR316" t="s">
        <v>1</v>
      </c>
      <c r="AT316" s="2" t="s">
        <v>0</v>
      </c>
      <c r="AU316" s="1">
        <f t="shared" si="37"/>
        <v>4.1152751591462122</v>
      </c>
      <c r="AV316" s="1">
        <f t="shared" si="38"/>
        <v>3.0486071174811253</v>
      </c>
      <c r="AW316" s="1">
        <f t="shared" si="39"/>
        <v>1.981939075816038</v>
      </c>
    </row>
    <row r="317" spans="1:49" x14ac:dyDescent="0.2">
      <c r="A317">
        <v>315</v>
      </c>
      <c r="B317" t="s">
        <v>5543</v>
      </c>
      <c r="C317" t="s">
        <v>5542</v>
      </c>
      <c r="F317" t="s">
        <v>5541</v>
      </c>
      <c r="G317" t="s">
        <v>6</v>
      </c>
      <c r="H317" t="s">
        <v>5</v>
      </c>
      <c r="I317" t="s">
        <v>4167</v>
      </c>
      <c r="J317">
        <v>60016074</v>
      </c>
      <c r="K317" t="s">
        <v>266</v>
      </c>
      <c r="L317" t="s">
        <v>265</v>
      </c>
      <c r="M317" t="s">
        <v>7</v>
      </c>
      <c r="N317">
        <v>4</v>
      </c>
      <c r="O317" t="s">
        <v>5540</v>
      </c>
      <c r="P317" t="s">
        <v>5539</v>
      </c>
      <c r="Q317" t="s">
        <v>4664</v>
      </c>
      <c r="R317" s="7">
        <v>36495</v>
      </c>
      <c r="S317" s="8">
        <f t="shared" si="32"/>
        <v>1999</v>
      </c>
      <c r="T317" s="8">
        <v>1999</v>
      </c>
      <c r="U317" s="8">
        <f t="shared" si="33"/>
        <v>23</v>
      </c>
      <c r="V317" s="7">
        <v>1999</v>
      </c>
      <c r="W317" t="s">
        <v>263</v>
      </c>
      <c r="X317" s="2">
        <v>0.46700000000000003</v>
      </c>
      <c r="Y317" s="6">
        <f t="shared" si="34"/>
        <v>1.2466298283548225E-2</v>
      </c>
      <c r="AA317">
        <v>10518223</v>
      </c>
      <c r="AB317">
        <v>26026</v>
      </c>
      <c r="AD317" t="s">
        <v>2</v>
      </c>
      <c r="AE317">
        <v>9</v>
      </c>
      <c r="AF317" t="s">
        <v>5034</v>
      </c>
      <c r="AH317" t="s">
        <v>5538</v>
      </c>
      <c r="AI317" t="s">
        <v>5537</v>
      </c>
      <c r="AK317" t="s">
        <v>5536</v>
      </c>
      <c r="AL317">
        <v>8</v>
      </c>
      <c r="AM317" s="5">
        <f t="shared" si="35"/>
        <v>0.34782608695652173</v>
      </c>
      <c r="AN317" s="4">
        <f t="shared" si="36"/>
        <v>5.2680967354263046E-4</v>
      </c>
      <c r="AO317" s="3"/>
      <c r="AP317">
        <v>0</v>
      </c>
      <c r="AQ317" t="s">
        <v>465</v>
      </c>
      <c r="AR317" t="s">
        <v>1</v>
      </c>
      <c r="AS317" t="s">
        <v>4384</v>
      </c>
      <c r="AT317" s="2" t="s">
        <v>0</v>
      </c>
      <c r="AU317" s="1">
        <f t="shared" si="37"/>
        <v>0.88844517005465473</v>
      </c>
      <c r="AV317" s="1">
        <f t="shared" si="38"/>
        <v>0.64965539785454285</v>
      </c>
      <c r="AW317" s="1">
        <f t="shared" si="39"/>
        <v>0.41086562565443085</v>
      </c>
    </row>
    <row r="318" spans="1:49" x14ac:dyDescent="0.2">
      <c r="A318">
        <v>316</v>
      </c>
      <c r="B318" t="s">
        <v>5535</v>
      </c>
      <c r="C318" t="s">
        <v>5534</v>
      </c>
      <c r="D318" t="s">
        <v>5533</v>
      </c>
      <c r="F318" t="s">
        <v>5532</v>
      </c>
      <c r="G318" t="s">
        <v>6</v>
      </c>
      <c r="H318" t="s">
        <v>5</v>
      </c>
      <c r="I318" t="s">
        <v>173</v>
      </c>
      <c r="J318">
        <v>60030526</v>
      </c>
      <c r="K318" t="s">
        <v>158</v>
      </c>
      <c r="L318" t="s">
        <v>32</v>
      </c>
      <c r="M318" t="s">
        <v>7</v>
      </c>
      <c r="N318">
        <v>2</v>
      </c>
      <c r="O318" t="s">
        <v>5531</v>
      </c>
      <c r="P318" t="s">
        <v>5530</v>
      </c>
      <c r="Q318" t="s">
        <v>157</v>
      </c>
      <c r="R318" s="7">
        <v>36495</v>
      </c>
      <c r="S318" s="8">
        <f t="shared" si="32"/>
        <v>1999</v>
      </c>
      <c r="T318" s="8">
        <v>1999</v>
      </c>
      <c r="U318" s="8">
        <f t="shared" si="33"/>
        <v>23</v>
      </c>
      <c r="V318" s="7">
        <v>1999</v>
      </c>
      <c r="W318" t="s">
        <v>124</v>
      </c>
      <c r="X318" s="2">
        <v>1.6519999999999999</v>
      </c>
      <c r="Y318" s="6">
        <f t="shared" si="34"/>
        <v>4.409919649769093E-2</v>
      </c>
      <c r="AA318" t="s">
        <v>123</v>
      </c>
      <c r="AB318">
        <v>17337</v>
      </c>
      <c r="AD318" t="s">
        <v>2</v>
      </c>
      <c r="AE318">
        <v>47</v>
      </c>
      <c r="AF318">
        <v>1</v>
      </c>
      <c r="AH318" s="10">
        <v>44411</v>
      </c>
      <c r="AI318" t="s">
        <v>5529</v>
      </c>
      <c r="AJ318" t="s">
        <v>5528</v>
      </c>
      <c r="AK318" t="s">
        <v>5527</v>
      </c>
      <c r="AL318">
        <v>22</v>
      </c>
      <c r="AM318" s="5">
        <f t="shared" si="35"/>
        <v>0.95652173913043481</v>
      </c>
      <c r="AN318" s="4">
        <f t="shared" si="36"/>
        <v>1.4487266022422337E-3</v>
      </c>
      <c r="AO318" s="3"/>
      <c r="AP318">
        <v>0</v>
      </c>
      <c r="AR318" t="s">
        <v>1</v>
      </c>
      <c r="AT318" s="2" t="s">
        <v>0</v>
      </c>
      <c r="AU318" s="1">
        <f t="shared" si="37"/>
        <v>3.1304055529056325</v>
      </c>
      <c r="AV318" s="1">
        <f t="shared" si="38"/>
        <v>2.2773961549966582</v>
      </c>
      <c r="AW318" s="1">
        <f t="shared" si="39"/>
        <v>1.424386757087684</v>
      </c>
    </row>
    <row r="319" spans="1:49" x14ac:dyDescent="0.2">
      <c r="A319">
        <v>317</v>
      </c>
      <c r="B319" t="s">
        <v>5526</v>
      </c>
      <c r="C319" t="s">
        <v>5525</v>
      </c>
      <c r="D319" t="s">
        <v>5524</v>
      </c>
      <c r="F319" t="s">
        <v>5523</v>
      </c>
      <c r="G319" t="s">
        <v>6</v>
      </c>
      <c r="H319" t="s">
        <v>5</v>
      </c>
      <c r="I319" t="s">
        <v>5522</v>
      </c>
      <c r="J319">
        <v>60026553</v>
      </c>
      <c r="K319" t="s">
        <v>5521</v>
      </c>
      <c r="L319" t="s">
        <v>5520</v>
      </c>
      <c r="M319" t="s">
        <v>67</v>
      </c>
      <c r="N319">
        <v>3</v>
      </c>
      <c r="O319" t="s">
        <v>5519</v>
      </c>
      <c r="P319" t="s">
        <v>5518</v>
      </c>
      <c r="Q319" t="s">
        <v>5517</v>
      </c>
      <c r="R319" s="7">
        <v>36495</v>
      </c>
      <c r="S319" s="8">
        <f t="shared" si="32"/>
        <v>1999</v>
      </c>
      <c r="T319" s="8">
        <v>1999</v>
      </c>
      <c r="U319" s="8">
        <f t="shared" si="33"/>
        <v>23</v>
      </c>
      <c r="V319" s="7">
        <v>1999</v>
      </c>
      <c r="W319" t="s">
        <v>174</v>
      </c>
      <c r="X319" s="2">
        <v>1.3720000000000001</v>
      </c>
      <c r="Y319" s="6">
        <f t="shared" si="34"/>
        <v>3.662475641333654E-2</v>
      </c>
      <c r="AA319">
        <v>189480</v>
      </c>
      <c r="AB319">
        <v>17366</v>
      </c>
      <c r="AD319" t="s">
        <v>2</v>
      </c>
      <c r="AE319">
        <v>47</v>
      </c>
      <c r="AF319" t="s">
        <v>4998</v>
      </c>
      <c r="AH319" t="s">
        <v>5516</v>
      </c>
      <c r="AI319" t="s">
        <v>5515</v>
      </c>
      <c r="AJ319" t="s">
        <v>5514</v>
      </c>
      <c r="AK319" t="s">
        <v>5513</v>
      </c>
      <c r="AL319">
        <v>13</v>
      </c>
      <c r="AM319" s="5">
        <f t="shared" si="35"/>
        <v>0.56521739130434778</v>
      </c>
      <c r="AN319" s="4">
        <f t="shared" si="36"/>
        <v>8.560657195067744E-4</v>
      </c>
      <c r="AO319" s="3"/>
      <c r="AP319">
        <v>0</v>
      </c>
      <c r="AR319" t="s">
        <v>1</v>
      </c>
      <c r="AT319" s="2" t="s">
        <v>0</v>
      </c>
      <c r="AU319" s="1">
        <f t="shared" si="37"/>
        <v>2.5894149205187609</v>
      </c>
      <c r="AV319" s="1">
        <f t="shared" si="38"/>
        <v>1.8740411066421658</v>
      </c>
      <c r="AW319" s="1">
        <f t="shared" si="39"/>
        <v>1.1586672927655706</v>
      </c>
    </row>
    <row r="320" spans="1:49" x14ac:dyDescent="0.2">
      <c r="A320">
        <v>318</v>
      </c>
      <c r="B320" t="s">
        <v>5512</v>
      </c>
      <c r="C320" t="s">
        <v>5511</v>
      </c>
      <c r="D320" t="s">
        <v>5510</v>
      </c>
      <c r="F320" t="s">
        <v>5509</v>
      </c>
      <c r="G320" t="s">
        <v>6</v>
      </c>
      <c r="H320" t="s">
        <v>5</v>
      </c>
      <c r="I320" t="s">
        <v>389</v>
      </c>
      <c r="J320" t="s">
        <v>5508</v>
      </c>
      <c r="K320" t="s">
        <v>5507</v>
      </c>
      <c r="L320" t="s">
        <v>5506</v>
      </c>
      <c r="M320" t="s">
        <v>30</v>
      </c>
      <c r="N320">
        <v>2</v>
      </c>
      <c r="O320" t="s">
        <v>5505</v>
      </c>
      <c r="P320" t="s">
        <v>5504</v>
      </c>
      <c r="Q320" t="s">
        <v>5503</v>
      </c>
      <c r="R320" s="7">
        <v>36495</v>
      </c>
      <c r="S320" s="8">
        <f t="shared" si="32"/>
        <v>1999</v>
      </c>
      <c r="T320" s="8">
        <v>1999</v>
      </c>
      <c r="U320" s="8">
        <f t="shared" si="33"/>
        <v>23</v>
      </c>
      <c r="V320" s="7">
        <v>1999</v>
      </c>
      <c r="W320" t="s">
        <v>124</v>
      </c>
      <c r="X320" s="2">
        <v>1.6519999999999999</v>
      </c>
      <c r="Y320" s="6">
        <f t="shared" si="34"/>
        <v>4.409919649769093E-2</v>
      </c>
      <c r="AA320" t="s">
        <v>123</v>
      </c>
      <c r="AB320">
        <v>17337</v>
      </c>
      <c r="AD320" t="s">
        <v>2</v>
      </c>
      <c r="AE320">
        <v>47</v>
      </c>
      <c r="AF320">
        <v>3</v>
      </c>
      <c r="AH320" t="s">
        <v>5502</v>
      </c>
      <c r="AI320" t="s">
        <v>5501</v>
      </c>
      <c r="AJ320" t="s">
        <v>5500</v>
      </c>
      <c r="AK320" t="s">
        <v>5499</v>
      </c>
      <c r="AL320">
        <v>18</v>
      </c>
      <c r="AM320" s="5">
        <f t="shared" si="35"/>
        <v>0.78260869565217395</v>
      </c>
      <c r="AN320" s="4">
        <f t="shared" si="36"/>
        <v>1.1853217654709185E-3</v>
      </c>
      <c r="AO320" s="3"/>
      <c r="AP320">
        <v>0</v>
      </c>
      <c r="AQ320" t="s">
        <v>241</v>
      </c>
      <c r="AR320" t="s">
        <v>5498</v>
      </c>
      <c r="AS320" t="s">
        <v>240</v>
      </c>
      <c r="AT320" s="2" t="s">
        <v>0</v>
      </c>
      <c r="AU320" s="1">
        <f t="shared" si="37"/>
        <v>3.1225034078024927</v>
      </c>
      <c r="AV320" s="1">
        <f t="shared" si="38"/>
        <v>2.2642259131580924</v>
      </c>
      <c r="AW320" s="1">
        <f t="shared" si="39"/>
        <v>1.4059484185136921</v>
      </c>
    </row>
    <row r="321" spans="1:49" x14ac:dyDescent="0.2">
      <c r="A321">
        <v>319</v>
      </c>
      <c r="B321" t="s">
        <v>5497</v>
      </c>
      <c r="C321" t="s">
        <v>5496</v>
      </c>
      <c r="D321" t="s">
        <v>5495</v>
      </c>
      <c r="F321" t="s">
        <v>5494</v>
      </c>
      <c r="G321" t="s">
        <v>6</v>
      </c>
      <c r="H321" t="s">
        <v>5</v>
      </c>
      <c r="I321" t="s">
        <v>680</v>
      </c>
      <c r="J321">
        <v>60013301</v>
      </c>
      <c r="K321" t="s">
        <v>5360</v>
      </c>
      <c r="L321" t="s">
        <v>777</v>
      </c>
      <c r="M321" t="s">
        <v>3</v>
      </c>
      <c r="N321">
        <v>1</v>
      </c>
      <c r="O321" t="s">
        <v>5359</v>
      </c>
      <c r="P321">
        <v>7006784913</v>
      </c>
      <c r="Q321">
        <v>60013301</v>
      </c>
      <c r="R321" s="7">
        <v>36495</v>
      </c>
      <c r="S321" s="8">
        <f t="shared" si="32"/>
        <v>1999</v>
      </c>
      <c r="T321" s="8">
        <v>1999</v>
      </c>
      <c r="U321" s="8">
        <f t="shared" si="33"/>
        <v>23</v>
      </c>
      <c r="V321" s="7">
        <v>1999</v>
      </c>
      <c r="W321" t="s">
        <v>89</v>
      </c>
      <c r="X321" s="2">
        <v>1.365</v>
      </c>
      <c r="Y321" s="6">
        <f t="shared" si="34"/>
        <v>3.6437895411227675E-2</v>
      </c>
      <c r="AA321">
        <v>189545</v>
      </c>
      <c r="AB321">
        <v>17393</v>
      </c>
      <c r="AD321" t="s">
        <v>2</v>
      </c>
      <c r="AE321">
        <v>48</v>
      </c>
      <c r="AF321">
        <v>3</v>
      </c>
      <c r="AH321" t="s">
        <v>5493</v>
      </c>
      <c r="AI321" t="s">
        <v>5492</v>
      </c>
      <c r="AK321" t="s">
        <v>5491</v>
      </c>
      <c r="AL321">
        <v>3</v>
      </c>
      <c r="AM321" s="5">
        <f t="shared" si="35"/>
        <v>0.13043478260869565</v>
      </c>
      <c r="AN321" s="4">
        <f t="shared" si="36"/>
        <v>1.9755362757848641E-4</v>
      </c>
      <c r="AO321" s="3"/>
      <c r="AP321">
        <v>0</v>
      </c>
      <c r="AR321" t="s">
        <v>1</v>
      </c>
      <c r="AT321" s="2" t="s">
        <v>0</v>
      </c>
      <c r="AU321" s="1">
        <f t="shared" si="37"/>
        <v>2.5565792876132916</v>
      </c>
      <c r="AV321" s="1">
        <f t="shared" si="38"/>
        <v>1.831772451940308</v>
      </c>
      <c r="AW321" s="1">
        <f t="shared" si="39"/>
        <v>1.1069656162673243</v>
      </c>
    </row>
    <row r="322" spans="1:49" x14ac:dyDescent="0.2">
      <c r="A322">
        <v>320</v>
      </c>
      <c r="B322" t="s">
        <v>5490</v>
      </c>
      <c r="C322" t="s">
        <v>5489</v>
      </c>
      <c r="D322" t="s">
        <v>5488</v>
      </c>
      <c r="F322" t="s">
        <v>5487</v>
      </c>
      <c r="G322" t="s">
        <v>6</v>
      </c>
      <c r="H322" t="s">
        <v>5</v>
      </c>
      <c r="I322" t="s">
        <v>5486</v>
      </c>
      <c r="J322">
        <v>60000990</v>
      </c>
      <c r="K322" t="s">
        <v>291</v>
      </c>
      <c r="L322" t="s">
        <v>290</v>
      </c>
      <c r="M322" t="s">
        <v>289</v>
      </c>
      <c r="N322">
        <v>1</v>
      </c>
      <c r="O322" t="s">
        <v>5485</v>
      </c>
      <c r="P322">
        <v>6603550129</v>
      </c>
      <c r="Q322">
        <v>60000990</v>
      </c>
      <c r="R322" s="7">
        <v>36495</v>
      </c>
      <c r="S322" s="8">
        <f t="shared" ref="S322:S385" si="40">YEAR(R322)</f>
        <v>1999</v>
      </c>
      <c r="T322" s="8">
        <v>1999</v>
      </c>
      <c r="U322" s="8">
        <f t="shared" ref="U322:U385" si="41">2022-T322</f>
        <v>23</v>
      </c>
      <c r="V322" s="7">
        <v>1999</v>
      </c>
      <c r="W322" t="s">
        <v>89</v>
      </c>
      <c r="X322" s="2">
        <v>1.365</v>
      </c>
      <c r="Y322" s="6">
        <f t="shared" ref="Y322:Y385" si="42">(X322-$Z$3)/($Z$2-$Z$3)</f>
        <v>3.6437895411227675E-2</v>
      </c>
      <c r="AA322">
        <v>189545</v>
      </c>
      <c r="AB322">
        <v>17393</v>
      </c>
      <c r="AD322" t="s">
        <v>2</v>
      </c>
      <c r="AE322">
        <v>48</v>
      </c>
      <c r="AF322">
        <v>3</v>
      </c>
      <c r="AH322" t="s">
        <v>5484</v>
      </c>
      <c r="AI322" t="s">
        <v>5483</v>
      </c>
      <c r="AJ322" t="s">
        <v>5482</v>
      </c>
      <c r="AK322" t="s">
        <v>5481</v>
      </c>
      <c r="AL322">
        <v>21</v>
      </c>
      <c r="AM322" s="5">
        <f t="shared" ref="AM322:AM385" si="43">AL322/U322</f>
        <v>0.91304347826086951</v>
      </c>
      <c r="AN322" s="4">
        <f t="shared" ref="AN322:AN385" si="44">(AM322-$AO$3)/($AO$2-$AO$3)</f>
        <v>1.3828753930494049E-3</v>
      </c>
      <c r="AO322" s="3"/>
      <c r="AP322">
        <v>0</v>
      </c>
      <c r="AR322" t="s">
        <v>1</v>
      </c>
      <c r="AT322" s="2" t="s">
        <v>0</v>
      </c>
      <c r="AU322" s="1">
        <f t="shared" ref="AU322:AU385" si="45">(Y322*0.7+AN322*0.3)*100</f>
        <v>2.5921389405774193</v>
      </c>
      <c r="AV322" s="1">
        <f t="shared" ref="AV322:AV385" si="46">(Y322*0.5+AN322*0.5)*100</f>
        <v>1.8910385402138539</v>
      </c>
      <c r="AW322" s="1">
        <f t="shared" ref="AW322:AW385" si="47">(Y322*0.3+AN322*0.7)*100</f>
        <v>1.1899381398502886</v>
      </c>
    </row>
    <row r="323" spans="1:49" x14ac:dyDescent="0.2">
      <c r="A323">
        <v>321</v>
      </c>
      <c r="B323" t="s">
        <v>5480</v>
      </c>
      <c r="C323" t="s">
        <v>5479</v>
      </c>
      <c r="F323" t="s">
        <v>5478</v>
      </c>
      <c r="G323" t="s">
        <v>6</v>
      </c>
      <c r="H323" t="s">
        <v>5</v>
      </c>
      <c r="I323" t="s">
        <v>5477</v>
      </c>
      <c r="J323">
        <v>60015682</v>
      </c>
      <c r="K323" t="s">
        <v>5476</v>
      </c>
      <c r="L323" t="s">
        <v>5475</v>
      </c>
      <c r="M323" t="s">
        <v>7</v>
      </c>
      <c r="N323">
        <v>6</v>
      </c>
      <c r="O323" t="s">
        <v>5474</v>
      </c>
      <c r="P323" t="s">
        <v>5473</v>
      </c>
      <c r="Q323" t="s">
        <v>5472</v>
      </c>
      <c r="R323" s="7">
        <v>36495</v>
      </c>
      <c r="S323" s="8">
        <f t="shared" si="40"/>
        <v>1999</v>
      </c>
      <c r="T323" s="8">
        <v>1999</v>
      </c>
      <c r="U323" s="8">
        <f t="shared" si="41"/>
        <v>23</v>
      </c>
      <c r="V323" s="7">
        <v>1999</v>
      </c>
      <c r="W323" t="s">
        <v>263</v>
      </c>
      <c r="X323" s="2">
        <v>0.46700000000000003</v>
      </c>
      <c r="Y323" s="6">
        <f t="shared" si="42"/>
        <v>1.2466298283548225E-2</v>
      </c>
      <c r="AA323">
        <v>10518223</v>
      </c>
      <c r="AB323">
        <v>26026</v>
      </c>
      <c r="AD323" t="s">
        <v>2</v>
      </c>
      <c r="AE323">
        <v>9</v>
      </c>
      <c r="AF323" t="s">
        <v>5034</v>
      </c>
      <c r="AH323" t="s">
        <v>5471</v>
      </c>
      <c r="AI323" t="s">
        <v>5470</v>
      </c>
      <c r="AK323" t="s">
        <v>5469</v>
      </c>
      <c r="AL323">
        <v>0</v>
      </c>
      <c r="AM323" s="5">
        <f t="shared" si="43"/>
        <v>0</v>
      </c>
      <c r="AN323" s="4">
        <f t="shared" si="44"/>
        <v>0</v>
      </c>
      <c r="AO323" s="3"/>
      <c r="AP323">
        <v>0</v>
      </c>
      <c r="AR323" t="s">
        <v>1</v>
      </c>
      <c r="AT323" s="2" t="s">
        <v>0</v>
      </c>
      <c r="AU323" s="1">
        <f t="shared" si="45"/>
        <v>0.87264087984837579</v>
      </c>
      <c r="AV323" s="1">
        <f t="shared" si="46"/>
        <v>0.62331491417741125</v>
      </c>
      <c r="AW323" s="1">
        <f t="shared" si="47"/>
        <v>0.37398894850644676</v>
      </c>
    </row>
    <row r="324" spans="1:49" x14ac:dyDescent="0.2">
      <c r="A324">
        <v>322</v>
      </c>
      <c r="B324" t="s">
        <v>5468</v>
      </c>
      <c r="C324" t="s">
        <v>5467</v>
      </c>
      <c r="F324" t="s">
        <v>5466</v>
      </c>
      <c r="G324" t="s">
        <v>6</v>
      </c>
      <c r="H324" t="s">
        <v>5</v>
      </c>
      <c r="I324" t="s">
        <v>5465</v>
      </c>
      <c r="J324" t="s">
        <v>5464</v>
      </c>
      <c r="K324" t="s">
        <v>5463</v>
      </c>
      <c r="L324" t="s">
        <v>5462</v>
      </c>
      <c r="M324" t="s">
        <v>30</v>
      </c>
      <c r="N324">
        <v>11</v>
      </c>
      <c r="O324" t="s">
        <v>5461</v>
      </c>
      <c r="P324" t="s">
        <v>5460</v>
      </c>
      <c r="Q324" t="s">
        <v>5459</v>
      </c>
      <c r="R324" s="7">
        <v>36495</v>
      </c>
      <c r="S324" s="8">
        <f t="shared" si="40"/>
        <v>1999</v>
      </c>
      <c r="T324" s="8">
        <v>1999</v>
      </c>
      <c r="U324" s="8">
        <f t="shared" si="41"/>
        <v>23</v>
      </c>
      <c r="V324" s="7">
        <v>1999</v>
      </c>
      <c r="W324" t="s">
        <v>263</v>
      </c>
      <c r="X324" s="2">
        <v>0.46700000000000003</v>
      </c>
      <c r="Y324" s="6">
        <f t="shared" si="42"/>
        <v>1.2466298283548225E-2</v>
      </c>
      <c r="AA324">
        <v>10518223</v>
      </c>
      <c r="AB324">
        <v>26026</v>
      </c>
      <c r="AD324" t="s">
        <v>2</v>
      </c>
      <c r="AE324">
        <v>9</v>
      </c>
      <c r="AF324" t="s">
        <v>5034</v>
      </c>
      <c r="AH324" t="s">
        <v>5458</v>
      </c>
      <c r="AI324" t="s">
        <v>5457</v>
      </c>
      <c r="AK324" t="s">
        <v>5456</v>
      </c>
      <c r="AL324">
        <v>22</v>
      </c>
      <c r="AM324" s="5">
        <f t="shared" si="43"/>
        <v>0.95652173913043481</v>
      </c>
      <c r="AN324" s="4">
        <f t="shared" si="44"/>
        <v>1.4487266022422337E-3</v>
      </c>
      <c r="AO324" s="3"/>
      <c r="AP324">
        <v>0</v>
      </c>
      <c r="AR324" t="s">
        <v>1</v>
      </c>
      <c r="AT324" s="2" t="s">
        <v>0</v>
      </c>
      <c r="AU324" s="1">
        <f t="shared" si="45"/>
        <v>0.91610267791564282</v>
      </c>
      <c r="AV324" s="1">
        <f t="shared" si="46"/>
        <v>0.69575124428952295</v>
      </c>
      <c r="AW324" s="1">
        <f t="shared" si="47"/>
        <v>0.47539981066340314</v>
      </c>
    </row>
    <row r="325" spans="1:49" x14ac:dyDescent="0.2">
      <c r="A325">
        <v>323</v>
      </c>
      <c r="B325" t="s">
        <v>5455</v>
      </c>
      <c r="C325" t="s">
        <v>5454</v>
      </c>
      <c r="F325" t="s">
        <v>5453</v>
      </c>
      <c r="G325" t="s">
        <v>6</v>
      </c>
      <c r="H325" t="s">
        <v>5</v>
      </c>
      <c r="I325" t="s">
        <v>5452</v>
      </c>
      <c r="J325">
        <v>60122535</v>
      </c>
      <c r="K325" t="s">
        <v>5451</v>
      </c>
      <c r="L325" t="s">
        <v>5450</v>
      </c>
      <c r="M325" t="s">
        <v>47</v>
      </c>
      <c r="N325">
        <v>3</v>
      </c>
      <c r="O325" t="s">
        <v>5449</v>
      </c>
      <c r="P325" t="s">
        <v>5448</v>
      </c>
      <c r="Q325" t="s">
        <v>5447</v>
      </c>
      <c r="R325" s="7">
        <v>36495</v>
      </c>
      <c r="S325" s="8">
        <f t="shared" si="40"/>
        <v>1999</v>
      </c>
      <c r="T325" s="8">
        <v>1999</v>
      </c>
      <c r="U325" s="8">
        <f t="shared" si="41"/>
        <v>23</v>
      </c>
      <c r="V325" s="7">
        <v>1999</v>
      </c>
      <c r="W325" t="s">
        <v>263</v>
      </c>
      <c r="X325" s="2">
        <v>0.46700000000000003</v>
      </c>
      <c r="Y325" s="6">
        <f t="shared" si="42"/>
        <v>1.2466298283548225E-2</v>
      </c>
      <c r="AA325">
        <v>10518223</v>
      </c>
      <c r="AB325">
        <v>26026</v>
      </c>
      <c r="AD325" t="s">
        <v>2</v>
      </c>
      <c r="AE325">
        <v>9</v>
      </c>
      <c r="AF325" t="s">
        <v>5034</v>
      </c>
      <c r="AH325" t="s">
        <v>5446</v>
      </c>
      <c r="AI325" t="s">
        <v>5445</v>
      </c>
      <c r="AK325" t="s">
        <v>5444</v>
      </c>
      <c r="AL325">
        <v>7</v>
      </c>
      <c r="AM325" s="5">
        <f t="shared" si="43"/>
        <v>0.30434782608695654</v>
      </c>
      <c r="AN325" s="4">
        <f t="shared" si="44"/>
        <v>4.6095846434980164E-4</v>
      </c>
      <c r="AO325" s="3"/>
      <c r="AP325">
        <v>0</v>
      </c>
      <c r="AR325" t="s">
        <v>1</v>
      </c>
      <c r="AT325" s="2" t="s">
        <v>0</v>
      </c>
      <c r="AU325" s="1">
        <f t="shared" si="45"/>
        <v>0.88646963377886978</v>
      </c>
      <c r="AV325" s="1">
        <f t="shared" si="46"/>
        <v>0.6463628373949013</v>
      </c>
      <c r="AW325" s="1">
        <f t="shared" si="47"/>
        <v>0.40625604101093282</v>
      </c>
    </row>
    <row r="326" spans="1:49" x14ac:dyDescent="0.2">
      <c r="A326">
        <v>324</v>
      </c>
      <c r="B326" t="s">
        <v>5443</v>
      </c>
      <c r="C326" t="s">
        <v>5442</v>
      </c>
      <c r="F326" t="s">
        <v>5441</v>
      </c>
      <c r="G326" t="s">
        <v>6</v>
      </c>
      <c r="H326" t="s">
        <v>5</v>
      </c>
      <c r="I326" t="s">
        <v>2844</v>
      </c>
      <c r="J326">
        <v>60000990</v>
      </c>
      <c r="K326" t="s">
        <v>291</v>
      </c>
      <c r="L326" t="s">
        <v>290</v>
      </c>
      <c r="M326" t="s">
        <v>289</v>
      </c>
      <c r="N326">
        <v>5</v>
      </c>
      <c r="O326" t="s">
        <v>5440</v>
      </c>
      <c r="P326" t="s">
        <v>5439</v>
      </c>
      <c r="Q326" t="s">
        <v>5438</v>
      </c>
      <c r="R326" s="7">
        <v>36495</v>
      </c>
      <c r="S326" s="8">
        <f t="shared" si="40"/>
        <v>1999</v>
      </c>
      <c r="T326" s="8">
        <v>1999</v>
      </c>
      <c r="U326" s="8">
        <f t="shared" si="41"/>
        <v>23</v>
      </c>
      <c r="V326" s="7">
        <v>1999</v>
      </c>
      <c r="W326" t="s">
        <v>263</v>
      </c>
      <c r="X326" s="2">
        <v>0.46700000000000003</v>
      </c>
      <c r="Y326" s="6">
        <f t="shared" si="42"/>
        <v>1.2466298283548225E-2</v>
      </c>
      <c r="AA326">
        <v>10518223</v>
      </c>
      <c r="AB326">
        <v>26026</v>
      </c>
      <c r="AD326" t="s">
        <v>2</v>
      </c>
      <c r="AE326">
        <v>9</v>
      </c>
      <c r="AF326" t="s">
        <v>5034</v>
      </c>
      <c r="AH326" t="s">
        <v>5437</v>
      </c>
      <c r="AI326" t="s">
        <v>5436</v>
      </c>
      <c r="AK326" t="s">
        <v>5435</v>
      </c>
      <c r="AL326">
        <v>5</v>
      </c>
      <c r="AM326" s="5">
        <f t="shared" si="43"/>
        <v>0.21739130434782608</v>
      </c>
      <c r="AN326" s="4">
        <f t="shared" si="44"/>
        <v>3.29256045964144E-4</v>
      </c>
      <c r="AO326" s="3"/>
      <c r="AP326">
        <v>0</v>
      </c>
      <c r="AQ326" t="s">
        <v>467</v>
      </c>
      <c r="AR326">
        <v>268</v>
      </c>
      <c r="AS326" t="s">
        <v>326</v>
      </c>
      <c r="AT326" s="2" t="s">
        <v>0</v>
      </c>
      <c r="AU326" s="1">
        <f t="shared" si="45"/>
        <v>0.8825185612273001</v>
      </c>
      <c r="AV326" s="1">
        <f t="shared" si="46"/>
        <v>0.63977771647561843</v>
      </c>
      <c r="AW326" s="1">
        <f t="shared" si="47"/>
        <v>0.39703687172393681</v>
      </c>
    </row>
    <row r="327" spans="1:49" x14ac:dyDescent="0.2">
      <c r="A327">
        <v>325</v>
      </c>
      <c r="B327" t="s">
        <v>5434</v>
      </c>
      <c r="C327" t="s">
        <v>5433</v>
      </c>
      <c r="F327" t="s">
        <v>5432</v>
      </c>
      <c r="G327" t="s">
        <v>6</v>
      </c>
      <c r="H327" t="s">
        <v>5</v>
      </c>
      <c r="I327" t="s">
        <v>5431</v>
      </c>
      <c r="J327" t="s">
        <v>5430</v>
      </c>
      <c r="K327" t="s">
        <v>5429</v>
      </c>
      <c r="L327" t="s">
        <v>5428</v>
      </c>
      <c r="M327" t="s">
        <v>261</v>
      </c>
      <c r="N327">
        <v>5</v>
      </c>
      <c r="O327" t="s">
        <v>5427</v>
      </c>
      <c r="P327" t="s">
        <v>5426</v>
      </c>
      <c r="Q327" t="s">
        <v>5425</v>
      </c>
      <c r="R327" s="7">
        <v>36495</v>
      </c>
      <c r="S327" s="8">
        <f t="shared" si="40"/>
        <v>1999</v>
      </c>
      <c r="T327" s="8">
        <v>1999</v>
      </c>
      <c r="U327" s="8">
        <f t="shared" si="41"/>
        <v>23</v>
      </c>
      <c r="V327" s="7">
        <v>1999</v>
      </c>
      <c r="W327" t="s">
        <v>263</v>
      </c>
      <c r="X327" s="2">
        <v>0.46700000000000003</v>
      </c>
      <c r="Y327" s="6">
        <f t="shared" si="42"/>
        <v>1.2466298283548225E-2</v>
      </c>
      <c r="AA327">
        <v>10518223</v>
      </c>
      <c r="AB327">
        <v>26026</v>
      </c>
      <c r="AD327" t="s">
        <v>2</v>
      </c>
      <c r="AE327">
        <v>9</v>
      </c>
      <c r="AF327" t="s">
        <v>5034</v>
      </c>
      <c r="AH327" t="s">
        <v>5424</v>
      </c>
      <c r="AI327" t="s">
        <v>5423</v>
      </c>
      <c r="AK327" t="s">
        <v>5422</v>
      </c>
      <c r="AL327">
        <v>14</v>
      </c>
      <c r="AM327" s="5">
        <f t="shared" si="43"/>
        <v>0.60869565217391308</v>
      </c>
      <c r="AN327" s="4">
        <f t="shared" si="44"/>
        <v>9.2191692869960328E-4</v>
      </c>
      <c r="AO327" s="3"/>
      <c r="AP327">
        <v>0</v>
      </c>
      <c r="AQ327" t="s">
        <v>679</v>
      </c>
      <c r="AR327" t="s">
        <v>5421</v>
      </c>
      <c r="AS327" t="s">
        <v>5420</v>
      </c>
      <c r="AT327" s="2" t="s">
        <v>0</v>
      </c>
      <c r="AU327" s="1">
        <f t="shared" si="45"/>
        <v>0.90029838770936377</v>
      </c>
      <c r="AV327" s="1">
        <f t="shared" si="46"/>
        <v>0.66941076061239146</v>
      </c>
      <c r="AW327" s="1">
        <f t="shared" si="47"/>
        <v>0.43852313351541899</v>
      </c>
    </row>
    <row r="328" spans="1:49" x14ac:dyDescent="0.2">
      <c r="A328">
        <v>326</v>
      </c>
      <c r="B328" t="s">
        <v>5419</v>
      </c>
      <c r="C328" t="s">
        <v>5418</v>
      </c>
      <c r="D328" t="s">
        <v>5417</v>
      </c>
      <c r="F328" t="s">
        <v>5416</v>
      </c>
      <c r="G328" t="s">
        <v>6</v>
      </c>
      <c r="H328" t="s">
        <v>5</v>
      </c>
      <c r="I328" t="s">
        <v>5415</v>
      </c>
      <c r="J328">
        <v>60085693</v>
      </c>
      <c r="K328" t="s">
        <v>5414</v>
      </c>
      <c r="L328" t="s">
        <v>359</v>
      </c>
      <c r="M328" t="s">
        <v>3</v>
      </c>
      <c r="N328">
        <v>1</v>
      </c>
      <c r="O328" t="s">
        <v>5413</v>
      </c>
      <c r="P328">
        <v>36875339200</v>
      </c>
      <c r="Q328">
        <v>60085693</v>
      </c>
      <c r="R328" s="7">
        <v>36495</v>
      </c>
      <c r="S328" s="8">
        <f t="shared" si="40"/>
        <v>1999</v>
      </c>
      <c r="T328" s="8">
        <v>1999</v>
      </c>
      <c r="U328" s="8">
        <f t="shared" si="41"/>
        <v>23</v>
      </c>
      <c r="V328" s="7">
        <v>1999</v>
      </c>
      <c r="W328" t="s">
        <v>124</v>
      </c>
      <c r="X328" s="2">
        <v>1.6519999999999999</v>
      </c>
      <c r="Y328" s="6">
        <f t="shared" si="42"/>
        <v>4.409919649769093E-2</v>
      </c>
      <c r="AA328" t="s">
        <v>123</v>
      </c>
      <c r="AB328">
        <v>17337</v>
      </c>
      <c r="AD328" t="s">
        <v>2</v>
      </c>
      <c r="AE328">
        <v>47</v>
      </c>
      <c r="AF328">
        <v>3</v>
      </c>
      <c r="AH328" t="s">
        <v>1143</v>
      </c>
      <c r="AI328" t="s">
        <v>5412</v>
      </c>
      <c r="AJ328" t="s">
        <v>5411</v>
      </c>
      <c r="AK328" t="s">
        <v>5410</v>
      </c>
      <c r="AL328">
        <v>21</v>
      </c>
      <c r="AM328" s="5">
        <f t="shared" si="43"/>
        <v>0.91304347826086951</v>
      </c>
      <c r="AN328" s="4">
        <f t="shared" si="44"/>
        <v>1.3828753930494049E-3</v>
      </c>
      <c r="AO328" s="3"/>
      <c r="AP328">
        <v>0</v>
      </c>
      <c r="AR328" t="s">
        <v>1</v>
      </c>
      <c r="AT328" s="2" t="s">
        <v>0</v>
      </c>
      <c r="AU328" s="1">
        <f t="shared" si="45"/>
        <v>3.1284300166298471</v>
      </c>
      <c r="AV328" s="1">
        <f t="shared" si="46"/>
        <v>2.2741035945370167</v>
      </c>
      <c r="AW328" s="1">
        <f t="shared" si="47"/>
        <v>1.4197771724441861</v>
      </c>
    </row>
    <row r="329" spans="1:49" x14ac:dyDescent="0.2">
      <c r="A329">
        <v>327</v>
      </c>
      <c r="B329" t="s">
        <v>5409</v>
      </c>
      <c r="C329" t="s">
        <v>5408</v>
      </c>
      <c r="F329" t="s">
        <v>5407</v>
      </c>
      <c r="G329" t="s">
        <v>6</v>
      </c>
      <c r="H329" t="s">
        <v>5</v>
      </c>
      <c r="I329" t="s">
        <v>5406</v>
      </c>
      <c r="J329" t="s">
        <v>5405</v>
      </c>
      <c r="K329" t="s">
        <v>5404</v>
      </c>
      <c r="L329" t="s">
        <v>5403</v>
      </c>
      <c r="M329" t="s">
        <v>120</v>
      </c>
      <c r="N329">
        <v>7</v>
      </c>
      <c r="O329" t="s">
        <v>5402</v>
      </c>
      <c r="P329" t="s">
        <v>5401</v>
      </c>
      <c r="Q329" t="s">
        <v>5400</v>
      </c>
      <c r="R329" s="7">
        <v>36495</v>
      </c>
      <c r="S329" s="8">
        <f t="shared" si="40"/>
        <v>1999</v>
      </c>
      <c r="T329" s="8">
        <v>1999</v>
      </c>
      <c r="U329" s="8">
        <f t="shared" si="41"/>
        <v>23</v>
      </c>
      <c r="V329" s="7">
        <v>1999</v>
      </c>
      <c r="W329" t="s">
        <v>263</v>
      </c>
      <c r="X329" s="2">
        <v>0.46700000000000003</v>
      </c>
      <c r="Y329" s="6">
        <f t="shared" si="42"/>
        <v>1.2466298283548225E-2</v>
      </c>
      <c r="AA329">
        <v>10518223</v>
      </c>
      <c r="AB329">
        <v>26026</v>
      </c>
      <c r="AD329" t="s">
        <v>2</v>
      </c>
      <c r="AE329">
        <v>9</v>
      </c>
      <c r="AF329" t="s">
        <v>5034</v>
      </c>
      <c r="AH329" t="s">
        <v>5399</v>
      </c>
      <c r="AI329" t="s">
        <v>5398</v>
      </c>
      <c r="AK329" t="s">
        <v>5397</v>
      </c>
      <c r="AL329">
        <v>7</v>
      </c>
      <c r="AM329" s="5">
        <f t="shared" si="43"/>
        <v>0.30434782608695654</v>
      </c>
      <c r="AN329" s="4">
        <f t="shared" si="44"/>
        <v>4.6095846434980164E-4</v>
      </c>
      <c r="AO329" s="3"/>
      <c r="AP329">
        <v>0</v>
      </c>
      <c r="AQ329" t="s">
        <v>5396</v>
      </c>
      <c r="AR329" t="s">
        <v>1</v>
      </c>
      <c r="AS329" t="s">
        <v>5395</v>
      </c>
      <c r="AT329" s="2" t="s">
        <v>0</v>
      </c>
      <c r="AU329" s="1">
        <f t="shared" si="45"/>
        <v>0.88646963377886978</v>
      </c>
      <c r="AV329" s="1">
        <f t="shared" si="46"/>
        <v>0.6463628373949013</v>
      </c>
      <c r="AW329" s="1">
        <f t="shared" si="47"/>
        <v>0.40625604101093282</v>
      </c>
    </row>
    <row r="330" spans="1:49" x14ac:dyDescent="0.2">
      <c r="A330">
        <v>328</v>
      </c>
      <c r="B330" t="s">
        <v>5394</v>
      </c>
      <c r="C330" t="s">
        <v>5393</v>
      </c>
      <c r="F330" t="s">
        <v>5392</v>
      </c>
      <c r="G330" t="s">
        <v>6</v>
      </c>
      <c r="H330" t="s">
        <v>5</v>
      </c>
      <c r="I330" t="s">
        <v>5391</v>
      </c>
      <c r="J330">
        <v>60001490</v>
      </c>
      <c r="K330" t="s">
        <v>5390</v>
      </c>
      <c r="L330" t="s">
        <v>5389</v>
      </c>
      <c r="M330" t="s">
        <v>58</v>
      </c>
      <c r="N330">
        <v>1</v>
      </c>
      <c r="O330" t="s">
        <v>5388</v>
      </c>
      <c r="P330">
        <v>7003615886</v>
      </c>
      <c r="Q330">
        <v>60001490</v>
      </c>
      <c r="R330" s="7">
        <v>36495</v>
      </c>
      <c r="S330" s="8">
        <f t="shared" si="40"/>
        <v>1999</v>
      </c>
      <c r="T330" s="8">
        <v>1999</v>
      </c>
      <c r="U330" s="8">
        <f t="shared" si="41"/>
        <v>23</v>
      </c>
      <c r="V330" s="7">
        <v>1999</v>
      </c>
      <c r="W330" t="s">
        <v>227</v>
      </c>
      <c r="X330" s="2">
        <v>0.375</v>
      </c>
      <c r="Y330" s="6">
        <f t="shared" si="42"/>
        <v>1.0010410827260351E-2</v>
      </c>
      <c r="AA330">
        <v>135194</v>
      </c>
      <c r="AB330">
        <v>24918</v>
      </c>
      <c r="AD330" t="s">
        <v>2</v>
      </c>
      <c r="AE330">
        <v>35</v>
      </c>
      <c r="AF330">
        <v>16</v>
      </c>
      <c r="AH330" t="s">
        <v>5387</v>
      </c>
      <c r="AI330" t="s">
        <v>5386</v>
      </c>
      <c r="AK330" t="s">
        <v>5385</v>
      </c>
      <c r="AL330">
        <v>2</v>
      </c>
      <c r="AM330" s="5">
        <f t="shared" si="43"/>
        <v>8.6956521739130432E-2</v>
      </c>
      <c r="AN330" s="4">
        <f t="shared" si="44"/>
        <v>1.3170241838565761E-4</v>
      </c>
      <c r="AO330" s="3"/>
      <c r="AP330">
        <v>0</v>
      </c>
      <c r="AR330" t="s">
        <v>1</v>
      </c>
      <c r="AT330" s="2">
        <v>1.3140000000000001</v>
      </c>
      <c r="AU330" s="1">
        <f t="shared" si="45"/>
        <v>0.70467983045979432</v>
      </c>
      <c r="AV330" s="1">
        <f t="shared" si="46"/>
        <v>0.50710566228230036</v>
      </c>
      <c r="AW330" s="1">
        <f t="shared" si="47"/>
        <v>0.30953149410480657</v>
      </c>
    </row>
    <row r="331" spans="1:49" x14ac:dyDescent="0.2">
      <c r="A331">
        <v>329</v>
      </c>
      <c r="B331" t="s">
        <v>5384</v>
      </c>
      <c r="C331" t="s">
        <v>5383</v>
      </c>
      <c r="D331" t="s">
        <v>5382</v>
      </c>
      <c r="F331" t="s">
        <v>5381</v>
      </c>
      <c r="G331" t="s">
        <v>6</v>
      </c>
      <c r="H331" t="s">
        <v>5</v>
      </c>
      <c r="I331" t="s">
        <v>5380</v>
      </c>
      <c r="J331">
        <v>60026638</v>
      </c>
      <c r="K331" t="s">
        <v>806</v>
      </c>
      <c r="L331" t="s">
        <v>486</v>
      </c>
      <c r="M331" t="s">
        <v>485</v>
      </c>
      <c r="N331">
        <v>3</v>
      </c>
      <c r="O331" t="s">
        <v>5379</v>
      </c>
      <c r="P331" t="s">
        <v>5378</v>
      </c>
      <c r="Q331" t="s">
        <v>5377</v>
      </c>
      <c r="R331" s="7">
        <v>36495</v>
      </c>
      <c r="S331" s="8">
        <f t="shared" si="40"/>
        <v>1999</v>
      </c>
      <c r="T331" s="8">
        <v>1999</v>
      </c>
      <c r="U331" s="8">
        <f t="shared" si="41"/>
        <v>23</v>
      </c>
      <c r="V331" s="7">
        <v>1999</v>
      </c>
      <c r="W331" t="s">
        <v>174</v>
      </c>
      <c r="X331" s="2">
        <v>1.3720000000000001</v>
      </c>
      <c r="Y331" s="6">
        <f t="shared" si="42"/>
        <v>3.662475641333654E-2</v>
      </c>
      <c r="AA331">
        <v>189480</v>
      </c>
      <c r="AB331">
        <v>17366</v>
      </c>
      <c r="AD331" t="s">
        <v>2</v>
      </c>
      <c r="AE331">
        <v>47</v>
      </c>
      <c r="AF331" t="s">
        <v>399</v>
      </c>
      <c r="AH331" t="s">
        <v>5376</v>
      </c>
      <c r="AI331" t="s">
        <v>5375</v>
      </c>
      <c r="AJ331" t="s">
        <v>5374</v>
      </c>
      <c r="AK331" t="s">
        <v>5373</v>
      </c>
      <c r="AL331">
        <v>40</v>
      </c>
      <c r="AM331" s="5">
        <f t="shared" si="43"/>
        <v>1.7391304347826086</v>
      </c>
      <c r="AN331" s="4">
        <f t="shared" si="44"/>
        <v>2.634048367713152E-3</v>
      </c>
      <c r="AO331" s="3"/>
      <c r="AP331">
        <v>0</v>
      </c>
      <c r="AR331" t="s">
        <v>1</v>
      </c>
      <c r="AT331" s="2" t="s">
        <v>0</v>
      </c>
      <c r="AU331" s="1">
        <f t="shared" si="45"/>
        <v>2.6427543999649519</v>
      </c>
      <c r="AV331" s="1">
        <f t="shared" si="46"/>
        <v>1.9629402390524846</v>
      </c>
      <c r="AW331" s="1">
        <f t="shared" si="47"/>
        <v>1.2831260781400169</v>
      </c>
    </row>
    <row r="332" spans="1:49" x14ac:dyDescent="0.2">
      <c r="A332">
        <v>330</v>
      </c>
      <c r="B332" t="s">
        <v>5372</v>
      </c>
      <c r="C332" t="s">
        <v>5371</v>
      </c>
      <c r="D332" t="s">
        <v>5370</v>
      </c>
      <c r="F332" t="s">
        <v>5369</v>
      </c>
      <c r="G332" t="s">
        <v>6</v>
      </c>
      <c r="H332" t="s">
        <v>5</v>
      </c>
      <c r="I332" t="s">
        <v>4930</v>
      </c>
      <c r="J332">
        <v>60005681</v>
      </c>
      <c r="K332" t="s">
        <v>73</v>
      </c>
      <c r="L332" t="s">
        <v>72</v>
      </c>
      <c r="M332" t="s">
        <v>71</v>
      </c>
      <c r="N332">
        <v>2</v>
      </c>
      <c r="O332" t="s">
        <v>4929</v>
      </c>
      <c r="P332" t="s">
        <v>4928</v>
      </c>
      <c r="Q332" t="s">
        <v>70</v>
      </c>
      <c r="R332" s="7">
        <v>36495</v>
      </c>
      <c r="S332" s="8">
        <f t="shared" si="40"/>
        <v>1999</v>
      </c>
      <c r="T332" s="8">
        <v>1999</v>
      </c>
      <c r="U332" s="8">
        <f t="shared" si="41"/>
        <v>23</v>
      </c>
      <c r="V332" s="7">
        <v>1999</v>
      </c>
      <c r="W332" t="s">
        <v>124</v>
      </c>
      <c r="X332" s="2">
        <v>1.6519999999999999</v>
      </c>
      <c r="Y332" s="6">
        <f t="shared" si="42"/>
        <v>4.409919649769093E-2</v>
      </c>
      <c r="AA332" t="s">
        <v>123</v>
      </c>
      <c r="AB332">
        <v>17337</v>
      </c>
      <c r="AD332" t="s">
        <v>2</v>
      </c>
      <c r="AE332">
        <v>47</v>
      </c>
      <c r="AF332">
        <v>2</v>
      </c>
      <c r="AH332" t="s">
        <v>5368</v>
      </c>
      <c r="AI332" t="s">
        <v>5367</v>
      </c>
      <c r="AJ332" t="s">
        <v>5366</v>
      </c>
      <c r="AK332" t="s">
        <v>5365</v>
      </c>
      <c r="AL332">
        <v>57</v>
      </c>
      <c r="AM332" s="5">
        <f t="shared" si="43"/>
        <v>2.4782608695652173</v>
      </c>
      <c r="AN332" s="4">
        <f t="shared" si="44"/>
        <v>3.7535189239912416E-3</v>
      </c>
      <c r="AO332" s="3"/>
      <c r="AP332">
        <v>0</v>
      </c>
      <c r="AQ332" t="s">
        <v>241</v>
      </c>
      <c r="AR332" t="s">
        <v>4923</v>
      </c>
      <c r="AS332" t="s">
        <v>240</v>
      </c>
      <c r="AT332" s="2" t="s">
        <v>0</v>
      </c>
      <c r="AU332" s="1">
        <f t="shared" si="45"/>
        <v>3.1995493225581026</v>
      </c>
      <c r="AV332" s="1">
        <f t="shared" si="46"/>
        <v>2.3926357710841084</v>
      </c>
      <c r="AW332" s="1">
        <f t="shared" si="47"/>
        <v>1.5857222196101146</v>
      </c>
    </row>
    <row r="333" spans="1:49" x14ac:dyDescent="0.2">
      <c r="A333">
        <v>331</v>
      </c>
      <c r="B333" t="s">
        <v>5364</v>
      </c>
      <c r="C333" t="s">
        <v>5363</v>
      </c>
      <c r="D333" t="s">
        <v>5362</v>
      </c>
      <c r="F333" t="s">
        <v>5361</v>
      </c>
      <c r="G333" t="s">
        <v>6</v>
      </c>
      <c r="H333" t="s">
        <v>5</v>
      </c>
      <c r="I333" t="s">
        <v>680</v>
      </c>
      <c r="J333">
        <v>60013301</v>
      </c>
      <c r="K333" t="s">
        <v>5360</v>
      </c>
      <c r="L333" t="s">
        <v>777</v>
      </c>
      <c r="M333" t="s">
        <v>3</v>
      </c>
      <c r="N333">
        <v>1</v>
      </c>
      <c r="O333" t="s">
        <v>5359</v>
      </c>
      <c r="P333">
        <v>7006784913</v>
      </c>
      <c r="Q333">
        <v>60013301</v>
      </c>
      <c r="R333" s="7">
        <v>36495</v>
      </c>
      <c r="S333" s="8">
        <f t="shared" si="40"/>
        <v>1999</v>
      </c>
      <c r="T333" s="8">
        <v>1999</v>
      </c>
      <c r="U333" s="8">
        <f t="shared" si="41"/>
        <v>23</v>
      </c>
      <c r="V333" s="7">
        <v>1999</v>
      </c>
      <c r="W333" t="s">
        <v>89</v>
      </c>
      <c r="X333" s="2">
        <v>1.365</v>
      </c>
      <c r="Y333" s="6">
        <f t="shared" si="42"/>
        <v>3.6437895411227675E-2</v>
      </c>
      <c r="AA333">
        <v>189545</v>
      </c>
      <c r="AB333">
        <v>17393</v>
      </c>
      <c r="AD333" t="s">
        <v>2</v>
      </c>
      <c r="AE333">
        <v>48</v>
      </c>
      <c r="AF333">
        <v>3</v>
      </c>
      <c r="AH333" t="s">
        <v>5358</v>
      </c>
      <c r="AI333" t="s">
        <v>5357</v>
      </c>
      <c r="AK333" t="s">
        <v>5356</v>
      </c>
      <c r="AL333">
        <v>15</v>
      </c>
      <c r="AM333" s="5">
        <f t="shared" si="43"/>
        <v>0.65217391304347827</v>
      </c>
      <c r="AN333" s="4">
        <f t="shared" si="44"/>
        <v>9.8776813789243204E-4</v>
      </c>
      <c r="AO333" s="3"/>
      <c r="AP333">
        <v>0</v>
      </c>
      <c r="AR333" t="s">
        <v>1</v>
      </c>
      <c r="AS333" t="s">
        <v>3127</v>
      </c>
      <c r="AT333" s="2" t="s">
        <v>0</v>
      </c>
      <c r="AU333" s="1">
        <f t="shared" si="45"/>
        <v>2.5802857229227096</v>
      </c>
      <c r="AV333" s="1">
        <f t="shared" si="46"/>
        <v>1.8712831774560055</v>
      </c>
      <c r="AW333" s="1">
        <f t="shared" si="47"/>
        <v>1.1622806319893004</v>
      </c>
    </row>
    <row r="334" spans="1:49" x14ac:dyDescent="0.2">
      <c r="A334">
        <v>332</v>
      </c>
      <c r="B334" t="s">
        <v>5355</v>
      </c>
      <c r="C334" t="s">
        <v>5354</v>
      </c>
      <c r="D334" t="s">
        <v>5353</v>
      </c>
      <c r="F334" t="s">
        <v>5352</v>
      </c>
      <c r="G334" t="s">
        <v>6</v>
      </c>
      <c r="H334" t="s">
        <v>5</v>
      </c>
      <c r="I334" t="s">
        <v>5351</v>
      </c>
      <c r="J334">
        <v>60101699</v>
      </c>
      <c r="K334" t="s">
        <v>554</v>
      </c>
      <c r="L334" t="s">
        <v>32</v>
      </c>
      <c r="M334" t="s">
        <v>7</v>
      </c>
      <c r="N334">
        <v>4</v>
      </c>
      <c r="O334" t="s">
        <v>5350</v>
      </c>
      <c r="P334" t="s">
        <v>5349</v>
      </c>
      <c r="Q334" t="s">
        <v>624</v>
      </c>
      <c r="R334" s="7">
        <v>36495</v>
      </c>
      <c r="S334" s="8">
        <f t="shared" si="40"/>
        <v>1999</v>
      </c>
      <c r="T334" s="8">
        <v>1999</v>
      </c>
      <c r="U334" s="8">
        <f t="shared" si="41"/>
        <v>23</v>
      </c>
      <c r="V334" s="7">
        <v>1999</v>
      </c>
      <c r="W334" t="s">
        <v>124</v>
      </c>
      <c r="X334" s="2">
        <v>1.6519999999999999</v>
      </c>
      <c r="Y334" s="6">
        <f t="shared" si="42"/>
        <v>4.409919649769093E-2</v>
      </c>
      <c r="AA334" t="s">
        <v>123</v>
      </c>
      <c r="AB334">
        <v>17337</v>
      </c>
      <c r="AD334" t="s">
        <v>2</v>
      </c>
      <c r="AE334">
        <v>47</v>
      </c>
      <c r="AF334">
        <v>3</v>
      </c>
      <c r="AH334" t="s">
        <v>5348</v>
      </c>
      <c r="AI334" t="s">
        <v>5347</v>
      </c>
      <c r="AJ334" t="s">
        <v>4936</v>
      </c>
      <c r="AK334" t="s">
        <v>5346</v>
      </c>
      <c r="AL334">
        <v>20</v>
      </c>
      <c r="AM334" s="5">
        <f t="shared" si="43"/>
        <v>0.86956521739130432</v>
      </c>
      <c r="AN334" s="4">
        <f t="shared" si="44"/>
        <v>1.317024183856576E-3</v>
      </c>
      <c r="AO334" s="3"/>
      <c r="AP334">
        <v>0</v>
      </c>
      <c r="AR334" t="s">
        <v>1</v>
      </c>
      <c r="AT334" s="2" t="s">
        <v>0</v>
      </c>
      <c r="AU334" s="1">
        <f t="shared" si="45"/>
        <v>3.1264544803540621</v>
      </c>
      <c r="AV334" s="1">
        <f t="shared" si="46"/>
        <v>2.2708110340773753</v>
      </c>
      <c r="AW334" s="1">
        <f t="shared" si="47"/>
        <v>1.4151675878006882</v>
      </c>
    </row>
    <row r="335" spans="1:49" x14ac:dyDescent="0.2">
      <c r="A335">
        <v>333</v>
      </c>
      <c r="B335" t="s">
        <v>5345</v>
      </c>
      <c r="C335" t="s">
        <v>5344</v>
      </c>
      <c r="D335" t="s">
        <v>5343</v>
      </c>
      <c r="F335" t="s">
        <v>5342</v>
      </c>
      <c r="G335" t="s">
        <v>6</v>
      </c>
      <c r="H335" t="s">
        <v>5</v>
      </c>
      <c r="I335" t="s">
        <v>5341</v>
      </c>
      <c r="J335">
        <v>60004305</v>
      </c>
      <c r="K335" t="s">
        <v>381</v>
      </c>
      <c r="L335" t="s">
        <v>88</v>
      </c>
      <c r="M335" t="s">
        <v>29</v>
      </c>
      <c r="N335">
        <v>2</v>
      </c>
      <c r="O335" t="s">
        <v>5340</v>
      </c>
      <c r="P335" t="s">
        <v>5339</v>
      </c>
      <c r="Q335" t="s">
        <v>5338</v>
      </c>
      <c r="R335" s="7">
        <v>36495</v>
      </c>
      <c r="S335" s="8">
        <f t="shared" si="40"/>
        <v>1999</v>
      </c>
      <c r="T335" s="8">
        <v>1999</v>
      </c>
      <c r="U335" s="8">
        <f t="shared" si="41"/>
        <v>23</v>
      </c>
      <c r="V335" s="7">
        <v>1999</v>
      </c>
      <c r="W335" t="s">
        <v>124</v>
      </c>
      <c r="X335" s="2">
        <v>1.6519999999999999</v>
      </c>
      <c r="Y335" s="6">
        <f t="shared" si="42"/>
        <v>4.409919649769093E-2</v>
      </c>
      <c r="AA335" t="s">
        <v>123</v>
      </c>
      <c r="AB335">
        <v>17337</v>
      </c>
      <c r="AD335" t="s">
        <v>2</v>
      </c>
      <c r="AE335">
        <v>47</v>
      </c>
      <c r="AF335">
        <v>3</v>
      </c>
      <c r="AH335" t="s">
        <v>5337</v>
      </c>
      <c r="AI335" t="s">
        <v>5336</v>
      </c>
      <c r="AJ335" t="s">
        <v>5335</v>
      </c>
      <c r="AK335" t="s">
        <v>5334</v>
      </c>
      <c r="AL335">
        <v>10</v>
      </c>
      <c r="AM335" s="5">
        <f t="shared" si="43"/>
        <v>0.43478260869565216</v>
      </c>
      <c r="AN335" s="4">
        <f t="shared" si="44"/>
        <v>6.5851209192828799E-4</v>
      </c>
      <c r="AO335" s="3"/>
      <c r="AP335">
        <v>0</v>
      </c>
      <c r="AQ335" t="s">
        <v>5333</v>
      </c>
      <c r="AR335" t="s">
        <v>1</v>
      </c>
      <c r="AS335" t="s">
        <v>5332</v>
      </c>
      <c r="AT335" s="2" t="s">
        <v>0</v>
      </c>
      <c r="AU335" s="1">
        <f t="shared" si="45"/>
        <v>3.1066991175962135</v>
      </c>
      <c r="AV335" s="1">
        <f t="shared" si="46"/>
        <v>2.2378854294809609</v>
      </c>
      <c r="AW335" s="1">
        <f t="shared" si="47"/>
        <v>1.3690717413657079</v>
      </c>
    </row>
    <row r="336" spans="1:49" x14ac:dyDescent="0.2">
      <c r="A336">
        <v>334</v>
      </c>
      <c r="B336" t="s">
        <v>5331</v>
      </c>
      <c r="C336" t="s">
        <v>5330</v>
      </c>
      <c r="F336" t="s">
        <v>5329</v>
      </c>
      <c r="G336" t="s">
        <v>6</v>
      </c>
      <c r="H336" t="s">
        <v>5</v>
      </c>
      <c r="I336" t="s">
        <v>5328</v>
      </c>
      <c r="J336">
        <v>60014313</v>
      </c>
      <c r="K336" t="s">
        <v>409</v>
      </c>
      <c r="L336" t="s">
        <v>408</v>
      </c>
      <c r="M336" t="s">
        <v>3</v>
      </c>
      <c r="N336">
        <v>4</v>
      </c>
      <c r="O336" t="s">
        <v>5327</v>
      </c>
      <c r="P336" t="s">
        <v>5326</v>
      </c>
      <c r="Q336" t="s">
        <v>5325</v>
      </c>
      <c r="R336" s="7">
        <v>36495</v>
      </c>
      <c r="S336" s="8">
        <f t="shared" si="40"/>
        <v>1999</v>
      </c>
      <c r="T336" s="8">
        <v>1999</v>
      </c>
      <c r="U336" s="8">
        <f t="shared" si="41"/>
        <v>23</v>
      </c>
      <c r="V336" s="7">
        <v>1999</v>
      </c>
      <c r="W336" t="s">
        <v>263</v>
      </c>
      <c r="X336" s="2">
        <v>0.46700000000000003</v>
      </c>
      <c r="Y336" s="6">
        <f t="shared" si="42"/>
        <v>1.2466298283548225E-2</v>
      </c>
      <c r="AA336">
        <v>10518223</v>
      </c>
      <c r="AB336">
        <v>26026</v>
      </c>
      <c r="AD336" t="s">
        <v>2</v>
      </c>
      <c r="AE336">
        <v>9</v>
      </c>
      <c r="AF336" t="s">
        <v>5034</v>
      </c>
      <c r="AH336" t="s">
        <v>5324</v>
      </c>
      <c r="AI336" t="s">
        <v>5323</v>
      </c>
      <c r="AK336" t="s">
        <v>5322</v>
      </c>
      <c r="AL336">
        <v>3</v>
      </c>
      <c r="AM336" s="5">
        <f t="shared" si="43"/>
        <v>0.13043478260869565</v>
      </c>
      <c r="AN336" s="4">
        <f t="shared" si="44"/>
        <v>1.9755362757848641E-4</v>
      </c>
      <c r="AO336" s="3"/>
      <c r="AP336">
        <v>0</v>
      </c>
      <c r="AQ336" t="s">
        <v>205</v>
      </c>
      <c r="AR336">
        <v>98062</v>
      </c>
      <c r="AS336" t="s">
        <v>204</v>
      </c>
      <c r="AT336" s="2" t="s">
        <v>0</v>
      </c>
      <c r="AU336" s="1">
        <f t="shared" si="45"/>
        <v>0.87856748867573031</v>
      </c>
      <c r="AV336" s="1">
        <f t="shared" si="46"/>
        <v>0.63319259555633567</v>
      </c>
      <c r="AW336" s="1">
        <f t="shared" si="47"/>
        <v>0.3878177024369408</v>
      </c>
    </row>
    <row r="337" spans="1:49" x14ac:dyDescent="0.2">
      <c r="A337">
        <v>335</v>
      </c>
      <c r="B337" t="s">
        <v>5321</v>
      </c>
      <c r="C337" t="s">
        <v>5320</v>
      </c>
      <c r="F337" t="s">
        <v>5319</v>
      </c>
      <c r="G337" t="s">
        <v>6</v>
      </c>
      <c r="H337" t="s">
        <v>5</v>
      </c>
      <c r="I337" t="s">
        <v>5318</v>
      </c>
      <c r="J337" t="s">
        <v>5317</v>
      </c>
      <c r="K337" t="s">
        <v>5316</v>
      </c>
      <c r="L337" t="s">
        <v>5315</v>
      </c>
      <c r="M337" t="s">
        <v>5314</v>
      </c>
      <c r="N337">
        <v>5</v>
      </c>
      <c r="O337" t="s">
        <v>5313</v>
      </c>
      <c r="P337" t="s">
        <v>5312</v>
      </c>
      <c r="Q337" t="s">
        <v>5311</v>
      </c>
      <c r="R337" s="7">
        <v>36495</v>
      </c>
      <c r="S337" s="8">
        <f t="shared" si="40"/>
        <v>1999</v>
      </c>
      <c r="T337" s="8">
        <v>1999</v>
      </c>
      <c r="U337" s="8">
        <f t="shared" si="41"/>
        <v>23</v>
      </c>
      <c r="V337" s="7">
        <v>1999</v>
      </c>
      <c r="W337" t="s">
        <v>263</v>
      </c>
      <c r="X337" s="2">
        <v>0.46700000000000003</v>
      </c>
      <c r="Y337" s="6">
        <f t="shared" si="42"/>
        <v>1.2466298283548225E-2</v>
      </c>
      <c r="AA337">
        <v>10518223</v>
      </c>
      <c r="AB337">
        <v>26026</v>
      </c>
      <c r="AD337" t="s">
        <v>2</v>
      </c>
      <c r="AE337">
        <v>9</v>
      </c>
      <c r="AF337" t="s">
        <v>5034</v>
      </c>
      <c r="AH337" t="s">
        <v>5310</v>
      </c>
      <c r="AI337" t="s">
        <v>5309</v>
      </c>
      <c r="AK337" t="s">
        <v>5308</v>
      </c>
      <c r="AL337">
        <v>65</v>
      </c>
      <c r="AM337" s="5">
        <f t="shared" si="43"/>
        <v>2.8260869565217392</v>
      </c>
      <c r="AN337" s="4">
        <f t="shared" si="44"/>
        <v>4.2803285975338721E-3</v>
      </c>
      <c r="AO337" s="3"/>
      <c r="AP337">
        <v>0</v>
      </c>
      <c r="AR337" t="s">
        <v>1</v>
      </c>
      <c r="AT337" s="2" t="s">
        <v>0</v>
      </c>
      <c r="AU337" s="1">
        <f t="shared" si="45"/>
        <v>1.001050737774392</v>
      </c>
      <c r="AV337" s="1">
        <f t="shared" si="46"/>
        <v>0.83733134405410481</v>
      </c>
      <c r="AW337" s="1">
        <f t="shared" si="47"/>
        <v>0.67361195033381771</v>
      </c>
    </row>
    <row r="338" spans="1:49" x14ac:dyDescent="0.2">
      <c r="A338">
        <v>336</v>
      </c>
      <c r="B338" t="s">
        <v>5307</v>
      </c>
      <c r="C338" t="s">
        <v>5306</v>
      </c>
      <c r="D338" t="s">
        <v>5305</v>
      </c>
      <c r="F338" t="s">
        <v>5304</v>
      </c>
      <c r="G338" t="s">
        <v>6</v>
      </c>
      <c r="H338" t="s">
        <v>5</v>
      </c>
      <c r="I338" t="s">
        <v>5303</v>
      </c>
      <c r="J338">
        <v>60027271</v>
      </c>
      <c r="K338" t="s">
        <v>220</v>
      </c>
      <c r="L338" t="s">
        <v>219</v>
      </c>
      <c r="M338" t="s">
        <v>3</v>
      </c>
      <c r="N338">
        <v>5</v>
      </c>
      <c r="O338" t="s">
        <v>5302</v>
      </c>
      <c r="P338" t="s">
        <v>5301</v>
      </c>
      <c r="Q338" t="s">
        <v>5300</v>
      </c>
      <c r="R338" s="7">
        <v>36495</v>
      </c>
      <c r="S338" s="8">
        <f t="shared" si="40"/>
        <v>1999</v>
      </c>
      <c r="T338" s="8">
        <v>1999</v>
      </c>
      <c r="U338" s="8">
        <f t="shared" si="41"/>
        <v>23</v>
      </c>
      <c r="V338" s="7">
        <v>1999</v>
      </c>
      <c r="W338" t="s">
        <v>174</v>
      </c>
      <c r="X338" s="2">
        <v>1.3720000000000001</v>
      </c>
      <c r="Y338" s="6">
        <f t="shared" si="42"/>
        <v>3.662475641333654E-2</v>
      </c>
      <c r="AA338">
        <v>189480</v>
      </c>
      <c r="AB338">
        <v>17366</v>
      </c>
      <c r="AD338" t="s">
        <v>2</v>
      </c>
      <c r="AE338">
        <v>47</v>
      </c>
      <c r="AF338" t="s">
        <v>4998</v>
      </c>
      <c r="AH338" t="s">
        <v>5299</v>
      </c>
      <c r="AI338" t="s">
        <v>5298</v>
      </c>
      <c r="AJ338" t="s">
        <v>5297</v>
      </c>
      <c r="AK338" t="s">
        <v>5296</v>
      </c>
      <c r="AL338">
        <v>12</v>
      </c>
      <c r="AM338" s="5">
        <f t="shared" si="43"/>
        <v>0.52173913043478259</v>
      </c>
      <c r="AN338" s="4">
        <f t="shared" si="44"/>
        <v>7.9021451031394564E-4</v>
      </c>
      <c r="AO338" s="3"/>
      <c r="AP338">
        <v>0</v>
      </c>
      <c r="AQ338" t="s">
        <v>160</v>
      </c>
      <c r="AR338" t="s">
        <v>1</v>
      </c>
      <c r="AS338" t="s">
        <v>159</v>
      </c>
      <c r="AT338" s="2" t="s">
        <v>0</v>
      </c>
      <c r="AU338" s="1">
        <f t="shared" si="45"/>
        <v>2.5874393842429759</v>
      </c>
      <c r="AV338" s="1">
        <f t="shared" si="46"/>
        <v>1.8707485461825244</v>
      </c>
      <c r="AW338" s="1">
        <f t="shared" si="47"/>
        <v>1.1540577081220724</v>
      </c>
    </row>
    <row r="339" spans="1:49" x14ac:dyDescent="0.2">
      <c r="A339">
        <v>337</v>
      </c>
      <c r="B339" t="s">
        <v>5295</v>
      </c>
      <c r="C339" t="s">
        <v>5294</v>
      </c>
      <c r="D339" t="s">
        <v>5293</v>
      </c>
      <c r="F339" t="s">
        <v>5292</v>
      </c>
      <c r="G339" t="s">
        <v>6</v>
      </c>
      <c r="H339" t="s">
        <v>5</v>
      </c>
      <c r="I339" t="s">
        <v>5291</v>
      </c>
      <c r="J339">
        <v>60029241</v>
      </c>
      <c r="K339" t="s">
        <v>2673</v>
      </c>
      <c r="L339" t="s">
        <v>2672</v>
      </c>
      <c r="M339" t="s">
        <v>3</v>
      </c>
      <c r="N339">
        <v>1</v>
      </c>
      <c r="O339" t="s">
        <v>5290</v>
      </c>
      <c r="P339">
        <v>7201585777</v>
      </c>
      <c r="Q339">
        <v>60029241</v>
      </c>
      <c r="R339" s="7">
        <v>36495</v>
      </c>
      <c r="S339" s="8">
        <f t="shared" si="40"/>
        <v>1999</v>
      </c>
      <c r="T339" s="8">
        <v>1999</v>
      </c>
      <c r="U339" s="8">
        <f t="shared" si="41"/>
        <v>23</v>
      </c>
      <c r="V339" s="7">
        <v>1999</v>
      </c>
      <c r="W339" t="s">
        <v>174</v>
      </c>
      <c r="X339" s="2">
        <v>1.3720000000000001</v>
      </c>
      <c r="Y339" s="6">
        <f t="shared" si="42"/>
        <v>3.662475641333654E-2</v>
      </c>
      <c r="AA339">
        <v>189480</v>
      </c>
      <c r="AB339">
        <v>17366</v>
      </c>
      <c r="AD339" t="s">
        <v>2</v>
      </c>
      <c r="AE339">
        <v>47</v>
      </c>
      <c r="AF339" t="s">
        <v>399</v>
      </c>
      <c r="AH339" t="s">
        <v>5289</v>
      </c>
      <c r="AI339" t="s">
        <v>5288</v>
      </c>
      <c r="AJ339" t="s">
        <v>5287</v>
      </c>
      <c r="AK339" t="s">
        <v>5286</v>
      </c>
      <c r="AL339">
        <v>53</v>
      </c>
      <c r="AM339" s="5">
        <f t="shared" si="43"/>
        <v>2.3043478260869565</v>
      </c>
      <c r="AN339" s="4">
        <f t="shared" si="44"/>
        <v>3.4901140872199265E-3</v>
      </c>
      <c r="AO339" s="3"/>
      <c r="AP339">
        <v>0</v>
      </c>
      <c r="AQ339" t="s">
        <v>160</v>
      </c>
      <c r="AR339" t="s">
        <v>5285</v>
      </c>
      <c r="AS339" t="s">
        <v>159</v>
      </c>
      <c r="AT339" s="2" t="s">
        <v>0</v>
      </c>
      <c r="AU339" s="1">
        <f t="shared" si="45"/>
        <v>2.6684363715501553</v>
      </c>
      <c r="AV339" s="1">
        <f t="shared" si="46"/>
        <v>2.0057435250278233</v>
      </c>
      <c r="AW339" s="1">
        <f t="shared" si="47"/>
        <v>1.3430506785054912</v>
      </c>
    </row>
    <row r="340" spans="1:49" x14ac:dyDescent="0.2">
      <c r="A340">
        <v>338</v>
      </c>
      <c r="B340" t="s">
        <v>5284</v>
      </c>
      <c r="C340" t="s">
        <v>5283</v>
      </c>
      <c r="F340" t="s">
        <v>5282</v>
      </c>
      <c r="G340" t="s">
        <v>6</v>
      </c>
      <c r="H340" t="s">
        <v>5</v>
      </c>
      <c r="I340" t="s">
        <v>3991</v>
      </c>
      <c r="J340">
        <v>60000990</v>
      </c>
      <c r="K340" t="s">
        <v>291</v>
      </c>
      <c r="L340" t="s">
        <v>290</v>
      </c>
      <c r="M340" t="s">
        <v>289</v>
      </c>
      <c r="N340">
        <v>4</v>
      </c>
      <c r="O340" t="s">
        <v>5281</v>
      </c>
      <c r="P340" t="s">
        <v>5280</v>
      </c>
      <c r="Q340" t="s">
        <v>5279</v>
      </c>
      <c r="R340" s="7">
        <v>36495</v>
      </c>
      <c r="S340" s="8">
        <f t="shared" si="40"/>
        <v>1999</v>
      </c>
      <c r="T340" s="8">
        <v>1999</v>
      </c>
      <c r="U340" s="8">
        <f t="shared" si="41"/>
        <v>23</v>
      </c>
      <c r="V340" s="7">
        <v>1999</v>
      </c>
      <c r="W340" t="s">
        <v>263</v>
      </c>
      <c r="X340" s="2">
        <v>0.46700000000000003</v>
      </c>
      <c r="Y340" s="6">
        <f t="shared" si="42"/>
        <v>1.2466298283548225E-2</v>
      </c>
      <c r="AA340">
        <v>10518223</v>
      </c>
      <c r="AB340">
        <v>26026</v>
      </c>
      <c r="AD340" t="s">
        <v>2</v>
      </c>
      <c r="AE340">
        <v>9</v>
      </c>
      <c r="AF340" t="s">
        <v>5034</v>
      </c>
      <c r="AH340" t="s">
        <v>5278</v>
      </c>
      <c r="AI340" t="s">
        <v>5277</v>
      </c>
      <c r="AK340" t="s">
        <v>5276</v>
      </c>
      <c r="AL340">
        <v>6</v>
      </c>
      <c r="AM340" s="5">
        <f t="shared" si="43"/>
        <v>0.2608695652173913</v>
      </c>
      <c r="AN340" s="4">
        <f t="shared" si="44"/>
        <v>3.9510725515697282E-4</v>
      </c>
      <c r="AO340" s="3"/>
      <c r="AP340">
        <v>0</v>
      </c>
      <c r="AQ340" t="s">
        <v>679</v>
      </c>
      <c r="AR340" t="s">
        <v>1</v>
      </c>
      <c r="AS340" t="s">
        <v>678</v>
      </c>
      <c r="AT340" s="2" t="s">
        <v>0</v>
      </c>
      <c r="AU340" s="1">
        <f t="shared" si="45"/>
        <v>0.88449409750308505</v>
      </c>
      <c r="AV340" s="1">
        <f t="shared" si="46"/>
        <v>0.64307027693525987</v>
      </c>
      <c r="AW340" s="1">
        <f t="shared" si="47"/>
        <v>0.40164645636743485</v>
      </c>
    </row>
    <row r="341" spans="1:49" x14ac:dyDescent="0.2">
      <c r="A341">
        <v>339</v>
      </c>
      <c r="B341" t="s">
        <v>5275</v>
      </c>
      <c r="C341" t="s">
        <v>5274</v>
      </c>
      <c r="F341" t="s">
        <v>5273</v>
      </c>
      <c r="G341" t="s">
        <v>6</v>
      </c>
      <c r="H341" t="s">
        <v>5</v>
      </c>
      <c r="I341" t="s">
        <v>5272</v>
      </c>
      <c r="J341" t="s">
        <v>5271</v>
      </c>
      <c r="K341" t="s">
        <v>5270</v>
      </c>
      <c r="L341" t="s">
        <v>4024</v>
      </c>
      <c r="M341" t="s">
        <v>4023</v>
      </c>
      <c r="N341">
        <v>6</v>
      </c>
      <c r="O341" t="s">
        <v>5269</v>
      </c>
      <c r="P341" t="s">
        <v>5268</v>
      </c>
      <c r="Q341" t="s">
        <v>5267</v>
      </c>
      <c r="R341" s="7">
        <v>36495</v>
      </c>
      <c r="S341" s="8">
        <f t="shared" si="40"/>
        <v>1999</v>
      </c>
      <c r="T341" s="8">
        <v>1999</v>
      </c>
      <c r="U341" s="8">
        <f t="shared" si="41"/>
        <v>23</v>
      </c>
      <c r="V341" s="7">
        <v>1999</v>
      </c>
      <c r="W341" t="s">
        <v>263</v>
      </c>
      <c r="X341" s="2">
        <v>0.46700000000000003</v>
      </c>
      <c r="Y341" s="6">
        <f t="shared" si="42"/>
        <v>1.2466298283548225E-2</v>
      </c>
      <c r="AA341">
        <v>10518223</v>
      </c>
      <c r="AB341">
        <v>26026</v>
      </c>
      <c r="AD341" t="s">
        <v>2</v>
      </c>
      <c r="AE341">
        <v>9</v>
      </c>
      <c r="AF341" t="s">
        <v>5034</v>
      </c>
      <c r="AH341" t="s">
        <v>5266</v>
      </c>
      <c r="AI341" t="s">
        <v>5265</v>
      </c>
      <c r="AK341" t="s">
        <v>5264</v>
      </c>
      <c r="AL341">
        <v>16</v>
      </c>
      <c r="AM341" s="5">
        <f t="shared" si="43"/>
        <v>0.69565217391304346</v>
      </c>
      <c r="AN341" s="4">
        <f t="shared" si="44"/>
        <v>1.0536193470852609E-3</v>
      </c>
      <c r="AO341" s="3"/>
      <c r="AP341">
        <v>0</v>
      </c>
      <c r="AQ341" t="s">
        <v>2832</v>
      </c>
      <c r="AR341" t="s">
        <v>1</v>
      </c>
      <c r="AS341" t="s">
        <v>2831</v>
      </c>
      <c r="AT341" s="2" t="s">
        <v>0</v>
      </c>
      <c r="AU341" s="1">
        <f t="shared" si="45"/>
        <v>0.90424946026093356</v>
      </c>
      <c r="AV341" s="1">
        <f t="shared" si="46"/>
        <v>0.67599588153167434</v>
      </c>
      <c r="AW341" s="1">
        <f t="shared" si="47"/>
        <v>0.447742302802415</v>
      </c>
    </row>
    <row r="342" spans="1:49" x14ac:dyDescent="0.2">
      <c r="A342">
        <v>340</v>
      </c>
      <c r="B342" t="s">
        <v>5263</v>
      </c>
      <c r="C342" t="s">
        <v>5262</v>
      </c>
      <c r="D342" t="s">
        <v>5261</v>
      </c>
      <c r="F342" t="s">
        <v>5260</v>
      </c>
      <c r="G342" t="s">
        <v>6</v>
      </c>
      <c r="H342" t="s">
        <v>5</v>
      </c>
      <c r="I342" t="s">
        <v>5259</v>
      </c>
      <c r="J342">
        <v>60020650</v>
      </c>
      <c r="K342" t="s">
        <v>60</v>
      </c>
      <c r="L342" t="s">
        <v>59</v>
      </c>
      <c r="M342" t="s">
        <v>58</v>
      </c>
      <c r="N342">
        <v>1</v>
      </c>
      <c r="O342" t="s">
        <v>5258</v>
      </c>
      <c r="P342">
        <v>35516118400</v>
      </c>
      <c r="Q342">
        <v>60020650</v>
      </c>
      <c r="R342" s="7">
        <v>36495</v>
      </c>
      <c r="S342" s="8">
        <f t="shared" si="40"/>
        <v>1999</v>
      </c>
      <c r="T342" s="8">
        <v>1999</v>
      </c>
      <c r="U342" s="8">
        <f t="shared" si="41"/>
        <v>23</v>
      </c>
      <c r="V342" s="7">
        <v>1999</v>
      </c>
      <c r="W342" t="s">
        <v>124</v>
      </c>
      <c r="X342" s="2">
        <v>1.6519999999999999</v>
      </c>
      <c r="Y342" s="6">
        <f t="shared" si="42"/>
        <v>4.409919649769093E-2</v>
      </c>
      <c r="AA342" t="s">
        <v>123</v>
      </c>
      <c r="AB342">
        <v>17337</v>
      </c>
      <c r="AD342" t="s">
        <v>2</v>
      </c>
      <c r="AE342">
        <v>47</v>
      </c>
      <c r="AF342">
        <v>4</v>
      </c>
      <c r="AH342" t="s">
        <v>5257</v>
      </c>
      <c r="AI342" t="s">
        <v>5256</v>
      </c>
      <c r="AJ342" t="s">
        <v>5255</v>
      </c>
      <c r="AK342" t="s">
        <v>5254</v>
      </c>
      <c r="AL342">
        <v>10</v>
      </c>
      <c r="AM342" s="5">
        <f t="shared" si="43"/>
        <v>0.43478260869565216</v>
      </c>
      <c r="AN342" s="4">
        <f t="shared" si="44"/>
        <v>6.5851209192828799E-4</v>
      </c>
      <c r="AO342" s="3"/>
      <c r="AP342">
        <v>0</v>
      </c>
      <c r="AR342" t="s">
        <v>1</v>
      </c>
      <c r="AT342" s="2" t="s">
        <v>0</v>
      </c>
      <c r="AU342" s="1">
        <f t="shared" si="45"/>
        <v>3.1066991175962135</v>
      </c>
      <c r="AV342" s="1">
        <f t="shared" si="46"/>
        <v>2.2378854294809609</v>
      </c>
      <c r="AW342" s="1">
        <f t="shared" si="47"/>
        <v>1.3690717413657079</v>
      </c>
    </row>
    <row r="343" spans="1:49" x14ac:dyDescent="0.2">
      <c r="A343">
        <v>341</v>
      </c>
      <c r="B343" t="s">
        <v>5253</v>
      </c>
      <c r="C343" t="s">
        <v>5252</v>
      </c>
      <c r="F343" t="s">
        <v>5251</v>
      </c>
      <c r="G343" t="s">
        <v>6</v>
      </c>
      <c r="H343" t="s">
        <v>5</v>
      </c>
      <c r="I343" t="s">
        <v>5250</v>
      </c>
      <c r="J343">
        <v>60029225</v>
      </c>
      <c r="K343" t="s">
        <v>746</v>
      </c>
      <c r="L343" t="s">
        <v>471</v>
      </c>
      <c r="M343" t="s">
        <v>127</v>
      </c>
      <c r="N343">
        <v>4</v>
      </c>
      <c r="O343" t="s">
        <v>5249</v>
      </c>
      <c r="P343" t="s">
        <v>5248</v>
      </c>
      <c r="Q343" t="s">
        <v>745</v>
      </c>
      <c r="R343" s="7">
        <v>36495</v>
      </c>
      <c r="S343" s="8">
        <f t="shared" si="40"/>
        <v>1999</v>
      </c>
      <c r="T343" s="8">
        <v>1999</v>
      </c>
      <c r="U343" s="8">
        <f t="shared" si="41"/>
        <v>23</v>
      </c>
      <c r="V343" s="7">
        <v>1999</v>
      </c>
      <c r="W343" t="s">
        <v>263</v>
      </c>
      <c r="X343" s="2">
        <v>0.46700000000000003</v>
      </c>
      <c r="Y343" s="6">
        <f t="shared" si="42"/>
        <v>1.2466298283548225E-2</v>
      </c>
      <c r="AA343">
        <v>10518223</v>
      </c>
      <c r="AB343">
        <v>26026</v>
      </c>
      <c r="AD343" t="s">
        <v>2</v>
      </c>
      <c r="AE343">
        <v>9</v>
      </c>
      <c r="AF343" t="s">
        <v>5034</v>
      </c>
      <c r="AH343" t="s">
        <v>5247</v>
      </c>
      <c r="AI343" t="s">
        <v>5246</v>
      </c>
      <c r="AK343" t="s">
        <v>5245</v>
      </c>
      <c r="AL343">
        <v>23</v>
      </c>
      <c r="AM343" s="5">
        <f t="shared" si="43"/>
        <v>1</v>
      </c>
      <c r="AN343" s="4">
        <f t="shared" si="44"/>
        <v>1.5145778114350624E-3</v>
      </c>
      <c r="AO343" s="3"/>
      <c r="AP343">
        <v>0</v>
      </c>
      <c r="AQ343" t="s">
        <v>643</v>
      </c>
      <c r="AR343" t="s">
        <v>5244</v>
      </c>
      <c r="AS343" t="s">
        <v>431</v>
      </c>
      <c r="AT343" s="2" t="s">
        <v>0</v>
      </c>
      <c r="AU343" s="1">
        <f t="shared" si="45"/>
        <v>0.91807821419142777</v>
      </c>
      <c r="AV343" s="1">
        <f t="shared" si="46"/>
        <v>0.69904380474916439</v>
      </c>
      <c r="AW343" s="1">
        <f t="shared" si="47"/>
        <v>0.48000939530690112</v>
      </c>
    </row>
    <row r="344" spans="1:49" x14ac:dyDescent="0.2">
      <c r="A344">
        <v>342</v>
      </c>
      <c r="B344" t="s">
        <v>5243</v>
      </c>
      <c r="C344" t="s">
        <v>5242</v>
      </c>
      <c r="D344" t="s">
        <v>5241</v>
      </c>
      <c r="F344" t="s">
        <v>5240</v>
      </c>
      <c r="G344" t="s">
        <v>6</v>
      </c>
      <c r="H344" t="s">
        <v>5</v>
      </c>
      <c r="I344" t="s">
        <v>540</v>
      </c>
      <c r="J344" t="s">
        <v>5239</v>
      </c>
      <c r="K344" t="s">
        <v>5238</v>
      </c>
      <c r="L344" t="s">
        <v>5237</v>
      </c>
      <c r="M344" t="s">
        <v>5236</v>
      </c>
      <c r="N344">
        <v>3</v>
      </c>
      <c r="O344" t="s">
        <v>5235</v>
      </c>
      <c r="P344" t="s">
        <v>5234</v>
      </c>
      <c r="Q344" t="s">
        <v>5233</v>
      </c>
      <c r="R344" s="7">
        <v>36495</v>
      </c>
      <c r="S344" s="8">
        <f t="shared" si="40"/>
        <v>1999</v>
      </c>
      <c r="T344" s="8">
        <v>1999</v>
      </c>
      <c r="U344" s="8">
        <f t="shared" si="41"/>
        <v>23</v>
      </c>
      <c r="V344" s="7">
        <v>1999</v>
      </c>
      <c r="W344" t="s">
        <v>167</v>
      </c>
      <c r="X344" s="2">
        <v>1.468</v>
      </c>
      <c r="Y344" s="6">
        <f t="shared" si="42"/>
        <v>3.9187421585115186E-2</v>
      </c>
      <c r="AA344">
        <v>906778</v>
      </c>
      <c r="AB344">
        <v>18931</v>
      </c>
      <c r="AD344" t="s">
        <v>2</v>
      </c>
      <c r="AE344">
        <v>47</v>
      </c>
      <c r="AF344">
        <v>1</v>
      </c>
      <c r="AH344" t="s">
        <v>5232</v>
      </c>
      <c r="AI344" t="s">
        <v>5231</v>
      </c>
      <c r="AJ344" t="s">
        <v>5230</v>
      </c>
      <c r="AK344" t="s">
        <v>5229</v>
      </c>
      <c r="AL344">
        <v>32</v>
      </c>
      <c r="AM344" s="5">
        <f t="shared" si="43"/>
        <v>1.3913043478260869</v>
      </c>
      <c r="AN344" s="4">
        <f t="shared" si="44"/>
        <v>2.1072386941705218E-3</v>
      </c>
      <c r="AO344" s="3"/>
      <c r="AP344">
        <v>0</v>
      </c>
      <c r="AR344" t="s">
        <v>1</v>
      </c>
      <c r="AT344" s="2">
        <v>5.0830000000000002</v>
      </c>
      <c r="AU344" s="1">
        <f t="shared" si="45"/>
        <v>2.8063366717831784</v>
      </c>
      <c r="AV344" s="1">
        <f t="shared" si="46"/>
        <v>2.0647330139642857</v>
      </c>
      <c r="AW344" s="1">
        <f t="shared" si="47"/>
        <v>1.3231293561453921</v>
      </c>
    </row>
    <row r="345" spans="1:49" x14ac:dyDescent="0.2">
      <c r="A345">
        <v>343</v>
      </c>
      <c r="B345" t="s">
        <v>5228</v>
      </c>
      <c r="C345" t="s">
        <v>5227</v>
      </c>
      <c r="D345" t="s">
        <v>5226</v>
      </c>
      <c r="F345" t="s">
        <v>5225</v>
      </c>
      <c r="G345" t="s">
        <v>6</v>
      </c>
      <c r="H345" t="s">
        <v>5</v>
      </c>
      <c r="I345" t="s">
        <v>5224</v>
      </c>
      <c r="J345" t="s">
        <v>5223</v>
      </c>
      <c r="K345" t="s">
        <v>5222</v>
      </c>
      <c r="L345" t="s">
        <v>5221</v>
      </c>
      <c r="M345" t="s">
        <v>494</v>
      </c>
      <c r="N345">
        <v>2</v>
      </c>
      <c r="O345" t="s">
        <v>5220</v>
      </c>
      <c r="P345" t="s">
        <v>5219</v>
      </c>
      <c r="Q345" t="s">
        <v>5218</v>
      </c>
      <c r="R345" s="7">
        <v>36495</v>
      </c>
      <c r="S345" s="8">
        <f t="shared" si="40"/>
        <v>1999</v>
      </c>
      <c r="T345" s="8">
        <v>1999</v>
      </c>
      <c r="U345" s="8">
        <f t="shared" si="41"/>
        <v>23</v>
      </c>
      <c r="V345" s="7">
        <v>1999</v>
      </c>
      <c r="W345" t="s">
        <v>124</v>
      </c>
      <c r="X345" s="2">
        <v>1.6519999999999999</v>
      </c>
      <c r="Y345" s="6">
        <f t="shared" si="42"/>
        <v>4.409919649769093E-2</v>
      </c>
      <c r="AA345" t="s">
        <v>123</v>
      </c>
      <c r="AB345">
        <v>17337</v>
      </c>
      <c r="AD345" t="s">
        <v>2</v>
      </c>
      <c r="AE345">
        <v>47</v>
      </c>
      <c r="AF345">
        <v>3</v>
      </c>
      <c r="AH345" t="s">
        <v>5217</v>
      </c>
      <c r="AI345" t="s">
        <v>5216</v>
      </c>
      <c r="AJ345" t="s">
        <v>5215</v>
      </c>
      <c r="AK345" t="s">
        <v>5214</v>
      </c>
      <c r="AL345">
        <v>8</v>
      </c>
      <c r="AM345" s="5">
        <f t="shared" si="43"/>
        <v>0.34782608695652173</v>
      </c>
      <c r="AN345" s="4">
        <f t="shared" si="44"/>
        <v>5.2680967354263046E-4</v>
      </c>
      <c r="AO345" s="3"/>
      <c r="AP345">
        <v>0</v>
      </c>
      <c r="AR345" t="s">
        <v>1</v>
      </c>
      <c r="AT345" s="2" t="s">
        <v>0</v>
      </c>
      <c r="AU345" s="1">
        <f t="shared" si="45"/>
        <v>3.1027480450446441</v>
      </c>
      <c r="AV345" s="1">
        <f t="shared" si="46"/>
        <v>2.231300308561678</v>
      </c>
      <c r="AW345" s="1">
        <f t="shared" si="47"/>
        <v>1.359852572078712</v>
      </c>
    </row>
    <row r="346" spans="1:49" x14ac:dyDescent="0.2">
      <c r="A346">
        <v>344</v>
      </c>
      <c r="B346" t="s">
        <v>5213</v>
      </c>
      <c r="C346" t="s">
        <v>5212</v>
      </c>
      <c r="D346" t="s">
        <v>5211</v>
      </c>
      <c r="F346" t="s">
        <v>5210</v>
      </c>
      <c r="G346" t="s">
        <v>6</v>
      </c>
      <c r="H346" t="s">
        <v>5</v>
      </c>
      <c r="I346" t="s">
        <v>5209</v>
      </c>
      <c r="J346">
        <v>60001247</v>
      </c>
      <c r="K346" t="s">
        <v>668</v>
      </c>
      <c r="M346" t="s">
        <v>3</v>
      </c>
      <c r="N346">
        <v>1</v>
      </c>
      <c r="O346" t="s">
        <v>5208</v>
      </c>
      <c r="P346">
        <v>8083786100</v>
      </c>
      <c r="Q346">
        <v>60001247</v>
      </c>
      <c r="R346" s="7">
        <v>36495</v>
      </c>
      <c r="S346" s="8">
        <f t="shared" si="40"/>
        <v>1999</v>
      </c>
      <c r="T346" s="8">
        <v>1999</v>
      </c>
      <c r="U346" s="8">
        <f t="shared" si="41"/>
        <v>23</v>
      </c>
      <c r="V346" s="7">
        <v>1999</v>
      </c>
      <c r="W346" t="s">
        <v>124</v>
      </c>
      <c r="X346" s="2">
        <v>1.6519999999999999</v>
      </c>
      <c r="Y346" s="6">
        <f t="shared" si="42"/>
        <v>4.409919649769093E-2</v>
      </c>
      <c r="AA346" t="s">
        <v>123</v>
      </c>
      <c r="AB346">
        <v>17337</v>
      </c>
      <c r="AD346" t="s">
        <v>2</v>
      </c>
      <c r="AE346">
        <v>47</v>
      </c>
      <c r="AF346">
        <v>3</v>
      </c>
      <c r="AH346" t="s">
        <v>5207</v>
      </c>
      <c r="AI346" t="s">
        <v>5206</v>
      </c>
      <c r="AJ346" t="s">
        <v>5205</v>
      </c>
      <c r="AK346" t="s">
        <v>5204</v>
      </c>
      <c r="AL346">
        <v>0</v>
      </c>
      <c r="AM346" s="5">
        <f t="shared" si="43"/>
        <v>0</v>
      </c>
      <c r="AN346" s="4">
        <f t="shared" si="44"/>
        <v>0</v>
      </c>
      <c r="AO346" s="3"/>
      <c r="AP346">
        <v>0</v>
      </c>
      <c r="AR346" t="s">
        <v>1</v>
      </c>
      <c r="AT346" s="2" t="s">
        <v>0</v>
      </c>
      <c r="AU346" s="1">
        <f t="shared" si="45"/>
        <v>3.0869437548383649</v>
      </c>
      <c r="AV346" s="1">
        <f t="shared" si="46"/>
        <v>2.2049598248845466</v>
      </c>
      <c r="AW346" s="1">
        <f t="shared" si="47"/>
        <v>1.3229758949307278</v>
      </c>
    </row>
    <row r="347" spans="1:49" x14ac:dyDescent="0.2">
      <c r="A347">
        <v>345</v>
      </c>
      <c r="B347" t="s">
        <v>5203</v>
      </c>
      <c r="C347" t="s">
        <v>5202</v>
      </c>
      <c r="D347">
        <v>18948099030021</v>
      </c>
      <c r="F347" t="s">
        <v>5201</v>
      </c>
      <c r="G347" t="s">
        <v>6</v>
      </c>
      <c r="H347" t="s">
        <v>5</v>
      </c>
      <c r="I347" t="s">
        <v>275</v>
      </c>
      <c r="J347">
        <v>60009037</v>
      </c>
      <c r="K347" t="s">
        <v>274</v>
      </c>
      <c r="L347" t="s">
        <v>107</v>
      </c>
      <c r="M347" t="s">
        <v>3</v>
      </c>
      <c r="N347">
        <v>3</v>
      </c>
      <c r="O347" t="s">
        <v>273</v>
      </c>
      <c r="P347" t="s">
        <v>272</v>
      </c>
      <c r="Q347" t="s">
        <v>271</v>
      </c>
      <c r="R347" s="7">
        <v>36495</v>
      </c>
      <c r="S347" s="8">
        <f t="shared" si="40"/>
        <v>1999</v>
      </c>
      <c r="T347" s="8">
        <v>1999</v>
      </c>
      <c r="U347" s="8">
        <f t="shared" si="41"/>
        <v>23</v>
      </c>
      <c r="V347" s="7">
        <v>1999</v>
      </c>
      <c r="W347" t="s">
        <v>174</v>
      </c>
      <c r="X347" s="2">
        <v>1.3720000000000001</v>
      </c>
      <c r="Y347" s="6">
        <f t="shared" si="42"/>
        <v>3.662475641333654E-2</v>
      </c>
      <c r="AA347">
        <v>189480</v>
      </c>
      <c r="AB347">
        <v>17366</v>
      </c>
      <c r="AD347" t="s">
        <v>2</v>
      </c>
      <c r="AE347">
        <v>47</v>
      </c>
      <c r="AF347">
        <v>4</v>
      </c>
      <c r="AH347" t="s">
        <v>5200</v>
      </c>
      <c r="AI347" t="s">
        <v>5199</v>
      </c>
      <c r="AJ347" t="s">
        <v>5198</v>
      </c>
      <c r="AK347" t="s">
        <v>5197</v>
      </c>
      <c r="AL347">
        <v>48</v>
      </c>
      <c r="AM347" s="5">
        <f t="shared" si="43"/>
        <v>2.0869565217391304</v>
      </c>
      <c r="AN347" s="4">
        <f t="shared" si="44"/>
        <v>3.1608580412557825E-3</v>
      </c>
      <c r="AO347" s="3"/>
      <c r="AP347">
        <v>0</v>
      </c>
      <c r="AQ347" t="s">
        <v>171</v>
      </c>
      <c r="AR347" t="s">
        <v>1</v>
      </c>
      <c r="AS347" t="s">
        <v>170</v>
      </c>
      <c r="AT347" s="2" t="s">
        <v>0</v>
      </c>
      <c r="AU347" s="1">
        <f t="shared" si="45"/>
        <v>2.658558690171231</v>
      </c>
      <c r="AV347" s="1">
        <f t="shared" si="46"/>
        <v>1.9892807227296159</v>
      </c>
      <c r="AW347" s="1">
        <f t="shared" si="47"/>
        <v>1.3200027552880012</v>
      </c>
    </row>
    <row r="348" spans="1:49" x14ac:dyDescent="0.2">
      <c r="A348">
        <v>346</v>
      </c>
      <c r="B348" t="s">
        <v>5196</v>
      </c>
      <c r="C348" t="s">
        <v>5195</v>
      </c>
      <c r="D348" t="s">
        <v>5194</v>
      </c>
      <c r="F348" t="s">
        <v>5193</v>
      </c>
      <c r="G348" t="s">
        <v>6</v>
      </c>
      <c r="H348" t="s">
        <v>5</v>
      </c>
      <c r="I348" t="s">
        <v>5192</v>
      </c>
      <c r="J348">
        <v>60029241</v>
      </c>
      <c r="K348" t="s">
        <v>2673</v>
      </c>
      <c r="L348" t="s">
        <v>2672</v>
      </c>
      <c r="M348" t="s">
        <v>3</v>
      </c>
      <c r="N348">
        <v>5</v>
      </c>
      <c r="O348" t="s">
        <v>5191</v>
      </c>
      <c r="P348" t="s">
        <v>5190</v>
      </c>
      <c r="Q348" t="s">
        <v>5189</v>
      </c>
      <c r="R348" s="7">
        <v>36495</v>
      </c>
      <c r="S348" s="8">
        <f t="shared" si="40"/>
        <v>1999</v>
      </c>
      <c r="T348" s="8">
        <v>1999</v>
      </c>
      <c r="U348" s="8">
        <f t="shared" si="41"/>
        <v>23</v>
      </c>
      <c r="V348" s="7">
        <v>1999</v>
      </c>
      <c r="W348" t="s">
        <v>174</v>
      </c>
      <c r="X348" s="2">
        <v>1.3720000000000001</v>
      </c>
      <c r="Y348" s="6">
        <f t="shared" si="42"/>
        <v>3.662475641333654E-2</v>
      </c>
      <c r="AA348">
        <v>189480</v>
      </c>
      <c r="AB348">
        <v>17366</v>
      </c>
      <c r="AD348" t="s">
        <v>2</v>
      </c>
      <c r="AE348">
        <v>47</v>
      </c>
      <c r="AF348" t="s">
        <v>4998</v>
      </c>
      <c r="AH348" t="s">
        <v>5188</v>
      </c>
      <c r="AI348" t="s">
        <v>5187</v>
      </c>
      <c r="AJ348" t="s">
        <v>5186</v>
      </c>
      <c r="AK348" t="s">
        <v>5185</v>
      </c>
      <c r="AL348">
        <v>12</v>
      </c>
      <c r="AM348" s="5">
        <f t="shared" si="43"/>
        <v>0.52173913043478259</v>
      </c>
      <c r="AN348" s="4">
        <f t="shared" si="44"/>
        <v>7.9021451031394564E-4</v>
      </c>
      <c r="AO348" s="3"/>
      <c r="AP348">
        <v>0</v>
      </c>
      <c r="AQ348" t="s">
        <v>160</v>
      </c>
      <c r="AR348" t="s">
        <v>5184</v>
      </c>
      <c r="AS348" t="s">
        <v>159</v>
      </c>
      <c r="AT348" s="2" t="s">
        <v>0</v>
      </c>
      <c r="AU348" s="1">
        <f t="shared" si="45"/>
        <v>2.5874393842429759</v>
      </c>
      <c r="AV348" s="1">
        <f t="shared" si="46"/>
        <v>1.8707485461825244</v>
      </c>
      <c r="AW348" s="1">
        <f t="shared" si="47"/>
        <v>1.1540577081220724</v>
      </c>
    </row>
    <row r="349" spans="1:49" x14ac:dyDescent="0.2">
      <c r="A349">
        <v>347</v>
      </c>
      <c r="B349" t="s">
        <v>5183</v>
      </c>
      <c r="C349" t="s">
        <v>5182</v>
      </c>
      <c r="D349" t="s">
        <v>5181</v>
      </c>
      <c r="F349" t="s">
        <v>5180</v>
      </c>
      <c r="G349" t="s">
        <v>6</v>
      </c>
      <c r="H349" t="s">
        <v>5</v>
      </c>
      <c r="I349" t="s">
        <v>5179</v>
      </c>
      <c r="J349">
        <v>60021378</v>
      </c>
      <c r="K349" t="s">
        <v>55</v>
      </c>
      <c r="L349" t="s">
        <v>54</v>
      </c>
      <c r="M349" t="s">
        <v>3</v>
      </c>
      <c r="N349">
        <v>2</v>
      </c>
      <c r="O349" t="s">
        <v>5178</v>
      </c>
      <c r="P349" t="s">
        <v>5177</v>
      </c>
      <c r="Q349" t="s">
        <v>5176</v>
      </c>
      <c r="R349" s="7">
        <v>36495</v>
      </c>
      <c r="S349" s="8">
        <f t="shared" si="40"/>
        <v>1999</v>
      </c>
      <c r="T349" s="8">
        <v>1999</v>
      </c>
      <c r="U349" s="8">
        <f t="shared" si="41"/>
        <v>23</v>
      </c>
      <c r="V349" s="7">
        <v>1999</v>
      </c>
      <c r="W349" t="s">
        <v>231</v>
      </c>
      <c r="X349" s="2">
        <v>1.218</v>
      </c>
      <c r="Y349" s="6">
        <f t="shared" si="42"/>
        <v>3.2513814366941618E-2</v>
      </c>
      <c r="AA349">
        <v>189448</v>
      </c>
      <c r="AB349">
        <v>15107</v>
      </c>
      <c r="AD349" t="s">
        <v>2</v>
      </c>
      <c r="AE349">
        <v>45</v>
      </c>
      <c r="AF349">
        <v>1</v>
      </c>
      <c r="AH349" t="s">
        <v>5175</v>
      </c>
      <c r="AI349" t="s">
        <v>5174</v>
      </c>
      <c r="AJ349" t="s">
        <v>5173</v>
      </c>
      <c r="AK349" t="s">
        <v>5172</v>
      </c>
      <c r="AL349">
        <v>1027</v>
      </c>
      <c r="AM349" s="5">
        <f t="shared" si="43"/>
        <v>44.652173913043477</v>
      </c>
      <c r="AN349" s="4">
        <f t="shared" si="44"/>
        <v>6.7629191841035177E-2</v>
      </c>
      <c r="AO349" s="3"/>
      <c r="AP349">
        <v>0</v>
      </c>
      <c r="AR349" t="s">
        <v>1</v>
      </c>
      <c r="AT349" s="2" t="s">
        <v>0</v>
      </c>
      <c r="AU349" s="1">
        <f t="shared" si="45"/>
        <v>4.3048427609169684</v>
      </c>
      <c r="AV349" s="1">
        <f t="shared" si="46"/>
        <v>5.0071503103988402</v>
      </c>
      <c r="AW349" s="1">
        <f t="shared" si="47"/>
        <v>5.7094578598807111</v>
      </c>
    </row>
    <row r="350" spans="1:49" x14ac:dyDescent="0.2">
      <c r="A350">
        <v>348</v>
      </c>
      <c r="B350" t="s">
        <v>5171</v>
      </c>
      <c r="C350" t="s">
        <v>5170</v>
      </c>
      <c r="D350" t="s">
        <v>5169</v>
      </c>
      <c r="F350" t="s">
        <v>5168</v>
      </c>
      <c r="G350" t="s">
        <v>6</v>
      </c>
      <c r="H350" t="s">
        <v>5</v>
      </c>
      <c r="I350" t="s">
        <v>5167</v>
      </c>
      <c r="J350">
        <v>60030931</v>
      </c>
      <c r="K350" t="s">
        <v>5166</v>
      </c>
      <c r="L350" t="s">
        <v>5165</v>
      </c>
      <c r="M350" t="s">
        <v>3</v>
      </c>
      <c r="N350">
        <v>2</v>
      </c>
      <c r="O350" t="s">
        <v>5164</v>
      </c>
      <c r="P350" t="s">
        <v>5163</v>
      </c>
      <c r="Q350" t="s">
        <v>5162</v>
      </c>
      <c r="R350" s="7">
        <v>36495</v>
      </c>
      <c r="S350" s="8">
        <f t="shared" si="40"/>
        <v>1999</v>
      </c>
      <c r="T350" s="8">
        <v>1999</v>
      </c>
      <c r="U350" s="8">
        <f t="shared" si="41"/>
        <v>23</v>
      </c>
      <c r="V350" s="7">
        <v>1999</v>
      </c>
      <c r="W350" t="s">
        <v>190</v>
      </c>
      <c r="X350" s="2">
        <v>1.6379999999999999</v>
      </c>
      <c r="Y350" s="6">
        <f t="shared" si="42"/>
        <v>4.3725474493473214E-2</v>
      </c>
      <c r="AA350" t="s">
        <v>189</v>
      </c>
      <c r="AB350">
        <v>17391</v>
      </c>
      <c r="AD350" t="s">
        <v>2</v>
      </c>
      <c r="AE350">
        <v>47</v>
      </c>
      <c r="AF350">
        <v>6</v>
      </c>
      <c r="AH350" t="s">
        <v>5161</v>
      </c>
      <c r="AI350" t="s">
        <v>5160</v>
      </c>
      <c r="AJ350" t="s">
        <v>5159</v>
      </c>
      <c r="AK350" t="s">
        <v>5158</v>
      </c>
      <c r="AL350">
        <v>6</v>
      </c>
      <c r="AM350" s="5">
        <f t="shared" si="43"/>
        <v>0.2608695652173913</v>
      </c>
      <c r="AN350" s="4">
        <f t="shared" si="44"/>
        <v>3.9510725515697282E-4</v>
      </c>
      <c r="AO350" s="3"/>
      <c r="AP350">
        <v>0</v>
      </c>
      <c r="AR350" t="s">
        <v>1</v>
      </c>
      <c r="AT350" s="2">
        <v>4.931</v>
      </c>
      <c r="AU350" s="1">
        <f t="shared" si="45"/>
        <v>3.0726364321978341</v>
      </c>
      <c r="AV350" s="1">
        <f t="shared" si="46"/>
        <v>2.2060290874315092</v>
      </c>
      <c r="AW350" s="1">
        <f t="shared" si="47"/>
        <v>1.3394217426651844</v>
      </c>
    </row>
    <row r="351" spans="1:49" x14ac:dyDescent="0.2">
      <c r="A351">
        <v>349</v>
      </c>
      <c r="B351" t="s">
        <v>5157</v>
      </c>
      <c r="C351" t="s">
        <v>5156</v>
      </c>
      <c r="F351" t="s">
        <v>5155</v>
      </c>
      <c r="G351" t="s">
        <v>6</v>
      </c>
      <c r="H351" t="s">
        <v>5</v>
      </c>
      <c r="I351" t="s">
        <v>5154</v>
      </c>
      <c r="J351" t="s">
        <v>5153</v>
      </c>
      <c r="K351" t="s">
        <v>5152</v>
      </c>
      <c r="L351" t="s">
        <v>5151</v>
      </c>
      <c r="M351" t="s">
        <v>5150</v>
      </c>
      <c r="N351">
        <v>9</v>
      </c>
      <c r="O351" t="s">
        <v>5149</v>
      </c>
      <c r="P351" t="s">
        <v>5148</v>
      </c>
      <c r="Q351" t="s">
        <v>5147</v>
      </c>
      <c r="R351" s="7">
        <v>36495</v>
      </c>
      <c r="S351" s="8">
        <f t="shared" si="40"/>
        <v>1999</v>
      </c>
      <c r="T351" s="8">
        <v>1999</v>
      </c>
      <c r="U351" s="8">
        <f t="shared" si="41"/>
        <v>23</v>
      </c>
      <c r="V351" s="7">
        <v>1999</v>
      </c>
      <c r="W351" t="s">
        <v>263</v>
      </c>
      <c r="X351" s="2">
        <v>0.46700000000000003</v>
      </c>
      <c r="Y351" s="6">
        <f t="shared" si="42"/>
        <v>1.2466298283548225E-2</v>
      </c>
      <c r="AA351">
        <v>10518223</v>
      </c>
      <c r="AB351">
        <v>26026</v>
      </c>
      <c r="AD351" t="s">
        <v>2</v>
      </c>
      <c r="AE351">
        <v>9</v>
      </c>
      <c r="AF351" t="s">
        <v>5034</v>
      </c>
      <c r="AH351" t="s">
        <v>5146</v>
      </c>
      <c r="AI351" t="s">
        <v>5145</v>
      </c>
      <c r="AK351" t="s">
        <v>5144</v>
      </c>
      <c r="AL351">
        <v>1</v>
      </c>
      <c r="AM351" s="5">
        <f t="shared" si="43"/>
        <v>4.3478260869565216E-2</v>
      </c>
      <c r="AN351" s="4">
        <f t="shared" si="44"/>
        <v>6.5851209192828807E-5</v>
      </c>
      <c r="AO351" s="3"/>
      <c r="AP351">
        <v>0</v>
      </c>
      <c r="AR351" t="s">
        <v>1</v>
      </c>
      <c r="AT351" s="2" t="s">
        <v>0</v>
      </c>
      <c r="AU351" s="1">
        <f t="shared" si="45"/>
        <v>0.87461641612416063</v>
      </c>
      <c r="AV351" s="1">
        <f t="shared" si="46"/>
        <v>0.62660747463705269</v>
      </c>
      <c r="AW351" s="1">
        <f t="shared" si="47"/>
        <v>0.37859853314994474</v>
      </c>
    </row>
    <row r="352" spans="1:49" x14ac:dyDescent="0.2">
      <c r="A352">
        <v>350</v>
      </c>
      <c r="B352" t="s">
        <v>5143</v>
      </c>
      <c r="C352" t="s">
        <v>5142</v>
      </c>
      <c r="F352" t="s">
        <v>5141</v>
      </c>
      <c r="G352" t="s">
        <v>6</v>
      </c>
      <c r="H352" t="s">
        <v>5</v>
      </c>
      <c r="I352" t="s">
        <v>5140</v>
      </c>
      <c r="J352">
        <v>101101925</v>
      </c>
      <c r="K352" t="s">
        <v>5139</v>
      </c>
      <c r="M352" t="s">
        <v>58</v>
      </c>
      <c r="N352">
        <v>3</v>
      </c>
      <c r="O352" t="s">
        <v>5138</v>
      </c>
      <c r="P352" t="s">
        <v>5137</v>
      </c>
      <c r="Q352" t="s">
        <v>5136</v>
      </c>
      <c r="R352" s="7">
        <v>36495</v>
      </c>
      <c r="S352" s="8">
        <f t="shared" si="40"/>
        <v>1999</v>
      </c>
      <c r="T352" s="8">
        <v>1999</v>
      </c>
      <c r="U352" s="8">
        <f t="shared" si="41"/>
        <v>23</v>
      </c>
      <c r="V352" s="7">
        <v>1999</v>
      </c>
      <c r="W352" t="s">
        <v>263</v>
      </c>
      <c r="X352" s="2">
        <v>0.46700000000000003</v>
      </c>
      <c r="Y352" s="6">
        <f t="shared" si="42"/>
        <v>1.2466298283548225E-2</v>
      </c>
      <c r="AA352">
        <v>10518223</v>
      </c>
      <c r="AB352">
        <v>26026</v>
      </c>
      <c r="AD352" t="s">
        <v>2</v>
      </c>
      <c r="AE352">
        <v>9</v>
      </c>
      <c r="AF352" t="s">
        <v>5034</v>
      </c>
      <c r="AH352" t="s">
        <v>5135</v>
      </c>
      <c r="AI352" t="s">
        <v>5134</v>
      </c>
      <c r="AK352" t="s">
        <v>5133</v>
      </c>
      <c r="AL352">
        <v>13</v>
      </c>
      <c r="AM352" s="5">
        <f t="shared" si="43"/>
        <v>0.56521739130434778</v>
      </c>
      <c r="AN352" s="4">
        <f t="shared" si="44"/>
        <v>8.560657195067744E-4</v>
      </c>
      <c r="AO352" s="3"/>
      <c r="AP352">
        <v>0</v>
      </c>
      <c r="AR352" t="s">
        <v>1</v>
      </c>
      <c r="AT352" s="2" t="s">
        <v>0</v>
      </c>
      <c r="AU352" s="1">
        <f t="shared" si="45"/>
        <v>0.89832285143357904</v>
      </c>
      <c r="AV352" s="1">
        <f t="shared" si="46"/>
        <v>0.66611820015275003</v>
      </c>
      <c r="AW352" s="1">
        <f t="shared" si="47"/>
        <v>0.43391354887192091</v>
      </c>
    </row>
    <row r="353" spans="1:49" x14ac:dyDescent="0.2">
      <c r="A353">
        <v>351</v>
      </c>
      <c r="B353" t="s">
        <v>5132</v>
      </c>
      <c r="C353" t="s">
        <v>5131</v>
      </c>
      <c r="F353" t="s">
        <v>5130</v>
      </c>
      <c r="G353" t="s">
        <v>6</v>
      </c>
      <c r="H353" t="s">
        <v>5</v>
      </c>
      <c r="I353" t="s">
        <v>5129</v>
      </c>
      <c r="J353">
        <v>60101699</v>
      </c>
      <c r="K353" t="s">
        <v>554</v>
      </c>
      <c r="L353" t="s">
        <v>32</v>
      </c>
      <c r="M353" t="s">
        <v>7</v>
      </c>
      <c r="N353">
        <v>5</v>
      </c>
      <c r="O353" t="s">
        <v>5128</v>
      </c>
      <c r="P353" t="s">
        <v>5127</v>
      </c>
      <c r="Q353" t="s">
        <v>5126</v>
      </c>
      <c r="R353" s="7">
        <v>36495</v>
      </c>
      <c r="S353" s="8">
        <f t="shared" si="40"/>
        <v>1999</v>
      </c>
      <c r="T353" s="8">
        <v>1999</v>
      </c>
      <c r="U353" s="8">
        <f t="shared" si="41"/>
        <v>23</v>
      </c>
      <c r="V353" s="7">
        <v>1999</v>
      </c>
      <c r="W353" t="s">
        <v>263</v>
      </c>
      <c r="X353" s="2">
        <v>0.46700000000000003</v>
      </c>
      <c r="Y353" s="6">
        <f t="shared" si="42"/>
        <v>1.2466298283548225E-2</v>
      </c>
      <c r="AA353">
        <v>10518223</v>
      </c>
      <c r="AB353">
        <v>26026</v>
      </c>
      <c r="AD353" t="s">
        <v>2</v>
      </c>
      <c r="AE353">
        <v>9</v>
      </c>
      <c r="AF353" t="s">
        <v>5034</v>
      </c>
      <c r="AH353" t="s">
        <v>5125</v>
      </c>
      <c r="AI353" t="s">
        <v>5124</v>
      </c>
      <c r="AK353" t="s">
        <v>5123</v>
      </c>
      <c r="AL353">
        <v>0</v>
      </c>
      <c r="AM353" s="5">
        <f t="shared" si="43"/>
        <v>0</v>
      </c>
      <c r="AN353" s="4">
        <f t="shared" si="44"/>
        <v>0</v>
      </c>
      <c r="AO353" s="3"/>
      <c r="AP353">
        <v>0</v>
      </c>
      <c r="AQ353" t="s">
        <v>5122</v>
      </c>
      <c r="AR353" t="s">
        <v>1</v>
      </c>
      <c r="AS353" t="s">
        <v>5121</v>
      </c>
      <c r="AT353" s="2" t="s">
        <v>0</v>
      </c>
      <c r="AU353" s="1">
        <f t="shared" si="45"/>
        <v>0.87264087984837579</v>
      </c>
      <c r="AV353" s="1">
        <f t="shared" si="46"/>
        <v>0.62331491417741125</v>
      </c>
      <c r="AW353" s="1">
        <f t="shared" si="47"/>
        <v>0.37398894850644676</v>
      </c>
    </row>
    <row r="354" spans="1:49" x14ac:dyDescent="0.2">
      <c r="A354">
        <v>352</v>
      </c>
      <c r="B354" t="s">
        <v>5120</v>
      </c>
      <c r="C354" t="s">
        <v>5119</v>
      </c>
      <c r="F354" t="s">
        <v>5118</v>
      </c>
      <c r="G354" t="s">
        <v>6</v>
      </c>
      <c r="H354" t="s">
        <v>5</v>
      </c>
      <c r="I354" t="s">
        <v>5117</v>
      </c>
      <c r="J354">
        <v>60031701</v>
      </c>
      <c r="K354" t="s">
        <v>9</v>
      </c>
      <c r="L354" t="s">
        <v>8</v>
      </c>
      <c r="M354" t="s">
        <v>7</v>
      </c>
      <c r="N354">
        <v>1</v>
      </c>
      <c r="O354" t="s">
        <v>5116</v>
      </c>
      <c r="P354">
        <v>7004240409</v>
      </c>
      <c r="Q354">
        <v>60031701</v>
      </c>
      <c r="R354" s="7">
        <v>36495</v>
      </c>
      <c r="S354" s="8">
        <f t="shared" si="40"/>
        <v>1999</v>
      </c>
      <c r="T354" s="8">
        <v>1999</v>
      </c>
      <c r="U354" s="8">
        <f t="shared" si="41"/>
        <v>23</v>
      </c>
      <c r="V354" s="7">
        <v>1999</v>
      </c>
      <c r="W354" t="s">
        <v>263</v>
      </c>
      <c r="X354" s="2">
        <v>0.46700000000000003</v>
      </c>
      <c r="Y354" s="6">
        <f t="shared" si="42"/>
        <v>1.2466298283548225E-2</v>
      </c>
      <c r="AA354">
        <v>10518223</v>
      </c>
      <c r="AB354">
        <v>26026</v>
      </c>
      <c r="AD354" t="s">
        <v>2</v>
      </c>
      <c r="AE354">
        <v>9</v>
      </c>
      <c r="AF354" t="s">
        <v>5034</v>
      </c>
      <c r="AH354" t="s">
        <v>5115</v>
      </c>
      <c r="AI354" t="s">
        <v>5114</v>
      </c>
      <c r="AK354" t="s">
        <v>5113</v>
      </c>
      <c r="AL354">
        <v>2</v>
      </c>
      <c r="AM354" s="5">
        <f t="shared" si="43"/>
        <v>8.6956521739130432E-2</v>
      </c>
      <c r="AN354" s="4">
        <f t="shared" si="44"/>
        <v>1.3170241838565761E-4</v>
      </c>
      <c r="AO354" s="3"/>
      <c r="AP354">
        <v>0</v>
      </c>
      <c r="AR354" t="s">
        <v>1</v>
      </c>
      <c r="AT354" s="2" t="s">
        <v>0</v>
      </c>
      <c r="AU354" s="1">
        <f t="shared" si="45"/>
        <v>0.87659195239994558</v>
      </c>
      <c r="AV354" s="1">
        <f t="shared" si="46"/>
        <v>0.62990003509669412</v>
      </c>
      <c r="AW354" s="1">
        <f t="shared" si="47"/>
        <v>0.38320811779344277</v>
      </c>
    </row>
    <row r="355" spans="1:49" x14ac:dyDescent="0.2">
      <c r="A355">
        <v>353</v>
      </c>
      <c r="B355" t="s">
        <v>5112</v>
      </c>
      <c r="C355" t="s">
        <v>5111</v>
      </c>
      <c r="D355" t="s">
        <v>5110</v>
      </c>
      <c r="F355" t="s">
        <v>5109</v>
      </c>
      <c r="G355" t="s">
        <v>6</v>
      </c>
      <c r="H355" t="s">
        <v>5</v>
      </c>
      <c r="I355" t="s">
        <v>5108</v>
      </c>
      <c r="J355">
        <v>60025272</v>
      </c>
      <c r="K355" t="s">
        <v>64</v>
      </c>
      <c r="L355" t="s">
        <v>32</v>
      </c>
      <c r="M355" t="s">
        <v>7</v>
      </c>
      <c r="N355">
        <v>2</v>
      </c>
      <c r="O355" t="s">
        <v>5107</v>
      </c>
      <c r="P355" t="s">
        <v>5106</v>
      </c>
      <c r="Q355" t="s">
        <v>63</v>
      </c>
      <c r="R355" s="7">
        <v>36495</v>
      </c>
      <c r="S355" s="8">
        <f t="shared" si="40"/>
        <v>1999</v>
      </c>
      <c r="T355" s="8">
        <v>1999</v>
      </c>
      <c r="U355" s="8">
        <f t="shared" si="41"/>
        <v>23</v>
      </c>
      <c r="V355" s="7">
        <v>1999</v>
      </c>
      <c r="W355" t="s">
        <v>174</v>
      </c>
      <c r="X355" s="2">
        <v>1.3720000000000001</v>
      </c>
      <c r="Y355" s="6">
        <f t="shared" si="42"/>
        <v>3.662475641333654E-2</v>
      </c>
      <c r="AA355">
        <v>189480</v>
      </c>
      <c r="AB355">
        <v>17366</v>
      </c>
      <c r="AD355" t="s">
        <v>2</v>
      </c>
      <c r="AE355">
        <v>47</v>
      </c>
      <c r="AF355" t="s">
        <v>4998</v>
      </c>
      <c r="AH355" t="s">
        <v>5105</v>
      </c>
      <c r="AI355" t="s">
        <v>5104</v>
      </c>
      <c r="AJ355" t="s">
        <v>5103</v>
      </c>
      <c r="AK355" t="s">
        <v>5102</v>
      </c>
      <c r="AL355">
        <v>68</v>
      </c>
      <c r="AM355" s="5">
        <f t="shared" si="43"/>
        <v>2.9565217391304346</v>
      </c>
      <c r="AN355" s="4">
        <f t="shared" si="44"/>
        <v>4.4778822251123583E-3</v>
      </c>
      <c r="AO355" s="3"/>
      <c r="AP355">
        <v>0</v>
      </c>
      <c r="AR355" t="s">
        <v>1</v>
      </c>
      <c r="AT355" s="2" t="s">
        <v>0</v>
      </c>
      <c r="AU355" s="1">
        <f t="shared" si="45"/>
        <v>2.6980694156869283</v>
      </c>
      <c r="AV355" s="1">
        <f t="shared" si="46"/>
        <v>2.0551319319224453</v>
      </c>
      <c r="AW355" s="1">
        <f t="shared" si="47"/>
        <v>1.4121944481579614</v>
      </c>
    </row>
    <row r="356" spans="1:49" x14ac:dyDescent="0.2">
      <c r="A356">
        <v>354</v>
      </c>
      <c r="B356" t="s">
        <v>5101</v>
      </c>
      <c r="C356" t="s">
        <v>5100</v>
      </c>
      <c r="F356" t="s">
        <v>5099</v>
      </c>
      <c r="G356" t="s">
        <v>6</v>
      </c>
      <c r="H356" t="s">
        <v>5</v>
      </c>
      <c r="I356" t="s">
        <v>5098</v>
      </c>
      <c r="J356">
        <v>60007363</v>
      </c>
      <c r="K356" t="s">
        <v>5097</v>
      </c>
      <c r="L356" t="s">
        <v>5096</v>
      </c>
      <c r="M356" t="s">
        <v>3</v>
      </c>
      <c r="N356">
        <v>1</v>
      </c>
      <c r="O356" t="s">
        <v>5095</v>
      </c>
      <c r="P356">
        <v>6602865835</v>
      </c>
      <c r="Q356">
        <v>60007363</v>
      </c>
      <c r="R356" s="7">
        <v>36495</v>
      </c>
      <c r="S356" s="8">
        <f t="shared" si="40"/>
        <v>1999</v>
      </c>
      <c r="T356" s="8">
        <v>1999</v>
      </c>
      <c r="U356" s="8">
        <f t="shared" si="41"/>
        <v>23</v>
      </c>
      <c r="V356" s="7">
        <v>1999</v>
      </c>
      <c r="W356" t="s">
        <v>263</v>
      </c>
      <c r="X356" s="2">
        <v>0.46700000000000003</v>
      </c>
      <c r="Y356" s="6">
        <f t="shared" si="42"/>
        <v>1.2466298283548225E-2</v>
      </c>
      <c r="AA356">
        <v>10518223</v>
      </c>
      <c r="AB356">
        <v>26026</v>
      </c>
      <c r="AD356" t="s">
        <v>2</v>
      </c>
      <c r="AE356">
        <v>9</v>
      </c>
      <c r="AF356" t="s">
        <v>5034</v>
      </c>
      <c r="AH356" t="s">
        <v>5094</v>
      </c>
      <c r="AI356" t="s">
        <v>5093</v>
      </c>
      <c r="AK356" t="s">
        <v>5092</v>
      </c>
      <c r="AL356">
        <v>0</v>
      </c>
      <c r="AM356" s="5">
        <f t="shared" si="43"/>
        <v>0</v>
      </c>
      <c r="AN356" s="4">
        <f t="shared" si="44"/>
        <v>0</v>
      </c>
      <c r="AO356" s="3"/>
      <c r="AP356">
        <v>0</v>
      </c>
      <c r="AQ356" t="s">
        <v>205</v>
      </c>
      <c r="AR356" t="s">
        <v>1</v>
      </c>
      <c r="AS356" t="s">
        <v>204</v>
      </c>
      <c r="AT356" s="2" t="s">
        <v>0</v>
      </c>
      <c r="AU356" s="1">
        <f t="shared" si="45"/>
        <v>0.87264087984837579</v>
      </c>
      <c r="AV356" s="1">
        <f t="shared" si="46"/>
        <v>0.62331491417741125</v>
      </c>
      <c r="AW356" s="1">
        <f t="shared" si="47"/>
        <v>0.37398894850644676</v>
      </c>
    </row>
    <row r="357" spans="1:49" x14ac:dyDescent="0.2">
      <c r="A357">
        <v>355</v>
      </c>
      <c r="B357" t="s">
        <v>5091</v>
      </c>
      <c r="C357" t="s">
        <v>5090</v>
      </c>
      <c r="F357" t="s">
        <v>5089</v>
      </c>
      <c r="G357" t="s">
        <v>6</v>
      </c>
      <c r="H357" t="s">
        <v>5</v>
      </c>
      <c r="I357" t="s">
        <v>5088</v>
      </c>
      <c r="J357" t="s">
        <v>5087</v>
      </c>
      <c r="K357" t="s">
        <v>5086</v>
      </c>
      <c r="L357" t="s">
        <v>5085</v>
      </c>
      <c r="M357" t="s">
        <v>5084</v>
      </c>
      <c r="N357">
        <v>4</v>
      </c>
      <c r="O357" t="s">
        <v>5083</v>
      </c>
      <c r="P357" t="s">
        <v>5082</v>
      </c>
      <c r="Q357" t="s">
        <v>5081</v>
      </c>
      <c r="R357" s="7">
        <v>36495</v>
      </c>
      <c r="S357" s="8">
        <f t="shared" si="40"/>
        <v>1999</v>
      </c>
      <c r="T357" s="8">
        <v>1999</v>
      </c>
      <c r="U357" s="8">
        <f t="shared" si="41"/>
        <v>23</v>
      </c>
      <c r="V357" s="7">
        <v>1999</v>
      </c>
      <c r="W357" t="s">
        <v>263</v>
      </c>
      <c r="X357" s="2">
        <v>0.46700000000000003</v>
      </c>
      <c r="Y357" s="6">
        <f t="shared" si="42"/>
        <v>1.2466298283548225E-2</v>
      </c>
      <c r="AA357">
        <v>10518223</v>
      </c>
      <c r="AB357">
        <v>26026</v>
      </c>
      <c r="AD357" t="s">
        <v>2</v>
      </c>
      <c r="AE357">
        <v>9</v>
      </c>
      <c r="AF357" t="s">
        <v>5034</v>
      </c>
      <c r="AH357" t="s">
        <v>5080</v>
      </c>
      <c r="AI357" t="s">
        <v>5079</v>
      </c>
      <c r="AK357" t="s">
        <v>5078</v>
      </c>
      <c r="AL357">
        <v>10</v>
      </c>
      <c r="AM357" s="5">
        <f t="shared" si="43"/>
        <v>0.43478260869565216</v>
      </c>
      <c r="AN357" s="4">
        <f t="shared" si="44"/>
        <v>6.5851209192828799E-4</v>
      </c>
      <c r="AO357" s="3"/>
      <c r="AP357">
        <v>0</v>
      </c>
      <c r="AQ357" t="s">
        <v>467</v>
      </c>
      <c r="AR357" t="s">
        <v>1</v>
      </c>
      <c r="AS357" t="s">
        <v>326</v>
      </c>
      <c r="AT357" s="2" t="s">
        <v>0</v>
      </c>
      <c r="AU357" s="1">
        <f t="shared" si="45"/>
        <v>0.89239624260622452</v>
      </c>
      <c r="AV357" s="1">
        <f t="shared" si="46"/>
        <v>0.65624051877382572</v>
      </c>
      <c r="AW357" s="1">
        <f t="shared" si="47"/>
        <v>0.42008479494142692</v>
      </c>
    </row>
    <row r="358" spans="1:49" x14ac:dyDescent="0.2">
      <c r="A358">
        <v>356</v>
      </c>
      <c r="B358" t="s">
        <v>5077</v>
      </c>
      <c r="C358" t="s">
        <v>5076</v>
      </c>
      <c r="D358" t="s">
        <v>5075</v>
      </c>
      <c r="F358" t="s">
        <v>5074</v>
      </c>
      <c r="G358" t="s">
        <v>6</v>
      </c>
      <c r="H358" t="s">
        <v>5</v>
      </c>
      <c r="I358" t="s">
        <v>5073</v>
      </c>
      <c r="J358" t="s">
        <v>5072</v>
      </c>
      <c r="K358" t="s">
        <v>5071</v>
      </c>
      <c r="L358" t="s">
        <v>5070</v>
      </c>
      <c r="M358" t="s">
        <v>5069</v>
      </c>
      <c r="N358">
        <v>4</v>
      </c>
      <c r="O358" t="s">
        <v>5068</v>
      </c>
      <c r="P358" t="s">
        <v>5067</v>
      </c>
      <c r="Q358" t="s">
        <v>5066</v>
      </c>
      <c r="R358" s="7">
        <v>36495</v>
      </c>
      <c r="S358" s="8">
        <f t="shared" si="40"/>
        <v>1999</v>
      </c>
      <c r="T358" s="8">
        <v>1999</v>
      </c>
      <c r="U358" s="8">
        <f t="shared" si="41"/>
        <v>23</v>
      </c>
      <c r="V358" s="7">
        <v>1999</v>
      </c>
      <c r="W358" t="s">
        <v>174</v>
      </c>
      <c r="X358" s="2">
        <v>1.3720000000000001</v>
      </c>
      <c r="Y358" s="6">
        <f t="shared" si="42"/>
        <v>3.662475641333654E-2</v>
      </c>
      <c r="AA358">
        <v>189480</v>
      </c>
      <c r="AB358">
        <v>17366</v>
      </c>
      <c r="AD358" t="s">
        <v>2</v>
      </c>
      <c r="AE358">
        <v>47</v>
      </c>
      <c r="AF358" t="s">
        <v>4998</v>
      </c>
      <c r="AH358" t="s">
        <v>5065</v>
      </c>
      <c r="AI358" t="s">
        <v>5064</v>
      </c>
      <c r="AJ358" t="s">
        <v>5063</v>
      </c>
      <c r="AK358" t="s">
        <v>5062</v>
      </c>
      <c r="AL358">
        <v>19</v>
      </c>
      <c r="AM358" s="5">
        <f t="shared" si="43"/>
        <v>0.82608695652173914</v>
      </c>
      <c r="AN358" s="4">
        <f t="shared" si="44"/>
        <v>1.2511729746637473E-3</v>
      </c>
      <c r="AO358" s="3"/>
      <c r="AP358">
        <v>0</v>
      </c>
      <c r="AQ358" t="s">
        <v>5061</v>
      </c>
      <c r="AR358" t="s">
        <v>5060</v>
      </c>
      <c r="AS358" t="s">
        <v>5059</v>
      </c>
      <c r="AT358" s="2" t="s">
        <v>0</v>
      </c>
      <c r="AU358" s="1">
        <f t="shared" si="45"/>
        <v>2.6012681381734697</v>
      </c>
      <c r="AV358" s="1">
        <f t="shared" si="46"/>
        <v>1.8937964694000144</v>
      </c>
      <c r="AW358" s="1">
        <f t="shared" si="47"/>
        <v>1.1863248006265585</v>
      </c>
    </row>
    <row r="359" spans="1:49" x14ac:dyDescent="0.2">
      <c r="A359">
        <v>357</v>
      </c>
      <c r="B359" t="s">
        <v>5058</v>
      </c>
      <c r="C359" t="s">
        <v>5057</v>
      </c>
      <c r="D359" t="s">
        <v>5056</v>
      </c>
      <c r="F359" t="s">
        <v>5055</v>
      </c>
      <c r="G359" t="s">
        <v>6</v>
      </c>
      <c r="H359" t="s">
        <v>5</v>
      </c>
      <c r="I359" t="s">
        <v>5054</v>
      </c>
      <c r="J359">
        <v>60025778</v>
      </c>
      <c r="K359" t="s">
        <v>156</v>
      </c>
      <c r="L359" t="s">
        <v>4</v>
      </c>
      <c r="M359" t="s">
        <v>3</v>
      </c>
      <c r="N359">
        <v>2</v>
      </c>
      <c r="O359" t="s">
        <v>5053</v>
      </c>
      <c r="P359" t="s">
        <v>5052</v>
      </c>
      <c r="Q359" t="s">
        <v>155</v>
      </c>
      <c r="R359" s="7">
        <v>36495</v>
      </c>
      <c r="S359" s="8">
        <f t="shared" si="40"/>
        <v>1999</v>
      </c>
      <c r="T359" s="8">
        <v>1999</v>
      </c>
      <c r="U359" s="8">
        <f t="shared" si="41"/>
        <v>23</v>
      </c>
      <c r="V359" s="7">
        <v>1999</v>
      </c>
      <c r="W359" t="s">
        <v>174</v>
      </c>
      <c r="X359" s="2">
        <v>1.3720000000000001</v>
      </c>
      <c r="Y359" s="6">
        <f t="shared" si="42"/>
        <v>3.662475641333654E-2</v>
      </c>
      <c r="AA359">
        <v>189480</v>
      </c>
      <c r="AB359">
        <v>17366</v>
      </c>
      <c r="AD359" t="s">
        <v>2</v>
      </c>
      <c r="AE359">
        <v>47</v>
      </c>
      <c r="AF359">
        <v>8</v>
      </c>
      <c r="AH359" t="s">
        <v>5051</v>
      </c>
      <c r="AI359" t="s">
        <v>5050</v>
      </c>
      <c r="AJ359" t="s">
        <v>5049</v>
      </c>
      <c r="AK359" t="s">
        <v>5048</v>
      </c>
      <c r="AL359">
        <v>44</v>
      </c>
      <c r="AM359" s="5">
        <f t="shared" si="43"/>
        <v>1.9130434782608696</v>
      </c>
      <c r="AN359" s="4">
        <f t="shared" si="44"/>
        <v>2.8974532044844675E-3</v>
      </c>
      <c r="AO359" s="3"/>
      <c r="AP359">
        <v>0</v>
      </c>
      <c r="AQ359" t="s">
        <v>196</v>
      </c>
      <c r="AR359" t="s">
        <v>5047</v>
      </c>
      <c r="AS359" t="s">
        <v>195</v>
      </c>
      <c r="AT359" s="2" t="s">
        <v>0</v>
      </c>
      <c r="AU359" s="1">
        <f t="shared" si="45"/>
        <v>2.6506565450680917</v>
      </c>
      <c r="AV359" s="1">
        <f t="shared" si="46"/>
        <v>1.9761104808910503</v>
      </c>
      <c r="AW359" s="1">
        <f t="shared" si="47"/>
        <v>1.301564416714009</v>
      </c>
    </row>
    <row r="360" spans="1:49" x14ac:dyDescent="0.2">
      <c r="A360">
        <v>358</v>
      </c>
      <c r="B360" t="s">
        <v>5046</v>
      </c>
      <c r="C360" t="s">
        <v>5045</v>
      </c>
      <c r="F360" t="s">
        <v>5044</v>
      </c>
      <c r="G360" t="s">
        <v>6</v>
      </c>
      <c r="H360" t="s">
        <v>5</v>
      </c>
      <c r="I360" t="s">
        <v>5043</v>
      </c>
      <c r="N360">
        <v>1</v>
      </c>
      <c r="O360" t="s">
        <v>5042</v>
      </c>
      <c r="P360">
        <v>7005966238</v>
      </c>
      <c r="R360" s="7">
        <v>36495</v>
      </c>
      <c r="S360" s="8">
        <f t="shared" si="40"/>
        <v>1999</v>
      </c>
      <c r="T360" s="8">
        <v>1999</v>
      </c>
      <c r="U360" s="8">
        <f t="shared" si="41"/>
        <v>23</v>
      </c>
      <c r="V360" s="7">
        <v>1999</v>
      </c>
      <c r="W360" t="s">
        <v>283</v>
      </c>
      <c r="X360" s="2">
        <v>0.39600000000000002</v>
      </c>
      <c r="Y360" s="6">
        <f t="shared" si="42"/>
        <v>1.0570993833586931E-2</v>
      </c>
      <c r="AA360">
        <v>8858985</v>
      </c>
      <c r="AB360">
        <v>25993</v>
      </c>
      <c r="AD360" t="s">
        <v>2</v>
      </c>
      <c r="AE360">
        <v>14</v>
      </c>
      <c r="AF360">
        <v>6</v>
      </c>
      <c r="AH360" s="10">
        <v>44289</v>
      </c>
      <c r="AI360" t="s">
        <v>5041</v>
      </c>
      <c r="AK360" t="s">
        <v>5040</v>
      </c>
      <c r="AL360">
        <v>1</v>
      </c>
      <c r="AM360" s="5">
        <f t="shared" si="43"/>
        <v>4.3478260869565216E-2</v>
      </c>
      <c r="AN360" s="4">
        <f t="shared" si="44"/>
        <v>6.5851209192828807E-5</v>
      </c>
      <c r="AO360" s="3"/>
      <c r="AP360">
        <v>0</v>
      </c>
      <c r="AR360" t="s">
        <v>1</v>
      </c>
      <c r="AT360" s="2" t="s">
        <v>0</v>
      </c>
      <c r="AU360" s="1">
        <f t="shared" si="45"/>
        <v>0.74194510462687002</v>
      </c>
      <c r="AV360" s="1">
        <f t="shared" si="46"/>
        <v>0.53184225213898795</v>
      </c>
      <c r="AW360" s="1">
        <f t="shared" si="47"/>
        <v>0.32173939965110593</v>
      </c>
    </row>
    <row r="361" spans="1:49" x14ac:dyDescent="0.2">
      <c r="A361">
        <v>359</v>
      </c>
      <c r="B361" t="s">
        <v>5039</v>
      </c>
      <c r="C361" t="s">
        <v>5038</v>
      </c>
      <c r="F361" t="s">
        <v>5037</v>
      </c>
      <c r="G361" t="s">
        <v>6</v>
      </c>
      <c r="H361" t="s">
        <v>5</v>
      </c>
      <c r="I361" t="s">
        <v>5036</v>
      </c>
      <c r="J361">
        <v>60019228</v>
      </c>
      <c r="K361" t="s">
        <v>116</v>
      </c>
      <c r="L361" t="s">
        <v>110</v>
      </c>
      <c r="M361" t="s">
        <v>3</v>
      </c>
      <c r="N361">
        <v>1</v>
      </c>
      <c r="O361" t="s">
        <v>5035</v>
      </c>
      <c r="P361">
        <v>6603635804</v>
      </c>
      <c r="Q361">
        <v>60019228</v>
      </c>
      <c r="R361" s="7">
        <v>36495</v>
      </c>
      <c r="S361" s="8">
        <f t="shared" si="40"/>
        <v>1999</v>
      </c>
      <c r="T361" s="8">
        <v>1999</v>
      </c>
      <c r="U361" s="8">
        <f t="shared" si="41"/>
        <v>23</v>
      </c>
      <c r="V361" s="7">
        <v>1999</v>
      </c>
      <c r="W361" t="s">
        <v>263</v>
      </c>
      <c r="X361" s="2">
        <v>0.46700000000000003</v>
      </c>
      <c r="Y361" s="6">
        <f t="shared" si="42"/>
        <v>1.2466298283548225E-2</v>
      </c>
      <c r="AA361">
        <v>10518223</v>
      </c>
      <c r="AB361">
        <v>26026</v>
      </c>
      <c r="AD361" t="s">
        <v>2</v>
      </c>
      <c r="AE361">
        <v>9</v>
      </c>
      <c r="AF361" t="s">
        <v>5034</v>
      </c>
      <c r="AH361" t="s">
        <v>5033</v>
      </c>
      <c r="AI361" t="s">
        <v>5032</v>
      </c>
      <c r="AK361" t="s">
        <v>5031</v>
      </c>
      <c r="AL361">
        <v>2</v>
      </c>
      <c r="AM361" s="5">
        <f t="shared" si="43"/>
        <v>8.6956521739130432E-2</v>
      </c>
      <c r="AN361" s="4">
        <f t="shared" si="44"/>
        <v>1.3170241838565761E-4</v>
      </c>
      <c r="AO361" s="3"/>
      <c r="AP361">
        <v>0</v>
      </c>
      <c r="AQ361" t="s">
        <v>241</v>
      </c>
      <c r="AR361" t="s">
        <v>1</v>
      </c>
      <c r="AS361" t="s">
        <v>240</v>
      </c>
      <c r="AT361" s="2" t="s">
        <v>0</v>
      </c>
      <c r="AU361" s="1">
        <f t="shared" si="45"/>
        <v>0.87659195239994558</v>
      </c>
      <c r="AV361" s="1">
        <f t="shared" si="46"/>
        <v>0.62990003509669412</v>
      </c>
      <c r="AW361" s="1">
        <f t="shared" si="47"/>
        <v>0.38320811779344277</v>
      </c>
    </row>
    <row r="362" spans="1:49" x14ac:dyDescent="0.2">
      <c r="A362">
        <v>360</v>
      </c>
      <c r="B362" t="s">
        <v>5030</v>
      </c>
      <c r="C362" t="s">
        <v>5029</v>
      </c>
      <c r="D362" t="s">
        <v>5028</v>
      </c>
      <c r="F362" t="s">
        <v>5027</v>
      </c>
      <c r="G362" t="s">
        <v>6</v>
      </c>
      <c r="H362" t="s">
        <v>5</v>
      </c>
      <c r="I362" t="s">
        <v>5026</v>
      </c>
      <c r="J362">
        <v>60000060</v>
      </c>
      <c r="K362" t="s">
        <v>5025</v>
      </c>
      <c r="L362" t="s">
        <v>5024</v>
      </c>
      <c r="M362" t="s">
        <v>3</v>
      </c>
      <c r="N362">
        <v>1</v>
      </c>
      <c r="O362" t="s">
        <v>5023</v>
      </c>
      <c r="P362">
        <v>7202801624</v>
      </c>
      <c r="Q362">
        <v>60000060</v>
      </c>
      <c r="R362" s="7">
        <v>36495</v>
      </c>
      <c r="S362" s="8">
        <f t="shared" si="40"/>
        <v>1999</v>
      </c>
      <c r="T362" s="8">
        <v>1999</v>
      </c>
      <c r="U362" s="8">
        <f t="shared" si="41"/>
        <v>23</v>
      </c>
      <c r="V362" s="7">
        <v>1999</v>
      </c>
      <c r="W362" t="s">
        <v>231</v>
      </c>
      <c r="X362" s="2">
        <v>1.218</v>
      </c>
      <c r="Y362" s="6">
        <f t="shared" si="42"/>
        <v>3.2513814366941618E-2</v>
      </c>
      <c r="AA362">
        <v>189448</v>
      </c>
      <c r="AB362">
        <v>15107</v>
      </c>
      <c r="AD362" t="s">
        <v>2</v>
      </c>
      <c r="AE362">
        <v>45</v>
      </c>
      <c r="AF362">
        <v>1</v>
      </c>
      <c r="AH362" t="s">
        <v>5022</v>
      </c>
      <c r="AI362" t="s">
        <v>5021</v>
      </c>
      <c r="AJ362" t="s">
        <v>5020</v>
      </c>
      <c r="AK362" t="s">
        <v>5019</v>
      </c>
      <c r="AL362">
        <v>45</v>
      </c>
      <c r="AM362" s="5">
        <f t="shared" si="43"/>
        <v>1.9565217391304348</v>
      </c>
      <c r="AN362" s="4">
        <f t="shared" si="44"/>
        <v>2.9633044136772963E-3</v>
      </c>
      <c r="AO362" s="3"/>
      <c r="AP362">
        <v>0</v>
      </c>
      <c r="AQ362" t="s">
        <v>205</v>
      </c>
      <c r="AR362" t="s">
        <v>5018</v>
      </c>
      <c r="AS362" t="s">
        <v>204</v>
      </c>
      <c r="AT362" s="2" t="s">
        <v>0</v>
      </c>
      <c r="AU362" s="1">
        <f t="shared" si="45"/>
        <v>2.3648661380962319</v>
      </c>
      <c r="AV362" s="1">
        <f t="shared" si="46"/>
        <v>1.7738559390309456</v>
      </c>
      <c r="AW362" s="1">
        <f t="shared" si="47"/>
        <v>1.1828457399656593</v>
      </c>
    </row>
    <row r="363" spans="1:49" x14ac:dyDescent="0.2">
      <c r="A363">
        <v>361</v>
      </c>
      <c r="B363" t="s">
        <v>5017</v>
      </c>
      <c r="C363" t="s">
        <v>5016</v>
      </c>
      <c r="D363" t="s">
        <v>5015</v>
      </c>
      <c r="F363" t="s">
        <v>5014</v>
      </c>
      <c r="G363" t="s">
        <v>6</v>
      </c>
      <c r="H363" t="s">
        <v>5</v>
      </c>
      <c r="I363" t="s">
        <v>5013</v>
      </c>
      <c r="J363">
        <v>60032325</v>
      </c>
      <c r="K363" t="s">
        <v>3761</v>
      </c>
      <c r="L363" t="s">
        <v>102</v>
      </c>
      <c r="M363" t="s">
        <v>7</v>
      </c>
      <c r="N363">
        <v>11</v>
      </c>
      <c r="O363" t="s">
        <v>5012</v>
      </c>
      <c r="P363" t="s">
        <v>5011</v>
      </c>
      <c r="Q363" t="s">
        <v>5010</v>
      </c>
      <c r="R363" s="7">
        <v>36495</v>
      </c>
      <c r="S363" s="8">
        <f t="shared" si="40"/>
        <v>1999</v>
      </c>
      <c r="T363" s="8">
        <v>1999</v>
      </c>
      <c r="U363" s="8">
        <f t="shared" si="41"/>
        <v>23</v>
      </c>
      <c r="V363" s="7">
        <v>1999</v>
      </c>
      <c r="W363" t="s">
        <v>89</v>
      </c>
      <c r="X363" s="2">
        <v>1.365</v>
      </c>
      <c r="Y363" s="6">
        <f t="shared" si="42"/>
        <v>3.6437895411227675E-2</v>
      </c>
      <c r="AA363">
        <v>189545</v>
      </c>
      <c r="AB363">
        <v>17393</v>
      </c>
      <c r="AD363" t="s">
        <v>2</v>
      </c>
      <c r="AE363">
        <v>48</v>
      </c>
      <c r="AF363">
        <v>3</v>
      </c>
      <c r="AH363" t="s">
        <v>5009</v>
      </c>
      <c r="AI363" t="s">
        <v>5008</v>
      </c>
      <c r="AJ363" t="s">
        <v>5007</v>
      </c>
      <c r="AK363" t="s">
        <v>5006</v>
      </c>
      <c r="AL363">
        <v>15</v>
      </c>
      <c r="AM363" s="5">
        <f t="shared" si="43"/>
        <v>0.65217391304347827</v>
      </c>
      <c r="AN363" s="4">
        <f t="shared" si="44"/>
        <v>9.8776813789243204E-4</v>
      </c>
      <c r="AO363" s="3"/>
      <c r="AP363">
        <v>0</v>
      </c>
      <c r="AR363" t="s">
        <v>1</v>
      </c>
      <c r="AT363" s="2" t="s">
        <v>0</v>
      </c>
      <c r="AU363" s="1">
        <f t="shared" si="45"/>
        <v>2.5802857229227096</v>
      </c>
      <c r="AV363" s="1">
        <f t="shared" si="46"/>
        <v>1.8712831774560055</v>
      </c>
      <c r="AW363" s="1">
        <f t="shared" si="47"/>
        <v>1.1622806319893004</v>
      </c>
    </row>
    <row r="364" spans="1:49" x14ac:dyDescent="0.2">
      <c r="A364">
        <v>362</v>
      </c>
      <c r="B364" t="s">
        <v>5005</v>
      </c>
      <c r="C364" t="s">
        <v>5004</v>
      </c>
      <c r="D364" t="s">
        <v>5003</v>
      </c>
      <c r="F364" t="s">
        <v>5002</v>
      </c>
      <c r="G364" t="s">
        <v>6</v>
      </c>
      <c r="H364" t="s">
        <v>5</v>
      </c>
      <c r="I364" t="s">
        <v>820</v>
      </c>
      <c r="J364">
        <v>60011476</v>
      </c>
      <c r="K364" t="s">
        <v>775</v>
      </c>
      <c r="L364" t="s">
        <v>774</v>
      </c>
      <c r="M364" t="s">
        <v>23</v>
      </c>
      <c r="N364">
        <v>3</v>
      </c>
      <c r="O364" t="s">
        <v>5001</v>
      </c>
      <c r="P364" t="s">
        <v>5000</v>
      </c>
      <c r="Q364" t="s">
        <v>4999</v>
      </c>
      <c r="R364" s="7">
        <v>36495</v>
      </c>
      <c r="S364" s="8">
        <f t="shared" si="40"/>
        <v>1999</v>
      </c>
      <c r="T364" s="8">
        <v>1999</v>
      </c>
      <c r="U364" s="8">
        <f t="shared" si="41"/>
        <v>23</v>
      </c>
      <c r="V364" s="7">
        <v>1999</v>
      </c>
      <c r="W364" t="s">
        <v>174</v>
      </c>
      <c r="X364" s="2">
        <v>1.3720000000000001</v>
      </c>
      <c r="Y364" s="6">
        <f t="shared" si="42"/>
        <v>3.662475641333654E-2</v>
      </c>
      <c r="AA364">
        <v>189480</v>
      </c>
      <c r="AB364">
        <v>17366</v>
      </c>
      <c r="AD364" t="s">
        <v>2</v>
      </c>
      <c r="AE364">
        <v>47</v>
      </c>
      <c r="AF364" t="s">
        <v>4998</v>
      </c>
      <c r="AH364" t="s">
        <v>4997</v>
      </c>
      <c r="AI364" t="s">
        <v>4996</v>
      </c>
      <c r="AJ364" t="s">
        <v>4995</v>
      </c>
      <c r="AK364" t="s">
        <v>4994</v>
      </c>
      <c r="AL364">
        <v>19</v>
      </c>
      <c r="AM364" s="5">
        <f t="shared" si="43"/>
        <v>0.82608695652173914</v>
      </c>
      <c r="AN364" s="4">
        <f t="shared" si="44"/>
        <v>1.2511729746637473E-3</v>
      </c>
      <c r="AO364" s="3"/>
      <c r="AP364">
        <v>0</v>
      </c>
      <c r="AQ364" t="s">
        <v>52</v>
      </c>
      <c r="AR364" t="s">
        <v>4993</v>
      </c>
      <c r="AS364" t="s">
        <v>51</v>
      </c>
      <c r="AT364" s="2" t="s">
        <v>0</v>
      </c>
      <c r="AU364" s="1">
        <f t="shared" si="45"/>
        <v>2.6012681381734697</v>
      </c>
      <c r="AV364" s="1">
        <f t="shared" si="46"/>
        <v>1.8937964694000144</v>
      </c>
      <c r="AW364" s="1">
        <f t="shared" si="47"/>
        <v>1.1863248006265585</v>
      </c>
    </row>
    <row r="365" spans="1:49" x14ac:dyDescent="0.2">
      <c r="A365">
        <v>363</v>
      </c>
      <c r="B365" t="s">
        <v>4992</v>
      </c>
      <c r="C365" t="s">
        <v>4991</v>
      </c>
      <c r="D365" t="s">
        <v>4990</v>
      </c>
      <c r="F365" t="s">
        <v>4989</v>
      </c>
      <c r="G365" t="s">
        <v>6</v>
      </c>
      <c r="H365" t="s">
        <v>5</v>
      </c>
      <c r="I365" t="s">
        <v>4988</v>
      </c>
      <c r="J365">
        <v>60003500</v>
      </c>
      <c r="K365" t="s">
        <v>362</v>
      </c>
      <c r="L365" t="s">
        <v>361</v>
      </c>
      <c r="M365" t="s">
        <v>3</v>
      </c>
      <c r="N365">
        <v>1</v>
      </c>
      <c r="O365" t="s">
        <v>4987</v>
      </c>
      <c r="P365">
        <v>56240205100</v>
      </c>
      <c r="Q365">
        <v>60003500</v>
      </c>
      <c r="R365" s="7">
        <v>36495</v>
      </c>
      <c r="S365" s="8">
        <f t="shared" si="40"/>
        <v>1999</v>
      </c>
      <c r="T365" s="8">
        <v>1999</v>
      </c>
      <c r="U365" s="8">
        <f t="shared" si="41"/>
        <v>23</v>
      </c>
      <c r="V365" s="7">
        <v>1999</v>
      </c>
      <c r="W365" t="s">
        <v>124</v>
      </c>
      <c r="X365" s="2">
        <v>1.6519999999999999</v>
      </c>
      <c r="Y365" s="6">
        <f t="shared" si="42"/>
        <v>4.409919649769093E-2</v>
      </c>
      <c r="AA365" t="s">
        <v>123</v>
      </c>
      <c r="AB365">
        <v>17337</v>
      </c>
      <c r="AD365" t="s">
        <v>2</v>
      </c>
      <c r="AE365">
        <v>47</v>
      </c>
      <c r="AF365">
        <v>6</v>
      </c>
      <c r="AH365" t="s">
        <v>4986</v>
      </c>
      <c r="AI365" t="s">
        <v>4985</v>
      </c>
      <c r="AJ365" t="s">
        <v>4984</v>
      </c>
      <c r="AK365" t="s">
        <v>4983</v>
      </c>
      <c r="AL365">
        <v>6</v>
      </c>
      <c r="AM365" s="5">
        <f t="shared" si="43"/>
        <v>0.2608695652173913</v>
      </c>
      <c r="AN365" s="4">
        <f t="shared" si="44"/>
        <v>3.9510725515697282E-4</v>
      </c>
      <c r="AO365" s="3"/>
      <c r="AP365">
        <v>0</v>
      </c>
      <c r="AQ365" t="s">
        <v>160</v>
      </c>
      <c r="AR365" t="s">
        <v>360</v>
      </c>
      <c r="AS365" t="s">
        <v>159</v>
      </c>
      <c r="AT365" s="2" t="s">
        <v>0</v>
      </c>
      <c r="AU365" s="1">
        <f t="shared" si="45"/>
        <v>3.0987969724930742</v>
      </c>
      <c r="AV365" s="1">
        <f t="shared" si="46"/>
        <v>2.2247151876423952</v>
      </c>
      <c r="AW365" s="1">
        <f t="shared" si="47"/>
        <v>1.3506334027917157</v>
      </c>
    </row>
    <row r="366" spans="1:49" x14ac:dyDescent="0.2">
      <c r="A366">
        <v>364</v>
      </c>
      <c r="B366" t="s">
        <v>4982</v>
      </c>
      <c r="C366" t="s">
        <v>4981</v>
      </c>
      <c r="F366" t="s">
        <v>4980</v>
      </c>
      <c r="G366" t="s">
        <v>6</v>
      </c>
      <c r="H366" t="s">
        <v>5</v>
      </c>
      <c r="I366" t="s">
        <v>4979</v>
      </c>
      <c r="J366">
        <v>60005681</v>
      </c>
      <c r="K366" t="s">
        <v>73</v>
      </c>
      <c r="L366" t="s">
        <v>72</v>
      </c>
      <c r="M366" t="s">
        <v>71</v>
      </c>
      <c r="N366">
        <v>1</v>
      </c>
      <c r="O366" t="s">
        <v>4978</v>
      </c>
      <c r="P366">
        <v>7006463973</v>
      </c>
      <c r="Q366">
        <v>60005681</v>
      </c>
      <c r="R366" s="7">
        <v>36495</v>
      </c>
      <c r="S366" s="8">
        <f t="shared" si="40"/>
        <v>1999</v>
      </c>
      <c r="T366" s="8">
        <v>1999</v>
      </c>
      <c r="U366" s="8">
        <f t="shared" si="41"/>
        <v>23</v>
      </c>
      <c r="V366" s="7">
        <v>1999</v>
      </c>
      <c r="W366" t="s">
        <v>136</v>
      </c>
      <c r="X366" s="2">
        <v>0.46</v>
      </c>
      <c r="Y366" s="6">
        <f t="shared" si="42"/>
        <v>1.2279437281439364E-2</v>
      </c>
      <c r="AA366">
        <v>933813</v>
      </c>
      <c r="AB366">
        <v>28031</v>
      </c>
      <c r="AD366" t="s">
        <v>2</v>
      </c>
      <c r="AE366">
        <v>27</v>
      </c>
      <c r="AF366">
        <v>2</v>
      </c>
      <c r="AH366" t="s">
        <v>4977</v>
      </c>
      <c r="AI366" t="s">
        <v>4976</v>
      </c>
      <c r="AK366" t="s">
        <v>4975</v>
      </c>
      <c r="AL366">
        <v>16</v>
      </c>
      <c r="AM366" s="5">
        <f t="shared" si="43"/>
        <v>0.69565217391304346</v>
      </c>
      <c r="AN366" s="4">
        <f t="shared" si="44"/>
        <v>1.0536193470852609E-3</v>
      </c>
      <c r="AO366" s="3"/>
      <c r="AP366">
        <v>0</v>
      </c>
      <c r="AR366" t="s">
        <v>4974</v>
      </c>
      <c r="AS366" t="s">
        <v>4973</v>
      </c>
      <c r="AT366" s="2">
        <v>1.222</v>
      </c>
      <c r="AU366" s="1">
        <f t="shared" si="45"/>
        <v>0.89116919011331308</v>
      </c>
      <c r="AV366" s="1">
        <f t="shared" si="46"/>
        <v>0.66665283142623122</v>
      </c>
      <c r="AW366" s="1">
        <f t="shared" si="47"/>
        <v>0.44213647273914913</v>
      </c>
    </row>
    <row r="367" spans="1:49" x14ac:dyDescent="0.2">
      <c r="A367">
        <v>365</v>
      </c>
      <c r="B367" t="s">
        <v>4972</v>
      </c>
      <c r="F367" t="s">
        <v>4971</v>
      </c>
      <c r="G367" t="s">
        <v>6</v>
      </c>
      <c r="H367" t="s">
        <v>5</v>
      </c>
      <c r="I367" t="s">
        <v>4970</v>
      </c>
      <c r="J367">
        <v>101772244</v>
      </c>
      <c r="K367" t="s">
        <v>4969</v>
      </c>
      <c r="M367" t="s">
        <v>3</v>
      </c>
      <c r="N367">
        <v>5</v>
      </c>
      <c r="O367" t="s">
        <v>4968</v>
      </c>
      <c r="P367" t="s">
        <v>4967</v>
      </c>
      <c r="Q367" t="s">
        <v>4966</v>
      </c>
      <c r="R367" s="7">
        <v>36495</v>
      </c>
      <c r="S367" s="8">
        <f t="shared" si="40"/>
        <v>1999</v>
      </c>
      <c r="T367" s="8">
        <v>1999</v>
      </c>
      <c r="U367" s="8">
        <f t="shared" si="41"/>
        <v>23</v>
      </c>
      <c r="V367" s="7">
        <v>1999</v>
      </c>
      <c r="W367" t="s">
        <v>3189</v>
      </c>
      <c r="X367" s="2">
        <v>0.22</v>
      </c>
      <c r="Y367" s="6">
        <f t="shared" si="42"/>
        <v>5.8727743519927395E-3</v>
      </c>
      <c r="AA367">
        <v>2705214</v>
      </c>
      <c r="AB367">
        <v>28119</v>
      </c>
      <c r="AD367" t="s">
        <v>2</v>
      </c>
      <c r="AE367">
        <v>20</v>
      </c>
      <c r="AF367">
        <v>3</v>
      </c>
      <c r="AH367" t="s">
        <v>4965</v>
      </c>
      <c r="AI367" t="s">
        <v>4964</v>
      </c>
      <c r="AJ367" t="s">
        <v>4963</v>
      </c>
      <c r="AK367" t="s">
        <v>4962</v>
      </c>
      <c r="AL367">
        <v>1</v>
      </c>
      <c r="AM367" s="5">
        <f t="shared" si="43"/>
        <v>4.3478260869565216E-2</v>
      </c>
      <c r="AN367" s="4">
        <f t="shared" si="44"/>
        <v>6.5851209192828807E-5</v>
      </c>
      <c r="AO367" s="3"/>
      <c r="AP367">
        <v>0</v>
      </c>
      <c r="AR367" t="s">
        <v>1</v>
      </c>
      <c r="AT367" s="2" t="s">
        <v>0</v>
      </c>
      <c r="AU367" s="1">
        <f t="shared" si="45"/>
        <v>0.41306974091527665</v>
      </c>
      <c r="AV367" s="1">
        <f t="shared" si="46"/>
        <v>0.29693127805927838</v>
      </c>
      <c r="AW367" s="1">
        <f t="shared" si="47"/>
        <v>0.18079281520328019</v>
      </c>
    </row>
    <row r="368" spans="1:49" x14ac:dyDescent="0.2">
      <c r="A368">
        <v>366</v>
      </c>
      <c r="B368" t="s">
        <v>4961</v>
      </c>
      <c r="C368" t="s">
        <v>4960</v>
      </c>
      <c r="D368" t="s">
        <v>4959</v>
      </c>
      <c r="F368" t="s">
        <v>4958</v>
      </c>
      <c r="G368" t="s">
        <v>6</v>
      </c>
      <c r="H368" t="s">
        <v>5</v>
      </c>
      <c r="I368" t="s">
        <v>4957</v>
      </c>
      <c r="J368">
        <v>60103581</v>
      </c>
      <c r="K368" t="s">
        <v>4956</v>
      </c>
      <c r="L368" t="s">
        <v>793</v>
      </c>
      <c r="M368" t="s">
        <v>67</v>
      </c>
      <c r="N368">
        <v>3</v>
      </c>
      <c r="O368" t="s">
        <v>4955</v>
      </c>
      <c r="P368" t="s">
        <v>4954</v>
      </c>
      <c r="Q368" t="s">
        <v>4953</v>
      </c>
      <c r="R368" s="7">
        <v>36495</v>
      </c>
      <c r="S368" s="8">
        <f t="shared" si="40"/>
        <v>1999</v>
      </c>
      <c r="T368" s="8">
        <v>1999</v>
      </c>
      <c r="U368" s="8">
        <f t="shared" si="41"/>
        <v>23</v>
      </c>
      <c r="V368" s="7">
        <v>1999</v>
      </c>
      <c r="W368" t="s">
        <v>190</v>
      </c>
      <c r="X368" s="2">
        <v>1.6379999999999999</v>
      </c>
      <c r="Y368" s="6">
        <f t="shared" si="42"/>
        <v>4.3725474493473214E-2</v>
      </c>
      <c r="AA368" t="s">
        <v>189</v>
      </c>
      <c r="AB368">
        <v>17391</v>
      </c>
      <c r="AD368" t="s">
        <v>2</v>
      </c>
      <c r="AE368">
        <v>47</v>
      </c>
      <c r="AF368">
        <v>6</v>
      </c>
      <c r="AH368" t="s">
        <v>4952</v>
      </c>
      <c r="AI368" t="s">
        <v>4951</v>
      </c>
      <c r="AK368" t="s">
        <v>4950</v>
      </c>
      <c r="AL368">
        <v>114</v>
      </c>
      <c r="AM368" s="5">
        <f t="shared" si="43"/>
        <v>4.9565217391304346</v>
      </c>
      <c r="AN368" s="4">
        <f t="shared" si="44"/>
        <v>7.5070378479824831E-3</v>
      </c>
      <c r="AO368" s="3"/>
      <c r="AP368">
        <v>0</v>
      </c>
      <c r="AR368" t="s">
        <v>1</v>
      </c>
      <c r="AT368" s="2">
        <v>4.931</v>
      </c>
      <c r="AU368" s="1">
        <f t="shared" si="45"/>
        <v>3.2859943499825994</v>
      </c>
      <c r="AV368" s="1">
        <f t="shared" si="46"/>
        <v>2.5616256170727847</v>
      </c>
      <c r="AW368" s="1">
        <f t="shared" si="47"/>
        <v>1.8372568841629702</v>
      </c>
    </row>
    <row r="369" spans="1:49" x14ac:dyDescent="0.2">
      <c r="A369">
        <v>367</v>
      </c>
      <c r="B369" t="s">
        <v>4949</v>
      </c>
      <c r="C369" t="s">
        <v>4948</v>
      </c>
      <c r="D369" t="s">
        <v>4947</v>
      </c>
      <c r="F369" t="s">
        <v>4946</v>
      </c>
      <c r="G369" t="s">
        <v>6</v>
      </c>
      <c r="H369" t="s">
        <v>5</v>
      </c>
      <c r="I369" t="s">
        <v>4945</v>
      </c>
      <c r="J369" t="s">
        <v>4944</v>
      </c>
      <c r="K369" t="s">
        <v>4943</v>
      </c>
      <c r="L369" t="s">
        <v>4942</v>
      </c>
      <c r="M369" t="s">
        <v>30</v>
      </c>
      <c r="N369">
        <v>9</v>
      </c>
      <c r="O369" t="s">
        <v>4941</v>
      </c>
      <c r="P369" t="s">
        <v>4940</v>
      </c>
      <c r="Q369" t="s">
        <v>4939</v>
      </c>
      <c r="R369" s="7">
        <v>36495</v>
      </c>
      <c r="S369" s="8">
        <f t="shared" si="40"/>
        <v>1999</v>
      </c>
      <c r="T369" s="8">
        <v>1999</v>
      </c>
      <c r="U369" s="8">
        <f t="shared" si="41"/>
        <v>23</v>
      </c>
      <c r="V369" s="7">
        <v>1999</v>
      </c>
      <c r="W369" t="s">
        <v>124</v>
      </c>
      <c r="X369" s="2">
        <v>1.6519999999999999</v>
      </c>
      <c r="Y369" s="6">
        <f t="shared" si="42"/>
        <v>4.409919649769093E-2</v>
      </c>
      <c r="AA369" t="s">
        <v>123</v>
      </c>
      <c r="AB369">
        <v>17337</v>
      </c>
      <c r="AD369" t="s">
        <v>2</v>
      </c>
      <c r="AE369">
        <v>47</v>
      </c>
      <c r="AF369">
        <v>3</v>
      </c>
      <c r="AH369" t="s">
        <v>4938</v>
      </c>
      <c r="AI369" t="s">
        <v>4937</v>
      </c>
      <c r="AJ369" t="s">
        <v>4936</v>
      </c>
      <c r="AK369" t="s">
        <v>4935</v>
      </c>
      <c r="AL369">
        <v>37</v>
      </c>
      <c r="AM369" s="5">
        <f t="shared" si="43"/>
        <v>1.6086956521739131</v>
      </c>
      <c r="AN369" s="4">
        <f t="shared" si="44"/>
        <v>2.4364947401346658E-3</v>
      </c>
      <c r="AO369" s="3"/>
      <c r="AP369">
        <v>0</v>
      </c>
      <c r="AR369" t="s">
        <v>1</v>
      </c>
      <c r="AT369" s="2" t="s">
        <v>0</v>
      </c>
      <c r="AU369" s="1">
        <f t="shared" si="45"/>
        <v>3.160038597042405</v>
      </c>
      <c r="AV369" s="1">
        <f t="shared" si="46"/>
        <v>2.3267845618912797</v>
      </c>
      <c r="AW369" s="1">
        <f t="shared" si="47"/>
        <v>1.4935305267401544</v>
      </c>
    </row>
    <row r="370" spans="1:49" x14ac:dyDescent="0.2">
      <c r="A370">
        <v>368</v>
      </c>
      <c r="B370" t="s">
        <v>4934</v>
      </c>
      <c r="C370" t="s">
        <v>4933</v>
      </c>
      <c r="D370" t="s">
        <v>4932</v>
      </c>
      <c r="F370" t="s">
        <v>4931</v>
      </c>
      <c r="G370" t="s">
        <v>6</v>
      </c>
      <c r="H370" t="s">
        <v>5</v>
      </c>
      <c r="I370" t="s">
        <v>4930</v>
      </c>
      <c r="J370">
        <v>60005681</v>
      </c>
      <c r="K370" t="s">
        <v>73</v>
      </c>
      <c r="L370" t="s">
        <v>72</v>
      </c>
      <c r="M370" t="s">
        <v>71</v>
      </c>
      <c r="N370">
        <v>2</v>
      </c>
      <c r="O370" t="s">
        <v>4929</v>
      </c>
      <c r="P370" t="s">
        <v>4928</v>
      </c>
      <c r="Q370" t="s">
        <v>70</v>
      </c>
      <c r="R370" s="7">
        <v>36495</v>
      </c>
      <c r="S370" s="8">
        <f t="shared" si="40"/>
        <v>1999</v>
      </c>
      <c r="T370" s="8">
        <v>1999</v>
      </c>
      <c r="U370" s="8">
        <f t="shared" si="41"/>
        <v>23</v>
      </c>
      <c r="V370" s="7">
        <v>1999</v>
      </c>
      <c r="W370" t="s">
        <v>124</v>
      </c>
      <c r="X370" s="2">
        <v>1.6519999999999999</v>
      </c>
      <c r="Y370" s="6">
        <f t="shared" si="42"/>
        <v>4.409919649769093E-2</v>
      </c>
      <c r="AA370" t="s">
        <v>123</v>
      </c>
      <c r="AB370">
        <v>17337</v>
      </c>
      <c r="AD370" t="s">
        <v>2</v>
      </c>
      <c r="AE370">
        <v>47</v>
      </c>
      <c r="AF370">
        <v>2</v>
      </c>
      <c r="AH370" t="s">
        <v>4927</v>
      </c>
      <c r="AI370" t="s">
        <v>4926</v>
      </c>
      <c r="AJ370" t="s">
        <v>4925</v>
      </c>
      <c r="AK370" t="s">
        <v>4924</v>
      </c>
      <c r="AL370">
        <v>33</v>
      </c>
      <c r="AM370" s="5">
        <f t="shared" si="43"/>
        <v>1.4347826086956521</v>
      </c>
      <c r="AN370" s="4">
        <f t="shared" si="44"/>
        <v>2.1730899033633503E-3</v>
      </c>
      <c r="AO370" s="3"/>
      <c r="AP370">
        <v>0</v>
      </c>
      <c r="AQ370" t="s">
        <v>241</v>
      </c>
      <c r="AR370" t="s">
        <v>4923</v>
      </c>
      <c r="AS370" t="s">
        <v>240</v>
      </c>
      <c r="AT370" s="2" t="s">
        <v>0</v>
      </c>
      <c r="AU370" s="1">
        <f t="shared" si="45"/>
        <v>3.1521364519392656</v>
      </c>
      <c r="AV370" s="1">
        <f t="shared" si="46"/>
        <v>2.3136143200527139</v>
      </c>
      <c r="AW370" s="1">
        <f t="shared" si="47"/>
        <v>1.4750921881661623</v>
      </c>
    </row>
    <row r="371" spans="1:49" x14ac:dyDescent="0.2">
      <c r="A371">
        <v>369</v>
      </c>
      <c r="B371" t="s">
        <v>4922</v>
      </c>
      <c r="C371" t="s">
        <v>4921</v>
      </c>
      <c r="E371">
        <v>10334717</v>
      </c>
      <c r="F371" t="s">
        <v>4920</v>
      </c>
      <c r="G371" t="s">
        <v>6</v>
      </c>
      <c r="H371" t="s">
        <v>5</v>
      </c>
      <c r="I371" t="s">
        <v>4919</v>
      </c>
      <c r="J371" t="s">
        <v>4918</v>
      </c>
      <c r="K371" t="s">
        <v>4917</v>
      </c>
      <c r="L371" t="s">
        <v>4916</v>
      </c>
      <c r="M371" t="s">
        <v>27</v>
      </c>
      <c r="N371">
        <v>4</v>
      </c>
      <c r="O371" t="s">
        <v>4915</v>
      </c>
      <c r="P371" t="s">
        <v>4914</v>
      </c>
      <c r="Q371" t="s">
        <v>4913</v>
      </c>
      <c r="R371" s="7">
        <v>36495</v>
      </c>
      <c r="S371" s="8">
        <f t="shared" si="40"/>
        <v>1999</v>
      </c>
      <c r="T371" s="8">
        <v>1999</v>
      </c>
      <c r="U371" s="8">
        <f t="shared" si="41"/>
        <v>23</v>
      </c>
      <c r="V371" s="7">
        <v>1999</v>
      </c>
      <c r="W371" t="s">
        <v>4876</v>
      </c>
      <c r="X371" s="2">
        <v>0.435</v>
      </c>
      <c r="Y371" s="6">
        <f t="shared" si="42"/>
        <v>1.1612076559622007E-2</v>
      </c>
      <c r="AA371">
        <v>1978462</v>
      </c>
      <c r="AB371">
        <v>14839</v>
      </c>
      <c r="AD371" t="s">
        <v>2</v>
      </c>
      <c r="AE371">
        <v>20</v>
      </c>
      <c r="AF371" t="s">
        <v>4912</v>
      </c>
      <c r="AH371" t="s">
        <v>4911</v>
      </c>
      <c r="AI371" t="s">
        <v>4910</v>
      </c>
      <c r="AJ371" t="s">
        <v>4909</v>
      </c>
      <c r="AK371" t="s">
        <v>4908</v>
      </c>
      <c r="AL371">
        <v>38</v>
      </c>
      <c r="AM371" s="5">
        <f t="shared" si="43"/>
        <v>1.6521739130434783</v>
      </c>
      <c r="AN371" s="4">
        <f t="shared" si="44"/>
        <v>2.5023459493274947E-3</v>
      </c>
      <c r="AO371" s="3"/>
      <c r="AP371">
        <v>0</v>
      </c>
      <c r="AR371" t="s">
        <v>1</v>
      </c>
      <c r="AT371" s="2">
        <v>2.0099999999999998</v>
      </c>
      <c r="AU371" s="1">
        <f t="shared" si="45"/>
        <v>0.8879157376533654</v>
      </c>
      <c r="AV371" s="1">
        <f t="shared" si="46"/>
        <v>0.70572112544747512</v>
      </c>
      <c r="AW371" s="1">
        <f t="shared" si="47"/>
        <v>0.52352651324158483</v>
      </c>
    </row>
    <row r="372" spans="1:49" x14ac:dyDescent="0.2">
      <c r="A372">
        <v>370</v>
      </c>
      <c r="B372" t="s">
        <v>4907</v>
      </c>
      <c r="C372" t="s">
        <v>4906</v>
      </c>
      <c r="E372">
        <v>9915592</v>
      </c>
      <c r="F372" t="s">
        <v>4905</v>
      </c>
      <c r="G372" t="s">
        <v>6</v>
      </c>
      <c r="H372" t="s">
        <v>5</v>
      </c>
      <c r="I372" t="s">
        <v>4904</v>
      </c>
      <c r="J372">
        <v>60024590</v>
      </c>
      <c r="K372" t="s">
        <v>91</v>
      </c>
      <c r="L372" t="s">
        <v>90</v>
      </c>
      <c r="M372" t="s">
        <v>3</v>
      </c>
      <c r="N372">
        <v>5</v>
      </c>
      <c r="O372" t="s">
        <v>4903</v>
      </c>
      <c r="P372" t="s">
        <v>4902</v>
      </c>
      <c r="Q372" t="s">
        <v>4901</v>
      </c>
      <c r="R372" s="7">
        <v>36495</v>
      </c>
      <c r="S372" s="8">
        <f t="shared" si="40"/>
        <v>1999</v>
      </c>
      <c r="T372" s="8">
        <v>1999</v>
      </c>
      <c r="U372" s="8">
        <f t="shared" si="41"/>
        <v>23</v>
      </c>
      <c r="V372" s="7">
        <v>1999</v>
      </c>
      <c r="W372" t="s">
        <v>4876</v>
      </c>
      <c r="X372" s="2">
        <v>0.435</v>
      </c>
      <c r="Y372" s="6">
        <f t="shared" si="42"/>
        <v>1.1612076559622007E-2</v>
      </c>
      <c r="AA372">
        <v>1978462</v>
      </c>
      <c r="AB372">
        <v>14839</v>
      </c>
      <c r="AD372" t="s">
        <v>2</v>
      </c>
      <c r="AE372">
        <v>20</v>
      </c>
      <c r="AF372">
        <v>1</v>
      </c>
      <c r="AH372" t="s">
        <v>4900</v>
      </c>
      <c r="AI372" t="s">
        <v>4899</v>
      </c>
      <c r="AJ372" t="s">
        <v>4898</v>
      </c>
      <c r="AK372" t="s">
        <v>4897</v>
      </c>
      <c r="AL372">
        <v>25</v>
      </c>
      <c r="AM372" s="5">
        <f t="shared" si="43"/>
        <v>1.0869565217391304</v>
      </c>
      <c r="AN372" s="4">
        <f t="shared" si="44"/>
        <v>1.6462802298207199E-3</v>
      </c>
      <c r="AO372" s="3"/>
      <c r="AP372">
        <v>0</v>
      </c>
      <c r="AR372" t="s">
        <v>1</v>
      </c>
      <c r="AT372" s="2">
        <v>2.0099999999999998</v>
      </c>
      <c r="AU372" s="1">
        <f t="shared" si="45"/>
        <v>0.86223376606816216</v>
      </c>
      <c r="AV372" s="1">
        <f t="shared" si="46"/>
        <v>0.66291783947213634</v>
      </c>
      <c r="AW372" s="1">
        <f t="shared" si="47"/>
        <v>0.46360191287611058</v>
      </c>
    </row>
    <row r="373" spans="1:49" x14ac:dyDescent="0.2">
      <c r="A373">
        <v>371</v>
      </c>
      <c r="B373" t="s">
        <v>4896</v>
      </c>
      <c r="C373" t="s">
        <v>4895</v>
      </c>
      <c r="D373" t="s">
        <v>4894</v>
      </c>
      <c r="F373" t="s">
        <v>4893</v>
      </c>
      <c r="G373" t="s">
        <v>6</v>
      </c>
      <c r="H373" t="s">
        <v>5</v>
      </c>
      <c r="I373" t="s">
        <v>4892</v>
      </c>
      <c r="J373">
        <v>60032179</v>
      </c>
      <c r="K373" t="s">
        <v>17</v>
      </c>
      <c r="L373" t="s">
        <v>16</v>
      </c>
      <c r="M373" t="s">
        <v>3</v>
      </c>
      <c r="N373">
        <v>5</v>
      </c>
      <c r="O373" t="s">
        <v>4891</v>
      </c>
      <c r="P373" t="s">
        <v>4890</v>
      </c>
      <c r="Q373" t="s">
        <v>837</v>
      </c>
      <c r="R373" s="7">
        <v>36495</v>
      </c>
      <c r="S373" s="8">
        <f t="shared" si="40"/>
        <v>1999</v>
      </c>
      <c r="T373" s="8">
        <v>1999</v>
      </c>
      <c r="U373" s="8">
        <f t="shared" si="41"/>
        <v>23</v>
      </c>
      <c r="V373" s="7">
        <v>1999</v>
      </c>
      <c r="W373" t="s">
        <v>769</v>
      </c>
      <c r="X373" s="2">
        <v>0.69899999999999995</v>
      </c>
      <c r="Y373" s="6">
        <f t="shared" si="42"/>
        <v>1.8659405782013295E-2</v>
      </c>
      <c r="AA373">
        <v>218979</v>
      </c>
      <c r="AB373">
        <v>28132</v>
      </c>
      <c r="AD373" t="s">
        <v>2</v>
      </c>
      <c r="AE373">
        <v>85</v>
      </c>
      <c r="AF373">
        <v>1</v>
      </c>
      <c r="AH373" t="s">
        <v>4889</v>
      </c>
      <c r="AI373" t="s">
        <v>4888</v>
      </c>
      <c r="AK373" t="s">
        <v>4887</v>
      </c>
      <c r="AL373">
        <v>34</v>
      </c>
      <c r="AM373" s="5">
        <f t="shared" si="43"/>
        <v>1.4782608695652173</v>
      </c>
      <c r="AN373" s="4">
        <f t="shared" si="44"/>
        <v>2.2389411125561792E-3</v>
      </c>
      <c r="AO373" s="3"/>
      <c r="AP373">
        <v>0</v>
      </c>
      <c r="AR373" t="s">
        <v>1</v>
      </c>
      <c r="AT373" s="2">
        <v>2.5459999999999998</v>
      </c>
      <c r="AU373" s="1">
        <f t="shared" si="45"/>
        <v>1.3733266381176159</v>
      </c>
      <c r="AV373" s="1">
        <f t="shared" si="46"/>
        <v>1.0449173447284736</v>
      </c>
      <c r="AW373" s="1">
        <f t="shared" si="47"/>
        <v>0.71650805133933126</v>
      </c>
    </row>
    <row r="374" spans="1:49" x14ac:dyDescent="0.2">
      <c r="A374">
        <v>372</v>
      </c>
      <c r="B374" t="s">
        <v>4886</v>
      </c>
      <c r="C374" t="s">
        <v>4885</v>
      </c>
      <c r="E374">
        <v>10029134</v>
      </c>
      <c r="F374" t="s">
        <v>4884</v>
      </c>
      <c r="G374" t="s">
        <v>6</v>
      </c>
      <c r="H374" t="s">
        <v>5</v>
      </c>
      <c r="I374" t="s">
        <v>4883</v>
      </c>
      <c r="J374" t="s">
        <v>4882</v>
      </c>
      <c r="K374" t="s">
        <v>4881</v>
      </c>
      <c r="L374" t="s">
        <v>4880</v>
      </c>
      <c r="M374" t="s">
        <v>19</v>
      </c>
      <c r="N374">
        <v>3</v>
      </c>
      <c r="O374" t="s">
        <v>4879</v>
      </c>
      <c r="P374" t="s">
        <v>4878</v>
      </c>
      <c r="Q374" t="s">
        <v>4877</v>
      </c>
      <c r="R374" s="7">
        <v>36495</v>
      </c>
      <c r="S374" s="8">
        <f t="shared" si="40"/>
        <v>1999</v>
      </c>
      <c r="T374" s="8">
        <v>1999</v>
      </c>
      <c r="U374" s="8">
        <f t="shared" si="41"/>
        <v>23</v>
      </c>
      <c r="V374" s="7">
        <v>1999</v>
      </c>
      <c r="W374" t="s">
        <v>4876</v>
      </c>
      <c r="X374" s="2">
        <v>0.435</v>
      </c>
      <c r="Y374" s="6">
        <f t="shared" si="42"/>
        <v>1.1612076559622007E-2</v>
      </c>
      <c r="AA374">
        <v>1978462</v>
      </c>
      <c r="AB374">
        <v>14839</v>
      </c>
      <c r="AD374" t="s">
        <v>2</v>
      </c>
      <c r="AE374">
        <v>20</v>
      </c>
      <c r="AF374">
        <v>2</v>
      </c>
      <c r="AH374" t="s">
        <v>4875</v>
      </c>
      <c r="AI374" t="s">
        <v>4874</v>
      </c>
      <c r="AJ374" t="s">
        <v>4873</v>
      </c>
      <c r="AK374" t="s">
        <v>4872</v>
      </c>
      <c r="AL374">
        <v>13</v>
      </c>
      <c r="AM374" s="5">
        <f t="shared" si="43"/>
        <v>0.56521739130434778</v>
      </c>
      <c r="AN374" s="4">
        <f t="shared" si="44"/>
        <v>8.560657195067744E-4</v>
      </c>
      <c r="AO374" s="3"/>
      <c r="AP374">
        <v>0</v>
      </c>
      <c r="AR374" t="s">
        <v>1</v>
      </c>
      <c r="AT374" s="2">
        <v>2.0099999999999998</v>
      </c>
      <c r="AU374" s="1">
        <f t="shared" si="45"/>
        <v>0.83852733075874364</v>
      </c>
      <c r="AV374" s="1">
        <f t="shared" si="46"/>
        <v>0.62340711395643911</v>
      </c>
      <c r="AW374" s="1">
        <f t="shared" si="47"/>
        <v>0.40828689715413435</v>
      </c>
    </row>
    <row r="375" spans="1:49" x14ac:dyDescent="0.2">
      <c r="A375">
        <v>373</v>
      </c>
      <c r="B375" t="s">
        <v>4871</v>
      </c>
      <c r="C375" t="s">
        <v>4870</v>
      </c>
      <c r="D375" t="s">
        <v>4869</v>
      </c>
      <c r="F375" t="s">
        <v>4868</v>
      </c>
      <c r="G375" t="s">
        <v>6</v>
      </c>
      <c r="H375" t="s">
        <v>5</v>
      </c>
      <c r="I375" t="s">
        <v>4867</v>
      </c>
      <c r="J375">
        <v>60032151</v>
      </c>
      <c r="K375" t="s">
        <v>4866</v>
      </c>
      <c r="L375" t="s">
        <v>392</v>
      </c>
      <c r="M375" t="s">
        <v>125</v>
      </c>
      <c r="N375">
        <v>4</v>
      </c>
      <c r="O375" t="s">
        <v>4865</v>
      </c>
      <c r="P375" t="s">
        <v>4864</v>
      </c>
      <c r="Q375" t="s">
        <v>4863</v>
      </c>
      <c r="R375" s="7">
        <v>36495</v>
      </c>
      <c r="S375" s="8">
        <f t="shared" si="40"/>
        <v>1999</v>
      </c>
      <c r="T375" s="8">
        <v>1999</v>
      </c>
      <c r="U375" s="8">
        <f t="shared" si="41"/>
        <v>23</v>
      </c>
      <c r="V375" s="7">
        <v>1999</v>
      </c>
      <c r="W375" t="s">
        <v>15</v>
      </c>
      <c r="X375" s="2">
        <v>0.75</v>
      </c>
      <c r="Y375" s="6">
        <f t="shared" si="42"/>
        <v>2.0020821654520703E-2</v>
      </c>
      <c r="AA375" t="s">
        <v>14</v>
      </c>
      <c r="AB375">
        <v>29221</v>
      </c>
      <c r="AD375" t="s">
        <v>2</v>
      </c>
      <c r="AE375">
        <v>6</v>
      </c>
      <c r="AF375">
        <v>1</v>
      </c>
      <c r="AH375" t="s">
        <v>4862</v>
      </c>
      <c r="AI375" t="s">
        <v>4861</v>
      </c>
      <c r="AK375" t="s">
        <v>4860</v>
      </c>
      <c r="AL375">
        <v>8</v>
      </c>
      <c r="AM375" s="5">
        <f t="shared" si="43"/>
        <v>0.34782608695652173</v>
      </c>
      <c r="AN375" s="4">
        <f t="shared" si="44"/>
        <v>5.2680967354263046E-4</v>
      </c>
      <c r="AO375" s="3"/>
      <c r="AP375">
        <v>0</v>
      </c>
      <c r="AR375" t="s">
        <v>1</v>
      </c>
      <c r="AT375" s="2">
        <v>2.0230000000000001</v>
      </c>
      <c r="AU375" s="1">
        <f t="shared" si="45"/>
        <v>1.4172618060227282</v>
      </c>
      <c r="AV375" s="1">
        <f t="shared" si="46"/>
        <v>1.0273815664031667</v>
      </c>
      <c r="AW375" s="1">
        <f t="shared" si="47"/>
        <v>0.63750132678360516</v>
      </c>
    </row>
    <row r="376" spans="1:49" x14ac:dyDescent="0.2">
      <c r="A376">
        <v>374</v>
      </c>
      <c r="B376" t="s">
        <v>4859</v>
      </c>
      <c r="C376" t="s">
        <v>4858</v>
      </c>
      <c r="D376" t="s">
        <v>4857</v>
      </c>
      <c r="F376" t="s">
        <v>4856</v>
      </c>
      <c r="G376" t="s">
        <v>6</v>
      </c>
      <c r="H376" t="s">
        <v>5</v>
      </c>
      <c r="I376" t="s">
        <v>4855</v>
      </c>
      <c r="J376" t="s">
        <v>4854</v>
      </c>
      <c r="K376" t="s">
        <v>4853</v>
      </c>
      <c r="L376" t="s">
        <v>4852</v>
      </c>
      <c r="M376" t="s">
        <v>120</v>
      </c>
      <c r="N376">
        <v>3</v>
      </c>
      <c r="O376" t="s">
        <v>4851</v>
      </c>
      <c r="P376" t="s">
        <v>4850</v>
      </c>
      <c r="Q376" t="s">
        <v>4849</v>
      </c>
      <c r="R376" s="7">
        <v>36495</v>
      </c>
      <c r="S376" s="8">
        <f t="shared" si="40"/>
        <v>1999</v>
      </c>
      <c r="T376" s="8">
        <v>1999</v>
      </c>
      <c r="U376" s="8">
        <f t="shared" si="41"/>
        <v>23</v>
      </c>
      <c r="V376" s="7">
        <v>1999</v>
      </c>
      <c r="W376" t="s">
        <v>89</v>
      </c>
      <c r="X376" s="2">
        <v>1.365</v>
      </c>
      <c r="Y376" s="6">
        <f t="shared" si="42"/>
        <v>3.6437895411227675E-2</v>
      </c>
      <c r="AA376">
        <v>189545</v>
      </c>
      <c r="AB376">
        <v>17393</v>
      </c>
      <c r="AD376" t="s">
        <v>2</v>
      </c>
      <c r="AE376">
        <v>48</v>
      </c>
      <c r="AF376">
        <v>4</v>
      </c>
      <c r="AH376" t="s">
        <v>4848</v>
      </c>
      <c r="AI376" t="s">
        <v>4847</v>
      </c>
      <c r="AK376" t="s">
        <v>4846</v>
      </c>
      <c r="AL376">
        <v>5</v>
      </c>
      <c r="AM376" s="5">
        <f t="shared" si="43"/>
        <v>0.21739130434782608</v>
      </c>
      <c r="AN376" s="4">
        <f t="shared" si="44"/>
        <v>3.29256045964144E-4</v>
      </c>
      <c r="AO376" s="3"/>
      <c r="AP376">
        <v>0</v>
      </c>
      <c r="AQ376" t="s">
        <v>4845</v>
      </c>
      <c r="AR376" t="s">
        <v>4844</v>
      </c>
      <c r="AS376" t="s">
        <v>4843</v>
      </c>
      <c r="AT376" s="2" t="s">
        <v>0</v>
      </c>
      <c r="AU376" s="1">
        <f t="shared" si="45"/>
        <v>2.560530360164861</v>
      </c>
      <c r="AV376" s="1">
        <f t="shared" si="46"/>
        <v>1.8383575728595909</v>
      </c>
      <c r="AW376" s="1">
        <f t="shared" si="47"/>
        <v>1.1161847855543203</v>
      </c>
    </row>
    <row r="377" spans="1:49" x14ac:dyDescent="0.2">
      <c r="A377">
        <v>375</v>
      </c>
      <c r="B377" t="s">
        <v>4842</v>
      </c>
      <c r="C377" t="s">
        <v>4841</v>
      </c>
      <c r="D377" t="s">
        <v>4840</v>
      </c>
      <c r="F377" t="s">
        <v>4839</v>
      </c>
      <c r="G377" t="s">
        <v>6</v>
      </c>
      <c r="H377" t="s">
        <v>5</v>
      </c>
      <c r="I377" t="s">
        <v>4838</v>
      </c>
      <c r="J377" t="s">
        <v>4837</v>
      </c>
      <c r="K377" t="s">
        <v>4836</v>
      </c>
      <c r="L377" t="s">
        <v>4835</v>
      </c>
      <c r="M377" t="s">
        <v>4834</v>
      </c>
      <c r="N377">
        <v>4</v>
      </c>
      <c r="O377" t="s">
        <v>4833</v>
      </c>
      <c r="P377" t="s">
        <v>4832</v>
      </c>
      <c r="Q377" t="s">
        <v>4831</v>
      </c>
      <c r="R377" s="7">
        <v>36495</v>
      </c>
      <c r="S377" s="8">
        <f t="shared" si="40"/>
        <v>1999</v>
      </c>
      <c r="T377" s="8">
        <v>1999</v>
      </c>
      <c r="U377" s="8">
        <f t="shared" si="41"/>
        <v>23</v>
      </c>
      <c r="V377" s="7">
        <v>1999</v>
      </c>
      <c r="W377" t="s">
        <v>89</v>
      </c>
      <c r="X377" s="2">
        <v>1.365</v>
      </c>
      <c r="Y377" s="6">
        <f t="shared" si="42"/>
        <v>3.6437895411227675E-2</v>
      </c>
      <c r="AA377">
        <v>189545</v>
      </c>
      <c r="AB377">
        <v>17393</v>
      </c>
      <c r="AD377" t="s">
        <v>2</v>
      </c>
      <c r="AE377">
        <v>48</v>
      </c>
      <c r="AF377">
        <v>4</v>
      </c>
      <c r="AH377" t="s">
        <v>4830</v>
      </c>
      <c r="AI377" t="s">
        <v>4829</v>
      </c>
      <c r="AK377" t="s">
        <v>4828</v>
      </c>
      <c r="AL377">
        <v>22</v>
      </c>
      <c r="AM377" s="5">
        <f t="shared" si="43"/>
        <v>0.95652173913043481</v>
      </c>
      <c r="AN377" s="4">
        <f t="shared" si="44"/>
        <v>1.4487266022422337E-3</v>
      </c>
      <c r="AO377" s="3"/>
      <c r="AP377">
        <v>0</v>
      </c>
      <c r="AR377">
        <v>9040209</v>
      </c>
      <c r="AT377" s="2" t="s">
        <v>0</v>
      </c>
      <c r="AU377" s="1">
        <f t="shared" si="45"/>
        <v>2.5941144768532038</v>
      </c>
      <c r="AV377" s="1">
        <f t="shared" si="46"/>
        <v>1.8943311006734953</v>
      </c>
      <c r="AW377" s="1">
        <f t="shared" si="47"/>
        <v>1.1945477244937865</v>
      </c>
    </row>
    <row r="378" spans="1:49" x14ac:dyDescent="0.2">
      <c r="A378">
        <v>376</v>
      </c>
      <c r="B378" t="s">
        <v>4827</v>
      </c>
      <c r="C378" t="s">
        <v>4826</v>
      </c>
      <c r="D378" t="s">
        <v>4825</v>
      </c>
      <c r="F378" t="s">
        <v>4824</v>
      </c>
      <c r="G378" t="s">
        <v>6</v>
      </c>
      <c r="H378" t="s">
        <v>5</v>
      </c>
      <c r="I378" t="s">
        <v>4823</v>
      </c>
      <c r="J378">
        <v>60013983</v>
      </c>
      <c r="K378" t="s">
        <v>324</v>
      </c>
      <c r="L378" t="s">
        <v>323</v>
      </c>
      <c r="M378" t="s">
        <v>322</v>
      </c>
      <c r="N378">
        <v>3</v>
      </c>
      <c r="O378" t="s">
        <v>4822</v>
      </c>
      <c r="P378" t="s">
        <v>551</v>
      </c>
      <c r="Q378" t="s">
        <v>321</v>
      </c>
      <c r="R378" s="7">
        <v>36495</v>
      </c>
      <c r="S378" s="8">
        <f t="shared" si="40"/>
        <v>1999</v>
      </c>
      <c r="T378" s="8">
        <v>1999</v>
      </c>
      <c r="U378" s="8">
        <f t="shared" si="41"/>
        <v>23</v>
      </c>
      <c r="V378" s="7">
        <v>1999</v>
      </c>
      <c r="W378" t="s">
        <v>174</v>
      </c>
      <c r="X378" s="2">
        <v>1.3720000000000001</v>
      </c>
      <c r="Y378" s="6">
        <f t="shared" si="42"/>
        <v>3.662475641333654E-2</v>
      </c>
      <c r="AA378">
        <v>189480</v>
      </c>
      <c r="AB378">
        <v>17366</v>
      </c>
      <c r="AD378" t="s">
        <v>2</v>
      </c>
      <c r="AE378">
        <v>47</v>
      </c>
      <c r="AF378">
        <v>11</v>
      </c>
      <c r="AH378" t="s">
        <v>4821</v>
      </c>
      <c r="AI378" t="s">
        <v>4820</v>
      </c>
      <c r="AJ378" t="s">
        <v>4819</v>
      </c>
      <c r="AK378" t="s">
        <v>4818</v>
      </c>
      <c r="AL378">
        <v>11</v>
      </c>
      <c r="AM378" s="5">
        <f t="shared" si="43"/>
        <v>0.47826086956521741</v>
      </c>
      <c r="AN378" s="4">
        <f t="shared" si="44"/>
        <v>7.2436330112111687E-4</v>
      </c>
      <c r="AO378" s="3"/>
      <c r="AP378">
        <v>0</v>
      </c>
      <c r="AR378" t="s">
        <v>1</v>
      </c>
      <c r="AT378" s="2" t="s">
        <v>0</v>
      </c>
      <c r="AU378" s="1">
        <f t="shared" si="45"/>
        <v>2.5854638479671914</v>
      </c>
      <c r="AV378" s="1">
        <f t="shared" si="46"/>
        <v>1.867455985722883</v>
      </c>
      <c r="AW378" s="1">
        <f t="shared" si="47"/>
        <v>1.1494481234785743</v>
      </c>
    </row>
    <row r="379" spans="1:49" x14ac:dyDescent="0.2">
      <c r="A379">
        <v>377</v>
      </c>
      <c r="B379" t="s">
        <v>4817</v>
      </c>
      <c r="C379" t="s">
        <v>4816</v>
      </c>
      <c r="D379" t="s">
        <v>4815</v>
      </c>
      <c r="F379" t="s">
        <v>4814</v>
      </c>
      <c r="G379" t="s">
        <v>6</v>
      </c>
      <c r="H379" t="s">
        <v>5</v>
      </c>
      <c r="I379" t="s">
        <v>4813</v>
      </c>
      <c r="J379">
        <v>60018394</v>
      </c>
      <c r="K379" t="s">
        <v>4812</v>
      </c>
      <c r="L379" t="s">
        <v>4811</v>
      </c>
      <c r="M379" t="s">
        <v>3</v>
      </c>
      <c r="N379">
        <v>4</v>
      </c>
      <c r="O379" t="s">
        <v>4810</v>
      </c>
      <c r="P379" t="s">
        <v>4809</v>
      </c>
      <c r="Q379" t="s">
        <v>4808</v>
      </c>
      <c r="R379" s="7">
        <v>36495</v>
      </c>
      <c r="S379" s="8">
        <f t="shared" si="40"/>
        <v>1999</v>
      </c>
      <c r="T379" s="8">
        <v>1999</v>
      </c>
      <c r="U379" s="8">
        <f t="shared" si="41"/>
        <v>23</v>
      </c>
      <c r="V379" s="7">
        <v>36495</v>
      </c>
      <c r="W379" t="s">
        <v>770</v>
      </c>
      <c r="X379" s="2">
        <v>0.89800000000000002</v>
      </c>
      <c r="Y379" s="6">
        <f t="shared" si="42"/>
        <v>2.3971597127679455E-2</v>
      </c>
      <c r="AA379">
        <v>9641726</v>
      </c>
      <c r="AB379">
        <v>29859</v>
      </c>
      <c r="AD379" t="s">
        <v>2</v>
      </c>
      <c r="AE379">
        <v>8</v>
      </c>
      <c r="AF379">
        <v>6</v>
      </c>
      <c r="AH379" t="s">
        <v>4807</v>
      </c>
      <c r="AI379" t="s">
        <v>4806</v>
      </c>
      <c r="AK379" t="s">
        <v>4805</v>
      </c>
      <c r="AL379">
        <v>32</v>
      </c>
      <c r="AM379" s="5">
        <f t="shared" si="43"/>
        <v>1.3913043478260869</v>
      </c>
      <c r="AN379" s="4">
        <f t="shared" si="44"/>
        <v>2.1072386941705218E-3</v>
      </c>
      <c r="AO379" s="3"/>
      <c r="AP379">
        <v>0</v>
      </c>
      <c r="AR379" t="s">
        <v>1</v>
      </c>
      <c r="AT379" s="2">
        <v>3.585</v>
      </c>
      <c r="AU379" s="1">
        <f t="shared" si="45"/>
        <v>1.7412289597626771</v>
      </c>
      <c r="AV379" s="1">
        <f t="shared" si="46"/>
        <v>1.3039417910924989</v>
      </c>
      <c r="AW379" s="1">
        <f t="shared" si="47"/>
        <v>0.86665462242232016</v>
      </c>
    </row>
    <row r="380" spans="1:49" x14ac:dyDescent="0.2">
      <c r="A380">
        <v>378</v>
      </c>
      <c r="B380" t="s">
        <v>4804</v>
      </c>
      <c r="C380" t="s">
        <v>4803</v>
      </c>
      <c r="D380" t="s">
        <v>4802</v>
      </c>
      <c r="F380" t="s">
        <v>4801</v>
      </c>
      <c r="G380" t="s">
        <v>6</v>
      </c>
      <c r="H380" t="s">
        <v>5</v>
      </c>
      <c r="I380" t="s">
        <v>4800</v>
      </c>
      <c r="J380" t="s">
        <v>4795</v>
      </c>
      <c r="K380" t="s">
        <v>4799</v>
      </c>
      <c r="L380" t="s">
        <v>4798</v>
      </c>
      <c r="M380" t="s">
        <v>30</v>
      </c>
      <c r="N380">
        <v>2</v>
      </c>
      <c r="O380" t="s">
        <v>4797</v>
      </c>
      <c r="P380" t="s">
        <v>4796</v>
      </c>
      <c r="Q380" t="s">
        <v>4795</v>
      </c>
      <c r="R380" s="7">
        <v>36495</v>
      </c>
      <c r="S380" s="8">
        <f t="shared" si="40"/>
        <v>1999</v>
      </c>
      <c r="T380" s="8">
        <v>1999</v>
      </c>
      <c r="U380" s="8">
        <f t="shared" si="41"/>
        <v>23</v>
      </c>
      <c r="V380" s="7">
        <v>1999</v>
      </c>
      <c r="W380" t="s">
        <v>165</v>
      </c>
      <c r="X380" s="2">
        <v>0.65500000000000003</v>
      </c>
      <c r="Y380" s="6">
        <f t="shared" si="42"/>
        <v>1.7484850911614749E-2</v>
      </c>
      <c r="AA380">
        <v>189375</v>
      </c>
      <c r="AB380">
        <v>26051</v>
      </c>
      <c r="AD380" t="s">
        <v>2</v>
      </c>
      <c r="AE380">
        <v>41</v>
      </c>
      <c r="AF380">
        <v>1</v>
      </c>
      <c r="AH380" t="s">
        <v>4794</v>
      </c>
      <c r="AI380" t="s">
        <v>4793</v>
      </c>
      <c r="AJ380" t="s">
        <v>4792</v>
      </c>
      <c r="AK380" t="s">
        <v>4791</v>
      </c>
      <c r="AL380">
        <v>24</v>
      </c>
      <c r="AM380" s="5">
        <f t="shared" si="43"/>
        <v>1.0434782608695652</v>
      </c>
      <c r="AN380" s="4">
        <f t="shared" si="44"/>
        <v>1.5804290206278913E-3</v>
      </c>
      <c r="AO380" s="3"/>
      <c r="AP380">
        <v>0</v>
      </c>
      <c r="AR380" t="s">
        <v>1</v>
      </c>
      <c r="AT380" s="2" t="s">
        <v>0</v>
      </c>
      <c r="AU380" s="1">
        <f t="shared" si="45"/>
        <v>1.271352434431869</v>
      </c>
      <c r="AV380" s="1">
        <f t="shared" si="46"/>
        <v>0.95326399661213213</v>
      </c>
      <c r="AW380" s="1">
        <f t="shared" si="47"/>
        <v>0.63517555879239485</v>
      </c>
    </row>
    <row r="381" spans="1:49" x14ac:dyDescent="0.2">
      <c r="A381">
        <v>379</v>
      </c>
      <c r="B381" t="s">
        <v>4790</v>
      </c>
      <c r="C381" t="s">
        <v>4789</v>
      </c>
      <c r="D381" t="s">
        <v>4788</v>
      </c>
      <c r="F381" t="s">
        <v>4787</v>
      </c>
      <c r="G381" t="s">
        <v>6</v>
      </c>
      <c r="H381" t="s">
        <v>5</v>
      </c>
      <c r="I381" t="s">
        <v>4786</v>
      </c>
      <c r="J381">
        <v>60025778</v>
      </c>
      <c r="K381" t="s">
        <v>156</v>
      </c>
      <c r="L381" t="s">
        <v>4</v>
      </c>
      <c r="M381" t="s">
        <v>3</v>
      </c>
      <c r="N381">
        <v>3</v>
      </c>
      <c r="O381" t="s">
        <v>4785</v>
      </c>
      <c r="P381" t="s">
        <v>4784</v>
      </c>
      <c r="Q381" t="s">
        <v>553</v>
      </c>
      <c r="R381" s="7">
        <v>36495</v>
      </c>
      <c r="S381" s="8">
        <f t="shared" si="40"/>
        <v>1999</v>
      </c>
      <c r="T381" s="8">
        <v>1999</v>
      </c>
      <c r="U381" s="8">
        <f t="shared" si="41"/>
        <v>23</v>
      </c>
      <c r="V381" s="7">
        <v>1999</v>
      </c>
      <c r="W381" t="s">
        <v>174</v>
      </c>
      <c r="X381" s="2">
        <v>1.3720000000000001</v>
      </c>
      <c r="Y381" s="6">
        <f t="shared" si="42"/>
        <v>3.662475641333654E-2</v>
      </c>
      <c r="AA381">
        <v>189480</v>
      </c>
      <c r="AB381">
        <v>17366</v>
      </c>
      <c r="AD381" t="s">
        <v>2</v>
      </c>
      <c r="AE381">
        <v>47</v>
      </c>
      <c r="AF381">
        <v>11</v>
      </c>
      <c r="AH381" t="s">
        <v>4783</v>
      </c>
      <c r="AI381" t="s">
        <v>4782</v>
      </c>
      <c r="AJ381" t="s">
        <v>4781</v>
      </c>
      <c r="AK381" t="s">
        <v>4780</v>
      </c>
      <c r="AL381">
        <v>55</v>
      </c>
      <c r="AM381" s="5">
        <f t="shared" si="43"/>
        <v>2.3913043478260869</v>
      </c>
      <c r="AN381" s="4">
        <f t="shared" si="44"/>
        <v>3.6218165056055842E-3</v>
      </c>
      <c r="AO381" s="3"/>
      <c r="AP381">
        <v>0</v>
      </c>
      <c r="AQ381" t="s">
        <v>4779</v>
      </c>
      <c r="AR381" t="s">
        <v>4778</v>
      </c>
      <c r="AS381" t="s">
        <v>4777</v>
      </c>
      <c r="AT381" s="2" t="s">
        <v>0</v>
      </c>
      <c r="AU381" s="1">
        <f t="shared" si="45"/>
        <v>2.6723874441017252</v>
      </c>
      <c r="AV381" s="1">
        <f t="shared" si="46"/>
        <v>2.0123286459471061</v>
      </c>
      <c r="AW381" s="1">
        <f t="shared" si="47"/>
        <v>1.352269847792487</v>
      </c>
    </row>
    <row r="382" spans="1:49" x14ac:dyDescent="0.2">
      <c r="A382">
        <v>380</v>
      </c>
      <c r="B382" t="s">
        <v>4776</v>
      </c>
      <c r="C382" t="s">
        <v>4775</v>
      </c>
      <c r="D382" t="s">
        <v>4774</v>
      </c>
      <c r="F382" t="s">
        <v>4773</v>
      </c>
      <c r="G382" t="s">
        <v>6</v>
      </c>
      <c r="H382" t="s">
        <v>5</v>
      </c>
      <c r="I382" t="s">
        <v>3508</v>
      </c>
      <c r="J382">
        <v>60027550</v>
      </c>
      <c r="K382" t="s">
        <v>22</v>
      </c>
      <c r="L382" t="s">
        <v>21</v>
      </c>
      <c r="M382" t="s">
        <v>3</v>
      </c>
      <c r="N382">
        <v>3</v>
      </c>
      <c r="O382" t="s">
        <v>4772</v>
      </c>
      <c r="P382" t="s">
        <v>4771</v>
      </c>
      <c r="Q382" t="s">
        <v>20</v>
      </c>
      <c r="R382" s="7">
        <v>36495</v>
      </c>
      <c r="S382" s="8">
        <f t="shared" si="40"/>
        <v>1999</v>
      </c>
      <c r="T382" s="8">
        <v>1999</v>
      </c>
      <c r="U382" s="8">
        <f t="shared" si="41"/>
        <v>23</v>
      </c>
      <c r="V382" s="7">
        <v>1999</v>
      </c>
      <c r="W382" t="s">
        <v>174</v>
      </c>
      <c r="X382" s="2">
        <v>1.3720000000000001</v>
      </c>
      <c r="Y382" s="6">
        <f t="shared" si="42"/>
        <v>3.662475641333654E-2</v>
      </c>
      <c r="AA382">
        <v>189480</v>
      </c>
      <c r="AB382">
        <v>17366</v>
      </c>
      <c r="AD382" t="s">
        <v>2</v>
      </c>
      <c r="AE382">
        <v>47</v>
      </c>
      <c r="AF382">
        <v>11</v>
      </c>
      <c r="AH382" t="s">
        <v>4770</v>
      </c>
      <c r="AI382" t="s">
        <v>4769</v>
      </c>
      <c r="AJ382" t="s">
        <v>4768</v>
      </c>
      <c r="AK382" t="s">
        <v>4767</v>
      </c>
      <c r="AL382">
        <v>313</v>
      </c>
      <c r="AM382" s="5">
        <f t="shared" si="43"/>
        <v>13.608695652173912</v>
      </c>
      <c r="AN382" s="4">
        <f t="shared" si="44"/>
        <v>2.0611428477355413E-2</v>
      </c>
      <c r="AO382" s="3"/>
      <c r="AP382">
        <v>0</v>
      </c>
      <c r="AR382" t="s">
        <v>4766</v>
      </c>
      <c r="AT382" s="2" t="s">
        <v>0</v>
      </c>
      <c r="AU382" s="1">
        <f t="shared" si="45"/>
        <v>3.1820758032542202</v>
      </c>
      <c r="AV382" s="1">
        <f t="shared" si="46"/>
        <v>2.8618092445345975</v>
      </c>
      <c r="AW382" s="1">
        <f t="shared" si="47"/>
        <v>2.5415426858149752</v>
      </c>
    </row>
    <row r="383" spans="1:49" x14ac:dyDescent="0.2">
      <c r="A383">
        <v>381</v>
      </c>
      <c r="B383" t="s">
        <v>4765</v>
      </c>
      <c r="C383" t="s">
        <v>4764</v>
      </c>
      <c r="D383" t="s">
        <v>4763</v>
      </c>
      <c r="F383" t="s">
        <v>4762</v>
      </c>
      <c r="G383" t="s">
        <v>6</v>
      </c>
      <c r="H383" t="s">
        <v>5</v>
      </c>
      <c r="I383" t="s">
        <v>1194</v>
      </c>
      <c r="J383">
        <v>60027892</v>
      </c>
      <c r="K383" t="s">
        <v>4761</v>
      </c>
      <c r="L383" t="s">
        <v>848</v>
      </c>
      <c r="M383" t="s">
        <v>47</v>
      </c>
      <c r="N383">
        <v>4</v>
      </c>
      <c r="O383" t="s">
        <v>4760</v>
      </c>
      <c r="P383" t="s">
        <v>4759</v>
      </c>
      <c r="Q383" t="s">
        <v>4758</v>
      </c>
      <c r="R383" s="7">
        <v>36495</v>
      </c>
      <c r="S383" s="8">
        <f t="shared" si="40"/>
        <v>1999</v>
      </c>
      <c r="T383" s="8">
        <v>1999</v>
      </c>
      <c r="U383" s="8">
        <f t="shared" si="41"/>
        <v>23</v>
      </c>
      <c r="V383" s="7">
        <v>1999</v>
      </c>
      <c r="W383" t="s">
        <v>174</v>
      </c>
      <c r="X383" s="2">
        <v>1.3720000000000001</v>
      </c>
      <c r="Y383" s="6">
        <f t="shared" si="42"/>
        <v>3.662475641333654E-2</v>
      </c>
      <c r="AA383">
        <v>189480</v>
      </c>
      <c r="AB383">
        <v>17366</v>
      </c>
      <c r="AD383" t="s">
        <v>2</v>
      </c>
      <c r="AE383">
        <v>47</v>
      </c>
      <c r="AF383">
        <v>11</v>
      </c>
      <c r="AH383" t="s">
        <v>4757</v>
      </c>
      <c r="AI383" t="s">
        <v>4756</v>
      </c>
      <c r="AJ383" t="s">
        <v>4755</v>
      </c>
      <c r="AK383" t="s">
        <v>4754</v>
      </c>
      <c r="AL383">
        <v>313</v>
      </c>
      <c r="AM383" s="5">
        <f t="shared" si="43"/>
        <v>13.608695652173912</v>
      </c>
      <c r="AN383" s="4">
        <f t="shared" si="44"/>
        <v>2.0611428477355413E-2</v>
      </c>
      <c r="AO383" s="3"/>
      <c r="AP383">
        <v>0</v>
      </c>
      <c r="AR383" t="s">
        <v>1</v>
      </c>
      <c r="AT383" s="2" t="s">
        <v>0</v>
      </c>
      <c r="AU383" s="1">
        <f t="shared" si="45"/>
        <v>3.1820758032542202</v>
      </c>
      <c r="AV383" s="1">
        <f t="shared" si="46"/>
        <v>2.8618092445345975</v>
      </c>
      <c r="AW383" s="1">
        <f t="shared" si="47"/>
        <v>2.5415426858149752</v>
      </c>
    </row>
    <row r="384" spans="1:49" x14ac:dyDescent="0.2">
      <c r="A384">
        <v>382</v>
      </c>
      <c r="B384" t="s">
        <v>4753</v>
      </c>
      <c r="C384" t="s">
        <v>4752</v>
      </c>
      <c r="D384" t="s">
        <v>4751</v>
      </c>
      <c r="F384" t="s">
        <v>4750</v>
      </c>
      <c r="G384" t="s">
        <v>6</v>
      </c>
      <c r="H384" t="s">
        <v>5</v>
      </c>
      <c r="I384" t="s">
        <v>4749</v>
      </c>
      <c r="J384">
        <v>60027550</v>
      </c>
      <c r="K384" t="s">
        <v>22</v>
      </c>
      <c r="L384" t="s">
        <v>21</v>
      </c>
      <c r="M384" t="s">
        <v>3</v>
      </c>
      <c r="N384">
        <v>4</v>
      </c>
      <c r="O384" t="s">
        <v>4748</v>
      </c>
      <c r="P384" t="s">
        <v>4747</v>
      </c>
      <c r="Q384" t="s">
        <v>662</v>
      </c>
      <c r="R384" s="7">
        <v>36495</v>
      </c>
      <c r="S384" s="8">
        <f t="shared" si="40"/>
        <v>1999</v>
      </c>
      <c r="T384" s="8">
        <v>1999</v>
      </c>
      <c r="U384" s="8">
        <f t="shared" si="41"/>
        <v>23</v>
      </c>
      <c r="V384" s="7">
        <v>1999</v>
      </c>
      <c r="W384" t="s">
        <v>174</v>
      </c>
      <c r="X384" s="2">
        <v>1.3720000000000001</v>
      </c>
      <c r="Y384" s="6">
        <f t="shared" si="42"/>
        <v>3.662475641333654E-2</v>
      </c>
      <c r="AA384">
        <v>189480</v>
      </c>
      <c r="AB384">
        <v>17366</v>
      </c>
      <c r="AD384" t="s">
        <v>2</v>
      </c>
      <c r="AE384">
        <v>47</v>
      </c>
      <c r="AF384">
        <v>11</v>
      </c>
      <c r="AH384" t="s">
        <v>4746</v>
      </c>
      <c r="AI384" t="s">
        <v>4745</v>
      </c>
      <c r="AJ384" t="s">
        <v>4744</v>
      </c>
      <c r="AK384" t="s">
        <v>4743</v>
      </c>
      <c r="AL384">
        <v>425</v>
      </c>
      <c r="AM384" s="5">
        <f t="shared" si="43"/>
        <v>18.478260869565219</v>
      </c>
      <c r="AN384" s="4">
        <f t="shared" si="44"/>
        <v>2.7986763906952244E-2</v>
      </c>
      <c r="AO384" s="3"/>
      <c r="AP384">
        <v>0</v>
      </c>
      <c r="AR384" t="s">
        <v>394</v>
      </c>
      <c r="AT384" s="2" t="s">
        <v>0</v>
      </c>
      <c r="AU384" s="1">
        <f t="shared" si="45"/>
        <v>3.4033358661421249</v>
      </c>
      <c r="AV384" s="1">
        <f t="shared" si="46"/>
        <v>3.2305760160144392</v>
      </c>
      <c r="AW384" s="1">
        <f t="shared" si="47"/>
        <v>3.0578161658867531</v>
      </c>
    </row>
    <row r="385" spans="1:49" x14ac:dyDescent="0.2">
      <c r="A385">
        <v>383</v>
      </c>
      <c r="B385" t="s">
        <v>4742</v>
      </c>
      <c r="C385" t="s">
        <v>4741</v>
      </c>
      <c r="D385" t="s">
        <v>4740</v>
      </c>
      <c r="F385" t="s">
        <v>4739</v>
      </c>
      <c r="G385" t="s">
        <v>6</v>
      </c>
      <c r="H385" t="s">
        <v>5</v>
      </c>
      <c r="I385" t="s">
        <v>4738</v>
      </c>
      <c r="J385">
        <v>60012468</v>
      </c>
      <c r="K385" t="s">
        <v>4737</v>
      </c>
      <c r="L385" t="s">
        <v>4736</v>
      </c>
      <c r="M385" t="s">
        <v>125</v>
      </c>
      <c r="N385">
        <v>3</v>
      </c>
      <c r="O385" t="s">
        <v>4735</v>
      </c>
      <c r="P385" t="s">
        <v>4734</v>
      </c>
      <c r="Q385" t="s">
        <v>4733</v>
      </c>
      <c r="R385" s="7">
        <v>36495</v>
      </c>
      <c r="S385" s="8">
        <f t="shared" si="40"/>
        <v>1999</v>
      </c>
      <c r="T385" s="8">
        <v>1999</v>
      </c>
      <c r="U385" s="8">
        <f t="shared" si="41"/>
        <v>23</v>
      </c>
      <c r="V385" s="7">
        <v>1999</v>
      </c>
      <c r="W385" t="s">
        <v>769</v>
      </c>
      <c r="X385" s="2">
        <v>0.69899999999999995</v>
      </c>
      <c r="Y385" s="6">
        <f t="shared" si="42"/>
        <v>1.8659405782013295E-2</v>
      </c>
      <c r="AA385">
        <v>218979</v>
      </c>
      <c r="AB385">
        <v>28132</v>
      </c>
      <c r="AD385" t="s">
        <v>2</v>
      </c>
      <c r="AE385">
        <v>85</v>
      </c>
      <c r="AF385">
        <v>1</v>
      </c>
      <c r="AH385" t="s">
        <v>4732</v>
      </c>
      <c r="AI385" t="s">
        <v>4731</v>
      </c>
      <c r="AK385" t="s">
        <v>4730</v>
      </c>
      <c r="AL385">
        <v>23</v>
      </c>
      <c r="AM385" s="5">
        <f t="shared" si="43"/>
        <v>1</v>
      </c>
      <c r="AN385" s="4">
        <f t="shared" si="44"/>
        <v>1.5145778114350624E-3</v>
      </c>
      <c r="AO385" s="3"/>
      <c r="AP385">
        <v>0</v>
      </c>
      <c r="AR385" t="s">
        <v>1</v>
      </c>
      <c r="AT385" s="2">
        <v>2.5459999999999998</v>
      </c>
      <c r="AU385" s="1">
        <f t="shared" si="45"/>
        <v>1.3515957390839823</v>
      </c>
      <c r="AV385" s="1">
        <f t="shared" si="46"/>
        <v>1.0086991796724178</v>
      </c>
      <c r="AW385" s="1">
        <f t="shared" si="47"/>
        <v>0.66580262026085313</v>
      </c>
    </row>
    <row r="386" spans="1:49" x14ac:dyDescent="0.2">
      <c r="A386">
        <v>384</v>
      </c>
      <c r="B386" t="s">
        <v>4729</v>
      </c>
      <c r="C386" t="s">
        <v>4728</v>
      </c>
      <c r="F386" t="s">
        <v>4727</v>
      </c>
      <c r="G386" t="s">
        <v>6</v>
      </c>
      <c r="H386" t="s">
        <v>5</v>
      </c>
      <c r="I386" t="s">
        <v>4726</v>
      </c>
      <c r="J386">
        <v>60108777</v>
      </c>
      <c r="K386" t="s">
        <v>4725</v>
      </c>
      <c r="L386" t="s">
        <v>4724</v>
      </c>
      <c r="M386" t="s">
        <v>495</v>
      </c>
      <c r="N386">
        <v>1</v>
      </c>
      <c r="O386" t="s">
        <v>4723</v>
      </c>
      <c r="P386">
        <v>7003909045</v>
      </c>
      <c r="Q386">
        <v>60108777</v>
      </c>
      <c r="R386" s="7">
        <v>36489</v>
      </c>
      <c r="S386" s="8">
        <f t="shared" ref="S386:S449" si="48">YEAR(R386)</f>
        <v>1999</v>
      </c>
      <c r="T386" s="8">
        <v>1999</v>
      </c>
      <c r="U386" s="8">
        <f t="shared" ref="U386:U449" si="49">2022-T386</f>
        <v>23</v>
      </c>
      <c r="V386" s="7">
        <v>36489</v>
      </c>
      <c r="W386" t="s">
        <v>2836</v>
      </c>
      <c r="X386" s="2">
        <v>0.57399999999999995</v>
      </c>
      <c r="Y386" s="6">
        <f t="shared" ref="Y386:Y449" si="50">(X386-$Z$3)/($Z$2-$Z$3)</f>
        <v>1.5322602172926509E-2</v>
      </c>
      <c r="AA386">
        <v>213640</v>
      </c>
      <c r="AB386">
        <v>28115</v>
      </c>
      <c r="AD386" t="s">
        <v>2</v>
      </c>
      <c r="AE386">
        <v>70</v>
      </c>
      <c r="AF386">
        <v>10</v>
      </c>
      <c r="AH386" t="s">
        <v>4722</v>
      </c>
      <c r="AI386" t="s">
        <v>4721</v>
      </c>
      <c r="AK386" t="s">
        <v>4720</v>
      </c>
      <c r="AL386">
        <v>4</v>
      </c>
      <c r="AM386" s="5">
        <f t="shared" ref="AM386:AM449" si="51">AL386/U386</f>
        <v>0.17391304347826086</v>
      </c>
      <c r="AN386" s="4">
        <f t="shared" ref="AN386:AN449" si="52">(AM386-$AO$3)/($AO$2-$AO$3)</f>
        <v>2.6340483677131523E-4</v>
      </c>
      <c r="AO386" s="3"/>
      <c r="AP386">
        <v>0</v>
      </c>
      <c r="AR386" t="s">
        <v>1</v>
      </c>
      <c r="AT386" s="2">
        <v>1.532</v>
      </c>
      <c r="AU386" s="1">
        <f t="shared" ref="AU386:AU449" si="53">(Y386*0.7+AN386*0.3)*100</f>
        <v>1.0804842972079951</v>
      </c>
      <c r="AV386" s="1">
        <f t="shared" ref="AV386:AV449" si="54">(Y386*0.5+AN386*0.5)*100</f>
        <v>0.77930035048489121</v>
      </c>
      <c r="AW386" s="1">
        <f t="shared" ref="AW386:AW449" si="55">(Y386*0.3+AN386*0.7)*100</f>
        <v>0.47811640376178732</v>
      </c>
    </row>
    <row r="387" spans="1:49" x14ac:dyDescent="0.2">
      <c r="A387">
        <v>385</v>
      </c>
      <c r="B387" t="s">
        <v>4719</v>
      </c>
      <c r="C387" t="s">
        <v>4718</v>
      </c>
      <c r="F387" t="s">
        <v>4717</v>
      </c>
      <c r="G387" t="s">
        <v>6</v>
      </c>
      <c r="H387" t="s">
        <v>5</v>
      </c>
      <c r="I387" t="s">
        <v>4716</v>
      </c>
      <c r="J387" t="s">
        <v>4715</v>
      </c>
      <c r="K387" t="s">
        <v>4714</v>
      </c>
      <c r="L387" t="s">
        <v>4713</v>
      </c>
      <c r="M387" t="s">
        <v>4712</v>
      </c>
      <c r="N387">
        <v>3</v>
      </c>
      <c r="O387" t="s">
        <v>536</v>
      </c>
      <c r="P387" t="s">
        <v>535</v>
      </c>
      <c r="Q387" t="s">
        <v>4711</v>
      </c>
      <c r="R387" s="7">
        <v>36489</v>
      </c>
      <c r="S387" s="8">
        <f t="shared" si="48"/>
        <v>1999</v>
      </c>
      <c r="T387" s="8">
        <v>1999</v>
      </c>
      <c r="U387" s="8">
        <f t="shared" si="49"/>
        <v>23</v>
      </c>
      <c r="V387" s="7">
        <v>36489</v>
      </c>
      <c r="W387" t="s">
        <v>227</v>
      </c>
      <c r="X387" s="2">
        <v>0.375</v>
      </c>
      <c r="Y387" s="6">
        <f t="shared" si="50"/>
        <v>1.0010410827260351E-2</v>
      </c>
      <c r="AA387">
        <v>135194</v>
      </c>
      <c r="AB387">
        <v>24918</v>
      </c>
      <c r="AD387" t="s">
        <v>2</v>
      </c>
      <c r="AE387">
        <v>35</v>
      </c>
      <c r="AF387">
        <v>24</v>
      </c>
      <c r="AH387" t="s">
        <v>4710</v>
      </c>
      <c r="AI387" t="s">
        <v>4709</v>
      </c>
      <c r="AK387" t="s">
        <v>4708</v>
      </c>
      <c r="AL387">
        <v>51</v>
      </c>
      <c r="AM387" s="5">
        <f t="shared" si="51"/>
        <v>2.2173913043478262</v>
      </c>
      <c r="AN387" s="4">
        <f t="shared" si="52"/>
        <v>3.3584116688342692E-3</v>
      </c>
      <c r="AO387" s="3"/>
      <c r="AP387">
        <v>0</v>
      </c>
      <c r="AR387" t="s">
        <v>1</v>
      </c>
      <c r="AT387" s="2">
        <v>1.3140000000000001</v>
      </c>
      <c r="AU387" s="1">
        <f t="shared" si="53"/>
        <v>0.80148110797325267</v>
      </c>
      <c r="AV387" s="1">
        <f t="shared" si="54"/>
        <v>0.66844112480473106</v>
      </c>
      <c r="AW387" s="1">
        <f t="shared" si="55"/>
        <v>0.53540114163620933</v>
      </c>
    </row>
    <row r="388" spans="1:49" x14ac:dyDescent="0.2">
      <c r="A388">
        <v>386</v>
      </c>
      <c r="B388" t="s">
        <v>4707</v>
      </c>
      <c r="C388" t="s">
        <v>4706</v>
      </c>
      <c r="F388" t="s">
        <v>4705</v>
      </c>
      <c r="G388" t="s">
        <v>6</v>
      </c>
      <c r="H388" t="s">
        <v>5</v>
      </c>
      <c r="I388" t="s">
        <v>4704</v>
      </c>
      <c r="J388">
        <v>60013983</v>
      </c>
      <c r="K388" t="s">
        <v>324</v>
      </c>
      <c r="L388" t="s">
        <v>323</v>
      </c>
      <c r="M388" t="s">
        <v>322</v>
      </c>
      <c r="N388">
        <v>3</v>
      </c>
      <c r="O388" t="s">
        <v>4703</v>
      </c>
      <c r="P388" t="s">
        <v>4702</v>
      </c>
      <c r="Q388" t="s">
        <v>321</v>
      </c>
      <c r="R388" s="7">
        <v>36489</v>
      </c>
      <c r="S388" s="8">
        <f t="shared" si="48"/>
        <v>1999</v>
      </c>
      <c r="T388" s="8">
        <v>1999</v>
      </c>
      <c r="U388" s="8">
        <f t="shared" si="49"/>
        <v>23</v>
      </c>
      <c r="V388" s="7">
        <v>36489</v>
      </c>
      <c r="W388" t="s">
        <v>227</v>
      </c>
      <c r="X388" s="2">
        <v>0.375</v>
      </c>
      <c r="Y388" s="6">
        <f t="shared" si="50"/>
        <v>1.0010410827260351E-2</v>
      </c>
      <c r="AA388">
        <v>135194</v>
      </c>
      <c r="AB388">
        <v>24918</v>
      </c>
      <c r="AD388" t="s">
        <v>2</v>
      </c>
      <c r="AE388">
        <v>35</v>
      </c>
      <c r="AF388">
        <v>24</v>
      </c>
      <c r="AH388" t="s">
        <v>4701</v>
      </c>
      <c r="AI388" t="s">
        <v>4700</v>
      </c>
      <c r="AK388" t="s">
        <v>4699</v>
      </c>
      <c r="AL388">
        <v>34</v>
      </c>
      <c r="AM388" s="5">
        <f t="shared" si="51"/>
        <v>1.4782608695652173</v>
      </c>
      <c r="AN388" s="4">
        <f t="shared" si="52"/>
        <v>2.2389411125561792E-3</v>
      </c>
      <c r="AO388" s="3"/>
      <c r="AP388">
        <v>0</v>
      </c>
      <c r="AR388" t="s">
        <v>1</v>
      </c>
      <c r="AT388" s="2">
        <v>1.3140000000000001</v>
      </c>
      <c r="AU388" s="1">
        <f t="shared" si="53"/>
        <v>0.76789699128490996</v>
      </c>
      <c r="AV388" s="1">
        <f t="shared" si="54"/>
        <v>0.61246759699082653</v>
      </c>
      <c r="AW388" s="1">
        <f t="shared" si="55"/>
        <v>0.45703820269674306</v>
      </c>
    </row>
    <row r="389" spans="1:49" x14ac:dyDescent="0.2">
      <c r="A389">
        <v>387</v>
      </c>
      <c r="B389" t="s">
        <v>4698</v>
      </c>
      <c r="C389" t="s">
        <v>4697</v>
      </c>
      <c r="F389" t="s">
        <v>4696</v>
      </c>
      <c r="G389" t="s">
        <v>6</v>
      </c>
      <c r="H389" t="s">
        <v>5</v>
      </c>
      <c r="I389" t="s">
        <v>4695</v>
      </c>
      <c r="J389">
        <v>60029570</v>
      </c>
      <c r="K389" t="s">
        <v>873</v>
      </c>
      <c r="L389" t="s">
        <v>872</v>
      </c>
      <c r="M389" t="s">
        <v>590</v>
      </c>
      <c r="N389">
        <v>2</v>
      </c>
      <c r="O389" t="s">
        <v>4694</v>
      </c>
      <c r="P389" t="s">
        <v>4693</v>
      </c>
      <c r="Q389" t="s">
        <v>869</v>
      </c>
      <c r="R389" s="7">
        <v>36489</v>
      </c>
      <c r="S389" s="8">
        <f t="shared" si="48"/>
        <v>1999</v>
      </c>
      <c r="T389" s="8">
        <v>1999</v>
      </c>
      <c r="U389" s="8">
        <f t="shared" si="49"/>
        <v>23</v>
      </c>
      <c r="V389" s="7">
        <v>36489</v>
      </c>
      <c r="W389" t="s">
        <v>227</v>
      </c>
      <c r="X389" s="2">
        <v>0.375</v>
      </c>
      <c r="Y389" s="6">
        <f t="shared" si="50"/>
        <v>1.0010410827260351E-2</v>
      </c>
      <c r="AA389">
        <v>135194</v>
      </c>
      <c r="AB389">
        <v>24918</v>
      </c>
      <c r="AD389" t="s">
        <v>2</v>
      </c>
      <c r="AE389">
        <v>35</v>
      </c>
      <c r="AF389">
        <v>24</v>
      </c>
      <c r="AH389" t="s">
        <v>4692</v>
      </c>
      <c r="AI389" t="s">
        <v>4691</v>
      </c>
      <c r="AK389" t="s">
        <v>4690</v>
      </c>
      <c r="AL389">
        <v>3</v>
      </c>
      <c r="AM389" s="5">
        <f t="shared" si="51"/>
        <v>0.13043478260869565</v>
      </c>
      <c r="AN389" s="4">
        <f t="shared" si="52"/>
        <v>1.9755362757848641E-4</v>
      </c>
      <c r="AO389" s="3"/>
      <c r="AP389">
        <v>0</v>
      </c>
      <c r="AR389" t="s">
        <v>1</v>
      </c>
      <c r="AT389" s="2">
        <v>1.3140000000000001</v>
      </c>
      <c r="AU389" s="1">
        <f t="shared" si="53"/>
        <v>0.70665536673557916</v>
      </c>
      <c r="AV389" s="1">
        <f t="shared" si="54"/>
        <v>0.51039822274194191</v>
      </c>
      <c r="AW389" s="1">
        <f t="shared" si="55"/>
        <v>0.31414107874830455</v>
      </c>
    </row>
    <row r="390" spans="1:49" x14ac:dyDescent="0.2">
      <c r="A390">
        <v>388</v>
      </c>
      <c r="B390" t="s">
        <v>4689</v>
      </c>
      <c r="C390" t="s">
        <v>4688</v>
      </c>
      <c r="F390" t="s">
        <v>4687</v>
      </c>
      <c r="G390" t="s">
        <v>6</v>
      </c>
      <c r="H390" t="s">
        <v>5</v>
      </c>
      <c r="I390" t="s">
        <v>439</v>
      </c>
      <c r="J390" t="s">
        <v>438</v>
      </c>
      <c r="K390" t="s">
        <v>437</v>
      </c>
      <c r="L390" t="s">
        <v>436</v>
      </c>
      <c r="M390" t="s">
        <v>75</v>
      </c>
      <c r="N390">
        <v>3</v>
      </c>
      <c r="O390" t="s">
        <v>435</v>
      </c>
      <c r="P390" t="s">
        <v>434</v>
      </c>
      <c r="Q390" t="s">
        <v>433</v>
      </c>
      <c r="R390" s="7">
        <v>36489</v>
      </c>
      <c r="S390" s="8">
        <f t="shared" si="48"/>
        <v>1999</v>
      </c>
      <c r="T390" s="8">
        <v>1999</v>
      </c>
      <c r="U390" s="8">
        <f t="shared" si="49"/>
        <v>23</v>
      </c>
      <c r="V390" s="7">
        <v>36489</v>
      </c>
      <c r="W390" t="s">
        <v>647</v>
      </c>
      <c r="X390" s="2">
        <v>0.86399999999999999</v>
      </c>
      <c r="Y390" s="6">
        <f t="shared" si="50"/>
        <v>2.3063986546007848E-2</v>
      </c>
      <c r="AA390">
        <v>15206106</v>
      </c>
      <c r="AB390">
        <v>26970</v>
      </c>
      <c r="AD390" t="s">
        <v>2</v>
      </c>
      <c r="AE390">
        <v>103</v>
      </c>
      <c r="AF390">
        <v>47</v>
      </c>
      <c r="AH390" t="s">
        <v>4686</v>
      </c>
      <c r="AI390" t="s">
        <v>4685</v>
      </c>
      <c r="AK390" t="s">
        <v>4684</v>
      </c>
      <c r="AL390">
        <v>94</v>
      </c>
      <c r="AM390" s="5">
        <f t="shared" si="51"/>
        <v>4.0869565217391308</v>
      </c>
      <c r="AN390" s="4">
        <f t="shared" si="52"/>
        <v>6.1900136641259082E-3</v>
      </c>
      <c r="AO390" s="3"/>
      <c r="AP390">
        <v>0</v>
      </c>
      <c r="AR390" t="s">
        <v>1</v>
      </c>
      <c r="AT390" s="2">
        <v>2.9910000000000001</v>
      </c>
      <c r="AU390" s="1">
        <f t="shared" si="53"/>
        <v>1.8001794681443264</v>
      </c>
      <c r="AV390" s="1">
        <f t="shared" si="54"/>
        <v>1.4627000105066879</v>
      </c>
      <c r="AW390" s="1">
        <f t="shared" si="55"/>
        <v>1.1252205528690489</v>
      </c>
    </row>
    <row r="391" spans="1:49" x14ac:dyDescent="0.2">
      <c r="A391">
        <v>389</v>
      </c>
      <c r="B391" t="s">
        <v>4683</v>
      </c>
      <c r="C391" t="s">
        <v>4682</v>
      </c>
      <c r="F391" t="s">
        <v>4681</v>
      </c>
      <c r="G391" t="s">
        <v>6</v>
      </c>
      <c r="H391" t="s">
        <v>5</v>
      </c>
      <c r="I391" t="s">
        <v>77</v>
      </c>
      <c r="J391" t="s">
        <v>4680</v>
      </c>
      <c r="K391" t="s">
        <v>4679</v>
      </c>
      <c r="L391" t="s">
        <v>4678</v>
      </c>
      <c r="M391" t="s">
        <v>4677</v>
      </c>
      <c r="N391">
        <v>2</v>
      </c>
      <c r="O391" t="s">
        <v>4676</v>
      </c>
      <c r="P391" t="s">
        <v>4675</v>
      </c>
      <c r="Q391" t="s">
        <v>4674</v>
      </c>
      <c r="R391" s="7">
        <v>36489</v>
      </c>
      <c r="S391" s="8">
        <f t="shared" si="48"/>
        <v>1999</v>
      </c>
      <c r="T391" s="8">
        <v>1999</v>
      </c>
      <c r="U391" s="8">
        <f t="shared" si="49"/>
        <v>23</v>
      </c>
      <c r="V391" s="7">
        <v>36489</v>
      </c>
      <c r="W391" t="s">
        <v>790</v>
      </c>
      <c r="X391" s="2">
        <v>0.75600000000000001</v>
      </c>
      <c r="Y391" s="6">
        <f t="shared" si="50"/>
        <v>2.0180988227756869E-2</v>
      </c>
      <c r="AA391">
        <v>10895639</v>
      </c>
      <c r="AB391">
        <v>26969</v>
      </c>
      <c r="AD391" t="s">
        <v>2</v>
      </c>
      <c r="AE391">
        <v>103</v>
      </c>
      <c r="AF391">
        <v>47</v>
      </c>
      <c r="AH391" t="s">
        <v>4673</v>
      </c>
      <c r="AI391" t="s">
        <v>4672</v>
      </c>
      <c r="AK391" t="s">
        <v>4671</v>
      </c>
      <c r="AL391">
        <v>44</v>
      </c>
      <c r="AM391" s="5">
        <f t="shared" si="51"/>
        <v>1.9130434782608696</v>
      </c>
      <c r="AN391" s="4">
        <f t="shared" si="52"/>
        <v>2.8974532044844675E-3</v>
      </c>
      <c r="AO391" s="3"/>
      <c r="AP391">
        <v>0</v>
      </c>
      <c r="AR391" t="s">
        <v>1</v>
      </c>
      <c r="AT391" s="2">
        <v>2.7810000000000001</v>
      </c>
      <c r="AU391" s="1">
        <f t="shared" si="53"/>
        <v>1.4995927720775146</v>
      </c>
      <c r="AV391" s="1">
        <f t="shared" si="54"/>
        <v>1.1539220716120668</v>
      </c>
      <c r="AW391" s="1">
        <f t="shared" si="55"/>
        <v>0.80825137114661871</v>
      </c>
    </row>
    <row r="392" spans="1:49" x14ac:dyDescent="0.2">
      <c r="A392">
        <v>390</v>
      </c>
      <c r="B392" t="s">
        <v>4670</v>
      </c>
      <c r="C392" t="s">
        <v>4669</v>
      </c>
      <c r="D392" t="s">
        <v>4668</v>
      </c>
      <c r="F392" t="s">
        <v>4667</v>
      </c>
      <c r="G392" t="s">
        <v>6</v>
      </c>
      <c r="H392" t="s">
        <v>5</v>
      </c>
      <c r="I392" t="s">
        <v>267</v>
      </c>
      <c r="J392">
        <v>60016074</v>
      </c>
      <c r="K392" t="s">
        <v>266</v>
      </c>
      <c r="L392" t="s">
        <v>265</v>
      </c>
      <c r="M392" t="s">
        <v>7</v>
      </c>
      <c r="N392">
        <v>4</v>
      </c>
      <c r="O392" t="s">
        <v>4666</v>
      </c>
      <c r="P392" t="s">
        <v>4665</v>
      </c>
      <c r="Q392" t="s">
        <v>4664</v>
      </c>
      <c r="R392" s="7">
        <v>36484</v>
      </c>
      <c r="S392" s="8">
        <f t="shared" si="48"/>
        <v>1999</v>
      </c>
      <c r="T392" s="8">
        <v>1999</v>
      </c>
      <c r="U392" s="8">
        <f t="shared" si="49"/>
        <v>23</v>
      </c>
      <c r="V392" s="7">
        <v>36484</v>
      </c>
      <c r="W392" t="s">
        <v>3712</v>
      </c>
      <c r="X392" s="2">
        <v>0.372</v>
      </c>
      <c r="Y392" s="6">
        <f t="shared" si="50"/>
        <v>9.930327540642268E-3</v>
      </c>
      <c r="AA392">
        <v>9214534</v>
      </c>
      <c r="AB392">
        <v>29119</v>
      </c>
      <c r="AD392" t="s">
        <v>2</v>
      </c>
      <c r="AE392">
        <v>325</v>
      </c>
      <c r="AF392" s="10">
        <v>44289</v>
      </c>
      <c r="AH392" t="s">
        <v>4663</v>
      </c>
      <c r="AI392" t="s">
        <v>4662</v>
      </c>
      <c r="AJ392" t="s">
        <v>4661</v>
      </c>
      <c r="AK392" t="s">
        <v>4660</v>
      </c>
      <c r="AL392">
        <v>10</v>
      </c>
      <c r="AM392" s="5">
        <f t="shared" si="51"/>
        <v>0.43478260869565216</v>
      </c>
      <c r="AN392" s="4">
        <f t="shared" si="52"/>
        <v>6.5851209192828799E-4</v>
      </c>
      <c r="AO392" s="3"/>
      <c r="AP392">
        <v>0</v>
      </c>
      <c r="AR392" t="s">
        <v>1</v>
      </c>
      <c r="AT392" s="2" t="s">
        <v>0</v>
      </c>
      <c r="AU392" s="1">
        <f t="shared" si="53"/>
        <v>0.71487829060280728</v>
      </c>
      <c r="AV392" s="1">
        <f t="shared" si="54"/>
        <v>0.52944198162852785</v>
      </c>
      <c r="AW392" s="1">
        <f t="shared" si="55"/>
        <v>0.3440056726542482</v>
      </c>
    </row>
    <row r="393" spans="1:49" x14ac:dyDescent="0.2">
      <c r="A393">
        <v>391</v>
      </c>
      <c r="B393" t="s">
        <v>4659</v>
      </c>
      <c r="C393" t="s">
        <v>4658</v>
      </c>
      <c r="F393" t="s">
        <v>4657</v>
      </c>
      <c r="G393" t="s">
        <v>6</v>
      </c>
      <c r="H393" t="s">
        <v>5</v>
      </c>
      <c r="I393" t="s">
        <v>4656</v>
      </c>
      <c r="J393">
        <v>60028419</v>
      </c>
      <c r="K393" t="s">
        <v>118</v>
      </c>
      <c r="L393" t="s">
        <v>117</v>
      </c>
      <c r="M393" t="s">
        <v>23</v>
      </c>
      <c r="N393">
        <v>3</v>
      </c>
      <c r="O393" t="s">
        <v>4655</v>
      </c>
      <c r="P393" t="s">
        <v>4654</v>
      </c>
      <c r="Q393" t="s">
        <v>242</v>
      </c>
      <c r="R393" s="7">
        <v>36484</v>
      </c>
      <c r="S393" s="8">
        <f t="shared" si="48"/>
        <v>1999</v>
      </c>
      <c r="T393" s="8">
        <v>1999</v>
      </c>
      <c r="U393" s="8">
        <f t="shared" si="49"/>
        <v>23</v>
      </c>
      <c r="V393" s="7">
        <v>36484</v>
      </c>
      <c r="W393" t="s">
        <v>162</v>
      </c>
      <c r="X393" s="2">
        <v>0.30399999999999999</v>
      </c>
      <c r="Y393" s="6">
        <f t="shared" si="50"/>
        <v>8.115106377299057E-3</v>
      </c>
      <c r="AA393">
        <v>8952477</v>
      </c>
      <c r="AB393">
        <v>12250</v>
      </c>
      <c r="AD393" t="s">
        <v>2</v>
      </c>
      <c r="AE393">
        <v>23</v>
      </c>
      <c r="AF393">
        <v>4</v>
      </c>
      <c r="AH393" t="s">
        <v>4653</v>
      </c>
      <c r="AI393" t="s">
        <v>4652</v>
      </c>
      <c r="AJ393" t="s">
        <v>4651</v>
      </c>
      <c r="AK393" t="s">
        <v>4650</v>
      </c>
      <c r="AL393">
        <v>21</v>
      </c>
      <c r="AM393" s="5">
        <f t="shared" si="51"/>
        <v>0.91304347826086951</v>
      </c>
      <c r="AN393" s="4">
        <f t="shared" si="52"/>
        <v>1.3828753930494049E-3</v>
      </c>
      <c r="AO393" s="3"/>
      <c r="AP393">
        <v>0</v>
      </c>
      <c r="AR393" t="s">
        <v>1</v>
      </c>
      <c r="AT393" s="2" t="s">
        <v>0</v>
      </c>
      <c r="AU393" s="1">
        <f t="shared" si="53"/>
        <v>0.60954370820241599</v>
      </c>
      <c r="AV393" s="1">
        <f t="shared" si="54"/>
        <v>0.47489908851742307</v>
      </c>
      <c r="AW393" s="1">
        <f t="shared" si="55"/>
        <v>0.34025446883243005</v>
      </c>
    </row>
    <row r="394" spans="1:49" x14ac:dyDescent="0.2">
      <c r="A394">
        <v>392</v>
      </c>
      <c r="B394" t="s">
        <v>4649</v>
      </c>
      <c r="C394" t="s">
        <v>4648</v>
      </c>
      <c r="F394" t="s">
        <v>4647</v>
      </c>
      <c r="G394" t="s">
        <v>6</v>
      </c>
      <c r="H394" t="s">
        <v>5</v>
      </c>
      <c r="I394" t="s">
        <v>4646</v>
      </c>
      <c r="J394">
        <v>60007284</v>
      </c>
      <c r="K394" t="s">
        <v>1621</v>
      </c>
      <c r="L394" t="s">
        <v>306</v>
      </c>
      <c r="M394" t="s">
        <v>305</v>
      </c>
      <c r="N394">
        <v>2</v>
      </c>
      <c r="O394" t="s">
        <v>4645</v>
      </c>
      <c r="P394" t="s">
        <v>4644</v>
      </c>
      <c r="Q394" t="s">
        <v>1618</v>
      </c>
      <c r="R394" s="7">
        <v>36484</v>
      </c>
      <c r="S394" s="8">
        <f t="shared" si="48"/>
        <v>1999</v>
      </c>
      <c r="T394" s="8">
        <v>1999</v>
      </c>
      <c r="U394" s="8">
        <f t="shared" si="49"/>
        <v>23</v>
      </c>
      <c r="V394" s="7">
        <v>36484</v>
      </c>
      <c r="W394" t="s">
        <v>162</v>
      </c>
      <c r="X394" s="2">
        <v>0.30399999999999999</v>
      </c>
      <c r="Y394" s="6">
        <f t="shared" si="50"/>
        <v>8.115106377299057E-3</v>
      </c>
      <c r="AA394">
        <v>8952477</v>
      </c>
      <c r="AB394">
        <v>12250</v>
      </c>
      <c r="AD394" t="s">
        <v>2</v>
      </c>
      <c r="AE394">
        <v>23</v>
      </c>
      <c r="AF394">
        <v>4</v>
      </c>
      <c r="AH394" t="s">
        <v>4643</v>
      </c>
      <c r="AI394" t="s">
        <v>4642</v>
      </c>
      <c r="AJ394" t="s">
        <v>4641</v>
      </c>
      <c r="AK394" t="s">
        <v>4640</v>
      </c>
      <c r="AL394">
        <v>27</v>
      </c>
      <c r="AM394" s="5">
        <f t="shared" si="51"/>
        <v>1.173913043478261</v>
      </c>
      <c r="AN394" s="4">
        <f t="shared" si="52"/>
        <v>1.7779826482063779E-3</v>
      </c>
      <c r="AO394" s="3"/>
      <c r="AP394">
        <v>0</v>
      </c>
      <c r="AR394" t="s">
        <v>1</v>
      </c>
      <c r="AT394" s="2" t="s">
        <v>0</v>
      </c>
      <c r="AU394" s="1">
        <f t="shared" si="53"/>
        <v>0.62139692585712525</v>
      </c>
      <c r="AV394" s="1">
        <f t="shared" si="54"/>
        <v>0.49465445127527174</v>
      </c>
      <c r="AW394" s="1">
        <f t="shared" si="55"/>
        <v>0.36791197669341819</v>
      </c>
    </row>
    <row r="395" spans="1:49" x14ac:dyDescent="0.2">
      <c r="A395">
        <v>393</v>
      </c>
      <c r="B395" t="s">
        <v>4639</v>
      </c>
      <c r="C395" t="s">
        <v>4638</v>
      </c>
      <c r="F395" t="s">
        <v>4637</v>
      </c>
      <c r="G395" t="s">
        <v>6</v>
      </c>
      <c r="H395" t="s">
        <v>5</v>
      </c>
      <c r="I395" t="s">
        <v>4054</v>
      </c>
      <c r="J395" t="s">
        <v>4636</v>
      </c>
      <c r="K395" t="s">
        <v>4635</v>
      </c>
      <c r="L395" t="s">
        <v>4634</v>
      </c>
      <c r="M395" t="s">
        <v>4633</v>
      </c>
      <c r="N395">
        <v>2</v>
      </c>
      <c r="O395" t="s">
        <v>4632</v>
      </c>
      <c r="P395" t="s">
        <v>4631</v>
      </c>
      <c r="Q395" t="s">
        <v>4630</v>
      </c>
      <c r="R395" s="7">
        <v>36484</v>
      </c>
      <c r="S395" s="8">
        <f t="shared" si="48"/>
        <v>1999</v>
      </c>
      <c r="T395" s="8">
        <v>1999</v>
      </c>
      <c r="U395" s="8">
        <f t="shared" si="49"/>
        <v>23</v>
      </c>
      <c r="V395" s="7">
        <v>36484</v>
      </c>
      <c r="W395" t="s">
        <v>4046</v>
      </c>
      <c r="X395" s="2">
        <v>2.3759999999999999</v>
      </c>
      <c r="Y395" s="6">
        <f t="shared" si="50"/>
        <v>6.3425963001521576E-2</v>
      </c>
      <c r="AA395" t="s">
        <v>4045</v>
      </c>
      <c r="AB395">
        <v>26765</v>
      </c>
      <c r="AC395">
        <v>15384357</v>
      </c>
      <c r="AD395" t="s">
        <v>2</v>
      </c>
      <c r="AE395">
        <v>526</v>
      </c>
      <c r="AF395" t="s">
        <v>226</v>
      </c>
      <c r="AH395" t="s">
        <v>4629</v>
      </c>
      <c r="AI395" t="s">
        <v>4628</v>
      </c>
      <c r="AJ395" t="s">
        <v>4627</v>
      </c>
      <c r="AK395" t="s">
        <v>4626</v>
      </c>
      <c r="AL395">
        <v>271</v>
      </c>
      <c r="AM395" s="5">
        <f t="shared" si="51"/>
        <v>11.782608695652174</v>
      </c>
      <c r="AN395" s="4">
        <f t="shared" si="52"/>
        <v>1.7845677691256605E-2</v>
      </c>
      <c r="AO395" s="3"/>
      <c r="AP395">
        <v>0</v>
      </c>
      <c r="AR395" t="s">
        <v>1</v>
      </c>
      <c r="AT395" s="2">
        <v>5.8739999999999997</v>
      </c>
      <c r="AU395" s="1">
        <f t="shared" si="53"/>
        <v>4.9751877408442082</v>
      </c>
      <c r="AV395" s="1">
        <f t="shared" si="54"/>
        <v>4.0635820346389089</v>
      </c>
      <c r="AW395" s="1">
        <f t="shared" si="55"/>
        <v>3.1519763284336095</v>
      </c>
    </row>
    <row r="396" spans="1:49" x14ac:dyDescent="0.2">
      <c r="A396">
        <v>394</v>
      </c>
      <c r="B396" t="s">
        <v>4625</v>
      </c>
      <c r="C396" t="s">
        <v>4624</v>
      </c>
      <c r="F396" t="s">
        <v>4623</v>
      </c>
      <c r="G396" t="s">
        <v>6</v>
      </c>
      <c r="H396" t="s">
        <v>5</v>
      </c>
      <c r="I396" t="s">
        <v>4622</v>
      </c>
      <c r="J396">
        <v>60026717</v>
      </c>
      <c r="K396" t="s">
        <v>4621</v>
      </c>
      <c r="L396" t="s">
        <v>207</v>
      </c>
      <c r="M396" t="s">
        <v>3</v>
      </c>
      <c r="N396">
        <v>3</v>
      </c>
      <c r="O396" t="s">
        <v>4620</v>
      </c>
      <c r="P396" t="s">
        <v>4619</v>
      </c>
      <c r="Q396" t="s">
        <v>4618</v>
      </c>
      <c r="R396" s="7">
        <v>36484</v>
      </c>
      <c r="S396" s="8">
        <f t="shared" si="48"/>
        <v>1999</v>
      </c>
      <c r="T396" s="8">
        <v>1999</v>
      </c>
      <c r="U396" s="8">
        <f t="shared" si="49"/>
        <v>23</v>
      </c>
      <c r="V396" s="7">
        <v>36484</v>
      </c>
      <c r="W396" t="s">
        <v>162</v>
      </c>
      <c r="X396" s="2">
        <v>0.30399999999999999</v>
      </c>
      <c r="Y396" s="6">
        <f t="shared" si="50"/>
        <v>8.115106377299057E-3</v>
      </c>
      <c r="AA396">
        <v>8952477</v>
      </c>
      <c r="AB396">
        <v>12250</v>
      </c>
      <c r="AD396" t="s">
        <v>2</v>
      </c>
      <c r="AE396">
        <v>23</v>
      </c>
      <c r="AF396">
        <v>4</v>
      </c>
      <c r="AH396" t="s">
        <v>4617</v>
      </c>
      <c r="AI396" t="s">
        <v>4616</v>
      </c>
      <c r="AJ396" t="s">
        <v>4615</v>
      </c>
      <c r="AK396" t="s">
        <v>4614</v>
      </c>
      <c r="AL396">
        <v>4</v>
      </c>
      <c r="AM396" s="5">
        <f t="shared" si="51"/>
        <v>0.17391304347826086</v>
      </c>
      <c r="AN396" s="4">
        <f t="shared" si="52"/>
        <v>2.6340483677131523E-4</v>
      </c>
      <c r="AO396" s="3"/>
      <c r="AP396">
        <v>0</v>
      </c>
      <c r="AR396" t="s">
        <v>1</v>
      </c>
      <c r="AT396" s="2" t="s">
        <v>0</v>
      </c>
      <c r="AU396" s="1">
        <f t="shared" si="53"/>
        <v>0.57595959151407339</v>
      </c>
      <c r="AV396" s="1">
        <f t="shared" si="54"/>
        <v>0.41892556070351861</v>
      </c>
      <c r="AW396" s="1">
        <f t="shared" si="55"/>
        <v>0.26189152989296377</v>
      </c>
    </row>
    <row r="397" spans="1:49" x14ac:dyDescent="0.2">
      <c r="A397">
        <v>395</v>
      </c>
      <c r="B397" t="s">
        <v>4613</v>
      </c>
      <c r="C397" t="s">
        <v>4612</v>
      </c>
      <c r="F397" t="s">
        <v>4611</v>
      </c>
      <c r="G397" t="s">
        <v>6</v>
      </c>
      <c r="H397" t="s">
        <v>5</v>
      </c>
      <c r="I397" t="s">
        <v>2090</v>
      </c>
      <c r="J397">
        <v>60011357</v>
      </c>
      <c r="K397" t="s">
        <v>218</v>
      </c>
      <c r="L397" t="s">
        <v>217</v>
      </c>
      <c r="M397" t="s">
        <v>133</v>
      </c>
      <c r="N397">
        <v>2</v>
      </c>
      <c r="O397" t="s">
        <v>2089</v>
      </c>
      <c r="P397" t="s">
        <v>2088</v>
      </c>
      <c r="Q397" t="s">
        <v>216</v>
      </c>
      <c r="R397" s="7">
        <v>36484</v>
      </c>
      <c r="S397" s="8">
        <f t="shared" si="48"/>
        <v>1999</v>
      </c>
      <c r="T397" s="8">
        <v>1999</v>
      </c>
      <c r="U397" s="8">
        <f t="shared" si="49"/>
        <v>23</v>
      </c>
      <c r="V397" s="7">
        <v>36484</v>
      </c>
      <c r="W397" t="s">
        <v>162</v>
      </c>
      <c r="X397" s="2">
        <v>0.30399999999999999</v>
      </c>
      <c r="Y397" s="6">
        <f t="shared" si="50"/>
        <v>8.115106377299057E-3</v>
      </c>
      <c r="AA397">
        <v>8952477</v>
      </c>
      <c r="AB397">
        <v>12250</v>
      </c>
      <c r="AD397" t="s">
        <v>2</v>
      </c>
      <c r="AE397">
        <v>23</v>
      </c>
      <c r="AF397">
        <v>4</v>
      </c>
      <c r="AH397" t="s">
        <v>4610</v>
      </c>
      <c r="AI397" t="s">
        <v>4609</v>
      </c>
      <c r="AJ397" t="s">
        <v>4338</v>
      </c>
      <c r="AK397" t="s">
        <v>4608</v>
      </c>
      <c r="AL397">
        <v>5</v>
      </c>
      <c r="AM397" s="5">
        <f t="shared" si="51"/>
        <v>0.21739130434782608</v>
      </c>
      <c r="AN397" s="4">
        <f t="shared" si="52"/>
        <v>3.29256045964144E-4</v>
      </c>
      <c r="AO397" s="3"/>
      <c r="AP397">
        <v>0</v>
      </c>
      <c r="AR397" t="s">
        <v>1</v>
      </c>
      <c r="AT397" s="2" t="s">
        <v>0</v>
      </c>
      <c r="AU397" s="1">
        <f t="shared" si="53"/>
        <v>0.57793512778985834</v>
      </c>
      <c r="AV397" s="1">
        <f t="shared" si="54"/>
        <v>0.42221812116316004</v>
      </c>
      <c r="AW397" s="1">
        <f t="shared" si="55"/>
        <v>0.2665011145364618</v>
      </c>
    </row>
    <row r="398" spans="1:49" x14ac:dyDescent="0.2">
      <c r="A398">
        <v>396</v>
      </c>
      <c r="B398" t="s">
        <v>4607</v>
      </c>
      <c r="C398" t="s">
        <v>4606</v>
      </c>
      <c r="F398" t="s">
        <v>4605</v>
      </c>
      <c r="G398" t="s">
        <v>6</v>
      </c>
      <c r="H398" t="s">
        <v>5</v>
      </c>
      <c r="I398" t="s">
        <v>584</v>
      </c>
      <c r="J398">
        <v>60017161</v>
      </c>
      <c r="K398" t="s">
        <v>340</v>
      </c>
      <c r="L398" t="s">
        <v>306</v>
      </c>
      <c r="M398" t="s">
        <v>305</v>
      </c>
      <c r="N398">
        <v>1</v>
      </c>
      <c r="O398" t="s">
        <v>4604</v>
      </c>
      <c r="P398">
        <v>7005328835</v>
      </c>
      <c r="Q398">
        <v>60017161</v>
      </c>
      <c r="R398" s="7">
        <v>36484</v>
      </c>
      <c r="S398" s="8">
        <f t="shared" si="48"/>
        <v>1999</v>
      </c>
      <c r="T398" s="8">
        <v>1999</v>
      </c>
      <c r="U398" s="8">
        <f t="shared" si="49"/>
        <v>23</v>
      </c>
      <c r="V398" s="7">
        <v>36484</v>
      </c>
      <c r="W398" t="s">
        <v>162</v>
      </c>
      <c r="X398" s="2">
        <v>0.30399999999999999</v>
      </c>
      <c r="Y398" s="6">
        <f t="shared" si="50"/>
        <v>8.115106377299057E-3</v>
      </c>
      <c r="AA398">
        <v>8952477</v>
      </c>
      <c r="AB398">
        <v>12250</v>
      </c>
      <c r="AD398" t="s">
        <v>2</v>
      </c>
      <c r="AE398">
        <v>23</v>
      </c>
      <c r="AF398">
        <v>4</v>
      </c>
      <c r="AH398" t="s">
        <v>4603</v>
      </c>
      <c r="AI398" t="s">
        <v>4602</v>
      </c>
      <c r="AJ398" t="s">
        <v>4601</v>
      </c>
      <c r="AK398" t="s">
        <v>4600</v>
      </c>
      <c r="AL398">
        <v>0</v>
      </c>
      <c r="AM398" s="5">
        <f t="shared" si="51"/>
        <v>0</v>
      </c>
      <c r="AN398" s="4">
        <f t="shared" si="52"/>
        <v>0</v>
      </c>
      <c r="AO398" s="3"/>
      <c r="AP398">
        <v>0</v>
      </c>
      <c r="AR398" t="s">
        <v>1</v>
      </c>
      <c r="AT398" s="2" t="s">
        <v>0</v>
      </c>
      <c r="AU398" s="1">
        <f t="shared" si="53"/>
        <v>0.56805744641093392</v>
      </c>
      <c r="AV398" s="1">
        <f t="shared" si="54"/>
        <v>0.40575531886495286</v>
      </c>
      <c r="AW398" s="1">
        <f t="shared" si="55"/>
        <v>0.24345319131897172</v>
      </c>
    </row>
    <row r="399" spans="1:49" x14ac:dyDescent="0.2">
      <c r="A399">
        <v>397</v>
      </c>
      <c r="B399" t="s">
        <v>4599</v>
      </c>
      <c r="C399" t="s">
        <v>4598</v>
      </c>
      <c r="F399" t="s">
        <v>4597</v>
      </c>
      <c r="G399" t="s">
        <v>6</v>
      </c>
      <c r="H399" t="s">
        <v>5</v>
      </c>
      <c r="I399" t="s">
        <v>4596</v>
      </c>
      <c r="J399">
        <v>60032987</v>
      </c>
      <c r="K399" t="s">
        <v>526</v>
      </c>
      <c r="L399" t="s">
        <v>146</v>
      </c>
      <c r="M399" t="s">
        <v>67</v>
      </c>
      <c r="N399">
        <v>3</v>
      </c>
      <c r="O399" t="s">
        <v>4595</v>
      </c>
      <c r="P399" t="s">
        <v>4594</v>
      </c>
      <c r="Q399" t="s">
        <v>525</v>
      </c>
      <c r="R399" s="7">
        <v>36484</v>
      </c>
      <c r="S399" s="8">
        <f t="shared" si="48"/>
        <v>1999</v>
      </c>
      <c r="T399" s="8">
        <v>1999</v>
      </c>
      <c r="U399" s="8">
        <f t="shared" si="49"/>
        <v>23</v>
      </c>
      <c r="V399" s="7">
        <v>36484</v>
      </c>
      <c r="W399" t="s">
        <v>162</v>
      </c>
      <c r="X399" s="2">
        <v>0.30399999999999999</v>
      </c>
      <c r="Y399" s="6">
        <f t="shared" si="50"/>
        <v>8.115106377299057E-3</v>
      </c>
      <c r="AA399">
        <v>8952477</v>
      </c>
      <c r="AB399">
        <v>12250</v>
      </c>
      <c r="AD399" t="s">
        <v>2</v>
      </c>
      <c r="AE399">
        <v>23</v>
      </c>
      <c r="AF399">
        <v>4</v>
      </c>
      <c r="AH399" t="s">
        <v>4593</v>
      </c>
      <c r="AL399">
        <v>2</v>
      </c>
      <c r="AM399" s="5">
        <f t="shared" si="51"/>
        <v>8.6956521739130432E-2</v>
      </c>
      <c r="AN399" s="4">
        <f t="shared" si="52"/>
        <v>1.3170241838565761E-4</v>
      </c>
      <c r="AO399" s="3"/>
      <c r="AP399">
        <v>0</v>
      </c>
      <c r="AR399" t="s">
        <v>1</v>
      </c>
      <c r="AT399" s="2" t="s">
        <v>0</v>
      </c>
      <c r="AU399" s="1">
        <f t="shared" si="53"/>
        <v>0.57200851896250371</v>
      </c>
      <c r="AV399" s="1">
        <f t="shared" si="54"/>
        <v>0.41234043978423568</v>
      </c>
      <c r="AW399" s="1">
        <f t="shared" si="55"/>
        <v>0.25267236060596776</v>
      </c>
    </row>
    <row r="400" spans="1:49" x14ac:dyDescent="0.2">
      <c r="A400">
        <v>398</v>
      </c>
      <c r="B400" t="s">
        <v>4592</v>
      </c>
      <c r="C400" t="s">
        <v>4591</v>
      </c>
      <c r="E400">
        <v>10552299</v>
      </c>
      <c r="F400" t="s">
        <v>4590</v>
      </c>
      <c r="G400" t="s">
        <v>6</v>
      </c>
      <c r="H400" t="s">
        <v>5</v>
      </c>
      <c r="I400" t="s">
        <v>4589</v>
      </c>
      <c r="J400" t="s">
        <v>4588</v>
      </c>
      <c r="K400" t="s">
        <v>4587</v>
      </c>
      <c r="L400" t="s">
        <v>4586</v>
      </c>
      <c r="M400" t="s">
        <v>4585</v>
      </c>
      <c r="N400">
        <v>5</v>
      </c>
      <c r="O400" t="s">
        <v>4584</v>
      </c>
      <c r="P400" t="s">
        <v>4583</v>
      </c>
      <c r="Q400" t="s">
        <v>4582</v>
      </c>
      <c r="R400" s="7">
        <v>36481</v>
      </c>
      <c r="S400" s="8">
        <f t="shared" si="48"/>
        <v>1999</v>
      </c>
      <c r="T400" s="8">
        <v>1999</v>
      </c>
      <c r="U400" s="8">
        <f t="shared" si="49"/>
        <v>23</v>
      </c>
      <c r="V400" s="7">
        <v>1999</v>
      </c>
      <c r="W400" t="s">
        <v>727</v>
      </c>
      <c r="X400" s="2">
        <v>0.67400000000000004</v>
      </c>
      <c r="Y400" s="6">
        <f t="shared" si="50"/>
        <v>1.799204506019594E-2</v>
      </c>
      <c r="AA400" t="s">
        <v>726</v>
      </c>
      <c r="AB400">
        <v>14532</v>
      </c>
      <c r="AD400" t="s">
        <v>2</v>
      </c>
      <c r="AE400">
        <v>209</v>
      </c>
      <c r="AF400">
        <v>10</v>
      </c>
      <c r="AH400" t="s">
        <v>4581</v>
      </c>
      <c r="AI400" t="s">
        <v>4580</v>
      </c>
      <c r="AJ400" t="s">
        <v>4579</v>
      </c>
      <c r="AK400" t="s">
        <v>4578</v>
      </c>
      <c r="AL400">
        <v>31</v>
      </c>
      <c r="AM400" s="5">
        <f t="shared" si="51"/>
        <v>1.3478260869565217</v>
      </c>
      <c r="AN400" s="4">
        <f t="shared" si="52"/>
        <v>2.041387484977693E-3</v>
      </c>
      <c r="AO400" s="3"/>
      <c r="AP400">
        <v>0</v>
      </c>
      <c r="AR400" t="s">
        <v>1</v>
      </c>
      <c r="AT400" s="2">
        <v>0.9</v>
      </c>
      <c r="AU400" s="1">
        <f t="shared" si="53"/>
        <v>1.3206847787630465</v>
      </c>
      <c r="AV400" s="1">
        <f t="shared" si="54"/>
        <v>1.0016716272586816</v>
      </c>
      <c r="AW400" s="1">
        <f t="shared" si="55"/>
        <v>0.6826584757543166</v>
      </c>
    </row>
    <row r="401" spans="1:49" x14ac:dyDescent="0.2">
      <c r="A401">
        <v>399</v>
      </c>
      <c r="B401" t="s">
        <v>4577</v>
      </c>
      <c r="C401" t="s">
        <v>4576</v>
      </c>
      <c r="F401" t="s">
        <v>4575</v>
      </c>
      <c r="G401" t="s">
        <v>6</v>
      </c>
      <c r="H401" t="s">
        <v>5</v>
      </c>
      <c r="I401" t="s">
        <v>4574</v>
      </c>
      <c r="J401">
        <v>60025272</v>
      </c>
      <c r="K401" t="s">
        <v>64</v>
      </c>
      <c r="L401" t="s">
        <v>32</v>
      </c>
      <c r="M401" t="s">
        <v>7</v>
      </c>
      <c r="N401">
        <v>3</v>
      </c>
      <c r="O401" t="s">
        <v>4573</v>
      </c>
      <c r="P401" t="s">
        <v>4572</v>
      </c>
      <c r="Q401" t="s">
        <v>4571</v>
      </c>
      <c r="R401" s="7">
        <v>36480</v>
      </c>
      <c r="S401" s="8">
        <f t="shared" si="48"/>
        <v>1999</v>
      </c>
      <c r="T401" s="8">
        <v>1999</v>
      </c>
      <c r="U401" s="8">
        <f t="shared" si="49"/>
        <v>23</v>
      </c>
      <c r="V401" s="7">
        <v>36480</v>
      </c>
      <c r="W401" t="s">
        <v>809</v>
      </c>
      <c r="X401" s="2" t="s">
        <v>0</v>
      </c>
      <c r="Y401" s="6" t="e">
        <f t="shared" si="50"/>
        <v>#VALUE!</v>
      </c>
      <c r="AA401">
        <v>13266756</v>
      </c>
      <c r="AB401">
        <v>19190</v>
      </c>
      <c r="AD401" t="s">
        <v>2</v>
      </c>
      <c r="AE401">
        <v>38</v>
      </c>
      <c r="AF401">
        <v>4</v>
      </c>
      <c r="AH401" t="s">
        <v>4570</v>
      </c>
      <c r="AI401" t="s">
        <v>4569</v>
      </c>
      <c r="AJ401" t="s">
        <v>4568</v>
      </c>
      <c r="AK401" t="s">
        <v>4567</v>
      </c>
      <c r="AL401">
        <v>3</v>
      </c>
      <c r="AM401" s="5">
        <f t="shared" si="51"/>
        <v>0.13043478260869565</v>
      </c>
      <c r="AN401" s="4">
        <f t="shared" si="52"/>
        <v>1.9755362757848641E-4</v>
      </c>
      <c r="AO401" s="3"/>
      <c r="AP401">
        <v>0</v>
      </c>
      <c r="AR401" t="s">
        <v>1</v>
      </c>
      <c r="AT401" s="2" t="s">
        <v>0</v>
      </c>
      <c r="AU401" s="1" t="e">
        <f t="shared" si="53"/>
        <v>#VALUE!</v>
      </c>
      <c r="AV401" s="1" t="e">
        <f t="shared" si="54"/>
        <v>#VALUE!</v>
      </c>
      <c r="AW401" s="1" t="e">
        <f t="shared" si="55"/>
        <v>#VALUE!</v>
      </c>
    </row>
    <row r="402" spans="1:49" x14ac:dyDescent="0.2">
      <c r="A402">
        <v>400</v>
      </c>
      <c r="B402" t="s">
        <v>4566</v>
      </c>
      <c r="C402" t="s">
        <v>4565</v>
      </c>
      <c r="E402">
        <v>10563806</v>
      </c>
      <c r="F402" t="s">
        <v>4564</v>
      </c>
      <c r="G402" t="s">
        <v>6</v>
      </c>
      <c r="H402" t="s">
        <v>5</v>
      </c>
      <c r="I402" t="s">
        <v>4563</v>
      </c>
      <c r="J402">
        <v>60003892</v>
      </c>
      <c r="K402" t="s">
        <v>12</v>
      </c>
      <c r="L402" t="s">
        <v>11</v>
      </c>
      <c r="M402" t="s">
        <v>3</v>
      </c>
      <c r="N402">
        <v>3</v>
      </c>
      <c r="O402" t="s">
        <v>4562</v>
      </c>
      <c r="P402" t="s">
        <v>4561</v>
      </c>
      <c r="Q402" t="s">
        <v>10</v>
      </c>
      <c r="R402" s="7">
        <v>36480</v>
      </c>
      <c r="S402" s="8">
        <f t="shared" si="48"/>
        <v>1999</v>
      </c>
      <c r="T402" s="8">
        <v>1999</v>
      </c>
      <c r="U402" s="8">
        <f t="shared" si="49"/>
        <v>23</v>
      </c>
      <c r="V402" s="7">
        <v>36480</v>
      </c>
      <c r="W402" t="s">
        <v>716</v>
      </c>
      <c r="X402" s="2">
        <v>1.43</v>
      </c>
      <c r="Y402" s="6">
        <f t="shared" si="50"/>
        <v>3.8173033287952803E-2</v>
      </c>
      <c r="AA402">
        <v>62960</v>
      </c>
      <c r="AB402">
        <v>16867</v>
      </c>
      <c r="AD402" t="s">
        <v>2</v>
      </c>
      <c r="AE402">
        <v>38</v>
      </c>
      <c r="AF402">
        <v>46</v>
      </c>
      <c r="AH402" t="s">
        <v>4560</v>
      </c>
      <c r="AI402" t="s">
        <v>4559</v>
      </c>
      <c r="AK402" t="s">
        <v>4558</v>
      </c>
      <c r="AL402">
        <v>11</v>
      </c>
      <c r="AM402" s="5">
        <f t="shared" si="51"/>
        <v>0.47826086956521741</v>
      </c>
      <c r="AN402" s="4">
        <f t="shared" si="52"/>
        <v>7.2436330112111687E-4</v>
      </c>
      <c r="AO402" s="3"/>
      <c r="AP402">
        <v>0</v>
      </c>
      <c r="AR402" t="s">
        <v>1</v>
      </c>
      <c r="AT402" s="2">
        <v>3.1619999999999999</v>
      </c>
      <c r="AU402" s="1">
        <f t="shared" si="53"/>
        <v>2.69384322919033</v>
      </c>
      <c r="AV402" s="1">
        <f t="shared" si="54"/>
        <v>1.9448698294536961</v>
      </c>
      <c r="AW402" s="1">
        <f t="shared" si="55"/>
        <v>1.1958964297170622</v>
      </c>
    </row>
    <row r="403" spans="1:49" x14ac:dyDescent="0.2">
      <c r="A403">
        <v>401</v>
      </c>
      <c r="B403" t="s">
        <v>4557</v>
      </c>
      <c r="C403" t="s">
        <v>4556</v>
      </c>
      <c r="F403" t="s">
        <v>4555</v>
      </c>
      <c r="G403" t="s">
        <v>6</v>
      </c>
      <c r="H403" t="s">
        <v>5</v>
      </c>
      <c r="I403" t="s">
        <v>4554</v>
      </c>
      <c r="J403" t="s">
        <v>4553</v>
      </c>
      <c r="K403" t="s">
        <v>4552</v>
      </c>
      <c r="L403" t="s">
        <v>4551</v>
      </c>
      <c r="M403" t="s">
        <v>4550</v>
      </c>
      <c r="N403">
        <v>3</v>
      </c>
      <c r="O403" t="s">
        <v>4549</v>
      </c>
      <c r="P403" t="s">
        <v>4548</v>
      </c>
      <c r="Q403" t="s">
        <v>4547</v>
      </c>
      <c r="R403" s="7">
        <v>36480</v>
      </c>
      <c r="S403" s="8">
        <f t="shared" si="48"/>
        <v>1999</v>
      </c>
      <c r="T403" s="8">
        <v>1999</v>
      </c>
      <c r="U403" s="8">
        <f t="shared" si="49"/>
        <v>23</v>
      </c>
      <c r="V403" s="7">
        <v>36480</v>
      </c>
      <c r="W403" t="s">
        <v>809</v>
      </c>
      <c r="X403" s="2" t="s">
        <v>0</v>
      </c>
      <c r="Y403" s="6" t="e">
        <f t="shared" si="50"/>
        <v>#VALUE!</v>
      </c>
      <c r="AA403">
        <v>13266756</v>
      </c>
      <c r="AB403">
        <v>19190</v>
      </c>
      <c r="AD403" t="s">
        <v>2</v>
      </c>
      <c r="AE403">
        <v>38</v>
      </c>
      <c r="AF403">
        <v>4</v>
      </c>
      <c r="AH403" t="s">
        <v>4546</v>
      </c>
      <c r="AI403" t="s">
        <v>4545</v>
      </c>
      <c r="AJ403" t="s">
        <v>4544</v>
      </c>
      <c r="AK403" t="s">
        <v>4543</v>
      </c>
      <c r="AL403">
        <v>37</v>
      </c>
      <c r="AM403" s="5">
        <f t="shared" si="51"/>
        <v>1.6086956521739131</v>
      </c>
      <c r="AN403" s="4">
        <f t="shared" si="52"/>
        <v>2.4364947401346658E-3</v>
      </c>
      <c r="AO403" s="3"/>
      <c r="AP403">
        <v>0</v>
      </c>
      <c r="AR403" t="s">
        <v>1</v>
      </c>
      <c r="AT403" s="2" t="s">
        <v>0</v>
      </c>
      <c r="AU403" s="1" t="e">
        <f t="shared" si="53"/>
        <v>#VALUE!</v>
      </c>
      <c r="AV403" s="1" t="e">
        <f t="shared" si="54"/>
        <v>#VALUE!</v>
      </c>
      <c r="AW403" s="1" t="e">
        <f t="shared" si="55"/>
        <v>#VALUE!</v>
      </c>
    </row>
    <row r="404" spans="1:49" x14ac:dyDescent="0.2">
      <c r="A404">
        <v>402</v>
      </c>
      <c r="B404" t="s">
        <v>4542</v>
      </c>
      <c r="C404" t="s">
        <v>4541</v>
      </c>
      <c r="E404">
        <v>10559396</v>
      </c>
      <c r="F404" t="s">
        <v>4540</v>
      </c>
      <c r="G404" t="s">
        <v>6</v>
      </c>
      <c r="H404" t="s">
        <v>5</v>
      </c>
      <c r="I404" t="s">
        <v>763</v>
      </c>
      <c r="J404">
        <v>60010065</v>
      </c>
      <c r="K404" t="s">
        <v>198</v>
      </c>
      <c r="L404" t="s">
        <v>197</v>
      </c>
      <c r="M404" t="s">
        <v>3</v>
      </c>
      <c r="N404">
        <v>5</v>
      </c>
      <c r="O404" t="s">
        <v>4539</v>
      </c>
      <c r="P404" t="s">
        <v>4538</v>
      </c>
      <c r="Q404" t="s">
        <v>4537</v>
      </c>
      <c r="R404" s="7">
        <v>36479</v>
      </c>
      <c r="S404" s="8">
        <f t="shared" si="48"/>
        <v>1999</v>
      </c>
      <c r="T404" s="8">
        <v>1999</v>
      </c>
      <c r="U404" s="8">
        <f t="shared" si="49"/>
        <v>23</v>
      </c>
      <c r="V404" s="7">
        <v>36479</v>
      </c>
      <c r="W404" t="s">
        <v>466</v>
      </c>
      <c r="X404" s="2">
        <v>3.4830000000000001</v>
      </c>
      <c r="Y404" s="6">
        <f t="shared" si="50"/>
        <v>9.2976695763594144E-2</v>
      </c>
      <c r="AA404">
        <v>2706474</v>
      </c>
      <c r="AB404">
        <v>16764</v>
      </c>
      <c r="AD404" t="s">
        <v>2</v>
      </c>
      <c r="AE404">
        <v>19</v>
      </c>
      <c r="AF404">
        <v>22</v>
      </c>
      <c r="AH404" t="s">
        <v>4536</v>
      </c>
      <c r="AI404" t="s">
        <v>4535</v>
      </c>
      <c r="AJ404" t="s">
        <v>4534</v>
      </c>
      <c r="AK404" t="s">
        <v>4533</v>
      </c>
      <c r="AL404">
        <v>85</v>
      </c>
      <c r="AM404" s="5">
        <f t="shared" si="51"/>
        <v>3.6956521739130435</v>
      </c>
      <c r="AN404" s="4">
        <f t="shared" si="52"/>
        <v>5.5973527813904479E-3</v>
      </c>
      <c r="AO404" s="3"/>
      <c r="AP404">
        <v>1</v>
      </c>
      <c r="AQ404" t="s">
        <v>760</v>
      </c>
      <c r="AR404" t="s">
        <v>759</v>
      </c>
      <c r="AS404" t="s">
        <v>758</v>
      </c>
      <c r="AT404" s="2">
        <v>6.1669999999999998</v>
      </c>
      <c r="AU404" s="1">
        <f t="shared" si="53"/>
        <v>6.6762892868933026</v>
      </c>
      <c r="AV404" s="1">
        <f t="shared" si="54"/>
        <v>4.9287024272492301</v>
      </c>
      <c r="AW404" s="1">
        <f t="shared" si="55"/>
        <v>3.1811155676051555</v>
      </c>
    </row>
    <row r="405" spans="1:49" x14ac:dyDescent="0.2">
      <c r="A405">
        <v>403</v>
      </c>
      <c r="B405" t="s">
        <v>4532</v>
      </c>
      <c r="C405" t="s">
        <v>4531</v>
      </c>
      <c r="E405">
        <v>10526315</v>
      </c>
      <c r="F405" t="s">
        <v>4530</v>
      </c>
      <c r="G405" t="s">
        <v>6</v>
      </c>
      <c r="H405" t="s">
        <v>5</v>
      </c>
      <c r="I405" t="s">
        <v>4529</v>
      </c>
      <c r="J405" t="s">
        <v>4528</v>
      </c>
      <c r="K405" t="s">
        <v>4527</v>
      </c>
      <c r="L405" t="s">
        <v>4526</v>
      </c>
      <c r="M405" t="s">
        <v>26</v>
      </c>
      <c r="N405">
        <v>3</v>
      </c>
      <c r="O405" t="s">
        <v>4525</v>
      </c>
      <c r="P405" t="s">
        <v>4524</v>
      </c>
      <c r="Q405" t="s">
        <v>4523</v>
      </c>
      <c r="R405" s="7">
        <v>36479</v>
      </c>
      <c r="S405" s="8">
        <f t="shared" si="48"/>
        <v>1999</v>
      </c>
      <c r="T405" s="8">
        <v>1999</v>
      </c>
      <c r="U405" s="8">
        <f t="shared" si="49"/>
        <v>23</v>
      </c>
      <c r="V405" s="7">
        <v>36479</v>
      </c>
      <c r="W405" t="s">
        <v>761</v>
      </c>
      <c r="X405" s="2" t="s">
        <v>0</v>
      </c>
      <c r="Y405" s="6" t="e">
        <f t="shared" si="50"/>
        <v>#VALUE!</v>
      </c>
      <c r="AA405">
        <v>223034</v>
      </c>
      <c r="AB405">
        <v>23463</v>
      </c>
      <c r="AD405" t="s">
        <v>2</v>
      </c>
      <c r="AE405">
        <v>41</v>
      </c>
      <c r="AF405">
        <v>3</v>
      </c>
      <c r="AH405" t="s">
        <v>4522</v>
      </c>
      <c r="AI405" t="s">
        <v>4521</v>
      </c>
      <c r="AJ405" t="s">
        <v>4520</v>
      </c>
      <c r="AK405" t="s">
        <v>4519</v>
      </c>
      <c r="AL405">
        <v>28</v>
      </c>
      <c r="AM405" s="5">
        <f t="shared" si="51"/>
        <v>1.2173913043478262</v>
      </c>
      <c r="AN405" s="4">
        <f t="shared" si="52"/>
        <v>1.8438338573992066E-3</v>
      </c>
      <c r="AO405" s="3"/>
      <c r="AP405">
        <v>0</v>
      </c>
      <c r="AR405" t="s">
        <v>1</v>
      </c>
      <c r="AT405" s="2" t="s">
        <v>0</v>
      </c>
      <c r="AU405" s="1" t="e">
        <f t="shared" si="53"/>
        <v>#VALUE!</v>
      </c>
      <c r="AV405" s="1" t="e">
        <f t="shared" si="54"/>
        <v>#VALUE!</v>
      </c>
      <c r="AW405" s="1" t="e">
        <f t="shared" si="55"/>
        <v>#VALUE!</v>
      </c>
    </row>
    <row r="406" spans="1:49" x14ac:dyDescent="0.2">
      <c r="A406">
        <v>404</v>
      </c>
      <c r="B406" t="s">
        <v>4518</v>
      </c>
      <c r="C406" t="s">
        <v>4517</v>
      </c>
      <c r="F406" t="s">
        <v>4516</v>
      </c>
      <c r="G406" t="s">
        <v>6</v>
      </c>
      <c r="H406" t="s">
        <v>5</v>
      </c>
      <c r="I406" t="s">
        <v>4515</v>
      </c>
      <c r="J406" t="s">
        <v>4514</v>
      </c>
      <c r="K406" t="s">
        <v>4513</v>
      </c>
      <c r="L406" t="s">
        <v>4512</v>
      </c>
      <c r="M406" t="s">
        <v>30</v>
      </c>
      <c r="N406">
        <v>4</v>
      </c>
      <c r="O406" t="s">
        <v>4511</v>
      </c>
      <c r="P406" t="s">
        <v>4510</v>
      </c>
      <c r="Q406" t="s">
        <v>4509</v>
      </c>
      <c r="R406" s="7">
        <v>36479</v>
      </c>
      <c r="S406" s="8">
        <f t="shared" si="48"/>
        <v>1999</v>
      </c>
      <c r="T406" s="8">
        <v>1999</v>
      </c>
      <c r="U406" s="8">
        <f t="shared" si="49"/>
        <v>23</v>
      </c>
      <c r="V406" s="7">
        <v>36479</v>
      </c>
      <c r="W406" t="s">
        <v>683</v>
      </c>
      <c r="X406" s="2">
        <v>2.0070000000000001</v>
      </c>
      <c r="Y406" s="6">
        <f t="shared" si="50"/>
        <v>5.3575718747497406E-2</v>
      </c>
      <c r="AA406">
        <v>948276</v>
      </c>
      <c r="AB406">
        <v>27962</v>
      </c>
      <c r="AD406" t="s">
        <v>2</v>
      </c>
      <c r="AE406">
        <v>26</v>
      </c>
      <c r="AF406">
        <v>22</v>
      </c>
      <c r="AH406" t="s">
        <v>4508</v>
      </c>
      <c r="AI406" t="s">
        <v>4507</v>
      </c>
      <c r="AK406" t="s">
        <v>4506</v>
      </c>
      <c r="AL406">
        <v>20</v>
      </c>
      <c r="AM406" s="5">
        <f t="shared" si="51"/>
        <v>0.86956521739130432</v>
      </c>
      <c r="AN406" s="4">
        <f t="shared" si="52"/>
        <v>1.317024183856576E-3</v>
      </c>
      <c r="AO406" s="3"/>
      <c r="AP406">
        <v>1</v>
      </c>
      <c r="AR406" t="s">
        <v>1</v>
      </c>
      <c r="AT406" s="2">
        <v>4.72</v>
      </c>
      <c r="AU406" s="1">
        <f t="shared" si="53"/>
        <v>3.7898110378405154</v>
      </c>
      <c r="AV406" s="1">
        <f t="shared" si="54"/>
        <v>2.7446371465676989</v>
      </c>
      <c r="AW406" s="1">
        <f t="shared" si="55"/>
        <v>1.6994632552948821</v>
      </c>
    </row>
    <row r="407" spans="1:49" x14ac:dyDescent="0.2">
      <c r="A407">
        <v>405</v>
      </c>
      <c r="B407" t="s">
        <v>4505</v>
      </c>
      <c r="C407" t="s">
        <v>4504</v>
      </c>
      <c r="D407" t="s">
        <v>4503</v>
      </c>
      <c r="F407" t="s">
        <v>4502</v>
      </c>
      <c r="G407" t="s">
        <v>6</v>
      </c>
      <c r="H407" t="s">
        <v>5</v>
      </c>
      <c r="I407" t="s">
        <v>4501</v>
      </c>
      <c r="J407">
        <v>60022659</v>
      </c>
      <c r="K407" t="s">
        <v>4500</v>
      </c>
      <c r="L407" t="s">
        <v>4499</v>
      </c>
      <c r="M407" t="s">
        <v>3</v>
      </c>
      <c r="N407">
        <v>2</v>
      </c>
      <c r="O407" t="s">
        <v>4498</v>
      </c>
      <c r="P407" t="s">
        <v>4497</v>
      </c>
      <c r="Q407" t="s">
        <v>4496</v>
      </c>
      <c r="R407" s="7">
        <v>36479</v>
      </c>
      <c r="S407" s="8">
        <f t="shared" si="48"/>
        <v>1999</v>
      </c>
      <c r="T407" s="8">
        <v>1999</v>
      </c>
      <c r="U407" s="8">
        <f t="shared" si="49"/>
        <v>23</v>
      </c>
      <c r="V407" s="7">
        <v>36479</v>
      </c>
      <c r="W407" t="s">
        <v>4495</v>
      </c>
      <c r="X407" s="2">
        <v>1.079</v>
      </c>
      <c r="Y407" s="6">
        <f t="shared" si="50"/>
        <v>2.8803288753637114E-2</v>
      </c>
      <c r="AA407">
        <v>13871811</v>
      </c>
      <c r="AB407">
        <v>26989</v>
      </c>
      <c r="AD407" t="s">
        <v>2</v>
      </c>
      <c r="AE407">
        <v>32</v>
      </c>
      <c r="AF407" s="10">
        <v>44228</v>
      </c>
      <c r="AH407" t="s">
        <v>573</v>
      </c>
      <c r="AI407" t="s">
        <v>4494</v>
      </c>
      <c r="AJ407" t="s">
        <v>4493</v>
      </c>
      <c r="AK407" t="s">
        <v>4492</v>
      </c>
      <c r="AL407">
        <v>13</v>
      </c>
      <c r="AM407" s="5">
        <f t="shared" si="51"/>
        <v>0.56521739130434778</v>
      </c>
      <c r="AN407" s="4">
        <f t="shared" si="52"/>
        <v>8.560657195067744E-4</v>
      </c>
      <c r="AO407" s="3"/>
      <c r="AP407">
        <v>0</v>
      </c>
      <c r="AQ407" t="s">
        <v>205</v>
      </c>
      <c r="AR407" t="s">
        <v>4491</v>
      </c>
      <c r="AS407" t="s">
        <v>204</v>
      </c>
      <c r="AT407" s="2">
        <v>5.4550000000000001</v>
      </c>
      <c r="AU407" s="1">
        <f t="shared" si="53"/>
        <v>2.0419121843398012</v>
      </c>
      <c r="AV407" s="1">
        <f t="shared" si="54"/>
        <v>1.4829677236571943</v>
      </c>
      <c r="AW407" s="1">
        <f t="shared" si="55"/>
        <v>0.92402326297458759</v>
      </c>
    </row>
    <row r="408" spans="1:49" x14ac:dyDescent="0.2">
      <c r="A408">
        <v>406</v>
      </c>
      <c r="B408" t="s">
        <v>4490</v>
      </c>
      <c r="C408" t="s">
        <v>4489</v>
      </c>
      <c r="F408" t="s">
        <v>4488</v>
      </c>
      <c r="G408" t="s">
        <v>6</v>
      </c>
      <c r="H408" t="s">
        <v>5</v>
      </c>
      <c r="I408" t="s">
        <v>616</v>
      </c>
      <c r="J408">
        <v>60022144</v>
      </c>
      <c r="K408" t="s">
        <v>309</v>
      </c>
      <c r="L408" t="s">
        <v>308</v>
      </c>
      <c r="M408" t="s">
        <v>3</v>
      </c>
      <c r="N408">
        <v>3</v>
      </c>
      <c r="O408" t="s">
        <v>4487</v>
      </c>
      <c r="P408" t="s">
        <v>4486</v>
      </c>
      <c r="Q408" t="s">
        <v>4485</v>
      </c>
      <c r="R408" s="7">
        <v>36479</v>
      </c>
      <c r="S408" s="8">
        <f t="shared" si="48"/>
        <v>1999</v>
      </c>
      <c r="T408" s="8">
        <v>1999</v>
      </c>
      <c r="U408" s="8">
        <f t="shared" si="49"/>
        <v>23</v>
      </c>
      <c r="V408" s="7">
        <v>36479</v>
      </c>
      <c r="W408" t="s">
        <v>697</v>
      </c>
      <c r="X408" s="2">
        <v>1.524</v>
      </c>
      <c r="Y408" s="6">
        <f t="shared" si="50"/>
        <v>4.0682309601986065E-2</v>
      </c>
      <c r="AA408">
        <v>1469592</v>
      </c>
      <c r="AB408">
        <v>12863</v>
      </c>
      <c r="AD408" t="s">
        <v>2</v>
      </c>
      <c r="AE408">
        <v>24</v>
      </c>
      <c r="AF408">
        <v>22</v>
      </c>
      <c r="AH408" t="s">
        <v>4484</v>
      </c>
      <c r="AI408" t="s">
        <v>4483</v>
      </c>
      <c r="AK408" t="s">
        <v>4482</v>
      </c>
      <c r="AL408">
        <v>56</v>
      </c>
      <c r="AM408" s="5">
        <f t="shared" si="51"/>
        <v>2.4347826086956523</v>
      </c>
      <c r="AN408" s="4">
        <f t="shared" si="52"/>
        <v>3.6876677147984131E-3</v>
      </c>
      <c r="AO408" s="3"/>
      <c r="AP408">
        <v>0</v>
      </c>
      <c r="AR408" t="s">
        <v>1</v>
      </c>
      <c r="AT408" s="2">
        <v>3.7759999999999998</v>
      </c>
      <c r="AU408" s="1">
        <f t="shared" si="53"/>
        <v>2.9583917035829765</v>
      </c>
      <c r="AV408" s="1">
        <f t="shared" si="54"/>
        <v>2.2184988658392237</v>
      </c>
      <c r="AW408" s="1">
        <f t="shared" si="55"/>
        <v>1.4786060280954709</v>
      </c>
    </row>
    <row r="409" spans="1:49" x14ac:dyDescent="0.2">
      <c r="A409">
        <v>407</v>
      </c>
      <c r="B409" t="s">
        <v>4481</v>
      </c>
      <c r="C409" t="s">
        <v>4480</v>
      </c>
      <c r="F409" t="s">
        <v>4479</v>
      </c>
      <c r="G409" t="s">
        <v>6</v>
      </c>
      <c r="H409" t="s">
        <v>5</v>
      </c>
      <c r="I409" t="s">
        <v>2099</v>
      </c>
      <c r="J409">
        <v>60013983</v>
      </c>
      <c r="K409" t="s">
        <v>324</v>
      </c>
      <c r="L409" t="s">
        <v>323</v>
      </c>
      <c r="M409" t="s">
        <v>322</v>
      </c>
      <c r="N409">
        <v>4</v>
      </c>
      <c r="O409" t="s">
        <v>4478</v>
      </c>
      <c r="P409" t="s">
        <v>4477</v>
      </c>
      <c r="Q409" t="s">
        <v>479</v>
      </c>
      <c r="R409" s="7">
        <v>36475</v>
      </c>
      <c r="S409" s="8">
        <f t="shared" si="48"/>
        <v>1999</v>
      </c>
      <c r="T409" s="8">
        <v>1999</v>
      </c>
      <c r="U409" s="8">
        <f t="shared" si="49"/>
        <v>23</v>
      </c>
      <c r="V409" s="7">
        <v>36475</v>
      </c>
      <c r="W409" t="s">
        <v>227</v>
      </c>
      <c r="X409" s="2">
        <v>0.375</v>
      </c>
      <c r="Y409" s="6">
        <f t="shared" si="50"/>
        <v>1.0010410827260351E-2</v>
      </c>
      <c r="AA409">
        <v>135194</v>
      </c>
      <c r="AB409">
        <v>24918</v>
      </c>
      <c r="AD409" t="s">
        <v>2</v>
      </c>
      <c r="AE409">
        <v>35</v>
      </c>
      <c r="AF409">
        <v>23</v>
      </c>
      <c r="AH409" t="s">
        <v>4476</v>
      </c>
      <c r="AI409" t="s">
        <v>4475</v>
      </c>
      <c r="AK409" t="s">
        <v>4474</v>
      </c>
      <c r="AL409">
        <v>27</v>
      </c>
      <c r="AM409" s="5">
        <f t="shared" si="51"/>
        <v>1.173913043478261</v>
      </c>
      <c r="AN409" s="4">
        <f t="shared" si="52"/>
        <v>1.7779826482063779E-3</v>
      </c>
      <c r="AO409" s="3"/>
      <c r="AP409">
        <v>0</v>
      </c>
      <c r="AR409" t="s">
        <v>1</v>
      </c>
      <c r="AT409" s="2">
        <v>1.3140000000000001</v>
      </c>
      <c r="AU409" s="1">
        <f t="shared" si="53"/>
        <v>0.75406823735441586</v>
      </c>
      <c r="AV409" s="1">
        <f t="shared" si="54"/>
        <v>0.58941967377333648</v>
      </c>
      <c r="AW409" s="1">
        <f t="shared" si="55"/>
        <v>0.424771110192257</v>
      </c>
    </row>
    <row r="410" spans="1:49" x14ac:dyDescent="0.2">
      <c r="A410">
        <v>408</v>
      </c>
      <c r="B410" t="s">
        <v>4473</v>
      </c>
      <c r="C410" t="s">
        <v>4472</v>
      </c>
      <c r="F410" t="s">
        <v>4471</v>
      </c>
      <c r="G410" t="s">
        <v>6</v>
      </c>
      <c r="H410" t="s">
        <v>5</v>
      </c>
      <c r="I410" t="s">
        <v>202</v>
      </c>
      <c r="J410" t="s">
        <v>4470</v>
      </c>
      <c r="K410" t="s">
        <v>4469</v>
      </c>
      <c r="L410" t="s">
        <v>788</v>
      </c>
      <c r="M410" t="s">
        <v>310</v>
      </c>
      <c r="N410">
        <v>4</v>
      </c>
      <c r="O410" t="s">
        <v>4468</v>
      </c>
      <c r="P410" t="s">
        <v>4467</v>
      </c>
      <c r="Q410" t="s">
        <v>4466</v>
      </c>
      <c r="R410" s="7">
        <v>36475</v>
      </c>
      <c r="S410" s="8">
        <f t="shared" si="48"/>
        <v>1999</v>
      </c>
      <c r="T410" s="8">
        <v>1999</v>
      </c>
      <c r="U410" s="8">
        <f t="shared" si="49"/>
        <v>23</v>
      </c>
      <c r="V410" s="7">
        <v>36475</v>
      </c>
      <c r="W410" t="s">
        <v>227</v>
      </c>
      <c r="X410" s="2">
        <v>0.375</v>
      </c>
      <c r="Y410" s="6">
        <f t="shared" si="50"/>
        <v>1.0010410827260351E-2</v>
      </c>
      <c r="AA410">
        <v>135194</v>
      </c>
      <c r="AB410">
        <v>24918</v>
      </c>
      <c r="AD410" t="s">
        <v>2</v>
      </c>
      <c r="AE410">
        <v>35</v>
      </c>
      <c r="AF410">
        <v>23</v>
      </c>
      <c r="AH410" t="s">
        <v>4465</v>
      </c>
      <c r="AI410" t="s">
        <v>4464</v>
      </c>
      <c r="AK410" t="s">
        <v>4463</v>
      </c>
      <c r="AL410">
        <v>0</v>
      </c>
      <c r="AM410" s="5">
        <f t="shared" si="51"/>
        <v>0</v>
      </c>
      <c r="AN410" s="4">
        <f t="shared" si="52"/>
        <v>0</v>
      </c>
      <c r="AO410" s="3"/>
      <c r="AP410">
        <v>0</v>
      </c>
      <c r="AR410" t="s">
        <v>1</v>
      </c>
      <c r="AT410" s="2">
        <v>1.3140000000000001</v>
      </c>
      <c r="AU410" s="1">
        <f t="shared" si="53"/>
        <v>0.70072875790822453</v>
      </c>
      <c r="AV410" s="1">
        <f t="shared" si="54"/>
        <v>0.5005205413630176</v>
      </c>
      <c r="AW410" s="1">
        <f t="shared" si="55"/>
        <v>0.30031232481781051</v>
      </c>
    </row>
    <row r="411" spans="1:49" x14ac:dyDescent="0.2">
      <c r="A411">
        <v>409</v>
      </c>
      <c r="B411" t="s">
        <v>4462</v>
      </c>
      <c r="C411" t="s">
        <v>4461</v>
      </c>
      <c r="F411" t="s">
        <v>4460</v>
      </c>
      <c r="G411" t="s">
        <v>6</v>
      </c>
      <c r="H411" t="s">
        <v>5</v>
      </c>
      <c r="I411" t="s">
        <v>314</v>
      </c>
      <c r="J411">
        <v>60110693</v>
      </c>
      <c r="K411" t="s">
        <v>224</v>
      </c>
      <c r="L411" t="s">
        <v>223</v>
      </c>
      <c r="M411" t="s">
        <v>47</v>
      </c>
      <c r="N411">
        <v>2</v>
      </c>
      <c r="O411" t="s">
        <v>313</v>
      </c>
      <c r="P411" t="s">
        <v>312</v>
      </c>
      <c r="Q411" t="s">
        <v>222</v>
      </c>
      <c r="R411" s="7">
        <v>36475</v>
      </c>
      <c r="S411" s="8">
        <f t="shared" si="48"/>
        <v>1999</v>
      </c>
      <c r="T411" s="8">
        <v>1999</v>
      </c>
      <c r="U411" s="8">
        <f t="shared" si="49"/>
        <v>23</v>
      </c>
      <c r="V411" s="7">
        <v>36475</v>
      </c>
      <c r="W411" t="s">
        <v>227</v>
      </c>
      <c r="X411" s="2">
        <v>0.375</v>
      </c>
      <c r="Y411" s="6">
        <f t="shared" si="50"/>
        <v>1.0010410827260351E-2</v>
      </c>
      <c r="AA411">
        <v>135194</v>
      </c>
      <c r="AB411">
        <v>24918</v>
      </c>
      <c r="AD411" t="s">
        <v>2</v>
      </c>
      <c r="AE411">
        <v>35</v>
      </c>
      <c r="AF411">
        <v>23</v>
      </c>
      <c r="AH411" t="s">
        <v>4459</v>
      </c>
      <c r="AI411" t="s">
        <v>4458</v>
      </c>
      <c r="AK411" t="s">
        <v>4457</v>
      </c>
      <c r="AL411">
        <v>1</v>
      </c>
      <c r="AM411" s="5">
        <f t="shared" si="51"/>
        <v>4.3478260869565216E-2</v>
      </c>
      <c r="AN411" s="4">
        <f t="shared" si="52"/>
        <v>6.5851209192828807E-5</v>
      </c>
      <c r="AO411" s="3"/>
      <c r="AP411">
        <v>0</v>
      </c>
      <c r="AR411" t="s">
        <v>1</v>
      </c>
      <c r="AT411" s="2">
        <v>1.3140000000000001</v>
      </c>
      <c r="AU411" s="1">
        <f t="shared" si="53"/>
        <v>0.70270429418400948</v>
      </c>
      <c r="AV411" s="1">
        <f t="shared" si="54"/>
        <v>0.50381310182265904</v>
      </c>
      <c r="AW411" s="1">
        <f t="shared" si="55"/>
        <v>0.30492190946130854</v>
      </c>
    </row>
    <row r="412" spans="1:49" x14ac:dyDescent="0.2">
      <c r="A412">
        <v>410</v>
      </c>
      <c r="B412" t="s">
        <v>4456</v>
      </c>
      <c r="C412" t="s">
        <v>4455</v>
      </c>
      <c r="F412" t="s">
        <v>4454</v>
      </c>
      <c r="G412" t="s">
        <v>6</v>
      </c>
      <c r="H412" t="s">
        <v>5</v>
      </c>
      <c r="I412" t="s">
        <v>4453</v>
      </c>
      <c r="J412" t="s">
        <v>4452</v>
      </c>
      <c r="K412" t="s">
        <v>4451</v>
      </c>
      <c r="L412" t="s">
        <v>4450</v>
      </c>
      <c r="M412" t="s">
        <v>4449</v>
      </c>
      <c r="N412">
        <v>4</v>
      </c>
      <c r="O412" t="s">
        <v>4448</v>
      </c>
      <c r="P412" t="s">
        <v>4447</v>
      </c>
      <c r="Q412" t="s">
        <v>4446</v>
      </c>
      <c r="R412" s="7">
        <v>36475</v>
      </c>
      <c r="S412" s="8">
        <f t="shared" si="48"/>
        <v>1999</v>
      </c>
      <c r="T412" s="8">
        <v>1999</v>
      </c>
      <c r="U412" s="8">
        <f t="shared" si="49"/>
        <v>23</v>
      </c>
      <c r="V412" s="7">
        <v>36475</v>
      </c>
      <c r="W412" t="s">
        <v>647</v>
      </c>
      <c r="X412" s="2">
        <v>0.86399999999999999</v>
      </c>
      <c r="Y412" s="6">
        <f t="shared" si="50"/>
        <v>2.3063986546007848E-2</v>
      </c>
      <c r="AA412">
        <v>15206106</v>
      </c>
      <c r="AB412">
        <v>26970</v>
      </c>
      <c r="AD412" t="s">
        <v>2</v>
      </c>
      <c r="AE412">
        <v>103</v>
      </c>
      <c r="AF412">
        <v>45</v>
      </c>
      <c r="AH412" t="s">
        <v>4445</v>
      </c>
      <c r="AI412" t="s">
        <v>4444</v>
      </c>
      <c r="AK412" t="s">
        <v>4443</v>
      </c>
      <c r="AL412">
        <v>44</v>
      </c>
      <c r="AM412" s="5">
        <f t="shared" si="51"/>
        <v>1.9130434782608696</v>
      </c>
      <c r="AN412" s="4">
        <f t="shared" si="52"/>
        <v>2.8974532044844675E-3</v>
      </c>
      <c r="AO412" s="3"/>
      <c r="AP412">
        <v>0</v>
      </c>
      <c r="AR412" t="s">
        <v>1</v>
      </c>
      <c r="AT412" s="2">
        <v>2.9910000000000001</v>
      </c>
      <c r="AU412" s="1">
        <f t="shared" si="53"/>
        <v>1.7014026543550831</v>
      </c>
      <c r="AV412" s="1">
        <f t="shared" si="54"/>
        <v>1.2980719875246158</v>
      </c>
      <c r="AW412" s="1">
        <f t="shared" si="55"/>
        <v>0.89474132069414813</v>
      </c>
    </row>
    <row r="413" spans="1:49" x14ac:dyDescent="0.2">
      <c r="A413">
        <v>411</v>
      </c>
      <c r="B413" t="s">
        <v>4442</v>
      </c>
      <c r="C413" t="s">
        <v>4441</v>
      </c>
      <c r="D413" t="s">
        <v>4440</v>
      </c>
      <c r="E413">
        <v>10556624</v>
      </c>
      <c r="F413" t="s">
        <v>4439</v>
      </c>
      <c r="G413" t="s">
        <v>6</v>
      </c>
      <c r="H413" t="s">
        <v>5</v>
      </c>
      <c r="I413" t="s">
        <v>4438</v>
      </c>
      <c r="J413">
        <v>60021199</v>
      </c>
      <c r="K413" t="s">
        <v>4437</v>
      </c>
      <c r="L413" t="s">
        <v>543</v>
      </c>
      <c r="M413" t="s">
        <v>13</v>
      </c>
      <c r="N413">
        <v>4</v>
      </c>
      <c r="O413" t="s">
        <v>4436</v>
      </c>
      <c r="P413" t="s">
        <v>4435</v>
      </c>
      <c r="Q413" t="s">
        <v>4434</v>
      </c>
      <c r="R413" s="7">
        <v>36474</v>
      </c>
      <c r="S413" s="8">
        <f t="shared" si="48"/>
        <v>1999</v>
      </c>
      <c r="T413" s="8">
        <v>1999</v>
      </c>
      <c r="U413" s="8">
        <f t="shared" si="49"/>
        <v>23</v>
      </c>
      <c r="V413" s="7">
        <v>36474</v>
      </c>
      <c r="W413" t="s">
        <v>646</v>
      </c>
      <c r="X413" s="2">
        <v>1.59</v>
      </c>
      <c r="Y413" s="6">
        <f t="shared" si="50"/>
        <v>4.2444141907583888E-2</v>
      </c>
      <c r="AA413">
        <v>52728</v>
      </c>
      <c r="AB413">
        <v>16791</v>
      </c>
      <c r="AD413" t="s">
        <v>2</v>
      </c>
      <c r="AE413">
        <v>1413</v>
      </c>
      <c r="AF413">
        <v>3</v>
      </c>
      <c r="AH413" t="s">
        <v>4433</v>
      </c>
      <c r="AI413" t="s">
        <v>4432</v>
      </c>
      <c r="AJ413" t="s">
        <v>4431</v>
      </c>
      <c r="AK413" t="s">
        <v>4430</v>
      </c>
      <c r="AL413">
        <v>131</v>
      </c>
      <c r="AM413" s="5">
        <f t="shared" si="51"/>
        <v>5.6956521739130439</v>
      </c>
      <c r="AN413" s="4">
        <f t="shared" si="52"/>
        <v>8.6265084042605744E-3</v>
      </c>
      <c r="AO413" s="3"/>
      <c r="AP413">
        <v>1</v>
      </c>
      <c r="AQ413" t="s">
        <v>4429</v>
      </c>
      <c r="AR413">
        <v>9705150034</v>
      </c>
      <c r="AS413" t="s">
        <v>4428</v>
      </c>
      <c r="AT413" s="2" t="s">
        <v>0</v>
      </c>
      <c r="AU413" s="1">
        <f t="shared" si="53"/>
        <v>3.2298851856586897</v>
      </c>
      <c r="AV413" s="1">
        <f t="shared" si="54"/>
        <v>2.5535325155922233</v>
      </c>
      <c r="AW413" s="1">
        <f t="shared" si="55"/>
        <v>1.8771798455257567</v>
      </c>
    </row>
    <row r="414" spans="1:49" x14ac:dyDescent="0.2">
      <c r="A414">
        <v>412</v>
      </c>
      <c r="B414" t="s">
        <v>4427</v>
      </c>
      <c r="C414" t="s">
        <v>4426</v>
      </c>
      <c r="D414" t="s">
        <v>4425</v>
      </c>
      <c r="E414">
        <v>10556629</v>
      </c>
      <c r="F414" t="s">
        <v>4424</v>
      </c>
      <c r="G414" t="s">
        <v>6</v>
      </c>
      <c r="H414" t="s">
        <v>5</v>
      </c>
      <c r="I414" t="s">
        <v>4423</v>
      </c>
      <c r="J414">
        <v>60005038</v>
      </c>
      <c r="K414" t="s">
        <v>864</v>
      </c>
      <c r="L414" t="s">
        <v>863</v>
      </c>
      <c r="M414" t="s">
        <v>7</v>
      </c>
      <c r="N414">
        <v>4</v>
      </c>
      <c r="O414" t="s">
        <v>4422</v>
      </c>
      <c r="P414" t="s">
        <v>4421</v>
      </c>
      <c r="Q414" t="s">
        <v>4420</v>
      </c>
      <c r="R414" s="7">
        <v>36474</v>
      </c>
      <c r="S414" s="8">
        <f t="shared" si="48"/>
        <v>1999</v>
      </c>
      <c r="T414" s="8">
        <v>1999</v>
      </c>
      <c r="U414" s="8">
        <f t="shared" si="49"/>
        <v>23</v>
      </c>
      <c r="V414" s="7">
        <v>36474</v>
      </c>
      <c r="W414" t="s">
        <v>646</v>
      </c>
      <c r="X414" s="2">
        <v>1.59</v>
      </c>
      <c r="Y414" s="6">
        <f t="shared" si="50"/>
        <v>4.2444141907583888E-2</v>
      </c>
      <c r="AA414">
        <v>52728</v>
      </c>
      <c r="AB414">
        <v>16791</v>
      </c>
      <c r="AD414" t="s">
        <v>2</v>
      </c>
      <c r="AE414">
        <v>1413</v>
      </c>
      <c r="AF414">
        <v>3</v>
      </c>
      <c r="AH414" t="s">
        <v>4419</v>
      </c>
      <c r="AI414" t="s">
        <v>4418</v>
      </c>
      <c r="AJ414" t="s">
        <v>4417</v>
      </c>
      <c r="AK414" t="s">
        <v>4416</v>
      </c>
      <c r="AL414">
        <v>57</v>
      </c>
      <c r="AM414" s="5">
        <f t="shared" si="51"/>
        <v>2.4782608695652173</v>
      </c>
      <c r="AN414" s="4">
        <f t="shared" si="52"/>
        <v>3.7535189239912416E-3</v>
      </c>
      <c r="AO414" s="3"/>
      <c r="AP414">
        <v>1</v>
      </c>
      <c r="AQ414" t="s">
        <v>4415</v>
      </c>
      <c r="AR414">
        <v>904423</v>
      </c>
      <c r="AS414" t="s">
        <v>862</v>
      </c>
      <c r="AT414" s="2" t="s">
        <v>0</v>
      </c>
      <c r="AU414" s="1">
        <f t="shared" si="53"/>
        <v>3.0836955012506091</v>
      </c>
      <c r="AV414" s="1">
        <f t="shared" si="54"/>
        <v>2.3098830415787566</v>
      </c>
      <c r="AW414" s="1">
        <f t="shared" si="55"/>
        <v>1.5360705819069034</v>
      </c>
    </row>
    <row r="415" spans="1:49" x14ac:dyDescent="0.2">
      <c r="A415">
        <v>413</v>
      </c>
      <c r="B415" t="s">
        <v>4414</v>
      </c>
      <c r="C415" t="s">
        <v>4413</v>
      </c>
      <c r="D415" t="s">
        <v>4412</v>
      </c>
      <c r="E415">
        <v>10556627</v>
      </c>
      <c r="F415" t="s">
        <v>4411</v>
      </c>
      <c r="G415" t="s">
        <v>6</v>
      </c>
      <c r="H415" t="s">
        <v>5</v>
      </c>
      <c r="I415" t="s">
        <v>4410</v>
      </c>
      <c r="J415" t="s">
        <v>4409</v>
      </c>
      <c r="K415" t="s">
        <v>4408</v>
      </c>
      <c r="L415" t="s">
        <v>4407</v>
      </c>
      <c r="M415" t="s">
        <v>18</v>
      </c>
      <c r="N415">
        <v>7</v>
      </c>
      <c r="O415" t="s">
        <v>4406</v>
      </c>
      <c r="P415" t="s">
        <v>4405</v>
      </c>
      <c r="Q415" t="s">
        <v>4404</v>
      </c>
      <c r="R415" s="7">
        <v>36474</v>
      </c>
      <c r="S415" s="8">
        <f t="shared" si="48"/>
        <v>1999</v>
      </c>
      <c r="T415" s="8">
        <v>1999</v>
      </c>
      <c r="U415" s="8">
        <f t="shared" si="49"/>
        <v>23</v>
      </c>
      <c r="V415" s="7">
        <v>36474</v>
      </c>
      <c r="W415" t="s">
        <v>646</v>
      </c>
      <c r="X415" s="2">
        <v>1.59</v>
      </c>
      <c r="Y415" s="6">
        <f t="shared" si="50"/>
        <v>4.2444141907583888E-2</v>
      </c>
      <c r="AA415">
        <v>52728</v>
      </c>
      <c r="AB415">
        <v>16791</v>
      </c>
      <c r="AD415" t="s">
        <v>2</v>
      </c>
      <c r="AE415">
        <v>1413</v>
      </c>
      <c r="AF415">
        <v>3</v>
      </c>
      <c r="AH415" t="s">
        <v>4403</v>
      </c>
      <c r="AI415" t="s">
        <v>4402</v>
      </c>
      <c r="AJ415" t="s">
        <v>4401</v>
      </c>
      <c r="AK415" t="s">
        <v>4400</v>
      </c>
      <c r="AL415">
        <v>42</v>
      </c>
      <c r="AM415" s="5">
        <f t="shared" si="51"/>
        <v>1.826086956521739</v>
      </c>
      <c r="AN415" s="4">
        <f t="shared" si="52"/>
        <v>2.7657507860988097E-3</v>
      </c>
      <c r="AO415" s="3"/>
      <c r="AP415">
        <v>1</v>
      </c>
      <c r="AQ415" t="s">
        <v>4399</v>
      </c>
      <c r="AR415" t="s">
        <v>1</v>
      </c>
      <c r="AS415" t="s">
        <v>4384</v>
      </c>
      <c r="AT415" s="2" t="s">
        <v>0</v>
      </c>
      <c r="AU415" s="1">
        <f t="shared" si="53"/>
        <v>3.0540624571138366</v>
      </c>
      <c r="AV415" s="1">
        <f t="shared" si="54"/>
        <v>2.260494634684135</v>
      </c>
      <c r="AW415" s="1">
        <f t="shared" si="55"/>
        <v>1.4669268122544332</v>
      </c>
    </row>
    <row r="416" spans="1:49" x14ac:dyDescent="0.2">
      <c r="A416">
        <v>414</v>
      </c>
      <c r="B416" t="s">
        <v>4398</v>
      </c>
      <c r="C416" t="s">
        <v>4397</v>
      </c>
      <c r="D416" t="s">
        <v>4396</v>
      </c>
      <c r="E416">
        <v>10556623</v>
      </c>
      <c r="F416" t="s">
        <v>4395</v>
      </c>
      <c r="G416" t="s">
        <v>6</v>
      </c>
      <c r="H416" t="s">
        <v>5</v>
      </c>
      <c r="I416" t="s">
        <v>865</v>
      </c>
      <c r="J416" t="s">
        <v>4394</v>
      </c>
      <c r="K416" t="s">
        <v>4393</v>
      </c>
      <c r="L416" t="s">
        <v>4392</v>
      </c>
      <c r="M416" t="s">
        <v>230</v>
      </c>
      <c r="N416">
        <v>3</v>
      </c>
      <c r="O416" t="s">
        <v>4391</v>
      </c>
      <c r="P416" t="s">
        <v>4390</v>
      </c>
      <c r="Q416" t="s">
        <v>4389</v>
      </c>
      <c r="R416" s="7">
        <v>36474</v>
      </c>
      <c r="S416" s="8">
        <f t="shared" si="48"/>
        <v>1999</v>
      </c>
      <c r="T416" s="8">
        <v>1999</v>
      </c>
      <c r="U416" s="8">
        <f t="shared" si="49"/>
        <v>23</v>
      </c>
      <c r="V416" s="7">
        <v>36474</v>
      </c>
      <c r="W416" t="s">
        <v>646</v>
      </c>
      <c r="X416" s="2">
        <v>1.59</v>
      </c>
      <c r="Y416" s="6">
        <f t="shared" si="50"/>
        <v>4.2444141907583888E-2</v>
      </c>
      <c r="AA416">
        <v>52728</v>
      </c>
      <c r="AB416">
        <v>16791</v>
      </c>
      <c r="AD416" t="s">
        <v>2</v>
      </c>
      <c r="AE416">
        <v>1413</v>
      </c>
      <c r="AF416">
        <v>3</v>
      </c>
      <c r="AH416" t="s">
        <v>4388</v>
      </c>
      <c r="AI416" t="s">
        <v>4387</v>
      </c>
      <c r="AJ416" t="s">
        <v>4386</v>
      </c>
      <c r="AK416" t="s">
        <v>4385</v>
      </c>
      <c r="AL416">
        <v>40</v>
      </c>
      <c r="AM416" s="5">
        <f t="shared" si="51"/>
        <v>1.7391304347826086</v>
      </c>
      <c r="AN416" s="4">
        <f t="shared" si="52"/>
        <v>2.634048367713152E-3</v>
      </c>
      <c r="AO416" s="3"/>
      <c r="AP416">
        <v>1</v>
      </c>
      <c r="AR416" t="s">
        <v>1</v>
      </c>
      <c r="AS416" t="s">
        <v>4384</v>
      </c>
      <c r="AT416" s="2" t="s">
        <v>0</v>
      </c>
      <c r="AU416" s="1">
        <f t="shared" si="53"/>
        <v>3.0501113845622667</v>
      </c>
      <c r="AV416" s="1">
        <f t="shared" si="54"/>
        <v>2.2539095137648522</v>
      </c>
      <c r="AW416" s="1">
        <f t="shared" si="55"/>
        <v>1.4577076429674372</v>
      </c>
    </row>
    <row r="417" spans="1:49" x14ac:dyDescent="0.2">
      <c r="A417">
        <v>415</v>
      </c>
      <c r="B417" t="s">
        <v>4383</v>
      </c>
      <c r="C417" t="s">
        <v>4382</v>
      </c>
      <c r="D417" t="s">
        <v>4381</v>
      </c>
      <c r="E417">
        <v>10582416</v>
      </c>
      <c r="F417" t="s">
        <v>4380</v>
      </c>
      <c r="G417" t="s">
        <v>6</v>
      </c>
      <c r="H417" t="s">
        <v>5</v>
      </c>
      <c r="I417" t="s">
        <v>4379</v>
      </c>
      <c r="J417">
        <v>60023691</v>
      </c>
      <c r="K417" t="s">
        <v>4378</v>
      </c>
      <c r="L417" t="s">
        <v>4377</v>
      </c>
      <c r="M417" t="s">
        <v>3</v>
      </c>
      <c r="N417">
        <v>2</v>
      </c>
      <c r="O417" t="s">
        <v>4376</v>
      </c>
      <c r="P417" t="s">
        <v>4375</v>
      </c>
      <c r="Q417" t="s">
        <v>4374</v>
      </c>
      <c r="R417" s="7">
        <v>36470</v>
      </c>
      <c r="S417" s="8">
        <f t="shared" si="48"/>
        <v>1999</v>
      </c>
      <c r="T417" s="8">
        <v>1999</v>
      </c>
      <c r="U417" s="8">
        <f t="shared" si="49"/>
        <v>23</v>
      </c>
      <c r="V417" s="7">
        <v>1999</v>
      </c>
      <c r="W417" t="s">
        <v>839</v>
      </c>
      <c r="X417" s="2">
        <v>1.1479999999999999</v>
      </c>
      <c r="Y417" s="6">
        <f t="shared" si="50"/>
        <v>3.0645204345853019E-2</v>
      </c>
      <c r="AA417">
        <v>189294</v>
      </c>
      <c r="AB417">
        <v>16318</v>
      </c>
      <c r="AD417" t="s">
        <v>2</v>
      </c>
      <c r="AE417">
        <v>46</v>
      </c>
      <c r="AF417">
        <v>11</v>
      </c>
      <c r="AH417" t="s">
        <v>4373</v>
      </c>
      <c r="AI417" t="s">
        <v>4372</v>
      </c>
      <c r="AJ417" t="s">
        <v>4371</v>
      </c>
      <c r="AK417" t="s">
        <v>4370</v>
      </c>
      <c r="AL417">
        <v>38</v>
      </c>
      <c r="AM417" s="5">
        <f t="shared" si="51"/>
        <v>1.6521739130434783</v>
      </c>
      <c r="AN417" s="4">
        <f t="shared" si="52"/>
        <v>2.5023459493274947E-3</v>
      </c>
      <c r="AO417" s="3"/>
      <c r="AP417">
        <v>0</v>
      </c>
      <c r="AQ417" t="s">
        <v>797</v>
      </c>
      <c r="AR417" t="s">
        <v>4369</v>
      </c>
      <c r="AS417" t="s">
        <v>796</v>
      </c>
      <c r="AT417" s="2" t="s">
        <v>0</v>
      </c>
      <c r="AU417" s="1">
        <f t="shared" si="53"/>
        <v>2.2202346826895361</v>
      </c>
      <c r="AV417" s="1">
        <f t="shared" si="54"/>
        <v>1.6573775147590259</v>
      </c>
      <c r="AW417" s="1">
        <f t="shared" si="55"/>
        <v>1.0945203468285152</v>
      </c>
    </row>
    <row r="418" spans="1:49" x14ac:dyDescent="0.2">
      <c r="A418">
        <v>416</v>
      </c>
      <c r="B418" t="s">
        <v>4368</v>
      </c>
      <c r="C418" t="s">
        <v>4367</v>
      </c>
      <c r="F418" t="s">
        <v>4366</v>
      </c>
      <c r="G418" t="s">
        <v>6</v>
      </c>
      <c r="H418" t="s">
        <v>5</v>
      </c>
      <c r="I418" t="s">
        <v>187</v>
      </c>
      <c r="J418">
        <v>60025488</v>
      </c>
      <c r="K418" t="s">
        <v>186</v>
      </c>
      <c r="L418" t="s">
        <v>185</v>
      </c>
      <c r="M418" t="s">
        <v>3</v>
      </c>
      <c r="N418">
        <v>3</v>
      </c>
      <c r="O418" t="s">
        <v>4365</v>
      </c>
      <c r="P418" t="s">
        <v>4364</v>
      </c>
      <c r="Q418" t="s">
        <v>184</v>
      </c>
      <c r="R418" s="7">
        <v>36469</v>
      </c>
      <c r="S418" s="8">
        <f t="shared" si="48"/>
        <v>1999</v>
      </c>
      <c r="T418" s="8">
        <v>1999</v>
      </c>
      <c r="U418" s="8">
        <f t="shared" si="49"/>
        <v>23</v>
      </c>
      <c r="V418" s="7">
        <v>36469</v>
      </c>
      <c r="W418" t="s">
        <v>162</v>
      </c>
      <c r="X418" s="2">
        <v>0.30399999999999999</v>
      </c>
      <c r="Y418" s="6">
        <f t="shared" si="50"/>
        <v>8.115106377299057E-3</v>
      </c>
      <c r="AA418">
        <v>8952477</v>
      </c>
      <c r="AB418">
        <v>12250</v>
      </c>
      <c r="AD418" t="s">
        <v>2</v>
      </c>
      <c r="AE418">
        <v>23</v>
      </c>
      <c r="AF418">
        <v>3</v>
      </c>
      <c r="AH418" t="s">
        <v>4363</v>
      </c>
      <c r="AI418" t="s">
        <v>4362</v>
      </c>
      <c r="AJ418" t="s">
        <v>4361</v>
      </c>
      <c r="AK418" t="s">
        <v>4360</v>
      </c>
      <c r="AL418">
        <v>1</v>
      </c>
      <c r="AM418" s="5">
        <f t="shared" si="51"/>
        <v>4.3478260869565216E-2</v>
      </c>
      <c r="AN418" s="4">
        <f t="shared" si="52"/>
        <v>6.5851209192828807E-5</v>
      </c>
      <c r="AO418" s="3"/>
      <c r="AP418">
        <v>0</v>
      </c>
      <c r="AR418" t="s">
        <v>1</v>
      </c>
      <c r="AT418" s="2" t="s">
        <v>0</v>
      </c>
      <c r="AU418" s="1">
        <f t="shared" si="53"/>
        <v>0.57003298268671876</v>
      </c>
      <c r="AV418" s="1">
        <f t="shared" si="54"/>
        <v>0.4090478793245943</v>
      </c>
      <c r="AW418" s="1">
        <f t="shared" si="55"/>
        <v>0.24806277596246973</v>
      </c>
    </row>
    <row r="419" spans="1:49" x14ac:dyDescent="0.2">
      <c r="A419">
        <v>417</v>
      </c>
      <c r="B419" t="s">
        <v>4359</v>
      </c>
      <c r="C419" t="s">
        <v>4358</v>
      </c>
      <c r="F419" t="s">
        <v>4357</v>
      </c>
      <c r="G419" t="s">
        <v>6</v>
      </c>
      <c r="H419" t="s">
        <v>5</v>
      </c>
      <c r="I419" t="s">
        <v>4356</v>
      </c>
      <c r="J419" t="s">
        <v>4355</v>
      </c>
      <c r="K419" t="s">
        <v>4354</v>
      </c>
      <c r="L419" t="s">
        <v>4353</v>
      </c>
      <c r="M419" t="s">
        <v>261</v>
      </c>
      <c r="N419">
        <v>4</v>
      </c>
      <c r="O419" t="s">
        <v>4352</v>
      </c>
      <c r="P419" t="s">
        <v>4351</v>
      </c>
      <c r="Q419" t="s">
        <v>4350</v>
      </c>
      <c r="R419" s="7">
        <v>36469</v>
      </c>
      <c r="S419" s="8">
        <f t="shared" si="48"/>
        <v>1999</v>
      </c>
      <c r="T419" s="8">
        <v>1999</v>
      </c>
      <c r="U419" s="8">
        <f t="shared" si="49"/>
        <v>23</v>
      </c>
      <c r="V419" s="7">
        <v>36469</v>
      </c>
      <c r="W419" t="s">
        <v>162</v>
      </c>
      <c r="X419" s="2">
        <v>0.30399999999999999</v>
      </c>
      <c r="Y419" s="6">
        <f t="shared" si="50"/>
        <v>8.115106377299057E-3</v>
      </c>
      <c r="AA419">
        <v>8952477</v>
      </c>
      <c r="AB419">
        <v>12250</v>
      </c>
      <c r="AD419" t="s">
        <v>2</v>
      </c>
      <c r="AE419">
        <v>23</v>
      </c>
      <c r="AF419">
        <v>3</v>
      </c>
      <c r="AH419" t="s">
        <v>4349</v>
      </c>
      <c r="AI419" t="s">
        <v>4348</v>
      </c>
      <c r="AJ419" t="s">
        <v>4347</v>
      </c>
      <c r="AK419" t="s">
        <v>4346</v>
      </c>
      <c r="AL419">
        <v>2</v>
      </c>
      <c r="AM419" s="5">
        <f t="shared" si="51"/>
        <v>8.6956521739130432E-2</v>
      </c>
      <c r="AN419" s="4">
        <f t="shared" si="52"/>
        <v>1.3170241838565761E-4</v>
      </c>
      <c r="AO419" s="3"/>
      <c r="AP419">
        <v>0</v>
      </c>
      <c r="AR419" t="s">
        <v>1</v>
      </c>
      <c r="AT419" s="2" t="s">
        <v>0</v>
      </c>
      <c r="AU419" s="1">
        <f t="shared" si="53"/>
        <v>0.57200851896250371</v>
      </c>
      <c r="AV419" s="1">
        <f t="shared" si="54"/>
        <v>0.41234043978423568</v>
      </c>
      <c r="AW419" s="1">
        <f t="shared" si="55"/>
        <v>0.25267236060596776</v>
      </c>
    </row>
    <row r="420" spans="1:49" x14ac:dyDescent="0.2">
      <c r="A420">
        <v>418</v>
      </c>
      <c r="B420" t="s">
        <v>4345</v>
      </c>
      <c r="C420" t="s">
        <v>4344</v>
      </c>
      <c r="F420" t="s">
        <v>4343</v>
      </c>
      <c r="G420" t="s">
        <v>6</v>
      </c>
      <c r="H420" t="s">
        <v>5</v>
      </c>
      <c r="I420" t="s">
        <v>3677</v>
      </c>
      <c r="J420">
        <v>60011357</v>
      </c>
      <c r="K420" t="s">
        <v>218</v>
      </c>
      <c r="L420" t="s">
        <v>217</v>
      </c>
      <c r="M420" t="s">
        <v>133</v>
      </c>
      <c r="N420">
        <v>3</v>
      </c>
      <c r="O420" t="s">
        <v>4342</v>
      </c>
      <c r="P420" t="s">
        <v>4341</v>
      </c>
      <c r="Q420" t="s">
        <v>657</v>
      </c>
      <c r="R420" s="7">
        <v>36469</v>
      </c>
      <c r="S420" s="8">
        <f t="shared" si="48"/>
        <v>1999</v>
      </c>
      <c r="T420" s="8">
        <v>1999</v>
      </c>
      <c r="U420" s="8">
        <f t="shared" si="49"/>
        <v>23</v>
      </c>
      <c r="V420" s="7">
        <v>36469</v>
      </c>
      <c r="W420" t="s">
        <v>162</v>
      </c>
      <c r="X420" s="2">
        <v>0.30399999999999999</v>
      </c>
      <c r="Y420" s="6">
        <f t="shared" si="50"/>
        <v>8.115106377299057E-3</v>
      </c>
      <c r="AA420">
        <v>8952477</v>
      </c>
      <c r="AB420">
        <v>12250</v>
      </c>
      <c r="AD420" t="s">
        <v>2</v>
      </c>
      <c r="AE420">
        <v>23</v>
      </c>
      <c r="AF420">
        <v>3</v>
      </c>
      <c r="AH420" t="s">
        <v>4340</v>
      </c>
      <c r="AI420" t="s">
        <v>4339</v>
      </c>
      <c r="AJ420" t="s">
        <v>4338</v>
      </c>
      <c r="AK420" t="s">
        <v>4337</v>
      </c>
      <c r="AL420">
        <v>2</v>
      </c>
      <c r="AM420" s="5">
        <f t="shared" si="51"/>
        <v>8.6956521739130432E-2</v>
      </c>
      <c r="AN420" s="4">
        <f t="shared" si="52"/>
        <v>1.3170241838565761E-4</v>
      </c>
      <c r="AO420" s="3"/>
      <c r="AP420">
        <v>0</v>
      </c>
      <c r="AR420" t="s">
        <v>1</v>
      </c>
      <c r="AT420" s="2" t="s">
        <v>0</v>
      </c>
      <c r="AU420" s="1">
        <f t="shared" si="53"/>
        <v>0.57200851896250371</v>
      </c>
      <c r="AV420" s="1">
        <f t="shared" si="54"/>
        <v>0.41234043978423568</v>
      </c>
      <c r="AW420" s="1">
        <f t="shared" si="55"/>
        <v>0.25267236060596776</v>
      </c>
    </row>
    <row r="421" spans="1:49" x14ac:dyDescent="0.2">
      <c r="A421">
        <v>419</v>
      </c>
      <c r="B421" t="s">
        <v>4336</v>
      </c>
      <c r="C421" t="s">
        <v>4335</v>
      </c>
      <c r="F421" t="s">
        <v>4334</v>
      </c>
      <c r="G421" t="s">
        <v>6</v>
      </c>
      <c r="H421" t="s">
        <v>5</v>
      </c>
      <c r="I421" t="s">
        <v>751</v>
      </c>
      <c r="J421">
        <v>60116768</v>
      </c>
      <c r="K421" t="s">
        <v>750</v>
      </c>
      <c r="L421" t="s">
        <v>217</v>
      </c>
      <c r="M421" t="s">
        <v>133</v>
      </c>
      <c r="N421">
        <v>1</v>
      </c>
      <c r="O421" t="s">
        <v>749</v>
      </c>
      <c r="P421">
        <v>7601561423</v>
      </c>
      <c r="Q421">
        <v>60116768</v>
      </c>
      <c r="R421" s="7">
        <v>36469</v>
      </c>
      <c r="S421" s="8">
        <f t="shared" si="48"/>
        <v>1999</v>
      </c>
      <c r="T421" s="8">
        <v>1999</v>
      </c>
      <c r="U421" s="8">
        <f t="shared" si="49"/>
        <v>23</v>
      </c>
      <c r="V421" s="7">
        <v>36469</v>
      </c>
      <c r="W421" t="s">
        <v>162</v>
      </c>
      <c r="X421" s="2">
        <v>0.30399999999999999</v>
      </c>
      <c r="Y421" s="6">
        <f t="shared" si="50"/>
        <v>8.115106377299057E-3</v>
      </c>
      <c r="AA421">
        <v>8952477</v>
      </c>
      <c r="AB421">
        <v>12250</v>
      </c>
      <c r="AD421" t="s">
        <v>2</v>
      </c>
      <c r="AE421">
        <v>23</v>
      </c>
      <c r="AF421">
        <v>3</v>
      </c>
      <c r="AH421" t="s">
        <v>720</v>
      </c>
      <c r="AI421" t="s">
        <v>4333</v>
      </c>
      <c r="AJ421" t="s">
        <v>4332</v>
      </c>
      <c r="AK421" t="s">
        <v>4331</v>
      </c>
      <c r="AL421">
        <v>9</v>
      </c>
      <c r="AM421" s="5">
        <f t="shared" si="51"/>
        <v>0.39130434782608697</v>
      </c>
      <c r="AN421" s="4">
        <f t="shared" si="52"/>
        <v>5.9266088273545923E-4</v>
      </c>
      <c r="AO421" s="3"/>
      <c r="AP421">
        <v>0</v>
      </c>
      <c r="AR421" t="s">
        <v>1</v>
      </c>
      <c r="AT421" s="2" t="s">
        <v>0</v>
      </c>
      <c r="AU421" s="1">
        <f t="shared" si="53"/>
        <v>0.5858372728929977</v>
      </c>
      <c r="AV421" s="1">
        <f t="shared" si="54"/>
        <v>0.43538836300172584</v>
      </c>
      <c r="AW421" s="1">
        <f t="shared" si="55"/>
        <v>0.28493945311045388</v>
      </c>
    </row>
    <row r="422" spans="1:49" x14ac:dyDescent="0.2">
      <c r="A422">
        <v>420</v>
      </c>
      <c r="B422" t="s">
        <v>4330</v>
      </c>
      <c r="C422" t="s">
        <v>4329</v>
      </c>
      <c r="F422" t="s">
        <v>4328</v>
      </c>
      <c r="G422" t="s">
        <v>6</v>
      </c>
      <c r="H422" t="s">
        <v>5</v>
      </c>
      <c r="I422" t="s">
        <v>4327</v>
      </c>
      <c r="J422">
        <v>60116768</v>
      </c>
      <c r="K422" t="s">
        <v>750</v>
      </c>
      <c r="L422" t="s">
        <v>217</v>
      </c>
      <c r="M422" t="s">
        <v>133</v>
      </c>
      <c r="N422">
        <v>1</v>
      </c>
      <c r="O422" t="s">
        <v>4326</v>
      </c>
      <c r="P422">
        <v>7501612962</v>
      </c>
      <c r="Q422">
        <v>60116768</v>
      </c>
      <c r="R422" s="7">
        <v>36469</v>
      </c>
      <c r="S422" s="8">
        <f t="shared" si="48"/>
        <v>1999</v>
      </c>
      <c r="T422" s="8">
        <v>1999</v>
      </c>
      <c r="U422" s="8">
        <f t="shared" si="49"/>
        <v>23</v>
      </c>
      <c r="V422" s="7">
        <v>36469</v>
      </c>
      <c r="W422" t="s">
        <v>162</v>
      </c>
      <c r="X422" s="2">
        <v>0.30399999999999999</v>
      </c>
      <c r="Y422" s="6">
        <f t="shared" si="50"/>
        <v>8.115106377299057E-3</v>
      </c>
      <c r="AA422">
        <v>8952477</v>
      </c>
      <c r="AB422">
        <v>12250</v>
      </c>
      <c r="AD422" t="s">
        <v>2</v>
      </c>
      <c r="AE422">
        <v>23</v>
      </c>
      <c r="AF422">
        <v>3</v>
      </c>
      <c r="AH422" t="s">
        <v>4325</v>
      </c>
      <c r="AI422" t="s">
        <v>4324</v>
      </c>
      <c r="AJ422" t="s">
        <v>4323</v>
      </c>
      <c r="AK422" t="s">
        <v>4322</v>
      </c>
      <c r="AL422">
        <v>6</v>
      </c>
      <c r="AM422" s="5">
        <f t="shared" si="51"/>
        <v>0.2608695652173913</v>
      </c>
      <c r="AN422" s="4">
        <f t="shared" si="52"/>
        <v>3.9510725515697282E-4</v>
      </c>
      <c r="AO422" s="3"/>
      <c r="AP422">
        <v>0</v>
      </c>
      <c r="AR422" t="s">
        <v>1</v>
      </c>
      <c r="AT422" s="2" t="s">
        <v>0</v>
      </c>
      <c r="AU422" s="1">
        <f t="shared" si="53"/>
        <v>0.57991066406564318</v>
      </c>
      <c r="AV422" s="1">
        <f t="shared" si="54"/>
        <v>0.42551068162280148</v>
      </c>
      <c r="AW422" s="1">
        <f t="shared" si="55"/>
        <v>0.27111069917995984</v>
      </c>
    </row>
    <row r="423" spans="1:49" x14ac:dyDescent="0.2">
      <c r="A423">
        <v>421</v>
      </c>
      <c r="B423" t="s">
        <v>4321</v>
      </c>
      <c r="C423" t="s">
        <v>4320</v>
      </c>
      <c r="E423">
        <v>10545195</v>
      </c>
      <c r="F423" t="s">
        <v>4319</v>
      </c>
      <c r="G423" t="s">
        <v>6</v>
      </c>
      <c r="H423" t="s">
        <v>5</v>
      </c>
      <c r="I423" t="s">
        <v>4318</v>
      </c>
      <c r="J423">
        <v>60003892</v>
      </c>
      <c r="K423" t="s">
        <v>12</v>
      </c>
      <c r="L423" t="s">
        <v>11</v>
      </c>
      <c r="M423" t="s">
        <v>3</v>
      </c>
      <c r="N423">
        <v>4</v>
      </c>
      <c r="O423" t="s">
        <v>4317</v>
      </c>
      <c r="P423" t="s">
        <v>4316</v>
      </c>
      <c r="Q423" t="s">
        <v>4315</v>
      </c>
      <c r="R423" s="7">
        <v>36466</v>
      </c>
      <c r="S423" s="8">
        <f t="shared" si="48"/>
        <v>1999</v>
      </c>
      <c r="T423" s="8">
        <v>1999</v>
      </c>
      <c r="U423" s="8">
        <f t="shared" si="49"/>
        <v>23</v>
      </c>
      <c r="V423" s="7">
        <v>36466</v>
      </c>
      <c r="W423" t="s">
        <v>716</v>
      </c>
      <c r="X423" s="2">
        <v>1.43</v>
      </c>
      <c r="Y423" s="6">
        <f t="shared" si="50"/>
        <v>3.8173033287952803E-2</v>
      </c>
      <c r="AA423">
        <v>62960</v>
      </c>
      <c r="AB423">
        <v>16867</v>
      </c>
      <c r="AD423" t="s">
        <v>2</v>
      </c>
      <c r="AE423">
        <v>38</v>
      </c>
      <c r="AF423">
        <v>44</v>
      </c>
      <c r="AH423" t="s">
        <v>4314</v>
      </c>
      <c r="AI423" t="s">
        <v>4313</v>
      </c>
      <c r="AK423" t="s">
        <v>4312</v>
      </c>
      <c r="AL423">
        <v>8</v>
      </c>
      <c r="AM423" s="5">
        <f t="shared" si="51"/>
        <v>0.34782608695652173</v>
      </c>
      <c r="AN423" s="4">
        <f t="shared" si="52"/>
        <v>5.2680967354263046E-4</v>
      </c>
      <c r="AO423" s="3"/>
      <c r="AP423">
        <v>0</v>
      </c>
      <c r="AQ423" t="s">
        <v>1040</v>
      </c>
      <c r="AR423" t="s">
        <v>4311</v>
      </c>
      <c r="AS423" t="s">
        <v>1038</v>
      </c>
      <c r="AT423" s="2">
        <v>3.1619999999999999</v>
      </c>
      <c r="AU423" s="1">
        <f t="shared" si="53"/>
        <v>2.6879166203629752</v>
      </c>
      <c r="AV423" s="1">
        <f t="shared" si="54"/>
        <v>1.9349921480747716</v>
      </c>
      <c r="AW423" s="1">
        <f t="shared" si="55"/>
        <v>1.1820676757865682</v>
      </c>
    </row>
    <row r="424" spans="1:49" x14ac:dyDescent="0.2">
      <c r="A424">
        <v>422</v>
      </c>
      <c r="B424" t="s">
        <v>4310</v>
      </c>
      <c r="C424" t="s">
        <v>4309</v>
      </c>
      <c r="F424" t="s">
        <v>4308</v>
      </c>
      <c r="G424" t="s">
        <v>6</v>
      </c>
      <c r="H424" t="s">
        <v>5</v>
      </c>
      <c r="I424" t="s">
        <v>4307</v>
      </c>
      <c r="J424">
        <v>109474910</v>
      </c>
      <c r="K424" t="s">
        <v>4306</v>
      </c>
      <c r="L424" t="s">
        <v>4305</v>
      </c>
      <c r="M424" t="s">
        <v>127</v>
      </c>
      <c r="N424">
        <v>1</v>
      </c>
      <c r="O424" t="s">
        <v>4304</v>
      </c>
      <c r="P424">
        <v>6701853869</v>
      </c>
      <c r="Q424">
        <v>109474910</v>
      </c>
      <c r="R424" s="7">
        <v>36465</v>
      </c>
      <c r="S424" s="8">
        <f t="shared" si="48"/>
        <v>1999</v>
      </c>
      <c r="T424" s="8">
        <v>1999</v>
      </c>
      <c r="U424" s="8">
        <f t="shared" si="49"/>
        <v>23</v>
      </c>
      <c r="V424" s="7">
        <v>36465</v>
      </c>
      <c r="W424" t="s">
        <v>644</v>
      </c>
      <c r="X424" s="2">
        <v>0.318</v>
      </c>
      <c r="Y424" s="6">
        <f t="shared" si="50"/>
        <v>8.4888283815167786E-3</v>
      </c>
      <c r="AA424">
        <v>338443</v>
      </c>
      <c r="AB424">
        <v>27160</v>
      </c>
      <c r="AC424">
        <v>15739120</v>
      </c>
      <c r="AD424" t="s">
        <v>2</v>
      </c>
      <c r="AE424">
        <v>42</v>
      </c>
      <c r="AF424">
        <v>11</v>
      </c>
      <c r="AH424" t="s">
        <v>4303</v>
      </c>
      <c r="AI424" t="s">
        <v>4302</v>
      </c>
      <c r="AK424" t="s">
        <v>4301</v>
      </c>
      <c r="AL424">
        <v>0</v>
      </c>
      <c r="AM424" s="5">
        <f t="shared" si="51"/>
        <v>0</v>
      </c>
      <c r="AN424" s="4">
        <f t="shared" si="52"/>
        <v>0</v>
      </c>
      <c r="AO424" s="3"/>
      <c r="AP424">
        <v>0</v>
      </c>
      <c r="AR424" t="s">
        <v>1</v>
      </c>
      <c r="AT424" s="2">
        <v>0.77</v>
      </c>
      <c r="AU424" s="1">
        <f t="shared" si="53"/>
        <v>0.59421798670617454</v>
      </c>
      <c r="AV424" s="1">
        <f t="shared" si="54"/>
        <v>0.42444141907583893</v>
      </c>
      <c r="AW424" s="1">
        <f t="shared" si="55"/>
        <v>0.25466485144550338</v>
      </c>
    </row>
    <row r="425" spans="1:49" x14ac:dyDescent="0.2">
      <c r="A425">
        <v>423</v>
      </c>
      <c r="B425" t="s">
        <v>4300</v>
      </c>
      <c r="F425" t="s">
        <v>4299</v>
      </c>
      <c r="G425" t="s">
        <v>6</v>
      </c>
      <c r="H425" t="s">
        <v>5</v>
      </c>
      <c r="I425" t="s">
        <v>4298</v>
      </c>
      <c r="J425" t="s">
        <v>4293</v>
      </c>
      <c r="K425" t="s">
        <v>4297</v>
      </c>
      <c r="L425" t="s">
        <v>4296</v>
      </c>
      <c r="M425" t="s">
        <v>475</v>
      </c>
      <c r="N425">
        <v>2</v>
      </c>
      <c r="O425" t="s">
        <v>4295</v>
      </c>
      <c r="P425" t="s">
        <v>4294</v>
      </c>
      <c r="Q425" t="s">
        <v>4293</v>
      </c>
      <c r="R425" s="7">
        <v>36465</v>
      </c>
      <c r="S425" s="8">
        <f t="shared" si="48"/>
        <v>1999</v>
      </c>
      <c r="T425" s="8">
        <v>1999</v>
      </c>
      <c r="U425" s="8">
        <f t="shared" si="49"/>
        <v>23</v>
      </c>
      <c r="V425" s="7">
        <v>36465</v>
      </c>
      <c r="W425" t="s">
        <v>4292</v>
      </c>
      <c r="X425" s="2">
        <v>0.39900000000000002</v>
      </c>
      <c r="Y425" s="6">
        <f t="shared" si="50"/>
        <v>1.0651077120205014E-2</v>
      </c>
      <c r="AA425">
        <v>109525</v>
      </c>
      <c r="AB425">
        <v>13876</v>
      </c>
      <c r="AD425" t="s">
        <v>2</v>
      </c>
      <c r="AE425">
        <v>37</v>
      </c>
      <c r="AF425">
        <v>6</v>
      </c>
      <c r="AH425" t="s">
        <v>4291</v>
      </c>
      <c r="AI425" t="s">
        <v>4290</v>
      </c>
      <c r="AK425" t="s">
        <v>4289</v>
      </c>
      <c r="AL425">
        <v>1</v>
      </c>
      <c r="AM425" s="5">
        <f t="shared" si="51"/>
        <v>4.3478260869565216E-2</v>
      </c>
      <c r="AN425" s="4">
        <f t="shared" si="52"/>
        <v>6.5851209192828807E-5</v>
      </c>
      <c r="AO425" s="3"/>
      <c r="AP425">
        <v>0</v>
      </c>
      <c r="AR425" t="s">
        <v>1</v>
      </c>
      <c r="AT425" s="2">
        <v>0.41899999999999998</v>
      </c>
      <c r="AU425" s="1">
        <f t="shared" si="53"/>
        <v>0.74755093469013578</v>
      </c>
      <c r="AV425" s="1">
        <f t="shared" si="54"/>
        <v>0.53584641646989217</v>
      </c>
      <c r="AW425" s="1">
        <f t="shared" si="55"/>
        <v>0.32414189824964845</v>
      </c>
    </row>
    <row r="426" spans="1:49" x14ac:dyDescent="0.2">
      <c r="A426">
        <v>424</v>
      </c>
      <c r="B426" t="s">
        <v>4288</v>
      </c>
      <c r="C426" t="s">
        <v>4287</v>
      </c>
      <c r="D426" t="s">
        <v>4286</v>
      </c>
      <c r="F426" t="s">
        <v>4285</v>
      </c>
      <c r="G426" t="s">
        <v>6</v>
      </c>
      <c r="H426" t="s">
        <v>5</v>
      </c>
      <c r="I426" t="s">
        <v>4284</v>
      </c>
      <c r="J426">
        <v>100316346</v>
      </c>
      <c r="K426" t="s">
        <v>4283</v>
      </c>
      <c r="L426" t="s">
        <v>4282</v>
      </c>
      <c r="M426" t="s">
        <v>7</v>
      </c>
      <c r="N426">
        <v>2</v>
      </c>
      <c r="O426" t="s">
        <v>4281</v>
      </c>
      <c r="P426" t="s">
        <v>4280</v>
      </c>
      <c r="Q426" t="s">
        <v>4279</v>
      </c>
      <c r="R426" s="7">
        <v>36465</v>
      </c>
      <c r="S426" s="8">
        <f t="shared" si="48"/>
        <v>1999</v>
      </c>
      <c r="T426" s="8">
        <v>1999</v>
      </c>
      <c r="U426" s="8">
        <f t="shared" si="49"/>
        <v>23</v>
      </c>
      <c r="V426" s="7">
        <v>36465</v>
      </c>
      <c r="W426" t="s">
        <v>742</v>
      </c>
      <c r="X426" s="2">
        <v>1.718</v>
      </c>
      <c r="Y426" s="6">
        <f t="shared" si="50"/>
        <v>4.5861028803288753E-2</v>
      </c>
      <c r="AA426">
        <v>9651748</v>
      </c>
      <c r="AB426">
        <v>20384</v>
      </c>
      <c r="AD426" t="s">
        <v>2</v>
      </c>
      <c r="AE426">
        <v>29</v>
      </c>
      <c r="AF426">
        <v>11</v>
      </c>
      <c r="AH426" t="s">
        <v>4278</v>
      </c>
      <c r="AI426" t="s">
        <v>4277</v>
      </c>
      <c r="AJ426" t="s">
        <v>4276</v>
      </c>
      <c r="AK426" t="s">
        <v>4275</v>
      </c>
      <c r="AL426">
        <v>42</v>
      </c>
      <c r="AM426" s="5">
        <f t="shared" si="51"/>
        <v>1.826086956521739</v>
      </c>
      <c r="AN426" s="4">
        <f t="shared" si="52"/>
        <v>2.7657507860988097E-3</v>
      </c>
      <c r="AO426" s="3"/>
      <c r="AP426">
        <v>0</v>
      </c>
      <c r="AR426" t="s">
        <v>1</v>
      </c>
      <c r="AT426" s="2" t="s">
        <v>0</v>
      </c>
      <c r="AU426" s="1">
        <f t="shared" si="53"/>
        <v>3.2932445398131769</v>
      </c>
      <c r="AV426" s="1">
        <f t="shared" si="54"/>
        <v>2.4313389794693783</v>
      </c>
      <c r="AW426" s="1">
        <f t="shared" si="55"/>
        <v>1.5694334191255792</v>
      </c>
    </row>
    <row r="427" spans="1:49" x14ac:dyDescent="0.2">
      <c r="A427">
        <v>425</v>
      </c>
      <c r="B427" t="s">
        <v>4274</v>
      </c>
      <c r="F427" t="s">
        <v>4273</v>
      </c>
      <c r="G427" t="s">
        <v>6</v>
      </c>
      <c r="H427" t="s">
        <v>5</v>
      </c>
      <c r="I427" t="s">
        <v>4272</v>
      </c>
      <c r="N427">
        <v>1</v>
      </c>
      <c r="O427" t="s">
        <v>4271</v>
      </c>
      <c r="P427">
        <v>6602779325</v>
      </c>
      <c r="R427" s="7">
        <v>36465</v>
      </c>
      <c r="S427" s="8">
        <f t="shared" si="48"/>
        <v>1999</v>
      </c>
      <c r="T427" s="8">
        <v>1999</v>
      </c>
      <c r="U427" s="8">
        <f t="shared" si="49"/>
        <v>23</v>
      </c>
      <c r="V427" s="7">
        <v>36465</v>
      </c>
      <c r="W427" t="s">
        <v>4270</v>
      </c>
      <c r="X427" s="2" t="s">
        <v>0</v>
      </c>
      <c r="Y427" s="6" t="e">
        <f t="shared" si="50"/>
        <v>#VALUE!</v>
      </c>
      <c r="AA427">
        <v>134902</v>
      </c>
      <c r="AB427">
        <v>32898</v>
      </c>
      <c r="AD427" t="s">
        <v>2</v>
      </c>
      <c r="AE427">
        <v>71</v>
      </c>
      <c r="AF427">
        <v>874</v>
      </c>
      <c r="AI427" t="s">
        <v>4269</v>
      </c>
      <c r="AK427" t="s">
        <v>4268</v>
      </c>
      <c r="AL427">
        <v>0</v>
      </c>
      <c r="AM427" s="5">
        <f t="shared" si="51"/>
        <v>0</v>
      </c>
      <c r="AN427" s="4">
        <f t="shared" si="52"/>
        <v>0</v>
      </c>
      <c r="AO427" s="3"/>
      <c r="AP427">
        <v>0</v>
      </c>
      <c r="AR427" t="s">
        <v>1</v>
      </c>
      <c r="AT427" s="2" t="s">
        <v>0</v>
      </c>
      <c r="AU427" s="1" t="e">
        <f t="shared" si="53"/>
        <v>#VALUE!</v>
      </c>
      <c r="AV427" s="1" t="e">
        <f t="shared" si="54"/>
        <v>#VALUE!</v>
      </c>
      <c r="AW427" s="1" t="e">
        <f t="shared" si="55"/>
        <v>#VALUE!</v>
      </c>
    </row>
    <row r="428" spans="1:49" x14ac:dyDescent="0.2">
      <c r="A428">
        <v>426</v>
      </c>
      <c r="B428" t="s">
        <v>4267</v>
      </c>
      <c r="C428" t="s">
        <v>4266</v>
      </c>
      <c r="D428" t="s">
        <v>4265</v>
      </c>
      <c r="F428" t="s">
        <v>4264</v>
      </c>
      <c r="G428" t="s">
        <v>6</v>
      </c>
      <c r="H428" t="s">
        <v>5</v>
      </c>
      <c r="I428" t="s">
        <v>345</v>
      </c>
      <c r="J428">
        <v>60028876</v>
      </c>
      <c r="K428" t="s">
        <v>4263</v>
      </c>
      <c r="L428" t="s">
        <v>4262</v>
      </c>
      <c r="M428" t="s">
        <v>45</v>
      </c>
      <c r="N428">
        <v>3</v>
      </c>
      <c r="O428" t="s">
        <v>4261</v>
      </c>
      <c r="P428" t="s">
        <v>4260</v>
      </c>
      <c r="Q428" t="s">
        <v>4259</v>
      </c>
      <c r="R428" s="7">
        <v>36465</v>
      </c>
      <c r="S428" s="8">
        <f t="shared" si="48"/>
        <v>1999</v>
      </c>
      <c r="T428" s="8">
        <v>1999</v>
      </c>
      <c r="U428" s="8">
        <f t="shared" si="49"/>
        <v>23</v>
      </c>
      <c r="V428" s="7">
        <v>36465</v>
      </c>
      <c r="W428" t="s">
        <v>287</v>
      </c>
      <c r="X428" s="2">
        <v>0.54400000000000004</v>
      </c>
      <c r="Y428" s="6">
        <f t="shared" si="50"/>
        <v>1.4521769306745683E-2</v>
      </c>
      <c r="AA428">
        <v>406090</v>
      </c>
      <c r="AB428">
        <v>12347</v>
      </c>
      <c r="AD428" t="s">
        <v>2</v>
      </c>
      <c r="AE428">
        <v>355</v>
      </c>
      <c r="AH428" t="s">
        <v>4258</v>
      </c>
      <c r="AI428" t="s">
        <v>4257</v>
      </c>
      <c r="AK428" t="s">
        <v>4256</v>
      </c>
      <c r="AL428">
        <v>20</v>
      </c>
      <c r="AM428" s="5">
        <f t="shared" si="51"/>
        <v>0.86956521739130432</v>
      </c>
      <c r="AN428" s="4">
        <f t="shared" si="52"/>
        <v>1.317024183856576E-3</v>
      </c>
      <c r="AO428" s="3"/>
      <c r="AP428">
        <v>0</v>
      </c>
      <c r="AQ428" t="s">
        <v>3155</v>
      </c>
      <c r="AR428" t="s">
        <v>1</v>
      </c>
      <c r="AS428" t="s">
        <v>4255</v>
      </c>
      <c r="AT428" s="2">
        <v>2.1829999999999998</v>
      </c>
      <c r="AU428" s="1">
        <f t="shared" si="53"/>
        <v>1.0560345769878949</v>
      </c>
      <c r="AV428" s="1">
        <f t="shared" si="54"/>
        <v>0.79193967453011305</v>
      </c>
      <c r="AW428" s="1">
        <f t="shared" si="55"/>
        <v>0.52784477207233083</v>
      </c>
    </row>
    <row r="429" spans="1:49" x14ac:dyDescent="0.2">
      <c r="A429">
        <v>427</v>
      </c>
      <c r="B429" t="s">
        <v>4254</v>
      </c>
      <c r="C429" t="s">
        <v>4253</v>
      </c>
      <c r="D429" t="s">
        <v>4252</v>
      </c>
      <c r="F429" t="s">
        <v>4251</v>
      </c>
      <c r="G429" t="s">
        <v>6</v>
      </c>
      <c r="H429" t="s">
        <v>5</v>
      </c>
      <c r="I429" t="s">
        <v>4250</v>
      </c>
      <c r="J429">
        <v>60021311</v>
      </c>
      <c r="K429" t="s">
        <v>4249</v>
      </c>
      <c r="L429" t="s">
        <v>4248</v>
      </c>
      <c r="M429" t="s">
        <v>65</v>
      </c>
      <c r="N429">
        <v>2</v>
      </c>
      <c r="O429" t="s">
        <v>4247</v>
      </c>
      <c r="P429" t="s">
        <v>4246</v>
      </c>
      <c r="Q429" t="s">
        <v>4245</v>
      </c>
      <c r="R429" s="7">
        <v>36465</v>
      </c>
      <c r="S429" s="8">
        <f t="shared" si="48"/>
        <v>1999</v>
      </c>
      <c r="T429" s="8">
        <v>1999</v>
      </c>
      <c r="U429" s="8">
        <f t="shared" si="49"/>
        <v>23</v>
      </c>
      <c r="V429" s="7">
        <v>36465</v>
      </c>
      <c r="W429" t="s">
        <v>287</v>
      </c>
      <c r="X429" s="2">
        <v>0.54400000000000004</v>
      </c>
      <c r="Y429" s="6">
        <f t="shared" si="50"/>
        <v>1.4521769306745683E-2</v>
      </c>
      <c r="AA429">
        <v>406090</v>
      </c>
      <c r="AB429">
        <v>12347</v>
      </c>
      <c r="AD429" t="s">
        <v>2</v>
      </c>
      <c r="AE429">
        <v>355</v>
      </c>
      <c r="AH429" t="s">
        <v>4244</v>
      </c>
      <c r="AI429" t="s">
        <v>4243</v>
      </c>
      <c r="AK429" t="s">
        <v>4242</v>
      </c>
      <c r="AL429">
        <v>14</v>
      </c>
      <c r="AM429" s="5">
        <f t="shared" si="51"/>
        <v>0.60869565217391308</v>
      </c>
      <c r="AN429" s="4">
        <f t="shared" si="52"/>
        <v>9.2191692869960328E-4</v>
      </c>
      <c r="AO429" s="3"/>
      <c r="AP429">
        <v>0</v>
      </c>
      <c r="AQ429" t="s">
        <v>96</v>
      </c>
      <c r="AR429" t="s">
        <v>4241</v>
      </c>
      <c r="AS429" t="s">
        <v>95</v>
      </c>
      <c r="AT429" s="2">
        <v>2.1829999999999998</v>
      </c>
      <c r="AU429" s="1">
        <f t="shared" si="53"/>
        <v>1.0441813593331857</v>
      </c>
      <c r="AV429" s="1">
        <f t="shared" si="54"/>
        <v>0.77218431177226432</v>
      </c>
      <c r="AW429" s="1">
        <f t="shared" si="55"/>
        <v>0.50018726421134263</v>
      </c>
    </row>
    <row r="430" spans="1:49" x14ac:dyDescent="0.2">
      <c r="A430">
        <v>428</v>
      </c>
      <c r="B430" t="s">
        <v>4240</v>
      </c>
      <c r="C430" t="s">
        <v>4239</v>
      </c>
      <c r="F430" t="s">
        <v>4238</v>
      </c>
      <c r="G430" t="s">
        <v>6</v>
      </c>
      <c r="H430" t="s">
        <v>5</v>
      </c>
      <c r="I430" t="s">
        <v>364</v>
      </c>
      <c r="J430" t="s">
        <v>4233</v>
      </c>
      <c r="K430" t="s">
        <v>4237</v>
      </c>
      <c r="L430" t="s">
        <v>4236</v>
      </c>
      <c r="M430" t="s">
        <v>640</v>
      </c>
      <c r="N430">
        <v>2</v>
      </c>
      <c r="O430" t="s">
        <v>4235</v>
      </c>
      <c r="P430" t="s">
        <v>4234</v>
      </c>
      <c r="Q430" t="s">
        <v>4233</v>
      </c>
      <c r="R430" s="7">
        <v>36465</v>
      </c>
      <c r="S430" s="8">
        <f t="shared" si="48"/>
        <v>1999</v>
      </c>
      <c r="T430" s="8">
        <v>1999</v>
      </c>
      <c r="U430" s="8">
        <f t="shared" si="49"/>
        <v>23</v>
      </c>
      <c r="V430" s="7">
        <v>36465</v>
      </c>
      <c r="W430" t="s">
        <v>239</v>
      </c>
      <c r="X430" s="2">
        <v>2.9860000000000002</v>
      </c>
      <c r="Y430" s="6">
        <f t="shared" si="50"/>
        <v>7.9709564613865094E-2</v>
      </c>
      <c r="AA430">
        <v>7338716</v>
      </c>
      <c r="AB430">
        <v>18902</v>
      </c>
      <c r="AD430" t="s">
        <v>2</v>
      </c>
      <c r="AE430">
        <v>17</v>
      </c>
      <c r="AF430">
        <v>11</v>
      </c>
      <c r="AH430" t="s">
        <v>4232</v>
      </c>
      <c r="AI430" t="s">
        <v>4231</v>
      </c>
      <c r="AK430" t="s">
        <v>4230</v>
      </c>
      <c r="AL430">
        <v>117</v>
      </c>
      <c r="AM430" s="5">
        <f t="shared" si="51"/>
        <v>5.0869565217391308</v>
      </c>
      <c r="AN430" s="4">
        <f t="shared" si="52"/>
        <v>7.7045914755609702E-3</v>
      </c>
      <c r="AO430" s="3"/>
      <c r="AP430">
        <v>0</v>
      </c>
      <c r="AR430" t="s">
        <v>1</v>
      </c>
      <c r="AS430" t="s">
        <v>204</v>
      </c>
      <c r="AT430" s="2" t="s">
        <v>0</v>
      </c>
      <c r="AU430" s="1">
        <f t="shared" si="53"/>
        <v>5.8108072672373847</v>
      </c>
      <c r="AV430" s="1">
        <f t="shared" si="54"/>
        <v>4.3707078044713032</v>
      </c>
      <c r="AW430" s="1">
        <f t="shared" si="55"/>
        <v>2.9306083417052204</v>
      </c>
    </row>
    <row r="431" spans="1:49" x14ac:dyDescent="0.2">
      <c r="A431">
        <v>429</v>
      </c>
      <c r="B431" t="s">
        <v>4229</v>
      </c>
      <c r="C431" t="s">
        <v>4228</v>
      </c>
      <c r="F431" t="s">
        <v>4227</v>
      </c>
      <c r="G431" t="s">
        <v>6</v>
      </c>
      <c r="H431" t="s">
        <v>5</v>
      </c>
      <c r="I431" t="s">
        <v>4226</v>
      </c>
      <c r="J431">
        <v>60021378</v>
      </c>
      <c r="K431" t="s">
        <v>55</v>
      </c>
      <c r="L431" t="s">
        <v>54</v>
      </c>
      <c r="M431" t="s">
        <v>3</v>
      </c>
      <c r="N431">
        <v>4</v>
      </c>
      <c r="O431" t="s">
        <v>4225</v>
      </c>
      <c r="P431" t="s">
        <v>4224</v>
      </c>
      <c r="Q431" t="s">
        <v>4223</v>
      </c>
      <c r="R431" s="7">
        <v>36465</v>
      </c>
      <c r="S431" s="8">
        <f t="shared" si="48"/>
        <v>1999</v>
      </c>
      <c r="T431" s="8">
        <v>1999</v>
      </c>
      <c r="U431" s="8">
        <f t="shared" si="49"/>
        <v>23</v>
      </c>
      <c r="V431" s="7">
        <v>36465</v>
      </c>
      <c r="W431" t="s">
        <v>239</v>
      </c>
      <c r="X431" s="2">
        <v>2.9860000000000002</v>
      </c>
      <c r="Y431" s="6">
        <f t="shared" si="50"/>
        <v>7.9709564613865094E-2</v>
      </c>
      <c r="AA431">
        <v>7338716</v>
      </c>
      <c r="AB431">
        <v>18902</v>
      </c>
      <c r="AD431" t="s">
        <v>2</v>
      </c>
      <c r="AE431">
        <v>17</v>
      </c>
      <c r="AF431">
        <v>11</v>
      </c>
      <c r="AH431" t="s">
        <v>4222</v>
      </c>
      <c r="AI431" t="s">
        <v>4221</v>
      </c>
      <c r="AK431" t="s">
        <v>4220</v>
      </c>
      <c r="AL431">
        <v>925</v>
      </c>
      <c r="AM431" s="5">
        <f t="shared" si="51"/>
        <v>40.217391304347828</v>
      </c>
      <c r="AN431" s="4">
        <f t="shared" si="52"/>
        <v>6.0912368503366648E-2</v>
      </c>
      <c r="AO431" s="3"/>
      <c r="AP431">
        <v>0</v>
      </c>
      <c r="AR431" t="s">
        <v>1</v>
      </c>
      <c r="AT431" s="2" t="s">
        <v>0</v>
      </c>
      <c r="AU431" s="1">
        <f t="shared" si="53"/>
        <v>7.4070405780715554</v>
      </c>
      <c r="AV431" s="1">
        <f t="shared" si="54"/>
        <v>7.0310966558615879</v>
      </c>
      <c r="AW431" s="1">
        <f t="shared" si="55"/>
        <v>6.6551527336516179</v>
      </c>
    </row>
    <row r="432" spans="1:49" x14ac:dyDescent="0.2">
      <c r="A432">
        <v>430</v>
      </c>
      <c r="B432" t="s">
        <v>4219</v>
      </c>
      <c r="C432" t="s">
        <v>4218</v>
      </c>
      <c r="F432" t="s">
        <v>4217</v>
      </c>
      <c r="G432" t="s">
        <v>6</v>
      </c>
      <c r="H432" t="s">
        <v>5</v>
      </c>
      <c r="I432" t="s">
        <v>4216</v>
      </c>
      <c r="J432" t="s">
        <v>4215</v>
      </c>
      <c r="K432" t="s">
        <v>4214</v>
      </c>
      <c r="L432" t="s">
        <v>4213</v>
      </c>
      <c r="M432" t="s">
        <v>3342</v>
      </c>
      <c r="N432">
        <v>3</v>
      </c>
      <c r="O432" t="s">
        <v>4212</v>
      </c>
      <c r="P432" t="s">
        <v>4211</v>
      </c>
      <c r="Q432" t="s">
        <v>4210</v>
      </c>
      <c r="R432" s="7">
        <v>36465</v>
      </c>
      <c r="S432" s="8">
        <f t="shared" si="48"/>
        <v>1999</v>
      </c>
      <c r="T432" s="8">
        <v>1999</v>
      </c>
      <c r="U432" s="8">
        <f t="shared" si="49"/>
        <v>23</v>
      </c>
      <c r="V432" s="7">
        <v>36465</v>
      </c>
      <c r="W432" t="s">
        <v>239</v>
      </c>
      <c r="X432" s="2">
        <v>2.9860000000000002</v>
      </c>
      <c r="Y432" s="6">
        <f t="shared" si="50"/>
        <v>7.9709564613865094E-2</v>
      </c>
      <c r="AA432">
        <v>7338716</v>
      </c>
      <c r="AB432">
        <v>18902</v>
      </c>
      <c r="AD432" t="s">
        <v>2</v>
      </c>
      <c r="AE432">
        <v>17</v>
      </c>
      <c r="AF432">
        <v>11</v>
      </c>
      <c r="AH432" t="s">
        <v>4209</v>
      </c>
      <c r="AI432" t="s">
        <v>4208</v>
      </c>
      <c r="AK432" t="s">
        <v>4207</v>
      </c>
      <c r="AL432">
        <v>7</v>
      </c>
      <c r="AM432" s="5">
        <f t="shared" si="51"/>
        <v>0.30434782608695654</v>
      </c>
      <c r="AN432" s="4">
        <f t="shared" si="52"/>
        <v>4.6095846434980164E-4</v>
      </c>
      <c r="AO432" s="3"/>
      <c r="AP432">
        <v>0</v>
      </c>
      <c r="AR432" t="s">
        <v>1</v>
      </c>
      <c r="AS432" t="s">
        <v>504</v>
      </c>
      <c r="AT432" s="2" t="s">
        <v>0</v>
      </c>
      <c r="AU432" s="1">
        <f t="shared" si="53"/>
        <v>5.5934982769010499</v>
      </c>
      <c r="AV432" s="1">
        <f t="shared" si="54"/>
        <v>4.0085261539107453</v>
      </c>
      <c r="AW432" s="1">
        <f t="shared" si="55"/>
        <v>2.4235540309204389</v>
      </c>
    </row>
    <row r="433" spans="1:49" x14ac:dyDescent="0.2">
      <c r="A433">
        <v>431</v>
      </c>
      <c r="B433" t="s">
        <v>4206</v>
      </c>
      <c r="C433" t="s">
        <v>4205</v>
      </c>
      <c r="F433" t="s">
        <v>4204</v>
      </c>
      <c r="G433" t="s">
        <v>6</v>
      </c>
      <c r="H433" t="s">
        <v>5</v>
      </c>
      <c r="I433" t="s">
        <v>4203</v>
      </c>
      <c r="J433">
        <v>60027272</v>
      </c>
      <c r="K433" t="s">
        <v>4202</v>
      </c>
      <c r="L433" t="s">
        <v>279</v>
      </c>
      <c r="M433" t="s">
        <v>58</v>
      </c>
      <c r="N433">
        <v>3</v>
      </c>
      <c r="O433" t="s">
        <v>4201</v>
      </c>
      <c r="P433" t="s">
        <v>4200</v>
      </c>
      <c r="Q433" t="s">
        <v>4199</v>
      </c>
      <c r="R433" s="7">
        <v>36465</v>
      </c>
      <c r="S433" s="8">
        <f t="shared" si="48"/>
        <v>1999</v>
      </c>
      <c r="T433" s="8">
        <v>1999</v>
      </c>
      <c r="U433" s="8">
        <f t="shared" si="49"/>
        <v>23</v>
      </c>
      <c r="V433" s="7">
        <v>36465</v>
      </c>
      <c r="W433" t="s">
        <v>239</v>
      </c>
      <c r="X433" s="2">
        <v>2.9860000000000002</v>
      </c>
      <c r="Y433" s="6">
        <f t="shared" si="50"/>
        <v>7.9709564613865094E-2</v>
      </c>
      <c r="AA433">
        <v>7338716</v>
      </c>
      <c r="AB433">
        <v>18902</v>
      </c>
      <c r="AD433" t="s">
        <v>2</v>
      </c>
      <c r="AE433">
        <v>17</v>
      </c>
      <c r="AF433">
        <v>11</v>
      </c>
      <c r="AH433" t="s">
        <v>4198</v>
      </c>
      <c r="AI433" t="s">
        <v>4197</v>
      </c>
      <c r="AK433" t="s">
        <v>4196</v>
      </c>
      <c r="AL433">
        <v>9</v>
      </c>
      <c r="AM433" s="5">
        <f t="shared" si="51"/>
        <v>0.39130434782608697</v>
      </c>
      <c r="AN433" s="4">
        <f t="shared" si="52"/>
        <v>5.9266088273545923E-4</v>
      </c>
      <c r="AO433" s="3"/>
      <c r="AP433">
        <v>0</v>
      </c>
      <c r="AR433" t="s">
        <v>1</v>
      </c>
      <c r="AT433" s="2" t="s">
        <v>0</v>
      </c>
      <c r="AU433" s="1">
        <f t="shared" si="53"/>
        <v>5.5974493494526198</v>
      </c>
      <c r="AV433" s="1">
        <f t="shared" si="54"/>
        <v>4.0151112748300282</v>
      </c>
      <c r="AW433" s="1">
        <f t="shared" si="55"/>
        <v>2.4327732002074347</v>
      </c>
    </row>
    <row r="434" spans="1:49" x14ac:dyDescent="0.2">
      <c r="A434">
        <v>432</v>
      </c>
      <c r="B434" t="s">
        <v>4195</v>
      </c>
      <c r="C434" t="s">
        <v>4194</v>
      </c>
      <c r="F434" t="s">
        <v>4193</v>
      </c>
      <c r="G434" t="s">
        <v>6</v>
      </c>
      <c r="H434" t="s">
        <v>5</v>
      </c>
      <c r="I434" t="s">
        <v>513</v>
      </c>
      <c r="J434" t="s">
        <v>512</v>
      </c>
      <c r="K434" t="s">
        <v>511</v>
      </c>
      <c r="L434" t="s">
        <v>510</v>
      </c>
      <c r="M434" t="s">
        <v>57</v>
      </c>
      <c r="N434">
        <v>8</v>
      </c>
      <c r="O434" t="s">
        <v>4192</v>
      </c>
      <c r="P434" t="s">
        <v>509</v>
      </c>
      <c r="Q434" t="s">
        <v>508</v>
      </c>
      <c r="R434" s="7">
        <v>36465</v>
      </c>
      <c r="S434" s="8">
        <f t="shared" si="48"/>
        <v>1999</v>
      </c>
      <c r="T434" s="8">
        <v>1999</v>
      </c>
      <c r="U434" s="8">
        <f t="shared" si="49"/>
        <v>23</v>
      </c>
      <c r="V434" s="7">
        <v>36465</v>
      </c>
      <c r="W434" t="s">
        <v>677</v>
      </c>
      <c r="X434" s="2">
        <v>0.9</v>
      </c>
      <c r="Y434" s="6">
        <f t="shared" si="50"/>
        <v>2.4024985985424845E-2</v>
      </c>
      <c r="AA434">
        <v>9630252</v>
      </c>
      <c r="AB434">
        <v>29614</v>
      </c>
      <c r="AD434" t="s">
        <v>2</v>
      </c>
      <c r="AE434">
        <v>8</v>
      </c>
      <c r="AF434">
        <v>4</v>
      </c>
      <c r="AH434" t="s">
        <v>4191</v>
      </c>
      <c r="AI434" t="s">
        <v>4190</v>
      </c>
      <c r="AK434" t="s">
        <v>4189</v>
      </c>
      <c r="AL434">
        <v>20</v>
      </c>
      <c r="AM434" s="5">
        <f t="shared" si="51"/>
        <v>0.86956521739130432</v>
      </c>
      <c r="AN434" s="4">
        <f t="shared" si="52"/>
        <v>1.317024183856576E-3</v>
      </c>
      <c r="AO434" s="3"/>
      <c r="AP434">
        <v>0</v>
      </c>
      <c r="AR434" t="s">
        <v>1</v>
      </c>
      <c r="AT434" s="2" t="s">
        <v>0</v>
      </c>
      <c r="AU434" s="1">
        <f t="shared" si="53"/>
        <v>1.7212597444954365</v>
      </c>
      <c r="AV434" s="1">
        <f t="shared" si="54"/>
        <v>1.267100508464071</v>
      </c>
      <c r="AW434" s="1">
        <f t="shared" si="55"/>
        <v>0.81294127243270553</v>
      </c>
    </row>
    <row r="435" spans="1:49" x14ac:dyDescent="0.2">
      <c r="A435">
        <v>433</v>
      </c>
      <c r="B435" t="s">
        <v>4188</v>
      </c>
      <c r="C435" t="s">
        <v>4187</v>
      </c>
      <c r="F435" t="s">
        <v>4186</v>
      </c>
      <c r="G435" t="s">
        <v>6</v>
      </c>
      <c r="H435" t="s">
        <v>5</v>
      </c>
      <c r="I435" t="s">
        <v>4185</v>
      </c>
      <c r="N435">
        <v>4</v>
      </c>
      <c r="O435" t="s">
        <v>4184</v>
      </c>
      <c r="P435" t="s">
        <v>4183</v>
      </c>
      <c r="Q435" t="s">
        <v>112</v>
      </c>
      <c r="R435" s="7">
        <v>36465</v>
      </c>
      <c r="S435" s="8">
        <f t="shared" si="48"/>
        <v>1999</v>
      </c>
      <c r="T435" s="8">
        <v>1999</v>
      </c>
      <c r="U435" s="8">
        <f t="shared" si="49"/>
        <v>23</v>
      </c>
      <c r="V435" s="7">
        <v>36465</v>
      </c>
      <c r="W435" t="s">
        <v>4182</v>
      </c>
      <c r="X435" s="2">
        <v>2.823</v>
      </c>
      <c r="Y435" s="6">
        <f t="shared" si="50"/>
        <v>7.5358372707615917E-2</v>
      </c>
      <c r="AA435">
        <v>1636804</v>
      </c>
      <c r="AB435">
        <v>17249</v>
      </c>
      <c r="AD435" t="s">
        <v>2</v>
      </c>
      <c r="AE435">
        <v>37</v>
      </c>
      <c r="AF435">
        <v>11</v>
      </c>
      <c r="AH435" t="s">
        <v>4181</v>
      </c>
      <c r="AI435" t="s">
        <v>4180</v>
      </c>
      <c r="AK435" t="s">
        <v>4179</v>
      </c>
      <c r="AL435">
        <v>58</v>
      </c>
      <c r="AM435" s="5">
        <f t="shared" si="51"/>
        <v>2.5217391304347827</v>
      </c>
      <c r="AN435" s="4">
        <f t="shared" si="52"/>
        <v>3.8193701331840709E-3</v>
      </c>
      <c r="AO435" s="3"/>
      <c r="AP435">
        <v>0</v>
      </c>
      <c r="AR435" t="s">
        <v>1</v>
      </c>
      <c r="AT435" s="2">
        <v>9.6189999999999998</v>
      </c>
      <c r="AU435" s="1">
        <f t="shared" si="53"/>
        <v>5.389667193528636</v>
      </c>
      <c r="AV435" s="1">
        <f t="shared" si="54"/>
        <v>3.9588871420399996</v>
      </c>
      <c r="AW435" s="1">
        <f t="shared" si="55"/>
        <v>2.5281070905513623</v>
      </c>
    </row>
    <row r="436" spans="1:49" x14ac:dyDescent="0.2">
      <c r="A436">
        <v>434</v>
      </c>
      <c r="B436" t="s">
        <v>4178</v>
      </c>
      <c r="C436" t="s">
        <v>4177</v>
      </c>
      <c r="F436" t="s">
        <v>4176</v>
      </c>
      <c r="G436" t="s">
        <v>6</v>
      </c>
      <c r="H436" t="s">
        <v>5</v>
      </c>
      <c r="I436" t="s">
        <v>4175</v>
      </c>
      <c r="J436">
        <v>60009037</v>
      </c>
      <c r="K436" t="s">
        <v>274</v>
      </c>
      <c r="L436" t="s">
        <v>107</v>
      </c>
      <c r="M436" t="s">
        <v>3</v>
      </c>
      <c r="N436">
        <v>1</v>
      </c>
      <c r="O436" t="s">
        <v>4174</v>
      </c>
      <c r="P436">
        <v>7202654722</v>
      </c>
      <c r="Q436">
        <v>60009037</v>
      </c>
      <c r="R436" s="7">
        <v>36465</v>
      </c>
      <c r="S436" s="8">
        <f t="shared" si="48"/>
        <v>1999</v>
      </c>
      <c r="T436" s="8">
        <v>1999</v>
      </c>
      <c r="U436" s="8">
        <f t="shared" si="49"/>
        <v>23</v>
      </c>
      <c r="V436" s="7">
        <v>36465</v>
      </c>
      <c r="W436" t="s">
        <v>740</v>
      </c>
      <c r="X436" s="2">
        <v>1.3460000000000001</v>
      </c>
      <c r="Y436" s="6">
        <f t="shared" si="50"/>
        <v>3.593070126264649E-2</v>
      </c>
      <c r="AA436">
        <v>7338724</v>
      </c>
      <c r="AB436">
        <v>12178</v>
      </c>
      <c r="AD436" t="s">
        <v>2</v>
      </c>
      <c r="AE436">
        <v>17</v>
      </c>
      <c r="AF436">
        <v>11</v>
      </c>
      <c r="AH436" t="s">
        <v>4173</v>
      </c>
      <c r="AI436" t="s">
        <v>4172</v>
      </c>
      <c r="AK436" t="s">
        <v>4171</v>
      </c>
      <c r="AL436">
        <v>36</v>
      </c>
      <c r="AM436" s="5">
        <f t="shared" si="51"/>
        <v>1.5652173913043479</v>
      </c>
      <c r="AN436" s="4">
        <f t="shared" si="52"/>
        <v>2.3706435309418369E-3</v>
      </c>
      <c r="AO436" s="3"/>
      <c r="AP436">
        <v>0</v>
      </c>
      <c r="AQ436" t="s">
        <v>171</v>
      </c>
      <c r="AR436" t="s">
        <v>1</v>
      </c>
      <c r="AS436" t="s">
        <v>170</v>
      </c>
      <c r="AT436" s="2">
        <v>4.1420000000000003</v>
      </c>
      <c r="AU436" s="1">
        <f t="shared" si="53"/>
        <v>2.586268394313509</v>
      </c>
      <c r="AV436" s="1">
        <f t="shared" si="54"/>
        <v>1.9150672396794164</v>
      </c>
      <c r="AW436" s="1">
        <f t="shared" si="55"/>
        <v>1.2438660850453234</v>
      </c>
    </row>
    <row r="437" spans="1:49" x14ac:dyDescent="0.2">
      <c r="A437">
        <v>435</v>
      </c>
      <c r="B437" t="s">
        <v>4170</v>
      </c>
      <c r="C437" t="s">
        <v>4169</v>
      </c>
      <c r="F437" t="s">
        <v>4168</v>
      </c>
      <c r="G437" t="s">
        <v>6</v>
      </c>
      <c r="H437" t="s">
        <v>5</v>
      </c>
      <c r="I437" t="s">
        <v>4167</v>
      </c>
      <c r="J437">
        <v>60016074</v>
      </c>
      <c r="K437" t="s">
        <v>266</v>
      </c>
      <c r="L437" t="s">
        <v>265</v>
      </c>
      <c r="M437" t="s">
        <v>7</v>
      </c>
      <c r="N437">
        <v>3</v>
      </c>
      <c r="O437" t="s">
        <v>4166</v>
      </c>
      <c r="P437" t="s">
        <v>4165</v>
      </c>
      <c r="Q437" t="s">
        <v>264</v>
      </c>
      <c r="R437" s="7">
        <v>36465</v>
      </c>
      <c r="S437" s="8">
        <f t="shared" si="48"/>
        <v>1999</v>
      </c>
      <c r="T437" s="8">
        <v>1999</v>
      </c>
      <c r="U437" s="8">
        <f t="shared" si="49"/>
        <v>23</v>
      </c>
      <c r="V437" s="7">
        <v>36465</v>
      </c>
      <c r="W437" t="s">
        <v>4164</v>
      </c>
      <c r="X437" s="2">
        <v>0.13900000000000001</v>
      </c>
      <c r="Y437" s="6">
        <f t="shared" si="50"/>
        <v>3.7105256133045036E-3</v>
      </c>
      <c r="AA437" t="s">
        <v>4163</v>
      </c>
      <c r="AB437">
        <v>24891</v>
      </c>
      <c r="AD437" t="s">
        <v>2</v>
      </c>
      <c r="AE437">
        <v>82</v>
      </c>
      <c r="AF437">
        <v>11</v>
      </c>
      <c r="AH437" t="s">
        <v>4162</v>
      </c>
      <c r="AI437" t="s">
        <v>4161</v>
      </c>
      <c r="AK437" t="s">
        <v>4160</v>
      </c>
      <c r="AL437">
        <v>1</v>
      </c>
      <c r="AM437" s="5">
        <f t="shared" si="51"/>
        <v>4.3478260869565216E-2</v>
      </c>
      <c r="AN437" s="4">
        <f t="shared" si="52"/>
        <v>6.5851209192828807E-5</v>
      </c>
      <c r="AO437" s="3"/>
      <c r="AP437">
        <v>0</v>
      </c>
      <c r="AR437" t="s">
        <v>1</v>
      </c>
      <c r="AT437" s="2" t="s">
        <v>0</v>
      </c>
      <c r="AU437" s="1">
        <f t="shared" si="53"/>
        <v>0.26171232920710008</v>
      </c>
      <c r="AV437" s="1">
        <f t="shared" si="54"/>
        <v>0.18881884112486663</v>
      </c>
      <c r="AW437" s="1">
        <f t="shared" si="55"/>
        <v>0.11592535304263311</v>
      </c>
    </row>
    <row r="438" spans="1:49" x14ac:dyDescent="0.2">
      <c r="A438">
        <v>436</v>
      </c>
      <c r="B438" t="s">
        <v>4159</v>
      </c>
      <c r="C438" t="s">
        <v>4158</v>
      </c>
      <c r="F438" t="s">
        <v>4157</v>
      </c>
      <c r="G438" t="s">
        <v>6</v>
      </c>
      <c r="H438" t="s">
        <v>5</v>
      </c>
      <c r="I438" t="s">
        <v>4156</v>
      </c>
      <c r="J438" t="s">
        <v>4155</v>
      </c>
      <c r="K438" t="s">
        <v>4154</v>
      </c>
      <c r="L438" t="s">
        <v>676</v>
      </c>
      <c r="M438" t="s">
        <v>180</v>
      </c>
      <c r="N438">
        <v>3</v>
      </c>
      <c r="O438" t="s">
        <v>4153</v>
      </c>
      <c r="P438" t="s">
        <v>4152</v>
      </c>
      <c r="Q438" t="s">
        <v>4151</v>
      </c>
      <c r="R438" s="7">
        <v>36465</v>
      </c>
      <c r="S438" s="8">
        <f t="shared" si="48"/>
        <v>1999</v>
      </c>
      <c r="T438" s="8">
        <v>1999</v>
      </c>
      <c r="U438" s="8">
        <f t="shared" si="49"/>
        <v>23</v>
      </c>
      <c r="V438" s="7">
        <v>36465</v>
      </c>
      <c r="W438" t="s">
        <v>677</v>
      </c>
      <c r="X438" s="2">
        <v>0.9</v>
      </c>
      <c r="Y438" s="6">
        <f t="shared" si="50"/>
        <v>2.4024985985424845E-2</v>
      </c>
      <c r="AA438">
        <v>9630252</v>
      </c>
      <c r="AB438">
        <v>29614</v>
      </c>
      <c r="AD438" t="s">
        <v>2</v>
      </c>
      <c r="AE438">
        <v>8</v>
      </c>
      <c r="AF438">
        <v>4</v>
      </c>
      <c r="AH438" t="s">
        <v>4150</v>
      </c>
      <c r="AI438" t="s">
        <v>4149</v>
      </c>
      <c r="AK438" t="s">
        <v>4148</v>
      </c>
      <c r="AL438">
        <v>20</v>
      </c>
      <c r="AM438" s="5">
        <f t="shared" si="51"/>
        <v>0.86956521739130432</v>
      </c>
      <c r="AN438" s="4">
        <f t="shared" si="52"/>
        <v>1.317024183856576E-3</v>
      </c>
      <c r="AO438" s="3"/>
      <c r="AP438">
        <v>0</v>
      </c>
      <c r="AR438" t="s">
        <v>1</v>
      </c>
      <c r="AT438" s="2" t="s">
        <v>0</v>
      </c>
      <c r="AU438" s="1">
        <f t="shared" si="53"/>
        <v>1.7212597444954365</v>
      </c>
      <c r="AV438" s="1">
        <f t="shared" si="54"/>
        <v>1.267100508464071</v>
      </c>
      <c r="AW438" s="1">
        <f t="shared" si="55"/>
        <v>0.81294127243270553</v>
      </c>
    </row>
    <row r="439" spans="1:49" x14ac:dyDescent="0.2">
      <c r="A439">
        <v>437</v>
      </c>
      <c r="B439" t="s">
        <v>4147</v>
      </c>
      <c r="C439" t="s">
        <v>4146</v>
      </c>
      <c r="F439" t="s">
        <v>4145</v>
      </c>
      <c r="G439" t="s">
        <v>6</v>
      </c>
      <c r="H439" t="s">
        <v>5</v>
      </c>
      <c r="I439" t="s">
        <v>4144</v>
      </c>
      <c r="J439">
        <v>60027090</v>
      </c>
      <c r="K439" t="s">
        <v>4143</v>
      </c>
      <c r="L439" t="s">
        <v>4142</v>
      </c>
      <c r="M439" t="s">
        <v>3</v>
      </c>
      <c r="N439">
        <v>2</v>
      </c>
      <c r="O439" t="s">
        <v>4141</v>
      </c>
      <c r="P439" t="s">
        <v>4140</v>
      </c>
      <c r="Q439" t="s">
        <v>4139</v>
      </c>
      <c r="R439" s="7">
        <v>36465</v>
      </c>
      <c r="S439" s="8">
        <f t="shared" si="48"/>
        <v>1999</v>
      </c>
      <c r="T439" s="8">
        <v>1999</v>
      </c>
      <c r="U439" s="8">
        <f t="shared" si="49"/>
        <v>23</v>
      </c>
      <c r="V439" s="7">
        <v>36465</v>
      </c>
      <c r="W439" t="s">
        <v>239</v>
      </c>
      <c r="X439" s="2">
        <v>2.9860000000000002</v>
      </c>
      <c r="Y439" s="6">
        <f t="shared" si="50"/>
        <v>7.9709564613865094E-2</v>
      </c>
      <c r="AA439">
        <v>7338716</v>
      </c>
      <c r="AB439">
        <v>18902</v>
      </c>
      <c r="AD439" t="s">
        <v>2</v>
      </c>
      <c r="AE439">
        <v>17</v>
      </c>
      <c r="AF439">
        <v>11</v>
      </c>
      <c r="AH439" t="s">
        <v>4138</v>
      </c>
      <c r="AI439" t="s">
        <v>4137</v>
      </c>
      <c r="AK439" t="s">
        <v>4136</v>
      </c>
      <c r="AL439">
        <v>276</v>
      </c>
      <c r="AM439" s="5">
        <f t="shared" si="51"/>
        <v>12</v>
      </c>
      <c r="AN439" s="4">
        <f t="shared" si="52"/>
        <v>1.817493373722075E-2</v>
      </c>
      <c r="AO439" s="3"/>
      <c r="AP439">
        <v>0</v>
      </c>
      <c r="AR439" t="s">
        <v>1</v>
      </c>
      <c r="AT439" s="2" t="s">
        <v>0</v>
      </c>
      <c r="AU439" s="1">
        <f t="shared" si="53"/>
        <v>6.124917535087179</v>
      </c>
      <c r="AV439" s="1">
        <f t="shared" si="54"/>
        <v>4.8942249175542925</v>
      </c>
      <c r="AW439" s="1">
        <f t="shared" si="55"/>
        <v>3.6635323000214051</v>
      </c>
    </row>
    <row r="440" spans="1:49" x14ac:dyDescent="0.2">
      <c r="A440">
        <v>438</v>
      </c>
      <c r="B440" t="s">
        <v>4135</v>
      </c>
      <c r="C440" t="s">
        <v>4134</v>
      </c>
      <c r="D440" t="s">
        <v>4133</v>
      </c>
      <c r="F440" t="s">
        <v>4132</v>
      </c>
      <c r="G440" t="s">
        <v>6</v>
      </c>
      <c r="H440" t="s">
        <v>5</v>
      </c>
      <c r="I440" t="s">
        <v>31</v>
      </c>
      <c r="J440" t="s">
        <v>4131</v>
      </c>
      <c r="K440" t="s">
        <v>4130</v>
      </c>
      <c r="L440" t="s">
        <v>4129</v>
      </c>
      <c r="M440" t="s">
        <v>120</v>
      </c>
      <c r="N440">
        <v>3</v>
      </c>
      <c r="O440" t="s">
        <v>4128</v>
      </c>
      <c r="P440" t="s">
        <v>4127</v>
      </c>
      <c r="Q440" t="s">
        <v>4126</v>
      </c>
      <c r="R440" s="7">
        <v>36465</v>
      </c>
      <c r="S440" s="8">
        <f t="shared" si="48"/>
        <v>1999</v>
      </c>
      <c r="T440" s="8">
        <v>1999</v>
      </c>
      <c r="U440" s="8">
        <f t="shared" si="49"/>
        <v>23</v>
      </c>
      <c r="V440" s="7">
        <v>36465</v>
      </c>
      <c r="W440" t="s">
        <v>89</v>
      </c>
      <c r="X440" s="2">
        <v>1.365</v>
      </c>
      <c r="Y440" s="6">
        <f t="shared" si="50"/>
        <v>3.6437895411227675E-2</v>
      </c>
      <c r="AA440">
        <v>189545</v>
      </c>
      <c r="AB440">
        <v>17393</v>
      </c>
      <c r="AD440" t="s">
        <v>2</v>
      </c>
      <c r="AE440">
        <v>48</v>
      </c>
      <c r="AF440">
        <v>6</v>
      </c>
      <c r="AH440" t="s">
        <v>4125</v>
      </c>
      <c r="AI440" t="s">
        <v>4124</v>
      </c>
      <c r="AJ440" t="s">
        <v>4123</v>
      </c>
      <c r="AK440" t="s">
        <v>4122</v>
      </c>
      <c r="AL440">
        <v>9</v>
      </c>
      <c r="AM440" s="5">
        <f t="shared" si="51"/>
        <v>0.39130434782608697</v>
      </c>
      <c r="AN440" s="4">
        <f t="shared" si="52"/>
        <v>5.9266088273545923E-4</v>
      </c>
      <c r="AO440" s="3"/>
      <c r="AP440">
        <v>0</v>
      </c>
      <c r="AR440" t="s">
        <v>1</v>
      </c>
      <c r="AT440" s="2" t="s">
        <v>0</v>
      </c>
      <c r="AU440" s="1">
        <f t="shared" si="53"/>
        <v>2.5684325052680008</v>
      </c>
      <c r="AV440" s="1">
        <f t="shared" si="54"/>
        <v>1.8515278146981566</v>
      </c>
      <c r="AW440" s="1">
        <f t="shared" si="55"/>
        <v>1.1346231241283125</v>
      </c>
    </row>
    <row r="441" spans="1:49" x14ac:dyDescent="0.2">
      <c r="A441">
        <v>439</v>
      </c>
      <c r="B441" t="s">
        <v>4121</v>
      </c>
      <c r="F441" t="s">
        <v>4120</v>
      </c>
      <c r="G441" t="s">
        <v>6</v>
      </c>
      <c r="H441" t="s">
        <v>5</v>
      </c>
      <c r="I441" t="s">
        <v>4119</v>
      </c>
      <c r="J441" t="s">
        <v>4118</v>
      </c>
      <c r="K441" t="s">
        <v>4117</v>
      </c>
      <c r="L441" t="s">
        <v>4116</v>
      </c>
      <c r="M441" t="s">
        <v>475</v>
      </c>
      <c r="N441">
        <v>4</v>
      </c>
      <c r="O441" t="s">
        <v>4115</v>
      </c>
      <c r="P441" t="s">
        <v>4114</v>
      </c>
      <c r="Q441" t="s">
        <v>4113</v>
      </c>
      <c r="R441" s="7">
        <v>36465</v>
      </c>
      <c r="S441" s="8">
        <f t="shared" si="48"/>
        <v>1999</v>
      </c>
      <c r="T441" s="8">
        <v>1999</v>
      </c>
      <c r="U441" s="8">
        <f t="shared" si="49"/>
        <v>23</v>
      </c>
      <c r="V441" s="7">
        <v>36465</v>
      </c>
      <c r="W441" t="s">
        <v>4112</v>
      </c>
      <c r="X441" s="2">
        <v>0.499</v>
      </c>
      <c r="Y441" s="6">
        <f t="shared" si="50"/>
        <v>1.332052000747444E-2</v>
      </c>
      <c r="AA441">
        <v>10637737</v>
      </c>
      <c r="AB441">
        <v>26758</v>
      </c>
      <c r="AD441" t="s">
        <v>2</v>
      </c>
      <c r="AE441">
        <v>25</v>
      </c>
      <c r="AF441">
        <v>11</v>
      </c>
      <c r="AH441" t="s">
        <v>4111</v>
      </c>
      <c r="AI441" t="s">
        <v>4110</v>
      </c>
      <c r="AK441" t="s">
        <v>4109</v>
      </c>
      <c r="AL441">
        <v>1</v>
      </c>
      <c r="AM441" s="5">
        <f t="shared" si="51"/>
        <v>4.3478260869565216E-2</v>
      </c>
      <c r="AN441" s="4">
        <f t="shared" si="52"/>
        <v>6.5851209192828807E-5</v>
      </c>
      <c r="AO441" s="3"/>
      <c r="AP441">
        <v>0</v>
      </c>
      <c r="AR441" t="s">
        <v>1</v>
      </c>
      <c r="AT441" s="2" t="s">
        <v>0</v>
      </c>
      <c r="AU441" s="1">
        <f t="shared" si="53"/>
        <v>0.93441193679899559</v>
      </c>
      <c r="AV441" s="1">
        <f t="shared" si="54"/>
        <v>0.66931856083336339</v>
      </c>
      <c r="AW441" s="1">
        <f t="shared" si="55"/>
        <v>0.40422518486773118</v>
      </c>
    </row>
    <row r="442" spans="1:49" x14ac:dyDescent="0.2">
      <c r="A442">
        <v>440</v>
      </c>
      <c r="B442" t="s">
        <v>4108</v>
      </c>
      <c r="F442" t="s">
        <v>4107</v>
      </c>
      <c r="G442" t="s">
        <v>6</v>
      </c>
      <c r="H442" t="s">
        <v>5</v>
      </c>
      <c r="I442" t="s">
        <v>4106</v>
      </c>
      <c r="J442">
        <v>60110439</v>
      </c>
      <c r="K442" t="s">
        <v>4105</v>
      </c>
      <c r="L442" t="s">
        <v>4104</v>
      </c>
      <c r="M442" t="s">
        <v>127</v>
      </c>
      <c r="N442">
        <v>2</v>
      </c>
      <c r="O442" t="s">
        <v>4103</v>
      </c>
      <c r="P442" t="s">
        <v>4102</v>
      </c>
      <c r="Q442" t="s">
        <v>4101</v>
      </c>
      <c r="R442" s="7">
        <v>36465</v>
      </c>
      <c r="S442" s="8">
        <f t="shared" si="48"/>
        <v>1999</v>
      </c>
      <c r="T442" s="8">
        <v>1999</v>
      </c>
      <c r="U442" s="8">
        <f t="shared" si="49"/>
        <v>23</v>
      </c>
      <c r="V442" s="7">
        <v>36465</v>
      </c>
      <c r="W442" t="s">
        <v>4100</v>
      </c>
      <c r="X442" s="2">
        <v>0.32500000000000001</v>
      </c>
      <c r="Y442" s="6">
        <f t="shared" si="50"/>
        <v>8.6756893836256385E-3</v>
      </c>
      <c r="AA442">
        <v>10637710</v>
      </c>
      <c r="AB442">
        <v>12922</v>
      </c>
      <c r="AD442" t="s">
        <v>2</v>
      </c>
      <c r="AE442">
        <v>45</v>
      </c>
      <c r="AF442">
        <v>6</v>
      </c>
      <c r="AH442" t="s">
        <v>4099</v>
      </c>
      <c r="AI442" t="s">
        <v>4098</v>
      </c>
      <c r="AK442" t="s">
        <v>4097</v>
      </c>
      <c r="AL442">
        <v>2</v>
      </c>
      <c r="AM442" s="5">
        <f t="shared" si="51"/>
        <v>8.6956521739130432E-2</v>
      </c>
      <c r="AN442" s="4">
        <f t="shared" si="52"/>
        <v>1.3170241838565761E-4</v>
      </c>
      <c r="AO442" s="3"/>
      <c r="AP442">
        <v>0</v>
      </c>
      <c r="AR442" t="s">
        <v>1</v>
      </c>
      <c r="AT442" s="2">
        <v>0.85599999999999998</v>
      </c>
      <c r="AU442" s="1">
        <f t="shared" si="53"/>
        <v>0.61124932940536447</v>
      </c>
      <c r="AV442" s="1">
        <f t="shared" si="54"/>
        <v>0.44036959010056476</v>
      </c>
      <c r="AW442" s="1">
        <f t="shared" si="55"/>
        <v>0.26948985079576521</v>
      </c>
    </row>
    <row r="443" spans="1:49" x14ac:dyDescent="0.2">
      <c r="A443">
        <v>441</v>
      </c>
      <c r="B443" t="s">
        <v>4096</v>
      </c>
      <c r="C443" t="s">
        <v>4095</v>
      </c>
      <c r="D443" t="s">
        <v>4094</v>
      </c>
      <c r="F443" t="s">
        <v>4093</v>
      </c>
      <c r="G443" t="s">
        <v>6</v>
      </c>
      <c r="H443" t="s">
        <v>5</v>
      </c>
      <c r="I443" t="s">
        <v>4092</v>
      </c>
      <c r="J443">
        <v>60031806</v>
      </c>
      <c r="K443" t="s">
        <v>4091</v>
      </c>
      <c r="L443" t="s">
        <v>4090</v>
      </c>
      <c r="M443" t="s">
        <v>67</v>
      </c>
      <c r="N443">
        <v>3</v>
      </c>
      <c r="O443" t="s">
        <v>4089</v>
      </c>
      <c r="P443" t="s">
        <v>4088</v>
      </c>
      <c r="Q443" t="s">
        <v>4087</v>
      </c>
      <c r="R443" s="7">
        <v>36465</v>
      </c>
      <c r="S443" s="8">
        <f t="shared" si="48"/>
        <v>1999</v>
      </c>
      <c r="T443" s="8">
        <v>1999</v>
      </c>
      <c r="U443" s="8">
        <f t="shared" si="49"/>
        <v>23</v>
      </c>
      <c r="V443" s="7">
        <v>36465</v>
      </c>
      <c r="W443" t="s">
        <v>3247</v>
      </c>
      <c r="X443" s="2">
        <v>1.528</v>
      </c>
      <c r="Y443" s="6">
        <f t="shared" si="50"/>
        <v>4.0789087317476845E-2</v>
      </c>
      <c r="AA443">
        <v>2649381</v>
      </c>
      <c r="AB443">
        <v>27433</v>
      </c>
      <c r="AD443" t="s">
        <v>2</v>
      </c>
      <c r="AE443">
        <v>16</v>
      </c>
      <c r="AF443">
        <v>11</v>
      </c>
      <c r="AH443" t="s">
        <v>4086</v>
      </c>
      <c r="AI443" t="s">
        <v>4085</v>
      </c>
      <c r="AK443" t="s">
        <v>4084</v>
      </c>
      <c r="AL443">
        <v>4</v>
      </c>
      <c r="AM443" s="5">
        <f t="shared" si="51"/>
        <v>0.17391304347826086</v>
      </c>
      <c r="AN443" s="4">
        <f t="shared" si="52"/>
        <v>2.6340483677131523E-4</v>
      </c>
      <c r="AO443" s="3"/>
      <c r="AP443">
        <v>0</v>
      </c>
      <c r="AR443" t="s">
        <v>1</v>
      </c>
      <c r="AT443" s="2">
        <v>3.528</v>
      </c>
      <c r="AU443" s="1">
        <f t="shared" si="53"/>
        <v>2.8631382573265185</v>
      </c>
      <c r="AV443" s="1">
        <f t="shared" si="54"/>
        <v>2.0526246077124077</v>
      </c>
      <c r="AW443" s="1">
        <f t="shared" si="55"/>
        <v>1.2421109580982974</v>
      </c>
    </row>
    <row r="444" spans="1:49" x14ac:dyDescent="0.2">
      <c r="A444">
        <v>442</v>
      </c>
      <c r="B444" t="s">
        <v>4083</v>
      </c>
      <c r="C444" t="s">
        <v>4082</v>
      </c>
      <c r="E444">
        <v>10620045</v>
      </c>
      <c r="F444" t="s">
        <v>4081</v>
      </c>
      <c r="G444" t="s">
        <v>6</v>
      </c>
      <c r="H444" t="s">
        <v>5</v>
      </c>
      <c r="I444" t="s">
        <v>4080</v>
      </c>
      <c r="J444">
        <v>60000745</v>
      </c>
      <c r="K444" t="s">
        <v>212</v>
      </c>
      <c r="L444" t="s">
        <v>211</v>
      </c>
      <c r="M444" t="s">
        <v>3</v>
      </c>
      <c r="N444">
        <v>6</v>
      </c>
      <c r="O444" t="s">
        <v>4079</v>
      </c>
      <c r="P444" t="s">
        <v>4078</v>
      </c>
      <c r="Q444" t="s">
        <v>4077</v>
      </c>
      <c r="R444" s="7">
        <v>36465</v>
      </c>
      <c r="S444" s="8">
        <f t="shared" si="48"/>
        <v>1999</v>
      </c>
      <c r="T444" s="8">
        <v>1999</v>
      </c>
      <c r="U444" s="8">
        <f t="shared" si="49"/>
        <v>23</v>
      </c>
      <c r="V444" s="7">
        <v>36465</v>
      </c>
      <c r="W444" t="s">
        <v>4076</v>
      </c>
      <c r="X444" s="2">
        <v>0.95499999999999996</v>
      </c>
      <c r="Y444" s="6">
        <f t="shared" si="50"/>
        <v>2.5493179573423026E-2</v>
      </c>
      <c r="AA444">
        <v>9621075</v>
      </c>
      <c r="AB444">
        <v>20386</v>
      </c>
      <c r="AD444" t="s">
        <v>2</v>
      </c>
      <c r="AE444">
        <v>8</v>
      </c>
      <c r="AF444">
        <v>4</v>
      </c>
      <c r="AH444" t="s">
        <v>4075</v>
      </c>
      <c r="AI444" t="s">
        <v>4074</v>
      </c>
      <c r="AJ444" t="s">
        <v>4073</v>
      </c>
      <c r="AK444" t="s">
        <v>4072</v>
      </c>
      <c r="AL444">
        <v>199</v>
      </c>
      <c r="AM444" s="5">
        <f t="shared" si="51"/>
        <v>8.6521739130434785</v>
      </c>
      <c r="AN444" s="4">
        <f t="shared" si="52"/>
        <v>1.3104390629372933E-2</v>
      </c>
      <c r="AO444" s="3"/>
      <c r="AP444">
        <v>0</v>
      </c>
      <c r="AR444" t="s">
        <v>1</v>
      </c>
      <c r="AT444" s="2">
        <v>3.585</v>
      </c>
      <c r="AU444" s="1">
        <f t="shared" si="53"/>
        <v>2.1776542890207997</v>
      </c>
      <c r="AV444" s="1">
        <f t="shared" si="54"/>
        <v>1.9298785101397979</v>
      </c>
      <c r="AW444" s="1">
        <f t="shared" si="55"/>
        <v>1.6821027312587957</v>
      </c>
    </row>
    <row r="445" spans="1:49" x14ac:dyDescent="0.2">
      <c r="A445">
        <v>443</v>
      </c>
      <c r="B445" t="s">
        <v>4071</v>
      </c>
      <c r="C445" t="s">
        <v>4070</v>
      </c>
      <c r="F445" t="s">
        <v>4069</v>
      </c>
      <c r="G445" t="s">
        <v>6</v>
      </c>
      <c r="H445" t="s">
        <v>5</v>
      </c>
      <c r="I445" t="s">
        <v>4068</v>
      </c>
      <c r="J445" t="s">
        <v>4067</v>
      </c>
      <c r="K445" t="s">
        <v>4066</v>
      </c>
      <c r="L445" t="s">
        <v>4065</v>
      </c>
      <c r="M445" t="s">
        <v>642</v>
      </c>
      <c r="N445">
        <v>3</v>
      </c>
      <c r="O445" t="s">
        <v>4064</v>
      </c>
      <c r="P445" t="s">
        <v>4063</v>
      </c>
      <c r="Q445" t="s">
        <v>4062</v>
      </c>
      <c r="R445" s="7">
        <v>36465</v>
      </c>
      <c r="S445" s="8">
        <f t="shared" si="48"/>
        <v>1999</v>
      </c>
      <c r="T445" s="8">
        <v>1999</v>
      </c>
      <c r="U445" s="8">
        <f t="shared" si="49"/>
        <v>23</v>
      </c>
      <c r="V445" s="7">
        <v>36465</v>
      </c>
      <c r="W445" t="s">
        <v>4061</v>
      </c>
      <c r="X445" s="2">
        <v>0.73499999999999999</v>
      </c>
      <c r="Y445" s="6">
        <f t="shared" si="50"/>
        <v>1.9620405221430288E-2</v>
      </c>
      <c r="AA445">
        <v>168025</v>
      </c>
      <c r="AB445">
        <v>27961</v>
      </c>
      <c r="AD445" t="s">
        <v>2</v>
      </c>
      <c r="AE445">
        <v>47</v>
      </c>
      <c r="AF445">
        <v>6</v>
      </c>
      <c r="AH445" t="s">
        <v>4060</v>
      </c>
      <c r="AI445" t="s">
        <v>4059</v>
      </c>
      <c r="AK445" t="s">
        <v>4058</v>
      </c>
      <c r="AL445">
        <v>20</v>
      </c>
      <c r="AM445" s="5">
        <f t="shared" si="51"/>
        <v>0.86956521739130432</v>
      </c>
      <c r="AN445" s="4">
        <f t="shared" si="52"/>
        <v>1.317024183856576E-3</v>
      </c>
      <c r="AO445" s="3"/>
      <c r="AP445">
        <v>0</v>
      </c>
      <c r="AR445" t="s">
        <v>1</v>
      </c>
      <c r="AT445" s="2">
        <v>1.742</v>
      </c>
      <c r="AU445" s="1">
        <f t="shared" si="53"/>
        <v>1.4129390910158173</v>
      </c>
      <c r="AV445" s="1">
        <f t="shared" si="54"/>
        <v>1.0468714702643431</v>
      </c>
      <c r="AW445" s="1">
        <f t="shared" si="55"/>
        <v>0.68080384951286899</v>
      </c>
    </row>
    <row r="446" spans="1:49" x14ac:dyDescent="0.2">
      <c r="A446">
        <v>444</v>
      </c>
      <c r="B446" t="s">
        <v>4057</v>
      </c>
      <c r="C446" t="s">
        <v>4056</v>
      </c>
      <c r="F446" t="s">
        <v>4055</v>
      </c>
      <c r="G446" t="s">
        <v>6</v>
      </c>
      <c r="H446" t="s">
        <v>5</v>
      </c>
      <c r="I446" t="s">
        <v>4054</v>
      </c>
      <c r="J446" t="s">
        <v>4053</v>
      </c>
      <c r="K446" t="s">
        <v>4052</v>
      </c>
      <c r="L446" t="s">
        <v>4051</v>
      </c>
      <c r="M446" t="s">
        <v>4050</v>
      </c>
      <c r="N446">
        <v>5</v>
      </c>
      <c r="O446" t="s">
        <v>4049</v>
      </c>
      <c r="P446" t="s">
        <v>4048</v>
      </c>
      <c r="Q446" t="s">
        <v>4047</v>
      </c>
      <c r="R446" s="7">
        <v>36465</v>
      </c>
      <c r="S446" s="8">
        <f t="shared" si="48"/>
        <v>1999</v>
      </c>
      <c r="T446" s="8">
        <v>1999</v>
      </c>
      <c r="U446" s="8">
        <f t="shared" si="49"/>
        <v>23</v>
      </c>
      <c r="V446" s="7">
        <v>36465</v>
      </c>
      <c r="W446" t="s">
        <v>4046</v>
      </c>
      <c r="X446" s="2">
        <v>2.3759999999999999</v>
      </c>
      <c r="Y446" s="6">
        <f t="shared" si="50"/>
        <v>6.3425963001521576E-2</v>
      </c>
      <c r="AA446" t="s">
        <v>4045</v>
      </c>
      <c r="AB446">
        <v>26765</v>
      </c>
      <c r="AC446">
        <v>15384357</v>
      </c>
      <c r="AD446" t="s">
        <v>2</v>
      </c>
      <c r="AE446">
        <v>525</v>
      </c>
      <c r="AF446" t="s">
        <v>226</v>
      </c>
      <c r="AH446" t="s">
        <v>4044</v>
      </c>
      <c r="AI446" t="s">
        <v>4043</v>
      </c>
      <c r="AJ446" t="s">
        <v>4042</v>
      </c>
      <c r="AK446" t="s">
        <v>4041</v>
      </c>
      <c r="AL446">
        <v>60</v>
      </c>
      <c r="AM446" s="5">
        <f t="shared" si="51"/>
        <v>2.6086956521739131</v>
      </c>
      <c r="AN446" s="4">
        <f t="shared" si="52"/>
        <v>3.9510725515697282E-3</v>
      </c>
      <c r="AO446" s="3"/>
      <c r="AP446">
        <v>0</v>
      </c>
      <c r="AR446" t="s">
        <v>1</v>
      </c>
      <c r="AT446" s="2">
        <v>5.8739999999999997</v>
      </c>
      <c r="AU446" s="1">
        <f t="shared" si="53"/>
        <v>4.5583495866536019</v>
      </c>
      <c r="AV446" s="1">
        <f t="shared" si="54"/>
        <v>3.3688517776545654</v>
      </c>
      <c r="AW446" s="1">
        <f t="shared" si="55"/>
        <v>2.1793539686555281</v>
      </c>
    </row>
    <row r="447" spans="1:49" x14ac:dyDescent="0.2">
      <c r="A447">
        <v>445</v>
      </c>
      <c r="B447" t="s">
        <v>4040</v>
      </c>
      <c r="C447" t="s">
        <v>4039</v>
      </c>
      <c r="F447" t="s">
        <v>4038</v>
      </c>
      <c r="G447" t="s">
        <v>6</v>
      </c>
      <c r="H447" t="s">
        <v>5</v>
      </c>
      <c r="I447" t="s">
        <v>4037</v>
      </c>
      <c r="J447">
        <v>60000990</v>
      </c>
      <c r="K447" t="s">
        <v>291</v>
      </c>
      <c r="L447" t="s">
        <v>290</v>
      </c>
      <c r="M447" t="s">
        <v>289</v>
      </c>
      <c r="N447">
        <v>3</v>
      </c>
      <c r="O447" t="s">
        <v>4036</v>
      </c>
      <c r="P447" t="s">
        <v>4035</v>
      </c>
      <c r="Q447" t="s">
        <v>4034</v>
      </c>
      <c r="R447" s="7">
        <v>36465</v>
      </c>
      <c r="S447" s="8">
        <f t="shared" si="48"/>
        <v>1999</v>
      </c>
      <c r="T447" s="8">
        <v>1999</v>
      </c>
      <c r="U447" s="8">
        <f t="shared" si="49"/>
        <v>23</v>
      </c>
      <c r="V447" s="7">
        <v>36465</v>
      </c>
      <c r="W447" t="s">
        <v>2528</v>
      </c>
      <c r="X447" s="2">
        <v>1.0329999999999999</v>
      </c>
      <c r="Y447" s="6">
        <f t="shared" si="50"/>
        <v>2.7575345025493178E-2</v>
      </c>
      <c r="AA447">
        <v>9532048</v>
      </c>
      <c r="AB447">
        <v>12278</v>
      </c>
      <c r="AD447" t="s">
        <v>2</v>
      </c>
      <c r="AE447">
        <v>12</v>
      </c>
      <c r="AF447">
        <v>11</v>
      </c>
      <c r="AH447" t="s">
        <v>4033</v>
      </c>
      <c r="AI447" t="s">
        <v>4032</v>
      </c>
      <c r="AK447" t="s">
        <v>4031</v>
      </c>
      <c r="AL447">
        <v>13</v>
      </c>
      <c r="AM447" s="5">
        <f t="shared" si="51"/>
        <v>0.56521739130434778</v>
      </c>
      <c r="AN447" s="4">
        <f t="shared" si="52"/>
        <v>8.560657195067744E-4</v>
      </c>
      <c r="AO447" s="3"/>
      <c r="AP447">
        <v>0</v>
      </c>
      <c r="AR447" t="s">
        <v>1</v>
      </c>
      <c r="AT447" s="2" t="s">
        <v>0</v>
      </c>
      <c r="AU447" s="1">
        <f t="shared" si="53"/>
        <v>1.9559561233697256</v>
      </c>
      <c r="AV447" s="1">
        <f t="shared" si="54"/>
        <v>1.4215705372499976</v>
      </c>
      <c r="AW447" s="1">
        <f t="shared" si="55"/>
        <v>0.88718495113026963</v>
      </c>
    </row>
    <row r="448" spans="1:49" x14ac:dyDescent="0.2">
      <c r="A448">
        <v>446</v>
      </c>
      <c r="B448" t="s">
        <v>4030</v>
      </c>
      <c r="C448" t="s">
        <v>4029</v>
      </c>
      <c r="F448" t="s">
        <v>4028</v>
      </c>
      <c r="G448" t="s">
        <v>6</v>
      </c>
      <c r="H448" t="s">
        <v>5</v>
      </c>
      <c r="I448" t="s">
        <v>4027</v>
      </c>
      <c r="J448" t="s">
        <v>4026</v>
      </c>
      <c r="K448" t="s">
        <v>4025</v>
      </c>
      <c r="L448" t="s">
        <v>4024</v>
      </c>
      <c r="M448" t="s">
        <v>4023</v>
      </c>
      <c r="N448">
        <v>4</v>
      </c>
      <c r="O448" t="s">
        <v>4022</v>
      </c>
      <c r="P448" t="s">
        <v>4021</v>
      </c>
      <c r="Q448" t="s">
        <v>4020</v>
      </c>
      <c r="R448" s="7">
        <v>36465</v>
      </c>
      <c r="S448" s="8">
        <f t="shared" si="48"/>
        <v>1999</v>
      </c>
      <c r="T448" s="8">
        <v>1999</v>
      </c>
      <c r="U448" s="8">
        <f t="shared" si="49"/>
        <v>23</v>
      </c>
      <c r="V448" s="7">
        <v>36465</v>
      </c>
      <c r="W448" t="s">
        <v>2528</v>
      </c>
      <c r="X448" s="2">
        <v>1.0329999999999999</v>
      </c>
      <c r="Y448" s="6">
        <f t="shared" si="50"/>
        <v>2.7575345025493178E-2</v>
      </c>
      <c r="AA448">
        <v>9532048</v>
      </c>
      <c r="AB448">
        <v>12278</v>
      </c>
      <c r="AD448" t="s">
        <v>2</v>
      </c>
      <c r="AE448">
        <v>12</v>
      </c>
      <c r="AF448">
        <v>11</v>
      </c>
      <c r="AH448" t="s">
        <v>4019</v>
      </c>
      <c r="AI448" t="s">
        <v>4018</v>
      </c>
      <c r="AK448" t="s">
        <v>4017</v>
      </c>
      <c r="AL448">
        <v>9</v>
      </c>
      <c r="AM448" s="5">
        <f t="shared" si="51"/>
        <v>0.39130434782608697</v>
      </c>
      <c r="AN448" s="4">
        <f t="shared" si="52"/>
        <v>5.9266088273545923E-4</v>
      </c>
      <c r="AO448" s="3"/>
      <c r="AP448">
        <v>0</v>
      </c>
      <c r="AR448" t="s">
        <v>1</v>
      </c>
      <c r="AT448" s="2" t="s">
        <v>0</v>
      </c>
      <c r="AU448" s="1">
        <f t="shared" si="53"/>
        <v>1.948053978266586</v>
      </c>
      <c r="AV448" s="1">
        <f t="shared" si="54"/>
        <v>1.4084002954114319</v>
      </c>
      <c r="AW448" s="1">
        <f t="shared" si="55"/>
        <v>0.8687466125562775</v>
      </c>
    </row>
    <row r="449" spans="1:49" x14ac:dyDescent="0.2">
      <c r="A449">
        <v>447</v>
      </c>
      <c r="B449" t="s">
        <v>4016</v>
      </c>
      <c r="C449" t="s">
        <v>4015</v>
      </c>
      <c r="F449" t="s">
        <v>4014</v>
      </c>
      <c r="G449" t="s">
        <v>6</v>
      </c>
      <c r="H449" t="s">
        <v>5</v>
      </c>
      <c r="I449" t="s">
        <v>2844</v>
      </c>
      <c r="J449" t="s">
        <v>2843</v>
      </c>
      <c r="K449" t="s">
        <v>2842</v>
      </c>
      <c r="L449" t="s">
        <v>2841</v>
      </c>
      <c r="M449" t="s">
        <v>2840</v>
      </c>
      <c r="N449">
        <v>11</v>
      </c>
      <c r="O449" t="s">
        <v>4013</v>
      </c>
      <c r="P449" t="s">
        <v>4012</v>
      </c>
      <c r="Q449" t="s">
        <v>4011</v>
      </c>
      <c r="R449" s="7">
        <v>36465</v>
      </c>
      <c r="S449" s="8">
        <f t="shared" si="48"/>
        <v>1999</v>
      </c>
      <c r="T449" s="8">
        <v>1999</v>
      </c>
      <c r="U449" s="8">
        <f t="shared" si="49"/>
        <v>23</v>
      </c>
      <c r="V449" s="7">
        <v>36465</v>
      </c>
      <c r="W449" t="s">
        <v>2528</v>
      </c>
      <c r="X449" s="2">
        <v>1.0329999999999999</v>
      </c>
      <c r="Y449" s="6">
        <f t="shared" si="50"/>
        <v>2.7575345025493178E-2</v>
      </c>
      <c r="AA449">
        <v>9532048</v>
      </c>
      <c r="AB449">
        <v>12278</v>
      </c>
      <c r="AD449" t="s">
        <v>2</v>
      </c>
      <c r="AE449">
        <v>12</v>
      </c>
      <c r="AF449">
        <v>11</v>
      </c>
      <c r="AH449" t="s">
        <v>4010</v>
      </c>
      <c r="AI449" t="s">
        <v>4009</v>
      </c>
      <c r="AK449" t="s">
        <v>4008</v>
      </c>
      <c r="AL449">
        <v>4</v>
      </c>
      <c r="AM449" s="5">
        <f t="shared" si="51"/>
        <v>0.17391304347826086</v>
      </c>
      <c r="AN449" s="4">
        <f t="shared" si="52"/>
        <v>2.6340483677131523E-4</v>
      </c>
      <c r="AO449" s="3"/>
      <c r="AP449">
        <v>0</v>
      </c>
      <c r="AR449" t="s">
        <v>1</v>
      </c>
      <c r="AT449" s="2" t="s">
        <v>0</v>
      </c>
      <c r="AU449" s="1">
        <f t="shared" si="53"/>
        <v>1.9381762968876619</v>
      </c>
      <c r="AV449" s="1">
        <f t="shared" si="54"/>
        <v>1.3919374931132247</v>
      </c>
      <c r="AW449" s="1">
        <f t="shared" si="55"/>
        <v>0.84569868933878733</v>
      </c>
    </row>
    <row r="450" spans="1:49" x14ac:dyDescent="0.2">
      <c r="A450">
        <v>448</v>
      </c>
      <c r="B450" t="s">
        <v>4007</v>
      </c>
      <c r="C450" t="s">
        <v>4006</v>
      </c>
      <c r="F450" t="s">
        <v>4005</v>
      </c>
      <c r="G450" t="s">
        <v>6</v>
      </c>
      <c r="H450" t="s">
        <v>5</v>
      </c>
      <c r="I450" t="s">
        <v>4004</v>
      </c>
      <c r="J450" t="s">
        <v>4003</v>
      </c>
      <c r="K450" t="s">
        <v>4002</v>
      </c>
      <c r="L450" t="s">
        <v>4001</v>
      </c>
      <c r="M450" t="s">
        <v>203</v>
      </c>
      <c r="N450">
        <v>7</v>
      </c>
      <c r="O450" t="s">
        <v>4000</v>
      </c>
      <c r="P450" t="s">
        <v>3999</v>
      </c>
      <c r="Q450" t="s">
        <v>3998</v>
      </c>
      <c r="R450" s="7">
        <v>36465</v>
      </c>
      <c r="S450" s="8">
        <f t="shared" ref="S450:S513" si="56">YEAR(R450)</f>
        <v>1999</v>
      </c>
      <c r="T450" s="8">
        <v>1999</v>
      </c>
      <c r="U450" s="8">
        <f t="shared" ref="U450:U513" si="57">2022-T450</f>
        <v>23</v>
      </c>
      <c r="V450" s="7">
        <v>36465</v>
      </c>
      <c r="W450" t="s">
        <v>2528</v>
      </c>
      <c r="X450" s="2">
        <v>1.0329999999999999</v>
      </c>
      <c r="Y450" s="6">
        <f t="shared" ref="Y450:Y513" si="58">(X450-$Z$3)/($Z$2-$Z$3)</f>
        <v>2.7575345025493178E-2</v>
      </c>
      <c r="AA450">
        <v>9532048</v>
      </c>
      <c r="AB450">
        <v>12278</v>
      </c>
      <c r="AD450" t="s">
        <v>2</v>
      </c>
      <c r="AE450">
        <v>12</v>
      </c>
      <c r="AF450">
        <v>11</v>
      </c>
      <c r="AH450" t="s">
        <v>3997</v>
      </c>
      <c r="AI450" t="s">
        <v>3996</v>
      </c>
      <c r="AK450" t="s">
        <v>3995</v>
      </c>
      <c r="AL450">
        <v>16</v>
      </c>
      <c r="AM450" s="5">
        <f t="shared" ref="AM450:AM513" si="59">AL450/U450</f>
        <v>0.69565217391304346</v>
      </c>
      <c r="AN450" s="4">
        <f t="shared" ref="AN450:AN513" si="60">(AM450-$AO$3)/($AO$2-$AO$3)</f>
        <v>1.0536193470852609E-3</v>
      </c>
      <c r="AO450" s="3"/>
      <c r="AP450">
        <v>0</v>
      </c>
      <c r="AR450" t="s">
        <v>1</v>
      </c>
      <c r="AT450" s="2" t="s">
        <v>0</v>
      </c>
      <c r="AU450" s="1">
        <f t="shared" ref="AU450:AU513" si="61">(Y450*0.7+AN450*0.3)*100</f>
        <v>1.9618827321970802</v>
      </c>
      <c r="AV450" s="1">
        <f t="shared" ref="AV450:AV513" si="62">(Y450*0.5+AN450*0.5)*100</f>
        <v>1.4314482186289219</v>
      </c>
      <c r="AW450" s="1">
        <f t="shared" ref="AW450:AW513" si="63">(Y450*0.3+AN450*0.7)*100</f>
        <v>0.90101370506076361</v>
      </c>
    </row>
    <row r="451" spans="1:49" x14ac:dyDescent="0.2">
      <c r="A451">
        <v>449</v>
      </c>
      <c r="B451" t="s">
        <v>3994</v>
      </c>
      <c r="C451" t="s">
        <v>3993</v>
      </c>
      <c r="F451" t="s">
        <v>3992</v>
      </c>
      <c r="G451" t="s">
        <v>6</v>
      </c>
      <c r="H451" t="s">
        <v>5</v>
      </c>
      <c r="I451" t="s">
        <v>3991</v>
      </c>
      <c r="J451" t="s">
        <v>3990</v>
      </c>
      <c r="K451" t="s">
        <v>3989</v>
      </c>
      <c r="L451" t="s">
        <v>3988</v>
      </c>
      <c r="M451" t="s">
        <v>3987</v>
      </c>
      <c r="N451">
        <v>6</v>
      </c>
      <c r="O451" t="s">
        <v>3986</v>
      </c>
      <c r="P451" t="s">
        <v>3985</v>
      </c>
      <c r="Q451" t="s">
        <v>3984</v>
      </c>
      <c r="R451" s="7">
        <v>36465</v>
      </c>
      <c r="S451" s="8">
        <f t="shared" si="56"/>
        <v>1999</v>
      </c>
      <c r="T451" s="8">
        <v>1999</v>
      </c>
      <c r="U451" s="8">
        <f t="shared" si="57"/>
        <v>23</v>
      </c>
      <c r="V451" s="7">
        <v>36465</v>
      </c>
      <c r="W451" t="s">
        <v>2528</v>
      </c>
      <c r="X451" s="2">
        <v>1.0329999999999999</v>
      </c>
      <c r="Y451" s="6">
        <f t="shared" si="58"/>
        <v>2.7575345025493178E-2</v>
      </c>
      <c r="AA451">
        <v>9532048</v>
      </c>
      <c r="AB451">
        <v>12278</v>
      </c>
      <c r="AD451" t="s">
        <v>2</v>
      </c>
      <c r="AE451">
        <v>12</v>
      </c>
      <c r="AF451">
        <v>11</v>
      </c>
      <c r="AH451" t="s">
        <v>3983</v>
      </c>
      <c r="AI451" t="s">
        <v>3982</v>
      </c>
      <c r="AK451" t="s">
        <v>3981</v>
      </c>
      <c r="AL451">
        <v>11</v>
      </c>
      <c r="AM451" s="5">
        <f t="shared" si="59"/>
        <v>0.47826086956521741</v>
      </c>
      <c r="AN451" s="4">
        <f t="shared" si="60"/>
        <v>7.2436330112111687E-4</v>
      </c>
      <c r="AO451" s="3"/>
      <c r="AP451">
        <v>0</v>
      </c>
      <c r="AR451" t="s">
        <v>1</v>
      </c>
      <c r="AT451" s="2" t="s">
        <v>0</v>
      </c>
      <c r="AU451" s="1">
        <f t="shared" si="61"/>
        <v>1.9520050508181559</v>
      </c>
      <c r="AV451" s="1">
        <f t="shared" si="62"/>
        <v>1.4149854163307147</v>
      </c>
      <c r="AW451" s="1">
        <f t="shared" si="63"/>
        <v>0.87796578184327345</v>
      </c>
    </row>
    <row r="452" spans="1:49" x14ac:dyDescent="0.2">
      <c r="A452">
        <v>450</v>
      </c>
      <c r="B452" t="s">
        <v>3980</v>
      </c>
      <c r="C452" t="s">
        <v>3979</v>
      </c>
      <c r="F452" t="s">
        <v>3978</v>
      </c>
      <c r="G452" t="s">
        <v>6</v>
      </c>
      <c r="H452" t="s">
        <v>5</v>
      </c>
      <c r="I452" t="s">
        <v>3977</v>
      </c>
      <c r="J452">
        <v>60008293</v>
      </c>
      <c r="K452" t="s">
        <v>786</v>
      </c>
      <c r="L452" t="s">
        <v>785</v>
      </c>
      <c r="M452" t="s">
        <v>65</v>
      </c>
      <c r="N452">
        <v>3</v>
      </c>
      <c r="O452" t="s">
        <v>3976</v>
      </c>
      <c r="P452" t="s">
        <v>3975</v>
      </c>
      <c r="Q452" t="s">
        <v>3974</v>
      </c>
      <c r="R452" s="7">
        <v>36465</v>
      </c>
      <c r="S452" s="8">
        <f t="shared" si="56"/>
        <v>1999</v>
      </c>
      <c r="T452" s="8">
        <v>1999</v>
      </c>
      <c r="U452" s="8">
        <f t="shared" si="57"/>
        <v>23</v>
      </c>
      <c r="V452" s="7">
        <v>36465</v>
      </c>
      <c r="W452" t="s">
        <v>124</v>
      </c>
      <c r="X452" s="2">
        <v>1.6519999999999999</v>
      </c>
      <c r="Y452" s="6">
        <f t="shared" si="58"/>
        <v>4.409919649769093E-2</v>
      </c>
      <c r="AA452" t="s">
        <v>123</v>
      </c>
      <c r="AB452">
        <v>17337</v>
      </c>
      <c r="AD452" t="s">
        <v>2</v>
      </c>
      <c r="AE452">
        <v>47</v>
      </c>
      <c r="AF452">
        <v>11</v>
      </c>
      <c r="AH452" t="s">
        <v>3973</v>
      </c>
      <c r="AI452" t="s">
        <v>3972</v>
      </c>
      <c r="AK452" t="s">
        <v>3971</v>
      </c>
      <c r="AL452">
        <v>37</v>
      </c>
      <c r="AM452" s="5">
        <f t="shared" si="59"/>
        <v>1.6086956521739131</v>
      </c>
      <c r="AN452" s="4">
        <f t="shared" si="60"/>
        <v>2.4364947401346658E-3</v>
      </c>
      <c r="AO452" s="3"/>
      <c r="AP452">
        <v>0</v>
      </c>
      <c r="AR452" t="s">
        <v>1</v>
      </c>
      <c r="AT452" s="2" t="s">
        <v>0</v>
      </c>
      <c r="AU452" s="1">
        <f t="shared" si="61"/>
        <v>3.160038597042405</v>
      </c>
      <c r="AV452" s="1">
        <f t="shared" si="62"/>
        <v>2.3267845618912797</v>
      </c>
      <c r="AW452" s="1">
        <f t="shared" si="63"/>
        <v>1.4935305267401544</v>
      </c>
    </row>
    <row r="453" spans="1:49" x14ac:dyDescent="0.2">
      <c r="A453">
        <v>451</v>
      </c>
      <c r="B453" t="s">
        <v>3970</v>
      </c>
      <c r="C453" t="s">
        <v>3969</v>
      </c>
      <c r="F453" t="s">
        <v>3968</v>
      </c>
      <c r="G453" t="s">
        <v>6</v>
      </c>
      <c r="H453" t="s">
        <v>5</v>
      </c>
      <c r="I453" t="s">
        <v>3967</v>
      </c>
      <c r="J453" t="s">
        <v>3966</v>
      </c>
      <c r="K453" t="s">
        <v>3965</v>
      </c>
      <c r="L453" t="s">
        <v>3964</v>
      </c>
      <c r="M453" t="s">
        <v>3963</v>
      </c>
      <c r="N453">
        <v>7</v>
      </c>
      <c r="O453" t="s">
        <v>3962</v>
      </c>
      <c r="P453" t="s">
        <v>3961</v>
      </c>
      <c r="Q453" t="s">
        <v>3960</v>
      </c>
      <c r="R453" s="7">
        <v>36465</v>
      </c>
      <c r="S453" s="8">
        <f t="shared" si="56"/>
        <v>1999</v>
      </c>
      <c r="T453" s="8">
        <v>1999</v>
      </c>
      <c r="U453" s="8">
        <f t="shared" si="57"/>
        <v>23</v>
      </c>
      <c r="V453" s="7">
        <v>36465</v>
      </c>
      <c r="W453" t="s">
        <v>2528</v>
      </c>
      <c r="X453" s="2">
        <v>1.0329999999999999</v>
      </c>
      <c r="Y453" s="6">
        <f t="shared" si="58"/>
        <v>2.7575345025493178E-2</v>
      </c>
      <c r="AA453">
        <v>9532048</v>
      </c>
      <c r="AB453">
        <v>12278</v>
      </c>
      <c r="AD453" t="s">
        <v>2</v>
      </c>
      <c r="AE453">
        <v>12</v>
      </c>
      <c r="AF453">
        <v>11</v>
      </c>
      <c r="AH453" t="s">
        <v>3959</v>
      </c>
      <c r="AI453" t="s">
        <v>3958</v>
      </c>
      <c r="AK453" t="s">
        <v>3957</v>
      </c>
      <c r="AL453">
        <v>7</v>
      </c>
      <c r="AM453" s="5">
        <f t="shared" si="59"/>
        <v>0.30434782608695654</v>
      </c>
      <c r="AN453" s="4">
        <f t="shared" si="60"/>
        <v>4.6095846434980164E-4</v>
      </c>
      <c r="AO453" s="3"/>
      <c r="AP453">
        <v>0</v>
      </c>
      <c r="AR453" t="s">
        <v>1</v>
      </c>
      <c r="AT453" s="2" t="s">
        <v>0</v>
      </c>
      <c r="AU453" s="1">
        <f t="shared" si="61"/>
        <v>1.9441029057150165</v>
      </c>
      <c r="AV453" s="1">
        <f t="shared" si="62"/>
        <v>1.401815174492149</v>
      </c>
      <c r="AW453" s="1">
        <f t="shared" si="63"/>
        <v>0.85952744326928143</v>
      </c>
    </row>
    <row r="454" spans="1:49" x14ac:dyDescent="0.2">
      <c r="A454">
        <v>452</v>
      </c>
      <c r="B454" t="s">
        <v>3956</v>
      </c>
      <c r="C454" t="s">
        <v>3955</v>
      </c>
      <c r="F454" t="s">
        <v>3954</v>
      </c>
      <c r="G454" t="s">
        <v>6</v>
      </c>
      <c r="H454" t="s">
        <v>5</v>
      </c>
      <c r="I454" t="s">
        <v>325</v>
      </c>
      <c r="J454">
        <v>60013983</v>
      </c>
      <c r="K454" t="s">
        <v>324</v>
      </c>
      <c r="L454" t="s">
        <v>323</v>
      </c>
      <c r="M454" t="s">
        <v>322</v>
      </c>
      <c r="N454">
        <v>3</v>
      </c>
      <c r="O454" t="s">
        <v>3953</v>
      </c>
      <c r="P454" t="s">
        <v>3952</v>
      </c>
      <c r="Q454" t="s">
        <v>321</v>
      </c>
      <c r="R454" s="7">
        <v>36465</v>
      </c>
      <c r="S454" s="8">
        <f t="shared" si="56"/>
        <v>1999</v>
      </c>
      <c r="T454" s="8">
        <v>1999</v>
      </c>
      <c r="U454" s="8">
        <f t="shared" si="57"/>
        <v>23</v>
      </c>
      <c r="V454" s="7">
        <v>36465</v>
      </c>
      <c r="W454" t="s">
        <v>66</v>
      </c>
      <c r="X454" s="2">
        <v>0.371</v>
      </c>
      <c r="Y454" s="6">
        <f t="shared" si="58"/>
        <v>9.9036331117695747E-3</v>
      </c>
      <c r="AA454">
        <v>486604</v>
      </c>
      <c r="AB454">
        <v>28580</v>
      </c>
      <c r="AD454" t="s">
        <v>2</v>
      </c>
      <c r="AE454">
        <v>34</v>
      </c>
      <c r="AF454">
        <v>6</v>
      </c>
      <c r="AH454" t="s">
        <v>3951</v>
      </c>
      <c r="AI454" t="s">
        <v>3950</v>
      </c>
      <c r="AK454" t="s">
        <v>3949</v>
      </c>
      <c r="AL454">
        <v>5</v>
      </c>
      <c r="AM454" s="5">
        <f t="shared" si="59"/>
        <v>0.21739130434782608</v>
      </c>
      <c r="AN454" s="4">
        <f t="shared" si="60"/>
        <v>3.29256045964144E-4</v>
      </c>
      <c r="AO454" s="3"/>
      <c r="AP454">
        <v>0</v>
      </c>
      <c r="AR454" t="s">
        <v>1</v>
      </c>
      <c r="AT454" s="2">
        <v>1.431</v>
      </c>
      <c r="AU454" s="1">
        <f t="shared" si="61"/>
        <v>0.70313199920279457</v>
      </c>
      <c r="AV454" s="1">
        <f t="shared" si="62"/>
        <v>0.51164445788668589</v>
      </c>
      <c r="AW454" s="1">
        <f t="shared" si="63"/>
        <v>0.32015691657057732</v>
      </c>
    </row>
    <row r="455" spans="1:49" x14ac:dyDescent="0.2">
      <c r="A455">
        <v>453</v>
      </c>
      <c r="B455" t="s">
        <v>3948</v>
      </c>
      <c r="C455" t="s">
        <v>3947</v>
      </c>
      <c r="F455" t="s">
        <v>3946</v>
      </c>
      <c r="G455" t="s">
        <v>6</v>
      </c>
      <c r="H455" t="s">
        <v>5</v>
      </c>
      <c r="I455" t="s">
        <v>3945</v>
      </c>
      <c r="J455" t="s">
        <v>3944</v>
      </c>
      <c r="K455" t="s">
        <v>3943</v>
      </c>
      <c r="L455" t="s">
        <v>3942</v>
      </c>
      <c r="M455" t="s">
        <v>30</v>
      </c>
      <c r="N455">
        <v>4</v>
      </c>
      <c r="O455" t="s">
        <v>3941</v>
      </c>
      <c r="P455" t="s">
        <v>3940</v>
      </c>
      <c r="Q455" t="s">
        <v>3939</v>
      </c>
      <c r="R455" s="7">
        <v>36465</v>
      </c>
      <c r="S455" s="8">
        <f t="shared" si="56"/>
        <v>1999</v>
      </c>
      <c r="T455" s="8">
        <v>1999</v>
      </c>
      <c r="U455" s="8">
        <f t="shared" si="57"/>
        <v>23</v>
      </c>
      <c r="V455" s="7">
        <v>36465</v>
      </c>
      <c r="W455" t="s">
        <v>2528</v>
      </c>
      <c r="X455" s="2">
        <v>1.0329999999999999</v>
      </c>
      <c r="Y455" s="6">
        <f t="shared" si="58"/>
        <v>2.7575345025493178E-2</v>
      </c>
      <c r="AA455">
        <v>9532048</v>
      </c>
      <c r="AB455">
        <v>12278</v>
      </c>
      <c r="AD455" t="s">
        <v>2</v>
      </c>
      <c r="AE455">
        <v>12</v>
      </c>
      <c r="AF455">
        <v>11</v>
      </c>
      <c r="AH455" t="s">
        <v>3938</v>
      </c>
      <c r="AI455" t="s">
        <v>3937</v>
      </c>
      <c r="AK455" t="s">
        <v>3936</v>
      </c>
      <c r="AL455">
        <v>38</v>
      </c>
      <c r="AM455" s="5">
        <f t="shared" si="59"/>
        <v>1.6521739130434783</v>
      </c>
      <c r="AN455" s="4">
        <f t="shared" si="60"/>
        <v>2.5023459493274947E-3</v>
      </c>
      <c r="AO455" s="3"/>
      <c r="AP455">
        <v>0</v>
      </c>
      <c r="AR455" t="s">
        <v>1</v>
      </c>
      <c r="AT455" s="2" t="s">
        <v>0</v>
      </c>
      <c r="AU455" s="1">
        <f t="shared" si="61"/>
        <v>2.0053445302643471</v>
      </c>
      <c r="AV455" s="1">
        <f t="shared" si="62"/>
        <v>1.5038845487410337</v>
      </c>
      <c r="AW455" s="1">
        <f t="shared" si="63"/>
        <v>1.0024245672177199</v>
      </c>
    </row>
    <row r="456" spans="1:49" x14ac:dyDescent="0.2">
      <c r="A456">
        <v>454</v>
      </c>
      <c r="B456" t="s">
        <v>3935</v>
      </c>
      <c r="C456" t="s">
        <v>3934</v>
      </c>
      <c r="F456" t="s">
        <v>3933</v>
      </c>
      <c r="G456" t="s">
        <v>6</v>
      </c>
      <c r="H456" t="s">
        <v>5</v>
      </c>
      <c r="I456" t="s">
        <v>3932</v>
      </c>
      <c r="J456" t="s">
        <v>631</v>
      </c>
      <c r="K456" t="s">
        <v>630</v>
      </c>
      <c r="L456" t="s">
        <v>629</v>
      </c>
      <c r="M456" t="s">
        <v>18</v>
      </c>
      <c r="N456">
        <v>5</v>
      </c>
      <c r="O456" t="s">
        <v>3931</v>
      </c>
      <c r="P456" t="s">
        <v>3930</v>
      </c>
      <c r="Q456" t="s">
        <v>3929</v>
      </c>
      <c r="R456" s="7">
        <v>36465</v>
      </c>
      <c r="S456" s="8">
        <f t="shared" si="56"/>
        <v>1999</v>
      </c>
      <c r="T456" s="8">
        <v>1999</v>
      </c>
      <c r="U456" s="8">
        <f t="shared" si="57"/>
        <v>23</v>
      </c>
      <c r="V456" s="7">
        <v>36465</v>
      </c>
      <c r="W456" t="s">
        <v>124</v>
      </c>
      <c r="X456" s="2">
        <v>1.6519999999999999</v>
      </c>
      <c r="Y456" s="6">
        <f t="shared" si="58"/>
        <v>4.409919649769093E-2</v>
      </c>
      <c r="AA456" t="s">
        <v>123</v>
      </c>
      <c r="AB456">
        <v>17337</v>
      </c>
      <c r="AD456" t="s">
        <v>2</v>
      </c>
      <c r="AE456">
        <v>47</v>
      </c>
      <c r="AF456">
        <v>11</v>
      </c>
      <c r="AH456" t="s">
        <v>3928</v>
      </c>
      <c r="AI456" t="s">
        <v>3927</v>
      </c>
      <c r="AK456" t="s">
        <v>3926</v>
      </c>
      <c r="AL456">
        <v>27</v>
      </c>
      <c r="AM456" s="5">
        <f t="shared" si="59"/>
        <v>1.173913043478261</v>
      </c>
      <c r="AN456" s="4">
        <f t="shared" si="60"/>
        <v>1.7779826482063779E-3</v>
      </c>
      <c r="AO456" s="3"/>
      <c r="AP456">
        <v>0</v>
      </c>
      <c r="AR456" t="s">
        <v>1</v>
      </c>
      <c r="AT456" s="2" t="s">
        <v>0</v>
      </c>
      <c r="AU456" s="1">
        <f t="shared" si="61"/>
        <v>3.1402832342845564</v>
      </c>
      <c r="AV456" s="1">
        <f t="shared" si="62"/>
        <v>2.2938589572948653</v>
      </c>
      <c r="AW456" s="1">
        <f t="shared" si="63"/>
        <v>1.4474346803051743</v>
      </c>
    </row>
    <row r="457" spans="1:49" x14ac:dyDescent="0.2">
      <c r="A457">
        <v>455</v>
      </c>
      <c r="B457" t="s">
        <v>3925</v>
      </c>
      <c r="C457" t="s">
        <v>3924</v>
      </c>
      <c r="F457" t="s">
        <v>3923</v>
      </c>
      <c r="G457" t="s">
        <v>6</v>
      </c>
      <c r="H457" t="s">
        <v>5</v>
      </c>
      <c r="I457" t="s">
        <v>2099</v>
      </c>
      <c r="J457">
        <v>60013983</v>
      </c>
      <c r="K457" t="s">
        <v>324</v>
      </c>
      <c r="L457" t="s">
        <v>323</v>
      </c>
      <c r="M457" t="s">
        <v>322</v>
      </c>
      <c r="N457">
        <v>2</v>
      </c>
      <c r="O457" t="s">
        <v>2098</v>
      </c>
      <c r="P457" t="s">
        <v>2097</v>
      </c>
      <c r="Q457" t="s">
        <v>655</v>
      </c>
      <c r="R457" s="7">
        <v>36465</v>
      </c>
      <c r="S457" s="8">
        <f t="shared" si="56"/>
        <v>1999</v>
      </c>
      <c r="T457" s="8">
        <v>1999</v>
      </c>
      <c r="U457" s="8">
        <f t="shared" si="57"/>
        <v>23</v>
      </c>
      <c r="V457" s="7">
        <v>36465</v>
      </c>
      <c r="W457" t="s">
        <v>66</v>
      </c>
      <c r="X457" s="2">
        <v>0.371</v>
      </c>
      <c r="Y457" s="6">
        <f t="shared" si="58"/>
        <v>9.9036331117695747E-3</v>
      </c>
      <c r="AA457">
        <v>486604</v>
      </c>
      <c r="AB457">
        <v>28580</v>
      </c>
      <c r="AD457" t="s">
        <v>2</v>
      </c>
      <c r="AE457">
        <v>34</v>
      </c>
      <c r="AF457">
        <v>6</v>
      </c>
      <c r="AH457" t="s">
        <v>3922</v>
      </c>
      <c r="AI457" t="s">
        <v>3921</v>
      </c>
      <c r="AK457" t="s">
        <v>3920</v>
      </c>
      <c r="AL457">
        <v>1</v>
      </c>
      <c r="AM457" s="5">
        <f t="shared" si="59"/>
        <v>4.3478260869565216E-2</v>
      </c>
      <c r="AN457" s="4">
        <f t="shared" si="60"/>
        <v>6.5851209192828807E-5</v>
      </c>
      <c r="AO457" s="3"/>
      <c r="AP457">
        <v>1</v>
      </c>
      <c r="AR457" t="s">
        <v>1</v>
      </c>
      <c r="AT457" s="2">
        <v>1.431</v>
      </c>
      <c r="AU457" s="1">
        <f t="shared" si="61"/>
        <v>0.6952298540996551</v>
      </c>
      <c r="AV457" s="1">
        <f t="shared" si="62"/>
        <v>0.49847421604812014</v>
      </c>
      <c r="AW457" s="1">
        <f t="shared" si="63"/>
        <v>0.30171857799658525</v>
      </c>
    </row>
    <row r="458" spans="1:49" x14ac:dyDescent="0.2">
      <c r="A458">
        <v>456</v>
      </c>
      <c r="B458" t="s">
        <v>3919</v>
      </c>
      <c r="C458" t="s">
        <v>3918</v>
      </c>
      <c r="F458" t="s">
        <v>3917</v>
      </c>
      <c r="G458" t="s">
        <v>6</v>
      </c>
      <c r="H458" t="s">
        <v>5</v>
      </c>
      <c r="I458" t="s">
        <v>561</v>
      </c>
      <c r="J458">
        <v>60010365</v>
      </c>
      <c r="K458" t="s">
        <v>560</v>
      </c>
      <c r="L458" t="s">
        <v>559</v>
      </c>
      <c r="M458" t="s">
        <v>125</v>
      </c>
      <c r="N458">
        <v>2</v>
      </c>
      <c r="O458" t="s">
        <v>558</v>
      </c>
      <c r="P458" t="s">
        <v>557</v>
      </c>
      <c r="Q458" t="s">
        <v>556</v>
      </c>
      <c r="R458" s="7">
        <v>36465</v>
      </c>
      <c r="S458" s="8">
        <f t="shared" si="56"/>
        <v>1999</v>
      </c>
      <c r="T458" s="8">
        <v>1999</v>
      </c>
      <c r="U458" s="8">
        <f t="shared" si="57"/>
        <v>23</v>
      </c>
      <c r="V458" s="7">
        <v>36465</v>
      </c>
      <c r="W458" t="s">
        <v>124</v>
      </c>
      <c r="X458" s="2">
        <v>1.6519999999999999</v>
      </c>
      <c r="Y458" s="6">
        <f t="shared" si="58"/>
        <v>4.409919649769093E-2</v>
      </c>
      <c r="AA458" t="s">
        <v>123</v>
      </c>
      <c r="AB458">
        <v>17337</v>
      </c>
      <c r="AD458" t="s">
        <v>2</v>
      </c>
      <c r="AE458">
        <v>47</v>
      </c>
      <c r="AF458">
        <v>11</v>
      </c>
      <c r="AH458" t="s">
        <v>3916</v>
      </c>
      <c r="AI458" t="s">
        <v>3915</v>
      </c>
      <c r="AK458" t="s">
        <v>3914</v>
      </c>
      <c r="AL458">
        <v>3</v>
      </c>
      <c r="AM458" s="5">
        <f t="shared" si="59"/>
        <v>0.13043478260869565</v>
      </c>
      <c r="AN458" s="4">
        <f t="shared" si="60"/>
        <v>1.9755362757848641E-4</v>
      </c>
      <c r="AO458" s="3"/>
      <c r="AP458">
        <v>0</v>
      </c>
      <c r="AR458" t="s">
        <v>1</v>
      </c>
      <c r="AT458" s="2" t="s">
        <v>0</v>
      </c>
      <c r="AU458" s="1">
        <f t="shared" si="61"/>
        <v>3.0928703636657198</v>
      </c>
      <c r="AV458" s="1">
        <f t="shared" si="62"/>
        <v>2.2148375062634709</v>
      </c>
      <c r="AW458" s="1">
        <f t="shared" si="63"/>
        <v>1.3368046488612217</v>
      </c>
    </row>
    <row r="459" spans="1:49" x14ac:dyDescent="0.2">
      <c r="A459">
        <v>457</v>
      </c>
      <c r="B459" t="s">
        <v>3913</v>
      </c>
      <c r="C459" t="s">
        <v>3912</v>
      </c>
      <c r="F459" t="s">
        <v>3911</v>
      </c>
      <c r="G459" t="s">
        <v>6</v>
      </c>
      <c r="H459" t="s">
        <v>5</v>
      </c>
      <c r="I459" t="s">
        <v>3910</v>
      </c>
      <c r="J459" t="s">
        <v>3909</v>
      </c>
      <c r="K459" t="s">
        <v>3908</v>
      </c>
      <c r="L459" t="s">
        <v>3907</v>
      </c>
      <c r="M459" t="s">
        <v>30</v>
      </c>
      <c r="N459">
        <v>5</v>
      </c>
      <c r="O459" t="s">
        <v>3906</v>
      </c>
      <c r="P459" t="s">
        <v>3905</v>
      </c>
      <c r="Q459" t="s">
        <v>3904</v>
      </c>
      <c r="R459" s="7">
        <v>36465</v>
      </c>
      <c r="S459" s="8">
        <f t="shared" si="56"/>
        <v>1999</v>
      </c>
      <c r="T459" s="8">
        <v>1999</v>
      </c>
      <c r="U459" s="8">
        <f t="shared" si="57"/>
        <v>23</v>
      </c>
      <c r="V459" s="7">
        <v>36465</v>
      </c>
      <c r="W459" t="s">
        <v>66</v>
      </c>
      <c r="X459" s="2">
        <v>0.371</v>
      </c>
      <c r="Y459" s="6">
        <f t="shared" si="58"/>
        <v>9.9036331117695747E-3</v>
      </c>
      <c r="AA459">
        <v>486604</v>
      </c>
      <c r="AB459">
        <v>28580</v>
      </c>
      <c r="AD459" t="s">
        <v>2</v>
      </c>
      <c r="AE459">
        <v>34</v>
      </c>
      <c r="AF459">
        <v>6</v>
      </c>
      <c r="AH459" t="s">
        <v>3903</v>
      </c>
      <c r="AI459" t="s">
        <v>3902</v>
      </c>
      <c r="AK459" t="s">
        <v>3901</v>
      </c>
      <c r="AL459">
        <v>14</v>
      </c>
      <c r="AM459" s="5">
        <f t="shared" si="59"/>
        <v>0.60869565217391308</v>
      </c>
      <c r="AN459" s="4">
        <f t="shared" si="60"/>
        <v>9.2191692869960328E-4</v>
      </c>
      <c r="AO459" s="3"/>
      <c r="AP459">
        <v>1</v>
      </c>
      <c r="AR459" t="s">
        <v>1</v>
      </c>
      <c r="AT459" s="2">
        <v>1.431</v>
      </c>
      <c r="AU459" s="1">
        <f t="shared" si="61"/>
        <v>0.72091182568485823</v>
      </c>
      <c r="AV459" s="1">
        <f t="shared" si="62"/>
        <v>0.54127750202345892</v>
      </c>
      <c r="AW459" s="1">
        <f t="shared" si="63"/>
        <v>0.3616431783620595</v>
      </c>
    </row>
    <row r="460" spans="1:49" x14ac:dyDescent="0.2">
      <c r="A460">
        <v>458</v>
      </c>
      <c r="B460" t="s">
        <v>3900</v>
      </c>
      <c r="C460" t="s">
        <v>3899</v>
      </c>
      <c r="F460" t="s">
        <v>3898</v>
      </c>
      <c r="G460" t="s">
        <v>6</v>
      </c>
      <c r="H460" t="s">
        <v>5</v>
      </c>
      <c r="I460" t="s">
        <v>254</v>
      </c>
      <c r="J460">
        <v>60011047</v>
      </c>
      <c r="K460" t="s">
        <v>478</v>
      </c>
      <c r="L460" t="s">
        <v>477</v>
      </c>
      <c r="M460" t="s">
        <v>7</v>
      </c>
      <c r="N460">
        <v>2</v>
      </c>
      <c r="O460" t="s">
        <v>675</v>
      </c>
      <c r="P460" t="s">
        <v>674</v>
      </c>
      <c r="Q460" t="s">
        <v>673</v>
      </c>
      <c r="R460" s="7">
        <v>36465</v>
      </c>
      <c r="S460" s="8">
        <f t="shared" si="56"/>
        <v>1999</v>
      </c>
      <c r="T460" s="8">
        <v>1999</v>
      </c>
      <c r="U460" s="8">
        <f t="shared" si="57"/>
        <v>23</v>
      </c>
      <c r="V460" s="7">
        <v>36465</v>
      </c>
      <c r="W460" t="s">
        <v>101</v>
      </c>
      <c r="X460" s="2">
        <v>1.276</v>
      </c>
      <c r="Y460" s="6">
        <f t="shared" si="58"/>
        <v>3.4062091241557887E-2</v>
      </c>
      <c r="AA460">
        <v>214922</v>
      </c>
      <c r="AB460">
        <v>75087</v>
      </c>
      <c r="AD460" t="s">
        <v>2</v>
      </c>
      <c r="AE460">
        <v>38</v>
      </c>
      <c r="AF460" s="9">
        <v>0.45833333333333331</v>
      </c>
      <c r="AI460" t="s">
        <v>3897</v>
      </c>
      <c r="AK460" t="s">
        <v>3896</v>
      </c>
      <c r="AL460">
        <v>12</v>
      </c>
      <c r="AM460" s="5">
        <f t="shared" si="59"/>
        <v>0.52173913043478259</v>
      </c>
      <c r="AN460" s="4">
        <f t="shared" si="60"/>
        <v>7.9021451031394564E-4</v>
      </c>
      <c r="AO460" s="3"/>
      <c r="AP460">
        <v>0</v>
      </c>
      <c r="AR460" t="s">
        <v>1</v>
      </c>
      <c r="AT460" s="2" t="s">
        <v>0</v>
      </c>
      <c r="AU460" s="1">
        <f t="shared" si="61"/>
        <v>2.4080528222184707</v>
      </c>
      <c r="AV460" s="1">
        <f t="shared" si="62"/>
        <v>1.7426152875935919</v>
      </c>
      <c r="AW460" s="1">
        <f t="shared" si="63"/>
        <v>1.0771777529687128</v>
      </c>
    </row>
    <row r="461" spans="1:49" x14ac:dyDescent="0.2">
      <c r="A461">
        <v>459</v>
      </c>
      <c r="B461" t="s">
        <v>3895</v>
      </c>
      <c r="C461" t="s">
        <v>3894</v>
      </c>
      <c r="F461" t="s">
        <v>3893</v>
      </c>
      <c r="G461" t="s">
        <v>6</v>
      </c>
      <c r="H461" t="s">
        <v>5</v>
      </c>
      <c r="I461" t="s">
        <v>3892</v>
      </c>
      <c r="J461" t="s">
        <v>3891</v>
      </c>
      <c r="K461" t="s">
        <v>3890</v>
      </c>
      <c r="L461" t="s">
        <v>3889</v>
      </c>
      <c r="M461" t="s">
        <v>3888</v>
      </c>
      <c r="N461">
        <v>5</v>
      </c>
      <c r="O461" t="s">
        <v>3887</v>
      </c>
      <c r="P461" t="s">
        <v>3886</v>
      </c>
      <c r="Q461" t="s">
        <v>3885</v>
      </c>
      <c r="R461" s="7">
        <v>36465</v>
      </c>
      <c r="S461" s="8">
        <f t="shared" si="56"/>
        <v>1999</v>
      </c>
      <c r="T461" s="8">
        <v>1999</v>
      </c>
      <c r="U461" s="8">
        <f t="shared" si="57"/>
        <v>23</v>
      </c>
      <c r="V461" s="7">
        <v>36465</v>
      </c>
      <c r="W461" t="s">
        <v>101</v>
      </c>
      <c r="X461" s="2">
        <v>1.276</v>
      </c>
      <c r="Y461" s="6">
        <f t="shared" si="58"/>
        <v>3.4062091241557887E-2</v>
      </c>
      <c r="AA461">
        <v>214922</v>
      </c>
      <c r="AB461">
        <v>75087</v>
      </c>
      <c r="AD461" t="s">
        <v>2</v>
      </c>
      <c r="AE461">
        <v>38</v>
      </c>
      <c r="AF461" s="9">
        <v>0.45833333333333331</v>
      </c>
      <c r="AI461" t="s">
        <v>3884</v>
      </c>
      <c r="AK461" t="s">
        <v>3883</v>
      </c>
      <c r="AL461">
        <v>42</v>
      </c>
      <c r="AM461" s="5">
        <f t="shared" si="59"/>
        <v>1.826086956521739</v>
      </c>
      <c r="AN461" s="4">
        <f t="shared" si="60"/>
        <v>2.7657507860988097E-3</v>
      </c>
      <c r="AO461" s="3"/>
      <c r="AP461">
        <v>0</v>
      </c>
      <c r="AR461" t="s">
        <v>1</v>
      </c>
      <c r="AT461" s="2" t="s">
        <v>0</v>
      </c>
      <c r="AU461" s="1">
        <f t="shared" si="61"/>
        <v>2.4673189104920166</v>
      </c>
      <c r="AV461" s="1">
        <f t="shared" si="62"/>
        <v>1.8413921013828347</v>
      </c>
      <c r="AW461" s="1">
        <f t="shared" si="63"/>
        <v>1.2154652922736531</v>
      </c>
    </row>
    <row r="462" spans="1:49" x14ac:dyDescent="0.2">
      <c r="A462">
        <v>460</v>
      </c>
      <c r="B462" t="s">
        <v>3882</v>
      </c>
      <c r="C462" t="s">
        <v>3881</v>
      </c>
      <c r="F462" t="s">
        <v>3880</v>
      </c>
      <c r="G462" t="s">
        <v>6</v>
      </c>
      <c r="H462" t="s">
        <v>5</v>
      </c>
      <c r="I462" t="s">
        <v>3879</v>
      </c>
      <c r="J462" t="s">
        <v>3878</v>
      </c>
      <c r="K462" t="s">
        <v>3877</v>
      </c>
      <c r="L462" t="s">
        <v>3876</v>
      </c>
      <c r="M462" t="s">
        <v>547</v>
      </c>
      <c r="N462">
        <v>3</v>
      </c>
      <c r="O462" t="s">
        <v>3875</v>
      </c>
      <c r="P462" t="s">
        <v>3874</v>
      </c>
      <c r="Q462" t="s">
        <v>3873</v>
      </c>
      <c r="R462" s="7">
        <v>36465</v>
      </c>
      <c r="S462" s="8">
        <f t="shared" si="56"/>
        <v>1999</v>
      </c>
      <c r="T462" s="8">
        <v>1999</v>
      </c>
      <c r="U462" s="8">
        <f t="shared" si="57"/>
        <v>23</v>
      </c>
      <c r="V462" s="7">
        <v>36465</v>
      </c>
      <c r="W462" t="s">
        <v>124</v>
      </c>
      <c r="X462" s="2">
        <v>1.6519999999999999</v>
      </c>
      <c r="Y462" s="6">
        <f t="shared" si="58"/>
        <v>4.409919649769093E-2</v>
      </c>
      <c r="AA462" t="s">
        <v>123</v>
      </c>
      <c r="AB462">
        <v>17337</v>
      </c>
      <c r="AD462" t="s">
        <v>2</v>
      </c>
      <c r="AE462">
        <v>47</v>
      </c>
      <c r="AF462">
        <v>11</v>
      </c>
      <c r="AH462" t="s">
        <v>3872</v>
      </c>
      <c r="AI462" t="s">
        <v>3871</v>
      </c>
      <c r="AK462" t="s">
        <v>3870</v>
      </c>
      <c r="AL462">
        <v>5</v>
      </c>
      <c r="AM462" s="5">
        <f t="shared" si="59"/>
        <v>0.21739130434782608</v>
      </c>
      <c r="AN462" s="4">
        <f t="shared" si="60"/>
        <v>3.29256045964144E-4</v>
      </c>
      <c r="AO462" s="3"/>
      <c r="AP462">
        <v>0</v>
      </c>
      <c r="AR462" t="s">
        <v>1</v>
      </c>
      <c r="AT462" s="2" t="s">
        <v>0</v>
      </c>
      <c r="AU462" s="1">
        <f t="shared" si="61"/>
        <v>3.0968214362172892</v>
      </c>
      <c r="AV462" s="1">
        <f t="shared" si="62"/>
        <v>2.2214226271827537</v>
      </c>
      <c r="AW462" s="1">
        <f t="shared" si="63"/>
        <v>1.346023818148218</v>
      </c>
    </row>
    <row r="463" spans="1:49" x14ac:dyDescent="0.2">
      <c r="A463">
        <v>461</v>
      </c>
      <c r="B463" t="s">
        <v>3869</v>
      </c>
      <c r="F463" t="s">
        <v>3868</v>
      </c>
      <c r="G463" t="s">
        <v>6</v>
      </c>
      <c r="H463" t="s">
        <v>5</v>
      </c>
      <c r="I463" t="s">
        <v>334</v>
      </c>
      <c r="J463">
        <v>109410962</v>
      </c>
      <c r="K463" t="s">
        <v>333</v>
      </c>
      <c r="L463" t="s">
        <v>332</v>
      </c>
      <c r="M463" t="s">
        <v>133</v>
      </c>
      <c r="N463">
        <v>1</v>
      </c>
      <c r="O463" t="s">
        <v>331</v>
      </c>
      <c r="P463">
        <v>57209141912</v>
      </c>
      <c r="Q463">
        <v>109410962</v>
      </c>
      <c r="R463" s="7">
        <v>36465</v>
      </c>
      <c r="S463" s="8">
        <f t="shared" si="56"/>
        <v>1999</v>
      </c>
      <c r="T463" s="8">
        <v>1999</v>
      </c>
      <c r="U463" s="8">
        <f t="shared" si="57"/>
        <v>23</v>
      </c>
      <c r="V463" s="7">
        <v>36465</v>
      </c>
      <c r="W463" t="s">
        <v>330</v>
      </c>
      <c r="X463" s="2" t="s">
        <v>0</v>
      </c>
      <c r="Y463" s="6" t="e">
        <f t="shared" si="58"/>
        <v>#VALUE!</v>
      </c>
      <c r="AA463">
        <v>2556588</v>
      </c>
      <c r="AB463">
        <v>62659</v>
      </c>
      <c r="AD463" t="s">
        <v>2</v>
      </c>
      <c r="AE463">
        <v>23</v>
      </c>
      <c r="AF463">
        <v>6</v>
      </c>
      <c r="AH463" t="s">
        <v>3867</v>
      </c>
      <c r="AI463" t="s">
        <v>3866</v>
      </c>
      <c r="AK463" t="s">
        <v>3865</v>
      </c>
      <c r="AL463">
        <v>3</v>
      </c>
      <c r="AM463" s="5">
        <f t="shared" si="59"/>
        <v>0.13043478260869565</v>
      </c>
      <c r="AN463" s="4">
        <f t="shared" si="60"/>
        <v>1.9755362757848641E-4</v>
      </c>
      <c r="AO463" s="3"/>
      <c r="AP463">
        <v>0</v>
      </c>
      <c r="AR463" t="s">
        <v>1</v>
      </c>
      <c r="AT463" s="2" t="s">
        <v>0</v>
      </c>
      <c r="AU463" s="1" t="e">
        <f t="shared" si="61"/>
        <v>#VALUE!</v>
      </c>
      <c r="AV463" s="1" t="e">
        <f t="shared" si="62"/>
        <v>#VALUE!</v>
      </c>
      <c r="AW463" s="1" t="e">
        <f t="shared" si="63"/>
        <v>#VALUE!</v>
      </c>
    </row>
    <row r="464" spans="1:49" x14ac:dyDescent="0.2">
      <c r="A464">
        <v>462</v>
      </c>
      <c r="B464" t="s">
        <v>3864</v>
      </c>
      <c r="C464" t="s">
        <v>3863</v>
      </c>
      <c r="F464" t="s">
        <v>3862</v>
      </c>
      <c r="G464" t="s">
        <v>6</v>
      </c>
      <c r="H464" t="s">
        <v>5</v>
      </c>
      <c r="I464" t="s">
        <v>3861</v>
      </c>
      <c r="J464" t="s">
        <v>3860</v>
      </c>
      <c r="K464" t="s">
        <v>3859</v>
      </c>
      <c r="L464" t="s">
        <v>3858</v>
      </c>
      <c r="M464" t="s">
        <v>30</v>
      </c>
      <c r="N464">
        <v>4</v>
      </c>
      <c r="O464" t="s">
        <v>3857</v>
      </c>
      <c r="P464" t="s">
        <v>3856</v>
      </c>
      <c r="Q464" t="s">
        <v>3855</v>
      </c>
      <c r="R464" s="7">
        <v>36465</v>
      </c>
      <c r="S464" s="8">
        <f t="shared" si="56"/>
        <v>1999</v>
      </c>
      <c r="T464" s="8">
        <v>1999</v>
      </c>
      <c r="U464" s="8">
        <f t="shared" si="57"/>
        <v>23</v>
      </c>
      <c r="V464" s="7">
        <v>36465</v>
      </c>
      <c r="W464" t="s">
        <v>682</v>
      </c>
      <c r="X464" s="2">
        <v>0.81</v>
      </c>
      <c r="Y464" s="6">
        <f t="shared" si="58"/>
        <v>2.1622487386882359E-2</v>
      </c>
      <c r="AA464">
        <v>10411135</v>
      </c>
      <c r="AB464">
        <v>12116</v>
      </c>
      <c r="AD464" t="s">
        <v>2</v>
      </c>
      <c r="AE464">
        <v>11</v>
      </c>
      <c r="AF464">
        <v>11</v>
      </c>
      <c r="AH464" t="s">
        <v>3854</v>
      </c>
      <c r="AI464" t="s">
        <v>3853</v>
      </c>
      <c r="AK464" t="s">
        <v>3852</v>
      </c>
      <c r="AL464">
        <v>24</v>
      </c>
      <c r="AM464" s="5">
        <f t="shared" si="59"/>
        <v>1.0434782608695652</v>
      </c>
      <c r="AN464" s="4">
        <f t="shared" si="60"/>
        <v>1.5804290206278913E-3</v>
      </c>
      <c r="AO464" s="3"/>
      <c r="AP464">
        <v>0</v>
      </c>
      <c r="AQ464" t="s">
        <v>205</v>
      </c>
      <c r="AR464" t="s">
        <v>1</v>
      </c>
      <c r="AS464" t="s">
        <v>204</v>
      </c>
      <c r="AT464" s="2">
        <v>2.468</v>
      </c>
      <c r="AU464" s="1">
        <f t="shared" si="61"/>
        <v>1.5609869877006017</v>
      </c>
      <c r="AV464" s="1">
        <f t="shared" si="62"/>
        <v>1.1601458203755126</v>
      </c>
      <c r="AW464" s="1">
        <f t="shared" si="63"/>
        <v>0.75930465305042316</v>
      </c>
    </row>
    <row r="465" spans="1:49" x14ac:dyDescent="0.2">
      <c r="A465">
        <v>463</v>
      </c>
      <c r="B465" t="s">
        <v>3851</v>
      </c>
      <c r="C465" t="s">
        <v>3850</v>
      </c>
      <c r="F465" t="s">
        <v>3849</v>
      </c>
      <c r="G465" t="s">
        <v>6</v>
      </c>
      <c r="H465" t="s">
        <v>5</v>
      </c>
      <c r="I465" t="s">
        <v>3848</v>
      </c>
      <c r="J465" t="s">
        <v>3847</v>
      </c>
      <c r="K465" t="s">
        <v>3846</v>
      </c>
      <c r="L465" t="s">
        <v>3845</v>
      </c>
      <c r="M465" t="s">
        <v>3844</v>
      </c>
      <c r="N465">
        <v>3</v>
      </c>
      <c r="O465" t="s">
        <v>3843</v>
      </c>
      <c r="P465" t="s">
        <v>3842</v>
      </c>
      <c r="Q465" t="s">
        <v>3841</v>
      </c>
      <c r="R465" s="7">
        <v>36465</v>
      </c>
      <c r="S465" s="8">
        <f t="shared" si="56"/>
        <v>1999</v>
      </c>
      <c r="T465" s="8">
        <v>1999</v>
      </c>
      <c r="U465" s="8">
        <f t="shared" si="57"/>
        <v>23</v>
      </c>
      <c r="V465" s="7">
        <v>36465</v>
      </c>
      <c r="W465" t="s">
        <v>166</v>
      </c>
      <c r="X465" s="2">
        <v>0.33500000000000002</v>
      </c>
      <c r="Y465" s="6">
        <f t="shared" si="58"/>
        <v>8.94263367235258E-3</v>
      </c>
      <c r="AA465">
        <v>10964290</v>
      </c>
      <c r="AB465">
        <v>18201</v>
      </c>
      <c r="AD465" t="s">
        <v>2</v>
      </c>
      <c r="AE465">
        <v>9</v>
      </c>
      <c r="AF465">
        <v>6</v>
      </c>
      <c r="AH465" t="s">
        <v>3840</v>
      </c>
      <c r="AI465" t="s">
        <v>3839</v>
      </c>
      <c r="AK465" t="s">
        <v>3838</v>
      </c>
      <c r="AL465">
        <v>6</v>
      </c>
      <c r="AM465" s="5">
        <f t="shared" si="59"/>
        <v>0.2608695652173913</v>
      </c>
      <c r="AN465" s="4">
        <f t="shared" si="60"/>
        <v>3.9510725515697282E-4</v>
      </c>
      <c r="AO465" s="3"/>
      <c r="AP465">
        <v>0</v>
      </c>
      <c r="AR465" t="s">
        <v>1</v>
      </c>
      <c r="AT465" s="2">
        <v>1.694</v>
      </c>
      <c r="AU465" s="1">
        <f t="shared" si="61"/>
        <v>0.63783757471938984</v>
      </c>
      <c r="AV465" s="1">
        <f t="shared" si="62"/>
        <v>0.46688704637547762</v>
      </c>
      <c r="AW465" s="1">
        <f t="shared" si="63"/>
        <v>0.29593651803156551</v>
      </c>
    </row>
    <row r="466" spans="1:49" x14ac:dyDescent="0.2">
      <c r="A466">
        <v>464</v>
      </c>
      <c r="B466" t="s">
        <v>3837</v>
      </c>
      <c r="C466" t="s">
        <v>3836</v>
      </c>
      <c r="F466" t="s">
        <v>3835</v>
      </c>
      <c r="G466" t="s">
        <v>6</v>
      </c>
      <c r="H466" t="s">
        <v>5</v>
      </c>
      <c r="I466" t="s">
        <v>713</v>
      </c>
      <c r="J466" t="s">
        <v>3834</v>
      </c>
      <c r="K466" t="s">
        <v>3833</v>
      </c>
      <c r="L466" t="s">
        <v>3832</v>
      </c>
      <c r="M466" t="s">
        <v>3831</v>
      </c>
      <c r="N466">
        <v>3</v>
      </c>
      <c r="O466" t="s">
        <v>712</v>
      </c>
      <c r="P466" t="s">
        <v>711</v>
      </c>
      <c r="Q466" t="s">
        <v>3830</v>
      </c>
      <c r="R466" s="7">
        <v>36465</v>
      </c>
      <c r="S466" s="8">
        <f t="shared" si="56"/>
        <v>1999</v>
      </c>
      <c r="T466" s="8">
        <v>1999</v>
      </c>
      <c r="U466" s="8">
        <f t="shared" si="57"/>
        <v>23</v>
      </c>
      <c r="V466" s="7">
        <v>36465</v>
      </c>
      <c r="W466" t="s">
        <v>166</v>
      </c>
      <c r="X466" s="2">
        <v>0.33500000000000002</v>
      </c>
      <c r="Y466" s="6">
        <f t="shared" si="58"/>
        <v>8.94263367235258E-3</v>
      </c>
      <c r="AA466">
        <v>10964290</v>
      </c>
      <c r="AB466">
        <v>18201</v>
      </c>
      <c r="AD466" t="s">
        <v>2</v>
      </c>
      <c r="AE466">
        <v>9</v>
      </c>
      <c r="AF466">
        <v>6</v>
      </c>
      <c r="AH466" t="s">
        <v>3829</v>
      </c>
      <c r="AI466" t="s">
        <v>3828</v>
      </c>
      <c r="AK466" t="s">
        <v>3827</v>
      </c>
      <c r="AL466">
        <v>2</v>
      </c>
      <c r="AM466" s="5">
        <f t="shared" si="59"/>
        <v>8.6956521739130432E-2</v>
      </c>
      <c r="AN466" s="4">
        <f t="shared" si="60"/>
        <v>1.3170241838565761E-4</v>
      </c>
      <c r="AO466" s="3"/>
      <c r="AP466">
        <v>0</v>
      </c>
      <c r="AR466" t="s">
        <v>1</v>
      </c>
      <c r="AT466" s="2">
        <v>1.694</v>
      </c>
      <c r="AU466" s="1">
        <f t="shared" si="61"/>
        <v>0.62993542961625038</v>
      </c>
      <c r="AV466" s="1">
        <f t="shared" si="62"/>
        <v>0.45371680453691182</v>
      </c>
      <c r="AW466" s="1">
        <f t="shared" si="63"/>
        <v>0.27749817945757344</v>
      </c>
    </row>
    <row r="467" spans="1:49" x14ac:dyDescent="0.2">
      <c r="A467">
        <v>465</v>
      </c>
      <c r="B467" t="s">
        <v>3826</v>
      </c>
      <c r="C467" t="s">
        <v>3825</v>
      </c>
      <c r="D467" t="s">
        <v>3824</v>
      </c>
      <c r="F467" t="s">
        <v>3823</v>
      </c>
      <c r="G467" t="s">
        <v>6</v>
      </c>
      <c r="H467" t="s">
        <v>5</v>
      </c>
      <c r="I467" t="s">
        <v>3822</v>
      </c>
      <c r="J467">
        <v>60029170</v>
      </c>
      <c r="K467" t="s">
        <v>724</v>
      </c>
      <c r="L467" t="s">
        <v>723</v>
      </c>
      <c r="M467" t="s">
        <v>289</v>
      </c>
      <c r="N467">
        <v>3</v>
      </c>
      <c r="O467" t="s">
        <v>3821</v>
      </c>
      <c r="P467" t="s">
        <v>3820</v>
      </c>
      <c r="Q467" t="s">
        <v>3819</v>
      </c>
      <c r="R467" s="7">
        <v>36465</v>
      </c>
      <c r="S467" s="8">
        <f t="shared" si="56"/>
        <v>1999</v>
      </c>
      <c r="T467" s="8">
        <v>1999</v>
      </c>
      <c r="U467" s="8">
        <f t="shared" si="57"/>
        <v>23</v>
      </c>
      <c r="V467" s="7">
        <v>36465</v>
      </c>
      <c r="W467" t="s">
        <v>429</v>
      </c>
      <c r="X467" s="2">
        <v>0.89900000000000002</v>
      </c>
      <c r="Y467" s="6">
        <f t="shared" si="58"/>
        <v>2.399829155655215E-2</v>
      </c>
      <c r="AA467">
        <v>221910</v>
      </c>
      <c r="AB467">
        <v>20487</v>
      </c>
      <c r="AD467" t="s">
        <v>2</v>
      </c>
      <c r="AE467">
        <v>45</v>
      </c>
      <c r="AF467">
        <v>11</v>
      </c>
      <c r="AH467" t="s">
        <v>253</v>
      </c>
      <c r="AI467" t="s">
        <v>3818</v>
      </c>
      <c r="AJ467" t="s">
        <v>3817</v>
      </c>
      <c r="AK467" t="s">
        <v>3816</v>
      </c>
      <c r="AL467">
        <v>14</v>
      </c>
      <c r="AM467" s="5">
        <f t="shared" si="59"/>
        <v>0.60869565217391308</v>
      </c>
      <c r="AN467" s="4">
        <f t="shared" si="60"/>
        <v>9.2191692869960328E-4</v>
      </c>
      <c r="AO467" s="3"/>
      <c r="AP467">
        <v>0</v>
      </c>
      <c r="AR467" t="s">
        <v>1</v>
      </c>
      <c r="AT467" s="2">
        <v>2.3540000000000001</v>
      </c>
      <c r="AU467" s="1">
        <f t="shared" si="61"/>
        <v>1.7075379168196383</v>
      </c>
      <c r="AV467" s="1">
        <f t="shared" si="62"/>
        <v>1.2460104242625876</v>
      </c>
      <c r="AW467" s="1">
        <f t="shared" si="63"/>
        <v>0.78448293170553662</v>
      </c>
    </row>
    <row r="468" spans="1:49" x14ac:dyDescent="0.2">
      <c r="A468">
        <v>466</v>
      </c>
      <c r="B468" t="s">
        <v>3815</v>
      </c>
      <c r="C468" t="s">
        <v>3814</v>
      </c>
      <c r="D468" t="s">
        <v>3813</v>
      </c>
      <c r="F468" t="s">
        <v>3812</v>
      </c>
      <c r="G468" t="s">
        <v>6</v>
      </c>
      <c r="H468" t="s">
        <v>5</v>
      </c>
      <c r="I468" t="s">
        <v>3811</v>
      </c>
      <c r="N468">
        <v>4</v>
      </c>
      <c r="O468" t="s">
        <v>3810</v>
      </c>
      <c r="P468" t="s">
        <v>3809</v>
      </c>
      <c r="Q468" t="s">
        <v>112</v>
      </c>
      <c r="R468" s="7">
        <v>36465</v>
      </c>
      <c r="S468" s="8">
        <f t="shared" si="56"/>
        <v>1999</v>
      </c>
      <c r="T468" s="8">
        <v>1999</v>
      </c>
      <c r="U468" s="8">
        <f t="shared" si="57"/>
        <v>23</v>
      </c>
      <c r="V468" s="7">
        <v>36465</v>
      </c>
      <c r="W468" t="s">
        <v>3808</v>
      </c>
      <c r="X468" s="2">
        <v>1.208</v>
      </c>
      <c r="Y468" s="6">
        <f t="shared" si="58"/>
        <v>3.2246870078214675E-2</v>
      </c>
      <c r="AA468">
        <v>1681699</v>
      </c>
      <c r="AB468">
        <v>30441</v>
      </c>
      <c r="AD468" t="s">
        <v>2</v>
      </c>
      <c r="AE468">
        <v>24</v>
      </c>
      <c r="AF468" s="10">
        <v>44228</v>
      </c>
      <c r="AH468" t="s">
        <v>3807</v>
      </c>
      <c r="AI468" t="s">
        <v>3806</v>
      </c>
      <c r="AJ468" t="s">
        <v>3805</v>
      </c>
      <c r="AK468" t="s">
        <v>3804</v>
      </c>
      <c r="AL468">
        <v>56</v>
      </c>
      <c r="AM468" s="5">
        <f t="shared" si="59"/>
        <v>2.4347826086956523</v>
      </c>
      <c r="AN468" s="4">
        <f t="shared" si="60"/>
        <v>3.6876677147984131E-3</v>
      </c>
      <c r="AO468" s="3"/>
      <c r="AP468">
        <v>0</v>
      </c>
      <c r="AR468" t="s">
        <v>1</v>
      </c>
      <c r="AT468" s="2" t="s">
        <v>0</v>
      </c>
      <c r="AU468" s="1">
        <f t="shared" si="61"/>
        <v>2.3679109369189795</v>
      </c>
      <c r="AV468" s="1">
        <f t="shared" si="62"/>
        <v>1.7967268896506545</v>
      </c>
      <c r="AW468" s="1">
        <f t="shared" si="63"/>
        <v>1.2255428423823291</v>
      </c>
    </row>
    <row r="469" spans="1:49" x14ac:dyDescent="0.2">
      <c r="A469">
        <v>467</v>
      </c>
      <c r="B469" t="s">
        <v>3803</v>
      </c>
      <c r="C469" t="s">
        <v>3802</v>
      </c>
      <c r="E469">
        <v>10598949</v>
      </c>
      <c r="F469" t="s">
        <v>3801</v>
      </c>
      <c r="G469" t="s">
        <v>6</v>
      </c>
      <c r="H469" t="s">
        <v>5</v>
      </c>
      <c r="I469" t="s">
        <v>731</v>
      </c>
      <c r="J469" t="s">
        <v>3800</v>
      </c>
      <c r="K469" t="s">
        <v>3799</v>
      </c>
      <c r="L469" t="s">
        <v>728</v>
      </c>
      <c r="M469" t="s">
        <v>203</v>
      </c>
      <c r="N469">
        <v>8</v>
      </c>
      <c r="O469" t="s">
        <v>3798</v>
      </c>
      <c r="P469" t="s">
        <v>3797</v>
      </c>
      <c r="Q469" t="s">
        <v>3796</v>
      </c>
      <c r="R469" s="7">
        <v>36465</v>
      </c>
      <c r="S469" s="8">
        <f t="shared" si="56"/>
        <v>1999</v>
      </c>
      <c r="T469" s="8">
        <v>1999</v>
      </c>
      <c r="U469" s="8">
        <f t="shared" si="57"/>
        <v>23</v>
      </c>
      <c r="V469" s="7">
        <v>36465</v>
      </c>
      <c r="W469" t="s">
        <v>798</v>
      </c>
      <c r="X469" s="2">
        <v>0.89600000000000002</v>
      </c>
      <c r="Y469" s="6">
        <f t="shared" si="58"/>
        <v>2.3918208269934065E-2</v>
      </c>
      <c r="AA469">
        <v>2656736</v>
      </c>
      <c r="AB469">
        <v>29901</v>
      </c>
      <c r="AD469" t="s">
        <v>2</v>
      </c>
      <c r="AE469">
        <v>15</v>
      </c>
      <c r="AF469">
        <v>6</v>
      </c>
      <c r="AH469" t="s">
        <v>3795</v>
      </c>
      <c r="AI469" t="s">
        <v>3794</v>
      </c>
      <c r="AJ469" t="s">
        <v>3793</v>
      </c>
      <c r="AK469" t="s">
        <v>3792</v>
      </c>
      <c r="AL469">
        <v>46</v>
      </c>
      <c r="AM469" s="5">
        <f t="shared" si="59"/>
        <v>2</v>
      </c>
      <c r="AN469" s="4">
        <f t="shared" si="60"/>
        <v>3.0291556228701248E-3</v>
      </c>
      <c r="AO469" s="3"/>
      <c r="AP469">
        <v>1</v>
      </c>
      <c r="AR469" t="s">
        <v>1</v>
      </c>
      <c r="AT469" s="2">
        <v>3.9140000000000001</v>
      </c>
      <c r="AU469" s="1">
        <f t="shared" si="61"/>
        <v>1.7651492475814883</v>
      </c>
      <c r="AV469" s="1">
        <f t="shared" si="62"/>
        <v>1.3473681946402094</v>
      </c>
      <c r="AW469" s="1">
        <f t="shared" si="63"/>
        <v>0.92958714169893064</v>
      </c>
    </row>
    <row r="470" spans="1:49" x14ac:dyDescent="0.2">
      <c r="A470">
        <v>468</v>
      </c>
      <c r="B470" t="s">
        <v>3791</v>
      </c>
      <c r="C470" t="s">
        <v>3790</v>
      </c>
      <c r="F470" t="s">
        <v>3789</v>
      </c>
      <c r="G470" t="s">
        <v>6</v>
      </c>
      <c r="H470" t="s">
        <v>5</v>
      </c>
      <c r="I470" t="s">
        <v>3788</v>
      </c>
      <c r="J470">
        <v>60013959</v>
      </c>
      <c r="K470" t="s">
        <v>3787</v>
      </c>
      <c r="L470" t="s">
        <v>3786</v>
      </c>
      <c r="M470" t="s">
        <v>3</v>
      </c>
      <c r="N470">
        <v>2</v>
      </c>
      <c r="O470" t="s">
        <v>3785</v>
      </c>
      <c r="P470" t="s">
        <v>3784</v>
      </c>
      <c r="Q470" t="s">
        <v>3783</v>
      </c>
      <c r="R470" s="7">
        <v>36465</v>
      </c>
      <c r="S470" s="8">
        <f t="shared" si="56"/>
        <v>1999</v>
      </c>
      <c r="T470" s="8">
        <v>1999</v>
      </c>
      <c r="U470" s="8">
        <f t="shared" si="57"/>
        <v>23</v>
      </c>
      <c r="V470" s="7">
        <v>36465</v>
      </c>
      <c r="W470" t="s">
        <v>46</v>
      </c>
      <c r="X470" s="2">
        <v>0</v>
      </c>
      <c r="Y470" s="6">
        <f t="shared" si="58"/>
        <v>0</v>
      </c>
      <c r="AB470">
        <v>21101038512</v>
      </c>
      <c r="AC470">
        <v>21699402</v>
      </c>
      <c r="AD470" t="s">
        <v>2</v>
      </c>
      <c r="AE470">
        <v>104</v>
      </c>
      <c r="AF470" t="s">
        <v>3782</v>
      </c>
      <c r="AG470" t="s">
        <v>3781</v>
      </c>
      <c r="AH470" t="s">
        <v>3780</v>
      </c>
      <c r="AI470" t="s">
        <v>3779</v>
      </c>
      <c r="AK470" t="s">
        <v>3778</v>
      </c>
      <c r="AL470">
        <v>24</v>
      </c>
      <c r="AM470" s="5">
        <f t="shared" si="59"/>
        <v>1.0434782608695652</v>
      </c>
      <c r="AN470" s="4">
        <f t="shared" si="60"/>
        <v>1.5804290206278913E-3</v>
      </c>
      <c r="AO470" s="3"/>
      <c r="AP470">
        <v>1</v>
      </c>
      <c r="AR470" t="s">
        <v>1</v>
      </c>
      <c r="AT470" s="2" t="s">
        <v>0</v>
      </c>
      <c r="AU470" s="1">
        <f t="shared" si="61"/>
        <v>4.7412870618836735E-2</v>
      </c>
      <c r="AV470" s="1">
        <f t="shared" si="62"/>
        <v>7.902145103139456E-2</v>
      </c>
      <c r="AW470" s="1">
        <f t="shared" si="63"/>
        <v>0.11063003144395238</v>
      </c>
    </row>
    <row r="471" spans="1:49" x14ac:dyDescent="0.2">
      <c r="A471">
        <v>469</v>
      </c>
      <c r="B471" t="s">
        <v>3777</v>
      </c>
      <c r="C471" t="s">
        <v>3776</v>
      </c>
      <c r="D471" t="s">
        <v>3775</v>
      </c>
      <c r="F471" t="s">
        <v>3774</v>
      </c>
      <c r="G471" t="s">
        <v>6</v>
      </c>
      <c r="H471" t="s">
        <v>5</v>
      </c>
      <c r="I471" t="s">
        <v>3773</v>
      </c>
      <c r="J471">
        <v>60018642</v>
      </c>
      <c r="K471" t="s">
        <v>588</v>
      </c>
      <c r="L471" t="s">
        <v>32</v>
      </c>
      <c r="M471" t="s">
        <v>7</v>
      </c>
      <c r="N471">
        <v>4</v>
      </c>
      <c r="O471" t="s">
        <v>3772</v>
      </c>
      <c r="P471" t="s">
        <v>3771</v>
      </c>
      <c r="Q471" t="s">
        <v>3770</v>
      </c>
      <c r="R471" s="7">
        <v>36462</v>
      </c>
      <c r="S471" s="8">
        <f t="shared" si="56"/>
        <v>1999</v>
      </c>
      <c r="T471" s="8">
        <v>1999</v>
      </c>
      <c r="U471" s="8">
        <f t="shared" si="57"/>
        <v>23</v>
      </c>
      <c r="V471" s="7">
        <v>36462</v>
      </c>
      <c r="W471" t="s">
        <v>748</v>
      </c>
      <c r="X471" s="2">
        <v>1.508</v>
      </c>
      <c r="Y471" s="6">
        <f t="shared" si="58"/>
        <v>4.0255198740022959E-2</v>
      </c>
      <c r="AA471">
        <v>1689452</v>
      </c>
      <c r="AB471">
        <v>16620</v>
      </c>
      <c r="AD471" t="s">
        <v>2</v>
      </c>
      <c r="AE471">
        <v>148</v>
      </c>
      <c r="AF471">
        <v>2</v>
      </c>
      <c r="AH471" t="s">
        <v>3769</v>
      </c>
      <c r="AI471" t="s">
        <v>3768</v>
      </c>
      <c r="AJ471" t="s">
        <v>3767</v>
      </c>
      <c r="AK471" t="s">
        <v>3766</v>
      </c>
      <c r="AL471">
        <v>30</v>
      </c>
      <c r="AM471" s="5">
        <f t="shared" si="59"/>
        <v>1.3043478260869565</v>
      </c>
      <c r="AN471" s="4">
        <f t="shared" si="60"/>
        <v>1.9755362757848641E-3</v>
      </c>
      <c r="AO471" s="3"/>
      <c r="AP471">
        <v>0</v>
      </c>
      <c r="AR471" t="s">
        <v>1</v>
      </c>
      <c r="AT471" s="2">
        <v>4.7290000000000001</v>
      </c>
      <c r="AU471" s="1">
        <f t="shared" si="61"/>
        <v>2.8771300000751525</v>
      </c>
      <c r="AV471" s="1">
        <f t="shared" si="62"/>
        <v>2.1115367507903913</v>
      </c>
      <c r="AW471" s="1">
        <f t="shared" si="63"/>
        <v>1.3459435015056291</v>
      </c>
    </row>
    <row r="472" spans="1:49" x14ac:dyDescent="0.2">
      <c r="A472">
        <v>470</v>
      </c>
      <c r="B472" t="s">
        <v>3765</v>
      </c>
      <c r="C472" t="s">
        <v>3764</v>
      </c>
      <c r="F472" t="s">
        <v>3763</v>
      </c>
      <c r="G472" t="s">
        <v>6</v>
      </c>
      <c r="H472" t="s">
        <v>5</v>
      </c>
      <c r="I472" t="s">
        <v>3762</v>
      </c>
      <c r="J472">
        <v>60032325</v>
      </c>
      <c r="K472" t="s">
        <v>3761</v>
      </c>
      <c r="L472" t="s">
        <v>102</v>
      </c>
      <c r="M472" t="s">
        <v>7</v>
      </c>
      <c r="N472">
        <v>5</v>
      </c>
      <c r="O472" t="s">
        <v>3760</v>
      </c>
      <c r="P472" t="s">
        <v>3759</v>
      </c>
      <c r="Q472" t="s">
        <v>3758</v>
      </c>
      <c r="R472" s="7">
        <v>36461</v>
      </c>
      <c r="S472" s="8">
        <f t="shared" si="56"/>
        <v>1999</v>
      </c>
      <c r="T472" s="8">
        <v>1999</v>
      </c>
      <c r="U472" s="8">
        <f t="shared" si="57"/>
        <v>23</v>
      </c>
      <c r="V472" s="7">
        <v>36461</v>
      </c>
      <c r="W472" t="s">
        <v>227</v>
      </c>
      <c r="X472" s="2">
        <v>0.375</v>
      </c>
      <c r="Y472" s="6">
        <f t="shared" si="58"/>
        <v>1.0010410827260351E-2</v>
      </c>
      <c r="AA472">
        <v>135194</v>
      </c>
      <c r="AB472">
        <v>24918</v>
      </c>
      <c r="AD472" t="s">
        <v>2</v>
      </c>
      <c r="AE472">
        <v>35</v>
      </c>
      <c r="AF472">
        <v>22</v>
      </c>
      <c r="AH472" t="s">
        <v>3757</v>
      </c>
      <c r="AI472" t="s">
        <v>3756</v>
      </c>
      <c r="AK472" t="s">
        <v>3755</v>
      </c>
      <c r="AL472">
        <v>7</v>
      </c>
      <c r="AM472" s="5">
        <f t="shared" si="59"/>
        <v>0.30434782608695654</v>
      </c>
      <c r="AN472" s="4">
        <f t="shared" si="60"/>
        <v>4.6095846434980164E-4</v>
      </c>
      <c r="AO472" s="3"/>
      <c r="AP472">
        <v>0</v>
      </c>
      <c r="AR472" t="s">
        <v>1</v>
      </c>
      <c r="AT472" s="2">
        <v>1.3140000000000001</v>
      </c>
      <c r="AU472" s="1">
        <f t="shared" si="61"/>
        <v>0.71455751183871863</v>
      </c>
      <c r="AV472" s="1">
        <f t="shared" si="62"/>
        <v>0.52356846458050765</v>
      </c>
      <c r="AW472" s="1">
        <f t="shared" si="63"/>
        <v>0.33257941732229662</v>
      </c>
    </row>
    <row r="473" spans="1:49" x14ac:dyDescent="0.2">
      <c r="A473">
        <v>471</v>
      </c>
      <c r="B473" t="s">
        <v>3754</v>
      </c>
      <c r="C473" t="s">
        <v>3753</v>
      </c>
      <c r="F473" t="s">
        <v>3752</v>
      </c>
      <c r="G473" t="s">
        <v>6</v>
      </c>
      <c r="H473" t="s">
        <v>5</v>
      </c>
      <c r="I473" t="s">
        <v>3751</v>
      </c>
      <c r="J473" t="s">
        <v>3750</v>
      </c>
      <c r="K473" t="s">
        <v>3749</v>
      </c>
      <c r="L473" t="s">
        <v>3748</v>
      </c>
      <c r="M473" t="s">
        <v>30</v>
      </c>
      <c r="N473">
        <v>3</v>
      </c>
      <c r="O473" t="s">
        <v>3747</v>
      </c>
      <c r="P473" t="s">
        <v>3746</v>
      </c>
      <c r="Q473" t="s">
        <v>3745</v>
      </c>
      <c r="R473" s="7">
        <v>36458</v>
      </c>
      <c r="S473" s="8">
        <f t="shared" si="56"/>
        <v>1999</v>
      </c>
      <c r="T473" s="8">
        <v>1999</v>
      </c>
      <c r="U473" s="8">
        <f t="shared" si="57"/>
        <v>23</v>
      </c>
      <c r="V473" s="7">
        <v>36458</v>
      </c>
      <c r="W473" t="s">
        <v>667</v>
      </c>
      <c r="X473" s="2">
        <v>1.1819999999999999</v>
      </c>
      <c r="Y473" s="6">
        <f t="shared" si="58"/>
        <v>3.1552814927524625E-2</v>
      </c>
      <c r="AA473">
        <v>36951</v>
      </c>
      <c r="AB473">
        <v>27030</v>
      </c>
      <c r="AD473" t="s">
        <v>2</v>
      </c>
      <c r="AE473">
        <v>75</v>
      </c>
      <c r="AF473">
        <v>17</v>
      </c>
      <c r="AH473" t="s">
        <v>3744</v>
      </c>
      <c r="AI473" t="s">
        <v>3743</v>
      </c>
      <c r="AK473" t="s">
        <v>3742</v>
      </c>
      <c r="AL473">
        <v>59</v>
      </c>
      <c r="AM473" s="5">
        <f t="shared" si="59"/>
        <v>2.5652173913043477</v>
      </c>
      <c r="AN473" s="4">
        <f t="shared" si="60"/>
        <v>3.8852213423768993E-3</v>
      </c>
      <c r="AO473" s="3"/>
      <c r="AP473">
        <v>0</v>
      </c>
      <c r="AR473" t="s">
        <v>1</v>
      </c>
      <c r="AT473" s="2">
        <v>3.7909999999999999</v>
      </c>
      <c r="AU473" s="1">
        <f t="shared" si="61"/>
        <v>2.3252536851980308</v>
      </c>
      <c r="AV473" s="1">
        <f t="shared" si="62"/>
        <v>1.7719018134950761</v>
      </c>
      <c r="AW473" s="1">
        <f t="shared" si="63"/>
        <v>1.2185499417921217</v>
      </c>
    </row>
    <row r="474" spans="1:49" x14ac:dyDescent="0.2">
      <c r="A474">
        <v>472</v>
      </c>
      <c r="B474" t="s">
        <v>3741</v>
      </c>
      <c r="C474" t="s">
        <v>3740</v>
      </c>
      <c r="E474">
        <v>10521490</v>
      </c>
      <c r="F474" t="s">
        <v>3739</v>
      </c>
      <c r="G474" t="s">
        <v>6</v>
      </c>
      <c r="H474" t="s">
        <v>5</v>
      </c>
      <c r="I474" t="s">
        <v>2972</v>
      </c>
      <c r="J474" t="s">
        <v>3738</v>
      </c>
      <c r="K474" t="s">
        <v>3737</v>
      </c>
      <c r="L474" t="s">
        <v>3736</v>
      </c>
      <c r="M474" t="s">
        <v>18</v>
      </c>
      <c r="N474">
        <v>2</v>
      </c>
      <c r="O474" t="s">
        <v>2971</v>
      </c>
      <c r="P474" t="s">
        <v>2970</v>
      </c>
      <c r="Q474" t="s">
        <v>3735</v>
      </c>
      <c r="R474" s="7">
        <v>36455</v>
      </c>
      <c r="S474" s="8">
        <f t="shared" si="56"/>
        <v>1999</v>
      </c>
      <c r="T474" s="8">
        <v>1999</v>
      </c>
      <c r="U474" s="8">
        <f t="shared" si="57"/>
        <v>23</v>
      </c>
      <c r="V474" s="7">
        <v>36455</v>
      </c>
      <c r="W474" t="s">
        <v>791</v>
      </c>
      <c r="X474" s="2">
        <v>2.3610000000000002</v>
      </c>
      <c r="Y474" s="6">
        <f t="shared" si="58"/>
        <v>6.3025546568431179E-2</v>
      </c>
      <c r="AA474">
        <v>219258</v>
      </c>
      <c r="AB474">
        <v>17592</v>
      </c>
      <c r="AD474" t="s">
        <v>2</v>
      </c>
      <c r="AE474">
        <v>274</v>
      </c>
      <c r="AF474">
        <v>43</v>
      </c>
      <c r="AH474" t="s">
        <v>3734</v>
      </c>
      <c r="AI474" t="s">
        <v>3733</v>
      </c>
      <c r="AK474" t="s">
        <v>3732</v>
      </c>
      <c r="AL474">
        <v>204</v>
      </c>
      <c r="AM474" s="5">
        <f t="shared" si="59"/>
        <v>8.8695652173913047</v>
      </c>
      <c r="AN474" s="4">
        <f t="shared" si="60"/>
        <v>1.3433646675337077E-2</v>
      </c>
      <c r="AO474" s="3"/>
      <c r="AP474">
        <v>1</v>
      </c>
      <c r="AR474" t="s">
        <v>1</v>
      </c>
      <c r="AT474" s="2">
        <v>5.157</v>
      </c>
      <c r="AU474" s="1">
        <f t="shared" si="61"/>
        <v>4.8147976600502949</v>
      </c>
      <c r="AV474" s="1">
        <f t="shared" si="62"/>
        <v>3.8229596621884125</v>
      </c>
      <c r="AW474" s="1">
        <f t="shared" si="63"/>
        <v>2.8311216643265307</v>
      </c>
    </row>
    <row r="475" spans="1:49" x14ac:dyDescent="0.2">
      <c r="A475">
        <v>473</v>
      </c>
      <c r="B475" t="s">
        <v>3731</v>
      </c>
      <c r="C475" t="s">
        <v>3730</v>
      </c>
      <c r="F475" t="s">
        <v>3729</v>
      </c>
      <c r="G475" t="s">
        <v>6</v>
      </c>
      <c r="H475" t="s">
        <v>5</v>
      </c>
      <c r="I475" t="s">
        <v>609</v>
      </c>
      <c r="J475">
        <v>60028186</v>
      </c>
      <c r="K475" t="s">
        <v>613</v>
      </c>
      <c r="L475" t="s">
        <v>612</v>
      </c>
      <c r="M475" t="s">
        <v>74</v>
      </c>
      <c r="N475">
        <v>4</v>
      </c>
      <c r="O475" t="s">
        <v>3728</v>
      </c>
      <c r="P475" t="s">
        <v>3727</v>
      </c>
      <c r="Q475" t="s">
        <v>611</v>
      </c>
      <c r="R475" s="7">
        <v>36453</v>
      </c>
      <c r="S475" s="8">
        <f t="shared" si="56"/>
        <v>1999</v>
      </c>
      <c r="T475" s="8">
        <v>1999</v>
      </c>
      <c r="U475" s="8">
        <f t="shared" si="57"/>
        <v>23</v>
      </c>
      <c r="V475" s="7">
        <v>36453</v>
      </c>
      <c r="W475" t="s">
        <v>162</v>
      </c>
      <c r="X475" s="2">
        <v>0.30399999999999999</v>
      </c>
      <c r="Y475" s="6">
        <f t="shared" si="58"/>
        <v>8.115106377299057E-3</v>
      </c>
      <c r="AA475">
        <v>8952477</v>
      </c>
      <c r="AB475">
        <v>12250</v>
      </c>
      <c r="AD475" t="s">
        <v>2</v>
      </c>
      <c r="AE475">
        <v>23</v>
      </c>
      <c r="AF475">
        <v>2</v>
      </c>
      <c r="AH475" t="s">
        <v>3726</v>
      </c>
      <c r="AI475" t="s">
        <v>3725</v>
      </c>
      <c r="AK475" t="s">
        <v>3724</v>
      </c>
      <c r="AL475">
        <v>7</v>
      </c>
      <c r="AM475" s="5">
        <f t="shared" si="59"/>
        <v>0.30434782608695654</v>
      </c>
      <c r="AN475" s="4">
        <f t="shared" si="60"/>
        <v>4.6095846434980164E-4</v>
      </c>
      <c r="AO475" s="3"/>
      <c r="AP475">
        <v>0</v>
      </c>
      <c r="AR475" t="s">
        <v>1</v>
      </c>
      <c r="AT475" s="2" t="s">
        <v>0</v>
      </c>
      <c r="AU475" s="1">
        <f t="shared" si="61"/>
        <v>0.58188620034142791</v>
      </c>
      <c r="AV475" s="1">
        <f t="shared" si="62"/>
        <v>0.42880324208244291</v>
      </c>
      <c r="AW475" s="1">
        <f t="shared" si="63"/>
        <v>0.27572028382345781</v>
      </c>
    </row>
    <row r="476" spans="1:49" x14ac:dyDescent="0.2">
      <c r="A476">
        <v>474</v>
      </c>
      <c r="B476" t="s">
        <v>3723</v>
      </c>
      <c r="C476" t="s">
        <v>3722</v>
      </c>
      <c r="D476" t="s">
        <v>3721</v>
      </c>
      <c r="F476" t="s">
        <v>3720</v>
      </c>
      <c r="G476" t="s">
        <v>6</v>
      </c>
      <c r="H476" t="s">
        <v>5</v>
      </c>
      <c r="I476" t="s">
        <v>3719</v>
      </c>
      <c r="J476" t="s">
        <v>3718</v>
      </c>
      <c r="K476" t="s">
        <v>3717</v>
      </c>
      <c r="L476" t="s">
        <v>3716</v>
      </c>
      <c r="M476" t="s">
        <v>120</v>
      </c>
      <c r="N476">
        <v>3</v>
      </c>
      <c r="O476" t="s">
        <v>3715</v>
      </c>
      <c r="P476" t="s">
        <v>3714</v>
      </c>
      <c r="Q476" t="s">
        <v>3713</v>
      </c>
      <c r="R476" s="7">
        <v>36453</v>
      </c>
      <c r="S476" s="8">
        <f t="shared" si="56"/>
        <v>1999</v>
      </c>
      <c r="T476" s="8">
        <v>1999</v>
      </c>
      <c r="U476" s="8">
        <f t="shared" si="57"/>
        <v>23</v>
      </c>
      <c r="V476" s="7">
        <v>36453</v>
      </c>
      <c r="W476" t="s">
        <v>3712</v>
      </c>
      <c r="X476" s="2">
        <v>0.372</v>
      </c>
      <c r="Y476" s="6">
        <f t="shared" si="58"/>
        <v>9.930327540642268E-3</v>
      </c>
      <c r="AA476">
        <v>9214534</v>
      </c>
      <c r="AB476">
        <v>29119</v>
      </c>
      <c r="AD476" t="s">
        <v>2</v>
      </c>
      <c r="AE476">
        <v>324</v>
      </c>
      <c r="AF476">
        <v>2</v>
      </c>
      <c r="AH476" t="s">
        <v>3711</v>
      </c>
      <c r="AI476" t="s">
        <v>3710</v>
      </c>
      <c r="AK476" t="s">
        <v>3709</v>
      </c>
      <c r="AL476">
        <v>1</v>
      </c>
      <c r="AM476" s="5">
        <f t="shared" si="59"/>
        <v>4.3478260869565216E-2</v>
      </c>
      <c r="AN476" s="4">
        <f t="shared" si="60"/>
        <v>6.5851209192828807E-5</v>
      </c>
      <c r="AO476" s="3"/>
      <c r="AP476">
        <v>0</v>
      </c>
      <c r="AR476" t="s">
        <v>1</v>
      </c>
      <c r="AT476" s="2" t="s">
        <v>0</v>
      </c>
      <c r="AU476" s="1">
        <f t="shared" si="61"/>
        <v>0.69709846412074361</v>
      </c>
      <c r="AV476" s="1">
        <f t="shared" si="62"/>
        <v>0.49980893749175481</v>
      </c>
      <c r="AW476" s="1">
        <f t="shared" si="63"/>
        <v>0.30251941086276601</v>
      </c>
    </row>
    <row r="477" spans="1:49" x14ac:dyDescent="0.2">
      <c r="A477">
        <v>475</v>
      </c>
      <c r="B477" t="s">
        <v>3708</v>
      </c>
      <c r="C477" t="s">
        <v>3707</v>
      </c>
      <c r="F477" t="s">
        <v>3706</v>
      </c>
      <c r="G477" t="s">
        <v>6</v>
      </c>
      <c r="H477" t="s">
        <v>5</v>
      </c>
      <c r="I477" t="s">
        <v>3705</v>
      </c>
      <c r="J477" t="s">
        <v>3704</v>
      </c>
      <c r="K477" t="s">
        <v>3703</v>
      </c>
      <c r="L477" t="s">
        <v>3702</v>
      </c>
      <c r="M477" t="s">
        <v>3701</v>
      </c>
      <c r="N477">
        <v>3</v>
      </c>
      <c r="O477" t="s">
        <v>3700</v>
      </c>
      <c r="P477" t="s">
        <v>3699</v>
      </c>
      <c r="Q477" t="s">
        <v>3698</v>
      </c>
      <c r="R477" s="7">
        <v>36453</v>
      </c>
      <c r="S477" s="8">
        <f t="shared" si="56"/>
        <v>1999</v>
      </c>
      <c r="T477" s="8">
        <v>1999</v>
      </c>
      <c r="U477" s="8">
        <f t="shared" si="57"/>
        <v>23</v>
      </c>
      <c r="V477" s="7">
        <v>36453</v>
      </c>
      <c r="W477" t="s">
        <v>162</v>
      </c>
      <c r="X477" s="2">
        <v>0.30399999999999999</v>
      </c>
      <c r="Y477" s="6">
        <f t="shared" si="58"/>
        <v>8.115106377299057E-3</v>
      </c>
      <c r="AA477">
        <v>8952477</v>
      </c>
      <c r="AB477">
        <v>12250</v>
      </c>
      <c r="AD477" t="s">
        <v>2</v>
      </c>
      <c r="AE477">
        <v>23</v>
      </c>
      <c r="AF477">
        <v>2</v>
      </c>
      <c r="AH477" t="s">
        <v>3697</v>
      </c>
      <c r="AI477" t="s">
        <v>3696</v>
      </c>
      <c r="AK477" t="s">
        <v>3695</v>
      </c>
      <c r="AL477">
        <v>19</v>
      </c>
      <c r="AM477" s="5">
        <f t="shared" si="59"/>
        <v>0.82608695652173914</v>
      </c>
      <c r="AN477" s="4">
        <f t="shared" si="60"/>
        <v>1.2511729746637473E-3</v>
      </c>
      <c r="AO477" s="3"/>
      <c r="AP477">
        <v>0</v>
      </c>
      <c r="AR477" t="s">
        <v>1</v>
      </c>
      <c r="AT477" s="2" t="s">
        <v>0</v>
      </c>
      <c r="AU477" s="1">
        <f t="shared" si="61"/>
        <v>0.60559263565084642</v>
      </c>
      <c r="AV477" s="1">
        <f t="shared" si="62"/>
        <v>0.4683139675981402</v>
      </c>
      <c r="AW477" s="1">
        <f t="shared" si="63"/>
        <v>0.33103529954543404</v>
      </c>
    </row>
    <row r="478" spans="1:49" x14ac:dyDescent="0.2">
      <c r="A478">
        <v>476</v>
      </c>
      <c r="B478" t="s">
        <v>3694</v>
      </c>
      <c r="C478" t="s">
        <v>3693</v>
      </c>
      <c r="F478" t="s">
        <v>3692</v>
      </c>
      <c r="G478" t="s">
        <v>6</v>
      </c>
      <c r="H478" t="s">
        <v>5</v>
      </c>
      <c r="I478" t="s">
        <v>542</v>
      </c>
      <c r="J478">
        <v>60005244</v>
      </c>
      <c r="K478" t="s">
        <v>527</v>
      </c>
      <c r="L478" t="s">
        <v>400</v>
      </c>
      <c r="M478" t="s">
        <v>78</v>
      </c>
      <c r="N478">
        <v>1</v>
      </c>
      <c r="O478" t="s">
        <v>3691</v>
      </c>
      <c r="P478">
        <v>7409424720</v>
      </c>
      <c r="Q478">
        <v>60005244</v>
      </c>
      <c r="R478" s="7">
        <v>36453</v>
      </c>
      <c r="S478" s="8">
        <f t="shared" si="56"/>
        <v>1999</v>
      </c>
      <c r="T478" s="8">
        <v>1999</v>
      </c>
      <c r="U478" s="8">
        <f t="shared" si="57"/>
        <v>23</v>
      </c>
      <c r="V478" s="7">
        <v>36453</v>
      </c>
      <c r="W478" t="s">
        <v>162</v>
      </c>
      <c r="X478" s="2">
        <v>0.30399999999999999</v>
      </c>
      <c r="Y478" s="6">
        <f t="shared" si="58"/>
        <v>8.115106377299057E-3</v>
      </c>
      <c r="AA478">
        <v>8952477</v>
      </c>
      <c r="AB478">
        <v>12250</v>
      </c>
      <c r="AD478" t="s">
        <v>2</v>
      </c>
      <c r="AE478">
        <v>23</v>
      </c>
      <c r="AF478">
        <v>2</v>
      </c>
      <c r="AH478" t="s">
        <v>591</v>
      </c>
      <c r="AI478" t="s">
        <v>3690</v>
      </c>
      <c r="AK478" t="s">
        <v>3689</v>
      </c>
      <c r="AL478">
        <v>11</v>
      </c>
      <c r="AM478" s="5">
        <f t="shared" si="59"/>
        <v>0.47826086956521741</v>
      </c>
      <c r="AN478" s="4">
        <f t="shared" si="60"/>
        <v>7.2436330112111687E-4</v>
      </c>
      <c r="AO478" s="3"/>
      <c r="AP478">
        <v>0</v>
      </c>
      <c r="AR478" t="s">
        <v>1</v>
      </c>
      <c r="AT478" s="2" t="s">
        <v>0</v>
      </c>
      <c r="AU478" s="1">
        <f t="shared" si="61"/>
        <v>0.58978834544456737</v>
      </c>
      <c r="AV478" s="1">
        <f t="shared" si="62"/>
        <v>0.44197348392100866</v>
      </c>
      <c r="AW478" s="1">
        <f t="shared" si="63"/>
        <v>0.29415862239744989</v>
      </c>
    </row>
    <row r="479" spans="1:49" x14ac:dyDescent="0.2">
      <c r="A479">
        <v>477</v>
      </c>
      <c r="B479" t="s">
        <v>3688</v>
      </c>
      <c r="C479" t="s">
        <v>3687</v>
      </c>
      <c r="F479" t="s">
        <v>3686</v>
      </c>
      <c r="G479" t="s">
        <v>6</v>
      </c>
      <c r="H479" t="s">
        <v>5</v>
      </c>
      <c r="I479" t="s">
        <v>484</v>
      </c>
      <c r="J479">
        <v>60015941</v>
      </c>
      <c r="K479" t="s">
        <v>483</v>
      </c>
      <c r="L479" t="s">
        <v>482</v>
      </c>
      <c r="M479" t="s">
        <v>3</v>
      </c>
      <c r="N479">
        <v>2</v>
      </c>
      <c r="O479" t="s">
        <v>3685</v>
      </c>
      <c r="P479" t="s">
        <v>3684</v>
      </c>
      <c r="Q479" t="s">
        <v>1282</v>
      </c>
      <c r="R479" s="7">
        <v>36453</v>
      </c>
      <c r="S479" s="8">
        <f t="shared" si="56"/>
        <v>1999</v>
      </c>
      <c r="T479" s="8">
        <v>1999</v>
      </c>
      <c r="U479" s="8">
        <f t="shared" si="57"/>
        <v>23</v>
      </c>
      <c r="V479" s="7">
        <v>36453</v>
      </c>
      <c r="W479" t="s">
        <v>162</v>
      </c>
      <c r="X479" s="2">
        <v>0.30399999999999999</v>
      </c>
      <c r="Y479" s="6">
        <f t="shared" si="58"/>
        <v>8.115106377299057E-3</v>
      </c>
      <c r="AA479">
        <v>8952477</v>
      </c>
      <c r="AB479">
        <v>12250</v>
      </c>
      <c r="AD479" t="s">
        <v>2</v>
      </c>
      <c r="AE479">
        <v>23</v>
      </c>
      <c r="AF479">
        <v>2</v>
      </c>
      <c r="AH479" t="s">
        <v>3683</v>
      </c>
      <c r="AI479" t="s">
        <v>3682</v>
      </c>
      <c r="AK479" t="s">
        <v>3681</v>
      </c>
      <c r="AL479">
        <v>12</v>
      </c>
      <c r="AM479" s="5">
        <f t="shared" si="59"/>
        <v>0.52173913043478259</v>
      </c>
      <c r="AN479" s="4">
        <f t="shared" si="60"/>
        <v>7.9021451031394564E-4</v>
      </c>
      <c r="AO479" s="3"/>
      <c r="AP479">
        <v>0</v>
      </c>
      <c r="AR479" t="s">
        <v>1</v>
      </c>
      <c r="AT479" s="2" t="s">
        <v>0</v>
      </c>
      <c r="AU479" s="1">
        <f t="shared" si="61"/>
        <v>0.59176388172035232</v>
      </c>
      <c r="AV479" s="1">
        <f t="shared" si="62"/>
        <v>0.44526604438065009</v>
      </c>
      <c r="AW479" s="1">
        <f t="shared" si="63"/>
        <v>0.29876820704094792</v>
      </c>
    </row>
    <row r="480" spans="1:49" x14ac:dyDescent="0.2">
      <c r="A480">
        <v>478</v>
      </c>
      <c r="B480" t="s">
        <v>3680</v>
      </c>
      <c r="C480" t="s">
        <v>3679</v>
      </c>
      <c r="F480" t="s">
        <v>3678</v>
      </c>
      <c r="G480" t="s">
        <v>6</v>
      </c>
      <c r="H480" t="s">
        <v>5</v>
      </c>
      <c r="I480" t="s">
        <v>3677</v>
      </c>
      <c r="J480">
        <v>60011357</v>
      </c>
      <c r="K480" t="s">
        <v>218</v>
      </c>
      <c r="L480" t="s">
        <v>217</v>
      </c>
      <c r="M480" t="s">
        <v>133</v>
      </c>
      <c r="N480">
        <v>2</v>
      </c>
      <c r="O480" t="s">
        <v>3676</v>
      </c>
      <c r="P480" t="s">
        <v>3675</v>
      </c>
      <c r="Q480" t="s">
        <v>216</v>
      </c>
      <c r="R480" s="7">
        <v>36453</v>
      </c>
      <c r="S480" s="8">
        <f t="shared" si="56"/>
        <v>1999</v>
      </c>
      <c r="T480" s="8">
        <v>1999</v>
      </c>
      <c r="U480" s="8">
        <f t="shared" si="57"/>
        <v>23</v>
      </c>
      <c r="V480" s="7">
        <v>36453</v>
      </c>
      <c r="W480" t="s">
        <v>162</v>
      </c>
      <c r="X480" s="2">
        <v>0.30399999999999999</v>
      </c>
      <c r="Y480" s="6">
        <f t="shared" si="58"/>
        <v>8.115106377299057E-3</v>
      </c>
      <c r="AA480">
        <v>8952477</v>
      </c>
      <c r="AB480">
        <v>12250</v>
      </c>
      <c r="AD480" t="s">
        <v>2</v>
      </c>
      <c r="AE480">
        <v>23</v>
      </c>
      <c r="AF480">
        <v>2</v>
      </c>
      <c r="AH480" t="s">
        <v>3674</v>
      </c>
      <c r="AI480" t="s">
        <v>3673</v>
      </c>
      <c r="AK480" t="s">
        <v>3672</v>
      </c>
      <c r="AL480">
        <v>20</v>
      </c>
      <c r="AM480" s="5">
        <f t="shared" si="59"/>
        <v>0.86956521739130432</v>
      </c>
      <c r="AN480" s="4">
        <f t="shared" si="60"/>
        <v>1.317024183856576E-3</v>
      </c>
      <c r="AO480" s="3"/>
      <c r="AP480">
        <v>0</v>
      </c>
      <c r="AR480" t="s">
        <v>1</v>
      </c>
      <c r="AT480" s="2" t="s">
        <v>0</v>
      </c>
      <c r="AU480" s="1">
        <f t="shared" si="61"/>
        <v>0.60756817192663115</v>
      </c>
      <c r="AV480" s="1">
        <f t="shared" si="62"/>
        <v>0.47160652805778164</v>
      </c>
      <c r="AW480" s="1">
        <f t="shared" si="63"/>
        <v>0.33564488418893201</v>
      </c>
    </row>
    <row r="481" spans="1:49" x14ac:dyDescent="0.2">
      <c r="A481">
        <v>479</v>
      </c>
      <c r="B481" t="s">
        <v>3671</v>
      </c>
      <c r="C481" t="s">
        <v>3670</v>
      </c>
      <c r="F481" t="s">
        <v>3669</v>
      </c>
      <c r="G481" t="s">
        <v>6</v>
      </c>
      <c r="H481" t="s">
        <v>5</v>
      </c>
      <c r="I481" t="s">
        <v>583</v>
      </c>
      <c r="J481" t="s">
        <v>578</v>
      </c>
      <c r="K481" t="s">
        <v>582</v>
      </c>
      <c r="L481" t="s">
        <v>581</v>
      </c>
      <c r="M481" t="s">
        <v>180</v>
      </c>
      <c r="N481">
        <v>2</v>
      </c>
      <c r="O481" t="s">
        <v>580</v>
      </c>
      <c r="P481" t="s">
        <v>579</v>
      </c>
      <c r="Q481" t="s">
        <v>578</v>
      </c>
      <c r="R481" s="7">
        <v>36453</v>
      </c>
      <c r="S481" s="8">
        <f t="shared" si="56"/>
        <v>1999</v>
      </c>
      <c r="T481" s="8">
        <v>1999</v>
      </c>
      <c r="U481" s="8">
        <f t="shared" si="57"/>
        <v>23</v>
      </c>
      <c r="V481" s="7">
        <v>36453</v>
      </c>
      <c r="W481" t="s">
        <v>162</v>
      </c>
      <c r="X481" s="2">
        <v>0.30399999999999999</v>
      </c>
      <c r="Y481" s="6">
        <f t="shared" si="58"/>
        <v>8.115106377299057E-3</v>
      </c>
      <c r="AA481">
        <v>8952477</v>
      </c>
      <c r="AB481">
        <v>12250</v>
      </c>
      <c r="AD481" t="s">
        <v>2</v>
      </c>
      <c r="AE481">
        <v>23</v>
      </c>
      <c r="AF481">
        <v>2</v>
      </c>
      <c r="AH481" t="s">
        <v>225</v>
      </c>
      <c r="AI481" t="s">
        <v>3668</v>
      </c>
      <c r="AK481" t="s">
        <v>3667</v>
      </c>
      <c r="AL481">
        <v>49</v>
      </c>
      <c r="AM481" s="5">
        <f t="shared" si="59"/>
        <v>2.1304347826086958</v>
      </c>
      <c r="AN481" s="4">
        <f t="shared" si="60"/>
        <v>3.2267092504486114E-3</v>
      </c>
      <c r="AO481" s="3"/>
      <c r="AP481">
        <v>0</v>
      </c>
      <c r="AR481" t="s">
        <v>1</v>
      </c>
      <c r="AT481" s="2" t="s">
        <v>0</v>
      </c>
      <c r="AU481" s="1">
        <f t="shared" si="61"/>
        <v>0.66485872392439227</v>
      </c>
      <c r="AV481" s="1">
        <f t="shared" si="62"/>
        <v>0.56709078138738345</v>
      </c>
      <c r="AW481" s="1">
        <f t="shared" si="63"/>
        <v>0.46932283885037457</v>
      </c>
    </row>
    <row r="482" spans="1:49" x14ac:dyDescent="0.2">
      <c r="A482">
        <v>480</v>
      </c>
      <c r="B482" t="s">
        <v>3666</v>
      </c>
      <c r="C482" t="s">
        <v>3665</v>
      </c>
      <c r="F482" t="s">
        <v>3664</v>
      </c>
      <c r="G482" t="s">
        <v>6</v>
      </c>
      <c r="H482" t="s">
        <v>5</v>
      </c>
      <c r="I482" t="s">
        <v>3663</v>
      </c>
      <c r="J482">
        <v>60033316</v>
      </c>
      <c r="K482" t="s">
        <v>3662</v>
      </c>
      <c r="L482" t="s">
        <v>3661</v>
      </c>
      <c r="M482" t="s">
        <v>188</v>
      </c>
      <c r="N482">
        <v>1</v>
      </c>
      <c r="O482" t="s">
        <v>3660</v>
      </c>
      <c r="P482">
        <v>57204207125</v>
      </c>
      <c r="Q482">
        <v>60033316</v>
      </c>
      <c r="R482" s="7">
        <v>36453</v>
      </c>
      <c r="S482" s="8">
        <f t="shared" si="56"/>
        <v>1999</v>
      </c>
      <c r="T482" s="8">
        <v>1999</v>
      </c>
      <c r="U482" s="8">
        <f t="shared" si="57"/>
        <v>23</v>
      </c>
      <c r="V482" s="7">
        <v>36453</v>
      </c>
      <c r="W482" t="s">
        <v>162</v>
      </c>
      <c r="X482" s="2">
        <v>0.30399999999999999</v>
      </c>
      <c r="Y482" s="6">
        <f t="shared" si="58"/>
        <v>8.115106377299057E-3</v>
      </c>
      <c r="AA482">
        <v>8952477</v>
      </c>
      <c r="AB482">
        <v>12250</v>
      </c>
      <c r="AD482" t="s">
        <v>2</v>
      </c>
      <c r="AE482">
        <v>23</v>
      </c>
      <c r="AF482">
        <v>2</v>
      </c>
      <c r="AH482" t="s">
        <v>140</v>
      </c>
      <c r="AI482" t="s">
        <v>3659</v>
      </c>
      <c r="AK482" t="s">
        <v>3658</v>
      </c>
      <c r="AL482">
        <v>2</v>
      </c>
      <c r="AM482" s="5">
        <f t="shared" si="59"/>
        <v>8.6956521739130432E-2</v>
      </c>
      <c r="AN482" s="4">
        <f t="shared" si="60"/>
        <v>1.3170241838565761E-4</v>
      </c>
      <c r="AO482" s="3"/>
      <c r="AP482">
        <v>0</v>
      </c>
      <c r="AR482" t="s">
        <v>1</v>
      </c>
      <c r="AT482" s="2" t="s">
        <v>0</v>
      </c>
      <c r="AU482" s="1">
        <f t="shared" si="61"/>
        <v>0.57200851896250371</v>
      </c>
      <c r="AV482" s="1">
        <f t="shared" si="62"/>
        <v>0.41234043978423568</v>
      </c>
      <c r="AW482" s="1">
        <f t="shared" si="63"/>
        <v>0.25267236060596776</v>
      </c>
    </row>
    <row r="483" spans="1:49" x14ac:dyDescent="0.2">
      <c r="A483">
        <v>481</v>
      </c>
      <c r="B483" t="s">
        <v>3657</v>
      </c>
      <c r="C483" t="s">
        <v>3656</v>
      </c>
      <c r="F483" t="s">
        <v>3655</v>
      </c>
      <c r="G483" t="s">
        <v>6</v>
      </c>
      <c r="H483" t="s">
        <v>5</v>
      </c>
      <c r="I483" t="s">
        <v>3654</v>
      </c>
      <c r="J483">
        <v>60011357</v>
      </c>
      <c r="K483" t="s">
        <v>218</v>
      </c>
      <c r="L483" t="s">
        <v>217</v>
      </c>
      <c r="M483" t="s">
        <v>133</v>
      </c>
      <c r="N483">
        <v>2</v>
      </c>
      <c r="O483" t="s">
        <v>3653</v>
      </c>
      <c r="P483" t="s">
        <v>3652</v>
      </c>
      <c r="Q483" t="s">
        <v>216</v>
      </c>
      <c r="R483" s="7">
        <v>36453</v>
      </c>
      <c r="S483" s="8">
        <f t="shared" si="56"/>
        <v>1999</v>
      </c>
      <c r="T483" s="8">
        <v>1999</v>
      </c>
      <c r="U483" s="8">
        <f t="shared" si="57"/>
        <v>23</v>
      </c>
      <c r="V483" s="7">
        <v>36453</v>
      </c>
      <c r="W483" t="s">
        <v>162</v>
      </c>
      <c r="X483" s="2">
        <v>0.30399999999999999</v>
      </c>
      <c r="Y483" s="6">
        <f t="shared" si="58"/>
        <v>8.115106377299057E-3</v>
      </c>
      <c r="AA483">
        <v>8952477</v>
      </c>
      <c r="AB483">
        <v>12250</v>
      </c>
      <c r="AD483" t="s">
        <v>2</v>
      </c>
      <c r="AE483">
        <v>23</v>
      </c>
      <c r="AF483">
        <v>2</v>
      </c>
      <c r="AH483" t="s">
        <v>3651</v>
      </c>
      <c r="AI483" t="s">
        <v>3650</v>
      </c>
      <c r="AK483" t="s">
        <v>3649</v>
      </c>
      <c r="AL483">
        <v>9</v>
      </c>
      <c r="AM483" s="5">
        <f t="shared" si="59"/>
        <v>0.39130434782608697</v>
      </c>
      <c r="AN483" s="4">
        <f t="shared" si="60"/>
        <v>5.9266088273545923E-4</v>
      </c>
      <c r="AO483" s="3"/>
      <c r="AP483">
        <v>0</v>
      </c>
      <c r="AR483" t="s">
        <v>1</v>
      </c>
      <c r="AT483" s="2" t="s">
        <v>0</v>
      </c>
      <c r="AU483" s="1">
        <f t="shared" si="61"/>
        <v>0.5858372728929977</v>
      </c>
      <c r="AV483" s="1">
        <f t="shared" si="62"/>
        <v>0.43538836300172584</v>
      </c>
      <c r="AW483" s="1">
        <f t="shared" si="63"/>
        <v>0.28493945311045388</v>
      </c>
    </row>
    <row r="484" spans="1:49" x14ac:dyDescent="0.2">
      <c r="A484">
        <v>482</v>
      </c>
      <c r="B484" t="s">
        <v>3648</v>
      </c>
      <c r="C484" t="s">
        <v>3647</v>
      </c>
      <c r="E484">
        <v>10504403</v>
      </c>
      <c r="F484" t="s">
        <v>3646</v>
      </c>
      <c r="G484" t="s">
        <v>6</v>
      </c>
      <c r="H484" t="s">
        <v>5</v>
      </c>
      <c r="I484" t="s">
        <v>3645</v>
      </c>
      <c r="J484" t="s">
        <v>3644</v>
      </c>
      <c r="K484" t="s">
        <v>3643</v>
      </c>
      <c r="L484" t="s">
        <v>3642</v>
      </c>
      <c r="M484" t="s">
        <v>474</v>
      </c>
      <c r="N484">
        <v>5</v>
      </c>
      <c r="O484" t="s">
        <v>3641</v>
      </c>
      <c r="P484" t="s">
        <v>3640</v>
      </c>
      <c r="Q484" t="s">
        <v>3639</v>
      </c>
      <c r="R484" s="7">
        <v>36448</v>
      </c>
      <c r="S484" s="8">
        <f t="shared" si="56"/>
        <v>1999</v>
      </c>
      <c r="T484" s="8">
        <v>1999</v>
      </c>
      <c r="U484" s="8">
        <f t="shared" si="57"/>
        <v>23</v>
      </c>
      <c r="V484" s="7">
        <v>36448</v>
      </c>
      <c r="W484" t="s">
        <v>845</v>
      </c>
      <c r="X484" s="2">
        <v>1.9810000000000001</v>
      </c>
      <c r="Y484" s="6">
        <f t="shared" si="58"/>
        <v>5.2881663596807349E-2</v>
      </c>
      <c r="AA484">
        <v>142956</v>
      </c>
      <c r="AB484">
        <v>39034</v>
      </c>
      <c r="AD484" t="s">
        <v>2</v>
      </c>
      <c r="AE484">
        <v>265</v>
      </c>
      <c r="AF484">
        <v>2</v>
      </c>
      <c r="AH484" t="s">
        <v>3638</v>
      </c>
      <c r="AI484" t="s">
        <v>3637</v>
      </c>
      <c r="AJ484" t="s">
        <v>3636</v>
      </c>
      <c r="AK484" t="s">
        <v>3635</v>
      </c>
      <c r="AL484">
        <v>41</v>
      </c>
      <c r="AM484" s="5">
        <f t="shared" si="59"/>
        <v>1.7826086956521738</v>
      </c>
      <c r="AN484" s="4">
        <f t="shared" si="60"/>
        <v>2.6998995769059808E-3</v>
      </c>
      <c r="AO484" s="3"/>
      <c r="AP484">
        <v>0</v>
      </c>
      <c r="AR484" t="s">
        <v>1</v>
      </c>
      <c r="AT484" s="2" t="s">
        <v>0</v>
      </c>
      <c r="AU484" s="1">
        <f t="shared" si="61"/>
        <v>3.7827134390836936</v>
      </c>
      <c r="AV484" s="1">
        <f t="shared" si="62"/>
        <v>2.7790781586856665</v>
      </c>
      <c r="AW484" s="1">
        <f t="shared" si="63"/>
        <v>1.775442878287639</v>
      </c>
    </row>
    <row r="485" spans="1:49" x14ac:dyDescent="0.2">
      <c r="A485">
        <v>483</v>
      </c>
      <c r="B485" t="s">
        <v>3634</v>
      </c>
      <c r="C485" t="s">
        <v>3633</v>
      </c>
      <c r="F485" t="s">
        <v>3632</v>
      </c>
      <c r="G485" t="s">
        <v>6</v>
      </c>
      <c r="H485" t="s">
        <v>5</v>
      </c>
      <c r="I485" t="s">
        <v>3631</v>
      </c>
      <c r="J485">
        <v>60012370</v>
      </c>
      <c r="K485" t="s">
        <v>201</v>
      </c>
      <c r="L485" t="s">
        <v>200</v>
      </c>
      <c r="M485" t="s">
        <v>133</v>
      </c>
      <c r="N485">
        <v>2</v>
      </c>
      <c r="O485" t="s">
        <v>3630</v>
      </c>
      <c r="P485" t="s">
        <v>3629</v>
      </c>
      <c r="Q485" t="s">
        <v>199</v>
      </c>
      <c r="R485" s="7">
        <v>36447</v>
      </c>
      <c r="S485" s="8">
        <f t="shared" si="56"/>
        <v>1999</v>
      </c>
      <c r="T485" s="8">
        <v>1999</v>
      </c>
      <c r="U485" s="8">
        <f t="shared" si="57"/>
        <v>23</v>
      </c>
      <c r="V485" s="7">
        <v>36447</v>
      </c>
      <c r="W485" t="s">
        <v>227</v>
      </c>
      <c r="X485" s="2">
        <v>0.375</v>
      </c>
      <c r="Y485" s="6">
        <f t="shared" si="58"/>
        <v>1.0010410827260351E-2</v>
      </c>
      <c r="AA485">
        <v>135194</v>
      </c>
      <c r="AB485">
        <v>24918</v>
      </c>
      <c r="AD485" t="s">
        <v>2</v>
      </c>
      <c r="AE485">
        <v>35</v>
      </c>
      <c r="AF485">
        <v>21</v>
      </c>
      <c r="AH485" t="s">
        <v>3628</v>
      </c>
      <c r="AI485" t="s">
        <v>3627</v>
      </c>
      <c r="AK485" t="s">
        <v>3626</v>
      </c>
      <c r="AL485">
        <v>11</v>
      </c>
      <c r="AM485" s="5">
        <f t="shared" si="59"/>
        <v>0.47826086956521741</v>
      </c>
      <c r="AN485" s="4">
        <f t="shared" si="60"/>
        <v>7.2436330112111687E-4</v>
      </c>
      <c r="AO485" s="3"/>
      <c r="AP485">
        <v>0</v>
      </c>
      <c r="AR485" t="s">
        <v>1</v>
      </c>
      <c r="AT485" s="2">
        <v>1.3140000000000001</v>
      </c>
      <c r="AU485" s="1">
        <f t="shared" si="61"/>
        <v>0.7224596569418581</v>
      </c>
      <c r="AV485" s="1">
        <f t="shared" si="62"/>
        <v>0.5367387064190734</v>
      </c>
      <c r="AW485" s="1">
        <f t="shared" si="63"/>
        <v>0.3510177558962887</v>
      </c>
    </row>
    <row r="486" spans="1:49" x14ac:dyDescent="0.2">
      <c r="A486">
        <v>484</v>
      </c>
      <c r="B486" t="s">
        <v>3625</v>
      </c>
      <c r="C486" t="s">
        <v>3624</v>
      </c>
      <c r="F486" t="s">
        <v>3623</v>
      </c>
      <c r="G486" t="s">
        <v>6</v>
      </c>
      <c r="H486" t="s">
        <v>5</v>
      </c>
      <c r="I486" t="s">
        <v>31</v>
      </c>
      <c r="J486">
        <v>60032144</v>
      </c>
      <c r="K486" t="s">
        <v>302</v>
      </c>
      <c r="L486" t="s">
        <v>301</v>
      </c>
      <c r="M486" t="s">
        <v>45</v>
      </c>
      <c r="N486">
        <v>2</v>
      </c>
      <c r="O486" t="s">
        <v>3622</v>
      </c>
      <c r="P486" t="s">
        <v>3621</v>
      </c>
      <c r="Q486" t="s">
        <v>368</v>
      </c>
      <c r="R486" s="7">
        <v>36447</v>
      </c>
      <c r="S486" s="8">
        <f t="shared" si="56"/>
        <v>1999</v>
      </c>
      <c r="T486" s="8">
        <v>1999</v>
      </c>
      <c r="U486" s="8">
        <f t="shared" si="57"/>
        <v>23</v>
      </c>
      <c r="V486" s="7">
        <v>36447</v>
      </c>
      <c r="W486" t="s">
        <v>227</v>
      </c>
      <c r="X486" s="2">
        <v>0.375</v>
      </c>
      <c r="Y486" s="6">
        <f t="shared" si="58"/>
        <v>1.0010410827260351E-2</v>
      </c>
      <c r="AA486">
        <v>135194</v>
      </c>
      <c r="AB486">
        <v>24918</v>
      </c>
      <c r="AD486" t="s">
        <v>2</v>
      </c>
      <c r="AE486">
        <v>35</v>
      </c>
      <c r="AF486">
        <v>21</v>
      </c>
      <c r="AH486" t="s">
        <v>3620</v>
      </c>
      <c r="AI486" t="s">
        <v>3619</v>
      </c>
      <c r="AK486" t="s">
        <v>3618</v>
      </c>
      <c r="AL486">
        <v>3</v>
      </c>
      <c r="AM486" s="5">
        <f t="shared" si="59"/>
        <v>0.13043478260869565</v>
      </c>
      <c r="AN486" s="4">
        <f t="shared" si="60"/>
        <v>1.9755362757848641E-4</v>
      </c>
      <c r="AO486" s="3"/>
      <c r="AP486">
        <v>0</v>
      </c>
      <c r="AR486" t="s">
        <v>1</v>
      </c>
      <c r="AT486" s="2">
        <v>1.3140000000000001</v>
      </c>
      <c r="AU486" s="1">
        <f t="shared" si="61"/>
        <v>0.70665536673557916</v>
      </c>
      <c r="AV486" s="1">
        <f t="shared" si="62"/>
        <v>0.51039822274194191</v>
      </c>
      <c r="AW486" s="1">
        <f t="shared" si="63"/>
        <v>0.31414107874830455</v>
      </c>
    </row>
    <row r="487" spans="1:49" x14ac:dyDescent="0.2">
      <c r="A487">
        <v>485</v>
      </c>
      <c r="B487" t="s">
        <v>3617</v>
      </c>
      <c r="C487" t="s">
        <v>3616</v>
      </c>
      <c r="F487" t="s">
        <v>3615</v>
      </c>
      <c r="G487" t="s">
        <v>6</v>
      </c>
      <c r="H487" t="s">
        <v>5</v>
      </c>
      <c r="I487" t="s">
        <v>3614</v>
      </c>
      <c r="J487">
        <v>60032398</v>
      </c>
      <c r="K487" t="s">
        <v>3613</v>
      </c>
      <c r="L487" t="s">
        <v>3612</v>
      </c>
      <c r="M487" t="s">
        <v>485</v>
      </c>
      <c r="N487">
        <v>3</v>
      </c>
      <c r="O487" t="s">
        <v>3611</v>
      </c>
      <c r="P487" t="s">
        <v>3610</v>
      </c>
      <c r="Q487" t="s">
        <v>3609</v>
      </c>
      <c r="R487" s="7">
        <v>36447</v>
      </c>
      <c r="S487" s="8">
        <f t="shared" si="56"/>
        <v>1999</v>
      </c>
      <c r="T487" s="8">
        <v>1999</v>
      </c>
      <c r="U487" s="8">
        <f t="shared" si="57"/>
        <v>23</v>
      </c>
      <c r="V487" s="7">
        <v>36447</v>
      </c>
      <c r="W487" t="s">
        <v>647</v>
      </c>
      <c r="X487" s="2">
        <v>0.86399999999999999</v>
      </c>
      <c r="Y487" s="6">
        <f t="shared" si="58"/>
        <v>2.3063986546007848E-2</v>
      </c>
      <c r="AA487">
        <v>15206106</v>
      </c>
      <c r="AB487">
        <v>26970</v>
      </c>
      <c r="AD487" t="s">
        <v>2</v>
      </c>
      <c r="AE487">
        <v>103</v>
      </c>
      <c r="AF487">
        <v>41</v>
      </c>
      <c r="AH487" t="s">
        <v>3608</v>
      </c>
      <c r="AI487" t="s">
        <v>3607</v>
      </c>
      <c r="AK487" t="s">
        <v>3606</v>
      </c>
      <c r="AL487">
        <v>73</v>
      </c>
      <c r="AM487" s="5">
        <f t="shared" si="59"/>
        <v>3.1739130434782608</v>
      </c>
      <c r="AN487" s="4">
        <f t="shared" si="60"/>
        <v>4.8071382710765023E-3</v>
      </c>
      <c r="AO487" s="3"/>
      <c r="AP487">
        <v>0</v>
      </c>
      <c r="AR487" t="s">
        <v>1</v>
      </c>
      <c r="AT487" s="2">
        <v>2.9910000000000001</v>
      </c>
      <c r="AU487" s="1">
        <f t="shared" si="61"/>
        <v>1.7586932063528442</v>
      </c>
      <c r="AV487" s="1">
        <f t="shared" si="62"/>
        <v>1.3935562408542175</v>
      </c>
      <c r="AW487" s="1">
        <f t="shared" si="63"/>
        <v>1.0284192753555905</v>
      </c>
    </row>
    <row r="488" spans="1:49" x14ac:dyDescent="0.2">
      <c r="A488">
        <v>486</v>
      </c>
      <c r="B488" t="s">
        <v>3605</v>
      </c>
      <c r="C488" t="s">
        <v>3604</v>
      </c>
      <c r="E488">
        <v>10501787</v>
      </c>
      <c r="F488" t="s">
        <v>3603</v>
      </c>
      <c r="G488" t="s">
        <v>6</v>
      </c>
      <c r="H488" t="s">
        <v>5</v>
      </c>
      <c r="I488" t="s">
        <v>3602</v>
      </c>
      <c r="J488">
        <v>60027201</v>
      </c>
      <c r="K488" t="s">
        <v>3601</v>
      </c>
      <c r="L488" t="s">
        <v>3600</v>
      </c>
      <c r="M488" t="s">
        <v>58</v>
      </c>
      <c r="N488">
        <v>2</v>
      </c>
      <c r="O488" t="s">
        <v>3599</v>
      </c>
      <c r="P488" t="s">
        <v>3598</v>
      </c>
      <c r="Q488" t="s">
        <v>3597</v>
      </c>
      <c r="R488" s="7">
        <v>36446</v>
      </c>
      <c r="S488" s="8">
        <f t="shared" si="56"/>
        <v>1999</v>
      </c>
      <c r="T488" s="8">
        <v>1999</v>
      </c>
      <c r="U488" s="8">
        <f t="shared" si="57"/>
        <v>23</v>
      </c>
      <c r="V488" s="7">
        <v>1999</v>
      </c>
      <c r="W488" t="s">
        <v>3596</v>
      </c>
      <c r="X488" s="2">
        <v>1.28</v>
      </c>
      <c r="Y488" s="6">
        <f t="shared" si="58"/>
        <v>3.4168868957048668E-2</v>
      </c>
      <c r="AA488" t="s">
        <v>3595</v>
      </c>
      <c r="AB488">
        <v>16453</v>
      </c>
      <c r="AD488" t="s">
        <v>2</v>
      </c>
      <c r="AE488">
        <v>10</v>
      </c>
      <c r="AF488">
        <v>2</v>
      </c>
      <c r="AH488" t="s">
        <v>3594</v>
      </c>
      <c r="AI488" t="s">
        <v>3593</v>
      </c>
      <c r="AJ488" t="s">
        <v>3592</v>
      </c>
      <c r="AK488" t="s">
        <v>3591</v>
      </c>
      <c r="AL488">
        <v>10</v>
      </c>
      <c r="AM488" s="5">
        <f t="shared" si="59"/>
        <v>0.43478260869565216</v>
      </c>
      <c r="AN488" s="4">
        <f t="shared" si="60"/>
        <v>6.5851209192828799E-4</v>
      </c>
      <c r="AO488" s="3"/>
      <c r="AP488">
        <v>0</v>
      </c>
      <c r="AR488" t="s">
        <v>1</v>
      </c>
      <c r="AT488" s="2">
        <v>4.5069999999999997</v>
      </c>
      <c r="AU488" s="1">
        <f t="shared" si="61"/>
        <v>2.4115761897512549</v>
      </c>
      <c r="AV488" s="1">
        <f t="shared" si="62"/>
        <v>1.7413690524488479</v>
      </c>
      <c r="AW488" s="1">
        <f t="shared" si="63"/>
        <v>1.07116191514644</v>
      </c>
    </row>
    <row r="489" spans="1:49" x14ac:dyDescent="0.2">
      <c r="A489">
        <v>487</v>
      </c>
      <c r="B489" t="s">
        <v>3590</v>
      </c>
      <c r="F489" t="s">
        <v>3589</v>
      </c>
      <c r="G489" t="s">
        <v>6</v>
      </c>
      <c r="H489" t="s">
        <v>5</v>
      </c>
      <c r="I489" t="s">
        <v>3588</v>
      </c>
      <c r="J489">
        <v>60008721</v>
      </c>
      <c r="K489" t="s">
        <v>3587</v>
      </c>
      <c r="L489" t="s">
        <v>270</v>
      </c>
      <c r="M489" t="s">
        <v>114</v>
      </c>
      <c r="N489">
        <v>2</v>
      </c>
      <c r="O489" t="s">
        <v>3586</v>
      </c>
      <c r="P489" t="s">
        <v>3585</v>
      </c>
      <c r="Q489" t="s">
        <v>3584</v>
      </c>
      <c r="R489" s="7">
        <v>36443</v>
      </c>
      <c r="S489" s="8">
        <f t="shared" si="56"/>
        <v>1999</v>
      </c>
      <c r="T489" s="8">
        <v>1999</v>
      </c>
      <c r="U489" s="8">
        <f t="shared" si="57"/>
        <v>23</v>
      </c>
      <c r="V489" s="7">
        <v>36443</v>
      </c>
      <c r="W489" t="s">
        <v>3583</v>
      </c>
      <c r="X489" s="2">
        <v>0.28100000000000003</v>
      </c>
      <c r="Y489" s="6">
        <f t="shared" si="58"/>
        <v>7.5011345132270906E-3</v>
      </c>
      <c r="AA489">
        <v>113891</v>
      </c>
      <c r="AB489">
        <v>20699</v>
      </c>
      <c r="AD489" t="s">
        <v>2</v>
      </c>
      <c r="AE489">
        <v>77</v>
      </c>
      <c r="AF489">
        <v>7</v>
      </c>
      <c r="AH489" t="s">
        <v>3582</v>
      </c>
      <c r="AI489" t="s">
        <v>3581</v>
      </c>
      <c r="AK489" t="s">
        <v>3580</v>
      </c>
      <c r="AL489">
        <v>0</v>
      </c>
      <c r="AM489" s="5">
        <f t="shared" si="59"/>
        <v>0</v>
      </c>
      <c r="AN489" s="4">
        <f t="shared" si="60"/>
        <v>0</v>
      </c>
      <c r="AO489" s="3"/>
      <c r="AP489">
        <v>0</v>
      </c>
      <c r="AR489" t="s">
        <v>1</v>
      </c>
      <c r="AT489" s="2">
        <v>1.1020000000000001</v>
      </c>
      <c r="AU489" s="1">
        <f t="shared" si="61"/>
        <v>0.52507941592589635</v>
      </c>
      <c r="AV489" s="1">
        <f t="shared" si="62"/>
        <v>0.37505672566135451</v>
      </c>
      <c r="AW489" s="1">
        <f t="shared" si="63"/>
        <v>0.22503403539681269</v>
      </c>
    </row>
    <row r="490" spans="1:49" x14ac:dyDescent="0.2">
      <c r="A490">
        <v>488</v>
      </c>
      <c r="B490" t="s">
        <v>3579</v>
      </c>
      <c r="C490" t="s">
        <v>3578</v>
      </c>
      <c r="F490" t="s">
        <v>3577</v>
      </c>
      <c r="G490" t="s">
        <v>6</v>
      </c>
      <c r="H490" t="s">
        <v>5</v>
      </c>
      <c r="I490" t="s">
        <v>3576</v>
      </c>
      <c r="J490">
        <v>60028186</v>
      </c>
      <c r="K490" t="s">
        <v>613</v>
      </c>
      <c r="L490" t="s">
        <v>612</v>
      </c>
      <c r="M490" t="s">
        <v>74</v>
      </c>
      <c r="N490">
        <v>4</v>
      </c>
      <c r="O490" t="s">
        <v>3575</v>
      </c>
      <c r="P490" t="s">
        <v>3574</v>
      </c>
      <c r="Q490" t="s">
        <v>611</v>
      </c>
      <c r="R490" s="7">
        <v>36438</v>
      </c>
      <c r="S490" s="8">
        <f t="shared" si="56"/>
        <v>1999</v>
      </c>
      <c r="T490" s="8">
        <v>1999</v>
      </c>
      <c r="U490" s="8">
        <f t="shared" si="57"/>
        <v>23</v>
      </c>
      <c r="V490" s="7">
        <v>36438</v>
      </c>
      <c r="W490" t="s">
        <v>162</v>
      </c>
      <c r="X490" s="2">
        <v>0.30399999999999999</v>
      </c>
      <c r="Y490" s="6">
        <f t="shared" si="58"/>
        <v>8.115106377299057E-3</v>
      </c>
      <c r="AA490">
        <v>8952477</v>
      </c>
      <c r="AB490">
        <v>12250</v>
      </c>
      <c r="AD490" t="s">
        <v>2</v>
      </c>
      <c r="AE490">
        <v>23</v>
      </c>
      <c r="AF490">
        <v>1</v>
      </c>
      <c r="AH490" t="s">
        <v>787</v>
      </c>
      <c r="AI490" t="s">
        <v>3573</v>
      </c>
      <c r="AJ490" t="s">
        <v>3572</v>
      </c>
      <c r="AK490" t="s">
        <v>3571</v>
      </c>
      <c r="AL490">
        <v>0</v>
      </c>
      <c r="AM490" s="5">
        <f t="shared" si="59"/>
        <v>0</v>
      </c>
      <c r="AN490" s="4">
        <f t="shared" si="60"/>
        <v>0</v>
      </c>
      <c r="AO490" s="3"/>
      <c r="AP490">
        <v>0</v>
      </c>
      <c r="AR490" t="s">
        <v>1</v>
      </c>
      <c r="AT490" s="2" t="s">
        <v>0</v>
      </c>
      <c r="AU490" s="1">
        <f t="shared" si="61"/>
        <v>0.56805744641093392</v>
      </c>
      <c r="AV490" s="1">
        <f t="shared" si="62"/>
        <v>0.40575531886495286</v>
      </c>
      <c r="AW490" s="1">
        <f t="shared" si="63"/>
        <v>0.24345319131897172</v>
      </c>
    </row>
    <row r="491" spans="1:49" x14ac:dyDescent="0.2">
      <c r="A491">
        <v>489</v>
      </c>
      <c r="B491" t="s">
        <v>3570</v>
      </c>
      <c r="C491" t="s">
        <v>3569</v>
      </c>
      <c r="E491">
        <v>10529167</v>
      </c>
      <c r="F491" t="s">
        <v>3568</v>
      </c>
      <c r="G491" t="s">
        <v>6</v>
      </c>
      <c r="H491" t="s">
        <v>5</v>
      </c>
      <c r="I491" t="s">
        <v>3567</v>
      </c>
      <c r="J491" t="s">
        <v>3566</v>
      </c>
      <c r="K491" t="s">
        <v>3565</v>
      </c>
      <c r="L491" t="s">
        <v>3564</v>
      </c>
      <c r="M491" t="s">
        <v>3563</v>
      </c>
      <c r="N491">
        <v>7</v>
      </c>
      <c r="O491" t="s">
        <v>3562</v>
      </c>
      <c r="P491" t="s">
        <v>3561</v>
      </c>
      <c r="Q491" t="s">
        <v>3560</v>
      </c>
      <c r="R491" s="7">
        <v>36438</v>
      </c>
      <c r="S491" s="8">
        <f t="shared" si="56"/>
        <v>1999</v>
      </c>
      <c r="T491" s="8">
        <v>1999</v>
      </c>
      <c r="U491" s="8">
        <f t="shared" si="57"/>
        <v>23</v>
      </c>
      <c r="V491" s="7">
        <v>36438</v>
      </c>
      <c r="W491" t="s">
        <v>716</v>
      </c>
      <c r="X491" s="2">
        <v>1.43</v>
      </c>
      <c r="Y491" s="6">
        <f t="shared" si="58"/>
        <v>3.8173033287952803E-2</v>
      </c>
      <c r="AA491">
        <v>62960</v>
      </c>
      <c r="AB491">
        <v>16867</v>
      </c>
      <c r="AD491" t="s">
        <v>2</v>
      </c>
      <c r="AE491">
        <v>38</v>
      </c>
      <c r="AF491">
        <v>40</v>
      </c>
      <c r="AH491" t="s">
        <v>3559</v>
      </c>
      <c r="AI491" t="s">
        <v>3558</v>
      </c>
      <c r="AK491" t="s">
        <v>3557</v>
      </c>
      <c r="AL491">
        <v>42</v>
      </c>
      <c r="AM491" s="5">
        <f t="shared" si="59"/>
        <v>1.826086956521739</v>
      </c>
      <c r="AN491" s="4">
        <f t="shared" si="60"/>
        <v>2.7657507860988097E-3</v>
      </c>
      <c r="AO491" s="3"/>
      <c r="AP491">
        <v>0</v>
      </c>
      <c r="AR491" t="s">
        <v>1</v>
      </c>
      <c r="AT491" s="2">
        <v>3.1619999999999999</v>
      </c>
      <c r="AU491" s="1">
        <f t="shared" si="61"/>
        <v>2.7550848537396604</v>
      </c>
      <c r="AV491" s="1">
        <f t="shared" si="62"/>
        <v>2.0469392037025806</v>
      </c>
      <c r="AW491" s="1">
        <f t="shared" si="63"/>
        <v>1.3387935536655007</v>
      </c>
    </row>
    <row r="492" spans="1:49" x14ac:dyDescent="0.2">
      <c r="A492">
        <v>490</v>
      </c>
      <c r="B492" t="s">
        <v>3556</v>
      </c>
      <c r="C492" t="s">
        <v>3555</v>
      </c>
      <c r="F492" t="s">
        <v>3554</v>
      </c>
      <c r="G492" t="s">
        <v>6</v>
      </c>
      <c r="H492" t="s">
        <v>5</v>
      </c>
      <c r="I492" t="s">
        <v>3553</v>
      </c>
      <c r="J492">
        <v>60103653</v>
      </c>
      <c r="K492" t="s">
        <v>487</v>
      </c>
      <c r="L492" t="s">
        <v>486</v>
      </c>
      <c r="M492" t="s">
        <v>485</v>
      </c>
      <c r="N492">
        <v>2</v>
      </c>
      <c r="O492" t="s">
        <v>3552</v>
      </c>
      <c r="P492" t="s">
        <v>3551</v>
      </c>
      <c r="Q492" t="s">
        <v>828</v>
      </c>
      <c r="R492" s="7">
        <v>36438</v>
      </c>
      <c r="S492" s="8">
        <f t="shared" si="56"/>
        <v>1999</v>
      </c>
      <c r="T492" s="8">
        <v>1999</v>
      </c>
      <c r="U492" s="8">
        <f t="shared" si="57"/>
        <v>23</v>
      </c>
      <c r="V492" s="7">
        <v>36438</v>
      </c>
      <c r="W492" t="s">
        <v>162</v>
      </c>
      <c r="X492" s="2">
        <v>0.30399999999999999</v>
      </c>
      <c r="Y492" s="6">
        <f t="shared" si="58"/>
        <v>8.115106377299057E-3</v>
      </c>
      <c r="AA492">
        <v>8952477</v>
      </c>
      <c r="AB492">
        <v>12250</v>
      </c>
      <c r="AD492" t="s">
        <v>2</v>
      </c>
      <c r="AE492">
        <v>23</v>
      </c>
      <c r="AF492">
        <v>1</v>
      </c>
      <c r="AH492" s="10">
        <v>44381</v>
      </c>
      <c r="AI492" t="s">
        <v>3550</v>
      </c>
      <c r="AK492" t="s">
        <v>3549</v>
      </c>
      <c r="AL492">
        <v>1</v>
      </c>
      <c r="AM492" s="5">
        <f t="shared" si="59"/>
        <v>4.3478260869565216E-2</v>
      </c>
      <c r="AN492" s="4">
        <f t="shared" si="60"/>
        <v>6.5851209192828807E-5</v>
      </c>
      <c r="AO492" s="3"/>
      <c r="AP492">
        <v>0</v>
      </c>
      <c r="AR492" t="s">
        <v>1</v>
      </c>
      <c r="AT492" s="2" t="s">
        <v>0</v>
      </c>
      <c r="AU492" s="1">
        <f t="shared" si="61"/>
        <v>0.57003298268671876</v>
      </c>
      <c r="AV492" s="1">
        <f t="shared" si="62"/>
        <v>0.4090478793245943</v>
      </c>
      <c r="AW492" s="1">
        <f t="shared" si="63"/>
        <v>0.24806277596246973</v>
      </c>
    </row>
    <row r="493" spans="1:49" x14ac:dyDescent="0.2">
      <c r="A493">
        <v>491</v>
      </c>
      <c r="B493" t="s">
        <v>3548</v>
      </c>
      <c r="C493" t="s">
        <v>3547</v>
      </c>
      <c r="F493" t="s">
        <v>3546</v>
      </c>
      <c r="G493" t="s">
        <v>6</v>
      </c>
      <c r="H493" t="s">
        <v>5</v>
      </c>
      <c r="I493" t="s">
        <v>86</v>
      </c>
      <c r="J493">
        <v>60017536</v>
      </c>
      <c r="K493" t="s">
        <v>192</v>
      </c>
      <c r="L493" t="s">
        <v>191</v>
      </c>
      <c r="M493" t="s">
        <v>3</v>
      </c>
      <c r="N493">
        <v>2</v>
      </c>
      <c r="O493" t="s">
        <v>3545</v>
      </c>
      <c r="P493" t="s">
        <v>3544</v>
      </c>
      <c r="Q493" t="s">
        <v>3543</v>
      </c>
      <c r="R493" s="7">
        <v>36438</v>
      </c>
      <c r="S493" s="8">
        <f t="shared" si="56"/>
        <v>1999</v>
      </c>
      <c r="T493" s="8">
        <v>1999</v>
      </c>
      <c r="U493" s="8">
        <f t="shared" si="57"/>
        <v>23</v>
      </c>
      <c r="V493" s="7">
        <v>36438</v>
      </c>
      <c r="W493" t="s">
        <v>162</v>
      </c>
      <c r="X493" s="2">
        <v>0.30399999999999999</v>
      </c>
      <c r="Y493" s="6">
        <f t="shared" si="58"/>
        <v>8.115106377299057E-3</v>
      </c>
      <c r="AA493">
        <v>8952477</v>
      </c>
      <c r="AB493">
        <v>12250</v>
      </c>
      <c r="AD493" t="s">
        <v>2</v>
      </c>
      <c r="AE493">
        <v>23</v>
      </c>
      <c r="AF493">
        <v>1</v>
      </c>
      <c r="AH493" t="s">
        <v>3542</v>
      </c>
      <c r="AI493" t="s">
        <v>3541</v>
      </c>
      <c r="AK493" t="s">
        <v>3540</v>
      </c>
      <c r="AL493">
        <v>2</v>
      </c>
      <c r="AM493" s="5">
        <f t="shared" si="59"/>
        <v>8.6956521739130432E-2</v>
      </c>
      <c r="AN493" s="4">
        <f t="shared" si="60"/>
        <v>1.3170241838565761E-4</v>
      </c>
      <c r="AO493" s="3"/>
      <c r="AP493">
        <v>0</v>
      </c>
      <c r="AR493" t="s">
        <v>1</v>
      </c>
      <c r="AT493" s="2" t="s">
        <v>0</v>
      </c>
      <c r="AU493" s="1">
        <f t="shared" si="61"/>
        <v>0.57200851896250371</v>
      </c>
      <c r="AV493" s="1">
        <f t="shared" si="62"/>
        <v>0.41234043978423568</v>
      </c>
      <c r="AW493" s="1">
        <f t="shared" si="63"/>
        <v>0.25267236060596776</v>
      </c>
    </row>
    <row r="494" spans="1:49" x14ac:dyDescent="0.2">
      <c r="A494">
        <v>492</v>
      </c>
      <c r="B494" t="s">
        <v>3539</v>
      </c>
      <c r="C494" t="s">
        <v>3538</v>
      </c>
      <c r="F494" t="s">
        <v>3537</v>
      </c>
      <c r="G494" t="s">
        <v>6</v>
      </c>
      <c r="H494" t="s">
        <v>5</v>
      </c>
      <c r="I494" t="s">
        <v>3536</v>
      </c>
      <c r="J494">
        <v>60102558</v>
      </c>
      <c r="K494" t="s">
        <v>3535</v>
      </c>
      <c r="L494" t="s">
        <v>3534</v>
      </c>
      <c r="M494" t="s">
        <v>3</v>
      </c>
      <c r="N494">
        <v>1</v>
      </c>
      <c r="O494" t="s">
        <v>3533</v>
      </c>
      <c r="P494">
        <v>7006637880</v>
      </c>
      <c r="Q494">
        <v>60102558</v>
      </c>
      <c r="R494" s="7">
        <v>36438</v>
      </c>
      <c r="S494" s="8">
        <f t="shared" si="56"/>
        <v>1999</v>
      </c>
      <c r="T494" s="8">
        <v>1999</v>
      </c>
      <c r="U494" s="8">
        <f t="shared" si="57"/>
        <v>23</v>
      </c>
      <c r="V494" s="7">
        <v>36438</v>
      </c>
      <c r="W494" t="s">
        <v>162</v>
      </c>
      <c r="X494" s="2">
        <v>0.30399999999999999</v>
      </c>
      <c r="Y494" s="6">
        <f t="shared" si="58"/>
        <v>8.115106377299057E-3</v>
      </c>
      <c r="AA494">
        <v>8952477</v>
      </c>
      <c r="AB494">
        <v>12250</v>
      </c>
      <c r="AD494" t="s">
        <v>2</v>
      </c>
      <c r="AE494">
        <v>23</v>
      </c>
      <c r="AF494">
        <v>1</v>
      </c>
      <c r="AH494" t="s">
        <v>3532</v>
      </c>
      <c r="AI494" t="s">
        <v>3531</v>
      </c>
      <c r="AJ494" t="s">
        <v>3530</v>
      </c>
      <c r="AK494" t="s">
        <v>3529</v>
      </c>
      <c r="AL494">
        <v>2</v>
      </c>
      <c r="AM494" s="5">
        <f t="shared" si="59"/>
        <v>8.6956521739130432E-2</v>
      </c>
      <c r="AN494" s="4">
        <f t="shared" si="60"/>
        <v>1.3170241838565761E-4</v>
      </c>
      <c r="AO494" s="3"/>
      <c r="AP494">
        <v>0</v>
      </c>
      <c r="AR494" t="s">
        <v>1</v>
      </c>
      <c r="AT494" s="2" t="s">
        <v>0</v>
      </c>
      <c r="AU494" s="1">
        <f t="shared" si="61"/>
        <v>0.57200851896250371</v>
      </c>
      <c r="AV494" s="1">
        <f t="shared" si="62"/>
        <v>0.41234043978423568</v>
      </c>
      <c r="AW494" s="1">
        <f t="shared" si="63"/>
        <v>0.25267236060596776</v>
      </c>
    </row>
    <row r="495" spans="1:49" x14ac:dyDescent="0.2">
      <c r="A495">
        <v>493</v>
      </c>
      <c r="B495" t="s">
        <v>3528</v>
      </c>
      <c r="C495" t="s">
        <v>3527</v>
      </c>
      <c r="F495" t="s">
        <v>3526</v>
      </c>
      <c r="G495" t="s">
        <v>6</v>
      </c>
      <c r="H495" t="s">
        <v>5</v>
      </c>
      <c r="I495" t="s">
        <v>3525</v>
      </c>
      <c r="J495">
        <v>60009506</v>
      </c>
      <c r="K495" t="s">
        <v>2229</v>
      </c>
      <c r="L495" t="s">
        <v>2228</v>
      </c>
      <c r="M495" t="s">
        <v>2227</v>
      </c>
      <c r="N495">
        <v>2</v>
      </c>
      <c r="O495" t="s">
        <v>3524</v>
      </c>
      <c r="P495" t="s">
        <v>3523</v>
      </c>
      <c r="Q495" t="s">
        <v>2224</v>
      </c>
      <c r="R495" s="7">
        <v>36438</v>
      </c>
      <c r="S495" s="8">
        <f t="shared" si="56"/>
        <v>1999</v>
      </c>
      <c r="T495" s="8">
        <v>1999</v>
      </c>
      <c r="U495" s="8">
        <f t="shared" si="57"/>
        <v>23</v>
      </c>
      <c r="V495" s="7">
        <v>36438</v>
      </c>
      <c r="W495" t="s">
        <v>162</v>
      </c>
      <c r="X495" s="2">
        <v>0.30399999999999999</v>
      </c>
      <c r="Y495" s="6">
        <f t="shared" si="58"/>
        <v>8.115106377299057E-3</v>
      </c>
      <c r="AA495">
        <v>8952477</v>
      </c>
      <c r="AB495">
        <v>12250</v>
      </c>
      <c r="AD495" t="s">
        <v>2</v>
      </c>
      <c r="AE495">
        <v>23</v>
      </c>
      <c r="AF495">
        <v>1</v>
      </c>
      <c r="AH495" t="s">
        <v>3522</v>
      </c>
      <c r="AI495" t="s">
        <v>3521</v>
      </c>
      <c r="AK495" t="s">
        <v>3520</v>
      </c>
      <c r="AL495">
        <v>2</v>
      </c>
      <c r="AM495" s="5">
        <f t="shared" si="59"/>
        <v>8.6956521739130432E-2</v>
      </c>
      <c r="AN495" s="4">
        <f t="shared" si="60"/>
        <v>1.3170241838565761E-4</v>
      </c>
      <c r="AO495" s="3"/>
      <c r="AP495">
        <v>0</v>
      </c>
      <c r="AR495" t="s">
        <v>1</v>
      </c>
      <c r="AT495" s="2" t="s">
        <v>0</v>
      </c>
      <c r="AU495" s="1">
        <f t="shared" si="61"/>
        <v>0.57200851896250371</v>
      </c>
      <c r="AV495" s="1">
        <f t="shared" si="62"/>
        <v>0.41234043978423568</v>
      </c>
      <c r="AW495" s="1">
        <f t="shared" si="63"/>
        <v>0.25267236060596776</v>
      </c>
    </row>
    <row r="496" spans="1:49" x14ac:dyDescent="0.2">
      <c r="A496">
        <v>494</v>
      </c>
      <c r="B496" t="s">
        <v>3519</v>
      </c>
      <c r="C496" t="s">
        <v>3518</v>
      </c>
      <c r="F496" t="s">
        <v>3517</v>
      </c>
      <c r="G496" t="s">
        <v>6</v>
      </c>
      <c r="H496" t="s">
        <v>5</v>
      </c>
      <c r="I496" t="s">
        <v>715</v>
      </c>
      <c r="J496">
        <v>60110755</v>
      </c>
      <c r="K496" t="s">
        <v>246</v>
      </c>
      <c r="L496" t="s">
        <v>245</v>
      </c>
      <c r="M496" t="s">
        <v>47</v>
      </c>
      <c r="N496">
        <v>2</v>
      </c>
      <c r="O496" t="s">
        <v>3516</v>
      </c>
      <c r="P496" t="s">
        <v>3515</v>
      </c>
      <c r="Q496" t="s">
        <v>244</v>
      </c>
      <c r="R496" s="7">
        <v>36438</v>
      </c>
      <c r="S496" s="8">
        <f t="shared" si="56"/>
        <v>1999</v>
      </c>
      <c r="T496" s="8">
        <v>1999</v>
      </c>
      <c r="U496" s="8">
        <f t="shared" si="57"/>
        <v>23</v>
      </c>
      <c r="V496" s="7">
        <v>36438</v>
      </c>
      <c r="W496" t="s">
        <v>162</v>
      </c>
      <c r="X496" s="2">
        <v>0.30399999999999999</v>
      </c>
      <c r="Y496" s="6">
        <f t="shared" si="58"/>
        <v>8.115106377299057E-3</v>
      </c>
      <c r="AA496">
        <v>8952477</v>
      </c>
      <c r="AB496">
        <v>12250</v>
      </c>
      <c r="AD496" t="s">
        <v>2</v>
      </c>
      <c r="AE496">
        <v>23</v>
      </c>
      <c r="AF496">
        <v>1</v>
      </c>
      <c r="AH496" t="s">
        <v>3514</v>
      </c>
      <c r="AI496" t="s">
        <v>3513</v>
      </c>
      <c r="AK496" t="s">
        <v>3512</v>
      </c>
      <c r="AL496">
        <v>0</v>
      </c>
      <c r="AM496" s="5">
        <f t="shared" si="59"/>
        <v>0</v>
      </c>
      <c r="AN496" s="4">
        <f t="shared" si="60"/>
        <v>0</v>
      </c>
      <c r="AO496" s="3"/>
      <c r="AP496">
        <v>0</v>
      </c>
      <c r="AR496" t="s">
        <v>1</v>
      </c>
      <c r="AT496" s="2" t="s">
        <v>0</v>
      </c>
      <c r="AU496" s="1">
        <f t="shared" si="61"/>
        <v>0.56805744641093392</v>
      </c>
      <c r="AV496" s="1">
        <f t="shared" si="62"/>
        <v>0.40575531886495286</v>
      </c>
      <c r="AW496" s="1">
        <f t="shared" si="63"/>
        <v>0.24345319131897172</v>
      </c>
    </row>
    <row r="497" spans="1:49" x14ac:dyDescent="0.2">
      <c r="A497">
        <v>495</v>
      </c>
      <c r="B497" t="s">
        <v>3511</v>
      </c>
      <c r="C497" t="s">
        <v>3510</v>
      </c>
      <c r="F497" t="s">
        <v>3509</v>
      </c>
      <c r="G497" t="s">
        <v>6</v>
      </c>
      <c r="H497" t="s">
        <v>5</v>
      </c>
      <c r="I497" t="s">
        <v>3508</v>
      </c>
      <c r="J497">
        <v>60025278</v>
      </c>
      <c r="K497" t="s">
        <v>80</v>
      </c>
      <c r="L497" t="s">
        <v>79</v>
      </c>
      <c r="M497" t="s">
        <v>78</v>
      </c>
      <c r="N497">
        <v>2</v>
      </c>
      <c r="O497" t="s">
        <v>3507</v>
      </c>
      <c r="P497" t="s">
        <v>3506</v>
      </c>
      <c r="Q497" t="s">
        <v>3505</v>
      </c>
      <c r="R497" s="7">
        <v>36438</v>
      </c>
      <c r="S497" s="8">
        <f t="shared" si="56"/>
        <v>1999</v>
      </c>
      <c r="T497" s="8">
        <v>1999</v>
      </c>
      <c r="U497" s="8">
        <f t="shared" si="57"/>
        <v>23</v>
      </c>
      <c r="V497" s="7">
        <v>36438</v>
      </c>
      <c r="W497" t="s">
        <v>162</v>
      </c>
      <c r="X497" s="2">
        <v>0.30399999999999999</v>
      </c>
      <c r="Y497" s="6">
        <f t="shared" si="58"/>
        <v>8.115106377299057E-3</v>
      </c>
      <c r="AA497">
        <v>8952477</v>
      </c>
      <c r="AB497">
        <v>12250</v>
      </c>
      <c r="AD497" t="s">
        <v>2</v>
      </c>
      <c r="AE497">
        <v>23</v>
      </c>
      <c r="AF497">
        <v>1</v>
      </c>
      <c r="AH497" t="s">
        <v>3504</v>
      </c>
      <c r="AI497" t="s">
        <v>3503</v>
      </c>
      <c r="AK497" t="s">
        <v>3502</v>
      </c>
      <c r="AL497">
        <v>0</v>
      </c>
      <c r="AM497" s="5">
        <f t="shared" si="59"/>
        <v>0</v>
      </c>
      <c r="AN497" s="4">
        <f t="shared" si="60"/>
        <v>0</v>
      </c>
      <c r="AO497" s="3"/>
      <c r="AP497">
        <v>0</v>
      </c>
      <c r="AR497" t="s">
        <v>1</v>
      </c>
      <c r="AT497" s="2" t="s">
        <v>0</v>
      </c>
      <c r="AU497" s="1">
        <f t="shared" si="61"/>
        <v>0.56805744641093392</v>
      </c>
      <c r="AV497" s="1">
        <f t="shared" si="62"/>
        <v>0.40575531886495286</v>
      </c>
      <c r="AW497" s="1">
        <f t="shared" si="63"/>
        <v>0.24345319131897172</v>
      </c>
    </row>
    <row r="498" spans="1:49" x14ac:dyDescent="0.2">
      <c r="A498">
        <v>496</v>
      </c>
      <c r="B498" t="s">
        <v>3501</v>
      </c>
      <c r="C498" t="s">
        <v>3500</v>
      </c>
      <c r="F498" t="s">
        <v>3499</v>
      </c>
      <c r="G498" t="s">
        <v>6</v>
      </c>
      <c r="H498" t="s">
        <v>5</v>
      </c>
      <c r="I498" t="s">
        <v>3498</v>
      </c>
      <c r="J498" t="s">
        <v>3497</v>
      </c>
      <c r="K498" t="s">
        <v>3496</v>
      </c>
      <c r="L498" t="s">
        <v>3495</v>
      </c>
      <c r="M498" t="s">
        <v>461</v>
      </c>
      <c r="N498">
        <v>3</v>
      </c>
      <c r="O498" t="s">
        <v>3494</v>
      </c>
      <c r="P498" t="s">
        <v>3493</v>
      </c>
      <c r="Q498" t="s">
        <v>3492</v>
      </c>
      <c r="R498" s="7">
        <v>36438</v>
      </c>
      <c r="S498" s="8">
        <f t="shared" si="56"/>
        <v>1999</v>
      </c>
      <c r="T498" s="8">
        <v>1999</v>
      </c>
      <c r="U498" s="8">
        <f t="shared" si="57"/>
        <v>23</v>
      </c>
      <c r="V498" s="7">
        <v>36438</v>
      </c>
      <c r="W498" t="s">
        <v>162</v>
      </c>
      <c r="X498" s="2">
        <v>0.30399999999999999</v>
      </c>
      <c r="Y498" s="6">
        <f t="shared" si="58"/>
        <v>8.115106377299057E-3</v>
      </c>
      <c r="AA498">
        <v>8952477</v>
      </c>
      <c r="AB498">
        <v>12250</v>
      </c>
      <c r="AD498" t="s">
        <v>2</v>
      </c>
      <c r="AE498">
        <v>23</v>
      </c>
      <c r="AF498">
        <v>1</v>
      </c>
      <c r="AH498" t="s">
        <v>3491</v>
      </c>
      <c r="AI498" t="s">
        <v>3490</v>
      </c>
      <c r="AJ498" t="s">
        <v>3489</v>
      </c>
      <c r="AK498" t="s">
        <v>3488</v>
      </c>
      <c r="AL498">
        <v>1</v>
      </c>
      <c r="AM498" s="5">
        <f t="shared" si="59"/>
        <v>4.3478260869565216E-2</v>
      </c>
      <c r="AN498" s="4">
        <f t="shared" si="60"/>
        <v>6.5851209192828807E-5</v>
      </c>
      <c r="AO498" s="3"/>
      <c r="AP498">
        <v>0</v>
      </c>
      <c r="AR498" t="s">
        <v>1</v>
      </c>
      <c r="AT498" s="2" t="s">
        <v>0</v>
      </c>
      <c r="AU498" s="1">
        <f t="shared" si="61"/>
        <v>0.57003298268671876</v>
      </c>
      <c r="AV498" s="1">
        <f t="shared" si="62"/>
        <v>0.4090478793245943</v>
      </c>
      <c r="AW498" s="1">
        <f t="shared" si="63"/>
        <v>0.24806277596246973</v>
      </c>
    </row>
    <row r="499" spans="1:49" x14ac:dyDescent="0.2">
      <c r="A499">
        <v>497</v>
      </c>
      <c r="B499" t="s">
        <v>3487</v>
      </c>
      <c r="C499" t="s">
        <v>3486</v>
      </c>
      <c r="F499" t="s">
        <v>3485</v>
      </c>
      <c r="G499" t="s">
        <v>6</v>
      </c>
      <c r="H499" t="s">
        <v>5</v>
      </c>
      <c r="I499" t="s">
        <v>3484</v>
      </c>
      <c r="J499">
        <v>60008673</v>
      </c>
      <c r="K499" t="s">
        <v>183</v>
      </c>
      <c r="L499" t="s">
        <v>182</v>
      </c>
      <c r="M499" t="s">
        <v>127</v>
      </c>
      <c r="N499">
        <v>2</v>
      </c>
      <c r="O499" t="s">
        <v>3483</v>
      </c>
      <c r="P499" t="s">
        <v>3482</v>
      </c>
      <c r="Q499" t="s">
        <v>214</v>
      </c>
      <c r="R499" s="7">
        <v>36434</v>
      </c>
      <c r="S499" s="8">
        <f t="shared" si="56"/>
        <v>1999</v>
      </c>
      <c r="T499" s="8">
        <v>1999</v>
      </c>
      <c r="U499" s="8">
        <f t="shared" si="57"/>
        <v>23</v>
      </c>
      <c r="V499" s="7">
        <v>36434</v>
      </c>
      <c r="W499" t="s">
        <v>644</v>
      </c>
      <c r="X499" s="2">
        <v>0.318</v>
      </c>
      <c r="Y499" s="6">
        <f t="shared" si="58"/>
        <v>8.4888283815167786E-3</v>
      </c>
      <c r="AA499">
        <v>338443</v>
      </c>
      <c r="AB499">
        <v>27160</v>
      </c>
      <c r="AC499">
        <v>15739120</v>
      </c>
      <c r="AD499" t="s">
        <v>2</v>
      </c>
      <c r="AE499">
        <v>42</v>
      </c>
      <c r="AF499">
        <v>10</v>
      </c>
      <c r="AH499" t="s">
        <v>3481</v>
      </c>
      <c r="AI499" t="s">
        <v>3480</v>
      </c>
      <c r="AK499" t="s">
        <v>3479</v>
      </c>
      <c r="AL499">
        <v>0</v>
      </c>
      <c r="AM499" s="5">
        <f t="shared" si="59"/>
        <v>0</v>
      </c>
      <c r="AN499" s="4">
        <f t="shared" si="60"/>
        <v>0</v>
      </c>
      <c r="AO499" s="3"/>
      <c r="AP499">
        <v>0</v>
      </c>
      <c r="AQ499" t="s">
        <v>643</v>
      </c>
      <c r="AR499" t="s">
        <v>3478</v>
      </c>
      <c r="AS499" t="s">
        <v>431</v>
      </c>
      <c r="AT499" s="2">
        <v>0.77</v>
      </c>
      <c r="AU499" s="1">
        <f t="shared" si="61"/>
        <v>0.59421798670617454</v>
      </c>
      <c r="AV499" s="1">
        <f t="shared" si="62"/>
        <v>0.42444141907583893</v>
      </c>
      <c r="AW499" s="1">
        <f t="shared" si="63"/>
        <v>0.25466485144550338</v>
      </c>
    </row>
    <row r="500" spans="1:49" x14ac:dyDescent="0.2">
      <c r="A500">
        <v>498</v>
      </c>
      <c r="B500" t="s">
        <v>3477</v>
      </c>
      <c r="C500" t="s">
        <v>3476</v>
      </c>
      <c r="F500" t="s">
        <v>3475</v>
      </c>
      <c r="G500" t="s">
        <v>6</v>
      </c>
      <c r="H500" t="s">
        <v>5</v>
      </c>
      <c r="I500" t="s">
        <v>3474</v>
      </c>
      <c r="N500">
        <v>1</v>
      </c>
      <c r="O500" t="s">
        <v>3473</v>
      </c>
      <c r="P500">
        <v>56276096600</v>
      </c>
      <c r="R500" s="7">
        <v>36434</v>
      </c>
      <c r="S500" s="8">
        <f t="shared" si="56"/>
        <v>1999</v>
      </c>
      <c r="T500" s="8">
        <v>1999</v>
      </c>
      <c r="U500" s="8">
        <f t="shared" si="57"/>
        <v>23</v>
      </c>
      <c r="V500" s="7">
        <v>36434</v>
      </c>
      <c r="W500" t="s">
        <v>641</v>
      </c>
      <c r="X500" s="2">
        <v>1.4950000000000001</v>
      </c>
      <c r="Y500" s="6">
        <f t="shared" si="58"/>
        <v>3.9908171164677937E-2</v>
      </c>
      <c r="AA500">
        <v>10805370</v>
      </c>
      <c r="AB500">
        <v>144827</v>
      </c>
      <c r="AC500">
        <v>15211886</v>
      </c>
      <c r="AD500" t="s">
        <v>2</v>
      </c>
      <c r="AE500">
        <v>3</v>
      </c>
      <c r="AF500">
        <v>2</v>
      </c>
      <c r="AH500" t="s">
        <v>3472</v>
      </c>
      <c r="AI500" t="s">
        <v>3471</v>
      </c>
      <c r="AJ500" t="s">
        <v>3470</v>
      </c>
      <c r="AK500" t="s">
        <v>3469</v>
      </c>
      <c r="AL500">
        <v>1</v>
      </c>
      <c r="AM500" s="5">
        <f t="shared" si="59"/>
        <v>4.3478260869565216E-2</v>
      </c>
      <c r="AN500" s="4">
        <f t="shared" si="60"/>
        <v>6.5851209192828807E-5</v>
      </c>
      <c r="AO500" s="3"/>
      <c r="AP500">
        <v>0</v>
      </c>
      <c r="AR500" t="s">
        <v>1</v>
      </c>
      <c r="AT500" s="2">
        <v>4.0659999999999998</v>
      </c>
      <c r="AU500" s="1">
        <f t="shared" si="61"/>
        <v>2.7955475178032403</v>
      </c>
      <c r="AV500" s="1">
        <f t="shared" si="62"/>
        <v>1.9987011186935382</v>
      </c>
      <c r="AW500" s="1">
        <f t="shared" si="63"/>
        <v>1.2018547195838363</v>
      </c>
    </row>
    <row r="501" spans="1:49" x14ac:dyDescent="0.2">
      <c r="A501">
        <v>499</v>
      </c>
      <c r="B501" t="s">
        <v>3468</v>
      </c>
      <c r="C501" t="s">
        <v>3467</v>
      </c>
      <c r="F501" t="s">
        <v>3466</v>
      </c>
      <c r="G501" t="s">
        <v>6</v>
      </c>
      <c r="H501" t="s">
        <v>5</v>
      </c>
      <c r="I501" t="s">
        <v>2697</v>
      </c>
      <c r="J501">
        <v>60115148</v>
      </c>
      <c r="K501" t="s">
        <v>690</v>
      </c>
      <c r="L501" t="s">
        <v>689</v>
      </c>
      <c r="M501" t="s">
        <v>127</v>
      </c>
      <c r="N501">
        <v>2</v>
      </c>
      <c r="O501" t="s">
        <v>3465</v>
      </c>
      <c r="P501" t="s">
        <v>3464</v>
      </c>
      <c r="Q501" t="s">
        <v>688</v>
      </c>
      <c r="R501" s="7">
        <v>36434</v>
      </c>
      <c r="S501" s="8">
        <f t="shared" si="56"/>
        <v>1999</v>
      </c>
      <c r="T501" s="8">
        <v>1999</v>
      </c>
      <c r="U501" s="8">
        <f t="shared" si="57"/>
        <v>23</v>
      </c>
      <c r="V501" s="7">
        <v>36434</v>
      </c>
      <c r="W501" t="s">
        <v>644</v>
      </c>
      <c r="X501" s="2">
        <v>0.318</v>
      </c>
      <c r="Y501" s="6">
        <f t="shared" si="58"/>
        <v>8.4888283815167786E-3</v>
      </c>
      <c r="AA501">
        <v>338443</v>
      </c>
      <c r="AB501">
        <v>27160</v>
      </c>
      <c r="AC501">
        <v>15739120</v>
      </c>
      <c r="AD501" t="s">
        <v>2</v>
      </c>
      <c r="AE501">
        <v>42</v>
      </c>
      <c r="AF501">
        <v>10</v>
      </c>
      <c r="AH501" t="s">
        <v>3463</v>
      </c>
      <c r="AI501" t="s">
        <v>3462</v>
      </c>
      <c r="AK501" t="s">
        <v>3461</v>
      </c>
      <c r="AL501">
        <v>4</v>
      </c>
      <c r="AM501" s="5">
        <f t="shared" si="59"/>
        <v>0.17391304347826086</v>
      </c>
      <c r="AN501" s="4">
        <f t="shared" si="60"/>
        <v>2.6340483677131523E-4</v>
      </c>
      <c r="AO501" s="3"/>
      <c r="AP501">
        <v>0</v>
      </c>
      <c r="AR501" t="s">
        <v>1</v>
      </c>
      <c r="AT501" s="2">
        <v>0.77</v>
      </c>
      <c r="AU501" s="1">
        <f t="shared" si="61"/>
        <v>0.60212013180931401</v>
      </c>
      <c r="AV501" s="1">
        <f t="shared" si="62"/>
        <v>0.43761166091440473</v>
      </c>
      <c r="AW501" s="1">
        <f t="shared" si="63"/>
        <v>0.2731031900194954</v>
      </c>
    </row>
    <row r="502" spans="1:49" x14ac:dyDescent="0.2">
      <c r="A502">
        <v>500</v>
      </c>
      <c r="B502" t="s">
        <v>3460</v>
      </c>
      <c r="F502" t="s">
        <v>3459</v>
      </c>
      <c r="G502" t="s">
        <v>6</v>
      </c>
      <c r="H502" t="s">
        <v>5</v>
      </c>
      <c r="I502" t="s">
        <v>3458</v>
      </c>
      <c r="J502">
        <v>60000745</v>
      </c>
      <c r="K502" t="s">
        <v>212</v>
      </c>
      <c r="L502" t="s">
        <v>211</v>
      </c>
      <c r="M502" t="s">
        <v>3</v>
      </c>
      <c r="N502">
        <v>3</v>
      </c>
      <c r="O502" t="s">
        <v>3457</v>
      </c>
      <c r="P502" t="s">
        <v>3456</v>
      </c>
      <c r="Q502" t="s">
        <v>576</v>
      </c>
      <c r="R502" s="7">
        <v>36434</v>
      </c>
      <c r="S502" s="8">
        <f t="shared" si="56"/>
        <v>1999</v>
      </c>
      <c r="T502" s="8">
        <v>1999</v>
      </c>
      <c r="U502" s="8">
        <f t="shared" si="57"/>
        <v>23</v>
      </c>
      <c r="V502" s="7">
        <v>36434</v>
      </c>
      <c r="W502" t="s">
        <v>773</v>
      </c>
      <c r="X502" s="2">
        <v>0.26700000000000002</v>
      </c>
      <c r="Y502" s="6">
        <f t="shared" si="58"/>
        <v>7.1274125090093707E-3</v>
      </c>
      <c r="AA502">
        <v>10224653</v>
      </c>
      <c r="AB502">
        <v>24184</v>
      </c>
      <c r="AD502" t="s">
        <v>2</v>
      </c>
      <c r="AE502">
        <v>8</v>
      </c>
      <c r="AF502">
        <v>4</v>
      </c>
      <c r="AH502" t="s">
        <v>3455</v>
      </c>
      <c r="AI502" t="s">
        <v>3454</v>
      </c>
      <c r="AK502" t="s">
        <v>3453</v>
      </c>
      <c r="AL502">
        <v>0</v>
      </c>
      <c r="AM502" s="5">
        <f t="shared" si="59"/>
        <v>0</v>
      </c>
      <c r="AN502" s="4">
        <f t="shared" si="60"/>
        <v>0</v>
      </c>
      <c r="AO502" s="3"/>
      <c r="AP502">
        <v>0</v>
      </c>
      <c r="AR502" t="s">
        <v>1</v>
      </c>
      <c r="AT502" s="2">
        <v>1.014</v>
      </c>
      <c r="AU502" s="1">
        <f t="shared" si="61"/>
        <v>0.49891887563065596</v>
      </c>
      <c r="AV502" s="1">
        <f t="shared" si="62"/>
        <v>0.35637062545046855</v>
      </c>
      <c r="AW502" s="1">
        <f t="shared" si="63"/>
        <v>0.21382237527028108</v>
      </c>
    </row>
    <row r="503" spans="1:49" x14ac:dyDescent="0.2">
      <c r="A503">
        <v>501</v>
      </c>
      <c r="B503" t="s">
        <v>3452</v>
      </c>
      <c r="D503" t="s">
        <v>3451</v>
      </c>
      <c r="F503" t="s">
        <v>3450</v>
      </c>
      <c r="G503" t="s">
        <v>6</v>
      </c>
      <c r="H503" t="s">
        <v>5</v>
      </c>
      <c r="I503" t="s">
        <v>3449</v>
      </c>
      <c r="J503">
        <v>60028218</v>
      </c>
      <c r="K503" t="s">
        <v>3039</v>
      </c>
      <c r="L503" t="s">
        <v>3038</v>
      </c>
      <c r="M503" t="s">
        <v>13</v>
      </c>
      <c r="N503">
        <v>2</v>
      </c>
      <c r="O503" t="s">
        <v>3448</v>
      </c>
      <c r="P503" t="s">
        <v>3447</v>
      </c>
      <c r="Q503" t="s">
        <v>3035</v>
      </c>
      <c r="R503" s="7">
        <v>36434</v>
      </c>
      <c r="S503" s="8">
        <f t="shared" si="56"/>
        <v>1999</v>
      </c>
      <c r="T503" s="8">
        <v>1999</v>
      </c>
      <c r="U503" s="8">
        <f t="shared" si="57"/>
        <v>23</v>
      </c>
      <c r="V503" s="7">
        <v>36434</v>
      </c>
      <c r="W503" t="s">
        <v>167</v>
      </c>
      <c r="X503" s="2">
        <v>1.468</v>
      </c>
      <c r="Y503" s="6">
        <f t="shared" si="58"/>
        <v>3.9187421585115186E-2</v>
      </c>
      <c r="AA503">
        <v>906778</v>
      </c>
      <c r="AB503">
        <v>18931</v>
      </c>
      <c r="AD503" t="s">
        <v>2</v>
      </c>
      <c r="AE503">
        <v>47</v>
      </c>
      <c r="AF503">
        <v>10</v>
      </c>
      <c r="AH503">
        <v>1604</v>
      </c>
      <c r="AI503" t="s">
        <v>3446</v>
      </c>
      <c r="AK503" t="s">
        <v>3445</v>
      </c>
      <c r="AL503">
        <v>11</v>
      </c>
      <c r="AM503" s="5">
        <f t="shared" si="59"/>
        <v>0.47826086956521741</v>
      </c>
      <c r="AN503" s="4">
        <f t="shared" si="60"/>
        <v>7.2436330112111687E-4</v>
      </c>
      <c r="AO503" s="3"/>
      <c r="AP503">
        <v>0</v>
      </c>
      <c r="AR503" t="s">
        <v>1</v>
      </c>
      <c r="AT503" s="2">
        <v>5.0830000000000002</v>
      </c>
      <c r="AU503" s="1">
        <f t="shared" si="61"/>
        <v>2.7648504099916966</v>
      </c>
      <c r="AV503" s="1">
        <f t="shared" si="62"/>
        <v>1.9955892443118153</v>
      </c>
      <c r="AW503" s="1">
        <f t="shared" si="63"/>
        <v>1.2263280786319337</v>
      </c>
    </row>
    <row r="504" spans="1:49" x14ac:dyDescent="0.2">
      <c r="A504">
        <v>502</v>
      </c>
      <c r="B504" t="s">
        <v>3444</v>
      </c>
      <c r="E504">
        <v>10504309</v>
      </c>
      <c r="F504" t="s">
        <v>3443</v>
      </c>
      <c r="G504" t="s">
        <v>6</v>
      </c>
      <c r="H504" t="s">
        <v>5</v>
      </c>
      <c r="I504" t="s">
        <v>3442</v>
      </c>
      <c r="J504">
        <v>60012614</v>
      </c>
      <c r="K504" t="s">
        <v>3441</v>
      </c>
      <c r="L504" t="s">
        <v>458</v>
      </c>
      <c r="M504" t="s">
        <v>74</v>
      </c>
      <c r="N504">
        <v>3</v>
      </c>
      <c r="O504" t="s">
        <v>3440</v>
      </c>
      <c r="P504" t="s">
        <v>3439</v>
      </c>
      <c r="Q504" t="s">
        <v>3438</v>
      </c>
      <c r="R504" s="7">
        <v>36434</v>
      </c>
      <c r="S504" s="8">
        <f t="shared" si="56"/>
        <v>1999</v>
      </c>
      <c r="T504" s="8">
        <v>1999</v>
      </c>
      <c r="U504" s="8">
        <f t="shared" si="57"/>
        <v>23</v>
      </c>
      <c r="V504" s="7">
        <v>36434</v>
      </c>
      <c r="W504" t="s">
        <v>743</v>
      </c>
      <c r="X504" s="2">
        <v>1.367</v>
      </c>
      <c r="Y504" s="6">
        <f t="shared" si="58"/>
        <v>3.6491284268973065E-2</v>
      </c>
      <c r="AA504">
        <v>220949</v>
      </c>
      <c r="AB504">
        <v>29605</v>
      </c>
      <c r="AD504" t="s">
        <v>2</v>
      </c>
      <c r="AE504">
        <v>202</v>
      </c>
      <c r="AF504">
        <v>20</v>
      </c>
      <c r="AH504" t="s">
        <v>3437</v>
      </c>
      <c r="AI504" t="s">
        <v>3436</v>
      </c>
      <c r="AJ504" t="s">
        <v>3435</v>
      </c>
      <c r="AK504" t="s">
        <v>3434</v>
      </c>
      <c r="AL504">
        <v>83</v>
      </c>
      <c r="AM504" s="5">
        <f t="shared" si="59"/>
        <v>3.6086956521739131</v>
      </c>
      <c r="AN504" s="4">
        <f t="shared" si="60"/>
        <v>5.465650363004791E-3</v>
      </c>
      <c r="AO504" s="3"/>
      <c r="AP504">
        <v>0</v>
      </c>
      <c r="AR504" t="s">
        <v>1</v>
      </c>
      <c r="AT504" s="2">
        <v>3.3119999999999998</v>
      </c>
      <c r="AU504" s="1">
        <f t="shared" si="61"/>
        <v>2.718359409718258</v>
      </c>
      <c r="AV504" s="1">
        <f t="shared" si="62"/>
        <v>2.0978467315988927</v>
      </c>
      <c r="AW504" s="1">
        <f t="shared" si="63"/>
        <v>1.4773340534795274</v>
      </c>
    </row>
    <row r="505" spans="1:49" x14ac:dyDescent="0.2">
      <c r="A505">
        <v>503</v>
      </c>
      <c r="B505" t="s">
        <v>3433</v>
      </c>
      <c r="C505" t="s">
        <v>3432</v>
      </c>
      <c r="D505" t="s">
        <v>3431</v>
      </c>
      <c r="F505" t="s">
        <v>3430</v>
      </c>
      <c r="G505" t="s">
        <v>6</v>
      </c>
      <c r="H505" t="s">
        <v>5</v>
      </c>
      <c r="I505" t="s">
        <v>3429</v>
      </c>
      <c r="J505" t="s">
        <v>3428</v>
      </c>
      <c r="K505" t="s">
        <v>3427</v>
      </c>
      <c r="L505" t="s">
        <v>3426</v>
      </c>
      <c r="M505" t="s">
        <v>203</v>
      </c>
      <c r="N505">
        <v>3</v>
      </c>
      <c r="O505" t="s">
        <v>3425</v>
      </c>
      <c r="P505" t="s">
        <v>3424</v>
      </c>
      <c r="Q505" t="s">
        <v>3423</v>
      </c>
      <c r="R505" s="7">
        <v>36434</v>
      </c>
      <c r="S505" s="8">
        <f t="shared" si="56"/>
        <v>1999</v>
      </c>
      <c r="T505" s="8">
        <v>1999</v>
      </c>
      <c r="U505" s="8">
        <f t="shared" si="57"/>
        <v>23</v>
      </c>
      <c r="V505" s="7">
        <v>36434</v>
      </c>
      <c r="W505" t="s">
        <v>783</v>
      </c>
      <c r="X505" s="2">
        <v>0.998</v>
      </c>
      <c r="Y505" s="6">
        <f t="shared" si="58"/>
        <v>2.664104001494888E-2</v>
      </c>
      <c r="AA505">
        <v>207322</v>
      </c>
      <c r="AB505">
        <v>90127</v>
      </c>
      <c r="AD505" t="s">
        <v>2</v>
      </c>
      <c r="AE505">
        <v>28</v>
      </c>
      <c r="AF505">
        <v>4</v>
      </c>
      <c r="AH505" t="s">
        <v>3422</v>
      </c>
      <c r="AI505" t="s">
        <v>3421</v>
      </c>
      <c r="AJ505" t="s">
        <v>3420</v>
      </c>
      <c r="AK505" t="s">
        <v>3419</v>
      </c>
      <c r="AL505">
        <v>16</v>
      </c>
      <c r="AM505" s="5">
        <f t="shared" si="59"/>
        <v>0.69565217391304346</v>
      </c>
      <c r="AN505" s="4">
        <f t="shared" si="60"/>
        <v>1.0536193470852609E-3</v>
      </c>
      <c r="AO505" s="3"/>
      <c r="AP505">
        <v>0</v>
      </c>
      <c r="AR505" t="s">
        <v>1</v>
      </c>
      <c r="AT505" s="2" t="s">
        <v>0</v>
      </c>
      <c r="AU505" s="1">
        <f t="shared" si="61"/>
        <v>1.8964813814589796</v>
      </c>
      <c r="AV505" s="1">
        <f t="shared" si="62"/>
        <v>1.3847329681017071</v>
      </c>
      <c r="AW505" s="1">
        <f t="shared" si="63"/>
        <v>0.8729845547444347</v>
      </c>
    </row>
    <row r="506" spans="1:49" x14ac:dyDescent="0.2">
      <c r="A506">
        <v>504</v>
      </c>
      <c r="B506" t="s">
        <v>3418</v>
      </c>
      <c r="C506" t="s">
        <v>3417</v>
      </c>
      <c r="D506" t="s">
        <v>3416</v>
      </c>
      <c r="F506" t="s">
        <v>3415</v>
      </c>
      <c r="G506" t="s">
        <v>6</v>
      </c>
      <c r="H506" t="s">
        <v>5</v>
      </c>
      <c r="I506" t="s">
        <v>3414</v>
      </c>
      <c r="J506">
        <v>105953572</v>
      </c>
      <c r="K506" t="s">
        <v>3413</v>
      </c>
      <c r="L506" t="s">
        <v>3412</v>
      </c>
      <c r="M506" t="s">
        <v>65</v>
      </c>
      <c r="N506">
        <v>3</v>
      </c>
      <c r="O506" t="s">
        <v>3411</v>
      </c>
      <c r="P506" t="s">
        <v>3410</v>
      </c>
      <c r="Q506" t="s">
        <v>3409</v>
      </c>
      <c r="R506" s="7">
        <v>36434</v>
      </c>
      <c r="S506" s="8">
        <f t="shared" si="56"/>
        <v>1999</v>
      </c>
      <c r="T506" s="8">
        <v>1999</v>
      </c>
      <c r="U506" s="8">
        <f t="shared" si="57"/>
        <v>23</v>
      </c>
      <c r="V506" s="7">
        <v>36434</v>
      </c>
      <c r="W506" t="s">
        <v>783</v>
      </c>
      <c r="X506" s="2">
        <v>0.998</v>
      </c>
      <c r="Y506" s="6">
        <f t="shared" si="58"/>
        <v>2.664104001494888E-2</v>
      </c>
      <c r="AA506">
        <v>207322</v>
      </c>
      <c r="AB506">
        <v>90127</v>
      </c>
      <c r="AD506" t="s">
        <v>2</v>
      </c>
      <c r="AE506">
        <v>28</v>
      </c>
      <c r="AF506">
        <v>4</v>
      </c>
      <c r="AH506" t="s">
        <v>3408</v>
      </c>
      <c r="AI506" t="s">
        <v>3407</v>
      </c>
      <c r="AJ506" t="s">
        <v>3406</v>
      </c>
      <c r="AK506" t="s">
        <v>3405</v>
      </c>
      <c r="AL506">
        <v>249</v>
      </c>
      <c r="AM506" s="5">
        <f t="shared" si="59"/>
        <v>10.826086956521738</v>
      </c>
      <c r="AN506" s="4">
        <f t="shared" si="60"/>
        <v>1.6396951089014372E-2</v>
      </c>
      <c r="AO506" s="3"/>
      <c r="AP506">
        <v>0</v>
      </c>
      <c r="AR506" t="s">
        <v>1</v>
      </c>
      <c r="AT506" s="2" t="s">
        <v>0</v>
      </c>
      <c r="AU506" s="1">
        <f t="shared" si="61"/>
        <v>2.3567813337168531</v>
      </c>
      <c r="AV506" s="1">
        <f t="shared" si="62"/>
        <v>2.1518995551981628</v>
      </c>
      <c r="AW506" s="1">
        <f t="shared" si="63"/>
        <v>1.9470177766794723</v>
      </c>
    </row>
    <row r="507" spans="1:49" x14ac:dyDescent="0.2">
      <c r="A507">
        <v>505</v>
      </c>
      <c r="B507" t="s">
        <v>3404</v>
      </c>
      <c r="F507" t="s">
        <v>3403</v>
      </c>
      <c r="G507" t="s">
        <v>6</v>
      </c>
      <c r="H507" t="s">
        <v>5</v>
      </c>
      <c r="I507" t="s">
        <v>3402</v>
      </c>
      <c r="N507">
        <v>1</v>
      </c>
      <c r="O507" t="s">
        <v>3401</v>
      </c>
      <c r="P507">
        <v>8535852200</v>
      </c>
      <c r="R507" s="7">
        <v>36434</v>
      </c>
      <c r="S507" s="8">
        <f t="shared" si="56"/>
        <v>1999</v>
      </c>
      <c r="T507" s="8">
        <v>1999</v>
      </c>
      <c r="U507" s="8">
        <f t="shared" si="57"/>
        <v>23</v>
      </c>
      <c r="V507" s="7">
        <v>36434</v>
      </c>
      <c r="W507" t="s">
        <v>617</v>
      </c>
      <c r="X507" s="2">
        <v>0.29499999999999998</v>
      </c>
      <c r="Y507" s="6">
        <f t="shared" si="58"/>
        <v>7.8748565174448087E-3</v>
      </c>
      <c r="AA507">
        <v>10642269</v>
      </c>
      <c r="AB507">
        <v>19554</v>
      </c>
      <c r="AD507" t="s">
        <v>2</v>
      </c>
      <c r="AE507">
        <v>44</v>
      </c>
      <c r="AF507">
        <v>0</v>
      </c>
      <c r="AH507" t="s">
        <v>3400</v>
      </c>
      <c r="AI507" t="s">
        <v>3399</v>
      </c>
      <c r="AK507" t="s">
        <v>3398</v>
      </c>
      <c r="AL507">
        <v>0</v>
      </c>
      <c r="AM507" s="5">
        <f t="shared" si="59"/>
        <v>0</v>
      </c>
      <c r="AN507" s="4">
        <f t="shared" si="60"/>
        <v>0</v>
      </c>
      <c r="AO507" s="3"/>
      <c r="AP507">
        <v>0</v>
      </c>
      <c r="AR507" t="s">
        <v>1</v>
      </c>
      <c r="AT507" s="2" t="s">
        <v>0</v>
      </c>
      <c r="AU507" s="1">
        <f t="shared" si="61"/>
        <v>0.55123995622113653</v>
      </c>
      <c r="AV507" s="1">
        <f t="shared" si="62"/>
        <v>0.39374282587224041</v>
      </c>
      <c r="AW507" s="1">
        <f t="shared" si="63"/>
        <v>0.23624569552334423</v>
      </c>
    </row>
    <row r="508" spans="1:49" x14ac:dyDescent="0.2">
      <c r="A508">
        <v>506</v>
      </c>
      <c r="B508" t="s">
        <v>3397</v>
      </c>
      <c r="F508" t="s">
        <v>3396</v>
      </c>
      <c r="G508" t="s">
        <v>6</v>
      </c>
      <c r="H508" t="s">
        <v>5</v>
      </c>
      <c r="I508" t="s">
        <v>3395</v>
      </c>
      <c r="N508">
        <v>1</v>
      </c>
      <c r="O508" t="s">
        <v>3394</v>
      </c>
      <c r="P508">
        <v>6603064020</v>
      </c>
      <c r="R508" s="7">
        <v>36434</v>
      </c>
      <c r="S508" s="8">
        <f t="shared" si="56"/>
        <v>1999</v>
      </c>
      <c r="T508" s="8">
        <v>1999</v>
      </c>
      <c r="U508" s="8">
        <f t="shared" si="57"/>
        <v>23</v>
      </c>
      <c r="V508" s="7">
        <v>36434</v>
      </c>
      <c r="W508" t="s">
        <v>617</v>
      </c>
      <c r="X508" s="2">
        <v>0.29499999999999998</v>
      </c>
      <c r="Y508" s="6">
        <f t="shared" si="58"/>
        <v>7.8748565174448087E-3</v>
      </c>
      <c r="AA508">
        <v>10642269</v>
      </c>
      <c r="AB508">
        <v>19554</v>
      </c>
      <c r="AD508" t="s">
        <v>2</v>
      </c>
      <c r="AE508">
        <v>44</v>
      </c>
      <c r="AF508">
        <v>0</v>
      </c>
      <c r="AH508" t="s">
        <v>3393</v>
      </c>
      <c r="AI508" t="s">
        <v>3392</v>
      </c>
      <c r="AK508" t="s">
        <v>3391</v>
      </c>
      <c r="AL508">
        <v>0</v>
      </c>
      <c r="AM508" s="5">
        <f t="shared" si="59"/>
        <v>0</v>
      </c>
      <c r="AN508" s="4">
        <f t="shared" si="60"/>
        <v>0</v>
      </c>
      <c r="AO508" s="3"/>
      <c r="AP508">
        <v>0</v>
      </c>
      <c r="AR508" t="s">
        <v>1</v>
      </c>
      <c r="AT508" s="2" t="s">
        <v>0</v>
      </c>
      <c r="AU508" s="1">
        <f t="shared" si="61"/>
        <v>0.55123995622113653</v>
      </c>
      <c r="AV508" s="1">
        <f t="shared" si="62"/>
        <v>0.39374282587224041</v>
      </c>
      <c r="AW508" s="1">
        <f t="shared" si="63"/>
        <v>0.23624569552334423</v>
      </c>
    </row>
    <row r="509" spans="1:49" x14ac:dyDescent="0.2">
      <c r="A509">
        <v>507</v>
      </c>
      <c r="B509" t="s">
        <v>3390</v>
      </c>
      <c r="C509" t="s">
        <v>3389</v>
      </c>
      <c r="F509" t="s">
        <v>3388</v>
      </c>
      <c r="G509" t="s">
        <v>6</v>
      </c>
      <c r="H509" t="s">
        <v>5</v>
      </c>
      <c r="I509" t="s">
        <v>3387</v>
      </c>
      <c r="J509" t="s">
        <v>3386</v>
      </c>
      <c r="K509" t="s">
        <v>3385</v>
      </c>
      <c r="L509" t="s">
        <v>3384</v>
      </c>
      <c r="M509" t="s">
        <v>3383</v>
      </c>
      <c r="N509">
        <v>2</v>
      </c>
      <c r="O509" t="s">
        <v>3382</v>
      </c>
      <c r="P509" t="s">
        <v>3381</v>
      </c>
      <c r="Q509" t="s">
        <v>3380</v>
      </c>
      <c r="R509" s="7">
        <v>36434</v>
      </c>
      <c r="S509" s="8">
        <f t="shared" si="56"/>
        <v>1999</v>
      </c>
      <c r="T509" s="8">
        <v>1999</v>
      </c>
      <c r="U509" s="8">
        <f t="shared" si="57"/>
        <v>23</v>
      </c>
      <c r="V509" s="7">
        <v>36434</v>
      </c>
      <c r="W509" t="s">
        <v>3379</v>
      </c>
      <c r="X509" s="2" t="s">
        <v>0</v>
      </c>
      <c r="Y509" s="6" t="e">
        <f t="shared" si="58"/>
        <v>#VALUE!</v>
      </c>
      <c r="AA509">
        <v>8949875</v>
      </c>
      <c r="AB509">
        <v>27957</v>
      </c>
      <c r="AD509" t="s">
        <v>2</v>
      </c>
      <c r="AE509">
        <v>12</v>
      </c>
      <c r="AF509">
        <v>5</v>
      </c>
      <c r="AH509" t="s">
        <v>3378</v>
      </c>
      <c r="AI509" t="s">
        <v>3377</v>
      </c>
      <c r="AJ509" t="s">
        <v>3376</v>
      </c>
      <c r="AK509" t="s">
        <v>3375</v>
      </c>
      <c r="AL509">
        <v>6</v>
      </c>
      <c r="AM509" s="5">
        <f t="shared" si="59"/>
        <v>0.2608695652173913</v>
      </c>
      <c r="AN509" s="4">
        <f t="shared" si="60"/>
        <v>3.9510725515697282E-4</v>
      </c>
      <c r="AO509" s="3"/>
      <c r="AP509">
        <v>0</v>
      </c>
      <c r="AR509" t="s">
        <v>1</v>
      </c>
      <c r="AT509" s="2" t="s">
        <v>0</v>
      </c>
      <c r="AU509" s="1" t="e">
        <f t="shared" si="61"/>
        <v>#VALUE!</v>
      </c>
      <c r="AV509" s="1" t="e">
        <f t="shared" si="62"/>
        <v>#VALUE!</v>
      </c>
      <c r="AW509" s="1" t="e">
        <f t="shared" si="63"/>
        <v>#VALUE!</v>
      </c>
    </row>
    <row r="510" spans="1:49" x14ac:dyDescent="0.2">
      <c r="A510">
        <v>508</v>
      </c>
      <c r="B510" t="s">
        <v>3374</v>
      </c>
      <c r="F510" t="s">
        <v>3373</v>
      </c>
      <c r="G510" t="s">
        <v>6</v>
      </c>
      <c r="H510" t="s">
        <v>5</v>
      </c>
      <c r="I510" t="s">
        <v>3372</v>
      </c>
      <c r="N510">
        <v>1</v>
      </c>
      <c r="O510" t="s">
        <v>3371</v>
      </c>
      <c r="P510">
        <v>7006172620</v>
      </c>
      <c r="R510" s="7">
        <v>36434</v>
      </c>
      <c r="S510" s="8">
        <f t="shared" si="56"/>
        <v>1999</v>
      </c>
      <c r="T510" s="8">
        <v>1999</v>
      </c>
      <c r="U510" s="8">
        <f t="shared" si="57"/>
        <v>23</v>
      </c>
      <c r="V510" s="7">
        <v>36434</v>
      </c>
      <c r="W510" t="s">
        <v>617</v>
      </c>
      <c r="X510" s="2">
        <v>0.29499999999999998</v>
      </c>
      <c r="Y510" s="6">
        <f t="shared" si="58"/>
        <v>7.8748565174448087E-3</v>
      </c>
      <c r="AA510">
        <v>10642269</v>
      </c>
      <c r="AB510">
        <v>19554</v>
      </c>
      <c r="AD510" t="s">
        <v>2</v>
      </c>
      <c r="AE510">
        <v>44</v>
      </c>
      <c r="AF510">
        <v>0</v>
      </c>
      <c r="AH510" t="s">
        <v>3370</v>
      </c>
      <c r="AI510" t="s">
        <v>3369</v>
      </c>
      <c r="AK510" t="s">
        <v>3368</v>
      </c>
      <c r="AL510">
        <v>1</v>
      </c>
      <c r="AM510" s="5">
        <f t="shared" si="59"/>
        <v>4.3478260869565216E-2</v>
      </c>
      <c r="AN510" s="4">
        <f t="shared" si="60"/>
        <v>6.5851209192828807E-5</v>
      </c>
      <c r="AO510" s="3"/>
      <c r="AP510">
        <v>0</v>
      </c>
      <c r="AR510" t="s">
        <v>1</v>
      </c>
      <c r="AT510" s="2" t="s">
        <v>0</v>
      </c>
      <c r="AU510" s="1">
        <f t="shared" si="61"/>
        <v>0.55321549249692137</v>
      </c>
      <c r="AV510" s="1">
        <f t="shared" si="62"/>
        <v>0.39703538633188185</v>
      </c>
      <c r="AW510" s="1">
        <f t="shared" si="63"/>
        <v>0.24085528016684227</v>
      </c>
    </row>
    <row r="511" spans="1:49" x14ac:dyDescent="0.2">
      <c r="A511">
        <v>509</v>
      </c>
      <c r="B511" t="s">
        <v>3367</v>
      </c>
      <c r="C511" t="s">
        <v>3366</v>
      </c>
      <c r="D511" t="s">
        <v>3365</v>
      </c>
      <c r="F511" t="s">
        <v>3364</v>
      </c>
      <c r="G511" t="s">
        <v>6</v>
      </c>
      <c r="H511" t="s">
        <v>5</v>
      </c>
      <c r="I511" t="s">
        <v>3363</v>
      </c>
      <c r="J511" t="s">
        <v>3362</v>
      </c>
      <c r="K511" t="s">
        <v>3361</v>
      </c>
      <c r="L511" t="s">
        <v>3360</v>
      </c>
      <c r="M511" t="s">
        <v>81</v>
      </c>
      <c r="N511">
        <v>4</v>
      </c>
      <c r="O511" t="s">
        <v>3359</v>
      </c>
      <c r="P511" t="s">
        <v>3358</v>
      </c>
      <c r="Q511" t="s">
        <v>3357</v>
      </c>
      <c r="R511" s="7">
        <v>36434</v>
      </c>
      <c r="S511" s="8">
        <f t="shared" si="56"/>
        <v>1999</v>
      </c>
      <c r="T511" s="8">
        <v>1999</v>
      </c>
      <c r="U511" s="8">
        <f t="shared" si="57"/>
        <v>23</v>
      </c>
      <c r="V511" s="7">
        <v>36434</v>
      </c>
      <c r="W511" t="s">
        <v>783</v>
      </c>
      <c r="X511" s="2">
        <v>0.998</v>
      </c>
      <c r="Y511" s="6">
        <f t="shared" si="58"/>
        <v>2.664104001494888E-2</v>
      </c>
      <c r="AA511">
        <v>207322</v>
      </c>
      <c r="AB511">
        <v>90127</v>
      </c>
      <c r="AD511" t="s">
        <v>2</v>
      </c>
      <c r="AE511">
        <v>28</v>
      </c>
      <c r="AF511">
        <v>4</v>
      </c>
      <c r="AH511" t="s">
        <v>3356</v>
      </c>
      <c r="AI511" t="s">
        <v>3355</v>
      </c>
      <c r="AJ511" t="s">
        <v>3354</v>
      </c>
      <c r="AK511" t="s">
        <v>3353</v>
      </c>
      <c r="AL511">
        <v>28</v>
      </c>
      <c r="AM511" s="5">
        <f t="shared" si="59"/>
        <v>1.2173913043478262</v>
      </c>
      <c r="AN511" s="4">
        <f t="shared" si="60"/>
        <v>1.8438338573992066E-3</v>
      </c>
      <c r="AO511" s="3"/>
      <c r="AP511">
        <v>0</v>
      </c>
      <c r="AQ511" t="s">
        <v>3352</v>
      </c>
      <c r="AR511" t="s">
        <v>1</v>
      </c>
      <c r="AS511" t="s">
        <v>3351</v>
      </c>
      <c r="AT511" s="2" t="s">
        <v>0</v>
      </c>
      <c r="AU511" s="1">
        <f t="shared" si="61"/>
        <v>1.9201878167683977</v>
      </c>
      <c r="AV511" s="1">
        <f t="shared" si="62"/>
        <v>1.4242436936174043</v>
      </c>
      <c r="AW511" s="1">
        <f t="shared" si="63"/>
        <v>0.92829957046641087</v>
      </c>
    </row>
    <row r="512" spans="1:49" x14ac:dyDescent="0.2">
      <c r="A512">
        <v>510</v>
      </c>
      <c r="B512" t="s">
        <v>3350</v>
      </c>
      <c r="C512" t="s">
        <v>3349</v>
      </c>
      <c r="D512" t="s">
        <v>3348</v>
      </c>
      <c r="F512" t="s">
        <v>3347</v>
      </c>
      <c r="G512" t="s">
        <v>6</v>
      </c>
      <c r="H512" t="s">
        <v>5</v>
      </c>
      <c r="I512" t="s">
        <v>3346</v>
      </c>
      <c r="J512" t="s">
        <v>3345</v>
      </c>
      <c r="K512" t="s">
        <v>3344</v>
      </c>
      <c r="L512" t="s">
        <v>3343</v>
      </c>
      <c r="M512" t="s">
        <v>3342</v>
      </c>
      <c r="N512">
        <v>4</v>
      </c>
      <c r="O512" t="s">
        <v>3341</v>
      </c>
      <c r="P512" t="s">
        <v>3340</v>
      </c>
      <c r="Q512" t="s">
        <v>3339</v>
      </c>
      <c r="R512" s="7">
        <v>36434</v>
      </c>
      <c r="S512" s="8">
        <f t="shared" si="56"/>
        <v>1999</v>
      </c>
      <c r="T512" s="8">
        <v>1999</v>
      </c>
      <c r="U512" s="8">
        <f t="shared" si="57"/>
        <v>23</v>
      </c>
      <c r="V512" s="7">
        <v>36434</v>
      </c>
      <c r="W512" t="s">
        <v>783</v>
      </c>
      <c r="X512" s="2">
        <v>0.998</v>
      </c>
      <c r="Y512" s="6">
        <f t="shared" si="58"/>
        <v>2.664104001494888E-2</v>
      </c>
      <c r="AA512">
        <v>207322</v>
      </c>
      <c r="AB512">
        <v>90127</v>
      </c>
      <c r="AD512" t="s">
        <v>2</v>
      </c>
      <c r="AE512">
        <v>28</v>
      </c>
      <c r="AF512">
        <v>4</v>
      </c>
      <c r="AH512" t="s">
        <v>3338</v>
      </c>
      <c r="AI512" t="s">
        <v>3337</v>
      </c>
      <c r="AJ512" t="s">
        <v>3336</v>
      </c>
      <c r="AK512" t="s">
        <v>3335</v>
      </c>
      <c r="AL512">
        <v>62</v>
      </c>
      <c r="AM512" s="5">
        <f t="shared" si="59"/>
        <v>2.6956521739130435</v>
      </c>
      <c r="AN512" s="4">
        <f t="shared" si="60"/>
        <v>4.0827749699553859E-3</v>
      </c>
      <c r="AO512" s="3"/>
      <c r="AP512">
        <v>0</v>
      </c>
      <c r="AQ512" t="s">
        <v>441</v>
      </c>
      <c r="AR512" t="s">
        <v>1</v>
      </c>
      <c r="AS512" t="s">
        <v>440</v>
      </c>
      <c r="AT512" s="2" t="s">
        <v>0</v>
      </c>
      <c r="AU512" s="1">
        <f t="shared" si="61"/>
        <v>1.9873560501450831</v>
      </c>
      <c r="AV512" s="1">
        <f t="shared" si="62"/>
        <v>1.5361907492452131</v>
      </c>
      <c r="AW512" s="1">
        <f t="shared" si="63"/>
        <v>1.0850254483453434</v>
      </c>
    </row>
    <row r="513" spans="1:49" x14ac:dyDescent="0.2">
      <c r="A513">
        <v>511</v>
      </c>
      <c r="B513" t="s">
        <v>3334</v>
      </c>
      <c r="C513" t="s">
        <v>3333</v>
      </c>
      <c r="D513" t="s">
        <v>3332</v>
      </c>
      <c r="F513" t="s">
        <v>3331</v>
      </c>
      <c r="G513" t="s">
        <v>6</v>
      </c>
      <c r="H513" t="s">
        <v>5</v>
      </c>
      <c r="I513" t="s">
        <v>3330</v>
      </c>
      <c r="J513">
        <v>60017292</v>
      </c>
      <c r="K513" t="s">
        <v>3318</v>
      </c>
      <c r="L513" t="s">
        <v>3329</v>
      </c>
      <c r="M513" t="s">
        <v>3328</v>
      </c>
      <c r="N513">
        <v>2</v>
      </c>
      <c r="O513" t="s">
        <v>3327</v>
      </c>
      <c r="P513" t="s">
        <v>3326</v>
      </c>
      <c r="Q513" t="s">
        <v>3325</v>
      </c>
      <c r="R513" s="7">
        <v>36434</v>
      </c>
      <c r="S513" s="8">
        <f t="shared" si="56"/>
        <v>1999</v>
      </c>
      <c r="T513" s="8">
        <v>1999</v>
      </c>
      <c r="U513" s="8">
        <f t="shared" si="57"/>
        <v>23</v>
      </c>
      <c r="V513" s="7">
        <v>36434</v>
      </c>
      <c r="W513" t="s">
        <v>3324</v>
      </c>
      <c r="X513" s="2">
        <v>1.706</v>
      </c>
      <c r="Y513" s="6">
        <f t="shared" si="58"/>
        <v>4.554069565681642E-2</v>
      </c>
      <c r="AA513">
        <v>9218181</v>
      </c>
      <c r="AB513">
        <v>27049</v>
      </c>
      <c r="AD513" t="s">
        <v>2</v>
      </c>
      <c r="AE513">
        <v>22</v>
      </c>
      <c r="AF513" s="10">
        <v>44287</v>
      </c>
      <c r="AH513" t="s">
        <v>3323</v>
      </c>
      <c r="AI513" t="s">
        <v>3322</v>
      </c>
      <c r="AJ513" t="s">
        <v>3321</v>
      </c>
      <c r="AK513" t="s">
        <v>3320</v>
      </c>
      <c r="AL513">
        <v>13</v>
      </c>
      <c r="AM513" s="5">
        <f t="shared" si="59"/>
        <v>0.56521739130434778</v>
      </c>
      <c r="AN513" s="4">
        <f t="shared" si="60"/>
        <v>8.560657195067744E-4</v>
      </c>
      <c r="AO513" s="3"/>
      <c r="AP513">
        <v>0</v>
      </c>
      <c r="AQ513" t="s">
        <v>3319</v>
      </c>
      <c r="AR513" t="s">
        <v>1</v>
      </c>
      <c r="AS513" t="s">
        <v>3318</v>
      </c>
      <c r="AT513" s="2">
        <v>5.1139999999999999</v>
      </c>
      <c r="AU513" s="1">
        <f t="shared" si="61"/>
        <v>3.2135306675623516</v>
      </c>
      <c r="AV513" s="1">
        <f t="shared" si="62"/>
        <v>2.3198380688161597</v>
      </c>
      <c r="AW513" s="1">
        <f t="shared" si="63"/>
        <v>1.4261454700699667</v>
      </c>
    </row>
    <row r="514" spans="1:49" x14ac:dyDescent="0.2">
      <c r="A514">
        <v>512</v>
      </c>
      <c r="B514" t="s">
        <v>3317</v>
      </c>
      <c r="F514" t="s">
        <v>3316</v>
      </c>
      <c r="G514" t="s">
        <v>6</v>
      </c>
      <c r="H514" t="s">
        <v>5</v>
      </c>
      <c r="I514" t="s">
        <v>577</v>
      </c>
      <c r="J514">
        <v>60000745</v>
      </c>
      <c r="K514" t="s">
        <v>212</v>
      </c>
      <c r="L514" t="s">
        <v>211</v>
      </c>
      <c r="M514" t="s">
        <v>3</v>
      </c>
      <c r="N514">
        <v>3</v>
      </c>
      <c r="O514" t="s">
        <v>3315</v>
      </c>
      <c r="P514" t="s">
        <v>3314</v>
      </c>
      <c r="Q514" t="s">
        <v>576</v>
      </c>
      <c r="R514" s="7">
        <v>36434</v>
      </c>
      <c r="S514" s="8">
        <f t="shared" ref="S514:S577" si="64">YEAR(R514)</f>
        <v>1999</v>
      </c>
      <c r="T514" s="8">
        <v>1999</v>
      </c>
      <c r="U514" s="8">
        <f t="shared" ref="U514:U577" si="65">2022-T514</f>
        <v>23</v>
      </c>
      <c r="V514" s="7">
        <v>36434</v>
      </c>
      <c r="W514" t="s">
        <v>773</v>
      </c>
      <c r="X514" s="2">
        <v>0.26700000000000002</v>
      </c>
      <c r="Y514" s="6">
        <f t="shared" ref="Y514:Y577" si="66">(X514-$Z$3)/($Z$2-$Z$3)</f>
        <v>7.1274125090093707E-3</v>
      </c>
      <c r="AA514">
        <v>10224653</v>
      </c>
      <c r="AB514">
        <v>24184</v>
      </c>
      <c r="AD514" t="s">
        <v>2</v>
      </c>
      <c r="AE514">
        <v>8</v>
      </c>
      <c r="AF514">
        <v>4</v>
      </c>
      <c r="AH514" t="s">
        <v>2835</v>
      </c>
      <c r="AI514" t="s">
        <v>3313</v>
      </c>
      <c r="AK514" t="s">
        <v>3312</v>
      </c>
      <c r="AL514">
        <v>1</v>
      </c>
      <c r="AM514" s="5">
        <f t="shared" ref="AM514:AM577" si="67">AL514/U514</f>
        <v>4.3478260869565216E-2</v>
      </c>
      <c r="AN514" s="4">
        <f t="shared" ref="AN514:AN577" si="68">(AM514-$AO$3)/($AO$2-$AO$3)</f>
        <v>6.5851209192828807E-5</v>
      </c>
      <c r="AO514" s="3"/>
      <c r="AP514">
        <v>0</v>
      </c>
      <c r="AR514" t="s">
        <v>1</v>
      </c>
      <c r="AT514" s="2">
        <v>1.014</v>
      </c>
      <c r="AU514" s="1">
        <f t="shared" ref="AU514:AU577" si="69">(Y514*0.7+AN514*0.3)*100</f>
        <v>0.5008944119064408</v>
      </c>
      <c r="AV514" s="1">
        <f t="shared" ref="AV514:AV577" si="70">(Y514*0.5+AN514*0.5)*100</f>
        <v>0.35966318591010998</v>
      </c>
      <c r="AW514" s="1">
        <f t="shared" ref="AW514:AW577" si="71">(Y514*0.3+AN514*0.7)*100</f>
        <v>0.21843195991377912</v>
      </c>
    </row>
    <row r="515" spans="1:49" x14ac:dyDescent="0.2">
      <c r="A515">
        <v>513</v>
      </c>
      <c r="B515" t="s">
        <v>3311</v>
      </c>
      <c r="F515" t="s">
        <v>3310</v>
      </c>
      <c r="G515" t="s">
        <v>6</v>
      </c>
      <c r="H515" t="s">
        <v>5</v>
      </c>
      <c r="I515" t="s">
        <v>3309</v>
      </c>
      <c r="J515">
        <v>60009697</v>
      </c>
      <c r="K515" t="s">
        <v>250</v>
      </c>
      <c r="L515" t="s">
        <v>249</v>
      </c>
      <c r="M515" t="s">
        <v>125</v>
      </c>
      <c r="N515">
        <v>3</v>
      </c>
      <c r="O515" t="s">
        <v>3308</v>
      </c>
      <c r="P515" t="s">
        <v>3307</v>
      </c>
      <c r="Q515" t="s">
        <v>850</v>
      </c>
      <c r="R515" s="7">
        <v>36434</v>
      </c>
      <c r="S515" s="8">
        <f t="shared" si="64"/>
        <v>1999</v>
      </c>
      <c r="T515" s="8">
        <v>1999</v>
      </c>
      <c r="U515" s="8">
        <f t="shared" si="65"/>
        <v>23</v>
      </c>
      <c r="V515" s="7">
        <v>36434</v>
      </c>
      <c r="W515" t="s">
        <v>247</v>
      </c>
      <c r="X515" s="2">
        <v>0.46400000000000002</v>
      </c>
      <c r="Y515" s="6">
        <f t="shared" si="66"/>
        <v>1.2386214996930142E-2</v>
      </c>
      <c r="AA515">
        <v>8408688</v>
      </c>
      <c r="AB515">
        <v>26200</v>
      </c>
      <c r="AD515" t="s">
        <v>2</v>
      </c>
      <c r="AE515">
        <v>24</v>
      </c>
      <c r="AF515">
        <v>4</v>
      </c>
      <c r="AH515" t="s">
        <v>3306</v>
      </c>
      <c r="AI515" t="s">
        <v>3305</v>
      </c>
      <c r="AK515" t="s">
        <v>3304</v>
      </c>
      <c r="AL515">
        <v>0</v>
      </c>
      <c r="AM515" s="5">
        <f t="shared" si="67"/>
        <v>0</v>
      </c>
      <c r="AN515" s="4">
        <f t="shared" si="68"/>
        <v>0</v>
      </c>
      <c r="AO515" s="3"/>
      <c r="AP515">
        <v>0</v>
      </c>
      <c r="AR515" t="s">
        <v>1</v>
      </c>
      <c r="AT515" s="2" t="s">
        <v>0</v>
      </c>
      <c r="AU515" s="1">
        <f t="shared" si="69"/>
        <v>0.86703504978510992</v>
      </c>
      <c r="AV515" s="1">
        <f t="shared" si="70"/>
        <v>0.61931074984650714</v>
      </c>
      <c r="AW515" s="1">
        <f t="shared" si="71"/>
        <v>0.37158644990790424</v>
      </c>
    </row>
    <row r="516" spans="1:49" x14ac:dyDescent="0.2">
      <c r="A516">
        <v>514</v>
      </c>
      <c r="B516" t="s">
        <v>3303</v>
      </c>
      <c r="C516" t="s">
        <v>3302</v>
      </c>
      <c r="F516" t="s">
        <v>3301</v>
      </c>
      <c r="G516" t="s">
        <v>6</v>
      </c>
      <c r="H516" t="s">
        <v>5</v>
      </c>
      <c r="I516" t="s">
        <v>294</v>
      </c>
      <c r="J516">
        <v>60012162</v>
      </c>
      <c r="K516" t="s">
        <v>293</v>
      </c>
      <c r="L516" t="s">
        <v>292</v>
      </c>
      <c r="M516" t="s">
        <v>13</v>
      </c>
      <c r="N516">
        <v>3</v>
      </c>
      <c r="O516" t="s">
        <v>3300</v>
      </c>
      <c r="P516" t="s">
        <v>3299</v>
      </c>
      <c r="Q516" t="s">
        <v>3298</v>
      </c>
      <c r="R516" s="7">
        <v>36434</v>
      </c>
      <c r="S516" s="8">
        <f t="shared" si="64"/>
        <v>1999</v>
      </c>
      <c r="T516" s="8">
        <v>1999</v>
      </c>
      <c r="U516" s="8">
        <f t="shared" si="65"/>
        <v>23</v>
      </c>
      <c r="V516" s="7">
        <v>36434</v>
      </c>
      <c r="W516" t="s">
        <v>1725</v>
      </c>
      <c r="X516" s="2">
        <v>1.774</v>
      </c>
      <c r="Y516" s="6">
        <f t="shared" si="66"/>
        <v>4.7355916820159633E-2</v>
      </c>
      <c r="AA516">
        <v>295515</v>
      </c>
      <c r="AB516">
        <v>29066</v>
      </c>
      <c r="AD516" t="s">
        <v>2</v>
      </c>
      <c r="AE516">
        <v>39</v>
      </c>
      <c r="AF516">
        <v>10</v>
      </c>
      <c r="AH516" t="s">
        <v>3297</v>
      </c>
      <c r="AI516" t="s">
        <v>3296</v>
      </c>
      <c r="AK516" t="s">
        <v>3295</v>
      </c>
      <c r="AL516">
        <v>2</v>
      </c>
      <c r="AM516" s="5">
        <f t="shared" si="67"/>
        <v>8.6956521739130432E-2</v>
      </c>
      <c r="AN516" s="4">
        <f t="shared" si="68"/>
        <v>1.3170241838565761E-4</v>
      </c>
      <c r="AO516" s="3"/>
      <c r="AP516">
        <v>0</v>
      </c>
      <c r="AR516" t="s">
        <v>1</v>
      </c>
      <c r="AT516" s="2">
        <v>3.1789999999999998</v>
      </c>
      <c r="AU516" s="1">
        <f t="shared" si="69"/>
        <v>3.3188652499627436</v>
      </c>
      <c r="AV516" s="1">
        <f t="shared" si="70"/>
        <v>2.3743809619272644</v>
      </c>
      <c r="AW516" s="1">
        <f t="shared" si="71"/>
        <v>1.4298966738917849</v>
      </c>
    </row>
    <row r="517" spans="1:49" x14ac:dyDescent="0.2">
      <c r="A517">
        <v>515</v>
      </c>
      <c r="B517" t="s">
        <v>3294</v>
      </c>
      <c r="C517" t="s">
        <v>3293</v>
      </c>
      <c r="D517" t="s">
        <v>3292</v>
      </c>
      <c r="F517" t="s">
        <v>3291</v>
      </c>
      <c r="G517" t="s">
        <v>6</v>
      </c>
      <c r="H517" t="s">
        <v>5</v>
      </c>
      <c r="I517" t="s">
        <v>3290</v>
      </c>
      <c r="J517" t="s">
        <v>3289</v>
      </c>
      <c r="K517" t="s">
        <v>3288</v>
      </c>
      <c r="L517" t="s">
        <v>3287</v>
      </c>
      <c r="M517" t="s">
        <v>546</v>
      </c>
      <c r="N517">
        <v>4</v>
      </c>
      <c r="O517" t="s">
        <v>3286</v>
      </c>
      <c r="P517" t="s">
        <v>3285</v>
      </c>
      <c r="Q517" t="s">
        <v>3284</v>
      </c>
      <c r="R517" s="7">
        <v>36434</v>
      </c>
      <c r="S517" s="8">
        <f t="shared" si="64"/>
        <v>1999</v>
      </c>
      <c r="T517" s="8">
        <v>1999</v>
      </c>
      <c r="U517" s="8">
        <f t="shared" si="65"/>
        <v>23</v>
      </c>
      <c r="V517" s="7">
        <v>36434</v>
      </c>
      <c r="W517" t="s">
        <v>174</v>
      </c>
      <c r="X517" s="2">
        <v>1.3720000000000001</v>
      </c>
      <c r="Y517" s="6">
        <f t="shared" si="66"/>
        <v>3.662475641333654E-2</v>
      </c>
      <c r="AA517">
        <v>189480</v>
      </c>
      <c r="AB517">
        <v>17366</v>
      </c>
      <c r="AD517" t="s">
        <v>2</v>
      </c>
      <c r="AE517">
        <v>47</v>
      </c>
      <c r="AF517">
        <v>10</v>
      </c>
      <c r="AH517" t="s">
        <v>3283</v>
      </c>
      <c r="AI517" t="s">
        <v>3282</v>
      </c>
      <c r="AJ517" t="s">
        <v>3281</v>
      </c>
      <c r="AK517" t="s">
        <v>3280</v>
      </c>
      <c r="AL517">
        <v>43</v>
      </c>
      <c r="AM517" s="5">
        <f t="shared" si="67"/>
        <v>1.8695652173913044</v>
      </c>
      <c r="AN517" s="4">
        <f t="shared" si="68"/>
        <v>2.8316019952916386E-3</v>
      </c>
      <c r="AO517" s="3"/>
      <c r="AP517">
        <v>0</v>
      </c>
      <c r="AR517" t="s">
        <v>1</v>
      </c>
      <c r="AT517" s="2" t="s">
        <v>0</v>
      </c>
      <c r="AU517" s="1">
        <f t="shared" si="69"/>
        <v>2.6486810087923067</v>
      </c>
      <c r="AV517" s="1">
        <f t="shared" si="70"/>
        <v>1.9728179204314089</v>
      </c>
      <c r="AW517" s="1">
        <f t="shared" si="71"/>
        <v>1.2969548320705109</v>
      </c>
    </row>
    <row r="518" spans="1:49" x14ac:dyDescent="0.2">
      <c r="A518">
        <v>516</v>
      </c>
      <c r="B518" t="s">
        <v>3279</v>
      </c>
      <c r="C518" t="s">
        <v>3278</v>
      </c>
      <c r="F518" t="s">
        <v>3277</v>
      </c>
      <c r="G518" t="s">
        <v>6</v>
      </c>
      <c r="H518" t="s">
        <v>5</v>
      </c>
      <c r="I518" t="s">
        <v>3276</v>
      </c>
      <c r="J518">
        <v>60019269</v>
      </c>
      <c r="K518" t="s">
        <v>386</v>
      </c>
      <c r="L518" t="s">
        <v>385</v>
      </c>
      <c r="M518" t="s">
        <v>47</v>
      </c>
      <c r="N518">
        <v>1</v>
      </c>
      <c r="O518" t="s">
        <v>3275</v>
      </c>
      <c r="P518">
        <v>6602588589</v>
      </c>
      <c r="Q518">
        <v>60019269</v>
      </c>
      <c r="R518" s="7">
        <v>36434</v>
      </c>
      <c r="S518" s="8">
        <f t="shared" si="64"/>
        <v>1999</v>
      </c>
      <c r="T518" s="8">
        <v>1999</v>
      </c>
      <c r="U518" s="8">
        <f t="shared" si="65"/>
        <v>23</v>
      </c>
      <c r="V518" s="7">
        <v>36434</v>
      </c>
      <c r="W518" t="s">
        <v>283</v>
      </c>
      <c r="X518" s="2">
        <v>0.39600000000000002</v>
      </c>
      <c r="Y518" s="6">
        <f t="shared" si="66"/>
        <v>1.0570993833586931E-2</v>
      </c>
      <c r="AA518">
        <v>8858985</v>
      </c>
      <c r="AB518">
        <v>25993</v>
      </c>
      <c r="AD518" t="s">
        <v>2</v>
      </c>
      <c r="AE518">
        <v>14</v>
      </c>
      <c r="AF518">
        <v>10</v>
      </c>
      <c r="AH518" s="11">
        <v>42979</v>
      </c>
      <c r="AI518" t="s">
        <v>3274</v>
      </c>
      <c r="AK518" t="s">
        <v>3273</v>
      </c>
      <c r="AL518">
        <v>13</v>
      </c>
      <c r="AM518" s="5">
        <f t="shared" si="67"/>
        <v>0.56521739130434778</v>
      </c>
      <c r="AN518" s="4">
        <f t="shared" si="68"/>
        <v>8.560657195067744E-4</v>
      </c>
      <c r="AO518" s="3"/>
      <c r="AP518">
        <v>0</v>
      </c>
      <c r="AR518" t="s">
        <v>1</v>
      </c>
      <c r="AT518" s="2" t="s">
        <v>0</v>
      </c>
      <c r="AU518" s="1">
        <f t="shared" si="69"/>
        <v>0.76565153993628843</v>
      </c>
      <c r="AV518" s="1">
        <f t="shared" si="70"/>
        <v>0.57135297765468529</v>
      </c>
      <c r="AW518" s="1">
        <f t="shared" si="71"/>
        <v>0.37705441537308215</v>
      </c>
    </row>
    <row r="519" spans="1:49" x14ac:dyDescent="0.2">
      <c r="A519">
        <v>517</v>
      </c>
      <c r="B519" t="s">
        <v>3272</v>
      </c>
      <c r="C519" t="s">
        <v>3271</v>
      </c>
      <c r="F519" t="s">
        <v>3270</v>
      </c>
      <c r="G519" t="s">
        <v>6</v>
      </c>
      <c r="H519" t="s">
        <v>5</v>
      </c>
      <c r="I519" t="s">
        <v>792</v>
      </c>
      <c r="J519" t="s">
        <v>3269</v>
      </c>
      <c r="K519" t="s">
        <v>3268</v>
      </c>
      <c r="L519" t="s">
        <v>3267</v>
      </c>
      <c r="M519" t="s">
        <v>19</v>
      </c>
      <c r="N519">
        <v>3</v>
      </c>
      <c r="O519" t="s">
        <v>3266</v>
      </c>
      <c r="P519" t="s">
        <v>3265</v>
      </c>
      <c r="Q519" t="s">
        <v>3264</v>
      </c>
      <c r="R519" s="7">
        <v>36434</v>
      </c>
      <c r="S519" s="8">
        <f t="shared" si="64"/>
        <v>1999</v>
      </c>
      <c r="T519" s="8">
        <v>1999</v>
      </c>
      <c r="U519" s="8">
        <f t="shared" si="65"/>
        <v>23</v>
      </c>
      <c r="V519" s="7">
        <v>36434</v>
      </c>
      <c r="W519" t="s">
        <v>53</v>
      </c>
      <c r="X519" s="2">
        <v>0.88100000000000001</v>
      </c>
      <c r="Y519" s="6">
        <f t="shared" si="66"/>
        <v>2.3517791836843653E-2</v>
      </c>
      <c r="AA519">
        <v>10459243</v>
      </c>
      <c r="AB519">
        <v>17248</v>
      </c>
      <c r="AD519" t="s">
        <v>2</v>
      </c>
      <c r="AE519">
        <v>41</v>
      </c>
      <c r="AF519">
        <v>5</v>
      </c>
      <c r="AH519" t="s">
        <v>3263</v>
      </c>
      <c r="AI519" t="s">
        <v>3262</v>
      </c>
      <c r="AK519" t="s">
        <v>3261</v>
      </c>
      <c r="AL519">
        <v>312</v>
      </c>
      <c r="AM519" s="5">
        <f t="shared" si="67"/>
        <v>13.565217391304348</v>
      </c>
      <c r="AN519" s="4">
        <f t="shared" si="68"/>
        <v>2.0545577268162585E-2</v>
      </c>
      <c r="AO519" s="3"/>
      <c r="AP519">
        <v>0</v>
      </c>
      <c r="AR519" t="s">
        <v>1</v>
      </c>
      <c r="AS519" t="s">
        <v>3260</v>
      </c>
      <c r="AT519" s="2" t="s">
        <v>0</v>
      </c>
      <c r="AU519" s="1">
        <f t="shared" si="69"/>
        <v>2.2626127466239332</v>
      </c>
      <c r="AV519" s="1">
        <f t="shared" si="70"/>
        <v>2.2031684552503119</v>
      </c>
      <c r="AW519" s="1">
        <f t="shared" si="71"/>
        <v>2.1437241638766902</v>
      </c>
    </row>
    <row r="520" spans="1:49" x14ac:dyDescent="0.2">
      <c r="A520">
        <v>518</v>
      </c>
      <c r="B520" t="s">
        <v>3259</v>
      </c>
      <c r="C520" t="s">
        <v>3258</v>
      </c>
      <c r="D520" t="s">
        <v>3257</v>
      </c>
      <c r="F520" t="s">
        <v>3256</v>
      </c>
      <c r="G520" t="s">
        <v>6</v>
      </c>
      <c r="H520" t="s">
        <v>5</v>
      </c>
      <c r="I520" t="s">
        <v>3255</v>
      </c>
      <c r="J520" t="s">
        <v>3254</v>
      </c>
      <c r="K520" t="s">
        <v>3253</v>
      </c>
      <c r="L520" t="s">
        <v>3252</v>
      </c>
      <c r="M520" t="s">
        <v>3251</v>
      </c>
      <c r="N520">
        <v>3</v>
      </c>
      <c r="O520" t="s">
        <v>3250</v>
      </c>
      <c r="P520" t="s">
        <v>3249</v>
      </c>
      <c r="Q520" t="s">
        <v>3248</v>
      </c>
      <c r="R520" s="7">
        <v>36434</v>
      </c>
      <c r="S520" s="8">
        <f t="shared" si="64"/>
        <v>1999</v>
      </c>
      <c r="T520" s="8">
        <v>1999</v>
      </c>
      <c r="U520" s="8">
        <f t="shared" si="65"/>
        <v>23</v>
      </c>
      <c r="V520" s="7">
        <v>36434</v>
      </c>
      <c r="W520" t="s">
        <v>3247</v>
      </c>
      <c r="X520" s="2">
        <v>1.528</v>
      </c>
      <c r="Y520" s="6">
        <f t="shared" si="66"/>
        <v>4.0789087317476845E-2</v>
      </c>
      <c r="AA520">
        <v>2649381</v>
      </c>
      <c r="AB520">
        <v>27433</v>
      </c>
      <c r="AD520" t="s">
        <v>2</v>
      </c>
      <c r="AE520">
        <v>16</v>
      </c>
      <c r="AF520">
        <v>10</v>
      </c>
      <c r="AH520" t="s">
        <v>3246</v>
      </c>
      <c r="AI520" t="s">
        <v>3245</v>
      </c>
      <c r="AK520" t="s">
        <v>3244</v>
      </c>
      <c r="AL520">
        <v>7</v>
      </c>
      <c r="AM520" s="5">
        <f t="shared" si="67"/>
        <v>0.30434782608695654</v>
      </c>
      <c r="AN520" s="4">
        <f t="shared" si="68"/>
        <v>4.6095846434980164E-4</v>
      </c>
      <c r="AO520" s="3"/>
      <c r="AP520">
        <v>0</v>
      </c>
      <c r="AR520" t="s">
        <v>1</v>
      </c>
      <c r="AT520" s="2">
        <v>3.528</v>
      </c>
      <c r="AU520" s="1">
        <f t="shared" si="69"/>
        <v>2.8690648661538733</v>
      </c>
      <c r="AV520" s="1">
        <f t="shared" si="70"/>
        <v>2.062502289091332</v>
      </c>
      <c r="AW520" s="1">
        <f t="shared" si="71"/>
        <v>1.2559397120287914</v>
      </c>
    </row>
    <row r="521" spans="1:49" x14ac:dyDescent="0.2">
      <c r="A521">
        <v>519</v>
      </c>
      <c r="B521" t="s">
        <v>3243</v>
      </c>
      <c r="C521" t="s">
        <v>3242</v>
      </c>
      <c r="D521" t="s">
        <v>3241</v>
      </c>
      <c r="E521">
        <v>10476850</v>
      </c>
      <c r="F521" t="s">
        <v>3240</v>
      </c>
      <c r="G521" t="s">
        <v>6</v>
      </c>
      <c r="H521" t="s">
        <v>5</v>
      </c>
      <c r="I521" t="s">
        <v>3239</v>
      </c>
      <c r="J521">
        <v>60030718</v>
      </c>
      <c r="K521" t="s">
        <v>586</v>
      </c>
      <c r="L521" t="s">
        <v>144</v>
      </c>
      <c r="M521" t="s">
        <v>65</v>
      </c>
      <c r="N521">
        <v>3</v>
      </c>
      <c r="O521" t="s">
        <v>3238</v>
      </c>
      <c r="P521" t="s">
        <v>3237</v>
      </c>
      <c r="Q521" t="s">
        <v>585</v>
      </c>
      <c r="R521" s="7">
        <v>36434</v>
      </c>
      <c r="S521" s="8">
        <f t="shared" si="64"/>
        <v>1999</v>
      </c>
      <c r="T521" s="8">
        <v>1999</v>
      </c>
      <c r="U521" s="8">
        <f t="shared" si="65"/>
        <v>23</v>
      </c>
      <c r="V521" s="7">
        <v>36434</v>
      </c>
      <c r="W521" t="s">
        <v>3236</v>
      </c>
      <c r="X521" s="2">
        <v>0.82599999999999996</v>
      </c>
      <c r="Y521" s="6">
        <f t="shared" si="66"/>
        <v>2.2049598248845465E-2</v>
      </c>
      <c r="AA521">
        <v>219290</v>
      </c>
      <c r="AB521">
        <v>15846</v>
      </c>
      <c r="AD521" t="s">
        <v>2</v>
      </c>
      <c r="AE521">
        <v>32</v>
      </c>
      <c r="AF521">
        <v>10</v>
      </c>
      <c r="AH521" t="s">
        <v>3235</v>
      </c>
      <c r="AI521" t="s">
        <v>3234</v>
      </c>
      <c r="AJ521" t="s">
        <v>3233</v>
      </c>
      <c r="AK521" t="s">
        <v>3232</v>
      </c>
      <c r="AL521">
        <v>78</v>
      </c>
      <c r="AM521" s="5">
        <f t="shared" si="67"/>
        <v>3.3913043478260869</v>
      </c>
      <c r="AN521" s="4">
        <f t="shared" si="68"/>
        <v>5.1363943170406462E-3</v>
      </c>
      <c r="AO521" s="3"/>
      <c r="AP521">
        <v>0</v>
      </c>
      <c r="AQ521" t="s">
        <v>96</v>
      </c>
      <c r="AR521" t="s">
        <v>3231</v>
      </c>
      <c r="AS521" t="s">
        <v>95</v>
      </c>
      <c r="AT521" s="2">
        <v>2.7120000000000002</v>
      </c>
      <c r="AU521" s="1">
        <f t="shared" si="69"/>
        <v>1.6975637069304019</v>
      </c>
      <c r="AV521" s="1">
        <f t="shared" si="70"/>
        <v>1.3592996282943055</v>
      </c>
      <c r="AW521" s="1">
        <f t="shared" si="71"/>
        <v>1.0210355496582091</v>
      </c>
    </row>
    <row r="522" spans="1:49" x14ac:dyDescent="0.2">
      <c r="A522">
        <v>520</v>
      </c>
      <c r="B522" t="s">
        <v>3230</v>
      </c>
      <c r="C522" t="s">
        <v>3229</v>
      </c>
      <c r="F522" t="s">
        <v>3228</v>
      </c>
      <c r="G522" t="s">
        <v>6</v>
      </c>
      <c r="H522" t="s">
        <v>5</v>
      </c>
      <c r="I522" t="s">
        <v>3227</v>
      </c>
      <c r="J522" t="s">
        <v>3221</v>
      </c>
      <c r="K522" t="s">
        <v>3226</v>
      </c>
      <c r="L522" t="s">
        <v>3225</v>
      </c>
      <c r="M522" t="s">
        <v>3224</v>
      </c>
      <c r="N522">
        <v>2</v>
      </c>
      <c r="O522" t="s">
        <v>3223</v>
      </c>
      <c r="P522" t="s">
        <v>3222</v>
      </c>
      <c r="Q522" t="s">
        <v>3221</v>
      </c>
      <c r="R522" s="7">
        <v>36434</v>
      </c>
      <c r="S522" s="8">
        <f t="shared" si="64"/>
        <v>1999</v>
      </c>
      <c r="T522" s="8">
        <v>1999</v>
      </c>
      <c r="U522" s="8">
        <f t="shared" si="65"/>
        <v>23</v>
      </c>
      <c r="V522" s="7">
        <v>36434</v>
      </c>
      <c r="W522" t="s">
        <v>3220</v>
      </c>
      <c r="X522" s="2">
        <v>0.84299999999999997</v>
      </c>
      <c r="Y522" s="6">
        <f t="shared" si="66"/>
        <v>2.250340353968127E-2</v>
      </c>
      <c r="AA522">
        <v>188158</v>
      </c>
      <c r="AB522">
        <v>15168</v>
      </c>
      <c r="AD522" t="s">
        <v>2</v>
      </c>
      <c r="AE522">
        <v>412</v>
      </c>
      <c r="AH522" t="s">
        <v>3219</v>
      </c>
      <c r="AI522" t="s">
        <v>3218</v>
      </c>
      <c r="AJ522" t="s">
        <v>3217</v>
      </c>
      <c r="AK522" t="s">
        <v>3216</v>
      </c>
      <c r="AL522">
        <v>16</v>
      </c>
      <c r="AM522" s="5">
        <f t="shared" si="67"/>
        <v>0.69565217391304346</v>
      </c>
      <c r="AN522" s="4">
        <f t="shared" si="68"/>
        <v>1.0536193470852609E-3</v>
      </c>
      <c r="AO522" s="3"/>
      <c r="AP522">
        <v>0</v>
      </c>
      <c r="AQ522" t="s">
        <v>3215</v>
      </c>
      <c r="AR522" t="s">
        <v>3214</v>
      </c>
      <c r="AS522" t="s">
        <v>3213</v>
      </c>
      <c r="AT522" s="2">
        <v>2.694</v>
      </c>
      <c r="AU522" s="1">
        <f t="shared" si="69"/>
        <v>1.6068468281902468</v>
      </c>
      <c r="AV522" s="1">
        <f t="shared" si="70"/>
        <v>1.1778511443383266</v>
      </c>
      <c r="AW522" s="1">
        <f t="shared" si="71"/>
        <v>0.74885546048640639</v>
      </c>
    </row>
    <row r="523" spans="1:49" x14ac:dyDescent="0.2">
      <c r="A523">
        <v>521</v>
      </c>
      <c r="B523" t="s">
        <v>3212</v>
      </c>
      <c r="C523" t="s">
        <v>3211</v>
      </c>
      <c r="F523" t="s">
        <v>3210</v>
      </c>
      <c r="G523" t="s">
        <v>6</v>
      </c>
      <c r="H523" t="s">
        <v>5</v>
      </c>
      <c r="I523" t="s">
        <v>3209</v>
      </c>
      <c r="J523">
        <v>60015543</v>
      </c>
      <c r="K523" t="s">
        <v>3208</v>
      </c>
      <c r="L523" t="s">
        <v>277</v>
      </c>
      <c r="M523" t="s">
        <v>3</v>
      </c>
      <c r="N523">
        <v>1</v>
      </c>
      <c r="O523" t="s">
        <v>3207</v>
      </c>
      <c r="P523">
        <v>57207582174</v>
      </c>
      <c r="Q523">
        <v>60015543</v>
      </c>
      <c r="R523" s="7">
        <v>36434</v>
      </c>
      <c r="S523" s="8">
        <f t="shared" si="64"/>
        <v>1999</v>
      </c>
      <c r="T523" s="8">
        <v>1999</v>
      </c>
      <c r="U523" s="8">
        <f t="shared" si="65"/>
        <v>23</v>
      </c>
      <c r="V523" s="7">
        <v>36434</v>
      </c>
      <c r="W523" t="s">
        <v>782</v>
      </c>
      <c r="X523" s="2">
        <v>0.22600000000000001</v>
      </c>
      <c r="Y523" s="6">
        <f t="shared" si="66"/>
        <v>6.0329409252289053E-3</v>
      </c>
      <c r="AA523">
        <v>2786648</v>
      </c>
      <c r="AB523">
        <v>17299</v>
      </c>
      <c r="AD523" t="s">
        <v>2</v>
      </c>
      <c r="AE523">
        <v>18</v>
      </c>
      <c r="AF523">
        <v>4</v>
      </c>
      <c r="AH523" t="s">
        <v>684</v>
      </c>
      <c r="AI523" t="s">
        <v>3206</v>
      </c>
      <c r="AK523" t="s">
        <v>3205</v>
      </c>
      <c r="AL523">
        <v>0</v>
      </c>
      <c r="AM523" s="5">
        <f t="shared" si="67"/>
        <v>0</v>
      </c>
      <c r="AN523" s="4">
        <f t="shared" si="68"/>
        <v>0</v>
      </c>
      <c r="AO523" s="3"/>
      <c r="AP523">
        <v>0</v>
      </c>
      <c r="AR523" t="s">
        <v>1</v>
      </c>
      <c r="AT523" s="2" t="s">
        <v>0</v>
      </c>
      <c r="AU523" s="1">
        <f t="shared" si="69"/>
        <v>0.42230586476602339</v>
      </c>
      <c r="AV523" s="1">
        <f t="shared" si="70"/>
        <v>0.30164704626144528</v>
      </c>
      <c r="AW523" s="1">
        <f t="shared" si="71"/>
        <v>0.18098822775686715</v>
      </c>
    </row>
    <row r="524" spans="1:49" x14ac:dyDescent="0.2">
      <c r="A524">
        <v>522</v>
      </c>
      <c r="B524" t="s">
        <v>3204</v>
      </c>
      <c r="C524" t="s">
        <v>3203</v>
      </c>
      <c r="F524" t="s">
        <v>3202</v>
      </c>
      <c r="G524" t="s">
        <v>6</v>
      </c>
      <c r="H524" t="s">
        <v>5</v>
      </c>
      <c r="I524" t="s">
        <v>3201</v>
      </c>
      <c r="N524">
        <v>3</v>
      </c>
      <c r="O524" t="s">
        <v>3200</v>
      </c>
      <c r="P524" t="s">
        <v>3199</v>
      </c>
      <c r="Q524" t="s">
        <v>503</v>
      </c>
      <c r="R524" s="7">
        <v>36434</v>
      </c>
      <c r="S524" s="8">
        <f t="shared" si="64"/>
        <v>1999</v>
      </c>
      <c r="T524" s="8">
        <v>1999</v>
      </c>
      <c r="U524" s="8">
        <f t="shared" si="65"/>
        <v>23</v>
      </c>
      <c r="V524" s="7">
        <v>36434</v>
      </c>
      <c r="W524" t="s">
        <v>782</v>
      </c>
      <c r="X524" s="2">
        <v>0.22600000000000001</v>
      </c>
      <c r="Y524" s="6">
        <f t="shared" si="66"/>
        <v>6.0329409252289053E-3</v>
      </c>
      <c r="AA524">
        <v>2786648</v>
      </c>
      <c r="AB524">
        <v>17299</v>
      </c>
      <c r="AD524" t="s">
        <v>2</v>
      </c>
      <c r="AE524">
        <v>18</v>
      </c>
      <c r="AF524">
        <v>4</v>
      </c>
      <c r="AH524" t="s">
        <v>3198</v>
      </c>
      <c r="AI524" t="s">
        <v>3197</v>
      </c>
      <c r="AK524" t="s">
        <v>3196</v>
      </c>
      <c r="AL524">
        <v>9</v>
      </c>
      <c r="AM524" s="5">
        <f t="shared" si="67"/>
        <v>0.39130434782608697</v>
      </c>
      <c r="AN524" s="4">
        <f t="shared" si="68"/>
        <v>5.9266088273545923E-4</v>
      </c>
      <c r="AO524" s="3"/>
      <c r="AP524">
        <v>0</v>
      </c>
      <c r="AR524" t="s">
        <v>1</v>
      </c>
      <c r="AT524" s="2" t="s">
        <v>0</v>
      </c>
      <c r="AU524" s="1">
        <f t="shared" si="69"/>
        <v>0.44008569124808711</v>
      </c>
      <c r="AV524" s="1">
        <f t="shared" si="70"/>
        <v>0.33128009039821826</v>
      </c>
      <c r="AW524" s="1">
        <f t="shared" si="71"/>
        <v>0.22247448954834928</v>
      </c>
    </row>
    <row r="525" spans="1:49" x14ac:dyDescent="0.2">
      <c r="A525">
        <v>523</v>
      </c>
      <c r="B525" t="s">
        <v>3195</v>
      </c>
      <c r="F525" t="s">
        <v>3194</v>
      </c>
      <c r="G525" t="s">
        <v>6</v>
      </c>
      <c r="H525" t="s">
        <v>5</v>
      </c>
      <c r="I525" t="s">
        <v>3193</v>
      </c>
      <c r="N525">
        <v>5</v>
      </c>
      <c r="O525" t="s">
        <v>3192</v>
      </c>
      <c r="P525" t="s">
        <v>3191</v>
      </c>
      <c r="Q525" t="s">
        <v>3190</v>
      </c>
      <c r="R525" s="7">
        <v>36434</v>
      </c>
      <c r="S525" s="8">
        <f t="shared" si="64"/>
        <v>1999</v>
      </c>
      <c r="T525" s="8">
        <v>1999</v>
      </c>
      <c r="U525" s="8">
        <f t="shared" si="65"/>
        <v>23</v>
      </c>
      <c r="V525" s="7">
        <v>36434</v>
      </c>
      <c r="W525" t="s">
        <v>3189</v>
      </c>
      <c r="X525" s="2">
        <v>0.22</v>
      </c>
      <c r="Y525" s="6">
        <f t="shared" si="66"/>
        <v>5.8727743519927395E-3</v>
      </c>
      <c r="AA525">
        <v>2705214</v>
      </c>
      <c r="AB525">
        <v>28119</v>
      </c>
      <c r="AD525" t="s">
        <v>2</v>
      </c>
      <c r="AE525">
        <v>20</v>
      </c>
      <c r="AF525">
        <v>4</v>
      </c>
      <c r="AH525" t="s">
        <v>3188</v>
      </c>
      <c r="AI525" t="s">
        <v>3187</v>
      </c>
      <c r="AK525" t="s">
        <v>3186</v>
      </c>
      <c r="AL525">
        <v>4</v>
      </c>
      <c r="AM525" s="5">
        <f t="shared" si="67"/>
        <v>0.17391304347826086</v>
      </c>
      <c r="AN525" s="4">
        <f t="shared" si="68"/>
        <v>2.6340483677131523E-4</v>
      </c>
      <c r="AO525" s="3"/>
      <c r="AP525">
        <v>0</v>
      </c>
      <c r="AR525" t="s">
        <v>1</v>
      </c>
      <c r="AT525" s="2" t="s">
        <v>0</v>
      </c>
      <c r="AU525" s="1">
        <f t="shared" si="69"/>
        <v>0.41899634974263122</v>
      </c>
      <c r="AV525" s="1">
        <f t="shared" si="70"/>
        <v>0.30680895943820274</v>
      </c>
      <c r="AW525" s="1">
        <f t="shared" si="71"/>
        <v>0.19462156913377426</v>
      </c>
    </row>
    <row r="526" spans="1:49" x14ac:dyDescent="0.2">
      <c r="A526">
        <v>524</v>
      </c>
      <c r="B526" t="s">
        <v>3185</v>
      </c>
      <c r="F526" t="s">
        <v>3184</v>
      </c>
      <c r="G526" t="s">
        <v>6</v>
      </c>
      <c r="H526" t="s">
        <v>5</v>
      </c>
      <c r="I526" t="s">
        <v>3183</v>
      </c>
      <c r="J526" t="s">
        <v>3177</v>
      </c>
      <c r="K526" t="s">
        <v>3182</v>
      </c>
      <c r="L526" t="s">
        <v>3181</v>
      </c>
      <c r="M526" t="s">
        <v>3180</v>
      </c>
      <c r="N526">
        <v>3</v>
      </c>
      <c r="O526" t="s">
        <v>3179</v>
      </c>
      <c r="P526" t="s">
        <v>3178</v>
      </c>
      <c r="Q526" t="s">
        <v>3177</v>
      </c>
      <c r="R526" s="7">
        <v>36434</v>
      </c>
      <c r="S526" s="8">
        <f t="shared" si="64"/>
        <v>1999</v>
      </c>
      <c r="T526" s="8">
        <v>1999</v>
      </c>
      <c r="U526" s="8">
        <f t="shared" si="65"/>
        <v>23</v>
      </c>
      <c r="V526" s="7">
        <v>36434</v>
      </c>
      <c r="W526" t="s">
        <v>3176</v>
      </c>
      <c r="X526" s="2">
        <v>0.20899999999999999</v>
      </c>
      <c r="Y526" s="6">
        <f t="shared" si="66"/>
        <v>5.5791356343931021E-3</v>
      </c>
      <c r="AA526">
        <v>9700374</v>
      </c>
      <c r="AB526">
        <v>12185</v>
      </c>
      <c r="AD526" t="s">
        <v>2</v>
      </c>
      <c r="AE526">
        <v>28</v>
      </c>
      <c r="AF526">
        <v>4</v>
      </c>
      <c r="AH526" t="s">
        <v>3175</v>
      </c>
      <c r="AI526" t="s">
        <v>3174</v>
      </c>
      <c r="AK526" t="s">
        <v>3173</v>
      </c>
      <c r="AL526">
        <v>0</v>
      </c>
      <c r="AM526" s="5">
        <f t="shared" si="67"/>
        <v>0</v>
      </c>
      <c r="AN526" s="4">
        <f t="shared" si="68"/>
        <v>0</v>
      </c>
      <c r="AO526" s="3"/>
      <c r="AP526">
        <v>0</v>
      </c>
      <c r="AR526" t="s">
        <v>1</v>
      </c>
      <c r="AT526" s="2" t="s">
        <v>0</v>
      </c>
      <c r="AU526" s="1">
        <f t="shared" si="69"/>
        <v>0.39053949440751712</v>
      </c>
      <c r="AV526" s="1">
        <f t="shared" si="70"/>
        <v>0.2789567817196551</v>
      </c>
      <c r="AW526" s="1">
        <f t="shared" si="71"/>
        <v>0.16737406903179305</v>
      </c>
    </row>
    <row r="527" spans="1:49" x14ac:dyDescent="0.2">
      <c r="A527">
        <v>525</v>
      </c>
      <c r="B527" t="s">
        <v>3172</v>
      </c>
      <c r="F527" t="s">
        <v>3171</v>
      </c>
      <c r="G527" t="s">
        <v>6</v>
      </c>
      <c r="H527" t="s">
        <v>5</v>
      </c>
      <c r="I527" t="s">
        <v>238</v>
      </c>
      <c r="N527">
        <v>1</v>
      </c>
      <c r="O527" t="s">
        <v>237</v>
      </c>
      <c r="P527">
        <v>1</v>
      </c>
      <c r="R527" s="7">
        <v>36434</v>
      </c>
      <c r="S527" s="8">
        <f t="shared" si="64"/>
        <v>1999</v>
      </c>
      <c r="T527" s="8">
        <v>1999</v>
      </c>
      <c r="U527" s="8">
        <f t="shared" si="65"/>
        <v>23</v>
      </c>
      <c r="V527" s="7">
        <v>36434</v>
      </c>
      <c r="W527" t="s">
        <v>236</v>
      </c>
      <c r="X527" s="2">
        <v>0.13800000000000001</v>
      </c>
      <c r="Y527" s="6">
        <f t="shared" si="66"/>
        <v>3.6838311844318095E-3</v>
      </c>
      <c r="AA527">
        <v>1926225</v>
      </c>
      <c r="AB527">
        <v>18580</v>
      </c>
      <c r="AD527" t="s">
        <v>2</v>
      </c>
      <c r="AE527">
        <v>42</v>
      </c>
      <c r="AF527">
        <v>10</v>
      </c>
      <c r="AI527" t="s">
        <v>3170</v>
      </c>
      <c r="AK527" t="s">
        <v>3169</v>
      </c>
      <c r="AL527">
        <v>0</v>
      </c>
      <c r="AM527" s="5">
        <f t="shared" si="67"/>
        <v>0</v>
      </c>
      <c r="AN527" s="4">
        <f t="shared" si="68"/>
        <v>0</v>
      </c>
      <c r="AO527" s="3"/>
      <c r="AP527">
        <v>0</v>
      </c>
      <c r="AR527" t="s">
        <v>1</v>
      </c>
      <c r="AT527" s="2">
        <v>0.30599999999999999</v>
      </c>
      <c r="AU527" s="1">
        <f t="shared" si="69"/>
        <v>0.25786818291022667</v>
      </c>
      <c r="AV527" s="1">
        <f t="shared" si="70"/>
        <v>0.18419155922159047</v>
      </c>
      <c r="AW527" s="1">
        <f t="shared" si="71"/>
        <v>0.11051493553295429</v>
      </c>
    </row>
    <row r="528" spans="1:49" x14ac:dyDescent="0.2">
      <c r="A528">
        <v>526</v>
      </c>
      <c r="B528" t="s">
        <v>3168</v>
      </c>
      <c r="C528" t="s">
        <v>3167</v>
      </c>
      <c r="F528" t="s">
        <v>3166</v>
      </c>
      <c r="G528" t="s">
        <v>6</v>
      </c>
      <c r="H528" t="s">
        <v>5</v>
      </c>
      <c r="I528" t="s">
        <v>3165</v>
      </c>
      <c r="J528" t="s">
        <v>3164</v>
      </c>
      <c r="K528" t="s">
        <v>3163</v>
      </c>
      <c r="L528" t="s">
        <v>3162</v>
      </c>
      <c r="M528" t="s">
        <v>120</v>
      </c>
      <c r="N528">
        <v>9</v>
      </c>
      <c r="O528" t="s">
        <v>3161</v>
      </c>
      <c r="P528" t="s">
        <v>3160</v>
      </c>
      <c r="Q528" t="s">
        <v>3159</v>
      </c>
      <c r="R528" s="7">
        <v>36434</v>
      </c>
      <c r="S528" s="8">
        <f t="shared" si="64"/>
        <v>1999</v>
      </c>
      <c r="T528" s="8">
        <v>1999</v>
      </c>
      <c r="U528" s="8">
        <f t="shared" si="65"/>
        <v>23</v>
      </c>
      <c r="V528" s="7">
        <v>36434</v>
      </c>
      <c r="W528" t="s">
        <v>172</v>
      </c>
      <c r="X528" s="2">
        <v>0.61499999999999999</v>
      </c>
      <c r="Y528" s="6">
        <f t="shared" si="66"/>
        <v>1.6417073756706976E-2</v>
      </c>
      <c r="AA528">
        <v>1959271</v>
      </c>
      <c r="AB528">
        <v>12141</v>
      </c>
      <c r="AD528" t="s">
        <v>2</v>
      </c>
      <c r="AE528">
        <v>20</v>
      </c>
      <c r="AF528">
        <v>10</v>
      </c>
      <c r="AH528" t="s">
        <v>3158</v>
      </c>
      <c r="AI528" t="s">
        <v>3157</v>
      </c>
      <c r="AK528" t="s">
        <v>3156</v>
      </c>
      <c r="AL528">
        <v>7</v>
      </c>
      <c r="AM528" s="5">
        <f t="shared" si="67"/>
        <v>0.30434782608695654</v>
      </c>
      <c r="AN528" s="4">
        <f t="shared" si="68"/>
        <v>4.6095846434980164E-4</v>
      </c>
      <c r="AO528" s="3"/>
      <c r="AP528">
        <v>0</v>
      </c>
      <c r="AQ528" t="s">
        <v>3155</v>
      </c>
      <c r="AR528" t="s">
        <v>3154</v>
      </c>
      <c r="AS528" t="s">
        <v>3153</v>
      </c>
      <c r="AT528" s="2" t="s">
        <v>0</v>
      </c>
      <c r="AU528" s="1">
        <f t="shared" si="69"/>
        <v>1.1630239168999821</v>
      </c>
      <c r="AV528" s="1">
        <f t="shared" si="70"/>
        <v>0.8439016110528389</v>
      </c>
      <c r="AW528" s="1">
        <f t="shared" si="71"/>
        <v>0.52477930520569527</v>
      </c>
    </row>
    <row r="529" spans="1:49" x14ac:dyDescent="0.2">
      <c r="A529">
        <v>527</v>
      </c>
      <c r="B529" t="s">
        <v>3152</v>
      </c>
      <c r="C529" t="s">
        <v>3151</v>
      </c>
      <c r="F529" t="s">
        <v>3150</v>
      </c>
      <c r="G529" t="s">
        <v>6</v>
      </c>
      <c r="H529" t="s">
        <v>5</v>
      </c>
      <c r="I529" t="s">
        <v>3138</v>
      </c>
      <c r="J529">
        <v>60033019</v>
      </c>
      <c r="K529" t="s">
        <v>3149</v>
      </c>
      <c r="L529" t="s">
        <v>3148</v>
      </c>
      <c r="M529" t="s">
        <v>23</v>
      </c>
      <c r="N529">
        <v>3</v>
      </c>
      <c r="O529" t="s">
        <v>3147</v>
      </c>
      <c r="P529" t="s">
        <v>3146</v>
      </c>
      <c r="Q529" t="s">
        <v>3145</v>
      </c>
      <c r="R529" s="7">
        <v>36434</v>
      </c>
      <c r="S529" s="8">
        <f t="shared" si="64"/>
        <v>1999</v>
      </c>
      <c r="T529" s="8">
        <v>1999</v>
      </c>
      <c r="U529" s="8">
        <f t="shared" si="65"/>
        <v>23</v>
      </c>
      <c r="V529" s="7">
        <v>36434</v>
      </c>
      <c r="W529" t="s">
        <v>172</v>
      </c>
      <c r="X529" s="2">
        <v>0.61499999999999999</v>
      </c>
      <c r="Y529" s="6">
        <f t="shared" si="66"/>
        <v>1.6417073756706976E-2</v>
      </c>
      <c r="AA529">
        <v>1959271</v>
      </c>
      <c r="AB529">
        <v>12141</v>
      </c>
      <c r="AD529" t="s">
        <v>2</v>
      </c>
      <c r="AE529">
        <v>20</v>
      </c>
      <c r="AF529">
        <v>10</v>
      </c>
      <c r="AH529" t="s">
        <v>3144</v>
      </c>
      <c r="AI529" t="s">
        <v>3143</v>
      </c>
      <c r="AK529" t="s">
        <v>3142</v>
      </c>
      <c r="AL529">
        <v>6</v>
      </c>
      <c r="AM529" s="5">
        <f t="shared" si="67"/>
        <v>0.2608695652173913</v>
      </c>
      <c r="AN529" s="4">
        <f t="shared" si="68"/>
        <v>3.9510725515697282E-4</v>
      </c>
      <c r="AO529" s="3"/>
      <c r="AP529">
        <v>0</v>
      </c>
      <c r="AR529" t="s">
        <v>1</v>
      </c>
      <c r="AT529" s="2" t="s">
        <v>0</v>
      </c>
      <c r="AU529" s="1">
        <f t="shared" si="69"/>
        <v>1.1610483806241974</v>
      </c>
      <c r="AV529" s="1">
        <f t="shared" si="70"/>
        <v>0.84060905059319746</v>
      </c>
      <c r="AW529" s="1">
        <f t="shared" si="71"/>
        <v>0.52016972056219735</v>
      </c>
    </row>
    <row r="530" spans="1:49" x14ac:dyDescent="0.2">
      <c r="A530">
        <v>528</v>
      </c>
      <c r="B530" t="s">
        <v>3141</v>
      </c>
      <c r="C530" t="s">
        <v>3140</v>
      </c>
      <c r="F530" t="s">
        <v>3139</v>
      </c>
      <c r="G530" t="s">
        <v>6</v>
      </c>
      <c r="H530" t="s">
        <v>5</v>
      </c>
      <c r="I530" t="s">
        <v>3138</v>
      </c>
      <c r="J530" t="s">
        <v>3137</v>
      </c>
      <c r="K530" t="s">
        <v>3136</v>
      </c>
      <c r="L530" t="s">
        <v>3135</v>
      </c>
      <c r="M530" t="s">
        <v>3134</v>
      </c>
      <c r="N530">
        <v>8</v>
      </c>
      <c r="O530" t="s">
        <v>3133</v>
      </c>
      <c r="P530" t="s">
        <v>3132</v>
      </c>
      <c r="Q530" t="s">
        <v>3131</v>
      </c>
      <c r="R530" s="7">
        <v>36434</v>
      </c>
      <c r="S530" s="8">
        <f t="shared" si="64"/>
        <v>1999</v>
      </c>
      <c r="T530" s="8">
        <v>1999</v>
      </c>
      <c r="U530" s="8">
        <f t="shared" si="65"/>
        <v>23</v>
      </c>
      <c r="V530" s="7">
        <v>36434</v>
      </c>
      <c r="W530" t="s">
        <v>172</v>
      </c>
      <c r="X530" s="2">
        <v>0.61499999999999999</v>
      </c>
      <c r="Y530" s="6">
        <f t="shared" si="66"/>
        <v>1.6417073756706976E-2</v>
      </c>
      <c r="AA530">
        <v>1959271</v>
      </c>
      <c r="AB530">
        <v>12141</v>
      </c>
      <c r="AD530" t="s">
        <v>2</v>
      </c>
      <c r="AE530">
        <v>20</v>
      </c>
      <c r="AF530">
        <v>10</v>
      </c>
      <c r="AH530" t="s">
        <v>3130</v>
      </c>
      <c r="AI530" t="s">
        <v>3129</v>
      </c>
      <c r="AK530" t="s">
        <v>3128</v>
      </c>
      <c r="AL530">
        <v>5</v>
      </c>
      <c r="AM530" s="5">
        <f t="shared" si="67"/>
        <v>0.21739130434782608</v>
      </c>
      <c r="AN530" s="4">
        <f t="shared" si="68"/>
        <v>3.29256045964144E-4</v>
      </c>
      <c r="AO530" s="3"/>
      <c r="AP530">
        <v>0</v>
      </c>
      <c r="AR530" t="s">
        <v>1</v>
      </c>
      <c r="AS530" t="s">
        <v>3127</v>
      </c>
      <c r="AT530" s="2" t="s">
        <v>0</v>
      </c>
      <c r="AU530" s="1">
        <f t="shared" si="69"/>
        <v>1.1590728443484124</v>
      </c>
      <c r="AV530" s="1">
        <f t="shared" si="70"/>
        <v>0.83731649013355602</v>
      </c>
      <c r="AW530" s="1">
        <f t="shared" si="71"/>
        <v>0.51556013591869931</v>
      </c>
    </row>
    <row r="531" spans="1:49" x14ac:dyDescent="0.2">
      <c r="A531">
        <v>529</v>
      </c>
      <c r="B531" t="s">
        <v>3126</v>
      </c>
      <c r="F531" t="s">
        <v>3125</v>
      </c>
      <c r="G531" t="s">
        <v>6</v>
      </c>
      <c r="H531" t="s">
        <v>5</v>
      </c>
      <c r="I531" t="s">
        <v>3124</v>
      </c>
      <c r="J531">
        <v>60027550</v>
      </c>
      <c r="K531" t="s">
        <v>22</v>
      </c>
      <c r="L531" t="s">
        <v>21</v>
      </c>
      <c r="M531" t="s">
        <v>3</v>
      </c>
      <c r="N531">
        <v>3</v>
      </c>
      <c r="O531" t="s">
        <v>3123</v>
      </c>
      <c r="P531" t="s">
        <v>3122</v>
      </c>
      <c r="Q531" t="s">
        <v>20</v>
      </c>
      <c r="R531" s="7">
        <v>36434</v>
      </c>
      <c r="S531" s="8">
        <f t="shared" si="64"/>
        <v>1999</v>
      </c>
      <c r="T531" s="8">
        <v>1999</v>
      </c>
      <c r="U531" s="8">
        <f t="shared" si="65"/>
        <v>23</v>
      </c>
      <c r="V531" s="7">
        <v>36434</v>
      </c>
      <c r="W531" t="s">
        <v>779</v>
      </c>
      <c r="X531" s="2" t="s">
        <v>0</v>
      </c>
      <c r="Y531" s="6" t="e">
        <f t="shared" si="66"/>
        <v>#VALUE!</v>
      </c>
      <c r="AA531" t="s">
        <v>778</v>
      </c>
      <c r="AB531">
        <v>26720</v>
      </c>
      <c r="AD531" t="s">
        <v>2</v>
      </c>
      <c r="AF531" t="s">
        <v>3121</v>
      </c>
      <c r="AI531" t="s">
        <v>3120</v>
      </c>
      <c r="AK531" t="s">
        <v>3119</v>
      </c>
      <c r="AL531">
        <v>1</v>
      </c>
      <c r="AM531" s="5">
        <f t="shared" si="67"/>
        <v>4.3478260869565216E-2</v>
      </c>
      <c r="AN531" s="4">
        <f t="shared" si="68"/>
        <v>6.5851209192828807E-5</v>
      </c>
      <c r="AO531" s="3"/>
      <c r="AP531">
        <v>0</v>
      </c>
      <c r="AR531" t="s">
        <v>1</v>
      </c>
      <c r="AT531" s="2" t="s">
        <v>0</v>
      </c>
      <c r="AU531" s="1" t="e">
        <f t="shared" si="69"/>
        <v>#VALUE!</v>
      </c>
      <c r="AV531" s="1" t="e">
        <f t="shared" si="70"/>
        <v>#VALUE!</v>
      </c>
      <c r="AW531" s="1" t="e">
        <f t="shared" si="71"/>
        <v>#VALUE!</v>
      </c>
    </row>
    <row r="532" spans="1:49" x14ac:dyDescent="0.2">
      <c r="A532">
        <v>530</v>
      </c>
      <c r="B532" t="s">
        <v>3118</v>
      </c>
      <c r="C532" t="s">
        <v>3117</v>
      </c>
      <c r="F532" t="s">
        <v>3116</v>
      </c>
      <c r="G532" t="s">
        <v>6</v>
      </c>
      <c r="H532" t="s">
        <v>5</v>
      </c>
      <c r="I532" t="s">
        <v>3115</v>
      </c>
      <c r="J532">
        <v>60005244</v>
      </c>
      <c r="K532" t="s">
        <v>527</v>
      </c>
      <c r="L532" t="s">
        <v>400</v>
      </c>
      <c r="M532" t="s">
        <v>78</v>
      </c>
      <c r="N532">
        <v>3</v>
      </c>
      <c r="O532" t="s">
        <v>3114</v>
      </c>
      <c r="P532" t="s">
        <v>3113</v>
      </c>
      <c r="Q532" t="s">
        <v>3112</v>
      </c>
      <c r="R532" s="7">
        <v>36434</v>
      </c>
      <c r="S532" s="8">
        <f t="shared" si="64"/>
        <v>1999</v>
      </c>
      <c r="T532" s="8">
        <v>1999</v>
      </c>
      <c r="U532" s="8">
        <f t="shared" si="65"/>
        <v>23</v>
      </c>
      <c r="V532" s="7">
        <v>36434</v>
      </c>
      <c r="W532" t="s">
        <v>172</v>
      </c>
      <c r="X532" s="2">
        <v>0.61499999999999999</v>
      </c>
      <c r="Y532" s="6">
        <f t="shared" si="66"/>
        <v>1.6417073756706976E-2</v>
      </c>
      <c r="AA532">
        <v>1959271</v>
      </c>
      <c r="AB532">
        <v>12141</v>
      </c>
      <c r="AD532" t="s">
        <v>2</v>
      </c>
      <c r="AE532">
        <v>20</v>
      </c>
      <c r="AF532">
        <v>10</v>
      </c>
      <c r="AH532" t="s">
        <v>3111</v>
      </c>
      <c r="AI532" t="s">
        <v>3110</v>
      </c>
      <c r="AK532" t="s">
        <v>3109</v>
      </c>
      <c r="AL532">
        <v>11</v>
      </c>
      <c r="AM532" s="5">
        <f t="shared" si="67"/>
        <v>0.47826086956521741</v>
      </c>
      <c r="AN532" s="4">
        <f t="shared" si="68"/>
        <v>7.2436330112111687E-4</v>
      </c>
      <c r="AO532" s="3"/>
      <c r="AP532">
        <v>0</v>
      </c>
      <c r="AR532" t="s">
        <v>1</v>
      </c>
      <c r="AT532" s="2" t="s">
        <v>0</v>
      </c>
      <c r="AU532" s="1">
        <f t="shared" si="69"/>
        <v>1.1709260620031217</v>
      </c>
      <c r="AV532" s="1">
        <f t="shared" si="70"/>
        <v>0.85707185289140464</v>
      </c>
      <c r="AW532" s="1">
        <f t="shared" si="71"/>
        <v>0.5432176437796874</v>
      </c>
    </row>
    <row r="533" spans="1:49" x14ac:dyDescent="0.2">
      <c r="A533">
        <v>531</v>
      </c>
      <c r="B533" t="s">
        <v>3108</v>
      </c>
      <c r="C533" t="s">
        <v>3107</v>
      </c>
      <c r="D533" t="s">
        <v>3106</v>
      </c>
      <c r="E533">
        <v>10533916</v>
      </c>
      <c r="F533" t="s">
        <v>3105</v>
      </c>
      <c r="G533" t="s">
        <v>6</v>
      </c>
      <c r="H533" t="s">
        <v>5</v>
      </c>
      <c r="I533" t="s">
        <v>3104</v>
      </c>
      <c r="J533" t="s">
        <v>3103</v>
      </c>
      <c r="K533" t="s">
        <v>3102</v>
      </c>
      <c r="L533" t="s">
        <v>3101</v>
      </c>
      <c r="M533" t="s">
        <v>3100</v>
      </c>
      <c r="N533">
        <v>6</v>
      </c>
      <c r="O533" t="s">
        <v>3099</v>
      </c>
      <c r="P533" t="s">
        <v>3098</v>
      </c>
      <c r="Q533" t="s">
        <v>3097</v>
      </c>
      <c r="R533" s="7">
        <v>36434</v>
      </c>
      <c r="S533" s="8">
        <f t="shared" si="64"/>
        <v>1999</v>
      </c>
      <c r="T533" s="8">
        <v>1999</v>
      </c>
      <c r="U533" s="8">
        <f t="shared" si="65"/>
        <v>23</v>
      </c>
      <c r="V533" s="7">
        <v>36434</v>
      </c>
      <c r="W533" t="s">
        <v>670</v>
      </c>
      <c r="X533" s="2">
        <v>1.3120000000000001</v>
      </c>
      <c r="Y533" s="6">
        <f t="shared" si="66"/>
        <v>3.502309068097488E-2</v>
      </c>
      <c r="AA533">
        <v>319155</v>
      </c>
      <c r="AB533">
        <v>29203</v>
      </c>
      <c r="AD533" t="s">
        <v>2</v>
      </c>
      <c r="AE533">
        <v>44</v>
      </c>
      <c r="AF533">
        <v>10</v>
      </c>
      <c r="AH533" t="s">
        <v>3096</v>
      </c>
      <c r="AI533" t="s">
        <v>3095</v>
      </c>
      <c r="AK533" t="s">
        <v>3094</v>
      </c>
      <c r="AL533">
        <v>203</v>
      </c>
      <c r="AM533" s="5">
        <f t="shared" si="67"/>
        <v>8.8260869565217384</v>
      </c>
      <c r="AN533" s="4">
        <f t="shared" si="68"/>
        <v>1.3367795466144246E-2</v>
      </c>
      <c r="AO533" s="3"/>
      <c r="AP533">
        <v>0</v>
      </c>
      <c r="AR533" t="s">
        <v>1</v>
      </c>
      <c r="AT533" s="2">
        <v>3.609</v>
      </c>
      <c r="AU533" s="1">
        <f t="shared" si="69"/>
        <v>2.8526502116525689</v>
      </c>
      <c r="AV533" s="1">
        <f t="shared" si="70"/>
        <v>2.4195443073559564</v>
      </c>
      <c r="AW533" s="1">
        <f t="shared" si="71"/>
        <v>1.9864384030593436</v>
      </c>
    </row>
    <row r="534" spans="1:49" x14ac:dyDescent="0.2">
      <c r="A534">
        <v>532</v>
      </c>
      <c r="B534" t="s">
        <v>3093</v>
      </c>
      <c r="C534" t="s">
        <v>3092</v>
      </c>
      <c r="D534" t="s">
        <v>3091</v>
      </c>
      <c r="E534">
        <v>10672791</v>
      </c>
      <c r="F534" t="s">
        <v>3090</v>
      </c>
      <c r="G534" t="s">
        <v>6</v>
      </c>
      <c r="H534" t="s">
        <v>5</v>
      </c>
      <c r="I534" t="s">
        <v>3089</v>
      </c>
      <c r="J534">
        <v>60020730</v>
      </c>
      <c r="K534" t="s">
        <v>672</v>
      </c>
      <c r="L534" t="s">
        <v>671</v>
      </c>
      <c r="M534" t="s">
        <v>58</v>
      </c>
      <c r="N534">
        <v>2</v>
      </c>
      <c r="O534" t="s">
        <v>3088</v>
      </c>
      <c r="P534" t="s">
        <v>3087</v>
      </c>
      <c r="Q534" t="s">
        <v>3086</v>
      </c>
      <c r="R534" s="7">
        <v>36434</v>
      </c>
      <c r="S534" s="8">
        <f t="shared" si="64"/>
        <v>1999</v>
      </c>
      <c r="T534" s="8">
        <v>1999</v>
      </c>
      <c r="U534" s="8">
        <f t="shared" si="65"/>
        <v>23</v>
      </c>
      <c r="V534" s="7">
        <v>36434</v>
      </c>
      <c r="W534" t="s">
        <v>692</v>
      </c>
      <c r="X534" s="2">
        <v>0.56899999999999995</v>
      </c>
      <c r="Y534" s="6">
        <f t="shared" si="66"/>
        <v>1.5189130028563038E-2</v>
      </c>
      <c r="AA534">
        <v>13504533</v>
      </c>
      <c r="AB534">
        <v>17817</v>
      </c>
      <c r="AD534" t="s">
        <v>2</v>
      </c>
      <c r="AE534">
        <v>21</v>
      </c>
      <c r="AF534">
        <v>8</v>
      </c>
      <c r="AH534" t="s">
        <v>3085</v>
      </c>
      <c r="AI534" t="s">
        <v>3084</v>
      </c>
      <c r="AJ534" t="s">
        <v>3083</v>
      </c>
      <c r="AK534" t="s">
        <v>3082</v>
      </c>
      <c r="AL534">
        <v>7</v>
      </c>
      <c r="AM534" s="5">
        <f t="shared" si="67"/>
        <v>0.30434782608695654</v>
      </c>
      <c r="AN534" s="4">
        <f t="shared" si="68"/>
        <v>4.6095846434980164E-4</v>
      </c>
      <c r="AO534" s="3"/>
      <c r="AP534">
        <v>0</v>
      </c>
      <c r="AQ534" t="s">
        <v>3081</v>
      </c>
      <c r="AR534" t="s">
        <v>1</v>
      </c>
      <c r="AS534" t="s">
        <v>672</v>
      </c>
      <c r="AT534" s="2" t="s">
        <v>0</v>
      </c>
      <c r="AU534" s="1">
        <f t="shared" si="69"/>
        <v>1.0770678559299065</v>
      </c>
      <c r="AV534" s="1">
        <f t="shared" si="70"/>
        <v>0.78250442464564196</v>
      </c>
      <c r="AW534" s="1">
        <f t="shared" si="71"/>
        <v>0.4879409933613772</v>
      </c>
    </row>
    <row r="535" spans="1:49" x14ac:dyDescent="0.2">
      <c r="A535">
        <v>533</v>
      </c>
      <c r="B535" t="s">
        <v>3080</v>
      </c>
      <c r="E535">
        <v>10498678</v>
      </c>
      <c r="F535" t="s">
        <v>3079</v>
      </c>
      <c r="G535" t="s">
        <v>6</v>
      </c>
      <c r="H535" t="s">
        <v>5</v>
      </c>
      <c r="I535" t="s">
        <v>3078</v>
      </c>
      <c r="J535" t="s">
        <v>3077</v>
      </c>
      <c r="K535" t="s">
        <v>3076</v>
      </c>
      <c r="L535" t="s">
        <v>62</v>
      </c>
      <c r="M535" t="s">
        <v>18</v>
      </c>
      <c r="N535">
        <v>5</v>
      </c>
      <c r="O535" t="s">
        <v>3075</v>
      </c>
      <c r="P535" t="s">
        <v>3074</v>
      </c>
      <c r="Q535" t="s">
        <v>3073</v>
      </c>
      <c r="R535" s="7">
        <v>36434</v>
      </c>
      <c r="S535" s="8">
        <f t="shared" si="64"/>
        <v>1999</v>
      </c>
      <c r="T535" s="8">
        <v>1999</v>
      </c>
      <c r="U535" s="8">
        <f t="shared" si="65"/>
        <v>23</v>
      </c>
      <c r="V535" s="7">
        <v>36434</v>
      </c>
      <c r="W535" t="s">
        <v>3072</v>
      </c>
      <c r="X535" s="2">
        <v>0.15</v>
      </c>
      <c r="Y535" s="6">
        <f t="shared" si="66"/>
        <v>4.0041643309041402E-3</v>
      </c>
      <c r="AA535">
        <v>9501991</v>
      </c>
      <c r="AB535">
        <v>14531</v>
      </c>
      <c r="AD535" t="s">
        <v>2</v>
      </c>
      <c r="AE535">
        <v>126</v>
      </c>
      <c r="AF535">
        <v>20</v>
      </c>
      <c r="AH535" t="s">
        <v>3071</v>
      </c>
      <c r="AI535" t="s">
        <v>3070</v>
      </c>
      <c r="AJ535" t="s">
        <v>3069</v>
      </c>
      <c r="AK535" t="s">
        <v>3068</v>
      </c>
      <c r="AL535">
        <v>75</v>
      </c>
      <c r="AM535" s="5">
        <f t="shared" si="67"/>
        <v>3.2608695652173911</v>
      </c>
      <c r="AN535" s="4">
        <f t="shared" si="68"/>
        <v>4.93884068946216E-3</v>
      </c>
      <c r="AO535" s="3"/>
      <c r="AP535">
        <v>0</v>
      </c>
      <c r="AR535" t="s">
        <v>1</v>
      </c>
      <c r="AT535" s="2">
        <v>6.8680000000000003</v>
      </c>
      <c r="AU535" s="1">
        <f t="shared" si="69"/>
        <v>0.42845672384715461</v>
      </c>
      <c r="AV535" s="1">
        <f t="shared" si="70"/>
        <v>0.44715025101831496</v>
      </c>
      <c r="AW535" s="1">
        <f t="shared" si="71"/>
        <v>0.46584377818947537</v>
      </c>
    </row>
    <row r="536" spans="1:49" x14ac:dyDescent="0.2">
      <c r="A536">
        <v>534</v>
      </c>
      <c r="B536" t="s">
        <v>3067</v>
      </c>
      <c r="C536" t="s">
        <v>3066</v>
      </c>
      <c r="E536">
        <v>10577714</v>
      </c>
      <c r="F536" t="s">
        <v>3065</v>
      </c>
      <c r="G536" t="s">
        <v>6</v>
      </c>
      <c r="H536" t="s">
        <v>5</v>
      </c>
      <c r="I536" t="s">
        <v>3064</v>
      </c>
      <c r="J536">
        <v>60016053</v>
      </c>
      <c r="K536" t="s">
        <v>3063</v>
      </c>
      <c r="L536" t="s">
        <v>3062</v>
      </c>
      <c r="M536" t="s">
        <v>3</v>
      </c>
      <c r="N536">
        <v>3</v>
      </c>
      <c r="O536" t="s">
        <v>3061</v>
      </c>
      <c r="P536" t="s">
        <v>3060</v>
      </c>
      <c r="Q536" t="s">
        <v>3059</v>
      </c>
      <c r="R536" s="7">
        <v>36434</v>
      </c>
      <c r="S536" s="8">
        <f t="shared" si="64"/>
        <v>1999</v>
      </c>
      <c r="T536" s="8">
        <v>1999</v>
      </c>
      <c r="U536" s="8">
        <f t="shared" si="65"/>
        <v>23</v>
      </c>
      <c r="V536" s="7">
        <v>36434</v>
      </c>
      <c r="W536" t="s">
        <v>3058</v>
      </c>
      <c r="X536" s="2">
        <v>0.46700000000000003</v>
      </c>
      <c r="Y536" s="6">
        <f t="shared" si="66"/>
        <v>1.2466298283548225E-2</v>
      </c>
      <c r="AA536">
        <v>223395</v>
      </c>
      <c r="AB536">
        <v>22444</v>
      </c>
      <c r="AD536" t="s">
        <v>2</v>
      </c>
      <c r="AE536">
        <v>85</v>
      </c>
      <c r="AF536">
        <v>5</v>
      </c>
      <c r="AH536" t="s">
        <v>3057</v>
      </c>
      <c r="AI536" t="s">
        <v>3056</v>
      </c>
      <c r="AK536" t="s">
        <v>3055</v>
      </c>
      <c r="AL536">
        <v>2</v>
      </c>
      <c r="AM536" s="5">
        <f t="shared" si="67"/>
        <v>8.6956521739130432E-2</v>
      </c>
      <c r="AN536" s="4">
        <f t="shared" si="68"/>
        <v>1.3170241838565761E-4</v>
      </c>
      <c r="AO536" s="3"/>
      <c r="AP536">
        <v>0</v>
      </c>
      <c r="AR536" t="s">
        <v>1</v>
      </c>
      <c r="AT536" s="2">
        <v>1.276</v>
      </c>
      <c r="AU536" s="1">
        <f t="shared" si="69"/>
        <v>0.87659195239994558</v>
      </c>
      <c r="AV536" s="1">
        <f t="shared" si="70"/>
        <v>0.62990003509669412</v>
      </c>
      <c r="AW536" s="1">
        <f t="shared" si="71"/>
        <v>0.38320811779344277</v>
      </c>
    </row>
    <row r="537" spans="1:49" x14ac:dyDescent="0.2">
      <c r="A537">
        <v>535</v>
      </c>
      <c r="B537" t="s">
        <v>3054</v>
      </c>
      <c r="C537" t="s">
        <v>3053</v>
      </c>
      <c r="F537" t="s">
        <v>3052</v>
      </c>
      <c r="G537" t="s">
        <v>6</v>
      </c>
      <c r="H537" t="s">
        <v>5</v>
      </c>
      <c r="I537" t="s">
        <v>3051</v>
      </c>
      <c r="J537">
        <v>60027550</v>
      </c>
      <c r="K537" t="s">
        <v>22</v>
      </c>
      <c r="L537" t="s">
        <v>21</v>
      </c>
      <c r="M537" t="s">
        <v>3</v>
      </c>
      <c r="N537">
        <v>2</v>
      </c>
      <c r="O537" t="s">
        <v>3050</v>
      </c>
      <c r="P537" t="s">
        <v>3049</v>
      </c>
      <c r="Q537" t="s">
        <v>108</v>
      </c>
      <c r="R537" s="7">
        <v>36434</v>
      </c>
      <c r="S537" s="8">
        <f t="shared" si="64"/>
        <v>1999</v>
      </c>
      <c r="T537" s="8">
        <v>1999</v>
      </c>
      <c r="U537" s="8">
        <f t="shared" si="65"/>
        <v>23</v>
      </c>
      <c r="V537" s="7">
        <v>36434</v>
      </c>
      <c r="W537" t="s">
        <v>239</v>
      </c>
      <c r="X537" s="2">
        <v>2.9860000000000002</v>
      </c>
      <c r="Y537" s="6">
        <f t="shared" si="66"/>
        <v>7.9709564613865094E-2</v>
      </c>
      <c r="AA537">
        <v>7338716</v>
      </c>
      <c r="AB537">
        <v>18902</v>
      </c>
      <c r="AD537" t="s">
        <v>2</v>
      </c>
      <c r="AE537">
        <v>17</v>
      </c>
      <c r="AF537">
        <v>10</v>
      </c>
      <c r="AH537" t="s">
        <v>3048</v>
      </c>
      <c r="AI537" t="s">
        <v>3047</v>
      </c>
      <c r="AK537" t="s">
        <v>3046</v>
      </c>
      <c r="AL537">
        <v>13</v>
      </c>
      <c r="AM537" s="5">
        <f t="shared" si="67"/>
        <v>0.56521739130434778</v>
      </c>
      <c r="AN537" s="4">
        <f t="shared" si="68"/>
        <v>8.560657195067744E-4</v>
      </c>
      <c r="AO537" s="3"/>
      <c r="AP537">
        <v>0</v>
      </c>
      <c r="AQ537" t="s">
        <v>3045</v>
      </c>
      <c r="AR537">
        <v>960987</v>
      </c>
      <c r="AS537" t="s">
        <v>3044</v>
      </c>
      <c r="AT537" s="2" t="s">
        <v>0</v>
      </c>
      <c r="AU537" s="1">
        <f t="shared" si="69"/>
        <v>5.6053514945557588</v>
      </c>
      <c r="AV537" s="1">
        <f t="shared" si="70"/>
        <v>4.0282815166685939</v>
      </c>
      <c r="AW537" s="1">
        <f t="shared" si="71"/>
        <v>2.4512115387814268</v>
      </c>
    </row>
    <row r="538" spans="1:49" x14ac:dyDescent="0.2">
      <c r="A538">
        <v>536</v>
      </c>
      <c r="B538" t="s">
        <v>3043</v>
      </c>
      <c r="C538" t="s">
        <v>3042</v>
      </c>
      <c r="F538" t="s">
        <v>3041</v>
      </c>
      <c r="G538" t="s">
        <v>6</v>
      </c>
      <c r="H538" t="s">
        <v>5</v>
      </c>
      <c r="I538" t="s">
        <v>3040</v>
      </c>
      <c r="J538">
        <v>60028218</v>
      </c>
      <c r="K538" t="s">
        <v>3039</v>
      </c>
      <c r="L538" t="s">
        <v>3038</v>
      </c>
      <c r="M538" t="s">
        <v>13</v>
      </c>
      <c r="N538">
        <v>2</v>
      </c>
      <c r="O538" t="s">
        <v>3037</v>
      </c>
      <c r="P538" t="s">
        <v>3036</v>
      </c>
      <c r="Q538" t="s">
        <v>3035</v>
      </c>
      <c r="R538" s="7">
        <v>36434</v>
      </c>
      <c r="S538" s="8">
        <f t="shared" si="64"/>
        <v>1999</v>
      </c>
      <c r="T538" s="8">
        <v>1999</v>
      </c>
      <c r="U538" s="8">
        <f t="shared" si="65"/>
        <v>23</v>
      </c>
      <c r="V538" s="7">
        <v>36434</v>
      </c>
      <c r="W538" t="s">
        <v>239</v>
      </c>
      <c r="X538" s="2">
        <v>2.9860000000000002</v>
      </c>
      <c r="Y538" s="6">
        <f t="shared" si="66"/>
        <v>7.9709564613865094E-2</v>
      </c>
      <c r="AA538">
        <v>7338716</v>
      </c>
      <c r="AB538">
        <v>18902</v>
      </c>
      <c r="AD538" t="s">
        <v>2</v>
      </c>
      <c r="AE538">
        <v>17</v>
      </c>
      <c r="AF538">
        <v>10</v>
      </c>
      <c r="AH538" t="s">
        <v>3034</v>
      </c>
      <c r="AI538" t="s">
        <v>3033</v>
      </c>
      <c r="AK538" t="s">
        <v>3032</v>
      </c>
      <c r="AL538">
        <v>7</v>
      </c>
      <c r="AM538" s="5">
        <f t="shared" si="67"/>
        <v>0.30434782608695654</v>
      </c>
      <c r="AN538" s="4">
        <f t="shared" si="68"/>
        <v>4.6095846434980164E-4</v>
      </c>
      <c r="AO538" s="3"/>
      <c r="AP538">
        <v>0</v>
      </c>
      <c r="AQ538" t="s">
        <v>3031</v>
      </c>
      <c r="AR538" t="s">
        <v>1</v>
      </c>
      <c r="AS538" t="s">
        <v>3030</v>
      </c>
      <c r="AT538" s="2" t="s">
        <v>0</v>
      </c>
      <c r="AU538" s="1">
        <f t="shared" si="69"/>
        <v>5.5934982769010499</v>
      </c>
      <c r="AV538" s="1">
        <f t="shared" si="70"/>
        <v>4.0085261539107453</v>
      </c>
      <c r="AW538" s="1">
        <f t="shared" si="71"/>
        <v>2.4235540309204389</v>
      </c>
    </row>
    <row r="539" spans="1:49" x14ac:dyDescent="0.2">
      <c r="A539">
        <v>537</v>
      </c>
      <c r="B539" t="s">
        <v>3029</v>
      </c>
      <c r="C539" t="s">
        <v>3028</v>
      </c>
      <c r="F539" t="s">
        <v>3027</v>
      </c>
      <c r="G539" t="s">
        <v>6</v>
      </c>
      <c r="H539" t="s">
        <v>5</v>
      </c>
      <c r="I539" t="s">
        <v>3026</v>
      </c>
      <c r="J539" t="s">
        <v>3025</v>
      </c>
      <c r="K539" t="s">
        <v>3024</v>
      </c>
      <c r="L539" t="s">
        <v>514</v>
      </c>
      <c r="M539" t="s">
        <v>18</v>
      </c>
      <c r="N539">
        <v>4</v>
      </c>
      <c r="O539" t="s">
        <v>3023</v>
      </c>
      <c r="P539" t="s">
        <v>3022</v>
      </c>
      <c r="Q539" t="s">
        <v>3021</v>
      </c>
      <c r="R539" s="7">
        <v>36434</v>
      </c>
      <c r="S539" s="8">
        <f t="shared" si="64"/>
        <v>1999</v>
      </c>
      <c r="T539" s="8">
        <v>1999</v>
      </c>
      <c r="U539" s="8">
        <f t="shared" si="65"/>
        <v>23</v>
      </c>
      <c r="V539" s="7">
        <v>36434</v>
      </c>
      <c r="W539" t="s">
        <v>61</v>
      </c>
      <c r="X539" s="2">
        <v>0.111</v>
      </c>
      <c r="Y539" s="6">
        <f t="shared" si="66"/>
        <v>2.9630816048690639E-3</v>
      </c>
      <c r="AA539">
        <v>87566621</v>
      </c>
      <c r="AB539">
        <v>24890</v>
      </c>
      <c r="AD539" t="s">
        <v>2</v>
      </c>
      <c r="AE539">
        <v>82</v>
      </c>
      <c r="AF539">
        <v>10</v>
      </c>
      <c r="AH539" t="s">
        <v>3020</v>
      </c>
      <c r="AI539" t="s">
        <v>3019</v>
      </c>
      <c r="AK539" t="s">
        <v>3018</v>
      </c>
      <c r="AL539">
        <v>2</v>
      </c>
      <c r="AM539" s="5">
        <f t="shared" si="67"/>
        <v>8.6956521739130432E-2</v>
      </c>
      <c r="AN539" s="4">
        <f t="shared" si="68"/>
        <v>1.3170241838565761E-4</v>
      </c>
      <c r="AO539" s="3"/>
      <c r="AP539">
        <v>0</v>
      </c>
      <c r="AR539" t="s">
        <v>1</v>
      </c>
      <c r="AT539" s="2" t="s">
        <v>0</v>
      </c>
      <c r="AU539" s="1">
        <f t="shared" si="69"/>
        <v>0.21136678489240418</v>
      </c>
      <c r="AV539" s="1">
        <f t="shared" si="70"/>
        <v>0.1547392011627361</v>
      </c>
      <c r="AW539" s="1">
        <f t="shared" si="71"/>
        <v>9.8111617433067941E-2</v>
      </c>
    </row>
    <row r="540" spans="1:49" x14ac:dyDescent="0.2">
      <c r="A540">
        <v>538</v>
      </c>
      <c r="B540" t="s">
        <v>3017</v>
      </c>
      <c r="C540" t="s">
        <v>3016</v>
      </c>
      <c r="F540" t="s">
        <v>3015</v>
      </c>
      <c r="G540" t="s">
        <v>6</v>
      </c>
      <c r="H540" t="s">
        <v>5</v>
      </c>
      <c r="I540" t="s">
        <v>3014</v>
      </c>
      <c r="J540">
        <v>60068576</v>
      </c>
      <c r="K540" t="s">
        <v>3013</v>
      </c>
      <c r="L540" t="s">
        <v>3012</v>
      </c>
      <c r="M540" t="s">
        <v>188</v>
      </c>
      <c r="N540">
        <v>3</v>
      </c>
      <c r="O540" t="s">
        <v>3011</v>
      </c>
      <c r="P540" t="s">
        <v>3010</v>
      </c>
      <c r="Q540" t="s">
        <v>3009</v>
      </c>
      <c r="R540" s="7">
        <v>36434</v>
      </c>
      <c r="S540" s="8">
        <f t="shared" si="64"/>
        <v>1999</v>
      </c>
      <c r="T540" s="8">
        <v>1999</v>
      </c>
      <c r="U540" s="8">
        <f t="shared" si="65"/>
        <v>23</v>
      </c>
      <c r="V540" s="7">
        <v>36434</v>
      </c>
      <c r="W540" t="s">
        <v>641</v>
      </c>
      <c r="X540" s="2">
        <v>1.4950000000000001</v>
      </c>
      <c r="Y540" s="6">
        <f t="shared" si="66"/>
        <v>3.9908171164677937E-2</v>
      </c>
      <c r="AA540">
        <v>10805370</v>
      </c>
      <c r="AB540">
        <v>144827</v>
      </c>
      <c r="AC540">
        <v>15211886</v>
      </c>
      <c r="AD540" t="s">
        <v>2</v>
      </c>
      <c r="AE540">
        <v>3</v>
      </c>
      <c r="AF540">
        <v>2</v>
      </c>
      <c r="AI540" t="s">
        <v>3008</v>
      </c>
      <c r="AJ540" t="s">
        <v>3007</v>
      </c>
      <c r="AK540" t="s">
        <v>3006</v>
      </c>
      <c r="AL540">
        <v>19</v>
      </c>
      <c r="AM540" s="5">
        <f t="shared" si="67"/>
        <v>0.82608695652173914</v>
      </c>
      <c r="AN540" s="4">
        <f t="shared" si="68"/>
        <v>1.2511729746637473E-3</v>
      </c>
      <c r="AO540" s="3"/>
      <c r="AP540">
        <v>0</v>
      </c>
      <c r="AR540" t="s">
        <v>1</v>
      </c>
      <c r="AT540" s="2">
        <v>4.0659999999999998</v>
      </c>
      <c r="AU540" s="1">
        <f t="shared" si="69"/>
        <v>2.8311071707673676</v>
      </c>
      <c r="AV540" s="1">
        <f t="shared" si="70"/>
        <v>2.057967206967084</v>
      </c>
      <c r="AW540" s="1">
        <f t="shared" si="71"/>
        <v>1.2848272431668004</v>
      </c>
    </row>
    <row r="541" spans="1:49" x14ac:dyDescent="0.2">
      <c r="A541">
        <v>539</v>
      </c>
      <c r="B541" t="s">
        <v>3005</v>
      </c>
      <c r="F541" t="s">
        <v>3004</v>
      </c>
      <c r="G541" t="s">
        <v>6</v>
      </c>
      <c r="H541" t="s">
        <v>5</v>
      </c>
      <c r="I541" t="s">
        <v>3003</v>
      </c>
      <c r="J541" t="s">
        <v>3002</v>
      </c>
      <c r="K541" t="s">
        <v>3001</v>
      </c>
      <c r="L541" t="s">
        <v>3000</v>
      </c>
      <c r="M541" t="s">
        <v>2999</v>
      </c>
      <c r="N541">
        <v>3</v>
      </c>
      <c r="O541" t="s">
        <v>2998</v>
      </c>
      <c r="P541" t="s">
        <v>2997</v>
      </c>
      <c r="Q541" t="s">
        <v>2996</v>
      </c>
      <c r="R541" s="7">
        <v>36434</v>
      </c>
      <c r="S541" s="8">
        <f t="shared" si="64"/>
        <v>1999</v>
      </c>
      <c r="T541" s="8">
        <v>1999</v>
      </c>
      <c r="U541" s="8">
        <f t="shared" si="65"/>
        <v>23</v>
      </c>
      <c r="V541" s="7">
        <v>36434</v>
      </c>
      <c r="W541" t="s">
        <v>2995</v>
      </c>
      <c r="X541" s="2">
        <v>2.137</v>
      </c>
      <c r="Y541" s="6">
        <f t="shared" si="66"/>
        <v>5.7045994500947654E-2</v>
      </c>
      <c r="AA541">
        <v>46361</v>
      </c>
      <c r="AB541">
        <v>26750</v>
      </c>
      <c r="AD541" t="s">
        <v>2</v>
      </c>
      <c r="AE541">
        <v>350</v>
      </c>
      <c r="AF541">
        <v>1</v>
      </c>
      <c r="AH541" t="s">
        <v>2994</v>
      </c>
      <c r="AI541" t="s">
        <v>2993</v>
      </c>
      <c r="AJ541" t="s">
        <v>2992</v>
      </c>
      <c r="AK541" t="s">
        <v>2991</v>
      </c>
      <c r="AL541">
        <v>17</v>
      </c>
      <c r="AM541" s="5">
        <f t="shared" si="67"/>
        <v>0.73913043478260865</v>
      </c>
      <c r="AN541" s="4">
        <f t="shared" si="68"/>
        <v>1.1194705562780896E-3</v>
      </c>
      <c r="AO541" s="3"/>
      <c r="AP541">
        <v>0</v>
      </c>
      <c r="AR541" t="s">
        <v>1</v>
      </c>
      <c r="AT541" s="2" t="s">
        <v>0</v>
      </c>
      <c r="AU541" s="1">
        <f t="shared" si="69"/>
        <v>4.0268037317546783</v>
      </c>
      <c r="AV541" s="1">
        <f t="shared" si="70"/>
        <v>2.9082732528612874</v>
      </c>
      <c r="AW541" s="1">
        <f t="shared" si="71"/>
        <v>1.7897427739678957</v>
      </c>
    </row>
    <row r="542" spans="1:49" x14ac:dyDescent="0.2">
      <c r="A542">
        <v>540</v>
      </c>
      <c r="B542" t="s">
        <v>2990</v>
      </c>
      <c r="C542" t="s">
        <v>2989</v>
      </c>
      <c r="E542">
        <v>10504242</v>
      </c>
      <c r="F542" t="s">
        <v>2988</v>
      </c>
      <c r="G542" t="s">
        <v>6</v>
      </c>
      <c r="H542" t="s">
        <v>5</v>
      </c>
      <c r="I542" t="s">
        <v>2987</v>
      </c>
      <c r="J542" t="s">
        <v>2986</v>
      </c>
      <c r="K542" t="s">
        <v>2985</v>
      </c>
      <c r="L542" t="s">
        <v>2984</v>
      </c>
      <c r="M542" t="s">
        <v>2983</v>
      </c>
      <c r="N542">
        <v>4</v>
      </c>
      <c r="O542" t="s">
        <v>2982</v>
      </c>
      <c r="P542" t="s">
        <v>2981</v>
      </c>
      <c r="Q542" t="s">
        <v>2980</v>
      </c>
      <c r="R542" s="7">
        <v>36431</v>
      </c>
      <c r="S542" s="8">
        <f t="shared" si="64"/>
        <v>1999</v>
      </c>
      <c r="T542" s="8">
        <v>1999</v>
      </c>
      <c r="U542" s="8">
        <f t="shared" si="65"/>
        <v>23</v>
      </c>
      <c r="V542" s="7">
        <v>36431</v>
      </c>
      <c r="W542" t="s">
        <v>716</v>
      </c>
      <c r="X542" s="2">
        <v>1.43</v>
      </c>
      <c r="Y542" s="6">
        <f t="shared" si="66"/>
        <v>3.8173033287952803E-2</v>
      </c>
      <c r="AA542">
        <v>62960</v>
      </c>
      <c r="AB542">
        <v>16867</v>
      </c>
      <c r="AD542" t="s">
        <v>2</v>
      </c>
      <c r="AE542">
        <v>38</v>
      </c>
      <c r="AF542">
        <v>39</v>
      </c>
      <c r="AH542" t="s">
        <v>2979</v>
      </c>
      <c r="AI542" t="s">
        <v>2978</v>
      </c>
      <c r="AK542" t="s">
        <v>2977</v>
      </c>
      <c r="AL542">
        <v>49</v>
      </c>
      <c r="AM542" s="5">
        <f t="shared" si="67"/>
        <v>2.1304347826086958</v>
      </c>
      <c r="AN542" s="4">
        <f t="shared" si="68"/>
        <v>3.2267092504486114E-3</v>
      </c>
      <c r="AO542" s="3"/>
      <c r="AP542">
        <v>0</v>
      </c>
      <c r="AR542" t="s">
        <v>1</v>
      </c>
      <c r="AT542" s="2">
        <v>3.1619999999999999</v>
      </c>
      <c r="AU542" s="1">
        <f t="shared" si="69"/>
        <v>2.7689136076701546</v>
      </c>
      <c r="AV542" s="1">
        <f t="shared" si="70"/>
        <v>2.0699871269200707</v>
      </c>
      <c r="AW542" s="1">
        <f t="shared" si="71"/>
        <v>1.371060646169987</v>
      </c>
    </row>
    <row r="543" spans="1:49" x14ac:dyDescent="0.2">
      <c r="A543">
        <v>541</v>
      </c>
      <c r="B543" t="s">
        <v>2976</v>
      </c>
      <c r="C543" t="s">
        <v>2975</v>
      </c>
      <c r="D543" t="s">
        <v>2974</v>
      </c>
      <c r="E543">
        <v>10570935</v>
      </c>
      <c r="F543" t="s">
        <v>2973</v>
      </c>
      <c r="G543" t="s">
        <v>6</v>
      </c>
      <c r="H543" t="s">
        <v>5</v>
      </c>
      <c r="I543" t="s">
        <v>2972</v>
      </c>
      <c r="J543">
        <v>100310442</v>
      </c>
      <c r="K543" t="s">
        <v>468</v>
      </c>
      <c r="L543" t="s">
        <v>8</v>
      </c>
      <c r="M543" t="s">
        <v>7</v>
      </c>
      <c r="N543">
        <v>2</v>
      </c>
      <c r="O543" t="s">
        <v>2971</v>
      </c>
      <c r="P543" t="s">
        <v>2970</v>
      </c>
      <c r="Q543" t="s">
        <v>2969</v>
      </c>
      <c r="R543" s="7">
        <v>36427</v>
      </c>
      <c r="S543" s="8">
        <f t="shared" si="64"/>
        <v>1999</v>
      </c>
      <c r="T543" s="8">
        <v>1999</v>
      </c>
      <c r="U543" s="8">
        <f t="shared" si="65"/>
        <v>23</v>
      </c>
      <c r="V543" s="7">
        <v>36427</v>
      </c>
      <c r="W543" t="s">
        <v>2118</v>
      </c>
      <c r="X543" s="2">
        <v>1.593</v>
      </c>
      <c r="Y543" s="6">
        <f t="shared" si="66"/>
        <v>4.2524225194201973E-2</v>
      </c>
      <c r="AA543">
        <v>145793</v>
      </c>
      <c r="AB543">
        <v>17481</v>
      </c>
      <c r="AD543" t="s">
        <v>2</v>
      </c>
      <c r="AE543">
        <v>458</v>
      </c>
      <c r="AF543">
        <v>3</v>
      </c>
      <c r="AH543" t="s">
        <v>753</v>
      </c>
      <c r="AI543" t="s">
        <v>2968</v>
      </c>
      <c r="AJ543" t="s">
        <v>2967</v>
      </c>
      <c r="AK543" t="s">
        <v>2966</v>
      </c>
      <c r="AL543">
        <v>54</v>
      </c>
      <c r="AM543" s="5">
        <f t="shared" si="67"/>
        <v>2.347826086956522</v>
      </c>
      <c r="AN543" s="4">
        <f t="shared" si="68"/>
        <v>3.5559652964127558E-3</v>
      </c>
      <c r="AO543" s="3"/>
      <c r="AP543">
        <v>1</v>
      </c>
      <c r="AR543" t="s">
        <v>1</v>
      </c>
      <c r="AT543" s="2">
        <v>4.1239999999999997</v>
      </c>
      <c r="AU543" s="1">
        <f t="shared" si="69"/>
        <v>3.0833747224865204</v>
      </c>
      <c r="AV543" s="1">
        <f t="shared" si="70"/>
        <v>2.3040095245307364</v>
      </c>
      <c r="AW543" s="1">
        <f t="shared" si="71"/>
        <v>1.5246443265749521</v>
      </c>
    </row>
    <row r="544" spans="1:49" x14ac:dyDescent="0.2">
      <c r="A544">
        <v>542</v>
      </c>
      <c r="B544" t="s">
        <v>2965</v>
      </c>
      <c r="C544" t="s">
        <v>2964</v>
      </c>
      <c r="F544" t="s">
        <v>2963</v>
      </c>
      <c r="G544" t="s">
        <v>6</v>
      </c>
      <c r="H544" t="s">
        <v>5</v>
      </c>
      <c r="I544" t="s">
        <v>693</v>
      </c>
      <c r="J544" t="s">
        <v>2962</v>
      </c>
      <c r="K544" t="s">
        <v>2961</v>
      </c>
      <c r="L544" t="s">
        <v>2960</v>
      </c>
      <c r="M544" t="s">
        <v>494</v>
      </c>
      <c r="N544">
        <v>7</v>
      </c>
      <c r="O544" t="s">
        <v>2959</v>
      </c>
      <c r="P544" t="s">
        <v>2958</v>
      </c>
      <c r="Q544" t="s">
        <v>2957</v>
      </c>
      <c r="R544" s="7">
        <v>36426</v>
      </c>
      <c r="S544" s="8">
        <f t="shared" si="64"/>
        <v>1999</v>
      </c>
      <c r="T544" s="8">
        <v>1999</v>
      </c>
      <c r="U544" s="8">
        <f t="shared" si="65"/>
        <v>23</v>
      </c>
      <c r="V544" s="7">
        <v>36426</v>
      </c>
      <c r="W544" t="s">
        <v>647</v>
      </c>
      <c r="X544" s="2">
        <v>0.86399999999999999</v>
      </c>
      <c r="Y544" s="6">
        <f t="shared" si="66"/>
        <v>2.3063986546007848E-2</v>
      </c>
      <c r="AA544">
        <v>15206106</v>
      </c>
      <c r="AB544">
        <v>26970</v>
      </c>
      <c r="AD544" t="s">
        <v>2</v>
      </c>
      <c r="AE544">
        <v>103</v>
      </c>
      <c r="AF544">
        <v>38</v>
      </c>
      <c r="AH544" t="s">
        <v>2956</v>
      </c>
      <c r="AI544" t="s">
        <v>2955</v>
      </c>
      <c r="AK544" t="s">
        <v>2954</v>
      </c>
      <c r="AL544">
        <v>76</v>
      </c>
      <c r="AM544" s="5">
        <f t="shared" si="67"/>
        <v>3.3043478260869565</v>
      </c>
      <c r="AN544" s="4">
        <f t="shared" si="68"/>
        <v>5.0046918986549893E-3</v>
      </c>
      <c r="AO544" s="3"/>
      <c r="AP544">
        <v>0</v>
      </c>
      <c r="AR544" t="s">
        <v>1</v>
      </c>
      <c r="AT544" s="2">
        <v>2.9910000000000001</v>
      </c>
      <c r="AU544" s="1">
        <f t="shared" si="69"/>
        <v>1.7646198151801991</v>
      </c>
      <c r="AV544" s="1">
        <f t="shared" si="70"/>
        <v>1.4034339222331418</v>
      </c>
      <c r="AW544" s="1">
        <f t="shared" si="71"/>
        <v>1.0422480292860847</v>
      </c>
    </row>
    <row r="545" spans="1:49" x14ac:dyDescent="0.2">
      <c r="A545">
        <v>543</v>
      </c>
      <c r="B545" t="s">
        <v>2953</v>
      </c>
      <c r="C545" t="s">
        <v>2952</v>
      </c>
      <c r="F545" t="s">
        <v>2951</v>
      </c>
      <c r="G545" t="s">
        <v>6</v>
      </c>
      <c r="H545" t="s">
        <v>5</v>
      </c>
      <c r="I545" t="s">
        <v>2950</v>
      </c>
      <c r="J545" t="s">
        <v>2949</v>
      </c>
      <c r="K545" t="s">
        <v>2948</v>
      </c>
      <c r="L545" t="s">
        <v>2947</v>
      </c>
      <c r="M545" t="s">
        <v>19</v>
      </c>
      <c r="N545">
        <v>9</v>
      </c>
      <c r="O545" t="s">
        <v>2946</v>
      </c>
      <c r="P545" t="s">
        <v>2945</v>
      </c>
      <c r="Q545" t="s">
        <v>2944</v>
      </c>
      <c r="R545" s="7">
        <v>36425</v>
      </c>
      <c r="S545" s="8">
        <f t="shared" si="64"/>
        <v>1999</v>
      </c>
      <c r="T545" s="8">
        <v>1999</v>
      </c>
      <c r="U545" s="8">
        <f t="shared" si="65"/>
        <v>23</v>
      </c>
      <c r="V545" s="7">
        <v>36425</v>
      </c>
      <c r="W545" t="s">
        <v>654</v>
      </c>
      <c r="X545" s="2">
        <v>7.1150000000000002</v>
      </c>
      <c r="Y545" s="6">
        <f t="shared" si="66"/>
        <v>0.18993086142921972</v>
      </c>
      <c r="AA545">
        <v>27863</v>
      </c>
      <c r="AB545">
        <v>22680</v>
      </c>
      <c r="AD545" t="s">
        <v>2</v>
      </c>
      <c r="AE545">
        <v>121</v>
      </c>
      <c r="AF545">
        <v>37</v>
      </c>
      <c r="AH545" t="s">
        <v>2943</v>
      </c>
      <c r="AI545" t="s">
        <v>2942</v>
      </c>
      <c r="AK545" t="s">
        <v>2941</v>
      </c>
      <c r="AL545">
        <v>331</v>
      </c>
      <c r="AM545" s="5">
        <f t="shared" si="67"/>
        <v>14.391304347826088</v>
      </c>
      <c r="AN545" s="4">
        <f t="shared" si="68"/>
        <v>2.1796750242826336E-2</v>
      </c>
      <c r="AO545" s="3"/>
      <c r="AP545">
        <v>0</v>
      </c>
      <c r="AR545" t="s">
        <v>1</v>
      </c>
      <c r="AT545" s="2" t="s">
        <v>0</v>
      </c>
      <c r="AU545" s="1">
        <f t="shared" si="69"/>
        <v>13.94906280733017</v>
      </c>
      <c r="AV545" s="1">
        <f t="shared" si="70"/>
        <v>10.586380583602303</v>
      </c>
      <c r="AW545" s="1">
        <f t="shared" si="71"/>
        <v>7.2236983598744349</v>
      </c>
    </row>
    <row r="546" spans="1:49" x14ac:dyDescent="0.2">
      <c r="A546">
        <v>544</v>
      </c>
      <c r="B546" t="s">
        <v>2940</v>
      </c>
      <c r="C546" t="s">
        <v>2939</v>
      </c>
      <c r="D546" t="s">
        <v>2938</v>
      </c>
      <c r="F546" t="s">
        <v>2937</v>
      </c>
      <c r="G546" t="s">
        <v>6</v>
      </c>
      <c r="H546" t="s">
        <v>5</v>
      </c>
      <c r="I546" t="s">
        <v>2936</v>
      </c>
      <c r="J546" t="s">
        <v>2935</v>
      </c>
      <c r="K546" t="s">
        <v>2934</v>
      </c>
      <c r="L546" t="s">
        <v>2933</v>
      </c>
      <c r="M546" t="s">
        <v>2932</v>
      </c>
      <c r="N546">
        <v>3</v>
      </c>
      <c r="O546" t="s">
        <v>2931</v>
      </c>
      <c r="P546" t="s">
        <v>2930</v>
      </c>
      <c r="Q546" t="s">
        <v>2929</v>
      </c>
      <c r="R546" s="7">
        <v>36420</v>
      </c>
      <c r="S546" s="8">
        <f t="shared" si="64"/>
        <v>1999</v>
      </c>
      <c r="T546" s="8">
        <v>1999</v>
      </c>
      <c r="U546" s="8">
        <f t="shared" si="65"/>
        <v>23</v>
      </c>
      <c r="V546" s="7">
        <v>36420</v>
      </c>
      <c r="W546" t="s">
        <v>2928</v>
      </c>
      <c r="X546" s="2">
        <v>0.54100000000000004</v>
      </c>
      <c r="Y546" s="6">
        <f t="shared" si="66"/>
        <v>1.4441686020127601E-2</v>
      </c>
      <c r="AA546">
        <v>404039</v>
      </c>
      <c r="AB546">
        <v>26514</v>
      </c>
      <c r="AD546" t="s">
        <v>2</v>
      </c>
      <c r="AE546">
        <v>40</v>
      </c>
      <c r="AF546">
        <v>38</v>
      </c>
      <c r="AH546" t="s">
        <v>2927</v>
      </c>
      <c r="AI546" t="s">
        <v>2926</v>
      </c>
      <c r="AK546" t="s">
        <v>2925</v>
      </c>
      <c r="AL546">
        <v>19</v>
      </c>
      <c r="AM546" s="5">
        <f t="shared" si="67"/>
        <v>0.82608695652173914</v>
      </c>
      <c r="AN546" s="4">
        <f t="shared" si="68"/>
        <v>1.2511729746637473E-3</v>
      </c>
      <c r="AO546" s="3"/>
      <c r="AP546">
        <v>0</v>
      </c>
      <c r="AR546" t="s">
        <v>1</v>
      </c>
      <c r="AT546" s="2">
        <v>2.415</v>
      </c>
      <c r="AU546" s="1">
        <f t="shared" si="69"/>
        <v>1.0484532106488444</v>
      </c>
      <c r="AV546" s="1">
        <f t="shared" si="70"/>
        <v>0.7846429497395675</v>
      </c>
      <c r="AW546" s="1">
        <f t="shared" si="71"/>
        <v>0.52083268883029032</v>
      </c>
    </row>
    <row r="547" spans="1:49" x14ac:dyDescent="0.2">
      <c r="A547">
        <v>545</v>
      </c>
      <c r="B547" t="s">
        <v>2924</v>
      </c>
      <c r="C547" t="s">
        <v>2923</v>
      </c>
      <c r="F547" t="s">
        <v>2922</v>
      </c>
      <c r="G547" t="s">
        <v>6</v>
      </c>
      <c r="H547" t="s">
        <v>5</v>
      </c>
      <c r="I547" t="s">
        <v>2921</v>
      </c>
      <c r="N547">
        <v>3</v>
      </c>
      <c r="O547" t="s">
        <v>2920</v>
      </c>
      <c r="P547" t="s">
        <v>2919</v>
      </c>
      <c r="Q547" t="s">
        <v>503</v>
      </c>
      <c r="R547" s="7">
        <v>36419</v>
      </c>
      <c r="S547" s="8">
        <f t="shared" si="64"/>
        <v>1999</v>
      </c>
      <c r="T547" s="8">
        <v>1999</v>
      </c>
      <c r="U547" s="8">
        <f t="shared" si="65"/>
        <v>23</v>
      </c>
      <c r="V547" s="7">
        <v>36419</v>
      </c>
      <c r="W547" t="s">
        <v>227</v>
      </c>
      <c r="X547" s="2">
        <v>0.375</v>
      </c>
      <c r="Y547" s="6">
        <f t="shared" si="66"/>
        <v>1.0010410827260351E-2</v>
      </c>
      <c r="AA547">
        <v>135194</v>
      </c>
      <c r="AB547">
        <v>24918</v>
      </c>
      <c r="AD547" t="s">
        <v>2</v>
      </c>
      <c r="AE547">
        <v>35</v>
      </c>
      <c r="AF547">
        <v>19</v>
      </c>
      <c r="AH547" t="s">
        <v>2918</v>
      </c>
      <c r="AI547" t="s">
        <v>2917</v>
      </c>
      <c r="AK547" t="s">
        <v>2916</v>
      </c>
      <c r="AL547">
        <v>9</v>
      </c>
      <c r="AM547" s="5">
        <f t="shared" si="67"/>
        <v>0.39130434782608697</v>
      </c>
      <c r="AN547" s="4">
        <f t="shared" si="68"/>
        <v>5.9266088273545923E-4</v>
      </c>
      <c r="AO547" s="3"/>
      <c r="AP547">
        <v>0</v>
      </c>
      <c r="AR547" t="s">
        <v>1</v>
      </c>
      <c r="AT547" s="2">
        <v>1.3140000000000001</v>
      </c>
      <c r="AU547" s="1">
        <f t="shared" si="69"/>
        <v>0.71850858439028831</v>
      </c>
      <c r="AV547" s="1">
        <f t="shared" si="70"/>
        <v>0.53015358549979053</v>
      </c>
      <c r="AW547" s="1">
        <f t="shared" si="71"/>
        <v>0.34179858660929269</v>
      </c>
    </row>
    <row r="548" spans="1:49" x14ac:dyDescent="0.2">
      <c r="A548">
        <v>546</v>
      </c>
      <c r="B548" t="s">
        <v>2915</v>
      </c>
      <c r="C548" t="s">
        <v>2914</v>
      </c>
      <c r="F548" t="s">
        <v>2913</v>
      </c>
      <c r="G548" t="s">
        <v>6</v>
      </c>
      <c r="H548" t="s">
        <v>5</v>
      </c>
      <c r="I548" t="s">
        <v>2309</v>
      </c>
      <c r="J548">
        <v>60001873</v>
      </c>
      <c r="K548" t="s">
        <v>2912</v>
      </c>
      <c r="L548" t="s">
        <v>259</v>
      </c>
      <c r="M548" t="s">
        <v>45</v>
      </c>
      <c r="N548">
        <v>2</v>
      </c>
      <c r="O548" t="s">
        <v>2911</v>
      </c>
      <c r="P548" t="s">
        <v>2910</v>
      </c>
      <c r="Q548" t="s">
        <v>2909</v>
      </c>
      <c r="R548" s="7">
        <v>36419</v>
      </c>
      <c r="S548" s="8">
        <f t="shared" si="64"/>
        <v>1999</v>
      </c>
      <c r="T548" s="8">
        <v>1999</v>
      </c>
      <c r="U548" s="8">
        <f t="shared" si="65"/>
        <v>23</v>
      </c>
      <c r="V548" s="7">
        <v>36419</v>
      </c>
      <c r="W548" t="s">
        <v>227</v>
      </c>
      <c r="X548" s="2">
        <v>0.375</v>
      </c>
      <c r="Y548" s="6">
        <f t="shared" si="66"/>
        <v>1.0010410827260351E-2</v>
      </c>
      <c r="AA548">
        <v>135194</v>
      </c>
      <c r="AB548">
        <v>24918</v>
      </c>
      <c r="AD548" t="s">
        <v>2</v>
      </c>
      <c r="AE548">
        <v>35</v>
      </c>
      <c r="AF548">
        <v>19</v>
      </c>
      <c r="AH548" t="s">
        <v>2908</v>
      </c>
      <c r="AI548" t="s">
        <v>2907</v>
      </c>
      <c r="AK548" t="s">
        <v>2906</v>
      </c>
      <c r="AL548">
        <v>28</v>
      </c>
      <c r="AM548" s="5">
        <f t="shared" si="67"/>
        <v>1.2173913043478262</v>
      </c>
      <c r="AN548" s="4">
        <f t="shared" si="68"/>
        <v>1.8438338573992066E-3</v>
      </c>
      <c r="AO548" s="3"/>
      <c r="AP548">
        <v>0</v>
      </c>
      <c r="AR548" t="s">
        <v>1</v>
      </c>
      <c r="AT548" s="2">
        <v>1.3140000000000001</v>
      </c>
      <c r="AU548" s="1">
        <f t="shared" si="69"/>
        <v>0.75604377363020081</v>
      </c>
      <c r="AV548" s="1">
        <f t="shared" si="70"/>
        <v>0.59271223423297792</v>
      </c>
      <c r="AW548" s="1">
        <f t="shared" si="71"/>
        <v>0.42938069483575492</v>
      </c>
    </row>
    <row r="549" spans="1:49" x14ac:dyDescent="0.2">
      <c r="A549">
        <v>547</v>
      </c>
      <c r="B549" t="s">
        <v>2905</v>
      </c>
      <c r="C549" t="s">
        <v>2904</v>
      </c>
      <c r="F549" t="s">
        <v>2903</v>
      </c>
      <c r="G549" t="s">
        <v>6</v>
      </c>
      <c r="H549" t="s">
        <v>5</v>
      </c>
      <c r="I549" t="s">
        <v>2730</v>
      </c>
      <c r="J549">
        <v>60009697</v>
      </c>
      <c r="K549" t="s">
        <v>250</v>
      </c>
      <c r="L549" t="s">
        <v>249</v>
      </c>
      <c r="M549" t="s">
        <v>125</v>
      </c>
      <c r="N549">
        <v>2</v>
      </c>
      <c r="O549" t="s">
        <v>2729</v>
      </c>
      <c r="P549" t="s">
        <v>2728</v>
      </c>
      <c r="Q549" t="s">
        <v>248</v>
      </c>
      <c r="R549" s="7">
        <v>36419</v>
      </c>
      <c r="S549" s="8">
        <f t="shared" si="64"/>
        <v>1999</v>
      </c>
      <c r="T549" s="8">
        <v>1999</v>
      </c>
      <c r="U549" s="8">
        <f t="shared" si="65"/>
        <v>23</v>
      </c>
      <c r="V549" s="7">
        <v>36419</v>
      </c>
      <c r="W549" t="s">
        <v>227</v>
      </c>
      <c r="X549" s="2">
        <v>0.375</v>
      </c>
      <c r="Y549" s="6">
        <f t="shared" si="66"/>
        <v>1.0010410827260351E-2</v>
      </c>
      <c r="AA549">
        <v>135194</v>
      </c>
      <c r="AB549">
        <v>24918</v>
      </c>
      <c r="AD549" t="s">
        <v>2</v>
      </c>
      <c r="AE549">
        <v>35</v>
      </c>
      <c r="AF549">
        <v>19</v>
      </c>
      <c r="AH549" t="s">
        <v>2902</v>
      </c>
      <c r="AI549" t="s">
        <v>2901</v>
      </c>
      <c r="AK549" t="s">
        <v>2900</v>
      </c>
      <c r="AL549">
        <v>0</v>
      </c>
      <c r="AM549" s="5">
        <f t="shared" si="67"/>
        <v>0</v>
      </c>
      <c r="AN549" s="4">
        <f t="shared" si="68"/>
        <v>0</v>
      </c>
      <c r="AO549" s="3"/>
      <c r="AP549">
        <v>0</v>
      </c>
      <c r="AR549" t="s">
        <v>1</v>
      </c>
      <c r="AT549" s="2">
        <v>1.3140000000000001</v>
      </c>
      <c r="AU549" s="1">
        <f t="shared" si="69"/>
        <v>0.70072875790822453</v>
      </c>
      <c r="AV549" s="1">
        <f t="shared" si="70"/>
        <v>0.5005205413630176</v>
      </c>
      <c r="AW549" s="1">
        <f t="shared" si="71"/>
        <v>0.30031232481781051</v>
      </c>
    </row>
    <row r="550" spans="1:49" x14ac:dyDescent="0.2">
      <c r="A550">
        <v>548</v>
      </c>
      <c r="B550" t="s">
        <v>2899</v>
      </c>
      <c r="C550" t="s">
        <v>2898</v>
      </c>
      <c r="F550" t="s">
        <v>2897</v>
      </c>
      <c r="G550" t="s">
        <v>6</v>
      </c>
      <c r="H550" t="s">
        <v>5</v>
      </c>
      <c r="I550" t="s">
        <v>2896</v>
      </c>
      <c r="J550">
        <v>60025063</v>
      </c>
      <c r="K550" t="s">
        <v>2895</v>
      </c>
      <c r="L550" t="s">
        <v>2894</v>
      </c>
      <c r="M550" t="s">
        <v>188</v>
      </c>
      <c r="N550">
        <v>1</v>
      </c>
      <c r="O550" t="s">
        <v>2893</v>
      </c>
      <c r="P550">
        <v>7005545716</v>
      </c>
      <c r="Q550">
        <v>60025063</v>
      </c>
      <c r="R550" s="7">
        <v>36419</v>
      </c>
      <c r="S550" s="8">
        <f t="shared" si="64"/>
        <v>1999</v>
      </c>
      <c r="T550" s="8">
        <v>1999</v>
      </c>
      <c r="U550" s="8">
        <f t="shared" si="65"/>
        <v>23</v>
      </c>
      <c r="V550" s="7">
        <v>36419</v>
      </c>
      <c r="W550" t="s">
        <v>227</v>
      </c>
      <c r="X550" s="2">
        <v>0.375</v>
      </c>
      <c r="Y550" s="6">
        <f t="shared" si="66"/>
        <v>1.0010410827260351E-2</v>
      </c>
      <c r="AA550">
        <v>135194</v>
      </c>
      <c r="AB550">
        <v>24918</v>
      </c>
      <c r="AD550" t="s">
        <v>2</v>
      </c>
      <c r="AE550">
        <v>35</v>
      </c>
      <c r="AF550">
        <v>19</v>
      </c>
      <c r="AH550" t="s">
        <v>2892</v>
      </c>
      <c r="AI550" t="s">
        <v>2891</v>
      </c>
      <c r="AK550" t="s">
        <v>2890</v>
      </c>
      <c r="AL550">
        <v>3</v>
      </c>
      <c r="AM550" s="5">
        <f t="shared" si="67"/>
        <v>0.13043478260869565</v>
      </c>
      <c r="AN550" s="4">
        <f t="shared" si="68"/>
        <v>1.9755362757848641E-4</v>
      </c>
      <c r="AO550" s="3"/>
      <c r="AP550">
        <v>0</v>
      </c>
      <c r="AR550" t="s">
        <v>1</v>
      </c>
      <c r="AT550" s="2">
        <v>1.3140000000000001</v>
      </c>
      <c r="AU550" s="1">
        <f t="shared" si="69"/>
        <v>0.70665536673557916</v>
      </c>
      <c r="AV550" s="1">
        <f t="shared" si="70"/>
        <v>0.51039822274194191</v>
      </c>
      <c r="AW550" s="1">
        <f t="shared" si="71"/>
        <v>0.31414107874830455</v>
      </c>
    </row>
    <row r="551" spans="1:49" x14ac:dyDescent="0.2">
      <c r="A551">
        <v>549</v>
      </c>
      <c r="B551" t="s">
        <v>2889</v>
      </c>
      <c r="C551" t="s">
        <v>2888</v>
      </c>
      <c r="E551">
        <v>10491116</v>
      </c>
      <c r="F551" t="s">
        <v>2887</v>
      </c>
      <c r="G551" t="s">
        <v>6</v>
      </c>
      <c r="H551" t="s">
        <v>5</v>
      </c>
      <c r="I551" t="s">
        <v>2886</v>
      </c>
      <c r="J551" t="s">
        <v>2885</v>
      </c>
      <c r="K551" t="s">
        <v>2884</v>
      </c>
      <c r="L551" t="s">
        <v>2883</v>
      </c>
      <c r="M551" t="s">
        <v>261</v>
      </c>
      <c r="N551">
        <v>5</v>
      </c>
      <c r="O551" t="s">
        <v>2882</v>
      </c>
      <c r="P551" t="s">
        <v>2881</v>
      </c>
      <c r="Q551" t="s">
        <v>2880</v>
      </c>
      <c r="R551" s="7">
        <v>36418</v>
      </c>
      <c r="S551" s="8">
        <f t="shared" si="64"/>
        <v>1999</v>
      </c>
      <c r="T551" s="8">
        <v>1999</v>
      </c>
      <c r="U551" s="8">
        <f t="shared" si="65"/>
        <v>23</v>
      </c>
      <c r="V551" s="7">
        <v>36418</v>
      </c>
      <c r="W551" t="s">
        <v>845</v>
      </c>
      <c r="X551" s="2">
        <v>1.9810000000000001</v>
      </c>
      <c r="Y551" s="6">
        <f t="shared" si="66"/>
        <v>5.2881663596807349E-2</v>
      </c>
      <c r="AA551">
        <v>142956</v>
      </c>
      <c r="AB551">
        <v>39034</v>
      </c>
      <c r="AD551" t="s">
        <v>2</v>
      </c>
      <c r="AE551">
        <v>264</v>
      </c>
      <c r="AF551">
        <v>3</v>
      </c>
      <c r="AH551" t="s">
        <v>2879</v>
      </c>
      <c r="AI551" t="s">
        <v>2878</v>
      </c>
      <c r="AJ551" t="s">
        <v>2877</v>
      </c>
      <c r="AK551" t="s">
        <v>2876</v>
      </c>
      <c r="AL551">
        <v>41</v>
      </c>
      <c r="AM551" s="5">
        <f t="shared" si="67"/>
        <v>1.7826086956521738</v>
      </c>
      <c r="AN551" s="4">
        <f t="shared" si="68"/>
        <v>2.6998995769059808E-3</v>
      </c>
      <c r="AO551" s="3"/>
      <c r="AP551">
        <v>1</v>
      </c>
      <c r="AR551" t="s">
        <v>1</v>
      </c>
      <c r="AT551" s="2" t="s">
        <v>0</v>
      </c>
      <c r="AU551" s="1">
        <f t="shared" si="69"/>
        <v>3.7827134390836936</v>
      </c>
      <c r="AV551" s="1">
        <f t="shared" si="70"/>
        <v>2.7790781586856665</v>
      </c>
      <c r="AW551" s="1">
        <f t="shared" si="71"/>
        <v>1.775442878287639</v>
      </c>
    </row>
    <row r="552" spans="1:49" x14ac:dyDescent="0.2">
      <c r="A552">
        <v>550</v>
      </c>
      <c r="B552" t="s">
        <v>2875</v>
      </c>
      <c r="C552" t="s">
        <v>2874</v>
      </c>
      <c r="F552" t="s">
        <v>2873</v>
      </c>
      <c r="G552" t="s">
        <v>6</v>
      </c>
      <c r="H552" t="s">
        <v>5</v>
      </c>
      <c r="I552" t="s">
        <v>2872</v>
      </c>
      <c r="J552" t="s">
        <v>2871</v>
      </c>
      <c r="K552" t="s">
        <v>2870</v>
      </c>
      <c r="L552" t="s">
        <v>2869</v>
      </c>
      <c r="M552" t="s">
        <v>19</v>
      </c>
      <c r="N552">
        <v>5</v>
      </c>
      <c r="O552" t="s">
        <v>2868</v>
      </c>
      <c r="P552" t="s">
        <v>2867</v>
      </c>
      <c r="Q552" t="s">
        <v>2866</v>
      </c>
      <c r="R552" s="7">
        <v>36418</v>
      </c>
      <c r="S552" s="8">
        <f t="shared" si="64"/>
        <v>1999</v>
      </c>
      <c r="T552" s="8">
        <v>1999</v>
      </c>
      <c r="U552" s="8">
        <f t="shared" si="65"/>
        <v>23</v>
      </c>
      <c r="V552" s="7">
        <v>36418</v>
      </c>
      <c r="W552" t="s">
        <v>698</v>
      </c>
      <c r="X552" s="2">
        <v>0</v>
      </c>
      <c r="Y552" s="6">
        <f t="shared" si="66"/>
        <v>0</v>
      </c>
      <c r="AB552">
        <v>21101038511</v>
      </c>
      <c r="AC552">
        <v>21699291</v>
      </c>
      <c r="AD552" t="s">
        <v>2</v>
      </c>
      <c r="AE552">
        <v>104</v>
      </c>
      <c r="AF552" t="s">
        <v>2865</v>
      </c>
      <c r="AG552" t="s">
        <v>2864</v>
      </c>
      <c r="AH552" t="s">
        <v>2863</v>
      </c>
      <c r="AI552" t="s">
        <v>2862</v>
      </c>
      <c r="AK552" t="s">
        <v>2861</v>
      </c>
      <c r="AL552">
        <v>13</v>
      </c>
      <c r="AM552" s="5">
        <f t="shared" si="67"/>
        <v>0.56521739130434778</v>
      </c>
      <c r="AN552" s="4">
        <f t="shared" si="68"/>
        <v>8.560657195067744E-4</v>
      </c>
      <c r="AO552" s="3"/>
      <c r="AP552">
        <v>1</v>
      </c>
      <c r="AR552" t="s">
        <v>1</v>
      </c>
      <c r="AT552" s="2" t="s">
        <v>0</v>
      </c>
      <c r="AU552" s="1">
        <f t="shared" si="69"/>
        <v>2.5681971585203231E-2</v>
      </c>
      <c r="AV552" s="1">
        <f t="shared" si="70"/>
        <v>4.2803285975338723E-2</v>
      </c>
      <c r="AW552" s="1">
        <f t="shared" si="71"/>
        <v>5.9924600365474208E-2</v>
      </c>
    </row>
    <row r="553" spans="1:49" x14ac:dyDescent="0.2">
      <c r="A553">
        <v>551</v>
      </c>
      <c r="B553" t="s">
        <v>2860</v>
      </c>
      <c r="C553" t="s">
        <v>2859</v>
      </c>
      <c r="F553" t="s">
        <v>2858</v>
      </c>
      <c r="G553" t="s">
        <v>6</v>
      </c>
      <c r="H553" t="s">
        <v>5</v>
      </c>
      <c r="I553" t="s">
        <v>2857</v>
      </c>
      <c r="J553" t="s">
        <v>2856</v>
      </c>
      <c r="K553" t="s">
        <v>2855</v>
      </c>
      <c r="L553" t="s">
        <v>2854</v>
      </c>
      <c r="M553" t="s">
        <v>40</v>
      </c>
      <c r="N553">
        <v>5</v>
      </c>
      <c r="O553" t="s">
        <v>2853</v>
      </c>
      <c r="P553" t="s">
        <v>2852</v>
      </c>
      <c r="Q553" t="s">
        <v>2851</v>
      </c>
      <c r="R553" s="7">
        <v>36418</v>
      </c>
      <c r="S553" s="8">
        <f t="shared" si="64"/>
        <v>1999</v>
      </c>
      <c r="T553" s="8">
        <v>1999</v>
      </c>
      <c r="U553" s="8">
        <f t="shared" si="65"/>
        <v>23</v>
      </c>
      <c r="V553" s="7">
        <v>36418</v>
      </c>
      <c r="W553" t="s">
        <v>101</v>
      </c>
      <c r="X553" s="2">
        <v>1.276</v>
      </c>
      <c r="Y553" s="6">
        <f t="shared" si="66"/>
        <v>3.4062091241557887E-2</v>
      </c>
      <c r="AA553">
        <v>214922</v>
      </c>
      <c r="AB553">
        <v>75087</v>
      </c>
      <c r="AD553" t="s">
        <v>2</v>
      </c>
      <c r="AE553">
        <v>38</v>
      </c>
      <c r="AF553" t="s">
        <v>2850</v>
      </c>
      <c r="AI553" t="s">
        <v>2849</v>
      </c>
      <c r="AK553" t="s">
        <v>2848</v>
      </c>
      <c r="AL553">
        <v>8</v>
      </c>
      <c r="AM553" s="5">
        <f t="shared" si="67"/>
        <v>0.34782608695652173</v>
      </c>
      <c r="AN553" s="4">
        <f t="shared" si="68"/>
        <v>5.2680967354263046E-4</v>
      </c>
      <c r="AO553" s="3"/>
      <c r="AP553">
        <v>0</v>
      </c>
      <c r="AR553" t="s">
        <v>1</v>
      </c>
      <c r="AT553" s="2" t="s">
        <v>0</v>
      </c>
      <c r="AU553" s="1">
        <f t="shared" si="69"/>
        <v>2.4001506771153309</v>
      </c>
      <c r="AV553" s="1">
        <f t="shared" si="70"/>
        <v>1.7294450457550257</v>
      </c>
      <c r="AW553" s="1">
        <f t="shared" si="71"/>
        <v>1.0587394143947206</v>
      </c>
    </row>
    <row r="554" spans="1:49" x14ac:dyDescent="0.2">
      <c r="A554">
        <v>552</v>
      </c>
      <c r="B554" t="s">
        <v>2847</v>
      </c>
      <c r="C554" t="s">
        <v>2846</v>
      </c>
      <c r="F554" t="s">
        <v>2845</v>
      </c>
      <c r="G554" t="s">
        <v>6</v>
      </c>
      <c r="H554" t="s">
        <v>5</v>
      </c>
      <c r="I554" t="s">
        <v>2844</v>
      </c>
      <c r="J554" t="s">
        <v>2843</v>
      </c>
      <c r="K554" t="s">
        <v>2842</v>
      </c>
      <c r="L554" t="s">
        <v>2841</v>
      </c>
      <c r="M554" t="s">
        <v>2840</v>
      </c>
      <c r="N554">
        <v>10</v>
      </c>
      <c r="O554" t="s">
        <v>2839</v>
      </c>
      <c r="P554" t="s">
        <v>2838</v>
      </c>
      <c r="Q554" t="s">
        <v>2837</v>
      </c>
      <c r="R554" s="7">
        <v>36413</v>
      </c>
      <c r="S554" s="8">
        <f t="shared" si="64"/>
        <v>1999</v>
      </c>
      <c r="T554" s="8">
        <v>1999</v>
      </c>
      <c r="U554" s="8">
        <f t="shared" si="65"/>
        <v>23</v>
      </c>
      <c r="V554" s="7">
        <v>36413</v>
      </c>
      <c r="W554" t="s">
        <v>2836</v>
      </c>
      <c r="X554" s="2">
        <v>0.57399999999999995</v>
      </c>
      <c r="Y554" s="6">
        <f t="shared" si="66"/>
        <v>1.5322602172926509E-2</v>
      </c>
      <c r="AA554">
        <v>213640</v>
      </c>
      <c r="AB554">
        <v>28115</v>
      </c>
      <c r="AD554" t="s">
        <v>2</v>
      </c>
      <c r="AE554">
        <v>70</v>
      </c>
      <c r="AF554">
        <v>5</v>
      </c>
      <c r="AH554" t="s">
        <v>2835</v>
      </c>
      <c r="AI554" t="s">
        <v>2834</v>
      </c>
      <c r="AK554" t="s">
        <v>2833</v>
      </c>
      <c r="AL554">
        <v>3</v>
      </c>
      <c r="AM554" s="5">
        <f t="shared" si="67"/>
        <v>0.13043478260869565</v>
      </c>
      <c r="AN554" s="4">
        <f t="shared" si="68"/>
        <v>1.9755362757848641E-4</v>
      </c>
      <c r="AO554" s="3"/>
      <c r="AP554">
        <v>0</v>
      </c>
      <c r="AQ554" t="s">
        <v>2832</v>
      </c>
      <c r="AR554" t="s">
        <v>1</v>
      </c>
      <c r="AS554" t="s">
        <v>2831</v>
      </c>
      <c r="AT554" s="2">
        <v>1.532</v>
      </c>
      <c r="AU554" s="1">
        <f t="shared" si="69"/>
        <v>1.0785087609322102</v>
      </c>
      <c r="AV554" s="1">
        <f t="shared" si="70"/>
        <v>0.77600779002524978</v>
      </c>
      <c r="AW554" s="1">
        <f t="shared" si="71"/>
        <v>0.47350681911828929</v>
      </c>
    </row>
    <row r="555" spans="1:49" x14ac:dyDescent="0.2">
      <c r="A555">
        <v>553</v>
      </c>
      <c r="B555" t="s">
        <v>2830</v>
      </c>
      <c r="C555" t="s">
        <v>2829</v>
      </c>
      <c r="E555">
        <v>10460499</v>
      </c>
      <c r="F555" t="s">
        <v>2828</v>
      </c>
      <c r="G555" t="s">
        <v>6</v>
      </c>
      <c r="H555" t="s">
        <v>5</v>
      </c>
      <c r="I555" t="s">
        <v>2827</v>
      </c>
      <c r="J555" t="s">
        <v>2826</v>
      </c>
      <c r="K555" t="s">
        <v>2825</v>
      </c>
      <c r="L555" t="s">
        <v>2824</v>
      </c>
      <c r="M555" t="s">
        <v>30</v>
      </c>
      <c r="N555">
        <v>3</v>
      </c>
      <c r="O555" t="s">
        <v>2823</v>
      </c>
      <c r="P555" t="s">
        <v>2822</v>
      </c>
      <c r="Q555" t="s">
        <v>2821</v>
      </c>
      <c r="R555" s="7">
        <v>36411</v>
      </c>
      <c r="S555" s="8">
        <f t="shared" si="64"/>
        <v>1999</v>
      </c>
      <c r="T555" s="8">
        <v>1999</v>
      </c>
      <c r="U555" s="8">
        <f t="shared" si="65"/>
        <v>23</v>
      </c>
      <c r="V555" s="7">
        <v>1999</v>
      </c>
      <c r="W555" t="s">
        <v>765</v>
      </c>
      <c r="X555" s="2">
        <v>1.64</v>
      </c>
      <c r="Y555" s="6">
        <f t="shared" si="66"/>
        <v>4.3778863351218597E-2</v>
      </c>
      <c r="AA555" t="s">
        <v>764</v>
      </c>
      <c r="AB555">
        <v>18446</v>
      </c>
      <c r="AD555" t="s">
        <v>2</v>
      </c>
      <c r="AE555">
        <v>297</v>
      </c>
      <c r="AF555">
        <v>3</v>
      </c>
      <c r="AH555" t="s">
        <v>2820</v>
      </c>
      <c r="AI555" t="s">
        <v>2819</v>
      </c>
      <c r="AJ555" t="s">
        <v>2818</v>
      </c>
      <c r="AK555" t="s">
        <v>2817</v>
      </c>
      <c r="AL555">
        <v>41</v>
      </c>
      <c r="AM555" s="5">
        <f t="shared" si="67"/>
        <v>1.7826086956521738</v>
      </c>
      <c r="AN555" s="4">
        <f t="shared" si="68"/>
        <v>2.6998995769059808E-3</v>
      </c>
      <c r="AO555" s="3"/>
      <c r="AP555">
        <v>0</v>
      </c>
      <c r="AQ555" t="s">
        <v>757</v>
      </c>
      <c r="AR555" t="s">
        <v>759</v>
      </c>
      <c r="AS555" t="s">
        <v>756</v>
      </c>
      <c r="AT555" s="2">
        <v>5.2489999999999997</v>
      </c>
      <c r="AU555" s="1">
        <f t="shared" si="69"/>
        <v>3.1455174218924813</v>
      </c>
      <c r="AV555" s="1">
        <f t="shared" si="70"/>
        <v>2.323938146406229</v>
      </c>
      <c r="AW555" s="1">
        <f t="shared" si="71"/>
        <v>1.5023588709199767</v>
      </c>
    </row>
    <row r="556" spans="1:49" x14ac:dyDescent="0.2">
      <c r="A556">
        <v>554</v>
      </c>
      <c r="B556" t="s">
        <v>2816</v>
      </c>
      <c r="C556" t="s">
        <v>2815</v>
      </c>
      <c r="E556">
        <v>10421873</v>
      </c>
      <c r="F556" t="s">
        <v>2814</v>
      </c>
      <c r="G556" t="s">
        <v>6</v>
      </c>
      <c r="H556" t="s">
        <v>5</v>
      </c>
      <c r="I556" t="s">
        <v>2813</v>
      </c>
      <c r="J556" t="s">
        <v>2812</v>
      </c>
      <c r="K556" t="s">
        <v>2811</v>
      </c>
      <c r="L556" t="s">
        <v>2810</v>
      </c>
      <c r="M556" t="s">
        <v>2809</v>
      </c>
      <c r="N556">
        <v>3</v>
      </c>
      <c r="O556" t="s">
        <v>2808</v>
      </c>
      <c r="P556" t="s">
        <v>2807</v>
      </c>
      <c r="Q556" t="s">
        <v>2806</v>
      </c>
      <c r="R556" s="7">
        <v>36409</v>
      </c>
      <c r="S556" s="8">
        <f t="shared" si="64"/>
        <v>1999</v>
      </c>
      <c r="T556" s="8">
        <v>1999</v>
      </c>
      <c r="U556" s="8">
        <f t="shared" si="65"/>
        <v>23</v>
      </c>
      <c r="V556" s="7">
        <v>36409</v>
      </c>
      <c r="W556" t="s">
        <v>766</v>
      </c>
      <c r="X556" s="2">
        <v>1.855</v>
      </c>
      <c r="Y556" s="6">
        <f t="shared" si="66"/>
        <v>4.9518165558847867E-2</v>
      </c>
      <c r="AA556">
        <v>219967</v>
      </c>
      <c r="AB556">
        <v>16689</v>
      </c>
      <c r="AD556" t="s">
        <v>2</v>
      </c>
      <c r="AE556">
        <v>411</v>
      </c>
      <c r="AF556">
        <v>4</v>
      </c>
      <c r="AH556" t="s">
        <v>2805</v>
      </c>
      <c r="AI556" t="s">
        <v>2804</v>
      </c>
      <c r="AJ556" t="s">
        <v>2803</v>
      </c>
      <c r="AK556" t="s">
        <v>2802</v>
      </c>
      <c r="AL556">
        <v>21</v>
      </c>
      <c r="AM556" s="5">
        <f t="shared" si="67"/>
        <v>0.91304347826086951</v>
      </c>
      <c r="AN556" s="4">
        <f t="shared" si="68"/>
        <v>1.3828753930494049E-3</v>
      </c>
      <c r="AO556" s="3"/>
      <c r="AP556">
        <v>0</v>
      </c>
      <c r="AR556" t="s">
        <v>1</v>
      </c>
      <c r="AT556" s="2">
        <v>3.2149999999999999</v>
      </c>
      <c r="AU556" s="1">
        <f t="shared" si="69"/>
        <v>3.5077578509108323</v>
      </c>
      <c r="AV556" s="1">
        <f t="shared" si="70"/>
        <v>2.5450520475948637</v>
      </c>
      <c r="AW556" s="1">
        <f t="shared" si="71"/>
        <v>1.582346244278894</v>
      </c>
    </row>
    <row r="557" spans="1:49" x14ac:dyDescent="0.2">
      <c r="A557">
        <v>555</v>
      </c>
      <c r="B557" t="s">
        <v>2801</v>
      </c>
      <c r="C557" t="s">
        <v>2800</v>
      </c>
      <c r="F557" t="s">
        <v>2799</v>
      </c>
      <c r="G557" t="s">
        <v>6</v>
      </c>
      <c r="H557" t="s">
        <v>5</v>
      </c>
      <c r="I557" t="s">
        <v>2798</v>
      </c>
      <c r="J557">
        <v>60032330</v>
      </c>
      <c r="K557" t="s">
        <v>2797</v>
      </c>
      <c r="L557" t="s">
        <v>2796</v>
      </c>
      <c r="M557" t="s">
        <v>45</v>
      </c>
      <c r="N557">
        <v>6</v>
      </c>
      <c r="O557" t="s">
        <v>2795</v>
      </c>
      <c r="P557" t="s">
        <v>2794</v>
      </c>
      <c r="Q557" t="s">
        <v>2793</v>
      </c>
      <c r="R557" s="7">
        <v>36408</v>
      </c>
      <c r="S557" s="8">
        <f t="shared" si="64"/>
        <v>1999</v>
      </c>
      <c r="T557" s="8">
        <v>1999</v>
      </c>
      <c r="U557" s="8">
        <f t="shared" si="65"/>
        <v>23</v>
      </c>
      <c r="V557" s="7">
        <v>36408</v>
      </c>
      <c r="W557" t="s">
        <v>162</v>
      </c>
      <c r="X557" s="2">
        <v>0.30399999999999999</v>
      </c>
      <c r="Y557" s="6">
        <f t="shared" si="66"/>
        <v>8.115106377299057E-3</v>
      </c>
      <c r="AA557">
        <v>8952477</v>
      </c>
      <c r="AB557">
        <v>12250</v>
      </c>
      <c r="AD557" t="s">
        <v>2</v>
      </c>
      <c r="AE557">
        <v>22</v>
      </c>
      <c r="AF557">
        <v>5</v>
      </c>
      <c r="AH557" t="s">
        <v>2792</v>
      </c>
      <c r="AI557" t="s">
        <v>2791</v>
      </c>
      <c r="AK557" t="s">
        <v>2790</v>
      </c>
      <c r="AL557">
        <v>4</v>
      </c>
      <c r="AM557" s="5">
        <f t="shared" si="67"/>
        <v>0.17391304347826086</v>
      </c>
      <c r="AN557" s="4">
        <f t="shared" si="68"/>
        <v>2.6340483677131523E-4</v>
      </c>
      <c r="AO557" s="3"/>
      <c r="AP557">
        <v>0</v>
      </c>
      <c r="AR557" t="s">
        <v>1</v>
      </c>
      <c r="AT557" s="2" t="s">
        <v>0</v>
      </c>
      <c r="AU557" s="1">
        <f t="shared" si="69"/>
        <v>0.57595959151407339</v>
      </c>
      <c r="AV557" s="1">
        <f t="shared" si="70"/>
        <v>0.41892556070351861</v>
      </c>
      <c r="AW557" s="1">
        <f t="shared" si="71"/>
        <v>0.26189152989296377</v>
      </c>
    </row>
    <row r="558" spans="1:49" x14ac:dyDescent="0.2">
      <c r="A558">
        <v>556</v>
      </c>
      <c r="B558" t="s">
        <v>2789</v>
      </c>
      <c r="C558" t="s">
        <v>2788</v>
      </c>
      <c r="F558" t="s">
        <v>2787</v>
      </c>
      <c r="G558" t="s">
        <v>6</v>
      </c>
      <c r="H558" t="s">
        <v>5</v>
      </c>
      <c r="I558" t="s">
        <v>751</v>
      </c>
      <c r="J558">
        <v>60116768</v>
      </c>
      <c r="K558" t="s">
        <v>750</v>
      </c>
      <c r="L558" t="s">
        <v>217</v>
      </c>
      <c r="M558" t="s">
        <v>133</v>
      </c>
      <c r="N558">
        <v>1</v>
      </c>
      <c r="O558" t="s">
        <v>749</v>
      </c>
      <c r="P558">
        <v>7601561423</v>
      </c>
      <c r="Q558">
        <v>60116768</v>
      </c>
      <c r="R558" s="7">
        <v>36408</v>
      </c>
      <c r="S558" s="8">
        <f t="shared" si="64"/>
        <v>1999</v>
      </c>
      <c r="T558" s="8">
        <v>1999</v>
      </c>
      <c r="U558" s="8">
        <f t="shared" si="65"/>
        <v>23</v>
      </c>
      <c r="V558" s="7">
        <v>36408</v>
      </c>
      <c r="W558" t="s">
        <v>162</v>
      </c>
      <c r="X558" s="2">
        <v>0.30399999999999999</v>
      </c>
      <c r="Y558" s="6">
        <f t="shared" si="66"/>
        <v>8.115106377299057E-3</v>
      </c>
      <c r="AA558">
        <v>8952477</v>
      </c>
      <c r="AB558">
        <v>12250</v>
      </c>
      <c r="AD558" t="s">
        <v>2</v>
      </c>
      <c r="AE558">
        <v>22</v>
      </c>
      <c r="AF558">
        <v>5</v>
      </c>
      <c r="AH558" t="s">
        <v>2786</v>
      </c>
      <c r="AI558" t="s">
        <v>2785</v>
      </c>
      <c r="AK558" t="s">
        <v>2784</v>
      </c>
      <c r="AL558">
        <v>0</v>
      </c>
      <c r="AM558" s="5">
        <f t="shared" si="67"/>
        <v>0</v>
      </c>
      <c r="AN558" s="4">
        <f t="shared" si="68"/>
        <v>0</v>
      </c>
      <c r="AO558" s="3"/>
      <c r="AP558">
        <v>0</v>
      </c>
      <c r="AR558" t="s">
        <v>1</v>
      </c>
      <c r="AT558" s="2" t="s">
        <v>0</v>
      </c>
      <c r="AU558" s="1">
        <f t="shared" si="69"/>
        <v>0.56805744641093392</v>
      </c>
      <c r="AV558" s="1">
        <f t="shared" si="70"/>
        <v>0.40575531886495286</v>
      </c>
      <c r="AW558" s="1">
        <f t="shared" si="71"/>
        <v>0.24345319131897172</v>
      </c>
    </row>
    <row r="559" spans="1:49" x14ac:dyDescent="0.2">
      <c r="A559">
        <v>557</v>
      </c>
      <c r="B559" t="s">
        <v>2783</v>
      </c>
      <c r="C559" t="s">
        <v>2782</v>
      </c>
      <c r="F559" t="s">
        <v>2781</v>
      </c>
      <c r="G559" t="s">
        <v>6</v>
      </c>
      <c r="H559" t="s">
        <v>5</v>
      </c>
      <c r="I559" t="s">
        <v>2780</v>
      </c>
      <c r="J559" t="s">
        <v>2779</v>
      </c>
      <c r="K559" t="s">
        <v>2778</v>
      </c>
      <c r="L559" t="s">
        <v>2777</v>
      </c>
      <c r="M559" t="s">
        <v>120</v>
      </c>
      <c r="N559">
        <v>2</v>
      </c>
      <c r="O559" t="s">
        <v>2776</v>
      </c>
      <c r="P559" t="s">
        <v>2775</v>
      </c>
      <c r="Q559" t="s">
        <v>2774</v>
      </c>
      <c r="R559" s="7">
        <v>36408</v>
      </c>
      <c r="S559" s="8">
        <f t="shared" si="64"/>
        <v>1999</v>
      </c>
      <c r="T559" s="8">
        <v>1999</v>
      </c>
      <c r="U559" s="8">
        <f t="shared" si="65"/>
        <v>23</v>
      </c>
      <c r="V559" s="7">
        <v>36408</v>
      </c>
      <c r="W559" t="s">
        <v>162</v>
      </c>
      <c r="X559" s="2">
        <v>0.30399999999999999</v>
      </c>
      <c r="Y559" s="6">
        <f t="shared" si="66"/>
        <v>8.115106377299057E-3</v>
      </c>
      <c r="AA559">
        <v>8952477</v>
      </c>
      <c r="AB559">
        <v>12250</v>
      </c>
      <c r="AD559" t="s">
        <v>2</v>
      </c>
      <c r="AE559">
        <v>22</v>
      </c>
      <c r="AF559">
        <v>5</v>
      </c>
      <c r="AH559" t="s">
        <v>2773</v>
      </c>
      <c r="AI559" t="s">
        <v>2772</v>
      </c>
      <c r="AK559" t="s">
        <v>2771</v>
      </c>
      <c r="AL559">
        <v>0</v>
      </c>
      <c r="AM559" s="5">
        <f t="shared" si="67"/>
        <v>0</v>
      </c>
      <c r="AN559" s="4">
        <f t="shared" si="68"/>
        <v>0</v>
      </c>
      <c r="AO559" s="3"/>
      <c r="AP559">
        <v>0</v>
      </c>
      <c r="AR559" t="s">
        <v>1</v>
      </c>
      <c r="AT559" s="2" t="s">
        <v>0</v>
      </c>
      <c r="AU559" s="1">
        <f t="shared" si="69"/>
        <v>0.56805744641093392</v>
      </c>
      <c r="AV559" s="1">
        <f t="shared" si="70"/>
        <v>0.40575531886495286</v>
      </c>
      <c r="AW559" s="1">
        <f t="shared" si="71"/>
        <v>0.24345319131897172</v>
      </c>
    </row>
    <row r="560" spans="1:49" x14ac:dyDescent="0.2">
      <c r="A560">
        <v>558</v>
      </c>
      <c r="B560" t="s">
        <v>2770</v>
      </c>
      <c r="C560" t="s">
        <v>2769</v>
      </c>
      <c r="F560" t="s">
        <v>2768</v>
      </c>
      <c r="G560" t="s">
        <v>6</v>
      </c>
      <c r="H560" t="s">
        <v>5</v>
      </c>
      <c r="I560" t="s">
        <v>1611</v>
      </c>
      <c r="J560">
        <v>60103653</v>
      </c>
      <c r="K560" t="s">
        <v>487</v>
      </c>
      <c r="L560" t="s">
        <v>486</v>
      </c>
      <c r="M560" t="s">
        <v>485</v>
      </c>
      <c r="N560">
        <v>3</v>
      </c>
      <c r="O560" t="s">
        <v>1610</v>
      </c>
      <c r="P560" t="s">
        <v>1609</v>
      </c>
      <c r="Q560" t="s">
        <v>707</v>
      </c>
      <c r="R560" s="7">
        <v>36408</v>
      </c>
      <c r="S560" s="8">
        <f t="shared" si="64"/>
        <v>1999</v>
      </c>
      <c r="T560" s="8">
        <v>1999</v>
      </c>
      <c r="U560" s="8">
        <f t="shared" si="65"/>
        <v>23</v>
      </c>
      <c r="V560" s="7">
        <v>36408</v>
      </c>
      <c r="W560" t="s">
        <v>162</v>
      </c>
      <c r="X560" s="2">
        <v>0.30399999999999999</v>
      </c>
      <c r="Y560" s="6">
        <f t="shared" si="66"/>
        <v>8.115106377299057E-3</v>
      </c>
      <c r="AA560">
        <v>8952477</v>
      </c>
      <c r="AB560">
        <v>12250</v>
      </c>
      <c r="AD560" t="s">
        <v>2</v>
      </c>
      <c r="AE560">
        <v>22</v>
      </c>
      <c r="AF560">
        <v>5</v>
      </c>
      <c r="AH560" t="s">
        <v>2767</v>
      </c>
      <c r="AI560" t="s">
        <v>2766</v>
      </c>
      <c r="AK560" t="s">
        <v>2765</v>
      </c>
      <c r="AL560">
        <v>0</v>
      </c>
      <c r="AM560" s="5">
        <f t="shared" si="67"/>
        <v>0</v>
      </c>
      <c r="AN560" s="4">
        <f t="shared" si="68"/>
        <v>0</v>
      </c>
      <c r="AO560" s="3"/>
      <c r="AP560">
        <v>0</v>
      </c>
      <c r="AR560" t="s">
        <v>1</v>
      </c>
      <c r="AT560" s="2" t="s">
        <v>0</v>
      </c>
      <c r="AU560" s="1">
        <f t="shared" si="69"/>
        <v>0.56805744641093392</v>
      </c>
      <c r="AV560" s="1">
        <f t="shared" si="70"/>
        <v>0.40575531886495286</v>
      </c>
      <c r="AW560" s="1">
        <f t="shared" si="71"/>
        <v>0.24345319131897172</v>
      </c>
    </row>
    <row r="561" spans="1:49" x14ac:dyDescent="0.2">
      <c r="A561">
        <v>559</v>
      </c>
      <c r="B561" t="s">
        <v>2764</v>
      </c>
      <c r="C561" t="s">
        <v>2763</v>
      </c>
      <c r="F561" t="s">
        <v>2762</v>
      </c>
      <c r="G561" t="s">
        <v>6</v>
      </c>
      <c r="H561" t="s">
        <v>5</v>
      </c>
      <c r="I561" t="s">
        <v>2761</v>
      </c>
      <c r="J561">
        <v>60011357</v>
      </c>
      <c r="K561" t="s">
        <v>218</v>
      </c>
      <c r="L561" t="s">
        <v>217</v>
      </c>
      <c r="M561" t="s">
        <v>133</v>
      </c>
      <c r="N561">
        <v>2</v>
      </c>
      <c r="O561" t="s">
        <v>2760</v>
      </c>
      <c r="P561" t="s">
        <v>2759</v>
      </c>
      <c r="Q561" t="s">
        <v>216</v>
      </c>
      <c r="R561" s="7">
        <v>36408</v>
      </c>
      <c r="S561" s="8">
        <f t="shared" si="64"/>
        <v>1999</v>
      </c>
      <c r="T561" s="8">
        <v>1999</v>
      </c>
      <c r="U561" s="8">
        <f t="shared" si="65"/>
        <v>23</v>
      </c>
      <c r="V561" s="7">
        <v>36408</v>
      </c>
      <c r="W561" t="s">
        <v>162</v>
      </c>
      <c r="X561" s="2">
        <v>0.30399999999999999</v>
      </c>
      <c r="Y561" s="6">
        <f t="shared" si="66"/>
        <v>8.115106377299057E-3</v>
      </c>
      <c r="AA561">
        <v>8952477</v>
      </c>
      <c r="AB561">
        <v>12250</v>
      </c>
      <c r="AD561" t="s">
        <v>2</v>
      </c>
      <c r="AE561">
        <v>22</v>
      </c>
      <c r="AF561">
        <v>5</v>
      </c>
      <c r="AH561" t="s">
        <v>2758</v>
      </c>
      <c r="AI561" t="s">
        <v>2757</v>
      </c>
      <c r="AK561" t="s">
        <v>2756</v>
      </c>
      <c r="AL561">
        <v>60</v>
      </c>
      <c r="AM561" s="5">
        <f t="shared" si="67"/>
        <v>2.6086956521739131</v>
      </c>
      <c r="AN561" s="4">
        <f t="shared" si="68"/>
        <v>3.9510725515697282E-3</v>
      </c>
      <c r="AO561" s="3"/>
      <c r="AP561">
        <v>0</v>
      </c>
      <c r="AR561" t="s">
        <v>1</v>
      </c>
      <c r="AT561" s="2" t="s">
        <v>0</v>
      </c>
      <c r="AU561" s="1">
        <f t="shared" si="69"/>
        <v>0.68658962295802572</v>
      </c>
      <c r="AV561" s="1">
        <f t="shared" si="70"/>
        <v>0.60330894644343924</v>
      </c>
      <c r="AW561" s="1">
        <f t="shared" si="71"/>
        <v>0.52002826992885265</v>
      </c>
    </row>
    <row r="562" spans="1:49" x14ac:dyDescent="0.2">
      <c r="A562">
        <v>560</v>
      </c>
      <c r="B562" t="s">
        <v>2755</v>
      </c>
      <c r="C562" t="s">
        <v>2754</v>
      </c>
      <c r="F562" t="s">
        <v>2753</v>
      </c>
      <c r="G562" t="s">
        <v>6</v>
      </c>
      <c r="H562" t="s">
        <v>5</v>
      </c>
      <c r="I562" t="s">
        <v>2752</v>
      </c>
      <c r="J562" t="s">
        <v>2751</v>
      </c>
      <c r="K562" t="s">
        <v>2750</v>
      </c>
      <c r="L562" t="s">
        <v>2749</v>
      </c>
      <c r="M562" t="s">
        <v>461</v>
      </c>
      <c r="N562">
        <v>5</v>
      </c>
      <c r="O562" t="s">
        <v>2748</v>
      </c>
      <c r="P562" t="s">
        <v>2747</v>
      </c>
      <c r="Q562" t="s">
        <v>2746</v>
      </c>
      <c r="R562" s="7">
        <v>36408</v>
      </c>
      <c r="S562" s="8">
        <f t="shared" si="64"/>
        <v>1999</v>
      </c>
      <c r="T562" s="8">
        <v>1999</v>
      </c>
      <c r="U562" s="8">
        <f t="shared" si="65"/>
        <v>23</v>
      </c>
      <c r="V562" s="7">
        <v>36408</v>
      </c>
      <c r="W562" t="s">
        <v>162</v>
      </c>
      <c r="X562" s="2">
        <v>0.30399999999999999</v>
      </c>
      <c r="Y562" s="6">
        <f t="shared" si="66"/>
        <v>8.115106377299057E-3</v>
      </c>
      <c r="AA562">
        <v>8952477</v>
      </c>
      <c r="AB562">
        <v>12250</v>
      </c>
      <c r="AD562" t="s">
        <v>2</v>
      </c>
      <c r="AE562">
        <v>22</v>
      </c>
      <c r="AF562">
        <v>5</v>
      </c>
      <c r="AH562" t="s">
        <v>2745</v>
      </c>
      <c r="AI562" t="s">
        <v>2744</v>
      </c>
      <c r="AK562" t="s">
        <v>2743</v>
      </c>
      <c r="AL562">
        <v>2</v>
      </c>
      <c r="AM562" s="5">
        <f t="shared" si="67"/>
        <v>8.6956521739130432E-2</v>
      </c>
      <c r="AN562" s="4">
        <f t="shared" si="68"/>
        <v>1.3170241838565761E-4</v>
      </c>
      <c r="AO562" s="3"/>
      <c r="AP562">
        <v>0</v>
      </c>
      <c r="AR562" t="s">
        <v>1</v>
      </c>
      <c r="AT562" s="2" t="s">
        <v>0</v>
      </c>
      <c r="AU562" s="1">
        <f t="shared" si="69"/>
        <v>0.57200851896250371</v>
      </c>
      <c r="AV562" s="1">
        <f t="shared" si="70"/>
        <v>0.41234043978423568</v>
      </c>
      <c r="AW562" s="1">
        <f t="shared" si="71"/>
        <v>0.25267236060596776</v>
      </c>
    </row>
    <row r="563" spans="1:49" x14ac:dyDescent="0.2">
      <c r="A563">
        <v>561</v>
      </c>
      <c r="B563" t="s">
        <v>2742</v>
      </c>
      <c r="C563" t="s">
        <v>2741</v>
      </c>
      <c r="F563" t="s">
        <v>2740</v>
      </c>
      <c r="G563" t="s">
        <v>6</v>
      </c>
      <c r="H563" t="s">
        <v>5</v>
      </c>
      <c r="I563" t="s">
        <v>2739</v>
      </c>
      <c r="J563">
        <v>60014153</v>
      </c>
      <c r="K563" t="s">
        <v>130</v>
      </c>
      <c r="L563" t="s">
        <v>129</v>
      </c>
      <c r="M563" t="s">
        <v>114</v>
      </c>
      <c r="N563">
        <v>2</v>
      </c>
      <c r="O563" t="s">
        <v>2738</v>
      </c>
      <c r="P563" t="s">
        <v>2737</v>
      </c>
      <c r="Q563" t="s">
        <v>128</v>
      </c>
      <c r="R563" s="7">
        <v>36405</v>
      </c>
      <c r="S563" s="8">
        <f t="shared" si="64"/>
        <v>1999</v>
      </c>
      <c r="T563" s="8">
        <v>1999</v>
      </c>
      <c r="U563" s="8">
        <f t="shared" si="65"/>
        <v>23</v>
      </c>
      <c r="V563" s="7">
        <v>36405</v>
      </c>
      <c r="W563" t="s">
        <v>227</v>
      </c>
      <c r="X563" s="2">
        <v>0.375</v>
      </c>
      <c r="Y563" s="6">
        <f t="shared" si="66"/>
        <v>1.0010410827260351E-2</v>
      </c>
      <c r="AA563">
        <v>135194</v>
      </c>
      <c r="AB563">
        <v>24918</v>
      </c>
      <c r="AD563" t="s">
        <v>2</v>
      </c>
      <c r="AE563">
        <v>35</v>
      </c>
      <c r="AF563">
        <v>18</v>
      </c>
      <c r="AH563" t="s">
        <v>2736</v>
      </c>
      <c r="AI563" t="s">
        <v>2735</v>
      </c>
      <c r="AK563" t="s">
        <v>2734</v>
      </c>
      <c r="AL563">
        <v>3</v>
      </c>
      <c r="AM563" s="5">
        <f t="shared" si="67"/>
        <v>0.13043478260869565</v>
      </c>
      <c r="AN563" s="4">
        <f t="shared" si="68"/>
        <v>1.9755362757848641E-4</v>
      </c>
      <c r="AO563" s="3"/>
      <c r="AP563">
        <v>0</v>
      </c>
      <c r="AR563" t="s">
        <v>1</v>
      </c>
      <c r="AT563" s="2">
        <v>1.3140000000000001</v>
      </c>
      <c r="AU563" s="1">
        <f t="shared" si="69"/>
        <v>0.70665536673557916</v>
      </c>
      <c r="AV563" s="1">
        <f t="shared" si="70"/>
        <v>0.51039822274194191</v>
      </c>
      <c r="AW563" s="1">
        <f t="shared" si="71"/>
        <v>0.31414107874830455</v>
      </c>
    </row>
    <row r="564" spans="1:49" x14ac:dyDescent="0.2">
      <c r="A564">
        <v>562</v>
      </c>
      <c r="B564" t="s">
        <v>2733</v>
      </c>
      <c r="C564" t="s">
        <v>2732</v>
      </c>
      <c r="F564" t="s">
        <v>2731</v>
      </c>
      <c r="G564" t="s">
        <v>6</v>
      </c>
      <c r="H564" t="s">
        <v>5</v>
      </c>
      <c r="I564" t="s">
        <v>2730</v>
      </c>
      <c r="J564">
        <v>60009697</v>
      </c>
      <c r="K564" t="s">
        <v>250</v>
      </c>
      <c r="L564" t="s">
        <v>249</v>
      </c>
      <c r="M564" t="s">
        <v>125</v>
      </c>
      <c r="N564">
        <v>2</v>
      </c>
      <c r="O564" t="s">
        <v>2729</v>
      </c>
      <c r="P564" t="s">
        <v>2728</v>
      </c>
      <c r="Q564" t="s">
        <v>248</v>
      </c>
      <c r="R564" s="7">
        <v>36405</v>
      </c>
      <c r="S564" s="8">
        <f t="shared" si="64"/>
        <v>1999</v>
      </c>
      <c r="T564" s="8">
        <v>1999</v>
      </c>
      <c r="U564" s="8">
        <f t="shared" si="65"/>
        <v>23</v>
      </c>
      <c r="V564" s="7">
        <v>36405</v>
      </c>
      <c r="W564" t="s">
        <v>227</v>
      </c>
      <c r="X564" s="2">
        <v>0.375</v>
      </c>
      <c r="Y564" s="6">
        <f t="shared" si="66"/>
        <v>1.0010410827260351E-2</v>
      </c>
      <c r="AA564">
        <v>135194</v>
      </c>
      <c r="AB564">
        <v>24918</v>
      </c>
      <c r="AD564" t="s">
        <v>2</v>
      </c>
      <c r="AE564">
        <v>35</v>
      </c>
      <c r="AF564">
        <v>18</v>
      </c>
      <c r="AH564" t="s">
        <v>2727</v>
      </c>
      <c r="AI564" t="s">
        <v>2726</v>
      </c>
      <c r="AK564" t="s">
        <v>2725</v>
      </c>
      <c r="AL564">
        <v>0</v>
      </c>
      <c r="AM564" s="5">
        <f t="shared" si="67"/>
        <v>0</v>
      </c>
      <c r="AN564" s="4">
        <f t="shared" si="68"/>
        <v>0</v>
      </c>
      <c r="AO564" s="3"/>
      <c r="AP564">
        <v>0</v>
      </c>
      <c r="AR564" t="s">
        <v>1</v>
      </c>
      <c r="AT564" s="2">
        <v>1.3140000000000001</v>
      </c>
      <c r="AU564" s="1">
        <f t="shared" si="69"/>
        <v>0.70072875790822453</v>
      </c>
      <c r="AV564" s="1">
        <f t="shared" si="70"/>
        <v>0.5005205413630176</v>
      </c>
      <c r="AW564" s="1">
        <f t="shared" si="71"/>
        <v>0.30031232481781051</v>
      </c>
    </row>
    <row r="565" spans="1:49" x14ac:dyDescent="0.2">
      <c r="A565">
        <v>563</v>
      </c>
      <c r="B565" t="s">
        <v>2724</v>
      </c>
      <c r="F565" t="s">
        <v>2723</v>
      </c>
      <c r="G565" t="s">
        <v>6</v>
      </c>
      <c r="H565" t="s">
        <v>5</v>
      </c>
      <c r="I565" t="s">
        <v>2722</v>
      </c>
      <c r="J565" t="s">
        <v>2721</v>
      </c>
      <c r="K565" t="s">
        <v>2720</v>
      </c>
      <c r="L565" t="s">
        <v>2719</v>
      </c>
      <c r="M565" t="s">
        <v>40</v>
      </c>
      <c r="N565">
        <v>4</v>
      </c>
      <c r="O565" t="s">
        <v>2718</v>
      </c>
      <c r="P565" t="s">
        <v>2717</v>
      </c>
      <c r="Q565" t="s">
        <v>2716</v>
      </c>
      <c r="R565" s="7">
        <v>36405</v>
      </c>
      <c r="S565" s="8">
        <f t="shared" si="64"/>
        <v>1999</v>
      </c>
      <c r="T565" s="8">
        <v>1999</v>
      </c>
      <c r="U565" s="8">
        <f t="shared" si="65"/>
        <v>23</v>
      </c>
      <c r="V565" s="7">
        <v>36405</v>
      </c>
      <c r="W565" t="s">
        <v>647</v>
      </c>
      <c r="X565" s="2">
        <v>0.86399999999999999</v>
      </c>
      <c r="Y565" s="6">
        <f t="shared" si="66"/>
        <v>2.3063986546007848E-2</v>
      </c>
      <c r="AA565">
        <v>10895647</v>
      </c>
      <c r="AB565">
        <v>26970</v>
      </c>
      <c r="AD565" t="s">
        <v>2</v>
      </c>
      <c r="AE565">
        <v>103</v>
      </c>
      <c r="AF565">
        <v>35</v>
      </c>
      <c r="AH565" t="s">
        <v>2715</v>
      </c>
      <c r="AI565" t="s">
        <v>2714</v>
      </c>
      <c r="AK565" t="s">
        <v>2713</v>
      </c>
      <c r="AL565">
        <v>17</v>
      </c>
      <c r="AM565" s="5">
        <f t="shared" si="67"/>
        <v>0.73913043478260865</v>
      </c>
      <c r="AN565" s="4">
        <f t="shared" si="68"/>
        <v>1.1194705562780896E-3</v>
      </c>
      <c r="AO565" s="3"/>
      <c r="AP565">
        <v>0</v>
      </c>
      <c r="AR565" t="s">
        <v>1</v>
      </c>
      <c r="AT565" s="2">
        <v>2.9910000000000001</v>
      </c>
      <c r="AU565" s="1">
        <f t="shared" si="69"/>
        <v>1.6480631749088919</v>
      </c>
      <c r="AV565" s="1">
        <f t="shared" si="70"/>
        <v>1.2091728551142968</v>
      </c>
      <c r="AW565" s="1">
        <f t="shared" si="71"/>
        <v>0.7702825353197017</v>
      </c>
    </row>
    <row r="566" spans="1:49" x14ac:dyDescent="0.2">
      <c r="A566">
        <v>564</v>
      </c>
      <c r="B566" t="s">
        <v>2712</v>
      </c>
      <c r="C566" t="s">
        <v>2711</v>
      </c>
      <c r="F566" t="s">
        <v>2710</v>
      </c>
      <c r="G566" t="s">
        <v>6</v>
      </c>
      <c r="H566" t="s">
        <v>5</v>
      </c>
      <c r="I566" t="s">
        <v>2709</v>
      </c>
      <c r="J566">
        <v>120999632</v>
      </c>
      <c r="K566" t="s">
        <v>2708</v>
      </c>
      <c r="L566" t="s">
        <v>2707</v>
      </c>
      <c r="M566" t="s">
        <v>127</v>
      </c>
      <c r="N566">
        <v>3</v>
      </c>
      <c r="O566" t="s">
        <v>2706</v>
      </c>
      <c r="P566" t="s">
        <v>2705</v>
      </c>
      <c r="Q566" t="s">
        <v>2704</v>
      </c>
      <c r="R566" s="7">
        <v>36404</v>
      </c>
      <c r="S566" s="8">
        <f t="shared" si="64"/>
        <v>1999</v>
      </c>
      <c r="T566" s="8">
        <v>1999</v>
      </c>
      <c r="U566" s="8">
        <f t="shared" si="65"/>
        <v>23</v>
      </c>
      <c r="V566" s="7">
        <v>36404</v>
      </c>
      <c r="W566" t="s">
        <v>644</v>
      </c>
      <c r="X566" s="2">
        <v>0.318</v>
      </c>
      <c r="Y566" s="6">
        <f t="shared" si="66"/>
        <v>8.4888283815167786E-3</v>
      </c>
      <c r="AA566">
        <v>338443</v>
      </c>
      <c r="AB566">
        <v>27160</v>
      </c>
      <c r="AC566">
        <v>15739120</v>
      </c>
      <c r="AD566" t="s">
        <v>2</v>
      </c>
      <c r="AE566">
        <v>42</v>
      </c>
      <c r="AF566">
        <v>9</v>
      </c>
      <c r="AH566" t="s">
        <v>2703</v>
      </c>
      <c r="AI566" t="s">
        <v>2702</v>
      </c>
      <c r="AK566" t="s">
        <v>2701</v>
      </c>
      <c r="AL566">
        <v>0</v>
      </c>
      <c r="AM566" s="5">
        <f t="shared" si="67"/>
        <v>0</v>
      </c>
      <c r="AN566" s="4">
        <f t="shared" si="68"/>
        <v>0</v>
      </c>
      <c r="AO566" s="3"/>
      <c r="AP566">
        <v>0</v>
      </c>
      <c r="AR566" t="s">
        <v>1</v>
      </c>
      <c r="AT566" s="2">
        <v>0.77</v>
      </c>
      <c r="AU566" s="1">
        <f t="shared" si="69"/>
        <v>0.59421798670617454</v>
      </c>
      <c r="AV566" s="1">
        <f t="shared" si="70"/>
        <v>0.42444141907583893</v>
      </c>
      <c r="AW566" s="1">
        <f t="shared" si="71"/>
        <v>0.25466485144550338</v>
      </c>
    </row>
    <row r="567" spans="1:49" x14ac:dyDescent="0.2">
      <c r="A567">
        <v>565</v>
      </c>
      <c r="B567" t="s">
        <v>2700</v>
      </c>
      <c r="C567" t="s">
        <v>2699</v>
      </c>
      <c r="F567" t="s">
        <v>2698</v>
      </c>
      <c r="G567" t="s">
        <v>6</v>
      </c>
      <c r="H567" t="s">
        <v>5</v>
      </c>
      <c r="I567" t="s">
        <v>2697</v>
      </c>
      <c r="J567">
        <v>60115148</v>
      </c>
      <c r="K567" t="s">
        <v>690</v>
      </c>
      <c r="L567" t="s">
        <v>689</v>
      </c>
      <c r="M567" t="s">
        <v>127</v>
      </c>
      <c r="N567">
        <v>2</v>
      </c>
      <c r="O567" t="s">
        <v>2696</v>
      </c>
      <c r="P567" t="s">
        <v>2695</v>
      </c>
      <c r="Q567" t="s">
        <v>688</v>
      </c>
      <c r="R567" s="7">
        <v>36404</v>
      </c>
      <c r="S567" s="8">
        <f t="shared" si="64"/>
        <v>1999</v>
      </c>
      <c r="T567" s="8">
        <v>1999</v>
      </c>
      <c r="U567" s="8">
        <f t="shared" si="65"/>
        <v>23</v>
      </c>
      <c r="V567" s="7">
        <v>36404</v>
      </c>
      <c r="W567" t="s">
        <v>644</v>
      </c>
      <c r="X567" s="2">
        <v>0.318</v>
      </c>
      <c r="Y567" s="6">
        <f t="shared" si="66"/>
        <v>8.4888283815167786E-3</v>
      </c>
      <c r="AA567">
        <v>338443</v>
      </c>
      <c r="AB567">
        <v>27160</v>
      </c>
      <c r="AC567">
        <v>15739120</v>
      </c>
      <c r="AD567" t="s">
        <v>2</v>
      </c>
      <c r="AE567">
        <v>42</v>
      </c>
      <c r="AF567">
        <v>9</v>
      </c>
      <c r="AH567" t="s">
        <v>2694</v>
      </c>
      <c r="AI567" t="s">
        <v>2693</v>
      </c>
      <c r="AK567" t="s">
        <v>2692</v>
      </c>
      <c r="AL567">
        <v>0</v>
      </c>
      <c r="AM567" s="5">
        <f t="shared" si="67"/>
        <v>0</v>
      </c>
      <c r="AN567" s="4">
        <f t="shared" si="68"/>
        <v>0</v>
      </c>
      <c r="AO567" s="3"/>
      <c r="AP567">
        <v>0</v>
      </c>
      <c r="AQ567" t="s">
        <v>643</v>
      </c>
      <c r="AR567" t="s">
        <v>2691</v>
      </c>
      <c r="AS567" t="s">
        <v>431</v>
      </c>
      <c r="AT567" s="2">
        <v>0.77</v>
      </c>
      <c r="AU567" s="1">
        <f t="shared" si="69"/>
        <v>0.59421798670617454</v>
      </c>
      <c r="AV567" s="1">
        <f t="shared" si="70"/>
        <v>0.42444141907583893</v>
      </c>
      <c r="AW567" s="1">
        <f t="shared" si="71"/>
        <v>0.25466485144550338</v>
      </c>
    </row>
    <row r="568" spans="1:49" x14ac:dyDescent="0.2">
      <c r="A568">
        <v>566</v>
      </c>
      <c r="B568" t="s">
        <v>2690</v>
      </c>
      <c r="C568" t="s">
        <v>2689</v>
      </c>
      <c r="F568" t="s">
        <v>2688</v>
      </c>
      <c r="G568" t="s">
        <v>6</v>
      </c>
      <c r="H568" t="s">
        <v>5</v>
      </c>
      <c r="I568" t="s">
        <v>2687</v>
      </c>
      <c r="J568" t="s">
        <v>2686</v>
      </c>
      <c r="K568" t="s">
        <v>2685</v>
      </c>
      <c r="L568" t="s">
        <v>2684</v>
      </c>
      <c r="M568" t="s">
        <v>475</v>
      </c>
      <c r="N568">
        <v>2</v>
      </c>
      <c r="O568" t="s">
        <v>2683</v>
      </c>
      <c r="P568" t="s">
        <v>215</v>
      </c>
      <c r="Q568" t="s">
        <v>2682</v>
      </c>
      <c r="R568" s="7">
        <v>36404</v>
      </c>
      <c r="S568" s="8">
        <f t="shared" si="64"/>
        <v>1999</v>
      </c>
      <c r="T568" s="8">
        <v>1999</v>
      </c>
      <c r="U568" s="8">
        <f t="shared" si="65"/>
        <v>23</v>
      </c>
      <c r="V568" s="7">
        <v>36404</v>
      </c>
      <c r="W568" t="s">
        <v>644</v>
      </c>
      <c r="X568" s="2">
        <v>0.318</v>
      </c>
      <c r="Y568" s="6">
        <f t="shared" si="66"/>
        <v>8.4888283815167786E-3</v>
      </c>
      <c r="AA568">
        <v>338443</v>
      </c>
      <c r="AB568">
        <v>27160</v>
      </c>
      <c r="AC568">
        <v>15739120</v>
      </c>
      <c r="AD568" t="s">
        <v>2</v>
      </c>
      <c r="AE568">
        <v>42</v>
      </c>
      <c r="AF568">
        <v>9</v>
      </c>
      <c r="AH568" t="s">
        <v>2681</v>
      </c>
      <c r="AI568" t="s">
        <v>2680</v>
      </c>
      <c r="AK568" t="s">
        <v>2679</v>
      </c>
      <c r="AL568">
        <v>2</v>
      </c>
      <c r="AM568" s="5">
        <f t="shared" si="67"/>
        <v>8.6956521739130432E-2</v>
      </c>
      <c r="AN568" s="4">
        <f t="shared" si="68"/>
        <v>1.3170241838565761E-4</v>
      </c>
      <c r="AO568" s="3"/>
      <c r="AP568">
        <v>0</v>
      </c>
      <c r="AQ568" t="s">
        <v>643</v>
      </c>
      <c r="AR568" t="s">
        <v>2678</v>
      </c>
      <c r="AS568" t="s">
        <v>431</v>
      </c>
      <c r="AT568" s="2">
        <v>0.77</v>
      </c>
      <c r="AU568" s="1">
        <f t="shared" si="69"/>
        <v>0.59816905925774422</v>
      </c>
      <c r="AV568" s="1">
        <f t="shared" si="70"/>
        <v>0.43102653999512175</v>
      </c>
      <c r="AW568" s="1">
        <f t="shared" si="71"/>
        <v>0.26388402073249939</v>
      </c>
    </row>
    <row r="569" spans="1:49" x14ac:dyDescent="0.2">
      <c r="A569">
        <v>567</v>
      </c>
      <c r="B569" t="s">
        <v>2677</v>
      </c>
      <c r="D569" t="s">
        <v>2676</v>
      </c>
      <c r="F569" t="s">
        <v>2675</v>
      </c>
      <c r="G569" t="s">
        <v>6</v>
      </c>
      <c r="H569" t="s">
        <v>5</v>
      </c>
      <c r="I569" t="s">
        <v>2674</v>
      </c>
      <c r="J569">
        <v>60029241</v>
      </c>
      <c r="K569" t="s">
        <v>2673</v>
      </c>
      <c r="L569" t="s">
        <v>2672</v>
      </c>
      <c r="M569" t="s">
        <v>3</v>
      </c>
      <c r="N569">
        <v>2</v>
      </c>
      <c r="O569" t="s">
        <v>2671</v>
      </c>
      <c r="P569" t="s">
        <v>2670</v>
      </c>
      <c r="Q569" t="s">
        <v>2669</v>
      </c>
      <c r="R569" s="7">
        <v>36404</v>
      </c>
      <c r="S569" s="8">
        <f t="shared" si="64"/>
        <v>1999</v>
      </c>
      <c r="T569" s="8">
        <v>1999</v>
      </c>
      <c r="U569" s="8">
        <f t="shared" si="65"/>
        <v>23</v>
      </c>
      <c r="V569" s="7">
        <v>36404</v>
      </c>
      <c r="W569" t="s">
        <v>190</v>
      </c>
      <c r="X569" s="2">
        <v>1.6379999999999999</v>
      </c>
      <c r="Y569" s="6">
        <f t="shared" si="66"/>
        <v>4.3725474493473214E-2</v>
      </c>
      <c r="AA569" t="s">
        <v>189</v>
      </c>
      <c r="AB569">
        <v>17391</v>
      </c>
      <c r="AD569" t="s">
        <v>2</v>
      </c>
      <c r="AE569">
        <v>47</v>
      </c>
      <c r="AF569">
        <v>9</v>
      </c>
      <c r="AH569">
        <v>2619</v>
      </c>
      <c r="AI569" t="s">
        <v>2668</v>
      </c>
      <c r="AK569" t="s">
        <v>2667</v>
      </c>
      <c r="AL569">
        <v>0</v>
      </c>
      <c r="AM569" s="5">
        <f t="shared" si="67"/>
        <v>0</v>
      </c>
      <c r="AN569" s="4">
        <f t="shared" si="68"/>
        <v>0</v>
      </c>
      <c r="AO569" s="3"/>
      <c r="AP569">
        <v>0</v>
      </c>
      <c r="AR569" t="s">
        <v>1</v>
      </c>
      <c r="AT569" s="2">
        <v>4.931</v>
      </c>
      <c r="AU569" s="1">
        <f t="shared" si="69"/>
        <v>3.0607832145431249</v>
      </c>
      <c r="AV569" s="1">
        <f t="shared" si="70"/>
        <v>2.1862737246736605</v>
      </c>
      <c r="AW569" s="1">
        <f t="shared" si="71"/>
        <v>1.3117642348041965</v>
      </c>
    </row>
    <row r="570" spans="1:49" x14ac:dyDescent="0.2">
      <c r="A570">
        <v>568</v>
      </c>
      <c r="B570" t="s">
        <v>2666</v>
      </c>
      <c r="F570" t="s">
        <v>2665</v>
      </c>
      <c r="G570" t="s">
        <v>6</v>
      </c>
      <c r="H570" t="s">
        <v>5</v>
      </c>
      <c r="I570" t="s">
        <v>2664</v>
      </c>
      <c r="N570">
        <v>3</v>
      </c>
      <c r="O570" t="s">
        <v>2663</v>
      </c>
      <c r="P570" t="s">
        <v>2662</v>
      </c>
      <c r="Q570" t="s">
        <v>503</v>
      </c>
      <c r="R570" s="7">
        <v>36404</v>
      </c>
      <c r="S570" s="8">
        <f t="shared" si="64"/>
        <v>1999</v>
      </c>
      <c r="T570" s="8">
        <v>1999</v>
      </c>
      <c r="U570" s="8">
        <f t="shared" si="65"/>
        <v>23</v>
      </c>
      <c r="V570" s="7">
        <v>36404</v>
      </c>
      <c r="W570" t="s">
        <v>2661</v>
      </c>
      <c r="X570" s="2">
        <v>0.14099999999999999</v>
      </c>
      <c r="Y570" s="6">
        <f t="shared" si="66"/>
        <v>3.7639144710498915E-3</v>
      </c>
      <c r="AA570">
        <v>7252986</v>
      </c>
      <c r="AB570">
        <v>18037</v>
      </c>
      <c r="AD570" t="s">
        <v>2</v>
      </c>
      <c r="AE570">
        <v>19</v>
      </c>
      <c r="AF570">
        <v>3</v>
      </c>
      <c r="AH570" t="s">
        <v>2660</v>
      </c>
      <c r="AI570" t="s">
        <v>2659</v>
      </c>
      <c r="AK570" t="s">
        <v>2658</v>
      </c>
      <c r="AL570">
        <v>4</v>
      </c>
      <c r="AM570" s="5">
        <f t="shared" si="67"/>
        <v>0.17391304347826086</v>
      </c>
      <c r="AN570" s="4">
        <f t="shared" si="68"/>
        <v>2.6340483677131523E-4</v>
      </c>
      <c r="AO570" s="3"/>
      <c r="AP570">
        <v>0</v>
      </c>
      <c r="AR570" t="s">
        <v>1</v>
      </c>
      <c r="AT570" s="2" t="s">
        <v>0</v>
      </c>
      <c r="AU570" s="1">
        <f t="shared" si="69"/>
        <v>0.27137615807663179</v>
      </c>
      <c r="AV570" s="1">
        <f t="shared" si="70"/>
        <v>0.20136596539106033</v>
      </c>
      <c r="AW570" s="1">
        <f t="shared" si="71"/>
        <v>0.13135577270548879</v>
      </c>
    </row>
    <row r="571" spans="1:49" x14ac:dyDescent="0.2">
      <c r="A571">
        <v>569</v>
      </c>
      <c r="B571" t="s">
        <v>2657</v>
      </c>
      <c r="C571" t="s">
        <v>2656</v>
      </c>
      <c r="F571" t="s">
        <v>2655</v>
      </c>
      <c r="G571" t="s">
        <v>6</v>
      </c>
      <c r="H571" t="s">
        <v>5</v>
      </c>
      <c r="I571" t="s">
        <v>2654</v>
      </c>
      <c r="J571" t="s">
        <v>2653</v>
      </c>
      <c r="K571" t="s">
        <v>2652</v>
      </c>
      <c r="L571" t="s">
        <v>2651</v>
      </c>
      <c r="M571" t="s">
        <v>2650</v>
      </c>
      <c r="N571">
        <v>3</v>
      </c>
      <c r="O571" t="s">
        <v>2649</v>
      </c>
      <c r="P571" t="s">
        <v>2648</v>
      </c>
      <c r="Q571" t="s">
        <v>2647</v>
      </c>
      <c r="R571" s="7">
        <v>36404</v>
      </c>
      <c r="S571" s="8">
        <f t="shared" si="64"/>
        <v>1999</v>
      </c>
      <c r="T571" s="8">
        <v>1999</v>
      </c>
      <c r="U571" s="8">
        <f t="shared" si="65"/>
        <v>23</v>
      </c>
      <c r="V571" s="7">
        <v>36404</v>
      </c>
      <c r="W571" t="s">
        <v>382</v>
      </c>
      <c r="X571" s="2">
        <v>0.33800000000000002</v>
      </c>
      <c r="Y571" s="6">
        <f t="shared" si="66"/>
        <v>9.0227169589706634E-3</v>
      </c>
      <c r="AA571">
        <v>7372884</v>
      </c>
      <c r="AB571">
        <v>70506</v>
      </c>
      <c r="AD571" t="s">
        <v>2</v>
      </c>
      <c r="AE571">
        <v>17</v>
      </c>
      <c r="AF571">
        <v>5</v>
      </c>
      <c r="AH571" t="s">
        <v>2646</v>
      </c>
      <c r="AI571" t="s">
        <v>2645</v>
      </c>
      <c r="AK571" t="s">
        <v>2644</v>
      </c>
      <c r="AL571">
        <v>8</v>
      </c>
      <c r="AM571" s="5">
        <f t="shared" si="67"/>
        <v>0.34782608695652173</v>
      </c>
      <c r="AN571" s="4">
        <f t="shared" si="68"/>
        <v>5.2680967354263046E-4</v>
      </c>
      <c r="AO571" s="3"/>
      <c r="AP571">
        <v>0</v>
      </c>
      <c r="AR571" t="s">
        <v>1</v>
      </c>
      <c r="AT571" s="2" t="s">
        <v>0</v>
      </c>
      <c r="AU571" s="1">
        <f t="shared" si="69"/>
        <v>0.64739447733422528</v>
      </c>
      <c r="AV571" s="1">
        <f t="shared" si="70"/>
        <v>0.47747633162566472</v>
      </c>
      <c r="AW571" s="1">
        <f t="shared" si="71"/>
        <v>0.30755818591710404</v>
      </c>
    </row>
    <row r="572" spans="1:49" x14ac:dyDescent="0.2">
      <c r="A572">
        <v>570</v>
      </c>
      <c r="B572" t="s">
        <v>2643</v>
      </c>
      <c r="F572" t="s">
        <v>2642</v>
      </c>
      <c r="G572" t="s">
        <v>6</v>
      </c>
      <c r="H572" t="s">
        <v>5</v>
      </c>
      <c r="I572" t="s">
        <v>2641</v>
      </c>
      <c r="N572">
        <v>3</v>
      </c>
      <c r="O572" t="s">
        <v>2640</v>
      </c>
      <c r="P572" t="s">
        <v>2639</v>
      </c>
      <c r="Q572" t="s">
        <v>503</v>
      </c>
      <c r="R572" s="7">
        <v>36404</v>
      </c>
      <c r="S572" s="8">
        <f t="shared" si="64"/>
        <v>1999</v>
      </c>
      <c r="T572" s="8">
        <v>1999</v>
      </c>
      <c r="U572" s="8">
        <f t="shared" si="65"/>
        <v>23</v>
      </c>
      <c r="V572" s="7">
        <v>36404</v>
      </c>
      <c r="W572" t="s">
        <v>2638</v>
      </c>
      <c r="X572" s="2">
        <v>0.104</v>
      </c>
      <c r="Y572" s="6">
        <f t="shared" si="66"/>
        <v>2.776220602760204E-3</v>
      </c>
      <c r="AA572">
        <v>13423819</v>
      </c>
      <c r="AB572">
        <v>19148</v>
      </c>
      <c r="AD572" t="s">
        <v>2</v>
      </c>
      <c r="AE572">
        <v>4</v>
      </c>
      <c r="AF572">
        <v>2</v>
      </c>
      <c r="AH572" t="s">
        <v>2637</v>
      </c>
      <c r="AI572" t="s">
        <v>2636</v>
      </c>
      <c r="AK572" t="s">
        <v>2635</v>
      </c>
      <c r="AL572">
        <v>1</v>
      </c>
      <c r="AM572" s="5">
        <f t="shared" si="67"/>
        <v>4.3478260869565216E-2</v>
      </c>
      <c r="AN572" s="4">
        <f t="shared" si="68"/>
        <v>6.5851209192828807E-5</v>
      </c>
      <c r="AO572" s="3"/>
      <c r="AP572">
        <v>0</v>
      </c>
      <c r="AR572" t="s">
        <v>1</v>
      </c>
      <c r="AT572" s="2" t="s">
        <v>0</v>
      </c>
      <c r="AU572" s="1">
        <f t="shared" si="69"/>
        <v>0.19631097846899911</v>
      </c>
      <c r="AV572" s="1">
        <f t="shared" si="70"/>
        <v>0.14210359059765165</v>
      </c>
      <c r="AW572" s="1">
        <f t="shared" si="71"/>
        <v>8.7896202726304135E-2</v>
      </c>
    </row>
    <row r="573" spans="1:49" x14ac:dyDescent="0.2">
      <c r="A573">
        <v>571</v>
      </c>
      <c r="B573" t="s">
        <v>2634</v>
      </c>
      <c r="C573" t="s">
        <v>2633</v>
      </c>
      <c r="F573" t="s">
        <v>2632</v>
      </c>
      <c r="G573" t="s">
        <v>6</v>
      </c>
      <c r="H573" t="s">
        <v>5</v>
      </c>
      <c r="I573" t="s">
        <v>2631</v>
      </c>
      <c r="J573" t="s">
        <v>2630</v>
      </c>
      <c r="K573" t="s">
        <v>2629</v>
      </c>
      <c r="L573" t="s">
        <v>2628</v>
      </c>
      <c r="M573" t="s">
        <v>335</v>
      </c>
      <c r="N573">
        <v>3</v>
      </c>
      <c r="O573" t="s">
        <v>2627</v>
      </c>
      <c r="P573" t="s">
        <v>2626</v>
      </c>
      <c r="Q573" t="s">
        <v>2625</v>
      </c>
      <c r="R573" s="7">
        <v>36404</v>
      </c>
      <c r="S573" s="8">
        <f t="shared" si="64"/>
        <v>1999</v>
      </c>
      <c r="T573" s="8">
        <v>1999</v>
      </c>
      <c r="U573" s="8">
        <f t="shared" si="65"/>
        <v>23</v>
      </c>
      <c r="V573" s="7">
        <v>36404</v>
      </c>
      <c r="W573" t="s">
        <v>2624</v>
      </c>
      <c r="X573" s="2">
        <v>1.131</v>
      </c>
      <c r="Y573" s="6">
        <f t="shared" si="66"/>
        <v>3.0191399055017221E-2</v>
      </c>
      <c r="AA573" t="s">
        <v>2623</v>
      </c>
      <c r="AB573">
        <v>26023</v>
      </c>
      <c r="AD573" t="s">
        <v>2</v>
      </c>
      <c r="AE573">
        <v>5</v>
      </c>
      <c r="AF573">
        <v>5</v>
      </c>
      <c r="AH573" t="s">
        <v>2622</v>
      </c>
      <c r="AI573" t="s">
        <v>2621</v>
      </c>
      <c r="AK573" t="s">
        <v>2620</v>
      </c>
      <c r="AL573">
        <v>32</v>
      </c>
      <c r="AM573" s="5">
        <f t="shared" si="67"/>
        <v>1.3913043478260869</v>
      </c>
      <c r="AN573" s="4">
        <f t="shared" si="68"/>
        <v>2.1072386941705218E-3</v>
      </c>
      <c r="AO573" s="3"/>
      <c r="AP573">
        <v>0</v>
      </c>
      <c r="AR573" t="s">
        <v>1</v>
      </c>
      <c r="AT573" s="2" t="s">
        <v>0</v>
      </c>
      <c r="AU573" s="1">
        <f t="shared" si="69"/>
        <v>2.176615094676321</v>
      </c>
      <c r="AV573" s="1">
        <f t="shared" si="70"/>
        <v>1.6149318874593872</v>
      </c>
      <c r="AW573" s="1">
        <f t="shared" si="71"/>
        <v>1.0532486802424532</v>
      </c>
    </row>
    <row r="574" spans="1:49" x14ac:dyDescent="0.2">
      <c r="A574">
        <v>572</v>
      </c>
      <c r="B574" t="s">
        <v>2619</v>
      </c>
      <c r="F574" t="s">
        <v>2618</v>
      </c>
      <c r="G574" t="s">
        <v>6</v>
      </c>
      <c r="H574" t="s">
        <v>5</v>
      </c>
      <c r="I574" t="s">
        <v>2617</v>
      </c>
      <c r="J574" t="s">
        <v>2616</v>
      </c>
      <c r="K574" t="s">
        <v>2615</v>
      </c>
      <c r="L574" t="s">
        <v>476</v>
      </c>
      <c r="M574" t="s">
        <v>475</v>
      </c>
      <c r="N574">
        <v>3</v>
      </c>
      <c r="O574" t="s">
        <v>2614</v>
      </c>
      <c r="P574" t="s">
        <v>2613</v>
      </c>
      <c r="Q574" t="s">
        <v>2612</v>
      </c>
      <c r="R574" s="7">
        <v>36404</v>
      </c>
      <c r="S574" s="8">
        <f t="shared" si="64"/>
        <v>1999</v>
      </c>
      <c r="T574" s="8">
        <v>1999</v>
      </c>
      <c r="U574" s="8">
        <f t="shared" si="65"/>
        <v>23</v>
      </c>
      <c r="V574" s="7">
        <v>36404</v>
      </c>
      <c r="W574" t="s">
        <v>801</v>
      </c>
      <c r="X574" s="2">
        <v>0.36699999999999999</v>
      </c>
      <c r="Y574" s="6">
        <f t="shared" si="66"/>
        <v>9.7968553962787964E-3</v>
      </c>
      <c r="AA574">
        <v>10283358</v>
      </c>
      <c r="AB574">
        <v>27502</v>
      </c>
      <c r="AD574" t="s">
        <v>2</v>
      </c>
      <c r="AE574">
        <v>44</v>
      </c>
      <c r="AF574">
        <v>9</v>
      </c>
      <c r="AH574" t="s">
        <v>2611</v>
      </c>
      <c r="AL574">
        <v>3</v>
      </c>
      <c r="AM574" s="5">
        <f t="shared" si="67"/>
        <v>0.13043478260869565</v>
      </c>
      <c r="AN574" s="4">
        <f t="shared" si="68"/>
        <v>1.9755362757848641E-4</v>
      </c>
      <c r="AO574" s="3"/>
      <c r="AP574">
        <v>0</v>
      </c>
      <c r="AR574" t="s">
        <v>1</v>
      </c>
      <c r="AT574" s="2">
        <v>0.67900000000000005</v>
      </c>
      <c r="AU574" s="1">
        <f t="shared" si="69"/>
        <v>0.69170648656687028</v>
      </c>
      <c r="AV574" s="1">
        <f t="shared" si="70"/>
        <v>0.49972045119286418</v>
      </c>
      <c r="AW574" s="1">
        <f t="shared" si="71"/>
        <v>0.30773441581885796</v>
      </c>
    </row>
    <row r="575" spans="1:49" x14ac:dyDescent="0.2">
      <c r="A575">
        <v>573</v>
      </c>
      <c r="B575" t="s">
        <v>2610</v>
      </c>
      <c r="F575" t="s">
        <v>2609</v>
      </c>
      <c r="G575" t="s">
        <v>6</v>
      </c>
      <c r="H575" t="s">
        <v>5</v>
      </c>
      <c r="I575" t="s">
        <v>2608</v>
      </c>
      <c r="N575">
        <v>3</v>
      </c>
      <c r="O575" t="s">
        <v>2607</v>
      </c>
      <c r="P575" t="s">
        <v>2606</v>
      </c>
      <c r="Q575" t="s">
        <v>503</v>
      </c>
      <c r="R575" s="7">
        <v>36404</v>
      </c>
      <c r="S575" s="8">
        <f t="shared" si="64"/>
        <v>1999</v>
      </c>
      <c r="T575" s="8">
        <v>1999</v>
      </c>
      <c r="U575" s="8">
        <f t="shared" si="65"/>
        <v>23</v>
      </c>
      <c r="V575" s="7">
        <v>36404</v>
      </c>
      <c r="W575" t="s">
        <v>1135</v>
      </c>
      <c r="X575" s="2">
        <v>0.371</v>
      </c>
      <c r="Y575" s="6">
        <f t="shared" si="66"/>
        <v>9.9036331117695747E-3</v>
      </c>
      <c r="AA575">
        <v>10618309</v>
      </c>
      <c r="AB575">
        <v>17903</v>
      </c>
      <c r="AD575" t="s">
        <v>2</v>
      </c>
      <c r="AE575">
        <v>35</v>
      </c>
      <c r="AF575">
        <v>9</v>
      </c>
      <c r="AH575" t="s">
        <v>2605</v>
      </c>
      <c r="AI575" t="s">
        <v>2604</v>
      </c>
      <c r="AK575" t="s">
        <v>2603</v>
      </c>
      <c r="AL575">
        <v>1</v>
      </c>
      <c r="AM575" s="5">
        <f t="shared" si="67"/>
        <v>4.3478260869565216E-2</v>
      </c>
      <c r="AN575" s="4">
        <f t="shared" si="68"/>
        <v>6.5851209192828807E-5</v>
      </c>
      <c r="AO575" s="3"/>
      <c r="AP575">
        <v>0</v>
      </c>
      <c r="AR575" t="s">
        <v>1</v>
      </c>
      <c r="AT575" s="2" t="s">
        <v>0</v>
      </c>
      <c r="AU575" s="1">
        <f t="shared" si="69"/>
        <v>0.6952298540996551</v>
      </c>
      <c r="AV575" s="1">
        <f t="shared" si="70"/>
        <v>0.49847421604812014</v>
      </c>
      <c r="AW575" s="1">
        <f t="shared" si="71"/>
        <v>0.30171857799658525</v>
      </c>
    </row>
    <row r="576" spans="1:49" x14ac:dyDescent="0.2">
      <c r="A576">
        <v>574</v>
      </c>
      <c r="B576" t="s">
        <v>2602</v>
      </c>
      <c r="C576" t="s">
        <v>2601</v>
      </c>
      <c r="E576">
        <v>10460253</v>
      </c>
      <c r="F576" t="s">
        <v>2600</v>
      </c>
      <c r="G576" t="s">
        <v>6</v>
      </c>
      <c r="H576" t="s">
        <v>5</v>
      </c>
      <c r="I576" t="s">
        <v>2599</v>
      </c>
      <c r="J576" t="s">
        <v>2598</v>
      </c>
      <c r="K576" t="s">
        <v>2597</v>
      </c>
      <c r="L576" t="s">
        <v>2596</v>
      </c>
      <c r="M576" t="s">
        <v>261</v>
      </c>
      <c r="N576">
        <v>11</v>
      </c>
      <c r="O576" t="s">
        <v>2595</v>
      </c>
      <c r="P576" t="s">
        <v>2594</v>
      </c>
      <c r="Q576" t="s">
        <v>2593</v>
      </c>
      <c r="R576" s="7">
        <v>36404</v>
      </c>
      <c r="S576" s="8">
        <f t="shared" si="64"/>
        <v>1999</v>
      </c>
      <c r="T576" s="8">
        <v>1999</v>
      </c>
      <c r="U576" s="8">
        <f t="shared" si="65"/>
        <v>23</v>
      </c>
      <c r="V576" s="7">
        <v>36404</v>
      </c>
      <c r="W576" t="s">
        <v>466</v>
      </c>
      <c r="X576" s="2">
        <v>3.4830000000000001</v>
      </c>
      <c r="Y576" s="6">
        <f t="shared" si="66"/>
        <v>9.2976695763594144E-2</v>
      </c>
      <c r="AA576">
        <v>2706474</v>
      </c>
      <c r="AB576">
        <v>16764</v>
      </c>
      <c r="AD576" t="s">
        <v>2</v>
      </c>
      <c r="AE576">
        <v>19</v>
      </c>
      <c r="AF576">
        <v>17</v>
      </c>
      <c r="AH576" t="s">
        <v>2592</v>
      </c>
      <c r="AI576" t="s">
        <v>2591</v>
      </c>
      <c r="AJ576" t="s">
        <v>2590</v>
      </c>
      <c r="AK576" t="s">
        <v>2589</v>
      </c>
      <c r="AL576">
        <v>97</v>
      </c>
      <c r="AM576" s="5">
        <f t="shared" si="67"/>
        <v>4.2173913043478262</v>
      </c>
      <c r="AN576" s="4">
        <f t="shared" si="68"/>
        <v>6.3875672917043944E-3</v>
      </c>
      <c r="AO576" s="3"/>
      <c r="AP576">
        <v>1</v>
      </c>
      <c r="AR576" t="s">
        <v>1</v>
      </c>
      <c r="AT576" s="2">
        <v>6.1669999999999998</v>
      </c>
      <c r="AU576" s="1">
        <f t="shared" si="69"/>
        <v>6.6999957222027211</v>
      </c>
      <c r="AV576" s="1">
        <f t="shared" si="70"/>
        <v>4.9682131527649265</v>
      </c>
      <c r="AW576" s="1">
        <f t="shared" si="71"/>
        <v>3.2364305833271314</v>
      </c>
    </row>
    <row r="577" spans="1:49" x14ac:dyDescent="0.2">
      <c r="A577">
        <v>575</v>
      </c>
      <c r="B577" t="s">
        <v>2588</v>
      </c>
      <c r="F577" t="s">
        <v>2587</v>
      </c>
      <c r="G577" t="s">
        <v>6</v>
      </c>
      <c r="H577" t="s">
        <v>5</v>
      </c>
      <c r="I577" t="s">
        <v>2586</v>
      </c>
      <c r="J577">
        <v>60104081</v>
      </c>
      <c r="K577" t="s">
        <v>2585</v>
      </c>
      <c r="L577" t="s">
        <v>2584</v>
      </c>
      <c r="M577" t="s">
        <v>47</v>
      </c>
      <c r="N577">
        <v>2</v>
      </c>
      <c r="O577" t="s">
        <v>2583</v>
      </c>
      <c r="P577" t="s">
        <v>2582</v>
      </c>
      <c r="Q577" t="s">
        <v>2581</v>
      </c>
      <c r="R577" s="7">
        <v>36404</v>
      </c>
      <c r="S577" s="8">
        <f t="shared" si="64"/>
        <v>1999</v>
      </c>
      <c r="T577" s="8">
        <v>1999</v>
      </c>
      <c r="U577" s="8">
        <f t="shared" si="65"/>
        <v>23</v>
      </c>
      <c r="V577" s="7">
        <v>36404</v>
      </c>
      <c r="W577" t="s">
        <v>178</v>
      </c>
      <c r="X577" s="2">
        <v>0.33800000000000002</v>
      </c>
      <c r="Y577" s="6">
        <f t="shared" si="66"/>
        <v>9.0227169589706634E-3</v>
      </c>
      <c r="AA577">
        <v>34347</v>
      </c>
      <c r="AB577">
        <v>17722</v>
      </c>
      <c r="AD577" t="s">
        <v>2</v>
      </c>
      <c r="AE577">
        <v>54</v>
      </c>
      <c r="AF577">
        <v>9</v>
      </c>
      <c r="AH577" t="s">
        <v>2580</v>
      </c>
      <c r="AI577" t="s">
        <v>2579</v>
      </c>
      <c r="AK577" t="s">
        <v>2578</v>
      </c>
      <c r="AL577">
        <v>4</v>
      </c>
      <c r="AM577" s="5">
        <f t="shared" si="67"/>
        <v>0.17391304347826086</v>
      </c>
      <c r="AN577" s="4">
        <f t="shared" si="68"/>
        <v>2.6340483677131523E-4</v>
      </c>
      <c r="AO577" s="3"/>
      <c r="AP577">
        <v>0</v>
      </c>
      <c r="AR577" t="s">
        <v>1</v>
      </c>
      <c r="AT577" s="2" t="s">
        <v>0</v>
      </c>
      <c r="AU577" s="1">
        <f t="shared" si="69"/>
        <v>0.63949233223108592</v>
      </c>
      <c r="AV577" s="1">
        <f t="shared" si="70"/>
        <v>0.46430608978709892</v>
      </c>
      <c r="AW577" s="1">
        <f t="shared" si="71"/>
        <v>0.28911984734311197</v>
      </c>
    </row>
    <row r="578" spans="1:49" x14ac:dyDescent="0.2">
      <c r="A578">
        <v>576</v>
      </c>
      <c r="B578" t="s">
        <v>2577</v>
      </c>
      <c r="E578">
        <v>10572863</v>
      </c>
      <c r="F578" t="s">
        <v>2576</v>
      </c>
      <c r="G578" t="s">
        <v>6</v>
      </c>
      <c r="H578" t="s">
        <v>5</v>
      </c>
      <c r="I578" t="s">
        <v>2575</v>
      </c>
      <c r="J578">
        <v>60011347</v>
      </c>
      <c r="K578" t="s">
        <v>2574</v>
      </c>
      <c r="L578" t="s">
        <v>2573</v>
      </c>
      <c r="M578" t="s">
        <v>3</v>
      </c>
      <c r="N578">
        <v>2</v>
      </c>
      <c r="O578" t="s">
        <v>2572</v>
      </c>
      <c r="P578" t="s">
        <v>2571</v>
      </c>
      <c r="Q578" t="s">
        <v>2570</v>
      </c>
      <c r="R578" s="7">
        <v>36404</v>
      </c>
      <c r="S578" s="8">
        <f t="shared" ref="S578:S641" si="72">YEAR(R578)</f>
        <v>1999</v>
      </c>
      <c r="T578" s="8">
        <v>1999</v>
      </c>
      <c r="U578" s="8">
        <f t="shared" ref="U578:U641" si="73">2022-T578</f>
        <v>23</v>
      </c>
      <c r="V578" s="7">
        <v>36404</v>
      </c>
      <c r="W578" t="s">
        <v>2569</v>
      </c>
      <c r="X578" s="2">
        <v>0.41899999999999998</v>
      </c>
      <c r="Y578" s="6">
        <f t="shared" ref="Y578:Y641" si="74">(X578-$Z$3)/($Z$2-$Z$3)</f>
        <v>1.1184965697658899E-2</v>
      </c>
      <c r="AA578">
        <v>10427260</v>
      </c>
      <c r="AB578">
        <v>18331</v>
      </c>
      <c r="AD578" t="s">
        <v>2</v>
      </c>
      <c r="AE578">
        <v>30</v>
      </c>
      <c r="AF578">
        <v>3</v>
      </c>
      <c r="AH578" t="s">
        <v>2568</v>
      </c>
      <c r="AI578" t="s">
        <v>2567</v>
      </c>
      <c r="AJ578" t="s">
        <v>2566</v>
      </c>
      <c r="AK578" t="s">
        <v>2565</v>
      </c>
      <c r="AL578">
        <v>80</v>
      </c>
      <c r="AM578" s="5">
        <f t="shared" ref="AM578:AM641" si="75">AL578/U578</f>
        <v>3.4782608695652173</v>
      </c>
      <c r="AN578" s="4">
        <f t="shared" ref="AN578:AN641" si="76">(AM578-$AO$3)/($AO$2-$AO$3)</f>
        <v>5.2680967354263039E-3</v>
      </c>
      <c r="AO578" s="3"/>
      <c r="AP578">
        <v>0</v>
      </c>
      <c r="AR578" t="s">
        <v>1</v>
      </c>
      <c r="AT578" s="2">
        <v>0.77600000000000002</v>
      </c>
      <c r="AU578" s="1">
        <f t="shared" ref="AU578:AU641" si="77">(Y578*0.7+AN578*0.3)*100</f>
        <v>0.94099050089891201</v>
      </c>
      <c r="AV578" s="1">
        <f t="shared" ref="AV578:AV641" si="78">(Y578*0.5+AN578*0.5)*100</f>
        <v>0.82265312165426019</v>
      </c>
      <c r="AW578" s="1">
        <f t="shared" ref="AW578:AW641" si="79">(Y578*0.3+AN578*0.7)*100</f>
        <v>0.70431574240960826</v>
      </c>
    </row>
    <row r="579" spans="1:49" x14ac:dyDescent="0.2">
      <c r="A579">
        <v>577</v>
      </c>
      <c r="B579" t="s">
        <v>2564</v>
      </c>
      <c r="C579" t="s">
        <v>2563</v>
      </c>
      <c r="E579">
        <v>10460831</v>
      </c>
      <c r="F579" t="s">
        <v>2562</v>
      </c>
      <c r="G579" t="s">
        <v>6</v>
      </c>
      <c r="H579" t="s">
        <v>5</v>
      </c>
      <c r="I579" t="s">
        <v>2561</v>
      </c>
      <c r="J579">
        <v>60030718</v>
      </c>
      <c r="K579" t="s">
        <v>586</v>
      </c>
      <c r="L579" t="s">
        <v>144</v>
      </c>
      <c r="M579" t="s">
        <v>65</v>
      </c>
      <c r="N579">
        <v>5</v>
      </c>
      <c r="O579" t="s">
        <v>2560</v>
      </c>
      <c r="P579" t="s">
        <v>2559</v>
      </c>
      <c r="Q579" t="s">
        <v>2558</v>
      </c>
      <c r="R579" s="7">
        <v>36404</v>
      </c>
      <c r="S579" s="8">
        <f t="shared" si="72"/>
        <v>1999</v>
      </c>
      <c r="T579" s="8">
        <v>1999</v>
      </c>
      <c r="U579" s="8">
        <f t="shared" si="73"/>
        <v>23</v>
      </c>
      <c r="V579" s="7">
        <v>36404</v>
      </c>
      <c r="W579" t="s">
        <v>1845</v>
      </c>
      <c r="X579" s="2">
        <v>1.7569999999999999</v>
      </c>
      <c r="Y579" s="6">
        <f t="shared" si="74"/>
        <v>4.6902111529323831E-2</v>
      </c>
      <c r="AA579">
        <v>9596658</v>
      </c>
      <c r="AB579">
        <v>17511</v>
      </c>
      <c r="AD579" t="s">
        <v>2</v>
      </c>
      <c r="AE579">
        <v>9</v>
      </c>
      <c r="AF579">
        <v>9</v>
      </c>
      <c r="AH579" t="s">
        <v>2557</v>
      </c>
      <c r="AI579" t="s">
        <v>2556</v>
      </c>
      <c r="AJ579" t="s">
        <v>2555</v>
      </c>
      <c r="AK579" t="s">
        <v>2554</v>
      </c>
      <c r="AL579">
        <v>18</v>
      </c>
      <c r="AM579" s="5">
        <f t="shared" si="75"/>
        <v>0.78260869565217395</v>
      </c>
      <c r="AN579" s="4">
        <f t="shared" si="76"/>
        <v>1.1853217654709185E-3</v>
      </c>
      <c r="AO579" s="3"/>
      <c r="AP579">
        <v>1</v>
      </c>
      <c r="AQ579" t="s">
        <v>2553</v>
      </c>
      <c r="AR579" t="s">
        <v>2552</v>
      </c>
      <c r="AS579" t="s">
        <v>2551</v>
      </c>
      <c r="AT579" s="2">
        <v>4.3129999999999997</v>
      </c>
      <c r="AU579" s="1">
        <f t="shared" si="77"/>
        <v>3.3187074600167952</v>
      </c>
      <c r="AV579" s="1">
        <f t="shared" si="78"/>
        <v>2.4043716647397373</v>
      </c>
      <c r="AW579" s="1">
        <f t="shared" si="79"/>
        <v>1.4900358694626792</v>
      </c>
    </row>
    <row r="580" spans="1:49" x14ac:dyDescent="0.2">
      <c r="A580">
        <v>578</v>
      </c>
      <c r="B580" t="s">
        <v>2550</v>
      </c>
      <c r="E580">
        <v>10511909</v>
      </c>
      <c r="F580" t="s">
        <v>2549</v>
      </c>
      <c r="G580" t="s">
        <v>6</v>
      </c>
      <c r="H580" t="s">
        <v>5</v>
      </c>
      <c r="I580" t="s">
        <v>2548</v>
      </c>
      <c r="J580" t="s">
        <v>2547</v>
      </c>
      <c r="K580" t="s">
        <v>2546</v>
      </c>
      <c r="L580" t="s">
        <v>2545</v>
      </c>
      <c r="M580" t="s">
        <v>76</v>
      </c>
      <c r="N580">
        <v>3</v>
      </c>
      <c r="O580" t="s">
        <v>2544</v>
      </c>
      <c r="P580" t="s">
        <v>2543</v>
      </c>
      <c r="Q580" t="s">
        <v>2542</v>
      </c>
      <c r="R580" s="7">
        <v>36404</v>
      </c>
      <c r="S580" s="8">
        <f t="shared" si="72"/>
        <v>1999</v>
      </c>
      <c r="T580" s="8">
        <v>1999</v>
      </c>
      <c r="U580" s="8">
        <f t="shared" si="73"/>
        <v>23</v>
      </c>
      <c r="V580" s="7">
        <v>36404</v>
      </c>
      <c r="W580" t="s">
        <v>2541</v>
      </c>
      <c r="X580" s="2">
        <v>0.20599999999999999</v>
      </c>
      <c r="Y580" s="6">
        <f t="shared" si="74"/>
        <v>5.4990523477750197E-3</v>
      </c>
      <c r="AA580">
        <v>8998205</v>
      </c>
      <c r="AB580">
        <v>28587</v>
      </c>
      <c r="AD580" t="s">
        <v>2</v>
      </c>
      <c r="AE580">
        <v>33</v>
      </c>
      <c r="AF580">
        <v>5</v>
      </c>
      <c r="AH580" t="s">
        <v>2540</v>
      </c>
      <c r="AI580" t="s">
        <v>2539</v>
      </c>
      <c r="AK580" t="s">
        <v>2538</v>
      </c>
      <c r="AL580">
        <v>14</v>
      </c>
      <c r="AM580" s="5">
        <f t="shared" si="75"/>
        <v>0.60869565217391308</v>
      </c>
      <c r="AN580" s="4">
        <f t="shared" si="76"/>
        <v>9.2191692869960328E-4</v>
      </c>
      <c r="AO580" s="3"/>
      <c r="AP580">
        <v>0</v>
      </c>
      <c r="AR580" t="s">
        <v>1</v>
      </c>
      <c r="AT580" s="2" t="s">
        <v>0</v>
      </c>
      <c r="AU580" s="1">
        <f t="shared" si="77"/>
        <v>0.41259117220523939</v>
      </c>
      <c r="AV580" s="1">
        <f t="shared" si="78"/>
        <v>0.32104846382373114</v>
      </c>
      <c r="AW580" s="1">
        <f t="shared" si="79"/>
        <v>0.22950575544222282</v>
      </c>
    </row>
    <row r="581" spans="1:49" x14ac:dyDescent="0.2">
      <c r="A581">
        <v>579</v>
      </c>
      <c r="B581" t="s">
        <v>2537</v>
      </c>
      <c r="C581" t="s">
        <v>2536</v>
      </c>
      <c r="F581" t="s">
        <v>2535</v>
      </c>
      <c r="G581" t="s">
        <v>6</v>
      </c>
      <c r="H581" t="s">
        <v>5</v>
      </c>
      <c r="I581" t="s">
        <v>2534</v>
      </c>
      <c r="J581">
        <v>60074072</v>
      </c>
      <c r="K581" t="s">
        <v>2533</v>
      </c>
      <c r="L581" t="s">
        <v>2532</v>
      </c>
      <c r="M581" t="s">
        <v>65</v>
      </c>
      <c r="N581">
        <v>8</v>
      </c>
      <c r="O581" t="s">
        <v>2531</v>
      </c>
      <c r="P581" t="s">
        <v>2530</v>
      </c>
      <c r="Q581" t="s">
        <v>2529</v>
      </c>
      <c r="R581" s="7">
        <v>36404</v>
      </c>
      <c r="S581" s="8">
        <f t="shared" si="72"/>
        <v>1999</v>
      </c>
      <c r="T581" s="8">
        <v>1999</v>
      </c>
      <c r="U581" s="8">
        <f t="shared" si="73"/>
        <v>23</v>
      </c>
      <c r="V581" s="7">
        <v>36404</v>
      </c>
      <c r="W581" t="s">
        <v>2528</v>
      </c>
      <c r="X581" s="2">
        <v>1.0329999999999999</v>
      </c>
      <c r="Y581" s="6">
        <f t="shared" si="74"/>
        <v>2.7575345025493178E-2</v>
      </c>
      <c r="AA581">
        <v>9532048</v>
      </c>
      <c r="AB581">
        <v>12278</v>
      </c>
      <c r="AD581" t="s">
        <v>2</v>
      </c>
      <c r="AE581">
        <v>12</v>
      </c>
      <c r="AF581">
        <v>9</v>
      </c>
      <c r="AH581" t="s">
        <v>2527</v>
      </c>
      <c r="AI581" t="s">
        <v>2526</v>
      </c>
      <c r="AK581" t="s">
        <v>2525</v>
      </c>
      <c r="AL581">
        <v>5</v>
      </c>
      <c r="AM581" s="5">
        <f t="shared" si="75"/>
        <v>0.21739130434782608</v>
      </c>
      <c r="AN581" s="4">
        <f t="shared" si="76"/>
        <v>3.29256045964144E-4</v>
      </c>
      <c r="AO581" s="3"/>
      <c r="AP581">
        <v>0</v>
      </c>
      <c r="AR581" t="s">
        <v>1</v>
      </c>
      <c r="AT581" s="2" t="s">
        <v>0</v>
      </c>
      <c r="AU581" s="1">
        <f t="shared" si="77"/>
        <v>1.9401518331634466</v>
      </c>
      <c r="AV581" s="1">
        <f t="shared" si="78"/>
        <v>1.3952300535728661</v>
      </c>
      <c r="AW581" s="1">
        <f t="shared" si="79"/>
        <v>0.85030827398228548</v>
      </c>
    </row>
    <row r="582" spans="1:49" x14ac:dyDescent="0.2">
      <c r="A582">
        <v>580</v>
      </c>
      <c r="B582" t="s">
        <v>2524</v>
      </c>
      <c r="C582" t="s">
        <v>2523</v>
      </c>
      <c r="F582" t="s">
        <v>2522</v>
      </c>
      <c r="G582" t="s">
        <v>6</v>
      </c>
      <c r="H582" t="s">
        <v>5</v>
      </c>
      <c r="I582" t="s">
        <v>2521</v>
      </c>
      <c r="J582">
        <v>60002787</v>
      </c>
      <c r="K582" t="s">
        <v>132</v>
      </c>
      <c r="L582" t="s">
        <v>131</v>
      </c>
      <c r="M582" t="s">
        <v>7</v>
      </c>
      <c r="N582">
        <v>2</v>
      </c>
      <c r="O582" t="s">
        <v>2520</v>
      </c>
      <c r="P582" t="s">
        <v>2519</v>
      </c>
      <c r="Q582" t="s">
        <v>2518</v>
      </c>
      <c r="R582" s="7">
        <v>36404</v>
      </c>
      <c r="S582" s="8">
        <f t="shared" si="72"/>
        <v>1999</v>
      </c>
      <c r="T582" s="8">
        <v>1999</v>
      </c>
      <c r="U582" s="8">
        <f t="shared" si="73"/>
        <v>23</v>
      </c>
      <c r="V582" s="7">
        <v>36404</v>
      </c>
      <c r="W582" t="s">
        <v>61</v>
      </c>
      <c r="X582" s="2">
        <v>0.111</v>
      </c>
      <c r="Y582" s="6">
        <f t="shared" si="74"/>
        <v>2.9630816048690639E-3</v>
      </c>
      <c r="AA582">
        <v>87566621</v>
      </c>
      <c r="AB582">
        <v>24890</v>
      </c>
      <c r="AD582" t="s">
        <v>2</v>
      </c>
      <c r="AE582">
        <v>82</v>
      </c>
      <c r="AF582">
        <v>9</v>
      </c>
      <c r="AH582" t="s">
        <v>735</v>
      </c>
      <c r="AI582" t="s">
        <v>2517</v>
      </c>
      <c r="AK582" t="s">
        <v>2516</v>
      </c>
      <c r="AL582">
        <v>0</v>
      </c>
      <c r="AM582" s="5">
        <f t="shared" si="75"/>
        <v>0</v>
      </c>
      <c r="AN582" s="4">
        <f t="shared" si="76"/>
        <v>0</v>
      </c>
      <c r="AO582" s="3"/>
      <c r="AP582">
        <v>0</v>
      </c>
      <c r="AR582" t="s">
        <v>1</v>
      </c>
      <c r="AT582" s="2" t="s">
        <v>0</v>
      </c>
      <c r="AU582" s="1">
        <f t="shared" si="77"/>
        <v>0.20741571234083445</v>
      </c>
      <c r="AV582" s="1">
        <f t="shared" si="78"/>
        <v>0.1481540802434532</v>
      </c>
      <c r="AW582" s="1">
        <f t="shared" si="79"/>
        <v>8.8892448146071903E-2</v>
      </c>
    </row>
    <row r="583" spans="1:49" x14ac:dyDescent="0.2">
      <c r="A583">
        <v>581</v>
      </c>
      <c r="B583" t="s">
        <v>2515</v>
      </c>
      <c r="C583" t="s">
        <v>2514</v>
      </c>
      <c r="F583" t="s">
        <v>2513</v>
      </c>
      <c r="G583" t="s">
        <v>6</v>
      </c>
      <c r="H583" t="s">
        <v>5</v>
      </c>
      <c r="I583" t="s">
        <v>2512</v>
      </c>
      <c r="J583">
        <v>60025555</v>
      </c>
      <c r="K583" t="s">
        <v>33</v>
      </c>
      <c r="L583" t="s">
        <v>32</v>
      </c>
      <c r="M583" t="s">
        <v>7</v>
      </c>
      <c r="N583">
        <v>2</v>
      </c>
      <c r="O583" t="s">
        <v>2511</v>
      </c>
      <c r="P583" t="s">
        <v>2510</v>
      </c>
      <c r="Q583" t="s">
        <v>50</v>
      </c>
      <c r="R583" s="7">
        <v>36404</v>
      </c>
      <c r="S583" s="8">
        <f t="shared" si="72"/>
        <v>1999</v>
      </c>
      <c r="T583" s="8">
        <v>1999</v>
      </c>
      <c r="U583" s="8">
        <f t="shared" si="73"/>
        <v>23</v>
      </c>
      <c r="V583" s="7">
        <v>36404</v>
      </c>
      <c r="W583" t="s">
        <v>61</v>
      </c>
      <c r="X583" s="2">
        <v>0.111</v>
      </c>
      <c r="Y583" s="6">
        <f t="shared" si="74"/>
        <v>2.9630816048690639E-3</v>
      </c>
      <c r="AA583">
        <v>87566621</v>
      </c>
      <c r="AB583">
        <v>24890</v>
      </c>
      <c r="AD583" t="s">
        <v>2</v>
      </c>
      <c r="AE583">
        <v>82</v>
      </c>
      <c r="AF583">
        <v>9</v>
      </c>
      <c r="AH583" t="s">
        <v>747</v>
      </c>
      <c r="AI583" t="s">
        <v>2509</v>
      </c>
      <c r="AK583" t="s">
        <v>2508</v>
      </c>
      <c r="AL583">
        <v>0</v>
      </c>
      <c r="AM583" s="5">
        <f t="shared" si="75"/>
        <v>0</v>
      </c>
      <c r="AN583" s="4">
        <f t="shared" si="76"/>
        <v>0</v>
      </c>
      <c r="AO583" s="3"/>
      <c r="AP583">
        <v>0</v>
      </c>
      <c r="AR583" t="s">
        <v>1</v>
      </c>
      <c r="AT583" s="2" t="s">
        <v>0</v>
      </c>
      <c r="AU583" s="1">
        <f t="shared" si="77"/>
        <v>0.20741571234083445</v>
      </c>
      <c r="AV583" s="1">
        <f t="shared" si="78"/>
        <v>0.1481540802434532</v>
      </c>
      <c r="AW583" s="1">
        <f t="shared" si="79"/>
        <v>8.8892448146071903E-2</v>
      </c>
    </row>
    <row r="584" spans="1:49" x14ac:dyDescent="0.2">
      <c r="A584">
        <v>582</v>
      </c>
      <c r="B584" t="s">
        <v>2507</v>
      </c>
      <c r="C584" t="s">
        <v>2506</v>
      </c>
      <c r="D584" t="s">
        <v>2505</v>
      </c>
      <c r="F584" t="s">
        <v>2504</v>
      </c>
      <c r="G584" t="s">
        <v>6</v>
      </c>
      <c r="H584" t="s">
        <v>5</v>
      </c>
      <c r="I584" t="s">
        <v>2503</v>
      </c>
      <c r="J584" t="s">
        <v>2502</v>
      </c>
      <c r="K584" t="s">
        <v>2501</v>
      </c>
      <c r="L584" t="s">
        <v>2500</v>
      </c>
      <c r="M584" t="s">
        <v>30</v>
      </c>
      <c r="N584">
        <v>2</v>
      </c>
      <c r="O584" t="s">
        <v>2499</v>
      </c>
      <c r="P584" t="s">
        <v>2498</v>
      </c>
      <c r="Q584" t="s">
        <v>2497</v>
      </c>
      <c r="R584" s="7">
        <v>36404</v>
      </c>
      <c r="S584" s="8">
        <f t="shared" si="72"/>
        <v>1999</v>
      </c>
      <c r="T584" s="8">
        <v>1999</v>
      </c>
      <c r="U584" s="8">
        <f t="shared" si="73"/>
        <v>23</v>
      </c>
      <c r="V584" s="7">
        <v>36404</v>
      </c>
      <c r="W584" t="s">
        <v>190</v>
      </c>
      <c r="X584" s="2">
        <v>1.6379999999999999</v>
      </c>
      <c r="Y584" s="6">
        <f t="shared" si="74"/>
        <v>4.3725474493473214E-2</v>
      </c>
      <c r="AA584" t="s">
        <v>189</v>
      </c>
      <c r="AB584">
        <v>17391</v>
      </c>
      <c r="AD584" t="s">
        <v>2</v>
      </c>
      <c r="AE584">
        <v>47</v>
      </c>
      <c r="AF584">
        <v>9</v>
      </c>
      <c r="AH584" t="s">
        <v>2496</v>
      </c>
      <c r="AI584" t="s">
        <v>2495</v>
      </c>
      <c r="AJ584" t="s">
        <v>2494</v>
      </c>
      <c r="AK584" t="s">
        <v>2493</v>
      </c>
      <c r="AL584">
        <v>21</v>
      </c>
      <c r="AM584" s="5">
        <f t="shared" si="75"/>
        <v>0.91304347826086951</v>
      </c>
      <c r="AN584" s="4">
        <f t="shared" si="76"/>
        <v>1.3828753930494049E-3</v>
      </c>
      <c r="AO584" s="3"/>
      <c r="AP584">
        <v>0</v>
      </c>
      <c r="AR584" t="s">
        <v>1</v>
      </c>
      <c r="AT584" s="2">
        <v>4.931</v>
      </c>
      <c r="AU584" s="1">
        <f t="shared" si="77"/>
        <v>3.102269476334607</v>
      </c>
      <c r="AV584" s="1">
        <f t="shared" si="78"/>
        <v>2.2554174943261307</v>
      </c>
      <c r="AW584" s="1">
        <f t="shared" si="79"/>
        <v>1.4085655123176548</v>
      </c>
    </row>
    <row r="585" spans="1:49" x14ac:dyDescent="0.2">
      <c r="A585">
        <v>583</v>
      </c>
      <c r="B585" t="s">
        <v>2492</v>
      </c>
      <c r="C585" t="s">
        <v>2491</v>
      </c>
      <c r="F585" t="s">
        <v>2490</v>
      </c>
      <c r="G585" t="s">
        <v>6</v>
      </c>
      <c r="H585" t="s">
        <v>5</v>
      </c>
      <c r="I585" t="s">
        <v>2489</v>
      </c>
      <c r="J585">
        <v>60101699</v>
      </c>
      <c r="K585" t="s">
        <v>554</v>
      </c>
      <c r="L585" t="s">
        <v>32</v>
      </c>
      <c r="M585" t="s">
        <v>7</v>
      </c>
      <c r="N585">
        <v>4</v>
      </c>
      <c r="O585" t="s">
        <v>2488</v>
      </c>
      <c r="P585" t="s">
        <v>2487</v>
      </c>
      <c r="Q585" t="s">
        <v>624</v>
      </c>
      <c r="R585" s="7">
        <v>36404</v>
      </c>
      <c r="S585" s="8">
        <f t="shared" si="72"/>
        <v>1999</v>
      </c>
      <c r="T585" s="8">
        <v>1999</v>
      </c>
      <c r="U585" s="8">
        <f t="shared" si="73"/>
        <v>23</v>
      </c>
      <c r="V585" s="7">
        <v>36404</v>
      </c>
      <c r="W585" t="s">
        <v>61</v>
      </c>
      <c r="X585" s="2">
        <v>0.111</v>
      </c>
      <c r="Y585" s="6">
        <f t="shared" si="74"/>
        <v>2.9630816048690639E-3</v>
      </c>
      <c r="AA585">
        <v>87566621</v>
      </c>
      <c r="AB585">
        <v>24890</v>
      </c>
      <c r="AD585" t="s">
        <v>2</v>
      </c>
      <c r="AE585">
        <v>82</v>
      </c>
      <c r="AF585">
        <v>9</v>
      </c>
      <c r="AH585" t="s">
        <v>453</v>
      </c>
      <c r="AI585" t="s">
        <v>2486</v>
      </c>
      <c r="AK585" t="s">
        <v>2485</v>
      </c>
      <c r="AL585">
        <v>1</v>
      </c>
      <c r="AM585" s="5">
        <f t="shared" si="75"/>
        <v>4.3478260869565216E-2</v>
      </c>
      <c r="AN585" s="4">
        <f t="shared" si="76"/>
        <v>6.5851209192828807E-5</v>
      </c>
      <c r="AO585" s="3"/>
      <c r="AP585">
        <v>0</v>
      </c>
      <c r="AR585" t="s">
        <v>1</v>
      </c>
      <c r="AT585" s="2" t="s">
        <v>0</v>
      </c>
      <c r="AU585" s="1">
        <f t="shared" si="77"/>
        <v>0.20939124861661931</v>
      </c>
      <c r="AV585" s="1">
        <f t="shared" si="78"/>
        <v>0.15144664070309463</v>
      </c>
      <c r="AW585" s="1">
        <f t="shared" si="79"/>
        <v>9.3502032789569922E-2</v>
      </c>
    </row>
    <row r="586" spans="1:49" x14ac:dyDescent="0.2">
      <c r="A586">
        <v>584</v>
      </c>
      <c r="B586" t="s">
        <v>2484</v>
      </c>
      <c r="C586" t="s">
        <v>2483</v>
      </c>
      <c r="D586" t="s">
        <v>2482</v>
      </c>
      <c r="F586" t="s">
        <v>2481</v>
      </c>
      <c r="G586" t="s">
        <v>6</v>
      </c>
      <c r="H586" t="s">
        <v>5</v>
      </c>
      <c r="I586" t="s">
        <v>2480</v>
      </c>
      <c r="J586" t="s">
        <v>2479</v>
      </c>
      <c r="K586" t="s">
        <v>2478</v>
      </c>
      <c r="L586" t="s">
        <v>2477</v>
      </c>
      <c r="M586" t="s">
        <v>261</v>
      </c>
      <c r="N586">
        <v>3</v>
      </c>
      <c r="O586" t="s">
        <v>2476</v>
      </c>
      <c r="P586" t="s">
        <v>2475</v>
      </c>
      <c r="Q586" t="s">
        <v>2474</v>
      </c>
      <c r="R586" s="7">
        <v>36404</v>
      </c>
      <c r="S586" s="8">
        <f t="shared" si="72"/>
        <v>1999</v>
      </c>
      <c r="T586" s="8">
        <v>1999</v>
      </c>
      <c r="U586" s="8">
        <f t="shared" si="73"/>
        <v>23</v>
      </c>
      <c r="V586" s="7">
        <v>36404</v>
      </c>
      <c r="W586" t="s">
        <v>2473</v>
      </c>
      <c r="X586" s="2">
        <v>1.778</v>
      </c>
      <c r="Y586" s="6">
        <f t="shared" si="74"/>
        <v>4.7462694535650413E-2</v>
      </c>
      <c r="AA586">
        <v>10577149</v>
      </c>
      <c r="AB586">
        <v>25534</v>
      </c>
      <c r="AD586" t="s">
        <v>2</v>
      </c>
      <c r="AE586">
        <v>8</v>
      </c>
      <c r="AF586">
        <v>9</v>
      </c>
      <c r="AH586" t="s">
        <v>2472</v>
      </c>
      <c r="AI586" t="s">
        <v>2471</v>
      </c>
      <c r="AJ586" t="s">
        <v>2470</v>
      </c>
      <c r="AK586" t="s">
        <v>2469</v>
      </c>
      <c r="AL586">
        <v>8</v>
      </c>
      <c r="AM586" s="5">
        <f t="shared" si="75"/>
        <v>0.34782608695652173</v>
      </c>
      <c r="AN586" s="4">
        <f t="shared" si="76"/>
        <v>5.2680967354263046E-4</v>
      </c>
      <c r="AO586" s="3"/>
      <c r="AP586">
        <v>0</v>
      </c>
      <c r="AR586" t="s">
        <v>1</v>
      </c>
      <c r="AT586" s="2">
        <v>10.856</v>
      </c>
      <c r="AU586" s="1">
        <f t="shared" si="77"/>
        <v>3.3381929077018078</v>
      </c>
      <c r="AV586" s="1">
        <f t="shared" si="78"/>
        <v>2.3994752104596522</v>
      </c>
      <c r="AW586" s="1">
        <f t="shared" si="79"/>
        <v>1.4607575132174966</v>
      </c>
    </row>
    <row r="587" spans="1:49" x14ac:dyDescent="0.2">
      <c r="A587">
        <v>585</v>
      </c>
      <c r="B587" t="s">
        <v>2468</v>
      </c>
      <c r="C587" t="s">
        <v>2467</v>
      </c>
      <c r="E587">
        <v>10468561</v>
      </c>
      <c r="F587" t="s">
        <v>2466</v>
      </c>
      <c r="G587" t="s">
        <v>6</v>
      </c>
      <c r="H587" t="s">
        <v>5</v>
      </c>
      <c r="I587" t="s">
        <v>2465</v>
      </c>
      <c r="J587">
        <v>60032256</v>
      </c>
      <c r="K587" t="s">
        <v>2464</v>
      </c>
      <c r="L587" t="s">
        <v>2463</v>
      </c>
      <c r="M587" t="s">
        <v>13</v>
      </c>
      <c r="N587">
        <v>4</v>
      </c>
      <c r="O587" t="s">
        <v>2462</v>
      </c>
      <c r="P587" t="s">
        <v>2461</v>
      </c>
      <c r="Q587" t="s">
        <v>2460</v>
      </c>
      <c r="R587" s="7">
        <v>36403</v>
      </c>
      <c r="S587" s="8">
        <f t="shared" si="72"/>
        <v>1999</v>
      </c>
      <c r="T587" s="8">
        <v>1999</v>
      </c>
      <c r="U587" s="8">
        <f t="shared" si="73"/>
        <v>23</v>
      </c>
      <c r="V587" s="7">
        <v>36403</v>
      </c>
      <c r="W587" t="s">
        <v>819</v>
      </c>
      <c r="X587" s="2">
        <v>5.0110000000000001</v>
      </c>
      <c r="Y587" s="6">
        <f t="shared" si="74"/>
        <v>0.13376578308107098</v>
      </c>
      <c r="AA587">
        <v>278424</v>
      </c>
      <c r="AB587">
        <v>21121</v>
      </c>
      <c r="AD587" t="s">
        <v>2</v>
      </c>
      <c r="AE587">
        <v>96</v>
      </c>
      <c r="AF587">
        <v>18</v>
      </c>
      <c r="AH587" t="s">
        <v>2459</v>
      </c>
      <c r="AI587" t="s">
        <v>2458</v>
      </c>
      <c r="AJ587" t="s">
        <v>2457</v>
      </c>
      <c r="AK587" t="s">
        <v>2456</v>
      </c>
      <c r="AL587">
        <v>184</v>
      </c>
      <c r="AM587" s="5">
        <f t="shared" si="75"/>
        <v>8</v>
      </c>
      <c r="AN587" s="4">
        <f t="shared" si="76"/>
        <v>1.2116622491480499E-2</v>
      </c>
      <c r="AO587" s="3"/>
      <c r="AP587">
        <v>1</v>
      </c>
      <c r="AR587" t="s">
        <v>1</v>
      </c>
      <c r="AT587" s="2" t="s">
        <v>0</v>
      </c>
      <c r="AU587" s="1">
        <f t="shared" si="77"/>
        <v>9.7271034904193829</v>
      </c>
      <c r="AV587" s="1">
        <f t="shared" si="78"/>
        <v>7.2941202786275738</v>
      </c>
      <c r="AW587" s="1">
        <f t="shared" si="79"/>
        <v>4.8611370668357639</v>
      </c>
    </row>
    <row r="588" spans="1:49" x14ac:dyDescent="0.2">
      <c r="A588">
        <v>586</v>
      </c>
      <c r="B588" t="s">
        <v>2455</v>
      </c>
      <c r="C588" t="s">
        <v>2454</v>
      </c>
      <c r="D588" t="s">
        <v>2453</v>
      </c>
      <c r="F588" t="s">
        <v>2452</v>
      </c>
      <c r="G588" t="s">
        <v>6</v>
      </c>
      <c r="H588" t="s">
        <v>5</v>
      </c>
      <c r="I588" t="s">
        <v>572</v>
      </c>
      <c r="J588">
        <v>60011047</v>
      </c>
      <c r="K588" t="s">
        <v>478</v>
      </c>
      <c r="L588" t="s">
        <v>477</v>
      </c>
      <c r="M588" t="s">
        <v>7</v>
      </c>
      <c r="N588">
        <v>5</v>
      </c>
      <c r="O588" t="s">
        <v>2451</v>
      </c>
      <c r="P588" t="s">
        <v>2450</v>
      </c>
      <c r="Q588" t="s">
        <v>2449</v>
      </c>
      <c r="R588" s="7">
        <v>36402</v>
      </c>
      <c r="S588" s="8">
        <f t="shared" si="72"/>
        <v>1999</v>
      </c>
      <c r="T588" s="8">
        <v>1999</v>
      </c>
      <c r="U588" s="8">
        <f t="shared" si="73"/>
        <v>23</v>
      </c>
      <c r="V588" s="7">
        <v>36402</v>
      </c>
      <c r="W588" t="s">
        <v>2448</v>
      </c>
      <c r="X588" s="2">
        <v>1.736</v>
      </c>
      <c r="Y588" s="6">
        <f t="shared" si="74"/>
        <v>4.634152852299725E-2</v>
      </c>
      <c r="AA588">
        <v>9240136</v>
      </c>
      <c r="AB588">
        <v>20972</v>
      </c>
      <c r="AD588" t="s">
        <v>2</v>
      </c>
      <c r="AE588" t="s">
        <v>2447</v>
      </c>
      <c r="AH588" t="s">
        <v>2446</v>
      </c>
      <c r="AI588" t="s">
        <v>2445</v>
      </c>
      <c r="AK588" t="s">
        <v>2444</v>
      </c>
      <c r="AL588">
        <v>4</v>
      </c>
      <c r="AM588" s="5">
        <f t="shared" si="75"/>
        <v>0.17391304347826086</v>
      </c>
      <c r="AN588" s="4">
        <f t="shared" si="76"/>
        <v>2.6340483677131523E-4</v>
      </c>
      <c r="AO588" s="3"/>
      <c r="AP588">
        <v>0</v>
      </c>
      <c r="AR588" t="s">
        <v>1</v>
      </c>
      <c r="AT588" s="2" t="s">
        <v>0</v>
      </c>
      <c r="AU588" s="1">
        <f t="shared" si="77"/>
        <v>3.251809141712946</v>
      </c>
      <c r="AV588" s="1">
        <f t="shared" si="78"/>
        <v>2.3302466679884279</v>
      </c>
      <c r="AW588" s="1">
        <f t="shared" si="79"/>
        <v>1.4086841942639095</v>
      </c>
    </row>
    <row r="589" spans="1:49" x14ac:dyDescent="0.2">
      <c r="A589">
        <v>587</v>
      </c>
      <c r="B589" t="s">
        <v>2443</v>
      </c>
      <c r="C589" t="s">
        <v>2442</v>
      </c>
      <c r="D589" t="s">
        <v>2441</v>
      </c>
      <c r="F589" t="s">
        <v>2440</v>
      </c>
      <c r="G589" t="s">
        <v>6</v>
      </c>
      <c r="H589" t="s">
        <v>5</v>
      </c>
      <c r="I589" t="s">
        <v>2439</v>
      </c>
      <c r="J589">
        <v>60032231</v>
      </c>
      <c r="K589" t="s">
        <v>2438</v>
      </c>
      <c r="L589" t="s">
        <v>277</v>
      </c>
      <c r="M589" t="s">
        <v>3</v>
      </c>
      <c r="N589">
        <v>1</v>
      </c>
      <c r="O589" t="s">
        <v>2437</v>
      </c>
      <c r="P589">
        <v>7202874239</v>
      </c>
      <c r="Q589">
        <v>60032231</v>
      </c>
      <c r="R589" s="7">
        <v>36402</v>
      </c>
      <c r="S589" s="8">
        <f t="shared" si="72"/>
        <v>1999</v>
      </c>
      <c r="T589" s="8">
        <v>1999</v>
      </c>
      <c r="U589" s="8">
        <f t="shared" si="73"/>
        <v>23</v>
      </c>
      <c r="V589" s="7">
        <v>36402</v>
      </c>
      <c r="W589" t="s">
        <v>287</v>
      </c>
      <c r="X589" s="2">
        <v>0.54400000000000004</v>
      </c>
      <c r="Y589" s="6">
        <f t="shared" si="74"/>
        <v>1.4521769306745683E-2</v>
      </c>
      <c r="AA589">
        <v>406090</v>
      </c>
      <c r="AB589">
        <v>12347</v>
      </c>
      <c r="AD589" t="s">
        <v>2</v>
      </c>
      <c r="AE589">
        <v>351</v>
      </c>
      <c r="AF589" s="10">
        <v>44228</v>
      </c>
      <c r="AH589" t="s">
        <v>2436</v>
      </c>
      <c r="AI589" t="s">
        <v>2435</v>
      </c>
      <c r="AJ589" t="s">
        <v>2434</v>
      </c>
      <c r="AK589" t="s">
        <v>2433</v>
      </c>
      <c r="AL589">
        <v>41</v>
      </c>
      <c r="AM589" s="5">
        <f t="shared" si="75"/>
        <v>1.7826086956521738</v>
      </c>
      <c r="AN589" s="4">
        <f t="shared" si="76"/>
        <v>2.6998995769059808E-3</v>
      </c>
      <c r="AO589" s="3"/>
      <c r="AP589">
        <v>0</v>
      </c>
      <c r="AR589" t="s">
        <v>1</v>
      </c>
      <c r="AT589" s="2">
        <v>2.1829999999999998</v>
      </c>
      <c r="AU589" s="1">
        <f t="shared" si="77"/>
        <v>1.0975208387793771</v>
      </c>
      <c r="AV589" s="1">
        <f t="shared" si="78"/>
        <v>0.8610834441825832</v>
      </c>
      <c r="AW589" s="1">
        <f t="shared" si="79"/>
        <v>0.62464604958578906</v>
      </c>
    </row>
    <row r="590" spans="1:49" x14ac:dyDescent="0.2">
      <c r="A590">
        <v>588</v>
      </c>
      <c r="B590" t="s">
        <v>2432</v>
      </c>
      <c r="C590" t="s">
        <v>2431</v>
      </c>
      <c r="E590">
        <v>10460167</v>
      </c>
      <c r="F590" t="s">
        <v>2430</v>
      </c>
      <c r="G590" t="s">
        <v>6</v>
      </c>
      <c r="H590" t="s">
        <v>5</v>
      </c>
      <c r="I590" t="s">
        <v>2429</v>
      </c>
      <c r="J590" t="s">
        <v>2428</v>
      </c>
      <c r="K590" t="s">
        <v>2427</v>
      </c>
      <c r="L590" t="s">
        <v>2426</v>
      </c>
      <c r="M590" t="s">
        <v>2425</v>
      </c>
      <c r="N590">
        <v>9</v>
      </c>
      <c r="O590" t="s">
        <v>2424</v>
      </c>
      <c r="P590" t="s">
        <v>2423</v>
      </c>
      <c r="Q590" t="s">
        <v>2422</v>
      </c>
      <c r="R590" s="7">
        <v>36396</v>
      </c>
      <c r="S590" s="8">
        <f t="shared" si="72"/>
        <v>1999</v>
      </c>
      <c r="T590" s="8">
        <v>1999</v>
      </c>
      <c r="U590" s="8">
        <f t="shared" si="73"/>
        <v>23</v>
      </c>
      <c r="V590" s="7">
        <v>36396</v>
      </c>
      <c r="W590" t="s">
        <v>716</v>
      </c>
      <c r="X590" s="2">
        <v>1.43</v>
      </c>
      <c r="Y590" s="6">
        <f t="shared" si="74"/>
        <v>3.8173033287952803E-2</v>
      </c>
      <c r="AA590">
        <v>62960</v>
      </c>
      <c r="AB590">
        <v>16867</v>
      </c>
      <c r="AD590" t="s">
        <v>2</v>
      </c>
      <c r="AE590">
        <v>38</v>
      </c>
      <c r="AF590">
        <v>34</v>
      </c>
      <c r="AH590" t="s">
        <v>2421</v>
      </c>
      <c r="AI590" t="s">
        <v>2420</v>
      </c>
      <c r="AK590" t="s">
        <v>2419</v>
      </c>
      <c r="AL590">
        <v>41</v>
      </c>
      <c r="AM590" s="5">
        <f t="shared" si="75"/>
        <v>1.7826086956521738</v>
      </c>
      <c r="AN590" s="4">
        <f t="shared" si="76"/>
        <v>2.6998995769059808E-3</v>
      </c>
      <c r="AO590" s="3"/>
      <c r="AP590">
        <v>0</v>
      </c>
      <c r="AR590" t="s">
        <v>1</v>
      </c>
      <c r="AT590" s="2">
        <v>3.1619999999999999</v>
      </c>
      <c r="AU590" s="1">
        <f t="shared" si="77"/>
        <v>2.7531093174638754</v>
      </c>
      <c r="AV590" s="1">
        <f t="shared" si="78"/>
        <v>2.0436466432429392</v>
      </c>
      <c r="AW590" s="1">
        <f t="shared" si="79"/>
        <v>1.3341839690220028</v>
      </c>
    </row>
    <row r="591" spans="1:49" x14ac:dyDescent="0.2">
      <c r="A591">
        <v>589</v>
      </c>
      <c r="B591" t="s">
        <v>2418</v>
      </c>
      <c r="C591" t="s">
        <v>2417</v>
      </c>
      <c r="E591">
        <v>10460169</v>
      </c>
      <c r="F591" t="s">
        <v>2416</v>
      </c>
      <c r="G591" t="s">
        <v>6</v>
      </c>
      <c r="H591" t="s">
        <v>5</v>
      </c>
      <c r="I591" t="s">
        <v>2415</v>
      </c>
      <c r="J591">
        <v>60014849</v>
      </c>
      <c r="K591" t="s">
        <v>2414</v>
      </c>
      <c r="L591" t="s">
        <v>48</v>
      </c>
      <c r="M591" t="s">
        <v>47</v>
      </c>
      <c r="N591">
        <v>2</v>
      </c>
      <c r="O591" t="s">
        <v>2413</v>
      </c>
      <c r="P591" t="s">
        <v>2412</v>
      </c>
      <c r="Q591" t="s">
        <v>2411</v>
      </c>
      <c r="R591" s="7">
        <v>36396</v>
      </c>
      <c r="S591" s="8">
        <f t="shared" si="72"/>
        <v>1999</v>
      </c>
      <c r="T591" s="8">
        <v>1999</v>
      </c>
      <c r="U591" s="8">
        <f t="shared" si="73"/>
        <v>23</v>
      </c>
      <c r="V591" s="7">
        <v>36396</v>
      </c>
      <c r="W591" t="s">
        <v>716</v>
      </c>
      <c r="X591" s="2">
        <v>1.43</v>
      </c>
      <c r="Y591" s="6">
        <f t="shared" si="74"/>
        <v>3.8173033287952803E-2</v>
      </c>
      <c r="AA591">
        <v>62960</v>
      </c>
      <c r="AB591">
        <v>16867</v>
      </c>
      <c r="AD591" t="s">
        <v>2</v>
      </c>
      <c r="AE591">
        <v>38</v>
      </c>
      <c r="AF591">
        <v>34</v>
      </c>
      <c r="AH591" t="s">
        <v>2410</v>
      </c>
      <c r="AI591" t="s">
        <v>2409</v>
      </c>
      <c r="AK591" t="s">
        <v>2408</v>
      </c>
      <c r="AL591">
        <v>152</v>
      </c>
      <c r="AM591" s="5">
        <f t="shared" si="75"/>
        <v>6.6086956521739131</v>
      </c>
      <c r="AN591" s="4">
        <f t="shared" si="76"/>
        <v>1.0009383797309979E-2</v>
      </c>
      <c r="AO591" s="3"/>
      <c r="AP591">
        <v>0</v>
      </c>
      <c r="AR591" t="s">
        <v>1</v>
      </c>
      <c r="AT591" s="2">
        <v>3.1619999999999999</v>
      </c>
      <c r="AU591" s="1">
        <f t="shared" si="77"/>
        <v>2.9723938440759956</v>
      </c>
      <c r="AV591" s="1">
        <f t="shared" si="78"/>
        <v>2.409120854263139</v>
      </c>
      <c r="AW591" s="1">
        <f t="shared" si="79"/>
        <v>1.8458478644502827</v>
      </c>
    </row>
    <row r="592" spans="1:49" x14ac:dyDescent="0.2">
      <c r="A592">
        <v>590</v>
      </c>
      <c r="B592" t="s">
        <v>2407</v>
      </c>
      <c r="C592" t="s">
        <v>2406</v>
      </c>
      <c r="F592" t="s">
        <v>2405</v>
      </c>
      <c r="G592" t="s">
        <v>6</v>
      </c>
      <c r="H592" t="s">
        <v>5</v>
      </c>
      <c r="I592" t="s">
        <v>2404</v>
      </c>
      <c r="J592">
        <v>60005286</v>
      </c>
      <c r="K592" t="s">
        <v>2403</v>
      </c>
      <c r="L592" t="s">
        <v>1632</v>
      </c>
      <c r="M592" t="s">
        <v>3</v>
      </c>
      <c r="N592">
        <v>4</v>
      </c>
      <c r="O592" t="s">
        <v>2402</v>
      </c>
      <c r="P592" t="s">
        <v>2401</v>
      </c>
      <c r="Q592" t="s">
        <v>2400</v>
      </c>
      <c r="R592" s="7">
        <v>36395</v>
      </c>
      <c r="S592" s="8">
        <f t="shared" si="72"/>
        <v>1999</v>
      </c>
      <c r="T592" s="8">
        <v>1999</v>
      </c>
      <c r="U592" s="8">
        <f t="shared" si="73"/>
        <v>23</v>
      </c>
      <c r="V592" s="7">
        <v>36395</v>
      </c>
      <c r="W592" t="s">
        <v>667</v>
      </c>
      <c r="X592" s="2">
        <v>1.1819999999999999</v>
      </c>
      <c r="Y592" s="6">
        <f t="shared" si="74"/>
        <v>3.1552814927524625E-2</v>
      </c>
      <c r="AA592">
        <v>36951</v>
      </c>
      <c r="AB592">
        <v>27030</v>
      </c>
      <c r="AD592" t="s">
        <v>2</v>
      </c>
      <c r="AE592">
        <v>75</v>
      </c>
      <c r="AF592">
        <v>8</v>
      </c>
      <c r="AH592" t="s">
        <v>2399</v>
      </c>
      <c r="AI592" t="s">
        <v>2398</v>
      </c>
      <c r="AK592" t="s">
        <v>2397</v>
      </c>
      <c r="AL592">
        <v>218</v>
      </c>
      <c r="AM592" s="5">
        <f t="shared" si="75"/>
        <v>9.4782608695652169</v>
      </c>
      <c r="AN592" s="4">
        <f t="shared" si="76"/>
        <v>1.4355563604036678E-2</v>
      </c>
      <c r="AO592" s="3"/>
      <c r="AP592">
        <v>0</v>
      </c>
      <c r="AR592" t="s">
        <v>1</v>
      </c>
      <c r="AT592" s="2">
        <v>3.7909999999999999</v>
      </c>
      <c r="AU592" s="1">
        <f t="shared" si="77"/>
        <v>2.6393639530478237</v>
      </c>
      <c r="AV592" s="1">
        <f t="shared" si="78"/>
        <v>2.2954189265780651</v>
      </c>
      <c r="AW592" s="1">
        <f t="shared" si="79"/>
        <v>1.9514739001083061</v>
      </c>
    </row>
    <row r="593" spans="1:49" x14ac:dyDescent="0.2">
      <c r="A593">
        <v>591</v>
      </c>
      <c r="B593" t="s">
        <v>2396</v>
      </c>
      <c r="C593" t="s">
        <v>2395</v>
      </c>
      <c r="F593" t="s">
        <v>2394</v>
      </c>
      <c r="G593" t="s">
        <v>6</v>
      </c>
      <c r="H593" t="s">
        <v>5</v>
      </c>
      <c r="I593" t="s">
        <v>706</v>
      </c>
      <c r="J593" t="s">
        <v>705</v>
      </c>
      <c r="K593" t="s">
        <v>704</v>
      </c>
      <c r="L593" t="s">
        <v>703</v>
      </c>
      <c r="M593" t="s">
        <v>702</v>
      </c>
      <c r="N593">
        <v>4</v>
      </c>
      <c r="O593" t="s">
        <v>701</v>
      </c>
      <c r="P593" t="s">
        <v>700</v>
      </c>
      <c r="Q593" t="s">
        <v>699</v>
      </c>
      <c r="R593" s="7">
        <v>36392</v>
      </c>
      <c r="S593" s="8">
        <f t="shared" si="72"/>
        <v>1999</v>
      </c>
      <c r="T593" s="8">
        <v>1999</v>
      </c>
      <c r="U593" s="8">
        <f t="shared" si="73"/>
        <v>23</v>
      </c>
      <c r="V593" s="7">
        <v>36392</v>
      </c>
      <c r="W593" t="s">
        <v>162</v>
      </c>
      <c r="X593" s="2">
        <v>0.30399999999999999</v>
      </c>
      <c r="Y593" s="6">
        <f t="shared" si="74"/>
        <v>8.115106377299057E-3</v>
      </c>
      <c r="AA593">
        <v>8952477</v>
      </c>
      <c r="AB593">
        <v>12250</v>
      </c>
      <c r="AD593" t="s">
        <v>2</v>
      </c>
      <c r="AE593">
        <v>22</v>
      </c>
      <c r="AF593">
        <v>4</v>
      </c>
      <c r="AH593" t="s">
        <v>2393</v>
      </c>
      <c r="AI593" t="s">
        <v>2392</v>
      </c>
      <c r="AK593" t="s">
        <v>2391</v>
      </c>
      <c r="AL593">
        <v>42</v>
      </c>
      <c r="AM593" s="5">
        <f t="shared" si="75"/>
        <v>1.826086956521739</v>
      </c>
      <c r="AN593" s="4">
        <f t="shared" si="76"/>
        <v>2.7657507860988097E-3</v>
      </c>
      <c r="AO593" s="3"/>
      <c r="AP593">
        <v>0</v>
      </c>
      <c r="AR593" t="s">
        <v>1</v>
      </c>
      <c r="AT593" s="2" t="s">
        <v>0</v>
      </c>
      <c r="AU593" s="1">
        <f t="shared" si="77"/>
        <v>0.65102996999389828</v>
      </c>
      <c r="AV593" s="1">
        <f t="shared" si="78"/>
        <v>0.5440428581698934</v>
      </c>
      <c r="AW593" s="1">
        <f t="shared" si="79"/>
        <v>0.4370557463458884</v>
      </c>
    </row>
    <row r="594" spans="1:49" x14ac:dyDescent="0.2">
      <c r="A594">
        <v>592</v>
      </c>
      <c r="B594" t="s">
        <v>2390</v>
      </c>
      <c r="C594" t="s">
        <v>2389</v>
      </c>
      <c r="F594" t="s">
        <v>2388</v>
      </c>
      <c r="G594" t="s">
        <v>6</v>
      </c>
      <c r="H594" t="s">
        <v>5</v>
      </c>
      <c r="I594" t="s">
        <v>2387</v>
      </c>
      <c r="J594">
        <v>60011357</v>
      </c>
      <c r="K594" t="s">
        <v>218</v>
      </c>
      <c r="L594" t="s">
        <v>217</v>
      </c>
      <c r="M594" t="s">
        <v>133</v>
      </c>
      <c r="N594">
        <v>2</v>
      </c>
      <c r="O594" t="s">
        <v>2386</v>
      </c>
      <c r="P594" t="s">
        <v>2385</v>
      </c>
      <c r="Q594" t="s">
        <v>216</v>
      </c>
      <c r="R594" s="7">
        <v>36392</v>
      </c>
      <c r="S594" s="8">
        <f t="shared" si="72"/>
        <v>1999</v>
      </c>
      <c r="T594" s="8">
        <v>1999</v>
      </c>
      <c r="U594" s="8">
        <f t="shared" si="73"/>
        <v>23</v>
      </c>
      <c r="V594" s="7">
        <v>36392</v>
      </c>
      <c r="W594" t="s">
        <v>162</v>
      </c>
      <c r="X594" s="2">
        <v>0.30399999999999999</v>
      </c>
      <c r="Y594" s="6">
        <f t="shared" si="74"/>
        <v>8.115106377299057E-3</v>
      </c>
      <c r="AA594">
        <v>8952477</v>
      </c>
      <c r="AB594">
        <v>12250</v>
      </c>
      <c r="AD594" t="s">
        <v>2</v>
      </c>
      <c r="AE594">
        <v>22</v>
      </c>
      <c r="AF594">
        <v>4</v>
      </c>
      <c r="AH594" t="s">
        <v>2384</v>
      </c>
      <c r="AI594" t="s">
        <v>2383</v>
      </c>
      <c r="AK594" t="s">
        <v>2382</v>
      </c>
      <c r="AL594">
        <v>6</v>
      </c>
      <c r="AM594" s="5">
        <f t="shared" si="75"/>
        <v>0.2608695652173913</v>
      </c>
      <c r="AN594" s="4">
        <f t="shared" si="76"/>
        <v>3.9510725515697282E-4</v>
      </c>
      <c r="AO594" s="3"/>
      <c r="AP594">
        <v>0</v>
      </c>
      <c r="AR594" t="s">
        <v>1</v>
      </c>
      <c r="AT594" s="2" t="s">
        <v>0</v>
      </c>
      <c r="AU594" s="1">
        <f t="shared" si="77"/>
        <v>0.57991066406564318</v>
      </c>
      <c r="AV594" s="1">
        <f t="shared" si="78"/>
        <v>0.42551068162280148</v>
      </c>
      <c r="AW594" s="1">
        <f t="shared" si="79"/>
        <v>0.27111069917995984</v>
      </c>
    </row>
    <row r="595" spans="1:49" x14ac:dyDescent="0.2">
      <c r="A595">
        <v>593</v>
      </c>
      <c r="B595" t="s">
        <v>2381</v>
      </c>
      <c r="C595" t="s">
        <v>2380</v>
      </c>
      <c r="F595" t="s">
        <v>2379</v>
      </c>
      <c r="G595" t="s">
        <v>6</v>
      </c>
      <c r="H595" t="s">
        <v>5</v>
      </c>
      <c r="I595" t="s">
        <v>2378</v>
      </c>
      <c r="J595">
        <v>60011476</v>
      </c>
      <c r="K595" t="s">
        <v>775</v>
      </c>
      <c r="L595" t="s">
        <v>774</v>
      </c>
      <c r="M595" t="s">
        <v>23</v>
      </c>
      <c r="N595">
        <v>4</v>
      </c>
      <c r="O595" t="s">
        <v>2377</v>
      </c>
      <c r="P595" t="s">
        <v>2376</v>
      </c>
      <c r="Q595" t="s">
        <v>2375</v>
      </c>
      <c r="R595" s="7">
        <v>36392</v>
      </c>
      <c r="S595" s="8">
        <f t="shared" si="72"/>
        <v>1999</v>
      </c>
      <c r="T595" s="8">
        <v>1999</v>
      </c>
      <c r="U595" s="8">
        <f t="shared" si="73"/>
        <v>23</v>
      </c>
      <c r="V595" s="7">
        <v>36392</v>
      </c>
      <c r="W595" t="s">
        <v>162</v>
      </c>
      <c r="X595" s="2">
        <v>0.30399999999999999</v>
      </c>
      <c r="Y595" s="6">
        <f t="shared" si="74"/>
        <v>8.115106377299057E-3</v>
      </c>
      <c r="AA595">
        <v>8952477</v>
      </c>
      <c r="AB595">
        <v>12250</v>
      </c>
      <c r="AD595" t="s">
        <v>2</v>
      </c>
      <c r="AE595">
        <v>22</v>
      </c>
      <c r="AF595">
        <v>4</v>
      </c>
      <c r="AH595" t="s">
        <v>2374</v>
      </c>
      <c r="AI595" t="s">
        <v>2373</v>
      </c>
      <c r="AK595" t="s">
        <v>2372</v>
      </c>
      <c r="AL595">
        <v>5</v>
      </c>
      <c r="AM595" s="5">
        <f t="shared" si="75"/>
        <v>0.21739130434782608</v>
      </c>
      <c r="AN595" s="4">
        <f t="shared" si="76"/>
        <v>3.29256045964144E-4</v>
      </c>
      <c r="AO595" s="3"/>
      <c r="AP595">
        <v>0</v>
      </c>
      <c r="AR595" t="s">
        <v>1</v>
      </c>
      <c r="AT595" s="2" t="s">
        <v>0</v>
      </c>
      <c r="AU595" s="1">
        <f t="shared" si="77"/>
        <v>0.57793512778985834</v>
      </c>
      <c r="AV595" s="1">
        <f t="shared" si="78"/>
        <v>0.42221812116316004</v>
      </c>
      <c r="AW595" s="1">
        <f t="shared" si="79"/>
        <v>0.2665011145364618</v>
      </c>
    </row>
    <row r="596" spans="1:49" x14ac:dyDescent="0.2">
      <c r="A596">
        <v>594</v>
      </c>
      <c r="B596" t="s">
        <v>2371</v>
      </c>
      <c r="C596" t="s">
        <v>2370</v>
      </c>
      <c r="F596" t="s">
        <v>2369</v>
      </c>
      <c r="G596" t="s">
        <v>6</v>
      </c>
      <c r="H596" t="s">
        <v>5</v>
      </c>
      <c r="I596" t="s">
        <v>2368</v>
      </c>
      <c r="J596">
        <v>60025578</v>
      </c>
      <c r="K596" t="s">
        <v>539</v>
      </c>
      <c r="L596" t="s">
        <v>538</v>
      </c>
      <c r="M596" t="s">
        <v>78</v>
      </c>
      <c r="N596">
        <v>2</v>
      </c>
      <c r="O596" t="s">
        <v>2367</v>
      </c>
      <c r="P596" t="s">
        <v>2366</v>
      </c>
      <c r="Q596" t="s">
        <v>2365</v>
      </c>
      <c r="R596" s="7">
        <v>36392</v>
      </c>
      <c r="S596" s="8">
        <f t="shared" si="72"/>
        <v>1999</v>
      </c>
      <c r="T596" s="8">
        <v>1999</v>
      </c>
      <c r="U596" s="8">
        <f t="shared" si="73"/>
        <v>23</v>
      </c>
      <c r="V596" s="7">
        <v>36392</v>
      </c>
      <c r="W596" t="s">
        <v>162</v>
      </c>
      <c r="X596" s="2">
        <v>0.30399999999999999</v>
      </c>
      <c r="Y596" s="6">
        <f t="shared" si="74"/>
        <v>8.115106377299057E-3</v>
      </c>
      <c r="AA596">
        <v>8952477</v>
      </c>
      <c r="AB596">
        <v>12250</v>
      </c>
      <c r="AD596" t="s">
        <v>2</v>
      </c>
      <c r="AE596">
        <v>22</v>
      </c>
      <c r="AF596">
        <v>4</v>
      </c>
      <c r="AH596" t="s">
        <v>2364</v>
      </c>
      <c r="AI596" t="s">
        <v>2363</v>
      </c>
      <c r="AK596" t="s">
        <v>2362</v>
      </c>
      <c r="AL596">
        <v>1</v>
      </c>
      <c r="AM596" s="5">
        <f t="shared" si="75"/>
        <v>4.3478260869565216E-2</v>
      </c>
      <c r="AN596" s="4">
        <f t="shared" si="76"/>
        <v>6.5851209192828807E-5</v>
      </c>
      <c r="AO596" s="3"/>
      <c r="AP596">
        <v>0</v>
      </c>
      <c r="AR596" t="s">
        <v>1</v>
      </c>
      <c r="AT596" s="2" t="s">
        <v>0</v>
      </c>
      <c r="AU596" s="1">
        <f t="shared" si="77"/>
        <v>0.57003298268671876</v>
      </c>
      <c r="AV596" s="1">
        <f t="shared" si="78"/>
        <v>0.4090478793245943</v>
      </c>
      <c r="AW596" s="1">
        <f t="shared" si="79"/>
        <v>0.24806277596246973</v>
      </c>
    </row>
    <row r="597" spans="1:49" x14ac:dyDescent="0.2">
      <c r="A597">
        <v>595</v>
      </c>
      <c r="B597" t="s">
        <v>2361</v>
      </c>
      <c r="C597" t="s">
        <v>2360</v>
      </c>
      <c r="F597" t="s">
        <v>2359</v>
      </c>
      <c r="G597" t="s">
        <v>6</v>
      </c>
      <c r="H597" t="s">
        <v>5</v>
      </c>
      <c r="I597" t="s">
        <v>751</v>
      </c>
      <c r="J597" t="s">
        <v>599</v>
      </c>
      <c r="K597" t="s">
        <v>598</v>
      </c>
      <c r="L597" t="s">
        <v>597</v>
      </c>
      <c r="M597" t="s">
        <v>310</v>
      </c>
      <c r="N597">
        <v>2</v>
      </c>
      <c r="O597" t="s">
        <v>826</v>
      </c>
      <c r="P597" t="s">
        <v>825</v>
      </c>
      <c r="Q597" t="s">
        <v>599</v>
      </c>
      <c r="R597" s="7">
        <v>36392</v>
      </c>
      <c r="S597" s="8">
        <f t="shared" si="72"/>
        <v>1999</v>
      </c>
      <c r="T597" s="8">
        <v>1999</v>
      </c>
      <c r="U597" s="8">
        <f t="shared" si="73"/>
        <v>23</v>
      </c>
      <c r="V597" s="7">
        <v>36392</v>
      </c>
      <c r="W597" t="s">
        <v>162</v>
      </c>
      <c r="X597" s="2">
        <v>0.30399999999999999</v>
      </c>
      <c r="Y597" s="6">
        <f t="shared" si="74"/>
        <v>8.115106377299057E-3</v>
      </c>
      <c r="AA597">
        <v>8952477</v>
      </c>
      <c r="AB597">
        <v>12250</v>
      </c>
      <c r="AD597" t="s">
        <v>2</v>
      </c>
      <c r="AE597">
        <v>22</v>
      </c>
      <c r="AF597">
        <v>4</v>
      </c>
      <c r="AH597" t="s">
        <v>2358</v>
      </c>
      <c r="AI597" t="s">
        <v>2357</v>
      </c>
      <c r="AK597" t="s">
        <v>2356</v>
      </c>
      <c r="AL597">
        <v>17</v>
      </c>
      <c r="AM597" s="5">
        <f t="shared" si="75"/>
        <v>0.73913043478260865</v>
      </c>
      <c r="AN597" s="4">
        <f t="shared" si="76"/>
        <v>1.1194705562780896E-3</v>
      </c>
      <c r="AO597" s="3"/>
      <c r="AP597">
        <v>0</v>
      </c>
      <c r="AR597" t="s">
        <v>1</v>
      </c>
      <c r="AT597" s="2" t="s">
        <v>0</v>
      </c>
      <c r="AU597" s="1">
        <f t="shared" si="77"/>
        <v>0.60164156309927663</v>
      </c>
      <c r="AV597" s="1">
        <f t="shared" si="78"/>
        <v>0.46172884667885739</v>
      </c>
      <c r="AW597" s="1">
        <f t="shared" si="79"/>
        <v>0.32181613025843803</v>
      </c>
    </row>
    <row r="598" spans="1:49" x14ac:dyDescent="0.2">
      <c r="A598">
        <v>596</v>
      </c>
      <c r="B598" t="s">
        <v>2355</v>
      </c>
      <c r="C598" t="s">
        <v>2354</v>
      </c>
      <c r="F598" t="s">
        <v>2353</v>
      </c>
      <c r="G598" t="s">
        <v>6</v>
      </c>
      <c r="H598" t="s">
        <v>5</v>
      </c>
      <c r="I598" t="s">
        <v>320</v>
      </c>
      <c r="J598">
        <v>60031293</v>
      </c>
      <c r="K598" t="s">
        <v>319</v>
      </c>
      <c r="L598" t="s">
        <v>32</v>
      </c>
      <c r="M598" t="s">
        <v>7</v>
      </c>
      <c r="N598">
        <v>2</v>
      </c>
      <c r="O598" t="s">
        <v>318</v>
      </c>
      <c r="P598" t="s">
        <v>317</v>
      </c>
      <c r="Q598" t="s">
        <v>316</v>
      </c>
      <c r="R598" s="7">
        <v>36392</v>
      </c>
      <c r="S598" s="8">
        <f t="shared" si="72"/>
        <v>1999</v>
      </c>
      <c r="T598" s="8">
        <v>1999</v>
      </c>
      <c r="U598" s="8">
        <f t="shared" si="73"/>
        <v>23</v>
      </c>
      <c r="V598" s="7">
        <v>36392</v>
      </c>
      <c r="W598" t="s">
        <v>162</v>
      </c>
      <c r="X598" s="2">
        <v>0.30399999999999999</v>
      </c>
      <c r="Y598" s="6">
        <f t="shared" si="74"/>
        <v>8.115106377299057E-3</v>
      </c>
      <c r="AA598">
        <v>8952477</v>
      </c>
      <c r="AB598">
        <v>12250</v>
      </c>
      <c r="AD598" t="s">
        <v>2</v>
      </c>
      <c r="AE598">
        <v>22</v>
      </c>
      <c r="AF598">
        <v>4</v>
      </c>
      <c r="AH598" t="s">
        <v>2352</v>
      </c>
      <c r="AI598" t="s">
        <v>2351</v>
      </c>
      <c r="AK598" t="s">
        <v>2350</v>
      </c>
      <c r="AL598">
        <v>0</v>
      </c>
      <c r="AM598" s="5">
        <f t="shared" si="75"/>
        <v>0</v>
      </c>
      <c r="AN598" s="4">
        <f t="shared" si="76"/>
        <v>0</v>
      </c>
      <c r="AO598" s="3"/>
      <c r="AP598">
        <v>0</v>
      </c>
      <c r="AR598" t="s">
        <v>1</v>
      </c>
      <c r="AT598" s="2" t="s">
        <v>0</v>
      </c>
      <c r="AU598" s="1">
        <f t="shared" si="77"/>
        <v>0.56805744641093392</v>
      </c>
      <c r="AV598" s="1">
        <f t="shared" si="78"/>
        <v>0.40575531886495286</v>
      </c>
      <c r="AW598" s="1">
        <f t="shared" si="79"/>
        <v>0.24345319131897172</v>
      </c>
    </row>
    <row r="599" spans="1:49" x14ac:dyDescent="0.2">
      <c r="A599">
        <v>597</v>
      </c>
      <c r="B599" t="s">
        <v>2349</v>
      </c>
      <c r="C599" t="s">
        <v>2348</v>
      </c>
      <c r="F599" t="s">
        <v>2347</v>
      </c>
      <c r="G599" t="s">
        <v>6</v>
      </c>
      <c r="H599" t="s">
        <v>5</v>
      </c>
      <c r="I599" t="s">
        <v>600</v>
      </c>
      <c r="J599" t="s">
        <v>814</v>
      </c>
      <c r="K599" t="s">
        <v>817</v>
      </c>
      <c r="L599" t="s">
        <v>816</v>
      </c>
      <c r="M599" t="s">
        <v>815</v>
      </c>
      <c r="N599">
        <v>2</v>
      </c>
      <c r="O599" t="s">
        <v>2346</v>
      </c>
      <c r="P599" t="s">
        <v>2345</v>
      </c>
      <c r="Q599" t="s">
        <v>836</v>
      </c>
      <c r="R599" s="7">
        <v>36392</v>
      </c>
      <c r="S599" s="8">
        <f t="shared" si="72"/>
        <v>1999</v>
      </c>
      <c r="T599" s="8">
        <v>1999</v>
      </c>
      <c r="U599" s="8">
        <f t="shared" si="73"/>
        <v>23</v>
      </c>
      <c r="V599" s="7">
        <v>36392</v>
      </c>
      <c r="W599" t="s">
        <v>162</v>
      </c>
      <c r="X599" s="2">
        <v>0.30399999999999999</v>
      </c>
      <c r="Y599" s="6">
        <f t="shared" si="74"/>
        <v>8.115106377299057E-3</v>
      </c>
      <c r="AA599">
        <v>8952477</v>
      </c>
      <c r="AB599">
        <v>12250</v>
      </c>
      <c r="AD599" t="s">
        <v>2</v>
      </c>
      <c r="AE599">
        <v>22</v>
      </c>
      <c r="AF599">
        <v>4</v>
      </c>
      <c r="AH599" t="s">
        <v>2344</v>
      </c>
      <c r="AI599" t="s">
        <v>2343</v>
      </c>
      <c r="AK599" t="s">
        <v>2342</v>
      </c>
      <c r="AL599">
        <v>8</v>
      </c>
      <c r="AM599" s="5">
        <f t="shared" si="75"/>
        <v>0.34782608695652173</v>
      </c>
      <c r="AN599" s="4">
        <f t="shared" si="76"/>
        <v>5.2680967354263046E-4</v>
      </c>
      <c r="AO599" s="3"/>
      <c r="AP599">
        <v>0</v>
      </c>
      <c r="AR599" t="s">
        <v>1</v>
      </c>
      <c r="AT599" s="2" t="s">
        <v>0</v>
      </c>
      <c r="AU599" s="1">
        <f t="shared" si="77"/>
        <v>0.58386173661721286</v>
      </c>
      <c r="AV599" s="1">
        <f t="shared" si="78"/>
        <v>0.43209580254208441</v>
      </c>
      <c r="AW599" s="1">
        <f t="shared" si="79"/>
        <v>0.28032986846695584</v>
      </c>
    </row>
    <row r="600" spans="1:49" x14ac:dyDescent="0.2">
      <c r="A600">
        <v>598</v>
      </c>
      <c r="B600" t="s">
        <v>2341</v>
      </c>
      <c r="C600" t="s">
        <v>2340</v>
      </c>
      <c r="F600" t="s">
        <v>2339</v>
      </c>
      <c r="G600" t="s">
        <v>6</v>
      </c>
      <c r="H600" t="s">
        <v>5</v>
      </c>
      <c r="I600" t="s">
        <v>2338</v>
      </c>
      <c r="J600">
        <v>60114715</v>
      </c>
      <c r="K600" t="s">
        <v>2337</v>
      </c>
      <c r="L600" t="s">
        <v>2336</v>
      </c>
      <c r="M600" t="s">
        <v>13</v>
      </c>
      <c r="N600">
        <v>1</v>
      </c>
      <c r="O600" t="s">
        <v>2335</v>
      </c>
      <c r="P600">
        <v>6701862201</v>
      </c>
      <c r="Q600">
        <v>60114715</v>
      </c>
      <c r="R600" s="7">
        <v>36392</v>
      </c>
      <c r="S600" s="8">
        <f t="shared" si="72"/>
        <v>1999</v>
      </c>
      <c r="T600" s="8">
        <v>1999</v>
      </c>
      <c r="U600" s="8">
        <f t="shared" si="73"/>
        <v>23</v>
      </c>
      <c r="V600" s="7">
        <v>36392</v>
      </c>
      <c r="W600" t="s">
        <v>2334</v>
      </c>
      <c r="X600" s="2">
        <v>0.49</v>
      </c>
      <c r="Y600" s="6">
        <f t="shared" si="74"/>
        <v>1.3080270147620192E-2</v>
      </c>
      <c r="AA600">
        <v>2177323</v>
      </c>
      <c r="AB600">
        <v>29052</v>
      </c>
      <c r="AD600" t="s">
        <v>2</v>
      </c>
      <c r="AE600">
        <v>14</v>
      </c>
      <c r="AF600">
        <v>25</v>
      </c>
      <c r="AH600" t="s">
        <v>2333</v>
      </c>
      <c r="AI600" t="s">
        <v>2332</v>
      </c>
      <c r="AK600" t="s">
        <v>2331</v>
      </c>
      <c r="AL600">
        <v>1</v>
      </c>
      <c r="AM600" s="5">
        <f t="shared" si="75"/>
        <v>4.3478260869565216E-2</v>
      </c>
      <c r="AN600" s="4">
        <f t="shared" si="76"/>
        <v>6.5851209192828807E-5</v>
      </c>
      <c r="AO600" s="3"/>
      <c r="AP600">
        <v>0</v>
      </c>
      <c r="AR600" t="s">
        <v>1</v>
      </c>
      <c r="AT600" s="2">
        <v>2.0659999999999998</v>
      </c>
      <c r="AU600" s="1">
        <f t="shared" si="77"/>
        <v>0.91759444660919809</v>
      </c>
      <c r="AV600" s="1">
        <f t="shared" si="78"/>
        <v>0.65730606784065104</v>
      </c>
      <c r="AW600" s="1">
        <f t="shared" si="79"/>
        <v>0.39701768907210377</v>
      </c>
    </row>
    <row r="601" spans="1:49" x14ac:dyDescent="0.2">
      <c r="A601">
        <v>599</v>
      </c>
      <c r="B601" t="s">
        <v>2330</v>
      </c>
      <c r="C601" t="s">
        <v>2329</v>
      </c>
      <c r="F601" t="s">
        <v>2328</v>
      </c>
      <c r="G601" t="s">
        <v>6</v>
      </c>
      <c r="H601" t="s">
        <v>5</v>
      </c>
      <c r="I601" t="s">
        <v>832</v>
      </c>
      <c r="J601" t="s">
        <v>831</v>
      </c>
      <c r="K601" t="s">
        <v>830</v>
      </c>
      <c r="L601" t="s">
        <v>829</v>
      </c>
      <c r="M601" t="s">
        <v>592</v>
      </c>
      <c r="N601">
        <v>5</v>
      </c>
      <c r="O601" t="s">
        <v>2327</v>
      </c>
      <c r="P601" t="s">
        <v>2326</v>
      </c>
      <c r="Q601" t="s">
        <v>2325</v>
      </c>
      <c r="R601" s="7">
        <v>36391</v>
      </c>
      <c r="S601" s="8">
        <f t="shared" si="72"/>
        <v>1999</v>
      </c>
      <c r="T601" s="8">
        <v>1999</v>
      </c>
      <c r="U601" s="8">
        <f t="shared" si="73"/>
        <v>23</v>
      </c>
      <c r="V601" s="7">
        <v>36391</v>
      </c>
      <c r="W601" t="s">
        <v>227</v>
      </c>
      <c r="X601" s="2">
        <v>0.375</v>
      </c>
      <c r="Y601" s="6">
        <f t="shared" si="74"/>
        <v>1.0010410827260351E-2</v>
      </c>
      <c r="AA601">
        <v>135194</v>
      </c>
      <c r="AB601">
        <v>24918</v>
      </c>
      <c r="AD601" t="s">
        <v>2</v>
      </c>
      <c r="AE601">
        <v>35</v>
      </c>
      <c r="AF601">
        <v>17</v>
      </c>
      <c r="AH601" t="s">
        <v>2324</v>
      </c>
      <c r="AI601" t="s">
        <v>2323</v>
      </c>
      <c r="AK601" t="s">
        <v>2322</v>
      </c>
      <c r="AL601">
        <v>10</v>
      </c>
      <c r="AM601" s="5">
        <f t="shared" si="75"/>
        <v>0.43478260869565216</v>
      </c>
      <c r="AN601" s="4">
        <f t="shared" si="76"/>
        <v>6.5851209192828799E-4</v>
      </c>
      <c r="AO601" s="3"/>
      <c r="AP601">
        <v>0</v>
      </c>
      <c r="AR601" t="s">
        <v>1</v>
      </c>
      <c r="AT601" s="2">
        <v>1.3140000000000001</v>
      </c>
      <c r="AU601" s="1">
        <f t="shared" si="77"/>
        <v>0.72048412066607315</v>
      </c>
      <c r="AV601" s="1">
        <f t="shared" si="78"/>
        <v>0.53344614595943196</v>
      </c>
      <c r="AW601" s="1">
        <f t="shared" si="79"/>
        <v>0.34640817125279066</v>
      </c>
    </row>
    <row r="602" spans="1:49" x14ac:dyDescent="0.2">
      <c r="A602">
        <v>600</v>
      </c>
      <c r="B602" t="s">
        <v>2321</v>
      </c>
      <c r="C602" t="s">
        <v>2320</v>
      </c>
      <c r="F602" t="s">
        <v>2319</v>
      </c>
      <c r="G602" t="s">
        <v>6</v>
      </c>
      <c r="H602" t="s">
        <v>5</v>
      </c>
      <c r="I602" t="s">
        <v>593</v>
      </c>
      <c r="J602">
        <v>60028419</v>
      </c>
      <c r="K602" t="s">
        <v>118</v>
      </c>
      <c r="L602" t="s">
        <v>117</v>
      </c>
      <c r="M602" t="s">
        <v>23</v>
      </c>
      <c r="N602">
        <v>4</v>
      </c>
      <c r="O602" t="s">
        <v>2318</v>
      </c>
      <c r="P602" t="s">
        <v>2317</v>
      </c>
      <c r="Q602" t="s">
        <v>2316</v>
      </c>
      <c r="R602" s="7">
        <v>36391</v>
      </c>
      <c r="S602" s="8">
        <f t="shared" si="72"/>
        <v>1999</v>
      </c>
      <c r="T602" s="8">
        <v>1999</v>
      </c>
      <c r="U602" s="8">
        <f t="shared" si="73"/>
        <v>23</v>
      </c>
      <c r="V602" s="7">
        <v>36391</v>
      </c>
      <c r="W602" t="s">
        <v>227</v>
      </c>
      <c r="X602" s="2">
        <v>0.375</v>
      </c>
      <c r="Y602" s="6">
        <f t="shared" si="74"/>
        <v>1.0010410827260351E-2</v>
      </c>
      <c r="AA602">
        <v>135194</v>
      </c>
      <c r="AB602">
        <v>24918</v>
      </c>
      <c r="AD602" t="s">
        <v>2</v>
      </c>
      <c r="AE602">
        <v>35</v>
      </c>
      <c r="AF602">
        <v>17</v>
      </c>
      <c r="AH602" t="s">
        <v>2315</v>
      </c>
      <c r="AI602" t="s">
        <v>2314</v>
      </c>
      <c r="AK602" t="s">
        <v>2313</v>
      </c>
      <c r="AL602">
        <v>3</v>
      </c>
      <c r="AM602" s="5">
        <f t="shared" si="75"/>
        <v>0.13043478260869565</v>
      </c>
      <c r="AN602" s="4">
        <f t="shared" si="76"/>
        <v>1.9755362757848641E-4</v>
      </c>
      <c r="AO602" s="3"/>
      <c r="AP602">
        <v>0</v>
      </c>
      <c r="AR602" t="s">
        <v>1</v>
      </c>
      <c r="AT602" s="2">
        <v>1.3140000000000001</v>
      </c>
      <c r="AU602" s="1">
        <f t="shared" si="77"/>
        <v>0.70665536673557916</v>
      </c>
      <c r="AV602" s="1">
        <f t="shared" si="78"/>
        <v>0.51039822274194191</v>
      </c>
      <c r="AW602" s="1">
        <f t="shared" si="79"/>
        <v>0.31414107874830455</v>
      </c>
    </row>
    <row r="603" spans="1:49" x14ac:dyDescent="0.2">
      <c r="A603">
        <v>601</v>
      </c>
      <c r="B603" t="s">
        <v>2312</v>
      </c>
      <c r="C603" t="s">
        <v>2311</v>
      </c>
      <c r="F603" t="s">
        <v>2310</v>
      </c>
      <c r="G603" t="s">
        <v>6</v>
      </c>
      <c r="H603" t="s">
        <v>5</v>
      </c>
      <c r="I603" t="s">
        <v>2309</v>
      </c>
      <c r="J603">
        <v>60016912</v>
      </c>
      <c r="K603" t="s">
        <v>2308</v>
      </c>
      <c r="L603" t="s">
        <v>259</v>
      </c>
      <c r="M603" t="s">
        <v>45</v>
      </c>
      <c r="N603">
        <v>3</v>
      </c>
      <c r="O603" t="s">
        <v>2307</v>
      </c>
      <c r="P603" t="s">
        <v>2306</v>
      </c>
      <c r="Q603" t="s">
        <v>2305</v>
      </c>
      <c r="R603" s="7">
        <v>36391</v>
      </c>
      <c r="S603" s="8">
        <f t="shared" si="72"/>
        <v>1999</v>
      </c>
      <c r="T603" s="8">
        <v>1999</v>
      </c>
      <c r="U603" s="8">
        <f t="shared" si="73"/>
        <v>23</v>
      </c>
      <c r="V603" s="7">
        <v>36391</v>
      </c>
      <c r="W603" t="s">
        <v>227</v>
      </c>
      <c r="X603" s="2">
        <v>0.375</v>
      </c>
      <c r="Y603" s="6">
        <f t="shared" si="74"/>
        <v>1.0010410827260351E-2</v>
      </c>
      <c r="AA603">
        <v>135194</v>
      </c>
      <c r="AB603">
        <v>24918</v>
      </c>
      <c r="AD603" t="s">
        <v>2</v>
      </c>
      <c r="AE603">
        <v>35</v>
      </c>
      <c r="AF603">
        <v>17</v>
      </c>
      <c r="AH603" t="s">
        <v>2304</v>
      </c>
      <c r="AI603" t="s">
        <v>2303</v>
      </c>
      <c r="AK603" t="s">
        <v>2302</v>
      </c>
      <c r="AL603">
        <v>26</v>
      </c>
      <c r="AM603" s="5">
        <f t="shared" si="75"/>
        <v>1.1304347826086956</v>
      </c>
      <c r="AN603" s="4">
        <f t="shared" si="76"/>
        <v>1.7121314390135488E-3</v>
      </c>
      <c r="AO603" s="3"/>
      <c r="AP603">
        <v>0</v>
      </c>
      <c r="AR603" t="s">
        <v>1</v>
      </c>
      <c r="AT603" s="2">
        <v>1.3140000000000001</v>
      </c>
      <c r="AU603" s="1">
        <f t="shared" si="77"/>
        <v>0.75209270107863102</v>
      </c>
      <c r="AV603" s="1">
        <f t="shared" si="78"/>
        <v>0.58612711331369494</v>
      </c>
      <c r="AW603" s="1">
        <f t="shared" si="79"/>
        <v>0.42016152554875891</v>
      </c>
    </row>
    <row r="604" spans="1:49" x14ac:dyDescent="0.2">
      <c r="A604">
        <v>602</v>
      </c>
      <c r="B604" t="s">
        <v>2301</v>
      </c>
      <c r="C604" t="s">
        <v>2300</v>
      </c>
      <c r="F604" t="s">
        <v>2299</v>
      </c>
      <c r="G604" t="s">
        <v>6</v>
      </c>
      <c r="H604" t="s">
        <v>5</v>
      </c>
      <c r="I604" t="s">
        <v>351</v>
      </c>
      <c r="J604">
        <v>60030553</v>
      </c>
      <c r="K604" t="s">
        <v>350</v>
      </c>
      <c r="L604" t="s">
        <v>179</v>
      </c>
      <c r="M604" t="s">
        <v>47</v>
      </c>
      <c r="N604">
        <v>3</v>
      </c>
      <c r="O604" t="s">
        <v>349</v>
      </c>
      <c r="P604" t="s">
        <v>348</v>
      </c>
      <c r="Q604" t="s">
        <v>347</v>
      </c>
      <c r="R604" s="7">
        <v>36391</v>
      </c>
      <c r="S604" s="8">
        <f t="shared" si="72"/>
        <v>1999</v>
      </c>
      <c r="T604" s="8">
        <v>1999</v>
      </c>
      <c r="U604" s="8">
        <f t="shared" si="73"/>
        <v>23</v>
      </c>
      <c r="V604" s="7">
        <v>36391</v>
      </c>
      <c r="W604" t="s">
        <v>227</v>
      </c>
      <c r="X604" s="2">
        <v>0.375</v>
      </c>
      <c r="Y604" s="6">
        <f t="shared" si="74"/>
        <v>1.0010410827260351E-2</v>
      </c>
      <c r="AA604">
        <v>135194</v>
      </c>
      <c r="AB604">
        <v>24918</v>
      </c>
      <c r="AD604" t="s">
        <v>2</v>
      </c>
      <c r="AE604">
        <v>35</v>
      </c>
      <c r="AF604">
        <v>17</v>
      </c>
      <c r="AH604" t="s">
        <v>2298</v>
      </c>
      <c r="AI604" t="s">
        <v>2297</v>
      </c>
      <c r="AK604" t="s">
        <v>2296</v>
      </c>
      <c r="AL604">
        <v>10</v>
      </c>
      <c r="AM604" s="5">
        <f t="shared" si="75"/>
        <v>0.43478260869565216</v>
      </c>
      <c r="AN604" s="4">
        <f t="shared" si="76"/>
        <v>6.5851209192828799E-4</v>
      </c>
      <c r="AO604" s="3"/>
      <c r="AP604">
        <v>0</v>
      </c>
      <c r="AR604" t="s">
        <v>1</v>
      </c>
      <c r="AT604" s="2">
        <v>1.3140000000000001</v>
      </c>
      <c r="AU604" s="1">
        <f t="shared" si="77"/>
        <v>0.72048412066607315</v>
      </c>
      <c r="AV604" s="1">
        <f t="shared" si="78"/>
        <v>0.53344614595943196</v>
      </c>
      <c r="AW604" s="1">
        <f t="shared" si="79"/>
        <v>0.34640817125279066</v>
      </c>
    </row>
    <row r="605" spans="1:49" x14ac:dyDescent="0.2">
      <c r="A605">
        <v>603</v>
      </c>
      <c r="B605" t="s">
        <v>2295</v>
      </c>
      <c r="C605" t="s">
        <v>2294</v>
      </c>
      <c r="F605" t="s">
        <v>2293</v>
      </c>
      <c r="G605" t="s">
        <v>6</v>
      </c>
      <c r="H605" t="s">
        <v>5</v>
      </c>
      <c r="I605" t="s">
        <v>2292</v>
      </c>
      <c r="N605">
        <v>4</v>
      </c>
      <c r="O605" t="s">
        <v>2291</v>
      </c>
      <c r="P605" t="s">
        <v>2290</v>
      </c>
      <c r="Q605" t="s">
        <v>112</v>
      </c>
      <c r="R605" s="7">
        <v>36391</v>
      </c>
      <c r="S605" s="8">
        <f t="shared" si="72"/>
        <v>1999</v>
      </c>
      <c r="T605" s="8">
        <v>1999</v>
      </c>
      <c r="U605" s="8">
        <f t="shared" si="73"/>
        <v>23</v>
      </c>
      <c r="V605" s="7">
        <v>36391</v>
      </c>
      <c r="W605" t="s">
        <v>227</v>
      </c>
      <c r="X605" s="2">
        <v>0.375</v>
      </c>
      <c r="Y605" s="6">
        <f t="shared" si="74"/>
        <v>1.0010410827260351E-2</v>
      </c>
      <c r="AA605">
        <v>135194</v>
      </c>
      <c r="AB605">
        <v>24918</v>
      </c>
      <c r="AD605" t="s">
        <v>2</v>
      </c>
      <c r="AE605">
        <v>35</v>
      </c>
      <c r="AF605">
        <v>17</v>
      </c>
      <c r="AH605" t="s">
        <v>2289</v>
      </c>
      <c r="AI605" t="s">
        <v>2288</v>
      </c>
      <c r="AK605" t="s">
        <v>2287</v>
      </c>
      <c r="AL605">
        <v>2</v>
      </c>
      <c r="AM605" s="5">
        <f t="shared" si="75"/>
        <v>8.6956521739130432E-2</v>
      </c>
      <c r="AN605" s="4">
        <f t="shared" si="76"/>
        <v>1.3170241838565761E-4</v>
      </c>
      <c r="AO605" s="3"/>
      <c r="AP605">
        <v>0</v>
      </c>
      <c r="AR605" t="s">
        <v>1</v>
      </c>
      <c r="AT605" s="2">
        <v>1.3140000000000001</v>
      </c>
      <c r="AU605" s="1">
        <f t="shared" si="77"/>
        <v>0.70467983045979432</v>
      </c>
      <c r="AV605" s="1">
        <f t="shared" si="78"/>
        <v>0.50710566228230036</v>
      </c>
      <c r="AW605" s="1">
        <f t="shared" si="79"/>
        <v>0.30953149410480657</v>
      </c>
    </row>
    <row r="606" spans="1:49" x14ac:dyDescent="0.2">
      <c r="A606">
        <v>604</v>
      </c>
      <c r="B606" t="s">
        <v>2286</v>
      </c>
      <c r="C606" t="s">
        <v>2285</v>
      </c>
      <c r="F606" t="s">
        <v>2284</v>
      </c>
      <c r="G606" t="s">
        <v>6</v>
      </c>
      <c r="H606" t="s">
        <v>5</v>
      </c>
      <c r="I606" t="s">
        <v>661</v>
      </c>
      <c r="J606" t="s">
        <v>2283</v>
      </c>
      <c r="K606" t="s">
        <v>2282</v>
      </c>
      <c r="L606" t="s">
        <v>2281</v>
      </c>
      <c r="M606" t="s">
        <v>346</v>
      </c>
      <c r="N606">
        <v>3</v>
      </c>
      <c r="O606" t="s">
        <v>2280</v>
      </c>
      <c r="P606" t="s">
        <v>2279</v>
      </c>
      <c r="Q606" t="s">
        <v>2278</v>
      </c>
      <c r="R606" s="7">
        <v>36391</v>
      </c>
      <c r="S606" s="8">
        <f t="shared" si="72"/>
        <v>1999</v>
      </c>
      <c r="T606" s="8">
        <v>1999</v>
      </c>
      <c r="U606" s="8">
        <f t="shared" si="73"/>
        <v>23</v>
      </c>
      <c r="V606" s="7">
        <v>36391</v>
      </c>
      <c r="W606" t="s">
        <v>227</v>
      </c>
      <c r="X606" s="2">
        <v>0.375</v>
      </c>
      <c r="Y606" s="6">
        <f t="shared" si="74"/>
        <v>1.0010410827260351E-2</v>
      </c>
      <c r="AA606">
        <v>135194</v>
      </c>
      <c r="AB606">
        <v>24918</v>
      </c>
      <c r="AD606" t="s">
        <v>2</v>
      </c>
      <c r="AE606">
        <v>35</v>
      </c>
      <c r="AF606">
        <v>17</v>
      </c>
      <c r="AH606" t="s">
        <v>2277</v>
      </c>
      <c r="AI606" t="s">
        <v>2276</v>
      </c>
      <c r="AK606" t="s">
        <v>2275</v>
      </c>
      <c r="AL606">
        <v>69</v>
      </c>
      <c r="AM606" s="5">
        <f t="shared" si="75"/>
        <v>3</v>
      </c>
      <c r="AN606" s="4">
        <f t="shared" si="76"/>
        <v>4.5437334343051876E-3</v>
      </c>
      <c r="AO606" s="3"/>
      <c r="AP606">
        <v>0</v>
      </c>
      <c r="AR606" t="s">
        <v>1</v>
      </c>
      <c r="AT606" s="2">
        <v>1.3140000000000001</v>
      </c>
      <c r="AU606" s="1">
        <f t="shared" si="77"/>
        <v>0.83704076093738011</v>
      </c>
      <c r="AV606" s="1">
        <f t="shared" si="78"/>
        <v>0.7277072130782769</v>
      </c>
      <c r="AW606" s="1">
        <f t="shared" si="79"/>
        <v>0.6183736652191737</v>
      </c>
    </row>
    <row r="607" spans="1:49" x14ac:dyDescent="0.2">
      <c r="A607">
        <v>605</v>
      </c>
      <c r="B607" t="s">
        <v>2274</v>
      </c>
      <c r="C607" t="s">
        <v>2273</v>
      </c>
      <c r="F607" t="s">
        <v>2272</v>
      </c>
      <c r="G607" t="s">
        <v>6</v>
      </c>
      <c r="H607" t="s">
        <v>5</v>
      </c>
      <c r="I607" t="s">
        <v>2271</v>
      </c>
      <c r="J607" t="s">
        <v>2270</v>
      </c>
      <c r="K607" t="s">
        <v>2269</v>
      </c>
      <c r="L607" t="s">
        <v>2268</v>
      </c>
      <c r="M607" t="s">
        <v>2267</v>
      </c>
      <c r="N607">
        <v>1</v>
      </c>
      <c r="O607" t="s">
        <v>2266</v>
      </c>
      <c r="P607">
        <v>15623757700</v>
      </c>
      <c r="Q607" t="s">
        <v>2265</v>
      </c>
      <c r="R607" s="7">
        <v>36391</v>
      </c>
      <c r="S607" s="8">
        <f t="shared" si="72"/>
        <v>1999</v>
      </c>
      <c r="T607" s="8">
        <v>1999</v>
      </c>
      <c r="U607" s="8">
        <f t="shared" si="73"/>
        <v>23</v>
      </c>
      <c r="V607" s="7">
        <v>36391</v>
      </c>
      <c r="W607" t="s">
        <v>227</v>
      </c>
      <c r="X607" s="2">
        <v>0.375</v>
      </c>
      <c r="Y607" s="6">
        <f t="shared" si="74"/>
        <v>1.0010410827260351E-2</v>
      </c>
      <c r="AA607">
        <v>135194</v>
      </c>
      <c r="AB607">
        <v>24918</v>
      </c>
      <c r="AD607" t="s">
        <v>2</v>
      </c>
      <c r="AE607">
        <v>35</v>
      </c>
      <c r="AF607">
        <v>17</v>
      </c>
      <c r="AH607" t="s">
        <v>2264</v>
      </c>
      <c r="AI607" t="s">
        <v>2263</v>
      </c>
      <c r="AK607" t="s">
        <v>2262</v>
      </c>
      <c r="AL607">
        <v>18</v>
      </c>
      <c r="AM607" s="5">
        <f t="shared" si="75"/>
        <v>0.78260869565217395</v>
      </c>
      <c r="AN607" s="4">
        <f t="shared" si="76"/>
        <v>1.1853217654709185E-3</v>
      </c>
      <c r="AO607" s="3"/>
      <c r="AP607">
        <v>0</v>
      </c>
      <c r="AR607" t="s">
        <v>1</v>
      </c>
      <c r="AT607" s="2">
        <v>1.3140000000000001</v>
      </c>
      <c r="AU607" s="1">
        <f t="shared" si="77"/>
        <v>0.73628841087235219</v>
      </c>
      <c r="AV607" s="1">
        <f t="shared" si="78"/>
        <v>0.55978662963656356</v>
      </c>
      <c r="AW607" s="1">
        <f t="shared" si="79"/>
        <v>0.38328484840077476</v>
      </c>
    </row>
    <row r="608" spans="1:49" x14ac:dyDescent="0.2">
      <c r="A608">
        <v>606</v>
      </c>
      <c r="B608" t="s">
        <v>2261</v>
      </c>
      <c r="C608" t="s">
        <v>2260</v>
      </c>
      <c r="F608" t="s">
        <v>2259</v>
      </c>
      <c r="G608" t="s">
        <v>6</v>
      </c>
      <c r="H608" t="s">
        <v>5</v>
      </c>
      <c r="I608" t="s">
        <v>502</v>
      </c>
      <c r="J608" t="s">
        <v>501</v>
      </c>
      <c r="K608" t="s">
        <v>500</v>
      </c>
      <c r="L608" t="s">
        <v>499</v>
      </c>
      <c r="M608" t="s">
        <v>180</v>
      </c>
      <c r="N608">
        <v>3</v>
      </c>
      <c r="O608" t="s">
        <v>2258</v>
      </c>
      <c r="P608" t="s">
        <v>2257</v>
      </c>
      <c r="Q608" t="s">
        <v>2256</v>
      </c>
      <c r="R608" s="7">
        <v>36391</v>
      </c>
      <c r="S608" s="8">
        <f t="shared" si="72"/>
        <v>1999</v>
      </c>
      <c r="T608" s="8">
        <v>1999</v>
      </c>
      <c r="U608" s="8">
        <f t="shared" si="73"/>
        <v>23</v>
      </c>
      <c r="V608" s="7">
        <v>36391</v>
      </c>
      <c r="W608" t="s">
        <v>227</v>
      </c>
      <c r="X608" s="2">
        <v>0.375</v>
      </c>
      <c r="Y608" s="6">
        <f t="shared" si="74"/>
        <v>1.0010410827260351E-2</v>
      </c>
      <c r="AA608">
        <v>135194</v>
      </c>
      <c r="AB608">
        <v>24918</v>
      </c>
      <c r="AD608" t="s">
        <v>2</v>
      </c>
      <c r="AE608">
        <v>35</v>
      </c>
      <c r="AF608">
        <v>17</v>
      </c>
      <c r="AH608" t="s">
        <v>2255</v>
      </c>
      <c r="AI608" t="s">
        <v>2254</v>
      </c>
      <c r="AK608" t="s">
        <v>2253</v>
      </c>
      <c r="AL608">
        <v>0</v>
      </c>
      <c r="AM608" s="5">
        <f t="shared" si="75"/>
        <v>0</v>
      </c>
      <c r="AN608" s="4">
        <f t="shared" si="76"/>
        <v>0</v>
      </c>
      <c r="AO608" s="3"/>
      <c r="AP608">
        <v>0</v>
      </c>
      <c r="AR608" t="s">
        <v>1</v>
      </c>
      <c r="AT608" s="2">
        <v>1.3140000000000001</v>
      </c>
      <c r="AU608" s="1">
        <f t="shared" si="77"/>
        <v>0.70072875790822453</v>
      </c>
      <c r="AV608" s="1">
        <f t="shared" si="78"/>
        <v>0.5005205413630176</v>
      </c>
      <c r="AW608" s="1">
        <f t="shared" si="79"/>
        <v>0.30031232481781051</v>
      </c>
    </row>
    <row r="609" spans="1:49" x14ac:dyDescent="0.2">
      <c r="A609">
        <v>607</v>
      </c>
      <c r="B609" t="s">
        <v>2252</v>
      </c>
      <c r="C609" t="s">
        <v>2251</v>
      </c>
      <c r="F609" t="s">
        <v>2250</v>
      </c>
      <c r="G609" t="s">
        <v>6</v>
      </c>
      <c r="H609" t="s">
        <v>5</v>
      </c>
      <c r="I609" t="s">
        <v>2249</v>
      </c>
      <c r="J609">
        <v>60013983</v>
      </c>
      <c r="K609" t="s">
        <v>324</v>
      </c>
      <c r="L609" t="s">
        <v>323</v>
      </c>
      <c r="M609" t="s">
        <v>322</v>
      </c>
      <c r="N609">
        <v>3</v>
      </c>
      <c r="O609" t="s">
        <v>2248</v>
      </c>
      <c r="P609" t="s">
        <v>2247</v>
      </c>
      <c r="Q609" t="s">
        <v>321</v>
      </c>
      <c r="R609" s="7">
        <v>36391</v>
      </c>
      <c r="S609" s="8">
        <f t="shared" si="72"/>
        <v>1999</v>
      </c>
      <c r="T609" s="8">
        <v>1999</v>
      </c>
      <c r="U609" s="8">
        <f t="shared" si="73"/>
        <v>23</v>
      </c>
      <c r="V609" s="7">
        <v>36391</v>
      </c>
      <c r="W609" t="s">
        <v>227</v>
      </c>
      <c r="X609" s="2">
        <v>0.375</v>
      </c>
      <c r="Y609" s="6">
        <f t="shared" si="74"/>
        <v>1.0010410827260351E-2</v>
      </c>
      <c r="AA609">
        <v>135194</v>
      </c>
      <c r="AB609">
        <v>24918</v>
      </c>
      <c r="AD609" t="s">
        <v>2</v>
      </c>
      <c r="AE609">
        <v>35</v>
      </c>
      <c r="AF609">
        <v>17</v>
      </c>
      <c r="AH609" t="s">
        <v>2246</v>
      </c>
      <c r="AI609" t="s">
        <v>2245</v>
      </c>
      <c r="AK609" t="s">
        <v>2244</v>
      </c>
      <c r="AL609">
        <v>2</v>
      </c>
      <c r="AM609" s="5">
        <f t="shared" si="75"/>
        <v>8.6956521739130432E-2</v>
      </c>
      <c r="AN609" s="4">
        <f t="shared" si="76"/>
        <v>1.3170241838565761E-4</v>
      </c>
      <c r="AO609" s="3"/>
      <c r="AP609">
        <v>0</v>
      </c>
      <c r="AR609" t="s">
        <v>1</v>
      </c>
      <c r="AT609" s="2">
        <v>1.3140000000000001</v>
      </c>
      <c r="AU609" s="1">
        <f t="shared" si="77"/>
        <v>0.70467983045979432</v>
      </c>
      <c r="AV609" s="1">
        <f t="shared" si="78"/>
        <v>0.50710566228230036</v>
      </c>
      <c r="AW609" s="1">
        <f t="shared" si="79"/>
        <v>0.30953149410480657</v>
      </c>
    </row>
    <row r="610" spans="1:49" x14ac:dyDescent="0.2">
      <c r="A610">
        <v>608</v>
      </c>
      <c r="B610" t="s">
        <v>2243</v>
      </c>
      <c r="C610" t="s">
        <v>2242</v>
      </c>
      <c r="F610" t="s">
        <v>2241</v>
      </c>
      <c r="G610" t="s">
        <v>6</v>
      </c>
      <c r="H610" t="s">
        <v>5</v>
      </c>
      <c r="I610" t="s">
        <v>2240</v>
      </c>
      <c r="J610">
        <v>60022109</v>
      </c>
      <c r="K610" t="s">
        <v>861</v>
      </c>
      <c r="L610" t="s">
        <v>450</v>
      </c>
      <c r="M610" t="s">
        <v>58</v>
      </c>
      <c r="N610">
        <v>3</v>
      </c>
      <c r="O610" t="s">
        <v>2239</v>
      </c>
      <c r="P610" t="s">
        <v>2238</v>
      </c>
      <c r="Q610" t="s">
        <v>2237</v>
      </c>
      <c r="R610" s="7">
        <v>36391</v>
      </c>
      <c r="S610" s="8">
        <f t="shared" si="72"/>
        <v>1999</v>
      </c>
      <c r="T610" s="8">
        <v>1999</v>
      </c>
      <c r="U610" s="8">
        <f t="shared" si="73"/>
        <v>23</v>
      </c>
      <c r="V610" s="7">
        <v>36391</v>
      </c>
      <c r="W610" t="s">
        <v>227</v>
      </c>
      <c r="X610" s="2">
        <v>0.375</v>
      </c>
      <c r="Y610" s="6">
        <f t="shared" si="74"/>
        <v>1.0010410827260351E-2</v>
      </c>
      <c r="AA610">
        <v>135194</v>
      </c>
      <c r="AB610">
        <v>24918</v>
      </c>
      <c r="AD610" t="s">
        <v>2</v>
      </c>
      <c r="AE610">
        <v>35</v>
      </c>
      <c r="AF610">
        <v>17</v>
      </c>
      <c r="AH610" t="s">
        <v>2236</v>
      </c>
      <c r="AI610" t="s">
        <v>2235</v>
      </c>
      <c r="AK610" t="s">
        <v>2234</v>
      </c>
      <c r="AL610">
        <v>7</v>
      </c>
      <c r="AM610" s="5">
        <f t="shared" si="75"/>
        <v>0.30434782608695654</v>
      </c>
      <c r="AN610" s="4">
        <f t="shared" si="76"/>
        <v>4.6095846434980164E-4</v>
      </c>
      <c r="AO610" s="3"/>
      <c r="AP610">
        <v>0</v>
      </c>
      <c r="AR610" t="s">
        <v>1</v>
      </c>
      <c r="AT610" s="2">
        <v>1.3140000000000001</v>
      </c>
      <c r="AU610" s="1">
        <f t="shared" si="77"/>
        <v>0.71455751183871863</v>
      </c>
      <c r="AV610" s="1">
        <f t="shared" si="78"/>
        <v>0.52356846458050765</v>
      </c>
      <c r="AW610" s="1">
        <f t="shared" si="79"/>
        <v>0.33257941732229662</v>
      </c>
    </row>
    <row r="611" spans="1:49" x14ac:dyDescent="0.2">
      <c r="A611">
        <v>609</v>
      </c>
      <c r="B611" t="s">
        <v>2233</v>
      </c>
      <c r="C611" t="s">
        <v>2232</v>
      </c>
      <c r="F611" t="s">
        <v>2231</v>
      </c>
      <c r="G611" t="s">
        <v>6</v>
      </c>
      <c r="H611" t="s">
        <v>5</v>
      </c>
      <c r="I611" t="s">
        <v>2230</v>
      </c>
      <c r="J611">
        <v>60009506</v>
      </c>
      <c r="K611" t="s">
        <v>2229</v>
      </c>
      <c r="L611" t="s">
        <v>2228</v>
      </c>
      <c r="M611" t="s">
        <v>2227</v>
      </c>
      <c r="N611">
        <v>2</v>
      </c>
      <c r="O611" t="s">
        <v>2226</v>
      </c>
      <c r="P611" t="s">
        <v>2225</v>
      </c>
      <c r="Q611" t="s">
        <v>2224</v>
      </c>
      <c r="R611" s="7">
        <v>36391</v>
      </c>
      <c r="S611" s="8">
        <f t="shared" si="72"/>
        <v>1999</v>
      </c>
      <c r="T611" s="8">
        <v>1999</v>
      </c>
      <c r="U611" s="8">
        <f t="shared" si="73"/>
        <v>23</v>
      </c>
      <c r="V611" s="7">
        <v>36391</v>
      </c>
      <c r="W611" t="s">
        <v>227</v>
      </c>
      <c r="X611" s="2">
        <v>0.375</v>
      </c>
      <c r="Y611" s="6">
        <f t="shared" si="74"/>
        <v>1.0010410827260351E-2</v>
      </c>
      <c r="AA611">
        <v>135194</v>
      </c>
      <c r="AB611">
        <v>24918</v>
      </c>
      <c r="AD611" t="s">
        <v>2</v>
      </c>
      <c r="AE611">
        <v>35</v>
      </c>
      <c r="AF611">
        <v>17</v>
      </c>
      <c r="AH611" t="s">
        <v>2223</v>
      </c>
      <c r="AI611" t="s">
        <v>2222</v>
      </c>
      <c r="AK611" t="s">
        <v>2221</v>
      </c>
      <c r="AL611">
        <v>1</v>
      </c>
      <c r="AM611" s="5">
        <f t="shared" si="75"/>
        <v>4.3478260869565216E-2</v>
      </c>
      <c r="AN611" s="4">
        <f t="shared" si="76"/>
        <v>6.5851209192828807E-5</v>
      </c>
      <c r="AO611" s="3"/>
      <c r="AP611">
        <v>0</v>
      </c>
      <c r="AR611" t="s">
        <v>1</v>
      </c>
      <c r="AT611" s="2">
        <v>1.3140000000000001</v>
      </c>
      <c r="AU611" s="1">
        <f t="shared" si="77"/>
        <v>0.70270429418400948</v>
      </c>
      <c r="AV611" s="1">
        <f t="shared" si="78"/>
        <v>0.50381310182265904</v>
      </c>
      <c r="AW611" s="1">
        <f t="shared" si="79"/>
        <v>0.30492190946130854</v>
      </c>
    </row>
    <row r="612" spans="1:49" x14ac:dyDescent="0.2">
      <c r="A612">
        <v>610</v>
      </c>
      <c r="B612" t="s">
        <v>2220</v>
      </c>
      <c r="C612" t="s">
        <v>2219</v>
      </c>
      <c r="D612" t="s">
        <v>2218</v>
      </c>
      <c r="F612" t="s">
        <v>2217</v>
      </c>
      <c r="G612" t="s">
        <v>6</v>
      </c>
      <c r="H612" t="s">
        <v>5</v>
      </c>
      <c r="I612" t="s">
        <v>2216</v>
      </c>
      <c r="J612">
        <v>60025038</v>
      </c>
      <c r="K612" t="s">
        <v>2215</v>
      </c>
      <c r="L612" t="s">
        <v>2214</v>
      </c>
      <c r="M612" t="s">
        <v>3</v>
      </c>
      <c r="N612">
        <v>3</v>
      </c>
      <c r="O612" t="s">
        <v>2213</v>
      </c>
      <c r="P612" t="s">
        <v>2212</v>
      </c>
      <c r="Q612" t="s">
        <v>2211</v>
      </c>
      <c r="R612" s="7">
        <v>36389</v>
      </c>
      <c r="S612" s="8">
        <f t="shared" si="72"/>
        <v>1999</v>
      </c>
      <c r="T612" s="8">
        <v>1999</v>
      </c>
      <c r="U612" s="8">
        <f t="shared" si="73"/>
        <v>23</v>
      </c>
      <c r="V612" s="7">
        <v>36389</v>
      </c>
      <c r="W612" t="s">
        <v>2210</v>
      </c>
      <c r="X612" s="2">
        <v>0.96499999999999997</v>
      </c>
      <c r="Y612" s="6">
        <f t="shared" si="74"/>
        <v>2.5760123862149969E-2</v>
      </c>
      <c r="AA612">
        <v>220981</v>
      </c>
      <c r="AB612">
        <v>29606</v>
      </c>
      <c r="AD612" t="s">
        <v>2</v>
      </c>
      <c r="AE612">
        <v>241</v>
      </c>
      <c r="AF612">
        <v>2</v>
      </c>
      <c r="AH612" t="s">
        <v>2209</v>
      </c>
      <c r="AI612" t="s">
        <v>2208</v>
      </c>
      <c r="AJ612" t="s">
        <v>2207</v>
      </c>
      <c r="AK612" t="s">
        <v>2206</v>
      </c>
      <c r="AL612">
        <v>36</v>
      </c>
      <c r="AM612" s="5">
        <f t="shared" si="75"/>
        <v>1.5652173913043479</v>
      </c>
      <c r="AN612" s="4">
        <f t="shared" si="76"/>
        <v>2.3706435309418369E-3</v>
      </c>
      <c r="AO612" s="3"/>
      <c r="AP612">
        <v>0</v>
      </c>
      <c r="AQ612" t="s">
        <v>160</v>
      </c>
      <c r="AR612" t="s">
        <v>2205</v>
      </c>
      <c r="AS612" t="s">
        <v>159</v>
      </c>
      <c r="AT612" s="2" t="s">
        <v>0</v>
      </c>
      <c r="AU612" s="1">
        <f t="shared" si="77"/>
        <v>1.8743279762787526</v>
      </c>
      <c r="AV612" s="1">
        <f t="shared" si="78"/>
        <v>1.4065383696545903</v>
      </c>
      <c r="AW612" s="1">
        <f t="shared" si="79"/>
        <v>0.93874876303042754</v>
      </c>
    </row>
    <row r="613" spans="1:49" x14ac:dyDescent="0.2">
      <c r="A613">
        <v>611</v>
      </c>
      <c r="B613" t="s">
        <v>2204</v>
      </c>
      <c r="F613" t="s">
        <v>2203</v>
      </c>
      <c r="G613" t="s">
        <v>6</v>
      </c>
      <c r="H613" t="s">
        <v>5</v>
      </c>
      <c r="I613" t="s">
        <v>2202</v>
      </c>
      <c r="J613">
        <v>60007670</v>
      </c>
      <c r="K613" t="s">
        <v>2201</v>
      </c>
      <c r="L613" t="s">
        <v>219</v>
      </c>
      <c r="M613" t="s">
        <v>3</v>
      </c>
      <c r="N613">
        <v>1</v>
      </c>
      <c r="O613" t="s">
        <v>2200</v>
      </c>
      <c r="P613">
        <v>7403681352</v>
      </c>
      <c r="Q613">
        <v>60007670</v>
      </c>
      <c r="R613" s="7">
        <v>36388</v>
      </c>
      <c r="S613" s="8">
        <f t="shared" si="72"/>
        <v>1999</v>
      </c>
      <c r="T613" s="8">
        <v>1999</v>
      </c>
      <c r="U613" s="8">
        <f t="shared" si="73"/>
        <v>23</v>
      </c>
      <c r="V613" s="7">
        <v>36388</v>
      </c>
      <c r="W613" t="s">
        <v>2199</v>
      </c>
      <c r="X613" s="2">
        <v>0.28199999999999997</v>
      </c>
      <c r="Y613" s="6">
        <f t="shared" si="74"/>
        <v>7.527828942099783E-3</v>
      </c>
      <c r="AA613">
        <v>240966</v>
      </c>
      <c r="AB613">
        <v>20995</v>
      </c>
      <c r="AD613" t="s">
        <v>2</v>
      </c>
      <c r="AE613">
        <v>52</v>
      </c>
      <c r="AF613">
        <v>4</v>
      </c>
      <c r="AH613" t="s">
        <v>2198</v>
      </c>
      <c r="AI613" t="s">
        <v>2197</v>
      </c>
      <c r="AJ613" t="s">
        <v>2196</v>
      </c>
      <c r="AK613" t="s">
        <v>2195</v>
      </c>
      <c r="AL613">
        <v>6</v>
      </c>
      <c r="AM613" s="5">
        <f t="shared" si="75"/>
        <v>0.2608695652173913</v>
      </c>
      <c r="AN613" s="4">
        <f t="shared" si="76"/>
        <v>3.9510725515697282E-4</v>
      </c>
      <c r="AO613" s="3"/>
      <c r="AP613">
        <v>0</v>
      </c>
      <c r="AR613" t="s">
        <v>1</v>
      </c>
      <c r="AT613" s="2" t="s">
        <v>0</v>
      </c>
      <c r="AU613" s="1">
        <f t="shared" si="77"/>
        <v>0.53880124360169401</v>
      </c>
      <c r="AV613" s="1">
        <f t="shared" si="78"/>
        <v>0.39614680986283779</v>
      </c>
      <c r="AW613" s="1">
        <f t="shared" si="79"/>
        <v>0.25349237612398157</v>
      </c>
    </row>
    <row r="614" spans="1:49" x14ac:dyDescent="0.2">
      <c r="A614">
        <v>612</v>
      </c>
      <c r="B614" t="s">
        <v>2194</v>
      </c>
      <c r="C614" t="s">
        <v>2193</v>
      </c>
      <c r="D614" t="s">
        <v>2192</v>
      </c>
      <c r="E614">
        <v>10433835</v>
      </c>
      <c r="F614" t="s">
        <v>2191</v>
      </c>
      <c r="G614" t="s">
        <v>6</v>
      </c>
      <c r="H614" t="s">
        <v>5</v>
      </c>
      <c r="I614" t="s">
        <v>2190</v>
      </c>
      <c r="J614">
        <v>60027950</v>
      </c>
      <c r="K614" t="s">
        <v>278</v>
      </c>
      <c r="L614" t="s">
        <v>277</v>
      </c>
      <c r="M614" t="s">
        <v>3</v>
      </c>
      <c r="N614">
        <v>2</v>
      </c>
      <c r="O614" t="s">
        <v>2189</v>
      </c>
      <c r="P614" t="s">
        <v>2188</v>
      </c>
      <c r="Q614" t="s">
        <v>2187</v>
      </c>
      <c r="R614" s="7">
        <v>36387</v>
      </c>
      <c r="S614" s="8">
        <f t="shared" si="72"/>
        <v>1999</v>
      </c>
      <c r="T614" s="8">
        <v>1999</v>
      </c>
      <c r="U614" s="8">
        <f t="shared" si="73"/>
        <v>23</v>
      </c>
      <c r="V614" s="7">
        <v>36387</v>
      </c>
      <c r="W614" t="s">
        <v>1485</v>
      </c>
      <c r="X614" s="2">
        <v>1.77</v>
      </c>
      <c r="Y614" s="6">
        <f t="shared" si="74"/>
        <v>4.7249139104668859E-2</v>
      </c>
      <c r="AA614">
        <v>121606</v>
      </c>
      <c r="AB614">
        <v>14536</v>
      </c>
      <c r="AD614" t="s">
        <v>2</v>
      </c>
      <c r="AE614">
        <v>212</v>
      </c>
      <c r="AF614">
        <v>2</v>
      </c>
      <c r="AH614" t="s">
        <v>2186</v>
      </c>
      <c r="AI614" t="s">
        <v>2185</v>
      </c>
      <c r="AJ614" t="s">
        <v>2184</v>
      </c>
      <c r="AK614" t="s">
        <v>2183</v>
      </c>
      <c r="AL614">
        <v>11</v>
      </c>
      <c r="AM614" s="5">
        <f t="shared" si="75"/>
        <v>0.47826086956521741</v>
      </c>
      <c r="AN614" s="4">
        <f t="shared" si="76"/>
        <v>7.2436330112111687E-4</v>
      </c>
      <c r="AO614" s="3"/>
      <c r="AP614">
        <v>1</v>
      </c>
      <c r="AQ614" t="s">
        <v>757</v>
      </c>
      <c r="AR614" t="s">
        <v>2182</v>
      </c>
      <c r="AS614" t="s">
        <v>756</v>
      </c>
      <c r="AT614" s="2">
        <v>3.5819999999999999</v>
      </c>
      <c r="AU614" s="1">
        <f t="shared" si="77"/>
        <v>3.3291706363604532</v>
      </c>
      <c r="AV614" s="1">
        <f t="shared" si="78"/>
        <v>2.3986751202894991</v>
      </c>
      <c r="AW614" s="1">
        <f t="shared" si="79"/>
        <v>1.4681796042185438</v>
      </c>
    </row>
    <row r="615" spans="1:49" x14ac:dyDescent="0.2">
      <c r="A615">
        <v>613</v>
      </c>
      <c r="B615" t="s">
        <v>2181</v>
      </c>
      <c r="C615" t="s">
        <v>2180</v>
      </c>
      <c r="E615">
        <v>10470500</v>
      </c>
      <c r="F615" t="s">
        <v>2179</v>
      </c>
      <c r="G615" t="s">
        <v>6</v>
      </c>
      <c r="H615" t="s">
        <v>5</v>
      </c>
      <c r="I615" t="s">
        <v>2178</v>
      </c>
      <c r="J615">
        <v>60015913</v>
      </c>
      <c r="K615" t="s">
        <v>2177</v>
      </c>
      <c r="L615" t="s">
        <v>2176</v>
      </c>
      <c r="M615" t="s">
        <v>125</v>
      </c>
      <c r="N615">
        <v>2</v>
      </c>
      <c r="O615" t="s">
        <v>2175</v>
      </c>
      <c r="P615" t="s">
        <v>2174</v>
      </c>
      <c r="Q615" t="s">
        <v>2173</v>
      </c>
      <c r="R615" s="7">
        <v>36387</v>
      </c>
      <c r="S615" s="8">
        <f t="shared" si="72"/>
        <v>1999</v>
      </c>
      <c r="T615" s="8">
        <v>1999</v>
      </c>
      <c r="U615" s="8">
        <f t="shared" si="73"/>
        <v>23</v>
      </c>
      <c r="V615" s="7">
        <v>1999</v>
      </c>
      <c r="W615" t="s">
        <v>765</v>
      </c>
      <c r="X615" s="2">
        <v>1.64</v>
      </c>
      <c r="Y615" s="6">
        <f t="shared" si="74"/>
        <v>4.3778863351218597E-2</v>
      </c>
      <c r="AA615" t="s">
        <v>764</v>
      </c>
      <c r="AB615">
        <v>18446</v>
      </c>
      <c r="AD615" t="s">
        <v>2</v>
      </c>
      <c r="AE615">
        <v>297</v>
      </c>
      <c r="AF615">
        <v>2</v>
      </c>
      <c r="AH615" t="s">
        <v>2172</v>
      </c>
      <c r="AI615" t="s">
        <v>2171</v>
      </c>
      <c r="AJ615" t="s">
        <v>2170</v>
      </c>
      <c r="AK615" t="s">
        <v>2169</v>
      </c>
      <c r="AL615">
        <v>6</v>
      </c>
      <c r="AM615" s="5">
        <f t="shared" si="75"/>
        <v>0.2608695652173913</v>
      </c>
      <c r="AN615" s="4">
        <f t="shared" si="76"/>
        <v>3.9510725515697282E-4</v>
      </c>
      <c r="AO615" s="3"/>
      <c r="AP615">
        <v>0</v>
      </c>
      <c r="AQ615" t="s">
        <v>2168</v>
      </c>
      <c r="AR615" t="s">
        <v>1</v>
      </c>
      <c r="AS615" t="s">
        <v>2167</v>
      </c>
      <c r="AT615" s="2">
        <v>5.2489999999999997</v>
      </c>
      <c r="AU615" s="1">
        <f t="shared" si="77"/>
        <v>3.0763736522400107</v>
      </c>
      <c r="AV615" s="1">
        <f t="shared" si="78"/>
        <v>2.2086985303187783</v>
      </c>
      <c r="AW615" s="1">
        <f t="shared" si="79"/>
        <v>1.3410234083975459</v>
      </c>
    </row>
    <row r="616" spans="1:49" x14ac:dyDescent="0.2">
      <c r="A616">
        <v>614</v>
      </c>
      <c r="B616" t="s">
        <v>2166</v>
      </c>
      <c r="C616" t="s">
        <v>2165</v>
      </c>
      <c r="D616" t="s">
        <v>2164</v>
      </c>
      <c r="F616" t="s">
        <v>2163</v>
      </c>
      <c r="G616" t="s">
        <v>6</v>
      </c>
      <c r="H616" t="s">
        <v>5</v>
      </c>
      <c r="I616" t="s">
        <v>2162</v>
      </c>
      <c r="J616" t="s">
        <v>2161</v>
      </c>
      <c r="K616" t="s">
        <v>2160</v>
      </c>
      <c r="L616" t="s">
        <v>2159</v>
      </c>
      <c r="M616" t="s">
        <v>30</v>
      </c>
      <c r="N616">
        <v>4</v>
      </c>
      <c r="O616" t="s">
        <v>2158</v>
      </c>
      <c r="P616" t="s">
        <v>2157</v>
      </c>
      <c r="Q616" t="s">
        <v>2156</v>
      </c>
      <c r="R616" s="7">
        <v>36382</v>
      </c>
      <c r="S616" s="8">
        <f t="shared" si="72"/>
        <v>1999</v>
      </c>
      <c r="T616" s="8">
        <v>1999</v>
      </c>
      <c r="U616" s="8">
        <f t="shared" si="73"/>
        <v>23</v>
      </c>
      <c r="V616" s="7">
        <v>36382</v>
      </c>
      <c r="W616" t="s">
        <v>2155</v>
      </c>
      <c r="X616" s="2">
        <v>0.47099999999999997</v>
      </c>
      <c r="Y616" s="6">
        <f t="shared" si="74"/>
        <v>1.2573075999039E-2</v>
      </c>
      <c r="AA616">
        <v>222860</v>
      </c>
      <c r="AB616">
        <v>24642</v>
      </c>
      <c r="AD616" t="s">
        <v>2</v>
      </c>
      <c r="AE616" t="s">
        <v>2154</v>
      </c>
      <c r="AH616" t="s">
        <v>2153</v>
      </c>
      <c r="AI616" t="s">
        <v>2152</v>
      </c>
      <c r="AJ616" t="s">
        <v>2151</v>
      </c>
      <c r="AK616" t="s">
        <v>2150</v>
      </c>
      <c r="AL616">
        <v>71</v>
      </c>
      <c r="AM616" s="5">
        <f t="shared" si="75"/>
        <v>3.0869565217391304</v>
      </c>
      <c r="AN616" s="4">
        <f t="shared" si="76"/>
        <v>4.6754358526908454E-3</v>
      </c>
      <c r="AO616" s="3"/>
      <c r="AP616">
        <v>0</v>
      </c>
      <c r="AQ616" t="s">
        <v>205</v>
      </c>
      <c r="AR616" t="s">
        <v>2149</v>
      </c>
      <c r="AS616" t="s">
        <v>204</v>
      </c>
      <c r="AT616" s="2">
        <v>3.1960000000000002</v>
      </c>
      <c r="AU616" s="1">
        <f t="shared" si="77"/>
        <v>1.0203783955134553</v>
      </c>
      <c r="AV616" s="1">
        <f t="shared" si="78"/>
        <v>0.86242559258649232</v>
      </c>
      <c r="AW616" s="1">
        <f t="shared" si="79"/>
        <v>0.7044727896595292</v>
      </c>
    </row>
    <row r="617" spans="1:49" x14ac:dyDescent="0.2">
      <c r="A617">
        <v>615</v>
      </c>
      <c r="B617" t="s">
        <v>2148</v>
      </c>
      <c r="C617" t="s">
        <v>2147</v>
      </c>
      <c r="F617" t="s">
        <v>2146</v>
      </c>
      <c r="G617" t="s">
        <v>6</v>
      </c>
      <c r="H617" t="s">
        <v>5</v>
      </c>
      <c r="I617" t="s">
        <v>2145</v>
      </c>
      <c r="J617">
        <v>60027550</v>
      </c>
      <c r="K617" t="s">
        <v>22</v>
      </c>
      <c r="L617" t="s">
        <v>21</v>
      </c>
      <c r="M617" t="s">
        <v>3</v>
      </c>
      <c r="N617">
        <v>1</v>
      </c>
      <c r="O617" t="s">
        <v>2144</v>
      </c>
      <c r="P617">
        <v>57223745182</v>
      </c>
      <c r="Q617">
        <v>60027550</v>
      </c>
      <c r="R617" s="7">
        <v>36381</v>
      </c>
      <c r="S617" s="8">
        <f t="shared" si="72"/>
        <v>1999</v>
      </c>
      <c r="T617" s="8">
        <v>1999</v>
      </c>
      <c r="U617" s="8">
        <f t="shared" si="73"/>
        <v>23</v>
      </c>
      <c r="V617" s="7">
        <v>36381</v>
      </c>
      <c r="W617" t="s">
        <v>667</v>
      </c>
      <c r="X617" s="2">
        <v>1.1819999999999999</v>
      </c>
      <c r="Y617" s="6">
        <f t="shared" si="74"/>
        <v>3.1552814927524625E-2</v>
      </c>
      <c r="AA617">
        <v>36951</v>
      </c>
      <c r="AB617">
        <v>27030</v>
      </c>
      <c r="AD617" t="s">
        <v>2</v>
      </c>
      <c r="AE617">
        <v>75</v>
      </c>
      <c r="AF617">
        <v>6</v>
      </c>
      <c r="AH617" t="s">
        <v>2143</v>
      </c>
      <c r="AI617" t="s">
        <v>2142</v>
      </c>
      <c r="AK617" t="s">
        <v>2141</v>
      </c>
      <c r="AL617">
        <v>84</v>
      </c>
      <c r="AM617" s="5">
        <f t="shared" si="75"/>
        <v>3.652173913043478</v>
      </c>
      <c r="AN617" s="4">
        <f t="shared" si="76"/>
        <v>5.5315015721976194E-3</v>
      </c>
      <c r="AO617" s="3"/>
      <c r="AP617">
        <v>0</v>
      </c>
      <c r="AR617" t="s">
        <v>1</v>
      </c>
      <c r="AT617" s="2">
        <v>3.7909999999999999</v>
      </c>
      <c r="AU617" s="1">
        <f t="shared" si="77"/>
        <v>2.3746420920926519</v>
      </c>
      <c r="AV617" s="1">
        <f t="shared" si="78"/>
        <v>1.854215824986112</v>
      </c>
      <c r="AW617" s="1">
        <f t="shared" si="79"/>
        <v>1.3337895578795722</v>
      </c>
    </row>
    <row r="618" spans="1:49" x14ac:dyDescent="0.2">
      <c r="A618">
        <v>616</v>
      </c>
      <c r="B618" t="s">
        <v>2140</v>
      </c>
      <c r="C618" t="s">
        <v>2139</v>
      </c>
      <c r="F618" t="s">
        <v>2138</v>
      </c>
      <c r="G618" t="s">
        <v>6</v>
      </c>
      <c r="H618" t="s">
        <v>5</v>
      </c>
      <c r="I618" t="s">
        <v>2137</v>
      </c>
      <c r="J618">
        <v>60022195</v>
      </c>
      <c r="K618" t="s">
        <v>298</v>
      </c>
      <c r="L618" t="s">
        <v>137</v>
      </c>
      <c r="M618" t="s">
        <v>3</v>
      </c>
      <c r="N618">
        <v>3</v>
      </c>
      <c r="O618" t="s">
        <v>2136</v>
      </c>
      <c r="P618" t="s">
        <v>2135</v>
      </c>
      <c r="Q618" t="s">
        <v>2134</v>
      </c>
      <c r="R618" s="7">
        <v>36381</v>
      </c>
      <c r="S618" s="8">
        <f t="shared" si="72"/>
        <v>1999</v>
      </c>
      <c r="T618" s="8">
        <v>1999</v>
      </c>
      <c r="U618" s="8">
        <f t="shared" si="73"/>
        <v>23</v>
      </c>
      <c r="V618" s="7">
        <v>36381</v>
      </c>
      <c r="W618" t="s">
        <v>667</v>
      </c>
      <c r="X618" s="2">
        <v>1.1819999999999999</v>
      </c>
      <c r="Y618" s="6">
        <f t="shared" si="74"/>
        <v>3.1552814927524625E-2</v>
      </c>
      <c r="AA618">
        <v>36951</v>
      </c>
      <c r="AB618">
        <v>27030</v>
      </c>
      <c r="AD618" t="s">
        <v>2</v>
      </c>
      <c r="AE618">
        <v>75</v>
      </c>
      <c r="AF618">
        <v>6</v>
      </c>
      <c r="AH618" t="s">
        <v>2133</v>
      </c>
      <c r="AI618" t="s">
        <v>2132</v>
      </c>
      <c r="AK618" t="s">
        <v>2131</v>
      </c>
      <c r="AL618">
        <v>7</v>
      </c>
      <c r="AM618" s="5">
        <f t="shared" si="75"/>
        <v>0.30434782608695654</v>
      </c>
      <c r="AN618" s="4">
        <f t="shared" si="76"/>
        <v>4.6095846434980164E-4</v>
      </c>
      <c r="AO618" s="3"/>
      <c r="AP618">
        <v>0</v>
      </c>
      <c r="AR618" t="s">
        <v>1</v>
      </c>
      <c r="AT618" s="2">
        <v>3.7909999999999999</v>
      </c>
      <c r="AU618" s="1">
        <f t="shared" si="77"/>
        <v>2.2225257988572178</v>
      </c>
      <c r="AV618" s="1">
        <f t="shared" si="78"/>
        <v>1.6006886695937212</v>
      </c>
      <c r="AW618" s="1">
        <f t="shared" si="79"/>
        <v>0.97885154033022481</v>
      </c>
    </row>
    <row r="619" spans="1:49" x14ac:dyDescent="0.2">
      <c r="A619">
        <v>617</v>
      </c>
      <c r="B619" t="s">
        <v>2130</v>
      </c>
      <c r="C619" t="s">
        <v>2129</v>
      </c>
      <c r="D619" t="s">
        <v>2128</v>
      </c>
      <c r="E619">
        <v>10456316</v>
      </c>
      <c r="F619" t="s">
        <v>2127</v>
      </c>
      <c r="G619" t="s">
        <v>6</v>
      </c>
      <c r="H619" t="s">
        <v>5</v>
      </c>
      <c r="I619" t="s">
        <v>2126</v>
      </c>
      <c r="J619" t="s">
        <v>2125</v>
      </c>
      <c r="K619" t="s">
        <v>2124</v>
      </c>
      <c r="L619" t="s">
        <v>2123</v>
      </c>
      <c r="M619" t="s">
        <v>2122</v>
      </c>
      <c r="N619">
        <v>4</v>
      </c>
      <c r="O619" t="s">
        <v>2121</v>
      </c>
      <c r="P619" t="s">
        <v>2120</v>
      </c>
      <c r="Q619" t="s">
        <v>2119</v>
      </c>
      <c r="R619" s="7">
        <v>36378</v>
      </c>
      <c r="S619" s="8">
        <f t="shared" si="72"/>
        <v>1999</v>
      </c>
      <c r="T619" s="8">
        <v>1999</v>
      </c>
      <c r="U619" s="8">
        <f t="shared" si="73"/>
        <v>23</v>
      </c>
      <c r="V619" s="7">
        <v>36378</v>
      </c>
      <c r="W619" t="s">
        <v>2118</v>
      </c>
      <c r="X619" s="2">
        <v>1.593</v>
      </c>
      <c r="Y619" s="6">
        <f t="shared" si="74"/>
        <v>4.2524225194201973E-2</v>
      </c>
      <c r="AA619">
        <v>145793</v>
      </c>
      <c r="AB619">
        <v>17481</v>
      </c>
      <c r="AD619" t="s">
        <v>2</v>
      </c>
      <c r="AE619">
        <v>456</v>
      </c>
      <c r="AF619">
        <v>2</v>
      </c>
      <c r="AH619" t="s">
        <v>2117</v>
      </c>
      <c r="AI619" t="s">
        <v>2116</v>
      </c>
      <c r="AJ619" t="s">
        <v>2115</v>
      </c>
      <c r="AK619" t="s">
        <v>2114</v>
      </c>
      <c r="AL619">
        <v>10</v>
      </c>
      <c r="AM619" s="5">
        <f t="shared" si="75"/>
        <v>0.43478260869565216</v>
      </c>
      <c r="AN619" s="4">
        <f t="shared" si="76"/>
        <v>6.5851209192828799E-4</v>
      </c>
      <c r="AO619" s="3"/>
      <c r="AP619">
        <v>1</v>
      </c>
      <c r="AQ619" t="s">
        <v>643</v>
      </c>
      <c r="AR619" t="s">
        <v>1</v>
      </c>
      <c r="AS619" t="s">
        <v>431</v>
      </c>
      <c r="AT619" s="2">
        <v>4.1239999999999997</v>
      </c>
      <c r="AU619" s="1">
        <f t="shared" si="77"/>
        <v>2.9964511263519866</v>
      </c>
      <c r="AV619" s="1">
        <f t="shared" si="78"/>
        <v>2.1591368643065132</v>
      </c>
      <c r="AW619" s="1">
        <f t="shared" si="79"/>
        <v>1.3218226022610393</v>
      </c>
    </row>
    <row r="620" spans="1:49" x14ac:dyDescent="0.2">
      <c r="A620">
        <v>618</v>
      </c>
      <c r="B620" t="s">
        <v>2113</v>
      </c>
      <c r="C620" t="s">
        <v>2112</v>
      </c>
      <c r="F620" t="s">
        <v>2111</v>
      </c>
      <c r="G620" t="s">
        <v>6</v>
      </c>
      <c r="H620" t="s">
        <v>5</v>
      </c>
      <c r="I620" t="s">
        <v>320</v>
      </c>
      <c r="J620">
        <v>60031293</v>
      </c>
      <c r="K620" t="s">
        <v>319</v>
      </c>
      <c r="L620" t="s">
        <v>32</v>
      </c>
      <c r="M620" t="s">
        <v>7</v>
      </c>
      <c r="N620">
        <v>2</v>
      </c>
      <c r="O620" t="s">
        <v>318</v>
      </c>
      <c r="P620" t="s">
        <v>317</v>
      </c>
      <c r="Q620" t="s">
        <v>316</v>
      </c>
      <c r="R620" s="7">
        <v>36377</v>
      </c>
      <c r="S620" s="8">
        <f t="shared" si="72"/>
        <v>1999</v>
      </c>
      <c r="T620" s="8">
        <v>1999</v>
      </c>
      <c r="U620" s="8">
        <f t="shared" si="73"/>
        <v>23</v>
      </c>
      <c r="V620" s="7">
        <v>36377</v>
      </c>
      <c r="W620" t="s">
        <v>162</v>
      </c>
      <c r="X620" s="2">
        <v>0.30399999999999999</v>
      </c>
      <c r="Y620" s="6">
        <f t="shared" si="74"/>
        <v>8.115106377299057E-3</v>
      </c>
      <c r="AA620">
        <v>8952477</v>
      </c>
      <c r="AB620">
        <v>12250</v>
      </c>
      <c r="AD620" t="s">
        <v>2</v>
      </c>
      <c r="AE620">
        <v>22</v>
      </c>
      <c r="AF620">
        <v>3</v>
      </c>
      <c r="AH620" t="s">
        <v>2110</v>
      </c>
      <c r="AI620" t="s">
        <v>2109</v>
      </c>
      <c r="AK620" t="s">
        <v>2108</v>
      </c>
      <c r="AL620">
        <v>2</v>
      </c>
      <c r="AM620" s="5">
        <f t="shared" si="75"/>
        <v>8.6956521739130432E-2</v>
      </c>
      <c r="AN620" s="4">
        <f t="shared" si="76"/>
        <v>1.3170241838565761E-4</v>
      </c>
      <c r="AO620" s="3"/>
      <c r="AP620">
        <v>0</v>
      </c>
      <c r="AR620" t="s">
        <v>1</v>
      </c>
      <c r="AT620" s="2" t="s">
        <v>0</v>
      </c>
      <c r="AU620" s="1">
        <f t="shared" si="77"/>
        <v>0.57200851896250371</v>
      </c>
      <c r="AV620" s="1">
        <f t="shared" si="78"/>
        <v>0.41234043978423568</v>
      </c>
      <c r="AW620" s="1">
        <f t="shared" si="79"/>
        <v>0.25267236060596776</v>
      </c>
    </row>
    <row r="621" spans="1:49" x14ac:dyDescent="0.2">
      <c r="A621">
        <v>619</v>
      </c>
      <c r="B621" t="s">
        <v>2107</v>
      </c>
      <c r="C621" t="s">
        <v>2106</v>
      </c>
      <c r="F621" t="s">
        <v>2105</v>
      </c>
      <c r="G621" t="s">
        <v>6</v>
      </c>
      <c r="H621" t="s">
        <v>5</v>
      </c>
      <c r="I621" t="s">
        <v>2090</v>
      </c>
      <c r="J621">
        <v>60011357</v>
      </c>
      <c r="K621" t="s">
        <v>218</v>
      </c>
      <c r="L621" t="s">
        <v>217</v>
      </c>
      <c r="M621" t="s">
        <v>133</v>
      </c>
      <c r="N621">
        <v>2</v>
      </c>
      <c r="O621" t="s">
        <v>2089</v>
      </c>
      <c r="P621" t="s">
        <v>2088</v>
      </c>
      <c r="Q621" t="s">
        <v>216</v>
      </c>
      <c r="R621" s="7">
        <v>36377</v>
      </c>
      <c r="S621" s="8">
        <f t="shared" si="72"/>
        <v>1999</v>
      </c>
      <c r="T621" s="8">
        <v>1999</v>
      </c>
      <c r="U621" s="8">
        <f t="shared" si="73"/>
        <v>23</v>
      </c>
      <c r="V621" s="7">
        <v>36377</v>
      </c>
      <c r="W621" t="s">
        <v>162</v>
      </c>
      <c r="X621" s="2">
        <v>0.30399999999999999</v>
      </c>
      <c r="Y621" s="6">
        <f t="shared" si="74"/>
        <v>8.115106377299057E-3</v>
      </c>
      <c r="AA621">
        <v>8952477</v>
      </c>
      <c r="AB621">
        <v>12250</v>
      </c>
      <c r="AD621" t="s">
        <v>2</v>
      </c>
      <c r="AE621">
        <v>22</v>
      </c>
      <c r="AF621">
        <v>3</v>
      </c>
      <c r="AH621" t="s">
        <v>376</v>
      </c>
      <c r="AI621" t="s">
        <v>2104</v>
      </c>
      <c r="AK621" t="s">
        <v>2103</v>
      </c>
      <c r="AL621">
        <v>25</v>
      </c>
      <c r="AM621" s="5">
        <f t="shared" si="75"/>
        <v>1.0869565217391304</v>
      </c>
      <c r="AN621" s="4">
        <f t="shared" si="76"/>
        <v>1.6462802298207199E-3</v>
      </c>
      <c r="AO621" s="3"/>
      <c r="AP621">
        <v>0</v>
      </c>
      <c r="AR621" t="s">
        <v>1</v>
      </c>
      <c r="AT621" s="2" t="s">
        <v>0</v>
      </c>
      <c r="AU621" s="1">
        <f t="shared" si="77"/>
        <v>0.61744585330555557</v>
      </c>
      <c r="AV621" s="1">
        <f t="shared" si="78"/>
        <v>0.48806933035598882</v>
      </c>
      <c r="AW621" s="1">
        <f t="shared" si="79"/>
        <v>0.35869280740642212</v>
      </c>
    </row>
    <row r="622" spans="1:49" x14ac:dyDescent="0.2">
      <c r="A622">
        <v>620</v>
      </c>
      <c r="B622" t="s">
        <v>2102</v>
      </c>
      <c r="C622" t="s">
        <v>2101</v>
      </c>
      <c r="F622" t="s">
        <v>2100</v>
      </c>
      <c r="G622" t="s">
        <v>6</v>
      </c>
      <c r="H622" t="s">
        <v>5</v>
      </c>
      <c r="I622" t="s">
        <v>2099</v>
      </c>
      <c r="J622">
        <v>60013983</v>
      </c>
      <c r="K622" t="s">
        <v>324</v>
      </c>
      <c r="L622" t="s">
        <v>323</v>
      </c>
      <c r="M622" t="s">
        <v>322</v>
      </c>
      <c r="N622">
        <v>2</v>
      </c>
      <c r="O622" t="s">
        <v>2098</v>
      </c>
      <c r="P622" t="s">
        <v>2097</v>
      </c>
      <c r="Q622" t="s">
        <v>655</v>
      </c>
      <c r="R622" s="7">
        <v>36377</v>
      </c>
      <c r="S622" s="8">
        <f t="shared" si="72"/>
        <v>1999</v>
      </c>
      <c r="T622" s="8">
        <v>1999</v>
      </c>
      <c r="U622" s="8">
        <f t="shared" si="73"/>
        <v>23</v>
      </c>
      <c r="V622" s="7">
        <v>36377</v>
      </c>
      <c r="W622" t="s">
        <v>162</v>
      </c>
      <c r="X622" s="2">
        <v>0.30399999999999999</v>
      </c>
      <c r="Y622" s="6">
        <f t="shared" si="74"/>
        <v>8.115106377299057E-3</v>
      </c>
      <c r="AA622">
        <v>8952477</v>
      </c>
      <c r="AB622">
        <v>12250</v>
      </c>
      <c r="AD622" t="s">
        <v>2</v>
      </c>
      <c r="AE622">
        <v>22</v>
      </c>
      <c r="AF622">
        <v>3</v>
      </c>
      <c r="AH622" t="s">
        <v>2096</v>
      </c>
      <c r="AI622" t="s">
        <v>2095</v>
      </c>
      <c r="AK622" t="s">
        <v>2094</v>
      </c>
      <c r="AL622">
        <v>1</v>
      </c>
      <c r="AM622" s="5">
        <f t="shared" si="75"/>
        <v>4.3478260869565216E-2</v>
      </c>
      <c r="AN622" s="4">
        <f t="shared" si="76"/>
        <v>6.5851209192828807E-5</v>
      </c>
      <c r="AO622" s="3"/>
      <c r="AP622">
        <v>0</v>
      </c>
      <c r="AR622" t="s">
        <v>1</v>
      </c>
      <c r="AT622" s="2" t="s">
        <v>0</v>
      </c>
      <c r="AU622" s="1">
        <f t="shared" si="77"/>
        <v>0.57003298268671876</v>
      </c>
      <c r="AV622" s="1">
        <f t="shared" si="78"/>
        <v>0.4090478793245943</v>
      </c>
      <c r="AW622" s="1">
        <f t="shared" si="79"/>
        <v>0.24806277596246973</v>
      </c>
    </row>
    <row r="623" spans="1:49" x14ac:dyDescent="0.2">
      <c r="A623">
        <v>621</v>
      </c>
      <c r="B623" t="s">
        <v>2093</v>
      </c>
      <c r="C623" t="s">
        <v>2092</v>
      </c>
      <c r="F623" t="s">
        <v>2091</v>
      </c>
      <c r="G623" t="s">
        <v>6</v>
      </c>
      <c r="H623" t="s">
        <v>5</v>
      </c>
      <c r="I623" t="s">
        <v>2090</v>
      </c>
      <c r="J623">
        <v>60011357</v>
      </c>
      <c r="K623" t="s">
        <v>218</v>
      </c>
      <c r="L623" t="s">
        <v>217</v>
      </c>
      <c r="M623" t="s">
        <v>133</v>
      </c>
      <c r="N623">
        <v>2</v>
      </c>
      <c r="O623" t="s">
        <v>2089</v>
      </c>
      <c r="P623" t="s">
        <v>2088</v>
      </c>
      <c r="Q623" t="s">
        <v>216</v>
      </c>
      <c r="R623" s="7">
        <v>36377</v>
      </c>
      <c r="S623" s="8">
        <f t="shared" si="72"/>
        <v>1999</v>
      </c>
      <c r="T623" s="8">
        <v>1999</v>
      </c>
      <c r="U623" s="8">
        <f t="shared" si="73"/>
        <v>23</v>
      </c>
      <c r="V623" s="7">
        <v>36377</v>
      </c>
      <c r="W623" t="s">
        <v>162</v>
      </c>
      <c r="X623" s="2">
        <v>0.30399999999999999</v>
      </c>
      <c r="Y623" s="6">
        <f t="shared" si="74"/>
        <v>8.115106377299057E-3</v>
      </c>
      <c r="AA623">
        <v>8952477</v>
      </c>
      <c r="AB623">
        <v>12250</v>
      </c>
      <c r="AD623" t="s">
        <v>2</v>
      </c>
      <c r="AE623">
        <v>22</v>
      </c>
      <c r="AF623">
        <v>3</v>
      </c>
      <c r="AH623" t="s">
        <v>2087</v>
      </c>
      <c r="AI623" t="s">
        <v>2086</v>
      </c>
      <c r="AK623" t="s">
        <v>2085</v>
      </c>
      <c r="AL623">
        <v>7</v>
      </c>
      <c r="AM623" s="5">
        <f t="shared" si="75"/>
        <v>0.30434782608695654</v>
      </c>
      <c r="AN623" s="4">
        <f t="shared" si="76"/>
        <v>4.6095846434980164E-4</v>
      </c>
      <c r="AO623" s="3"/>
      <c r="AP623">
        <v>0</v>
      </c>
      <c r="AR623" t="s">
        <v>1</v>
      </c>
      <c r="AT623" s="2" t="s">
        <v>0</v>
      </c>
      <c r="AU623" s="1">
        <f t="shared" si="77"/>
        <v>0.58188620034142791</v>
      </c>
      <c r="AV623" s="1">
        <f t="shared" si="78"/>
        <v>0.42880324208244291</v>
      </c>
      <c r="AW623" s="1">
        <f t="shared" si="79"/>
        <v>0.27572028382345781</v>
      </c>
    </row>
    <row r="624" spans="1:49" x14ac:dyDescent="0.2">
      <c r="A624">
        <v>622</v>
      </c>
      <c r="B624" t="s">
        <v>2084</v>
      </c>
      <c r="C624" t="s">
        <v>2083</v>
      </c>
      <c r="F624" t="s">
        <v>2082</v>
      </c>
      <c r="G624" t="s">
        <v>6</v>
      </c>
      <c r="H624" t="s">
        <v>5</v>
      </c>
      <c r="I624" t="s">
        <v>2081</v>
      </c>
      <c r="J624" t="s">
        <v>730</v>
      </c>
      <c r="K624" t="s">
        <v>729</v>
      </c>
      <c r="L624" t="s">
        <v>728</v>
      </c>
      <c r="M624" t="s">
        <v>203</v>
      </c>
      <c r="N624">
        <v>6</v>
      </c>
      <c r="O624" t="s">
        <v>2080</v>
      </c>
      <c r="P624" t="s">
        <v>2079</v>
      </c>
      <c r="Q624" t="s">
        <v>2078</v>
      </c>
      <c r="R624" s="7">
        <v>36377</v>
      </c>
      <c r="S624" s="8">
        <f t="shared" si="72"/>
        <v>1999</v>
      </c>
      <c r="T624" s="8">
        <v>1999</v>
      </c>
      <c r="U624" s="8">
        <f t="shared" si="73"/>
        <v>23</v>
      </c>
      <c r="V624" s="7">
        <v>36377</v>
      </c>
      <c r="W624" t="s">
        <v>227</v>
      </c>
      <c r="X624" s="2">
        <v>0.375</v>
      </c>
      <c r="Y624" s="6">
        <f t="shared" si="74"/>
        <v>1.0010410827260351E-2</v>
      </c>
      <c r="AA624">
        <v>135194</v>
      </c>
      <c r="AB624">
        <v>24918</v>
      </c>
      <c r="AD624" t="s">
        <v>2</v>
      </c>
      <c r="AE624">
        <v>35</v>
      </c>
      <c r="AF624">
        <v>16</v>
      </c>
      <c r="AH624" t="s">
        <v>2077</v>
      </c>
      <c r="AI624" t="s">
        <v>2076</v>
      </c>
      <c r="AK624" t="s">
        <v>2075</v>
      </c>
      <c r="AL624">
        <v>7</v>
      </c>
      <c r="AM624" s="5">
        <f t="shared" si="75"/>
        <v>0.30434782608695654</v>
      </c>
      <c r="AN624" s="4">
        <f t="shared" si="76"/>
        <v>4.6095846434980164E-4</v>
      </c>
      <c r="AO624" s="3"/>
      <c r="AP624">
        <v>0</v>
      </c>
      <c r="AR624" t="s">
        <v>1</v>
      </c>
      <c r="AT624" s="2">
        <v>1.3140000000000001</v>
      </c>
      <c r="AU624" s="1">
        <f t="shared" si="77"/>
        <v>0.71455751183871863</v>
      </c>
      <c r="AV624" s="1">
        <f t="shared" si="78"/>
        <v>0.52356846458050765</v>
      </c>
      <c r="AW624" s="1">
        <f t="shared" si="79"/>
        <v>0.33257941732229662</v>
      </c>
    </row>
    <row r="625" spans="1:49" x14ac:dyDescent="0.2">
      <c r="A625">
        <v>623</v>
      </c>
      <c r="B625" t="s">
        <v>2074</v>
      </c>
      <c r="C625" t="s">
        <v>2073</v>
      </c>
      <c r="F625" t="s">
        <v>2072</v>
      </c>
      <c r="G625" t="s">
        <v>6</v>
      </c>
      <c r="H625" t="s">
        <v>5</v>
      </c>
      <c r="I625" t="s">
        <v>666</v>
      </c>
      <c r="J625">
        <v>60009697</v>
      </c>
      <c r="K625" t="s">
        <v>250</v>
      </c>
      <c r="L625" t="s">
        <v>249</v>
      </c>
      <c r="M625" t="s">
        <v>125</v>
      </c>
      <c r="N625">
        <v>2</v>
      </c>
      <c r="O625" t="s">
        <v>665</v>
      </c>
      <c r="P625" t="s">
        <v>664</v>
      </c>
      <c r="Q625" t="s">
        <v>248</v>
      </c>
      <c r="R625" s="7">
        <v>36377</v>
      </c>
      <c r="S625" s="8">
        <f t="shared" si="72"/>
        <v>1999</v>
      </c>
      <c r="T625" s="8">
        <v>1999</v>
      </c>
      <c r="U625" s="8">
        <f t="shared" si="73"/>
        <v>23</v>
      </c>
      <c r="V625" s="7">
        <v>36377</v>
      </c>
      <c r="W625" t="s">
        <v>227</v>
      </c>
      <c r="X625" s="2">
        <v>0.375</v>
      </c>
      <c r="Y625" s="6">
        <f t="shared" si="74"/>
        <v>1.0010410827260351E-2</v>
      </c>
      <c r="AA625">
        <v>135194</v>
      </c>
      <c r="AB625">
        <v>24918</v>
      </c>
      <c r="AD625" t="s">
        <v>2</v>
      </c>
      <c r="AE625">
        <v>35</v>
      </c>
      <c r="AF625">
        <v>16</v>
      </c>
      <c r="AH625" t="s">
        <v>2071</v>
      </c>
      <c r="AI625" t="s">
        <v>2070</v>
      </c>
      <c r="AK625" t="s">
        <v>2069</v>
      </c>
      <c r="AL625">
        <v>13</v>
      </c>
      <c r="AM625" s="5">
        <f t="shared" si="75"/>
        <v>0.56521739130434778</v>
      </c>
      <c r="AN625" s="4">
        <f t="shared" si="76"/>
        <v>8.560657195067744E-4</v>
      </c>
      <c r="AO625" s="3"/>
      <c r="AP625">
        <v>0</v>
      </c>
      <c r="AR625" t="s">
        <v>1</v>
      </c>
      <c r="AT625" s="2">
        <v>1.3140000000000001</v>
      </c>
      <c r="AU625" s="1">
        <f t="shared" si="77"/>
        <v>0.72641072949342778</v>
      </c>
      <c r="AV625" s="1">
        <f t="shared" si="78"/>
        <v>0.54332382733835627</v>
      </c>
      <c r="AW625" s="1">
        <f t="shared" si="79"/>
        <v>0.36023692518328476</v>
      </c>
    </row>
    <row r="626" spans="1:49" x14ac:dyDescent="0.2">
      <c r="A626">
        <v>624</v>
      </c>
      <c r="B626" t="s">
        <v>2068</v>
      </c>
      <c r="C626" t="s">
        <v>2067</v>
      </c>
      <c r="F626" t="s">
        <v>2066</v>
      </c>
      <c r="G626" t="s">
        <v>6</v>
      </c>
      <c r="H626" t="s">
        <v>5</v>
      </c>
      <c r="I626" t="s">
        <v>2065</v>
      </c>
      <c r="J626">
        <v>60070755</v>
      </c>
      <c r="K626" t="s">
        <v>2064</v>
      </c>
      <c r="L626" t="s">
        <v>2063</v>
      </c>
      <c r="M626" t="s">
        <v>34</v>
      </c>
      <c r="N626">
        <v>2</v>
      </c>
      <c r="O626" t="s">
        <v>2062</v>
      </c>
      <c r="P626" t="s">
        <v>2061</v>
      </c>
      <c r="Q626" t="s">
        <v>2060</v>
      </c>
      <c r="R626" s="7">
        <v>36377</v>
      </c>
      <c r="S626" s="8">
        <f t="shared" si="72"/>
        <v>1999</v>
      </c>
      <c r="T626" s="8">
        <v>1999</v>
      </c>
      <c r="U626" s="8">
        <f t="shared" si="73"/>
        <v>23</v>
      </c>
      <c r="V626" s="7">
        <v>36377</v>
      </c>
      <c r="W626" t="s">
        <v>647</v>
      </c>
      <c r="X626" s="2">
        <v>0.86399999999999999</v>
      </c>
      <c r="Y626" s="6">
        <f t="shared" si="74"/>
        <v>2.3063986546007848E-2</v>
      </c>
      <c r="AA626">
        <v>15206106</v>
      </c>
      <c r="AB626">
        <v>26970</v>
      </c>
      <c r="AD626" t="s">
        <v>2</v>
      </c>
      <c r="AE626">
        <v>103</v>
      </c>
      <c r="AF626">
        <v>31</v>
      </c>
      <c r="AH626" t="s">
        <v>2059</v>
      </c>
      <c r="AI626" t="s">
        <v>2058</v>
      </c>
      <c r="AK626" t="s">
        <v>2057</v>
      </c>
      <c r="AL626">
        <v>95</v>
      </c>
      <c r="AM626" s="5">
        <f t="shared" si="75"/>
        <v>4.1304347826086953</v>
      </c>
      <c r="AN626" s="4">
        <f t="shared" si="76"/>
        <v>6.2558648733187358E-3</v>
      </c>
      <c r="AO626" s="3"/>
      <c r="AP626">
        <v>0</v>
      </c>
      <c r="AR626" t="s">
        <v>1</v>
      </c>
      <c r="AT626" s="2">
        <v>2.9910000000000001</v>
      </c>
      <c r="AU626" s="1">
        <f t="shared" si="77"/>
        <v>1.8021550044201113</v>
      </c>
      <c r="AV626" s="1">
        <f t="shared" si="78"/>
        <v>1.4659925709663293</v>
      </c>
      <c r="AW626" s="1">
        <f t="shared" si="79"/>
        <v>1.1298301375125468</v>
      </c>
    </row>
    <row r="627" spans="1:49" x14ac:dyDescent="0.2">
      <c r="A627">
        <v>625</v>
      </c>
      <c r="B627" t="s">
        <v>2056</v>
      </c>
      <c r="C627" t="s">
        <v>2055</v>
      </c>
      <c r="F627" t="s">
        <v>2054</v>
      </c>
      <c r="G627" t="s">
        <v>6</v>
      </c>
      <c r="H627" t="s">
        <v>5</v>
      </c>
      <c r="I627" t="s">
        <v>605</v>
      </c>
      <c r="J627" t="s">
        <v>2053</v>
      </c>
      <c r="K627" t="s">
        <v>2052</v>
      </c>
      <c r="L627" t="s">
        <v>2051</v>
      </c>
      <c r="M627" t="s">
        <v>568</v>
      </c>
      <c r="N627">
        <v>4</v>
      </c>
      <c r="O627" t="s">
        <v>2050</v>
      </c>
      <c r="P627" t="s">
        <v>2049</v>
      </c>
      <c r="Q627" t="s">
        <v>2048</v>
      </c>
      <c r="R627" s="7">
        <v>36374</v>
      </c>
      <c r="S627" s="8">
        <f t="shared" si="72"/>
        <v>1999</v>
      </c>
      <c r="T627" s="8">
        <v>1999</v>
      </c>
      <c r="U627" s="8">
        <f t="shared" si="73"/>
        <v>23</v>
      </c>
      <c r="V627" s="7">
        <v>36374</v>
      </c>
      <c r="W627" t="s">
        <v>667</v>
      </c>
      <c r="X627" s="2">
        <v>1.1819999999999999</v>
      </c>
      <c r="Y627" s="6">
        <f t="shared" si="74"/>
        <v>3.1552814927524625E-2</v>
      </c>
      <c r="AA627">
        <v>36951</v>
      </c>
      <c r="AB627">
        <v>27030</v>
      </c>
      <c r="AD627" t="s">
        <v>2</v>
      </c>
      <c r="AE627">
        <v>75</v>
      </c>
      <c r="AF627">
        <v>5</v>
      </c>
      <c r="AH627" t="s">
        <v>2047</v>
      </c>
      <c r="AI627" t="s">
        <v>2046</v>
      </c>
      <c r="AK627" t="s">
        <v>2045</v>
      </c>
      <c r="AL627">
        <v>7</v>
      </c>
      <c r="AM627" s="5">
        <f t="shared" si="75"/>
        <v>0.30434782608695654</v>
      </c>
      <c r="AN627" s="4">
        <f t="shared" si="76"/>
        <v>4.6095846434980164E-4</v>
      </c>
      <c r="AO627" s="3"/>
      <c r="AP627">
        <v>0</v>
      </c>
      <c r="AR627" t="s">
        <v>1</v>
      </c>
      <c r="AT627" s="2">
        <v>3.7909999999999999</v>
      </c>
      <c r="AU627" s="1">
        <f t="shared" si="77"/>
        <v>2.2225257988572178</v>
      </c>
      <c r="AV627" s="1">
        <f t="shared" si="78"/>
        <v>1.6006886695937212</v>
      </c>
      <c r="AW627" s="1">
        <f t="shared" si="79"/>
        <v>0.97885154033022481</v>
      </c>
    </row>
    <row r="628" spans="1:49" x14ac:dyDescent="0.2">
      <c r="A628">
        <v>626</v>
      </c>
      <c r="B628" t="s">
        <v>2044</v>
      </c>
      <c r="C628" t="s">
        <v>2043</v>
      </c>
      <c r="F628" t="s">
        <v>2042</v>
      </c>
      <c r="G628" t="s">
        <v>6</v>
      </c>
      <c r="H628" t="s">
        <v>5</v>
      </c>
      <c r="R628" s="7">
        <v>36373</v>
      </c>
      <c r="S628" s="8">
        <f t="shared" si="72"/>
        <v>1999</v>
      </c>
      <c r="T628" s="8">
        <v>1999</v>
      </c>
      <c r="U628" s="8">
        <f t="shared" si="73"/>
        <v>23</v>
      </c>
      <c r="V628" s="7">
        <v>36373</v>
      </c>
      <c r="W628" t="s">
        <v>2041</v>
      </c>
      <c r="X628" s="2">
        <v>0.32400000000000001</v>
      </c>
      <c r="Y628" s="6">
        <f t="shared" si="74"/>
        <v>8.6489949547529435E-3</v>
      </c>
      <c r="AA628">
        <v>22667</v>
      </c>
      <c r="AB628">
        <v>12633</v>
      </c>
      <c r="AD628" t="s">
        <v>2</v>
      </c>
      <c r="AE628">
        <v>71</v>
      </c>
      <c r="AF628">
        <v>4</v>
      </c>
      <c r="AH628" t="s">
        <v>2040</v>
      </c>
      <c r="AJ628" t="s">
        <v>2039</v>
      </c>
      <c r="AL628">
        <v>0</v>
      </c>
      <c r="AM628" s="5">
        <f t="shared" si="75"/>
        <v>0</v>
      </c>
      <c r="AN628" s="4">
        <f t="shared" si="76"/>
        <v>0</v>
      </c>
      <c r="AO628" s="3"/>
      <c r="AP628">
        <v>0</v>
      </c>
      <c r="AR628" t="s">
        <v>1</v>
      </c>
      <c r="AT628" s="2" t="s">
        <v>0</v>
      </c>
      <c r="AU628" s="1">
        <f t="shared" si="77"/>
        <v>0.60542964683270606</v>
      </c>
      <c r="AV628" s="1">
        <f t="shared" si="78"/>
        <v>0.43244974773764716</v>
      </c>
      <c r="AW628" s="1">
        <f t="shared" si="79"/>
        <v>0.25946984864258832</v>
      </c>
    </row>
    <row r="629" spans="1:49" x14ac:dyDescent="0.2">
      <c r="A629">
        <v>627</v>
      </c>
      <c r="B629" t="s">
        <v>2038</v>
      </c>
      <c r="F629" t="s">
        <v>2037</v>
      </c>
      <c r="G629" t="s">
        <v>6</v>
      </c>
      <c r="H629" t="s">
        <v>5</v>
      </c>
      <c r="I629" t="s">
        <v>307</v>
      </c>
      <c r="J629" t="s">
        <v>814</v>
      </c>
      <c r="K629" t="s">
        <v>817</v>
      </c>
      <c r="L629" t="s">
        <v>816</v>
      </c>
      <c r="M629" t="s">
        <v>815</v>
      </c>
      <c r="N629">
        <v>2</v>
      </c>
      <c r="O629" t="s">
        <v>304</v>
      </c>
      <c r="P629" t="s">
        <v>303</v>
      </c>
      <c r="Q629" t="s">
        <v>2036</v>
      </c>
      <c r="R629" s="7">
        <v>36373</v>
      </c>
      <c r="S629" s="8">
        <f t="shared" si="72"/>
        <v>1999</v>
      </c>
      <c r="T629" s="8">
        <v>1999</v>
      </c>
      <c r="U629" s="8">
        <f t="shared" si="73"/>
        <v>23</v>
      </c>
      <c r="V629" s="7">
        <v>36373</v>
      </c>
      <c r="W629" t="s">
        <v>236</v>
      </c>
      <c r="X629" s="2">
        <v>0.13800000000000001</v>
      </c>
      <c r="Y629" s="6">
        <f t="shared" si="74"/>
        <v>3.6838311844318095E-3</v>
      </c>
      <c r="AA629">
        <v>1926225</v>
      </c>
      <c r="AB629">
        <v>18580</v>
      </c>
      <c r="AD629" t="s">
        <v>2</v>
      </c>
      <c r="AE629">
        <v>42</v>
      </c>
      <c r="AF629">
        <v>8</v>
      </c>
      <c r="AI629" t="s">
        <v>2035</v>
      </c>
      <c r="AK629" t="s">
        <v>2034</v>
      </c>
      <c r="AL629">
        <v>1</v>
      </c>
      <c r="AM629" s="5">
        <f t="shared" si="75"/>
        <v>4.3478260869565216E-2</v>
      </c>
      <c r="AN629" s="4">
        <f t="shared" si="76"/>
        <v>6.5851209192828807E-5</v>
      </c>
      <c r="AO629" s="3"/>
      <c r="AP629">
        <v>0</v>
      </c>
      <c r="AR629" t="s">
        <v>1</v>
      </c>
      <c r="AT629" s="2">
        <v>0.30599999999999999</v>
      </c>
      <c r="AU629" s="1">
        <f t="shared" si="77"/>
        <v>0.25984371918601151</v>
      </c>
      <c r="AV629" s="1">
        <f t="shared" si="78"/>
        <v>0.18748411968123191</v>
      </c>
      <c r="AW629" s="1">
        <f t="shared" si="79"/>
        <v>0.11512452017645231</v>
      </c>
    </row>
    <row r="630" spans="1:49" x14ac:dyDescent="0.2">
      <c r="A630">
        <v>628</v>
      </c>
      <c r="B630" t="s">
        <v>2033</v>
      </c>
      <c r="F630" t="s">
        <v>2032</v>
      </c>
      <c r="G630" t="s">
        <v>6</v>
      </c>
      <c r="H630" t="s">
        <v>5</v>
      </c>
      <c r="I630" t="s">
        <v>2031</v>
      </c>
      <c r="J630">
        <v>100459681</v>
      </c>
      <c r="K630" t="s">
        <v>2030</v>
      </c>
      <c r="L630" t="s">
        <v>2029</v>
      </c>
      <c r="M630" t="s">
        <v>3</v>
      </c>
      <c r="N630">
        <v>2</v>
      </c>
      <c r="O630" t="s">
        <v>2028</v>
      </c>
      <c r="P630" t="s">
        <v>2027</v>
      </c>
      <c r="Q630" t="s">
        <v>2026</v>
      </c>
      <c r="R630" s="7">
        <v>36373</v>
      </c>
      <c r="S630" s="8">
        <f t="shared" si="72"/>
        <v>1999</v>
      </c>
      <c r="T630" s="8">
        <v>1999</v>
      </c>
      <c r="U630" s="8">
        <f t="shared" si="73"/>
        <v>23</v>
      </c>
      <c r="V630" s="7">
        <v>36373</v>
      </c>
      <c r="W630" t="s">
        <v>236</v>
      </c>
      <c r="X630" s="2">
        <v>0.13800000000000001</v>
      </c>
      <c r="Y630" s="6">
        <f t="shared" si="74"/>
        <v>3.6838311844318095E-3</v>
      </c>
      <c r="AA630">
        <v>1926225</v>
      </c>
      <c r="AB630">
        <v>18580</v>
      </c>
      <c r="AD630" t="s">
        <v>2</v>
      </c>
      <c r="AE630">
        <v>42</v>
      </c>
      <c r="AF630">
        <v>8</v>
      </c>
      <c r="AI630" t="s">
        <v>2025</v>
      </c>
      <c r="AK630" t="s">
        <v>2024</v>
      </c>
      <c r="AL630">
        <v>1</v>
      </c>
      <c r="AM630" s="5">
        <f t="shared" si="75"/>
        <v>4.3478260869565216E-2</v>
      </c>
      <c r="AN630" s="4">
        <f t="shared" si="76"/>
        <v>6.5851209192828807E-5</v>
      </c>
      <c r="AO630" s="3"/>
      <c r="AP630">
        <v>0</v>
      </c>
      <c r="AR630" t="s">
        <v>1</v>
      </c>
      <c r="AT630" s="2">
        <v>0.30599999999999999</v>
      </c>
      <c r="AU630" s="1">
        <f t="shared" si="77"/>
        <v>0.25984371918601151</v>
      </c>
      <c r="AV630" s="1">
        <f t="shared" si="78"/>
        <v>0.18748411968123191</v>
      </c>
      <c r="AW630" s="1">
        <f t="shared" si="79"/>
        <v>0.11512452017645231</v>
      </c>
    </row>
    <row r="631" spans="1:49" x14ac:dyDescent="0.2">
      <c r="A631">
        <v>629</v>
      </c>
      <c r="B631" t="s">
        <v>2023</v>
      </c>
      <c r="C631" t="s">
        <v>2022</v>
      </c>
      <c r="D631" t="s">
        <v>2021</v>
      </c>
      <c r="E631">
        <v>10446270</v>
      </c>
      <c r="F631" t="s">
        <v>2020</v>
      </c>
      <c r="G631" t="s">
        <v>6</v>
      </c>
      <c r="H631" t="s">
        <v>5</v>
      </c>
      <c r="I631" t="s">
        <v>2019</v>
      </c>
      <c r="J631" t="s">
        <v>2018</v>
      </c>
      <c r="K631" t="s">
        <v>2017</v>
      </c>
      <c r="L631" t="s">
        <v>2016</v>
      </c>
      <c r="M631" t="s">
        <v>592</v>
      </c>
      <c r="N631">
        <v>3</v>
      </c>
      <c r="O631" t="s">
        <v>2015</v>
      </c>
      <c r="P631" t="s">
        <v>2014</v>
      </c>
      <c r="Q631" t="s">
        <v>2013</v>
      </c>
      <c r="R631" s="7">
        <v>36373</v>
      </c>
      <c r="S631" s="8">
        <f t="shared" si="72"/>
        <v>1999</v>
      </c>
      <c r="T631" s="8">
        <v>1999</v>
      </c>
      <c r="U631" s="8">
        <f t="shared" si="73"/>
        <v>23</v>
      </c>
      <c r="V631" s="7">
        <v>36373</v>
      </c>
      <c r="W631" t="s">
        <v>2012</v>
      </c>
      <c r="X631" s="2" t="s">
        <v>0</v>
      </c>
      <c r="Y631" s="6" t="e">
        <f t="shared" si="74"/>
        <v>#VALUE!</v>
      </c>
      <c r="AA631">
        <v>9254773</v>
      </c>
      <c r="AB631">
        <v>18579</v>
      </c>
      <c r="AD631" t="s">
        <v>2</v>
      </c>
      <c r="AE631">
        <v>86</v>
      </c>
      <c r="AF631" s="10">
        <v>44228</v>
      </c>
      <c r="AH631" t="s">
        <v>2011</v>
      </c>
      <c r="AI631" t="s">
        <v>2010</v>
      </c>
      <c r="AJ631" t="s">
        <v>2009</v>
      </c>
      <c r="AK631" t="s">
        <v>2008</v>
      </c>
      <c r="AL631">
        <v>49</v>
      </c>
      <c r="AM631" s="5">
        <f t="shared" si="75"/>
        <v>2.1304347826086958</v>
      </c>
      <c r="AN631" s="4">
        <f t="shared" si="76"/>
        <v>3.2267092504486114E-3</v>
      </c>
      <c r="AO631" s="3"/>
      <c r="AP631">
        <v>1</v>
      </c>
      <c r="AR631" t="s">
        <v>2007</v>
      </c>
      <c r="AS631" t="s">
        <v>2006</v>
      </c>
      <c r="AT631" s="2">
        <v>1.8819999999999999</v>
      </c>
      <c r="AU631" s="1" t="e">
        <f t="shared" si="77"/>
        <v>#VALUE!</v>
      </c>
      <c r="AV631" s="1" t="e">
        <f t="shared" si="78"/>
        <v>#VALUE!</v>
      </c>
      <c r="AW631" s="1" t="e">
        <f t="shared" si="79"/>
        <v>#VALUE!</v>
      </c>
    </row>
    <row r="632" spans="1:49" x14ac:dyDescent="0.2">
      <c r="A632">
        <v>630</v>
      </c>
      <c r="B632" t="s">
        <v>2005</v>
      </c>
      <c r="F632" t="s">
        <v>2004</v>
      </c>
      <c r="G632" t="s">
        <v>6</v>
      </c>
      <c r="H632" t="s">
        <v>5</v>
      </c>
      <c r="I632" t="s">
        <v>2003</v>
      </c>
      <c r="N632">
        <v>2</v>
      </c>
      <c r="O632" t="s">
        <v>2002</v>
      </c>
      <c r="P632" t="s">
        <v>2001</v>
      </c>
      <c r="Q632" t="s">
        <v>85</v>
      </c>
      <c r="R632" s="7">
        <v>36373</v>
      </c>
      <c r="S632" s="8">
        <f t="shared" si="72"/>
        <v>1999</v>
      </c>
      <c r="T632" s="8">
        <v>1999</v>
      </c>
      <c r="U632" s="8">
        <f t="shared" si="73"/>
        <v>23</v>
      </c>
      <c r="V632" s="7">
        <v>36373</v>
      </c>
      <c r="W632" t="s">
        <v>617</v>
      </c>
      <c r="X632" s="2">
        <v>0.29499999999999998</v>
      </c>
      <c r="Y632" s="6">
        <f t="shared" si="74"/>
        <v>7.8748565174448087E-3</v>
      </c>
      <c r="AA632">
        <v>10642269</v>
      </c>
      <c r="AB632">
        <v>19554</v>
      </c>
      <c r="AD632" t="s">
        <v>2</v>
      </c>
      <c r="AE632">
        <v>44</v>
      </c>
      <c r="AF632">
        <v>8</v>
      </c>
      <c r="AH632" t="s">
        <v>2000</v>
      </c>
      <c r="AI632" t="s">
        <v>1999</v>
      </c>
      <c r="AK632" t="s">
        <v>1998</v>
      </c>
      <c r="AL632">
        <v>0</v>
      </c>
      <c r="AM632" s="5">
        <f t="shared" si="75"/>
        <v>0</v>
      </c>
      <c r="AN632" s="4">
        <f t="shared" si="76"/>
        <v>0</v>
      </c>
      <c r="AO632" s="3"/>
      <c r="AP632">
        <v>0</v>
      </c>
      <c r="AR632" t="s">
        <v>1</v>
      </c>
      <c r="AT632" s="2" t="s">
        <v>0</v>
      </c>
      <c r="AU632" s="1">
        <f t="shared" si="77"/>
        <v>0.55123995622113653</v>
      </c>
      <c r="AV632" s="1">
        <f t="shared" si="78"/>
        <v>0.39374282587224041</v>
      </c>
      <c r="AW632" s="1">
        <f t="shared" si="79"/>
        <v>0.23624569552334423</v>
      </c>
    </row>
    <row r="633" spans="1:49" x14ac:dyDescent="0.2">
      <c r="A633">
        <v>631</v>
      </c>
      <c r="B633" t="s">
        <v>1997</v>
      </c>
      <c r="F633" t="s">
        <v>1996</v>
      </c>
      <c r="G633" t="s">
        <v>6</v>
      </c>
      <c r="H633" t="s">
        <v>5</v>
      </c>
      <c r="I633" t="s">
        <v>1995</v>
      </c>
      <c r="N633">
        <v>2</v>
      </c>
      <c r="O633" t="s">
        <v>1994</v>
      </c>
      <c r="P633" t="s">
        <v>1993</v>
      </c>
      <c r="Q633" t="s">
        <v>85</v>
      </c>
      <c r="R633" s="7">
        <v>36373</v>
      </c>
      <c r="S633" s="8">
        <f t="shared" si="72"/>
        <v>1999</v>
      </c>
      <c r="T633" s="8">
        <v>1999</v>
      </c>
      <c r="U633" s="8">
        <f t="shared" si="73"/>
        <v>23</v>
      </c>
      <c r="V633" s="7">
        <v>36373</v>
      </c>
      <c r="W633" t="s">
        <v>617</v>
      </c>
      <c r="X633" s="2">
        <v>0.29499999999999998</v>
      </c>
      <c r="Y633" s="6">
        <f t="shared" si="74"/>
        <v>7.8748565174448087E-3</v>
      </c>
      <c r="AA633">
        <v>10642269</v>
      </c>
      <c r="AB633">
        <v>19554</v>
      </c>
      <c r="AD633" t="s">
        <v>2</v>
      </c>
      <c r="AE633">
        <v>44</v>
      </c>
      <c r="AF633">
        <v>8</v>
      </c>
      <c r="AH633" t="s">
        <v>1992</v>
      </c>
      <c r="AI633" t="s">
        <v>1991</v>
      </c>
      <c r="AK633" t="s">
        <v>1990</v>
      </c>
      <c r="AL633">
        <v>0</v>
      </c>
      <c r="AM633" s="5">
        <f t="shared" si="75"/>
        <v>0</v>
      </c>
      <c r="AN633" s="4">
        <f t="shared" si="76"/>
        <v>0</v>
      </c>
      <c r="AO633" s="3"/>
      <c r="AP633">
        <v>0</v>
      </c>
      <c r="AR633" t="s">
        <v>1</v>
      </c>
      <c r="AT633" s="2" t="s">
        <v>0</v>
      </c>
      <c r="AU633" s="1">
        <f t="shared" si="77"/>
        <v>0.55123995622113653</v>
      </c>
      <c r="AV633" s="1">
        <f t="shared" si="78"/>
        <v>0.39374282587224041</v>
      </c>
      <c r="AW633" s="1">
        <f t="shared" si="79"/>
        <v>0.23624569552334423</v>
      </c>
    </row>
    <row r="634" spans="1:49" x14ac:dyDescent="0.2">
      <c r="A634">
        <v>632</v>
      </c>
      <c r="B634" t="s">
        <v>1989</v>
      </c>
      <c r="F634" t="s">
        <v>1988</v>
      </c>
      <c r="G634" t="s">
        <v>6</v>
      </c>
      <c r="H634" t="s">
        <v>5</v>
      </c>
      <c r="I634" t="s">
        <v>1987</v>
      </c>
      <c r="J634">
        <v>60008794</v>
      </c>
      <c r="K634" t="s">
        <v>627</v>
      </c>
      <c r="L634" t="s">
        <v>496</v>
      </c>
      <c r="M634" t="s">
        <v>495</v>
      </c>
      <c r="N634">
        <v>2</v>
      </c>
      <c r="O634" t="s">
        <v>1986</v>
      </c>
      <c r="P634" t="s">
        <v>1985</v>
      </c>
      <c r="Q634" t="s">
        <v>1984</v>
      </c>
      <c r="R634" s="7">
        <v>36373</v>
      </c>
      <c r="S634" s="8">
        <f t="shared" si="72"/>
        <v>1999</v>
      </c>
      <c r="T634" s="8">
        <v>1999</v>
      </c>
      <c r="U634" s="8">
        <f t="shared" si="73"/>
        <v>23</v>
      </c>
      <c r="V634" s="7">
        <v>36373</v>
      </c>
      <c r="W634" t="s">
        <v>617</v>
      </c>
      <c r="X634" s="2">
        <v>0.29499999999999998</v>
      </c>
      <c r="Y634" s="6">
        <f t="shared" si="74"/>
        <v>7.8748565174448087E-3</v>
      </c>
      <c r="AA634">
        <v>10642269</v>
      </c>
      <c r="AB634">
        <v>19554</v>
      </c>
      <c r="AD634" t="s">
        <v>2</v>
      </c>
      <c r="AE634">
        <v>44</v>
      </c>
      <c r="AF634">
        <v>8</v>
      </c>
      <c r="AH634" t="s">
        <v>1983</v>
      </c>
      <c r="AI634" t="s">
        <v>1982</v>
      </c>
      <c r="AK634" t="s">
        <v>1981</v>
      </c>
      <c r="AL634">
        <v>0</v>
      </c>
      <c r="AM634" s="5">
        <f t="shared" si="75"/>
        <v>0</v>
      </c>
      <c r="AN634" s="4">
        <f t="shared" si="76"/>
        <v>0</v>
      </c>
      <c r="AO634" s="3"/>
      <c r="AP634">
        <v>0</v>
      </c>
      <c r="AR634" t="s">
        <v>1</v>
      </c>
      <c r="AT634" s="2" t="s">
        <v>0</v>
      </c>
      <c r="AU634" s="1">
        <f t="shared" si="77"/>
        <v>0.55123995622113653</v>
      </c>
      <c r="AV634" s="1">
        <f t="shared" si="78"/>
        <v>0.39374282587224041</v>
      </c>
      <c r="AW634" s="1">
        <f t="shared" si="79"/>
        <v>0.23624569552334423</v>
      </c>
    </row>
    <row r="635" spans="1:49" x14ac:dyDescent="0.2">
      <c r="A635">
        <v>633</v>
      </c>
      <c r="B635" t="s">
        <v>1980</v>
      </c>
      <c r="C635" t="s">
        <v>1979</v>
      </c>
      <c r="D635" t="s">
        <v>1978</v>
      </c>
      <c r="F635" t="s">
        <v>1977</v>
      </c>
      <c r="G635" t="s">
        <v>6</v>
      </c>
      <c r="H635" t="s">
        <v>5</v>
      </c>
      <c r="I635" t="s">
        <v>1976</v>
      </c>
      <c r="J635">
        <v>60001881</v>
      </c>
      <c r="K635" t="s">
        <v>623</v>
      </c>
      <c r="L635" t="s">
        <v>622</v>
      </c>
      <c r="M635" t="s">
        <v>58</v>
      </c>
      <c r="N635">
        <v>3</v>
      </c>
      <c r="O635" t="s">
        <v>1975</v>
      </c>
      <c r="P635" t="s">
        <v>1974</v>
      </c>
      <c r="Q635" t="s">
        <v>1973</v>
      </c>
      <c r="R635" s="7">
        <v>36373</v>
      </c>
      <c r="S635" s="8">
        <f t="shared" si="72"/>
        <v>1999</v>
      </c>
      <c r="T635" s="8">
        <v>1999</v>
      </c>
      <c r="U635" s="8">
        <f t="shared" si="73"/>
        <v>23</v>
      </c>
      <c r="V635" s="7">
        <v>36373</v>
      </c>
      <c r="W635" t="s">
        <v>1942</v>
      </c>
      <c r="X635" s="2">
        <v>1.5589999999999999</v>
      </c>
      <c r="Y635" s="6">
        <f t="shared" si="74"/>
        <v>4.1616614612530363E-2</v>
      </c>
      <c r="AA635">
        <v>3783839</v>
      </c>
      <c r="AB635">
        <v>15041</v>
      </c>
      <c r="AD635" t="s">
        <v>2</v>
      </c>
      <c r="AE635">
        <v>37</v>
      </c>
      <c r="AF635" s="10">
        <v>44289</v>
      </c>
      <c r="AH635" t="s">
        <v>1972</v>
      </c>
      <c r="AI635" t="s">
        <v>1971</v>
      </c>
      <c r="AJ635" t="s">
        <v>1970</v>
      </c>
      <c r="AK635" t="s">
        <v>1969</v>
      </c>
      <c r="AL635">
        <v>61</v>
      </c>
      <c r="AM635" s="5">
        <f t="shared" si="75"/>
        <v>2.652173913043478</v>
      </c>
      <c r="AN635" s="4">
        <f t="shared" si="76"/>
        <v>4.0169237607625566E-3</v>
      </c>
      <c r="AO635" s="3"/>
      <c r="AP635">
        <v>0</v>
      </c>
      <c r="AQ635" t="s">
        <v>428</v>
      </c>
      <c r="AR635" t="s">
        <v>1968</v>
      </c>
      <c r="AS635" t="s">
        <v>427</v>
      </c>
      <c r="AT635" s="2">
        <v>4.83</v>
      </c>
      <c r="AU635" s="1">
        <f t="shared" si="77"/>
        <v>3.0336707357000017</v>
      </c>
      <c r="AV635" s="1">
        <f t="shared" si="78"/>
        <v>2.2816769186646457</v>
      </c>
      <c r="AW635" s="1">
        <f t="shared" si="79"/>
        <v>1.5296831016292898</v>
      </c>
    </row>
    <row r="636" spans="1:49" x14ac:dyDescent="0.2">
      <c r="A636">
        <v>634</v>
      </c>
      <c r="B636" t="s">
        <v>1967</v>
      </c>
      <c r="C636" t="s">
        <v>1966</v>
      </c>
      <c r="D636" t="s">
        <v>1965</v>
      </c>
      <c r="F636" t="s">
        <v>1964</v>
      </c>
      <c r="G636" t="s">
        <v>6</v>
      </c>
      <c r="H636" t="s">
        <v>5</v>
      </c>
      <c r="I636" t="s">
        <v>1963</v>
      </c>
      <c r="J636">
        <v>60028229</v>
      </c>
      <c r="K636" t="s">
        <v>1962</v>
      </c>
      <c r="L636" t="s">
        <v>1961</v>
      </c>
      <c r="M636" t="s">
        <v>65</v>
      </c>
      <c r="N636">
        <v>4</v>
      </c>
      <c r="O636" t="s">
        <v>1960</v>
      </c>
      <c r="P636" t="s">
        <v>1959</v>
      </c>
      <c r="Q636" t="s">
        <v>1958</v>
      </c>
      <c r="R636" s="7">
        <v>36373</v>
      </c>
      <c r="S636" s="8">
        <f t="shared" si="72"/>
        <v>1999</v>
      </c>
      <c r="T636" s="8">
        <v>1999</v>
      </c>
      <c r="U636" s="8">
        <f t="shared" si="73"/>
        <v>23</v>
      </c>
      <c r="V636" s="7">
        <v>36373</v>
      </c>
      <c r="W636" t="s">
        <v>1942</v>
      </c>
      <c r="X636" s="2">
        <v>1.5589999999999999</v>
      </c>
      <c r="Y636" s="6">
        <f t="shared" si="74"/>
        <v>4.1616614612530363E-2</v>
      </c>
      <c r="AA636">
        <v>3783839</v>
      </c>
      <c r="AB636">
        <v>15041</v>
      </c>
      <c r="AD636" t="s">
        <v>2</v>
      </c>
      <c r="AE636">
        <v>37</v>
      </c>
      <c r="AF636" s="10">
        <v>44289</v>
      </c>
      <c r="AH636" t="s">
        <v>1957</v>
      </c>
      <c r="AI636" t="s">
        <v>1956</v>
      </c>
      <c r="AJ636" t="s">
        <v>1955</v>
      </c>
      <c r="AK636" t="s">
        <v>1954</v>
      </c>
      <c r="AL636">
        <v>284</v>
      </c>
      <c r="AM636" s="5">
        <f t="shared" si="75"/>
        <v>12.347826086956522</v>
      </c>
      <c r="AN636" s="4">
        <f t="shared" si="76"/>
        <v>1.8701743410763381E-2</v>
      </c>
      <c r="AO636" s="3"/>
      <c r="AP636">
        <v>0</v>
      </c>
      <c r="AQ636" t="s">
        <v>467</v>
      </c>
      <c r="AR636" t="s">
        <v>1953</v>
      </c>
      <c r="AS636" t="s">
        <v>326</v>
      </c>
      <c r="AT636" s="2">
        <v>4.83</v>
      </c>
      <c r="AU636" s="1">
        <f t="shared" si="77"/>
        <v>3.4742153252000265</v>
      </c>
      <c r="AV636" s="1">
        <f t="shared" si="78"/>
        <v>3.0159179011646873</v>
      </c>
      <c r="AW636" s="1">
        <f t="shared" si="79"/>
        <v>2.5576204771293476</v>
      </c>
    </row>
    <row r="637" spans="1:49" x14ac:dyDescent="0.2">
      <c r="A637">
        <v>635</v>
      </c>
      <c r="B637" t="s">
        <v>1952</v>
      </c>
      <c r="C637" t="s">
        <v>1951</v>
      </c>
      <c r="D637" t="s">
        <v>1950</v>
      </c>
      <c r="F637" t="s">
        <v>1949</v>
      </c>
      <c r="G637" t="s">
        <v>6</v>
      </c>
      <c r="H637" t="s">
        <v>5</v>
      </c>
      <c r="I637" t="s">
        <v>1948</v>
      </c>
      <c r="J637">
        <v>60001300</v>
      </c>
      <c r="K637" t="s">
        <v>1947</v>
      </c>
      <c r="L637" t="s">
        <v>1946</v>
      </c>
      <c r="M637" t="s">
        <v>34</v>
      </c>
      <c r="N637">
        <v>5</v>
      </c>
      <c r="O637" t="s">
        <v>1945</v>
      </c>
      <c r="P637" t="s">
        <v>1944</v>
      </c>
      <c r="Q637" t="s">
        <v>1943</v>
      </c>
      <c r="R637" s="7">
        <v>36373</v>
      </c>
      <c r="S637" s="8">
        <f t="shared" si="72"/>
        <v>1999</v>
      </c>
      <c r="T637" s="8">
        <v>1999</v>
      </c>
      <c r="U637" s="8">
        <f t="shared" si="73"/>
        <v>23</v>
      </c>
      <c r="V637" s="7">
        <v>36373</v>
      </c>
      <c r="W637" t="s">
        <v>1942</v>
      </c>
      <c r="X637" s="2">
        <v>1.5589999999999999</v>
      </c>
      <c r="Y637" s="6">
        <f t="shared" si="74"/>
        <v>4.1616614612530363E-2</v>
      </c>
      <c r="AA637">
        <v>3783839</v>
      </c>
      <c r="AB637">
        <v>15041</v>
      </c>
      <c r="AD637" t="s">
        <v>2</v>
      </c>
      <c r="AE637">
        <v>37</v>
      </c>
      <c r="AF637" s="10">
        <v>44289</v>
      </c>
      <c r="AH637" t="s">
        <v>1941</v>
      </c>
      <c r="AI637" t="s">
        <v>1940</v>
      </c>
      <c r="AJ637" t="s">
        <v>1939</v>
      </c>
      <c r="AK637" t="s">
        <v>1938</v>
      </c>
      <c r="AL637">
        <v>10</v>
      </c>
      <c r="AM637" s="5">
        <f t="shared" si="75"/>
        <v>0.43478260869565216</v>
      </c>
      <c r="AN637" s="4">
        <f t="shared" si="76"/>
        <v>6.5851209192828799E-4</v>
      </c>
      <c r="AO637" s="3"/>
      <c r="AP637">
        <v>0</v>
      </c>
      <c r="AR637" t="s">
        <v>1</v>
      </c>
      <c r="AT637" s="2">
        <v>4.83</v>
      </c>
      <c r="AU637" s="1">
        <f t="shared" si="77"/>
        <v>2.9329183856349736</v>
      </c>
      <c r="AV637" s="1">
        <f t="shared" si="78"/>
        <v>2.1137563352229325</v>
      </c>
      <c r="AW637" s="1">
        <f t="shared" si="79"/>
        <v>1.2945942848108909</v>
      </c>
    </row>
    <row r="638" spans="1:49" x14ac:dyDescent="0.2">
      <c r="A638">
        <v>636</v>
      </c>
      <c r="B638" t="s">
        <v>1937</v>
      </c>
      <c r="F638" t="s">
        <v>1936</v>
      </c>
      <c r="G638" t="s">
        <v>6</v>
      </c>
      <c r="H638" t="s">
        <v>5</v>
      </c>
      <c r="I638" t="s">
        <v>1935</v>
      </c>
      <c r="J638">
        <v>60022990</v>
      </c>
      <c r="K638" t="s">
        <v>1934</v>
      </c>
      <c r="L638" t="s">
        <v>390</v>
      </c>
      <c r="M638" t="s">
        <v>7</v>
      </c>
      <c r="N638">
        <v>1</v>
      </c>
      <c r="O638" t="s">
        <v>1933</v>
      </c>
      <c r="P638">
        <v>7401440961</v>
      </c>
      <c r="Q638">
        <v>60022990</v>
      </c>
      <c r="R638" s="7">
        <v>36373</v>
      </c>
      <c r="S638" s="8">
        <f t="shared" si="72"/>
        <v>1999</v>
      </c>
      <c r="T638" s="8">
        <v>1999</v>
      </c>
      <c r="U638" s="8">
        <f t="shared" si="73"/>
        <v>23</v>
      </c>
      <c r="V638" s="7">
        <v>36373</v>
      </c>
      <c r="W638" t="s">
        <v>794</v>
      </c>
      <c r="X638" s="2">
        <v>0.25700000000000001</v>
      </c>
      <c r="Y638" s="6">
        <f t="shared" si="74"/>
        <v>6.8604682202824275E-3</v>
      </c>
      <c r="AA638">
        <v>5493811</v>
      </c>
      <c r="AB638">
        <v>29565</v>
      </c>
      <c r="AD638" t="s">
        <v>2</v>
      </c>
      <c r="AE638">
        <v>42</v>
      </c>
      <c r="AF638">
        <v>136</v>
      </c>
      <c r="AH638" t="s">
        <v>1932</v>
      </c>
      <c r="AI638" t="s">
        <v>1931</v>
      </c>
      <c r="AK638" t="s">
        <v>1930</v>
      </c>
      <c r="AL638">
        <v>0</v>
      </c>
      <c r="AM638" s="5">
        <f t="shared" si="75"/>
        <v>0</v>
      </c>
      <c r="AN638" s="4">
        <f t="shared" si="76"/>
        <v>0</v>
      </c>
      <c r="AO638" s="3"/>
      <c r="AP638">
        <v>0</v>
      </c>
      <c r="AR638" t="s">
        <v>1</v>
      </c>
      <c r="AT638" s="2">
        <v>0.88200000000000001</v>
      </c>
      <c r="AU638" s="1">
        <f t="shared" si="77"/>
        <v>0.48023277541976983</v>
      </c>
      <c r="AV638" s="1">
        <f t="shared" si="78"/>
        <v>0.34302341101412137</v>
      </c>
      <c r="AW638" s="1">
        <f t="shared" si="79"/>
        <v>0.2058140466084728</v>
      </c>
    </row>
    <row r="639" spans="1:49" x14ac:dyDescent="0.2">
      <c r="A639">
        <v>637</v>
      </c>
      <c r="B639" t="s">
        <v>1929</v>
      </c>
      <c r="F639" t="s">
        <v>1928</v>
      </c>
      <c r="G639" t="s">
        <v>6</v>
      </c>
      <c r="H639" t="s">
        <v>5</v>
      </c>
      <c r="I639" t="s">
        <v>1927</v>
      </c>
      <c r="J639">
        <v>60000297</v>
      </c>
      <c r="K639" t="s">
        <v>1926</v>
      </c>
      <c r="L639" t="s">
        <v>691</v>
      </c>
      <c r="M639" t="s">
        <v>127</v>
      </c>
      <c r="N639">
        <v>3</v>
      </c>
      <c r="O639" t="s">
        <v>1925</v>
      </c>
      <c r="P639" t="s">
        <v>1924</v>
      </c>
      <c r="Q639" t="s">
        <v>1923</v>
      </c>
      <c r="R639" s="7">
        <v>36373</v>
      </c>
      <c r="S639" s="8">
        <f t="shared" si="72"/>
        <v>1999</v>
      </c>
      <c r="T639" s="8">
        <v>1999</v>
      </c>
      <c r="U639" s="8">
        <f t="shared" si="73"/>
        <v>23</v>
      </c>
      <c r="V639" s="7">
        <v>36373</v>
      </c>
      <c r="W639" t="s">
        <v>733</v>
      </c>
      <c r="X639" s="2">
        <v>0.33300000000000002</v>
      </c>
      <c r="Y639" s="6">
        <f t="shared" si="74"/>
        <v>8.8892448146071917E-3</v>
      </c>
      <c r="AA639" t="s">
        <v>732</v>
      </c>
      <c r="AB639">
        <v>29252</v>
      </c>
      <c r="AD639" t="s">
        <v>2</v>
      </c>
      <c r="AE639">
        <v>25</v>
      </c>
      <c r="AF639">
        <v>8</v>
      </c>
      <c r="AH639" t="s">
        <v>1922</v>
      </c>
      <c r="AI639" t="s">
        <v>1921</v>
      </c>
      <c r="AK639" t="s">
        <v>1920</v>
      </c>
      <c r="AL639">
        <v>7</v>
      </c>
      <c r="AM639" s="5">
        <f t="shared" si="75"/>
        <v>0.30434782608695654</v>
      </c>
      <c r="AN639" s="4">
        <f t="shared" si="76"/>
        <v>4.6095846434980164E-4</v>
      </c>
      <c r="AO639" s="3"/>
      <c r="AP639">
        <v>0</v>
      </c>
      <c r="AR639" t="s">
        <v>1</v>
      </c>
      <c r="AT639" s="2">
        <v>0.97699999999999998</v>
      </c>
      <c r="AU639" s="1">
        <f t="shared" si="77"/>
        <v>0.63607589095299744</v>
      </c>
      <c r="AV639" s="1">
        <f t="shared" si="78"/>
        <v>0.46751016394784961</v>
      </c>
      <c r="AW639" s="1">
        <f t="shared" si="79"/>
        <v>0.29894443694270184</v>
      </c>
    </row>
    <row r="640" spans="1:49" x14ac:dyDescent="0.2">
      <c r="A640">
        <v>638</v>
      </c>
      <c r="B640" t="s">
        <v>1919</v>
      </c>
      <c r="C640" t="s">
        <v>1918</v>
      </c>
      <c r="E640">
        <v>10504562</v>
      </c>
      <c r="F640" t="s">
        <v>1917</v>
      </c>
      <c r="G640" t="s">
        <v>6</v>
      </c>
      <c r="H640" t="s">
        <v>5</v>
      </c>
      <c r="I640" t="s">
        <v>1916</v>
      </c>
      <c r="J640">
        <v>60030327</v>
      </c>
      <c r="K640" t="s">
        <v>1915</v>
      </c>
      <c r="L640" t="s">
        <v>587</v>
      </c>
      <c r="M640" t="s">
        <v>23</v>
      </c>
      <c r="N640">
        <v>3</v>
      </c>
      <c r="O640" t="s">
        <v>1914</v>
      </c>
      <c r="P640" t="s">
        <v>1913</v>
      </c>
      <c r="Q640" t="s">
        <v>1912</v>
      </c>
      <c r="R640" s="7">
        <v>36373</v>
      </c>
      <c r="S640" s="8">
        <f t="shared" si="72"/>
        <v>1999</v>
      </c>
      <c r="T640" s="8">
        <v>1999</v>
      </c>
      <c r="U640" s="8">
        <f t="shared" si="73"/>
        <v>23</v>
      </c>
      <c r="V640" s="7">
        <v>36373</v>
      </c>
      <c r="W640" t="s">
        <v>1911</v>
      </c>
      <c r="X640" s="2">
        <v>3.0579999999999998</v>
      </c>
      <c r="Y640" s="6">
        <f t="shared" si="74"/>
        <v>8.1631563492699066E-2</v>
      </c>
      <c r="AA640">
        <v>9607412</v>
      </c>
      <c r="AB640">
        <v>16612</v>
      </c>
      <c r="AD640" t="s">
        <v>2</v>
      </c>
      <c r="AE640">
        <v>19</v>
      </c>
      <c r="AF640">
        <v>4</v>
      </c>
      <c r="AH640" t="s">
        <v>741</v>
      </c>
      <c r="AI640" t="s">
        <v>1910</v>
      </c>
      <c r="AK640" t="s">
        <v>1909</v>
      </c>
      <c r="AL640">
        <v>44</v>
      </c>
      <c r="AM640" s="5">
        <f t="shared" si="75"/>
        <v>1.9130434782608696</v>
      </c>
      <c r="AN640" s="4">
        <f t="shared" si="76"/>
        <v>2.8974532044844675E-3</v>
      </c>
      <c r="AO640" s="3"/>
      <c r="AP640">
        <v>0</v>
      </c>
      <c r="AR640" t="s">
        <v>1</v>
      </c>
      <c r="AT640" s="2">
        <v>6.4169999999999998</v>
      </c>
      <c r="AU640" s="1">
        <f t="shared" si="77"/>
        <v>5.8011330406234682</v>
      </c>
      <c r="AV640" s="1">
        <f t="shared" si="78"/>
        <v>4.2264508348591763</v>
      </c>
      <c r="AW640" s="1">
        <f t="shared" si="79"/>
        <v>2.6517686290948843</v>
      </c>
    </row>
    <row r="641" spans="1:49" x14ac:dyDescent="0.2">
      <c r="A641">
        <v>639</v>
      </c>
      <c r="B641" t="s">
        <v>1908</v>
      </c>
      <c r="C641" t="s">
        <v>1907</v>
      </c>
      <c r="F641" t="s">
        <v>1906</v>
      </c>
      <c r="G641" t="s">
        <v>6</v>
      </c>
      <c r="H641" t="s">
        <v>5</v>
      </c>
      <c r="I641" t="s">
        <v>345</v>
      </c>
      <c r="J641" t="s">
        <v>1905</v>
      </c>
      <c r="K641" t="s">
        <v>1904</v>
      </c>
      <c r="L641" t="s">
        <v>1903</v>
      </c>
      <c r="M641" t="s">
        <v>1902</v>
      </c>
      <c r="N641">
        <v>6</v>
      </c>
      <c r="O641" t="s">
        <v>1901</v>
      </c>
      <c r="P641" t="s">
        <v>1900</v>
      </c>
      <c r="Q641" t="s">
        <v>1899</v>
      </c>
      <c r="R641" s="7">
        <v>36373</v>
      </c>
      <c r="S641" s="8">
        <f t="shared" si="72"/>
        <v>1999</v>
      </c>
      <c r="T641" s="8">
        <v>1999</v>
      </c>
      <c r="U641" s="8">
        <f t="shared" si="73"/>
        <v>23</v>
      </c>
      <c r="V641" s="7">
        <v>36373</v>
      </c>
      <c r="W641" t="s">
        <v>343</v>
      </c>
      <c r="X641" s="2">
        <v>0.66100000000000003</v>
      </c>
      <c r="Y641" s="6">
        <f t="shared" si="74"/>
        <v>1.7645017484850912E-2</v>
      </c>
      <c r="AA641">
        <v>189197</v>
      </c>
      <c r="AB641">
        <v>26022</v>
      </c>
      <c r="AD641" t="s">
        <v>2</v>
      </c>
      <c r="AE641">
        <v>35</v>
      </c>
      <c r="AF641">
        <v>8</v>
      </c>
      <c r="AH641" t="s">
        <v>1898</v>
      </c>
      <c r="AI641" t="s">
        <v>1897</v>
      </c>
      <c r="AK641" t="s">
        <v>1896</v>
      </c>
      <c r="AL641">
        <v>82</v>
      </c>
      <c r="AM641" s="5">
        <f t="shared" si="75"/>
        <v>3.5652173913043477</v>
      </c>
      <c r="AN641" s="4">
        <f t="shared" si="76"/>
        <v>5.3997991538119617E-3</v>
      </c>
      <c r="AO641" s="3"/>
      <c r="AP641">
        <v>0</v>
      </c>
      <c r="AQ641" t="s">
        <v>205</v>
      </c>
      <c r="AR641" t="s">
        <v>1895</v>
      </c>
      <c r="AS641" t="s">
        <v>204</v>
      </c>
      <c r="AT641" s="2">
        <v>2.3180000000000001</v>
      </c>
      <c r="AU641" s="1">
        <f t="shared" si="77"/>
        <v>1.3971451985539225</v>
      </c>
      <c r="AV641" s="1">
        <f t="shared" si="78"/>
        <v>1.1522408319331439</v>
      </c>
      <c r="AW641" s="1">
        <f t="shared" si="79"/>
        <v>0.90733646531236456</v>
      </c>
    </row>
    <row r="642" spans="1:49" x14ac:dyDescent="0.2">
      <c r="A642">
        <v>640</v>
      </c>
      <c r="B642" t="s">
        <v>1894</v>
      </c>
      <c r="C642" t="s">
        <v>1893</v>
      </c>
      <c r="F642" t="s">
        <v>1892</v>
      </c>
      <c r="G642" t="s">
        <v>6</v>
      </c>
      <c r="H642" t="s">
        <v>5</v>
      </c>
      <c r="I642" t="s">
        <v>1891</v>
      </c>
      <c r="J642" t="s">
        <v>1890</v>
      </c>
      <c r="K642" t="s">
        <v>1889</v>
      </c>
      <c r="L642" t="s">
        <v>1888</v>
      </c>
      <c r="M642" t="s">
        <v>1887</v>
      </c>
      <c r="N642">
        <v>3</v>
      </c>
      <c r="O642" t="s">
        <v>1886</v>
      </c>
      <c r="P642" t="s">
        <v>1885</v>
      </c>
      <c r="Q642" t="s">
        <v>1884</v>
      </c>
      <c r="R642" s="7">
        <v>36373</v>
      </c>
      <c r="S642" s="8">
        <f t="shared" ref="S642:S705" si="80">YEAR(R642)</f>
        <v>1999</v>
      </c>
      <c r="T642" s="8">
        <v>1999</v>
      </c>
      <c r="U642" s="8">
        <f t="shared" ref="U642:U705" si="81">2022-T642</f>
        <v>23</v>
      </c>
      <c r="V642" s="7">
        <v>36373</v>
      </c>
      <c r="W642" t="s">
        <v>834</v>
      </c>
      <c r="X642" s="2">
        <v>3.2160000000000002</v>
      </c>
      <c r="Y642" s="6">
        <f t="shared" ref="Y642:Y705" si="82">(X642-$Z$3)/($Z$2-$Z$3)</f>
        <v>8.5849283254584782E-2</v>
      </c>
      <c r="AA642">
        <v>10709916</v>
      </c>
      <c r="AB642">
        <v>80015</v>
      </c>
      <c r="AD642" t="s">
        <v>2</v>
      </c>
      <c r="AE642">
        <v>6</v>
      </c>
      <c r="AF642">
        <v>4</v>
      </c>
      <c r="AH642" t="s">
        <v>1883</v>
      </c>
      <c r="AI642" t="s">
        <v>1882</v>
      </c>
      <c r="AK642" t="s">
        <v>1881</v>
      </c>
      <c r="AL642">
        <v>158</v>
      </c>
      <c r="AM642" s="5">
        <f t="shared" ref="AM642:AM705" si="83">AL642/U642</f>
        <v>6.8695652173913047</v>
      </c>
      <c r="AN642" s="4">
        <f t="shared" ref="AN642:AN705" si="84">(AM642-$AO$3)/($AO$2-$AO$3)</f>
        <v>1.0404491052466951E-2</v>
      </c>
      <c r="AO642" s="3"/>
      <c r="AP642">
        <v>0</v>
      </c>
      <c r="AQ642" t="s">
        <v>467</v>
      </c>
      <c r="AR642" t="s">
        <v>1</v>
      </c>
      <c r="AS642" t="s">
        <v>326</v>
      </c>
      <c r="AT642" s="2" t="s">
        <v>0</v>
      </c>
      <c r="AU642" s="1">
        <f t="shared" ref="AU642:AU705" si="85">(Y642*0.7+AN642*0.3)*100</f>
        <v>6.3215845593949425</v>
      </c>
      <c r="AV642" s="1">
        <f t="shared" ref="AV642:AV705" si="86">(Y642*0.5+AN642*0.5)*100</f>
        <v>4.8126887153525866</v>
      </c>
      <c r="AW642" s="1">
        <f t="shared" ref="AW642:AW705" si="87">(Y642*0.3+AN642*0.7)*100</f>
        <v>3.3037928713102303</v>
      </c>
    </row>
    <row r="643" spans="1:49" x14ac:dyDescent="0.2">
      <c r="A643">
        <v>641</v>
      </c>
      <c r="B643" t="s">
        <v>1880</v>
      </c>
      <c r="C643" t="s">
        <v>1879</v>
      </c>
      <c r="F643" t="s">
        <v>1878</v>
      </c>
      <c r="G643" t="s">
        <v>6</v>
      </c>
      <c r="H643" t="s">
        <v>5</v>
      </c>
      <c r="I643" t="s">
        <v>1877</v>
      </c>
      <c r="J643" t="s">
        <v>1876</v>
      </c>
      <c r="K643" t="s">
        <v>1875</v>
      </c>
      <c r="L643" t="s">
        <v>1874</v>
      </c>
      <c r="M643" t="s">
        <v>656</v>
      </c>
      <c r="N643">
        <v>3</v>
      </c>
      <c r="O643" t="s">
        <v>1873</v>
      </c>
      <c r="P643" t="s">
        <v>1872</v>
      </c>
      <c r="Q643" t="s">
        <v>1871</v>
      </c>
      <c r="R643" s="7">
        <v>36373</v>
      </c>
      <c r="S643" s="8">
        <f t="shared" si="80"/>
        <v>1999</v>
      </c>
      <c r="T643" s="8">
        <v>1999</v>
      </c>
      <c r="U643" s="8">
        <f t="shared" si="81"/>
        <v>23</v>
      </c>
      <c r="V643" s="7">
        <v>36373</v>
      </c>
      <c r="W643" t="s">
        <v>190</v>
      </c>
      <c r="X643" s="2">
        <v>1.6379999999999999</v>
      </c>
      <c r="Y643" s="6">
        <f t="shared" si="82"/>
        <v>4.3725474493473214E-2</v>
      </c>
      <c r="AA643" t="s">
        <v>189</v>
      </c>
      <c r="AB643">
        <v>17391</v>
      </c>
      <c r="AD643" t="s">
        <v>2</v>
      </c>
      <c r="AE643">
        <v>47</v>
      </c>
      <c r="AF643">
        <v>8</v>
      </c>
      <c r="AH643" t="s">
        <v>1870</v>
      </c>
      <c r="AI643" t="s">
        <v>1869</v>
      </c>
      <c r="AK643" t="s">
        <v>1868</v>
      </c>
      <c r="AL643">
        <v>60</v>
      </c>
      <c r="AM643" s="5">
        <f t="shared" si="83"/>
        <v>2.6086956521739131</v>
      </c>
      <c r="AN643" s="4">
        <f t="shared" si="84"/>
        <v>3.9510725515697282E-3</v>
      </c>
      <c r="AO643" s="3"/>
      <c r="AP643">
        <v>0</v>
      </c>
      <c r="AQ643" t="s">
        <v>205</v>
      </c>
      <c r="AR643" t="s">
        <v>387</v>
      </c>
      <c r="AS643" t="s">
        <v>204</v>
      </c>
      <c r="AT643" s="2">
        <v>4.931</v>
      </c>
      <c r="AU643" s="1">
        <f t="shared" si="85"/>
        <v>3.1793153910902165</v>
      </c>
      <c r="AV643" s="1">
        <f t="shared" si="86"/>
        <v>2.3838273522521471</v>
      </c>
      <c r="AW643" s="1">
        <f t="shared" si="87"/>
        <v>1.5883393134140773</v>
      </c>
    </row>
    <row r="644" spans="1:49" x14ac:dyDescent="0.2">
      <c r="A644">
        <v>642</v>
      </c>
      <c r="B644" t="s">
        <v>1867</v>
      </c>
      <c r="F644" t="s">
        <v>1866</v>
      </c>
      <c r="G644" t="s">
        <v>6</v>
      </c>
      <c r="H644" t="s">
        <v>5</v>
      </c>
      <c r="I644" t="s">
        <v>1865</v>
      </c>
      <c r="J644">
        <v>60028442</v>
      </c>
      <c r="K644" t="s">
        <v>1864</v>
      </c>
      <c r="L644" t="s">
        <v>1863</v>
      </c>
      <c r="M644" t="s">
        <v>23</v>
      </c>
      <c r="N644">
        <v>7</v>
      </c>
      <c r="O644" t="s">
        <v>1862</v>
      </c>
      <c r="P644" t="s">
        <v>1861</v>
      </c>
      <c r="Q644" t="s">
        <v>1860</v>
      </c>
      <c r="R644" s="7">
        <v>36373</v>
      </c>
      <c r="S644" s="8">
        <f t="shared" si="80"/>
        <v>1999</v>
      </c>
      <c r="T644" s="8">
        <v>1999</v>
      </c>
      <c r="U644" s="8">
        <f t="shared" si="81"/>
        <v>23</v>
      </c>
      <c r="V644" s="7">
        <v>36373</v>
      </c>
      <c r="W644" t="s">
        <v>779</v>
      </c>
      <c r="X644" s="2" t="s">
        <v>0</v>
      </c>
      <c r="Y644" s="6" t="e">
        <f t="shared" si="82"/>
        <v>#VALUE!</v>
      </c>
      <c r="AA644" t="s">
        <v>778</v>
      </c>
      <c r="AB644">
        <v>26720</v>
      </c>
      <c r="AD644" t="s">
        <v>2</v>
      </c>
      <c r="AF644" t="s">
        <v>1859</v>
      </c>
      <c r="AI644" t="s">
        <v>1858</v>
      </c>
      <c r="AK644" t="s">
        <v>1857</v>
      </c>
      <c r="AL644">
        <v>5</v>
      </c>
      <c r="AM644" s="5">
        <f t="shared" si="83"/>
        <v>0.21739130434782608</v>
      </c>
      <c r="AN644" s="4">
        <f t="shared" si="84"/>
        <v>3.29256045964144E-4</v>
      </c>
      <c r="AO644" s="3"/>
      <c r="AP644">
        <v>0</v>
      </c>
      <c r="AR644" t="s">
        <v>1</v>
      </c>
      <c r="AT644" s="2" t="s">
        <v>0</v>
      </c>
      <c r="AU644" s="1" t="e">
        <f t="shared" si="85"/>
        <v>#VALUE!</v>
      </c>
      <c r="AV644" s="1" t="e">
        <f t="shared" si="86"/>
        <v>#VALUE!</v>
      </c>
      <c r="AW644" s="1" t="e">
        <f t="shared" si="87"/>
        <v>#VALUE!</v>
      </c>
    </row>
    <row r="645" spans="1:49" x14ac:dyDescent="0.2">
      <c r="A645">
        <v>643</v>
      </c>
      <c r="B645" t="s">
        <v>1856</v>
      </c>
      <c r="C645" t="s">
        <v>1855</v>
      </c>
      <c r="E645">
        <v>10406848</v>
      </c>
      <c r="F645" t="s">
        <v>1854</v>
      </c>
      <c r="G645" t="s">
        <v>6</v>
      </c>
      <c r="H645" t="s">
        <v>5</v>
      </c>
      <c r="I645" t="s">
        <v>1853</v>
      </c>
      <c r="J645" t="s">
        <v>1852</v>
      </c>
      <c r="K645" t="s">
        <v>1851</v>
      </c>
      <c r="L645" t="s">
        <v>1850</v>
      </c>
      <c r="M645" t="s">
        <v>1849</v>
      </c>
      <c r="N645">
        <v>7</v>
      </c>
      <c r="O645" t="s">
        <v>1848</v>
      </c>
      <c r="P645" t="s">
        <v>1847</v>
      </c>
      <c r="Q645" t="s">
        <v>1846</v>
      </c>
      <c r="R645" s="7">
        <v>36373</v>
      </c>
      <c r="S645" s="8">
        <f t="shared" si="80"/>
        <v>1999</v>
      </c>
      <c r="T645" s="8">
        <v>1999</v>
      </c>
      <c r="U645" s="8">
        <f t="shared" si="81"/>
        <v>23</v>
      </c>
      <c r="V645" s="7">
        <v>36373</v>
      </c>
      <c r="W645" t="s">
        <v>1845</v>
      </c>
      <c r="X645" s="2">
        <v>1.7569999999999999</v>
      </c>
      <c r="Y645" s="6">
        <f t="shared" si="82"/>
        <v>4.6902111529323831E-2</v>
      </c>
      <c r="AA645">
        <v>9596658</v>
      </c>
      <c r="AB645">
        <v>17511</v>
      </c>
      <c r="AD645" t="s">
        <v>2</v>
      </c>
      <c r="AE645">
        <v>9</v>
      </c>
      <c r="AF645">
        <v>8</v>
      </c>
      <c r="AH645" t="s">
        <v>1844</v>
      </c>
      <c r="AI645" t="s">
        <v>1843</v>
      </c>
      <c r="AJ645" t="s">
        <v>1842</v>
      </c>
      <c r="AK645" t="s">
        <v>1841</v>
      </c>
      <c r="AL645">
        <v>36</v>
      </c>
      <c r="AM645" s="5">
        <f t="shared" si="83"/>
        <v>1.5652173913043479</v>
      </c>
      <c r="AN645" s="4">
        <f t="shared" si="84"/>
        <v>2.3706435309418369E-3</v>
      </c>
      <c r="AO645" s="3"/>
      <c r="AP645">
        <v>1</v>
      </c>
      <c r="AQ645" t="s">
        <v>1840</v>
      </c>
      <c r="AR645" t="s">
        <v>1</v>
      </c>
      <c r="AS645" t="s">
        <v>1839</v>
      </c>
      <c r="AT645" s="2">
        <v>4.3129999999999997</v>
      </c>
      <c r="AU645" s="1">
        <f t="shared" si="85"/>
        <v>3.3542671129809229</v>
      </c>
      <c r="AV645" s="1">
        <f t="shared" si="86"/>
        <v>2.4636377530132836</v>
      </c>
      <c r="AW645" s="1">
        <f t="shared" si="87"/>
        <v>1.5730083930456433</v>
      </c>
    </row>
    <row r="646" spans="1:49" x14ac:dyDescent="0.2">
      <c r="A646">
        <v>644</v>
      </c>
      <c r="B646" t="s">
        <v>1838</v>
      </c>
      <c r="C646" t="s">
        <v>1837</v>
      </c>
      <c r="D646" t="s">
        <v>1836</v>
      </c>
      <c r="F646" t="s">
        <v>1835</v>
      </c>
      <c r="G646" t="s">
        <v>6</v>
      </c>
      <c r="H646" t="s">
        <v>5</v>
      </c>
      <c r="I646" t="s">
        <v>1834</v>
      </c>
      <c r="J646">
        <v>60005837</v>
      </c>
      <c r="K646" t="s">
        <v>1633</v>
      </c>
      <c r="L646" t="s">
        <v>1632</v>
      </c>
      <c r="M646" t="s">
        <v>3</v>
      </c>
      <c r="N646">
        <v>2</v>
      </c>
      <c r="O646" t="s">
        <v>1833</v>
      </c>
      <c r="P646" t="s">
        <v>1832</v>
      </c>
      <c r="Q646" t="s">
        <v>1831</v>
      </c>
      <c r="R646" s="7">
        <v>36373</v>
      </c>
      <c r="S646" s="8">
        <f t="shared" si="80"/>
        <v>1999</v>
      </c>
      <c r="T646" s="8">
        <v>1999</v>
      </c>
      <c r="U646" s="8">
        <f t="shared" si="81"/>
        <v>23</v>
      </c>
      <c r="V646" s="7">
        <v>36373</v>
      </c>
      <c r="W646" t="s">
        <v>1830</v>
      </c>
      <c r="X646" s="2">
        <v>0.627</v>
      </c>
      <c r="Y646" s="6">
        <f t="shared" si="82"/>
        <v>1.6737406903179305E-2</v>
      </c>
      <c r="AA646">
        <v>9269851</v>
      </c>
      <c r="AB646">
        <v>28435</v>
      </c>
      <c r="AD646" t="s">
        <v>2</v>
      </c>
      <c r="AE646">
        <v>42</v>
      </c>
      <c r="AF646">
        <v>1</v>
      </c>
      <c r="AH646" t="s">
        <v>1829</v>
      </c>
      <c r="AI646" t="s">
        <v>1828</v>
      </c>
      <c r="AJ646" t="s">
        <v>1827</v>
      </c>
      <c r="AK646" t="s">
        <v>1826</v>
      </c>
      <c r="AL646">
        <v>5</v>
      </c>
      <c r="AM646" s="5">
        <f t="shared" si="83"/>
        <v>0.21739130434782608</v>
      </c>
      <c r="AN646" s="4">
        <f t="shared" si="84"/>
        <v>3.29256045964144E-4</v>
      </c>
      <c r="AO646" s="3"/>
      <c r="AP646">
        <v>0</v>
      </c>
      <c r="AR646" t="s">
        <v>1</v>
      </c>
      <c r="AT646" s="2">
        <v>2.121</v>
      </c>
      <c r="AU646" s="1">
        <f t="shared" si="85"/>
        <v>1.1814961646014757</v>
      </c>
      <c r="AV646" s="1">
        <f t="shared" si="86"/>
        <v>0.85333314745717259</v>
      </c>
      <c r="AW646" s="1">
        <f t="shared" si="87"/>
        <v>0.52517013031286919</v>
      </c>
    </row>
    <row r="647" spans="1:49" x14ac:dyDescent="0.2">
      <c r="A647">
        <v>645</v>
      </c>
      <c r="B647" t="s">
        <v>1825</v>
      </c>
      <c r="C647" t="s">
        <v>1824</v>
      </c>
      <c r="F647" t="s">
        <v>1823</v>
      </c>
      <c r="G647" t="s">
        <v>6</v>
      </c>
      <c r="H647" t="s">
        <v>5</v>
      </c>
      <c r="I647" t="s">
        <v>1822</v>
      </c>
      <c r="J647" t="s">
        <v>1821</v>
      </c>
      <c r="K647" t="s">
        <v>1820</v>
      </c>
      <c r="L647" t="s">
        <v>1819</v>
      </c>
      <c r="M647" t="s">
        <v>1818</v>
      </c>
      <c r="N647">
        <v>3</v>
      </c>
      <c r="O647" t="s">
        <v>1817</v>
      </c>
      <c r="P647" t="s">
        <v>1816</v>
      </c>
      <c r="Q647" t="s">
        <v>1815</v>
      </c>
      <c r="R647" s="7">
        <v>36373</v>
      </c>
      <c r="S647" s="8">
        <f t="shared" si="80"/>
        <v>1999</v>
      </c>
      <c r="T647" s="8">
        <v>1999</v>
      </c>
      <c r="U647" s="8">
        <f t="shared" si="81"/>
        <v>23</v>
      </c>
      <c r="V647" s="7">
        <v>36373</v>
      </c>
      <c r="W647" t="s">
        <v>677</v>
      </c>
      <c r="X647" s="2">
        <v>0.9</v>
      </c>
      <c r="Y647" s="6">
        <f t="shared" si="82"/>
        <v>2.4024985985424845E-2</v>
      </c>
      <c r="AA647">
        <v>9630252</v>
      </c>
      <c r="AB647">
        <v>29614</v>
      </c>
      <c r="AD647" t="s">
        <v>2</v>
      </c>
      <c r="AE647">
        <v>8</v>
      </c>
      <c r="AF647">
        <v>3</v>
      </c>
      <c r="AH647" t="s">
        <v>1814</v>
      </c>
      <c r="AI647" t="s">
        <v>1813</v>
      </c>
      <c r="AK647" t="s">
        <v>1812</v>
      </c>
      <c r="AL647">
        <v>54</v>
      </c>
      <c r="AM647" s="5">
        <f t="shared" si="83"/>
        <v>2.347826086956522</v>
      </c>
      <c r="AN647" s="4">
        <f t="shared" si="84"/>
        <v>3.5559652964127558E-3</v>
      </c>
      <c r="AO647" s="3"/>
      <c r="AP647">
        <v>0</v>
      </c>
      <c r="AR647" t="s">
        <v>1</v>
      </c>
      <c r="AT647" s="2" t="s">
        <v>0</v>
      </c>
      <c r="AU647" s="1">
        <f t="shared" si="85"/>
        <v>1.7884279778721215</v>
      </c>
      <c r="AV647" s="1">
        <f t="shared" si="86"/>
        <v>1.37904756409188</v>
      </c>
      <c r="AW647" s="1">
        <f t="shared" si="87"/>
        <v>0.96966715031163819</v>
      </c>
    </row>
    <row r="648" spans="1:49" x14ac:dyDescent="0.2">
      <c r="A648">
        <v>646</v>
      </c>
      <c r="B648" t="s">
        <v>1811</v>
      </c>
      <c r="C648" t="s">
        <v>1810</v>
      </c>
      <c r="F648" t="s">
        <v>1809</v>
      </c>
      <c r="G648" t="s">
        <v>6</v>
      </c>
      <c r="H648" t="s">
        <v>5</v>
      </c>
      <c r="I648" t="s">
        <v>519</v>
      </c>
      <c r="J648" t="s">
        <v>518</v>
      </c>
      <c r="K648" t="s">
        <v>517</v>
      </c>
      <c r="L648" t="s">
        <v>516</v>
      </c>
      <c r="M648" t="s">
        <v>18</v>
      </c>
      <c r="N648">
        <v>4</v>
      </c>
      <c r="O648" t="s">
        <v>1808</v>
      </c>
      <c r="P648" t="s">
        <v>1807</v>
      </c>
      <c r="Q648" t="s">
        <v>1806</v>
      </c>
      <c r="R648" s="7">
        <v>36373</v>
      </c>
      <c r="S648" s="8">
        <f t="shared" si="80"/>
        <v>1999</v>
      </c>
      <c r="T648" s="8">
        <v>1999</v>
      </c>
      <c r="U648" s="8">
        <f t="shared" si="81"/>
        <v>23</v>
      </c>
      <c r="V648" s="7">
        <v>36373</v>
      </c>
      <c r="W648" t="s">
        <v>677</v>
      </c>
      <c r="X648" s="2">
        <v>0.9</v>
      </c>
      <c r="Y648" s="6">
        <f t="shared" si="82"/>
        <v>2.4024985985424845E-2</v>
      </c>
      <c r="AA648">
        <v>9630252</v>
      </c>
      <c r="AB648">
        <v>29614</v>
      </c>
      <c r="AD648" t="s">
        <v>2</v>
      </c>
      <c r="AE648">
        <v>8</v>
      </c>
      <c r="AF648">
        <v>3</v>
      </c>
      <c r="AH648" t="s">
        <v>1805</v>
      </c>
      <c r="AI648" t="s">
        <v>1804</v>
      </c>
      <c r="AK648" t="s">
        <v>1803</v>
      </c>
      <c r="AL648">
        <v>22</v>
      </c>
      <c r="AM648" s="5">
        <f t="shared" si="83"/>
        <v>0.95652173913043481</v>
      </c>
      <c r="AN648" s="4">
        <f t="shared" si="84"/>
        <v>1.4487266022422337E-3</v>
      </c>
      <c r="AO648" s="3"/>
      <c r="AP648">
        <v>0</v>
      </c>
      <c r="AR648" t="s">
        <v>1</v>
      </c>
      <c r="AT648" s="2" t="s">
        <v>0</v>
      </c>
      <c r="AU648" s="1">
        <f t="shared" si="85"/>
        <v>1.725210817047006</v>
      </c>
      <c r="AV648" s="1">
        <f t="shared" si="86"/>
        <v>1.2736856293833538</v>
      </c>
      <c r="AW648" s="1">
        <f t="shared" si="87"/>
        <v>0.82216044171970171</v>
      </c>
    </row>
    <row r="649" spans="1:49" x14ac:dyDescent="0.2">
      <c r="A649">
        <v>647</v>
      </c>
      <c r="B649" t="s">
        <v>1802</v>
      </c>
      <c r="C649" t="s">
        <v>1801</v>
      </c>
      <c r="F649" t="s">
        <v>1800</v>
      </c>
      <c r="G649" t="s">
        <v>6</v>
      </c>
      <c r="H649" t="s">
        <v>5</v>
      </c>
      <c r="I649" t="s">
        <v>1799</v>
      </c>
      <c r="J649" t="s">
        <v>1794</v>
      </c>
      <c r="K649" t="s">
        <v>1798</v>
      </c>
      <c r="L649" t="s">
        <v>1797</v>
      </c>
      <c r="M649" t="s">
        <v>18</v>
      </c>
      <c r="N649">
        <v>2</v>
      </c>
      <c r="O649" t="s">
        <v>1796</v>
      </c>
      <c r="P649" t="s">
        <v>1795</v>
      </c>
      <c r="Q649" t="s">
        <v>1794</v>
      </c>
      <c r="R649" s="7">
        <v>36373</v>
      </c>
      <c r="S649" s="8">
        <f t="shared" si="80"/>
        <v>1999</v>
      </c>
      <c r="T649" s="8">
        <v>1999</v>
      </c>
      <c r="U649" s="8">
        <f t="shared" si="81"/>
        <v>23</v>
      </c>
      <c r="V649" s="7">
        <v>36373</v>
      </c>
      <c r="W649" t="s">
        <v>61</v>
      </c>
      <c r="X649" s="2">
        <v>0.111</v>
      </c>
      <c r="Y649" s="6">
        <f t="shared" si="82"/>
        <v>2.9630816048690639E-3</v>
      </c>
      <c r="AA649">
        <v>87566621</v>
      </c>
      <c r="AB649">
        <v>24890</v>
      </c>
      <c r="AD649" t="s">
        <v>2</v>
      </c>
      <c r="AE649">
        <v>82</v>
      </c>
      <c r="AF649">
        <v>8</v>
      </c>
      <c r="AH649" t="s">
        <v>1793</v>
      </c>
      <c r="AI649" t="s">
        <v>1792</v>
      </c>
      <c r="AK649" t="s">
        <v>1791</v>
      </c>
      <c r="AL649">
        <v>1</v>
      </c>
      <c r="AM649" s="5">
        <f t="shared" si="83"/>
        <v>4.3478260869565216E-2</v>
      </c>
      <c r="AN649" s="4">
        <f t="shared" si="84"/>
        <v>6.5851209192828807E-5</v>
      </c>
      <c r="AO649" s="3"/>
      <c r="AP649">
        <v>0</v>
      </c>
      <c r="AR649" t="s">
        <v>1</v>
      </c>
      <c r="AT649" s="2" t="s">
        <v>0</v>
      </c>
      <c r="AU649" s="1">
        <f t="shared" si="85"/>
        <v>0.20939124861661931</v>
      </c>
      <c r="AV649" s="1">
        <f t="shared" si="86"/>
        <v>0.15144664070309463</v>
      </c>
      <c r="AW649" s="1">
        <f t="shared" si="87"/>
        <v>9.3502032789569922E-2</v>
      </c>
    </row>
    <row r="650" spans="1:49" x14ac:dyDescent="0.2">
      <c r="A650">
        <v>648</v>
      </c>
      <c r="B650" t="s">
        <v>1790</v>
      </c>
      <c r="C650" t="s">
        <v>1789</v>
      </c>
      <c r="F650" t="s">
        <v>1788</v>
      </c>
      <c r="G650" t="s">
        <v>6</v>
      </c>
      <c r="H650" t="s">
        <v>5</v>
      </c>
      <c r="I650" t="s">
        <v>1787</v>
      </c>
      <c r="J650">
        <v>60001271</v>
      </c>
      <c r="K650" t="s">
        <v>1786</v>
      </c>
      <c r="L650" t="s">
        <v>104</v>
      </c>
      <c r="M650" t="s">
        <v>7</v>
      </c>
      <c r="N650">
        <v>2</v>
      </c>
      <c r="O650" t="s">
        <v>1785</v>
      </c>
      <c r="P650" t="s">
        <v>1784</v>
      </c>
      <c r="Q650" t="s">
        <v>1783</v>
      </c>
      <c r="R650" s="7">
        <v>36373</v>
      </c>
      <c r="S650" s="8">
        <f t="shared" si="80"/>
        <v>1999</v>
      </c>
      <c r="T650" s="8">
        <v>1999</v>
      </c>
      <c r="U650" s="8">
        <f t="shared" si="81"/>
        <v>23</v>
      </c>
      <c r="V650" s="7">
        <v>36373</v>
      </c>
      <c r="W650" t="s">
        <v>61</v>
      </c>
      <c r="X650" s="2">
        <v>0.111</v>
      </c>
      <c r="Y650" s="6">
        <f t="shared" si="82"/>
        <v>2.9630816048690639E-3</v>
      </c>
      <c r="AA650">
        <v>87566621</v>
      </c>
      <c r="AB650">
        <v>24890</v>
      </c>
      <c r="AD650" t="s">
        <v>2</v>
      </c>
      <c r="AE650">
        <v>82</v>
      </c>
      <c r="AF650">
        <v>8</v>
      </c>
      <c r="AH650" t="s">
        <v>1782</v>
      </c>
      <c r="AI650" t="s">
        <v>1781</v>
      </c>
      <c r="AK650" t="s">
        <v>1780</v>
      </c>
      <c r="AL650">
        <v>3</v>
      </c>
      <c r="AM650" s="5">
        <f t="shared" si="83"/>
        <v>0.13043478260869565</v>
      </c>
      <c r="AN650" s="4">
        <f t="shared" si="84"/>
        <v>1.9755362757848641E-4</v>
      </c>
      <c r="AO650" s="3"/>
      <c r="AP650">
        <v>0</v>
      </c>
      <c r="AR650" t="s">
        <v>1</v>
      </c>
      <c r="AT650" s="2" t="s">
        <v>0</v>
      </c>
      <c r="AU650" s="1">
        <f t="shared" si="85"/>
        <v>0.21334232116818905</v>
      </c>
      <c r="AV650" s="1">
        <f t="shared" si="86"/>
        <v>0.1580317616223775</v>
      </c>
      <c r="AW650" s="1">
        <f t="shared" si="87"/>
        <v>0.10272120207656596</v>
      </c>
    </row>
    <row r="651" spans="1:49" x14ac:dyDescent="0.2">
      <c r="A651">
        <v>649</v>
      </c>
      <c r="B651" t="s">
        <v>1779</v>
      </c>
      <c r="C651" t="s">
        <v>1778</v>
      </c>
      <c r="D651" t="s">
        <v>1777</v>
      </c>
      <c r="F651" t="s">
        <v>1776</v>
      </c>
      <c r="G651" t="s">
        <v>6</v>
      </c>
      <c r="H651" t="s">
        <v>5</v>
      </c>
      <c r="I651" t="s">
        <v>1775</v>
      </c>
      <c r="J651" t="s">
        <v>1774</v>
      </c>
      <c r="K651" t="s">
        <v>1773</v>
      </c>
      <c r="L651" t="s">
        <v>1772</v>
      </c>
      <c r="M651" t="s">
        <v>30</v>
      </c>
      <c r="N651">
        <v>4</v>
      </c>
      <c r="O651" t="s">
        <v>1771</v>
      </c>
      <c r="P651" t="s">
        <v>1770</v>
      </c>
      <c r="Q651" t="s">
        <v>1769</v>
      </c>
      <c r="R651" s="7">
        <v>36373</v>
      </c>
      <c r="S651" s="8">
        <f t="shared" si="80"/>
        <v>1999</v>
      </c>
      <c r="T651" s="8">
        <v>1999</v>
      </c>
      <c r="U651" s="8">
        <f t="shared" si="81"/>
        <v>23</v>
      </c>
      <c r="V651" s="7">
        <v>36373</v>
      </c>
      <c r="W651" t="s">
        <v>165</v>
      </c>
      <c r="X651" s="2">
        <v>0.65500000000000003</v>
      </c>
      <c r="Y651" s="6">
        <f t="shared" si="82"/>
        <v>1.7484850911614749E-2</v>
      </c>
      <c r="AA651">
        <v>189375</v>
      </c>
      <c r="AB651">
        <v>26051</v>
      </c>
      <c r="AD651" t="s">
        <v>2</v>
      </c>
      <c r="AE651">
        <v>41</v>
      </c>
      <c r="AF651">
        <v>3</v>
      </c>
      <c r="AH651" t="s">
        <v>1768</v>
      </c>
      <c r="AI651" t="s">
        <v>1767</v>
      </c>
      <c r="AJ651" t="s">
        <v>1766</v>
      </c>
      <c r="AK651" t="s">
        <v>1765</v>
      </c>
      <c r="AL651">
        <v>26</v>
      </c>
      <c r="AM651" s="5">
        <f t="shared" si="83"/>
        <v>1.1304347826086956</v>
      </c>
      <c r="AN651" s="4">
        <f t="shared" si="84"/>
        <v>1.7121314390135488E-3</v>
      </c>
      <c r="AO651" s="3"/>
      <c r="AP651">
        <v>0</v>
      </c>
      <c r="AR651" t="s">
        <v>1</v>
      </c>
      <c r="AT651" s="2" t="s">
        <v>0</v>
      </c>
      <c r="AU651" s="1">
        <f t="shared" si="85"/>
        <v>1.2753035069834389</v>
      </c>
      <c r="AV651" s="1">
        <f t="shared" si="86"/>
        <v>0.95984911753141489</v>
      </c>
      <c r="AW651" s="1">
        <f t="shared" si="87"/>
        <v>0.64439472807939091</v>
      </c>
    </row>
    <row r="652" spans="1:49" x14ac:dyDescent="0.2">
      <c r="A652">
        <v>650</v>
      </c>
      <c r="B652" t="s">
        <v>1764</v>
      </c>
      <c r="C652" t="s">
        <v>1763</v>
      </c>
      <c r="F652" t="s">
        <v>1762</v>
      </c>
      <c r="G652" t="s">
        <v>6</v>
      </c>
      <c r="H652" t="s">
        <v>5</v>
      </c>
      <c r="I652" t="s">
        <v>1761</v>
      </c>
      <c r="J652">
        <v>60022995</v>
      </c>
      <c r="K652" t="s">
        <v>1760</v>
      </c>
      <c r="L652" t="s">
        <v>1759</v>
      </c>
      <c r="M652" t="s">
        <v>65</v>
      </c>
      <c r="N652">
        <v>4</v>
      </c>
      <c r="O652" t="s">
        <v>1758</v>
      </c>
      <c r="P652" t="s">
        <v>1757</v>
      </c>
      <c r="Q652" t="s">
        <v>1756</v>
      </c>
      <c r="R652" s="7">
        <v>36373</v>
      </c>
      <c r="S652" s="8">
        <f t="shared" si="80"/>
        <v>1999</v>
      </c>
      <c r="T652" s="8">
        <v>1999</v>
      </c>
      <c r="U652" s="8">
        <f t="shared" si="81"/>
        <v>23</v>
      </c>
      <c r="V652" s="7">
        <v>36373</v>
      </c>
      <c r="W652" t="s">
        <v>677</v>
      </c>
      <c r="X652" s="2">
        <v>0.9</v>
      </c>
      <c r="Y652" s="6">
        <f t="shared" si="82"/>
        <v>2.4024985985424845E-2</v>
      </c>
      <c r="AA652">
        <v>9630252</v>
      </c>
      <c r="AB652">
        <v>29614</v>
      </c>
      <c r="AD652" t="s">
        <v>2</v>
      </c>
      <c r="AE652">
        <v>8</v>
      </c>
      <c r="AF652">
        <v>3</v>
      </c>
      <c r="AH652" t="s">
        <v>1755</v>
      </c>
      <c r="AI652" t="s">
        <v>1754</v>
      </c>
      <c r="AK652" t="s">
        <v>1753</v>
      </c>
      <c r="AL652">
        <v>29</v>
      </c>
      <c r="AM652" s="5">
        <f t="shared" si="83"/>
        <v>1.2608695652173914</v>
      </c>
      <c r="AN652" s="4">
        <f t="shared" si="84"/>
        <v>1.9096850665920354E-3</v>
      </c>
      <c r="AO652" s="3"/>
      <c r="AP652">
        <v>0</v>
      </c>
      <c r="AR652" t="s">
        <v>1</v>
      </c>
      <c r="AT652" s="2" t="s">
        <v>0</v>
      </c>
      <c r="AU652" s="1">
        <f t="shared" si="85"/>
        <v>1.7390395709775002</v>
      </c>
      <c r="AV652" s="1">
        <f t="shared" si="86"/>
        <v>1.2967335526008439</v>
      </c>
      <c r="AW652" s="1">
        <f t="shared" si="87"/>
        <v>0.85442753422418782</v>
      </c>
    </row>
    <row r="653" spans="1:49" x14ac:dyDescent="0.2">
      <c r="A653">
        <v>651</v>
      </c>
      <c r="B653" t="s">
        <v>1752</v>
      </c>
      <c r="C653" t="s">
        <v>1751</v>
      </c>
      <c r="F653" t="s">
        <v>1750</v>
      </c>
      <c r="G653" t="s">
        <v>6</v>
      </c>
      <c r="H653" t="s">
        <v>5</v>
      </c>
      <c r="I653" t="s">
        <v>1749</v>
      </c>
      <c r="N653">
        <v>2</v>
      </c>
      <c r="O653" t="s">
        <v>1748</v>
      </c>
      <c r="P653" t="s">
        <v>1747</v>
      </c>
      <c r="Q653" t="s">
        <v>85</v>
      </c>
      <c r="R653" s="7">
        <v>36373</v>
      </c>
      <c r="S653" s="8">
        <f t="shared" si="80"/>
        <v>1999</v>
      </c>
      <c r="T653" s="8">
        <v>1999</v>
      </c>
      <c r="U653" s="8">
        <f t="shared" si="81"/>
        <v>23</v>
      </c>
      <c r="V653" s="7">
        <v>36373</v>
      </c>
      <c r="W653" t="s">
        <v>677</v>
      </c>
      <c r="X653" s="2">
        <v>0.9</v>
      </c>
      <c r="Y653" s="6">
        <f t="shared" si="82"/>
        <v>2.4024985985424845E-2</v>
      </c>
      <c r="AA653">
        <v>9630252</v>
      </c>
      <c r="AB653">
        <v>29614</v>
      </c>
      <c r="AD653" t="s">
        <v>2</v>
      </c>
      <c r="AE653">
        <v>8</v>
      </c>
      <c r="AF653">
        <v>3</v>
      </c>
      <c r="AH653" t="s">
        <v>1746</v>
      </c>
      <c r="AI653" t="s">
        <v>1745</v>
      </c>
      <c r="AK653" t="s">
        <v>1744</v>
      </c>
      <c r="AL653">
        <v>17</v>
      </c>
      <c r="AM653" s="5">
        <f t="shared" si="83"/>
        <v>0.73913043478260865</v>
      </c>
      <c r="AN653" s="4">
        <f t="shared" si="84"/>
        <v>1.1194705562780896E-3</v>
      </c>
      <c r="AO653" s="3"/>
      <c r="AP653">
        <v>0</v>
      </c>
      <c r="AR653" t="s">
        <v>1</v>
      </c>
      <c r="AT653" s="2" t="s">
        <v>0</v>
      </c>
      <c r="AU653" s="1">
        <f t="shared" si="85"/>
        <v>1.7153331356680819</v>
      </c>
      <c r="AV653" s="1">
        <f t="shared" si="86"/>
        <v>1.2572228270851467</v>
      </c>
      <c r="AW653" s="1">
        <f t="shared" si="87"/>
        <v>0.79911251850221154</v>
      </c>
    </row>
    <row r="654" spans="1:49" x14ac:dyDescent="0.2">
      <c r="A654">
        <v>652</v>
      </c>
      <c r="B654" t="s">
        <v>1743</v>
      </c>
      <c r="C654" t="s">
        <v>1742</v>
      </c>
      <c r="F654" t="s">
        <v>1741</v>
      </c>
      <c r="G654" t="s">
        <v>6</v>
      </c>
      <c r="H654" t="s">
        <v>5</v>
      </c>
      <c r="I654" t="s">
        <v>1740</v>
      </c>
      <c r="J654">
        <v>60101699</v>
      </c>
      <c r="K654" t="s">
        <v>554</v>
      </c>
      <c r="L654" t="s">
        <v>32</v>
      </c>
      <c r="M654" t="s">
        <v>7</v>
      </c>
      <c r="N654">
        <v>4</v>
      </c>
      <c r="O654" t="s">
        <v>1739</v>
      </c>
      <c r="P654" t="s">
        <v>1738</v>
      </c>
      <c r="Q654" t="s">
        <v>624</v>
      </c>
      <c r="R654" s="7">
        <v>36373</v>
      </c>
      <c r="S654" s="8">
        <f t="shared" si="80"/>
        <v>1999</v>
      </c>
      <c r="T654" s="8">
        <v>1999</v>
      </c>
      <c r="U654" s="8">
        <f t="shared" si="81"/>
        <v>23</v>
      </c>
      <c r="V654" s="7">
        <v>36373</v>
      </c>
      <c r="W654" t="s">
        <v>61</v>
      </c>
      <c r="X654" s="2">
        <v>0.111</v>
      </c>
      <c r="Y654" s="6">
        <f t="shared" si="82"/>
        <v>2.9630816048690639E-3</v>
      </c>
      <c r="AA654">
        <v>87566621</v>
      </c>
      <c r="AB654">
        <v>24890</v>
      </c>
      <c r="AD654" t="s">
        <v>2</v>
      </c>
      <c r="AE654">
        <v>82</v>
      </c>
      <c r="AF654">
        <v>8</v>
      </c>
      <c r="AH654" t="s">
        <v>1737</v>
      </c>
      <c r="AI654" t="s">
        <v>1736</v>
      </c>
      <c r="AK654" t="s">
        <v>1735</v>
      </c>
      <c r="AL654">
        <v>0</v>
      </c>
      <c r="AM654" s="5">
        <f t="shared" si="83"/>
        <v>0</v>
      </c>
      <c r="AN654" s="4">
        <f t="shared" si="84"/>
        <v>0</v>
      </c>
      <c r="AO654" s="3"/>
      <c r="AP654">
        <v>0</v>
      </c>
      <c r="AR654" t="s">
        <v>1</v>
      </c>
      <c r="AT654" s="2" t="s">
        <v>0</v>
      </c>
      <c r="AU654" s="1">
        <f t="shared" si="85"/>
        <v>0.20741571234083445</v>
      </c>
      <c r="AV654" s="1">
        <f t="shared" si="86"/>
        <v>0.1481540802434532</v>
      </c>
      <c r="AW654" s="1">
        <f t="shared" si="87"/>
        <v>8.8892448146071903E-2</v>
      </c>
    </row>
    <row r="655" spans="1:49" x14ac:dyDescent="0.2">
      <c r="A655">
        <v>653</v>
      </c>
      <c r="B655" t="s">
        <v>1734</v>
      </c>
      <c r="C655" t="s">
        <v>1733</v>
      </c>
      <c r="F655" t="s">
        <v>1732</v>
      </c>
      <c r="G655" t="s">
        <v>6</v>
      </c>
      <c r="H655" t="s">
        <v>5</v>
      </c>
      <c r="I655" t="s">
        <v>1731</v>
      </c>
      <c r="J655">
        <v>60020697</v>
      </c>
      <c r="K655" t="s">
        <v>1730</v>
      </c>
      <c r="L655" t="s">
        <v>1729</v>
      </c>
      <c r="M655" t="s">
        <v>78</v>
      </c>
      <c r="N655">
        <v>38</v>
      </c>
      <c r="O655" t="s">
        <v>1728</v>
      </c>
      <c r="P655" t="s">
        <v>1727</v>
      </c>
      <c r="Q655" t="s">
        <v>1726</v>
      </c>
      <c r="R655" s="7">
        <v>36373</v>
      </c>
      <c r="S655" s="8">
        <f t="shared" si="80"/>
        <v>1999</v>
      </c>
      <c r="T655" s="8">
        <v>1999</v>
      </c>
      <c r="U655" s="8">
        <f t="shared" si="81"/>
        <v>23</v>
      </c>
      <c r="V655" s="7">
        <v>36373</v>
      </c>
      <c r="W655" t="s">
        <v>1725</v>
      </c>
      <c r="X655" s="2">
        <v>1.774</v>
      </c>
      <c r="Y655" s="6">
        <f t="shared" si="82"/>
        <v>4.7355916820159633E-2</v>
      </c>
      <c r="AA655">
        <v>295515</v>
      </c>
      <c r="AB655">
        <v>29066</v>
      </c>
      <c r="AD655" t="s">
        <v>2</v>
      </c>
      <c r="AE655">
        <v>39</v>
      </c>
      <c r="AF655">
        <v>8</v>
      </c>
      <c r="AH655" t="s">
        <v>1724</v>
      </c>
      <c r="AI655" t="s">
        <v>1723</v>
      </c>
      <c r="AK655" t="s">
        <v>1722</v>
      </c>
      <c r="AL655">
        <v>87</v>
      </c>
      <c r="AM655" s="5">
        <f t="shared" si="83"/>
        <v>3.7826086956521738</v>
      </c>
      <c r="AN655" s="4">
        <f t="shared" si="84"/>
        <v>5.7290551997761056E-3</v>
      </c>
      <c r="AO655" s="3"/>
      <c r="AP655">
        <v>0</v>
      </c>
      <c r="AR655" t="s">
        <v>1</v>
      </c>
      <c r="AT655" s="2">
        <v>3.1789999999999998</v>
      </c>
      <c r="AU655" s="1">
        <f t="shared" si="85"/>
        <v>3.4867858334044572</v>
      </c>
      <c r="AV655" s="1">
        <f t="shared" si="86"/>
        <v>2.6542486009967869</v>
      </c>
      <c r="AW655" s="1">
        <f t="shared" si="87"/>
        <v>1.8217113685891164</v>
      </c>
    </row>
    <row r="656" spans="1:49" x14ac:dyDescent="0.2">
      <c r="A656">
        <v>654</v>
      </c>
      <c r="B656" t="s">
        <v>1721</v>
      </c>
      <c r="C656" t="s">
        <v>1720</v>
      </c>
      <c r="F656" t="s">
        <v>1719</v>
      </c>
      <c r="G656" t="s">
        <v>6</v>
      </c>
      <c r="H656" t="s">
        <v>5</v>
      </c>
      <c r="I656" t="s">
        <v>1718</v>
      </c>
      <c r="J656">
        <v>60009037</v>
      </c>
      <c r="K656" t="s">
        <v>274</v>
      </c>
      <c r="L656" t="s">
        <v>107</v>
      </c>
      <c r="M656" t="s">
        <v>3</v>
      </c>
      <c r="N656">
        <v>1</v>
      </c>
      <c r="O656" t="s">
        <v>1717</v>
      </c>
      <c r="P656">
        <v>7004925275</v>
      </c>
      <c r="Q656">
        <v>60009037</v>
      </c>
      <c r="R656" s="7">
        <v>36373</v>
      </c>
      <c r="S656" s="8">
        <f t="shared" si="80"/>
        <v>1999</v>
      </c>
      <c r="T656" s="8">
        <v>1999</v>
      </c>
      <c r="U656" s="8">
        <f t="shared" si="81"/>
        <v>23</v>
      </c>
      <c r="V656" s="7">
        <v>36373</v>
      </c>
      <c r="W656" t="s">
        <v>53</v>
      </c>
      <c r="X656" s="2">
        <v>0.88100000000000001</v>
      </c>
      <c r="Y656" s="6">
        <f t="shared" si="82"/>
        <v>2.3517791836843653E-2</v>
      </c>
      <c r="AA656">
        <v>10459243</v>
      </c>
      <c r="AB656">
        <v>17248</v>
      </c>
      <c r="AD656" t="s">
        <v>2</v>
      </c>
      <c r="AE656">
        <v>41</v>
      </c>
      <c r="AF656">
        <v>4</v>
      </c>
      <c r="AH656" t="s">
        <v>1716</v>
      </c>
      <c r="AI656" t="s">
        <v>1715</v>
      </c>
      <c r="AJ656" t="s">
        <v>1714</v>
      </c>
      <c r="AK656" t="s">
        <v>1713</v>
      </c>
      <c r="AL656">
        <v>11</v>
      </c>
      <c r="AM656" s="5">
        <f t="shared" si="83"/>
        <v>0.47826086956521741</v>
      </c>
      <c r="AN656" s="4">
        <f t="shared" si="84"/>
        <v>7.2436330112111687E-4</v>
      </c>
      <c r="AO656" s="3"/>
      <c r="AP656">
        <v>0</v>
      </c>
      <c r="AR656" t="s">
        <v>1</v>
      </c>
      <c r="AS656" t="s">
        <v>170</v>
      </c>
      <c r="AT656" s="2" t="s">
        <v>0</v>
      </c>
      <c r="AU656" s="1">
        <f t="shared" si="85"/>
        <v>1.6679763276126893</v>
      </c>
      <c r="AV656" s="1">
        <f t="shared" si="86"/>
        <v>1.2121077568982386</v>
      </c>
      <c r="AW656" s="1">
        <f t="shared" si="87"/>
        <v>0.75623918618378771</v>
      </c>
    </row>
    <row r="657" spans="1:49" x14ac:dyDescent="0.2">
      <c r="A657">
        <v>655</v>
      </c>
      <c r="B657" t="s">
        <v>1712</v>
      </c>
      <c r="C657" t="s">
        <v>1711</v>
      </c>
      <c r="F657" t="s">
        <v>1710</v>
      </c>
      <c r="G657" t="s">
        <v>6</v>
      </c>
      <c r="H657" t="s">
        <v>5</v>
      </c>
      <c r="I657" t="s">
        <v>1709</v>
      </c>
      <c r="J657">
        <v>60030821</v>
      </c>
      <c r="K657" t="s">
        <v>544</v>
      </c>
      <c r="L657" t="s">
        <v>257</v>
      </c>
      <c r="M657" t="s">
        <v>3</v>
      </c>
      <c r="N657">
        <v>1</v>
      </c>
      <c r="O657" t="s">
        <v>1708</v>
      </c>
      <c r="P657">
        <v>7404179299</v>
      </c>
      <c r="Q657">
        <v>60030821</v>
      </c>
      <c r="R657" s="7">
        <v>36373</v>
      </c>
      <c r="S657" s="8">
        <f t="shared" si="80"/>
        <v>1999</v>
      </c>
      <c r="T657" s="8">
        <v>1999</v>
      </c>
      <c r="U657" s="8">
        <f t="shared" si="81"/>
        <v>23</v>
      </c>
      <c r="V657" s="7">
        <v>36373</v>
      </c>
      <c r="W657" t="s">
        <v>53</v>
      </c>
      <c r="X657" s="2">
        <v>0.88100000000000001</v>
      </c>
      <c r="Y657" s="6">
        <f t="shared" si="82"/>
        <v>2.3517791836843653E-2</v>
      </c>
      <c r="AA657">
        <v>10459243</v>
      </c>
      <c r="AB657">
        <v>17248</v>
      </c>
      <c r="AD657" t="s">
        <v>2</v>
      </c>
      <c r="AE657">
        <v>41</v>
      </c>
      <c r="AF657">
        <v>4</v>
      </c>
      <c r="AH657" t="s">
        <v>1707</v>
      </c>
      <c r="AI657" t="s">
        <v>1706</v>
      </c>
      <c r="AJ657" t="s">
        <v>1705</v>
      </c>
      <c r="AK657" t="s">
        <v>1704</v>
      </c>
      <c r="AL657">
        <v>62</v>
      </c>
      <c r="AM657" s="5">
        <f t="shared" si="83"/>
        <v>2.6956521739130435</v>
      </c>
      <c r="AN657" s="4">
        <f t="shared" si="84"/>
        <v>4.0827749699553859E-3</v>
      </c>
      <c r="AO657" s="3"/>
      <c r="AP657">
        <v>0</v>
      </c>
      <c r="AR657" t="s">
        <v>1</v>
      </c>
      <c r="AT657" s="2" t="s">
        <v>0</v>
      </c>
      <c r="AU657" s="1">
        <f t="shared" si="85"/>
        <v>1.7687286776777171</v>
      </c>
      <c r="AV657" s="1">
        <f t="shared" si="86"/>
        <v>1.3800283403399518</v>
      </c>
      <c r="AW657" s="1">
        <f t="shared" si="87"/>
        <v>0.99132800300218649</v>
      </c>
    </row>
    <row r="658" spans="1:49" x14ac:dyDescent="0.2">
      <c r="A658">
        <v>656</v>
      </c>
      <c r="B658" t="s">
        <v>1703</v>
      </c>
      <c r="C658" t="s">
        <v>1702</v>
      </c>
      <c r="F658" t="s">
        <v>1701</v>
      </c>
      <c r="G658" t="s">
        <v>6</v>
      </c>
      <c r="H658" t="s">
        <v>5</v>
      </c>
      <c r="I658" t="s">
        <v>1700</v>
      </c>
      <c r="J658">
        <v>60008673</v>
      </c>
      <c r="K658" t="s">
        <v>183</v>
      </c>
      <c r="L658" t="s">
        <v>182</v>
      </c>
      <c r="M658" t="s">
        <v>127</v>
      </c>
      <c r="N658">
        <v>3</v>
      </c>
      <c r="O658" t="s">
        <v>1699</v>
      </c>
      <c r="P658" t="s">
        <v>1698</v>
      </c>
      <c r="Q658" t="s">
        <v>181</v>
      </c>
      <c r="R658" s="7">
        <v>36373</v>
      </c>
      <c r="S658" s="8">
        <f t="shared" si="80"/>
        <v>1999</v>
      </c>
      <c r="T658" s="8">
        <v>1999</v>
      </c>
      <c r="U658" s="8">
        <f t="shared" si="81"/>
        <v>23</v>
      </c>
      <c r="V658" s="7">
        <v>36373</v>
      </c>
      <c r="W658" t="s">
        <v>644</v>
      </c>
      <c r="X658" s="2">
        <v>0.318</v>
      </c>
      <c r="Y658" s="6">
        <f t="shared" si="82"/>
        <v>8.4888283815167786E-3</v>
      </c>
      <c r="AA658">
        <v>338443</v>
      </c>
      <c r="AB658">
        <v>27160</v>
      </c>
      <c r="AC658">
        <v>15739120</v>
      </c>
      <c r="AD658" t="s">
        <v>2</v>
      </c>
      <c r="AE658">
        <v>42</v>
      </c>
      <c r="AF658">
        <v>8</v>
      </c>
      <c r="AH658" t="s">
        <v>1697</v>
      </c>
      <c r="AI658" t="s">
        <v>1696</v>
      </c>
      <c r="AK658" t="s">
        <v>1695</v>
      </c>
      <c r="AL658">
        <v>9</v>
      </c>
      <c r="AM658" s="5">
        <f t="shared" si="83"/>
        <v>0.39130434782608697</v>
      </c>
      <c r="AN658" s="4">
        <f t="shared" si="84"/>
        <v>5.9266088273545923E-4</v>
      </c>
      <c r="AO658" s="3"/>
      <c r="AP658">
        <v>0</v>
      </c>
      <c r="AQ658" t="s">
        <v>643</v>
      </c>
      <c r="AR658" t="s">
        <v>1694</v>
      </c>
      <c r="AS658" t="s">
        <v>431</v>
      </c>
      <c r="AT658" s="2">
        <v>0.77</v>
      </c>
      <c r="AU658" s="1">
        <f t="shared" si="85"/>
        <v>0.6119978131882382</v>
      </c>
      <c r="AV658" s="1">
        <f t="shared" si="86"/>
        <v>0.45407446321261191</v>
      </c>
      <c r="AW658" s="1">
        <f t="shared" si="87"/>
        <v>0.29615111323698551</v>
      </c>
    </row>
    <row r="659" spans="1:49" x14ac:dyDescent="0.2">
      <c r="A659">
        <v>657</v>
      </c>
      <c r="B659" t="s">
        <v>1693</v>
      </c>
      <c r="C659" t="s">
        <v>1692</v>
      </c>
      <c r="F659" t="s">
        <v>1691</v>
      </c>
      <c r="G659" t="s">
        <v>6</v>
      </c>
      <c r="H659" t="s">
        <v>5</v>
      </c>
      <c r="I659" t="s">
        <v>1690</v>
      </c>
      <c r="J659" t="s">
        <v>1689</v>
      </c>
      <c r="K659" t="s">
        <v>1688</v>
      </c>
      <c r="L659" t="s">
        <v>1687</v>
      </c>
      <c r="M659" t="s">
        <v>1686</v>
      </c>
      <c r="N659">
        <v>8</v>
      </c>
      <c r="O659" t="s">
        <v>1685</v>
      </c>
      <c r="P659" t="s">
        <v>1684</v>
      </c>
      <c r="Q659" t="s">
        <v>1683</v>
      </c>
      <c r="R659" s="7">
        <v>36373</v>
      </c>
      <c r="S659" s="8">
        <f t="shared" si="80"/>
        <v>1999</v>
      </c>
      <c r="T659" s="8">
        <v>1999</v>
      </c>
      <c r="U659" s="8">
        <f t="shared" si="81"/>
        <v>23</v>
      </c>
      <c r="V659" s="7">
        <v>36373</v>
      </c>
      <c r="W659" t="s">
        <v>769</v>
      </c>
      <c r="X659" s="2">
        <v>0.69899999999999995</v>
      </c>
      <c r="Y659" s="6">
        <f t="shared" si="82"/>
        <v>1.8659405782013295E-2</v>
      </c>
      <c r="AA659">
        <v>218979</v>
      </c>
      <c r="AB659">
        <v>28132</v>
      </c>
      <c r="AD659" t="s">
        <v>2</v>
      </c>
      <c r="AE659">
        <v>86</v>
      </c>
      <c r="AF659">
        <v>3</v>
      </c>
      <c r="AH659" t="s">
        <v>1682</v>
      </c>
      <c r="AI659" t="s">
        <v>1681</v>
      </c>
      <c r="AK659" t="s">
        <v>1680</v>
      </c>
      <c r="AL659">
        <v>130</v>
      </c>
      <c r="AM659" s="5">
        <f t="shared" si="83"/>
        <v>5.6521739130434785</v>
      </c>
      <c r="AN659" s="4">
        <f t="shared" si="84"/>
        <v>8.5606571950677442E-3</v>
      </c>
      <c r="AO659" s="3"/>
      <c r="AP659">
        <v>0</v>
      </c>
      <c r="AR659" t="s">
        <v>1</v>
      </c>
      <c r="AT659" s="2">
        <v>2.5459999999999998</v>
      </c>
      <c r="AU659" s="1">
        <f t="shared" si="85"/>
        <v>1.5629781205929629</v>
      </c>
      <c r="AV659" s="1">
        <f t="shared" si="86"/>
        <v>1.3610031488540519</v>
      </c>
      <c r="AW659" s="1">
        <f t="shared" si="87"/>
        <v>1.1590281771151407</v>
      </c>
    </row>
    <row r="660" spans="1:49" x14ac:dyDescent="0.2">
      <c r="A660">
        <v>658</v>
      </c>
      <c r="B660" t="s">
        <v>1679</v>
      </c>
      <c r="C660" t="s">
        <v>1678</v>
      </c>
      <c r="F660" t="s">
        <v>1677</v>
      </c>
      <c r="G660" t="s">
        <v>6</v>
      </c>
      <c r="H660" t="s">
        <v>5</v>
      </c>
      <c r="I660" t="s">
        <v>1676</v>
      </c>
      <c r="J660" t="s">
        <v>1675</v>
      </c>
      <c r="K660" t="s">
        <v>1674</v>
      </c>
      <c r="L660" t="s">
        <v>1673</v>
      </c>
      <c r="M660" t="s">
        <v>1672</v>
      </c>
      <c r="N660">
        <v>5</v>
      </c>
      <c r="O660" t="s">
        <v>1671</v>
      </c>
      <c r="P660" t="s">
        <v>1670</v>
      </c>
      <c r="Q660" t="s">
        <v>1669</v>
      </c>
      <c r="R660" s="7">
        <v>36370</v>
      </c>
      <c r="S660" s="8">
        <f t="shared" si="80"/>
        <v>1999</v>
      </c>
      <c r="T660" s="8">
        <v>1999</v>
      </c>
      <c r="U660" s="8">
        <f t="shared" si="81"/>
        <v>23</v>
      </c>
      <c r="V660" s="7">
        <v>36370</v>
      </c>
      <c r="W660" t="s">
        <v>647</v>
      </c>
      <c r="X660" s="2">
        <v>0.86399999999999999</v>
      </c>
      <c r="Y660" s="6">
        <f t="shared" si="82"/>
        <v>2.3063986546007848E-2</v>
      </c>
      <c r="AA660">
        <v>15206106</v>
      </c>
      <c r="AB660">
        <v>26970</v>
      </c>
      <c r="AD660" t="s">
        <v>2</v>
      </c>
      <c r="AE660">
        <v>103</v>
      </c>
      <c r="AF660">
        <v>30</v>
      </c>
      <c r="AH660" t="s">
        <v>1668</v>
      </c>
      <c r="AI660" t="s">
        <v>1667</v>
      </c>
      <c r="AK660" t="s">
        <v>1666</v>
      </c>
      <c r="AL660">
        <v>17</v>
      </c>
      <c r="AM660" s="5">
        <f t="shared" si="83"/>
        <v>0.73913043478260865</v>
      </c>
      <c r="AN660" s="4">
        <f t="shared" si="84"/>
        <v>1.1194705562780896E-3</v>
      </c>
      <c r="AO660" s="3"/>
      <c r="AP660">
        <v>0</v>
      </c>
      <c r="AR660" t="s">
        <v>1</v>
      </c>
      <c r="AT660" s="2">
        <v>2.9910000000000001</v>
      </c>
      <c r="AU660" s="1">
        <f t="shared" si="85"/>
        <v>1.6480631749088919</v>
      </c>
      <c r="AV660" s="1">
        <f t="shared" si="86"/>
        <v>1.2091728551142968</v>
      </c>
      <c r="AW660" s="1">
        <f t="shared" si="87"/>
        <v>0.7702825353197017</v>
      </c>
    </row>
    <row r="661" spans="1:49" x14ac:dyDescent="0.2">
      <c r="A661">
        <v>659</v>
      </c>
      <c r="B661" t="s">
        <v>1665</v>
      </c>
      <c r="C661" t="s">
        <v>1664</v>
      </c>
      <c r="F661" t="s">
        <v>1663</v>
      </c>
      <c r="G661" t="s">
        <v>6</v>
      </c>
      <c r="H661" t="s">
        <v>5</v>
      </c>
      <c r="I661" t="s">
        <v>1662</v>
      </c>
      <c r="J661">
        <v>60006164</v>
      </c>
      <c r="K661" t="s">
        <v>1661</v>
      </c>
      <c r="L661" t="s">
        <v>1660</v>
      </c>
      <c r="M661" t="s">
        <v>3</v>
      </c>
      <c r="N661">
        <v>5</v>
      </c>
      <c r="O661" t="s">
        <v>1659</v>
      </c>
      <c r="P661" t="s">
        <v>1658</v>
      </c>
      <c r="Q661" t="s">
        <v>1657</v>
      </c>
      <c r="R661" s="7">
        <v>36368</v>
      </c>
      <c r="S661" s="8">
        <f t="shared" si="80"/>
        <v>1999</v>
      </c>
      <c r="T661" s="8">
        <v>1999</v>
      </c>
      <c r="U661" s="8">
        <f t="shared" si="81"/>
        <v>23</v>
      </c>
      <c r="V661" s="7">
        <v>36368</v>
      </c>
      <c r="W661" t="s">
        <v>1656</v>
      </c>
      <c r="X661" s="2">
        <v>1.67</v>
      </c>
      <c r="Y661" s="6">
        <f t="shared" si="82"/>
        <v>4.4579696217399427E-2</v>
      </c>
      <c r="AA661">
        <v>1480227</v>
      </c>
      <c r="AB661">
        <v>28428</v>
      </c>
      <c r="AD661" t="s">
        <v>2</v>
      </c>
      <c r="AE661">
        <v>104</v>
      </c>
      <c r="AF661" t="s">
        <v>1655</v>
      </c>
      <c r="AG661" t="s">
        <v>1654</v>
      </c>
      <c r="AH661" t="s">
        <v>1653</v>
      </c>
      <c r="AI661" t="s">
        <v>1652</v>
      </c>
      <c r="AK661" t="s">
        <v>1651</v>
      </c>
      <c r="AL661">
        <v>2</v>
      </c>
      <c r="AM661" s="5">
        <f t="shared" si="83"/>
        <v>8.6956521739130432E-2</v>
      </c>
      <c r="AN661" s="4">
        <f t="shared" si="84"/>
        <v>1.3170241838565761E-4</v>
      </c>
      <c r="AO661" s="3"/>
      <c r="AP661">
        <v>1</v>
      </c>
      <c r="AR661" t="s">
        <v>1</v>
      </c>
      <c r="AT661" s="2" t="s">
        <v>0</v>
      </c>
      <c r="AU661" s="1">
        <f t="shared" si="85"/>
        <v>3.1245298077695294</v>
      </c>
      <c r="AV661" s="1">
        <f t="shared" si="86"/>
        <v>2.2355699317892541</v>
      </c>
      <c r="AW661" s="1">
        <f t="shared" si="87"/>
        <v>1.3466100558089789</v>
      </c>
    </row>
    <row r="662" spans="1:49" x14ac:dyDescent="0.2">
      <c r="A662">
        <v>660</v>
      </c>
      <c r="B662" t="s">
        <v>1650</v>
      </c>
      <c r="C662" t="s">
        <v>1649</v>
      </c>
      <c r="E662">
        <v>10409642</v>
      </c>
      <c r="F662" t="s">
        <v>1648</v>
      </c>
      <c r="G662" t="s">
        <v>6</v>
      </c>
      <c r="H662" t="s">
        <v>5</v>
      </c>
      <c r="I662" t="s">
        <v>1647</v>
      </c>
      <c r="J662" t="s">
        <v>1646</v>
      </c>
      <c r="K662" t="s">
        <v>1645</v>
      </c>
      <c r="L662" t="s">
        <v>1644</v>
      </c>
      <c r="M662" t="s">
        <v>589</v>
      </c>
      <c r="N662">
        <v>6</v>
      </c>
      <c r="O662" t="s">
        <v>1643</v>
      </c>
      <c r="P662" t="s">
        <v>1642</v>
      </c>
      <c r="Q662" t="s">
        <v>1641</v>
      </c>
      <c r="R662" s="7">
        <v>36364</v>
      </c>
      <c r="S662" s="8">
        <f t="shared" si="80"/>
        <v>1999</v>
      </c>
      <c r="T662" s="8">
        <v>1999</v>
      </c>
      <c r="U662" s="8">
        <f t="shared" si="81"/>
        <v>23</v>
      </c>
      <c r="V662" s="7">
        <v>36364</v>
      </c>
      <c r="W662" t="s">
        <v>791</v>
      </c>
      <c r="X662" s="2">
        <v>2.3610000000000002</v>
      </c>
      <c r="Y662" s="6">
        <f t="shared" si="82"/>
        <v>6.3025546568431179E-2</v>
      </c>
      <c r="AA662">
        <v>219258</v>
      </c>
      <c r="AB662">
        <v>17592</v>
      </c>
      <c r="AD662" t="s">
        <v>2</v>
      </c>
      <c r="AE662">
        <v>274</v>
      </c>
      <c r="AF662">
        <v>30</v>
      </c>
      <c r="AH662" t="s">
        <v>1640</v>
      </c>
      <c r="AI662" t="s">
        <v>1639</v>
      </c>
      <c r="AK662" t="s">
        <v>1638</v>
      </c>
      <c r="AL662">
        <v>92</v>
      </c>
      <c r="AM662" s="5">
        <f t="shared" si="83"/>
        <v>4</v>
      </c>
      <c r="AN662" s="4">
        <f t="shared" si="84"/>
        <v>6.0583112457402496E-3</v>
      </c>
      <c r="AO662" s="3"/>
      <c r="AP662">
        <v>1</v>
      </c>
      <c r="AR662" t="s">
        <v>1</v>
      </c>
      <c r="AT662" s="2">
        <v>5.157</v>
      </c>
      <c r="AU662" s="1">
        <f t="shared" si="85"/>
        <v>4.5935375971623902</v>
      </c>
      <c r="AV662" s="1">
        <f t="shared" si="86"/>
        <v>3.4541928907085713</v>
      </c>
      <c r="AW662" s="1">
        <f t="shared" si="87"/>
        <v>2.3148481842547528</v>
      </c>
    </row>
    <row r="663" spans="1:49" x14ac:dyDescent="0.2">
      <c r="A663">
        <v>661</v>
      </c>
      <c r="B663" t="s">
        <v>1637</v>
      </c>
      <c r="C663" t="s">
        <v>1636</v>
      </c>
      <c r="E663">
        <v>10432117</v>
      </c>
      <c r="F663" t="s">
        <v>1635</v>
      </c>
      <c r="G663" t="s">
        <v>6</v>
      </c>
      <c r="H663" t="s">
        <v>5</v>
      </c>
      <c r="I663" t="s">
        <v>1634</v>
      </c>
      <c r="J663">
        <v>60005837</v>
      </c>
      <c r="K663" t="s">
        <v>1633</v>
      </c>
      <c r="L663" t="s">
        <v>1632</v>
      </c>
      <c r="M663" t="s">
        <v>3</v>
      </c>
      <c r="N663">
        <v>3</v>
      </c>
      <c r="O663" t="s">
        <v>1631</v>
      </c>
      <c r="P663" t="s">
        <v>1630</v>
      </c>
      <c r="Q663" t="s">
        <v>1629</v>
      </c>
      <c r="R663" s="7">
        <v>36363</v>
      </c>
      <c r="S663" s="8">
        <f t="shared" si="80"/>
        <v>1999</v>
      </c>
      <c r="T663" s="8">
        <v>1999</v>
      </c>
      <c r="U663" s="8">
        <f t="shared" si="81"/>
        <v>23</v>
      </c>
      <c r="V663" s="7">
        <v>36363</v>
      </c>
      <c r="W663" t="s">
        <v>767</v>
      </c>
      <c r="X663" s="2">
        <v>15.993</v>
      </c>
      <c r="Y663" s="6">
        <f t="shared" si="82"/>
        <v>0.42692400096099947</v>
      </c>
      <c r="AA663">
        <v>280836</v>
      </c>
      <c r="AB663">
        <v>21206</v>
      </c>
      <c r="AD663" t="s">
        <v>2</v>
      </c>
      <c r="AE663">
        <v>400</v>
      </c>
      <c r="AF663">
        <v>6742</v>
      </c>
      <c r="AH663" t="s">
        <v>1628</v>
      </c>
      <c r="AI663" t="s">
        <v>1627</v>
      </c>
      <c r="AK663" t="s">
        <v>1626</v>
      </c>
      <c r="AL663">
        <v>236</v>
      </c>
      <c r="AM663" s="5">
        <f t="shared" si="83"/>
        <v>10.260869565217391</v>
      </c>
      <c r="AN663" s="4">
        <f t="shared" si="84"/>
        <v>1.5540885369507597E-2</v>
      </c>
      <c r="AO663" s="3"/>
      <c r="AP663">
        <v>0</v>
      </c>
      <c r="AR663" t="s">
        <v>1</v>
      </c>
      <c r="AT663" s="2">
        <v>49.962000000000003</v>
      </c>
      <c r="AU663" s="1">
        <f t="shared" si="85"/>
        <v>30.350906628355183</v>
      </c>
      <c r="AV663" s="1">
        <f t="shared" si="86"/>
        <v>22.123244316525355</v>
      </c>
      <c r="AW663" s="1">
        <f t="shared" si="87"/>
        <v>13.895582004695514</v>
      </c>
    </row>
    <row r="664" spans="1:49" x14ac:dyDescent="0.2">
      <c r="A664">
        <v>662</v>
      </c>
      <c r="B664" t="s">
        <v>1625</v>
      </c>
      <c r="C664" t="s">
        <v>1624</v>
      </c>
      <c r="F664" t="s">
        <v>1623</v>
      </c>
      <c r="G664" t="s">
        <v>6</v>
      </c>
      <c r="H664" t="s">
        <v>5</v>
      </c>
      <c r="I664" t="s">
        <v>1622</v>
      </c>
      <c r="J664">
        <v>60007284</v>
      </c>
      <c r="K664" t="s">
        <v>1621</v>
      </c>
      <c r="L664" t="s">
        <v>306</v>
      </c>
      <c r="M664" t="s">
        <v>305</v>
      </c>
      <c r="N664">
        <v>2</v>
      </c>
      <c r="O664" t="s">
        <v>1620</v>
      </c>
      <c r="P664" t="s">
        <v>1619</v>
      </c>
      <c r="Q664" t="s">
        <v>1618</v>
      </c>
      <c r="R664" s="7">
        <v>36363</v>
      </c>
      <c r="S664" s="8">
        <f t="shared" si="80"/>
        <v>1999</v>
      </c>
      <c r="T664" s="8">
        <v>1999</v>
      </c>
      <c r="U664" s="8">
        <f t="shared" si="81"/>
        <v>23</v>
      </c>
      <c r="V664" s="7">
        <v>36363</v>
      </c>
      <c r="W664" t="s">
        <v>227</v>
      </c>
      <c r="X664" s="2">
        <v>0.375</v>
      </c>
      <c r="Y664" s="6">
        <f t="shared" si="82"/>
        <v>1.0010410827260351E-2</v>
      </c>
      <c r="AA664">
        <v>135194</v>
      </c>
      <c r="AB664">
        <v>24918</v>
      </c>
      <c r="AD664" t="s">
        <v>2</v>
      </c>
      <c r="AE664">
        <v>35</v>
      </c>
      <c r="AF664">
        <v>15</v>
      </c>
      <c r="AH664" t="s">
        <v>1617</v>
      </c>
      <c r="AI664" t="s">
        <v>1616</v>
      </c>
      <c r="AK664" t="s">
        <v>1615</v>
      </c>
      <c r="AL664">
        <v>28</v>
      </c>
      <c r="AM664" s="5">
        <f t="shared" si="83"/>
        <v>1.2173913043478262</v>
      </c>
      <c r="AN664" s="4">
        <f t="shared" si="84"/>
        <v>1.8438338573992066E-3</v>
      </c>
      <c r="AO664" s="3"/>
      <c r="AP664">
        <v>0</v>
      </c>
      <c r="AR664" t="s">
        <v>1</v>
      </c>
      <c r="AT664" s="2">
        <v>1.3140000000000001</v>
      </c>
      <c r="AU664" s="1">
        <f t="shared" si="85"/>
        <v>0.75604377363020081</v>
      </c>
      <c r="AV664" s="1">
        <f t="shared" si="86"/>
        <v>0.59271223423297792</v>
      </c>
      <c r="AW664" s="1">
        <f t="shared" si="87"/>
        <v>0.42938069483575492</v>
      </c>
    </row>
    <row r="665" spans="1:49" x14ac:dyDescent="0.2">
      <c r="A665">
        <v>663</v>
      </c>
      <c r="B665" t="s">
        <v>1614</v>
      </c>
      <c r="C665" t="s">
        <v>1613</v>
      </c>
      <c r="F665" t="s">
        <v>1612</v>
      </c>
      <c r="G665" t="s">
        <v>6</v>
      </c>
      <c r="H665" t="s">
        <v>5</v>
      </c>
      <c r="I665" t="s">
        <v>1611</v>
      </c>
      <c r="J665">
        <v>60103653</v>
      </c>
      <c r="K665" t="s">
        <v>487</v>
      </c>
      <c r="L665" t="s">
        <v>486</v>
      </c>
      <c r="M665" t="s">
        <v>485</v>
      </c>
      <c r="N665">
        <v>3</v>
      </c>
      <c r="O665" t="s">
        <v>1610</v>
      </c>
      <c r="P665" t="s">
        <v>1609</v>
      </c>
      <c r="Q665" t="s">
        <v>707</v>
      </c>
      <c r="R665" s="7">
        <v>36363</v>
      </c>
      <c r="S665" s="8">
        <f t="shared" si="80"/>
        <v>1999</v>
      </c>
      <c r="T665" s="8">
        <v>1999</v>
      </c>
      <c r="U665" s="8">
        <f t="shared" si="81"/>
        <v>23</v>
      </c>
      <c r="V665" s="7">
        <v>36363</v>
      </c>
      <c r="W665" t="s">
        <v>227</v>
      </c>
      <c r="X665" s="2">
        <v>0.375</v>
      </c>
      <c r="Y665" s="6">
        <f t="shared" si="82"/>
        <v>1.0010410827260351E-2</v>
      </c>
      <c r="AA665">
        <v>135194</v>
      </c>
      <c r="AB665">
        <v>24918</v>
      </c>
      <c r="AD665" t="s">
        <v>2</v>
      </c>
      <c r="AE665">
        <v>35</v>
      </c>
      <c r="AF665">
        <v>15</v>
      </c>
      <c r="AH665" t="s">
        <v>1608</v>
      </c>
      <c r="AI665" t="s">
        <v>1607</v>
      </c>
      <c r="AK665" t="s">
        <v>1606</v>
      </c>
      <c r="AL665">
        <v>43</v>
      </c>
      <c r="AM665" s="5">
        <f t="shared" si="83"/>
        <v>1.8695652173913044</v>
      </c>
      <c r="AN665" s="4">
        <f t="shared" si="84"/>
        <v>2.8316019952916386E-3</v>
      </c>
      <c r="AO665" s="3"/>
      <c r="AP665">
        <v>0</v>
      </c>
      <c r="AR665" t="s">
        <v>1</v>
      </c>
      <c r="AT665" s="2">
        <v>1.3140000000000001</v>
      </c>
      <c r="AU665" s="1">
        <f t="shared" si="85"/>
        <v>0.78567681776697362</v>
      </c>
      <c r="AV665" s="1">
        <f t="shared" si="86"/>
        <v>0.64210064112759946</v>
      </c>
      <c r="AW665" s="1">
        <f t="shared" si="87"/>
        <v>0.49852446448822518</v>
      </c>
    </row>
    <row r="666" spans="1:49" x14ac:dyDescent="0.2">
      <c r="A666">
        <v>664</v>
      </c>
      <c r="B666" t="s">
        <v>1605</v>
      </c>
      <c r="C666" t="s">
        <v>1604</v>
      </c>
      <c r="F666" t="s">
        <v>1603</v>
      </c>
      <c r="G666" t="s">
        <v>6</v>
      </c>
      <c r="H666" t="s">
        <v>5</v>
      </c>
      <c r="I666" t="s">
        <v>1602</v>
      </c>
      <c r="N666">
        <v>3</v>
      </c>
      <c r="O666" t="s">
        <v>1601</v>
      </c>
      <c r="P666" t="s">
        <v>1600</v>
      </c>
      <c r="Q666" t="s">
        <v>503</v>
      </c>
      <c r="R666" s="7">
        <v>36363</v>
      </c>
      <c r="S666" s="8">
        <f t="shared" si="80"/>
        <v>1999</v>
      </c>
      <c r="T666" s="8">
        <v>1999</v>
      </c>
      <c r="U666" s="8">
        <f t="shared" si="81"/>
        <v>23</v>
      </c>
      <c r="V666" s="7">
        <v>36363</v>
      </c>
      <c r="W666" t="s">
        <v>227</v>
      </c>
      <c r="X666" s="2">
        <v>0.375</v>
      </c>
      <c r="Y666" s="6">
        <f t="shared" si="82"/>
        <v>1.0010410827260351E-2</v>
      </c>
      <c r="AA666">
        <v>135194</v>
      </c>
      <c r="AB666">
        <v>24918</v>
      </c>
      <c r="AD666" t="s">
        <v>2</v>
      </c>
      <c r="AE666">
        <v>35</v>
      </c>
      <c r="AF666">
        <v>15</v>
      </c>
      <c r="AH666" t="s">
        <v>1599</v>
      </c>
      <c r="AI666" t="s">
        <v>1598</v>
      </c>
      <c r="AK666" t="s">
        <v>1597</v>
      </c>
      <c r="AL666">
        <v>25</v>
      </c>
      <c r="AM666" s="5">
        <f t="shared" si="83"/>
        <v>1.0869565217391304</v>
      </c>
      <c r="AN666" s="4">
        <f t="shared" si="84"/>
        <v>1.6462802298207199E-3</v>
      </c>
      <c r="AO666" s="3"/>
      <c r="AP666">
        <v>0</v>
      </c>
      <c r="AR666" t="s">
        <v>1</v>
      </c>
      <c r="AT666" s="2">
        <v>1.3140000000000001</v>
      </c>
      <c r="AU666" s="1">
        <f t="shared" si="85"/>
        <v>0.75011716480284618</v>
      </c>
      <c r="AV666" s="1">
        <f t="shared" si="86"/>
        <v>0.5828345528540535</v>
      </c>
      <c r="AW666" s="1">
        <f t="shared" si="87"/>
        <v>0.41555194090526093</v>
      </c>
    </row>
    <row r="667" spans="1:49" x14ac:dyDescent="0.2">
      <c r="A667">
        <v>665</v>
      </c>
      <c r="B667" t="s">
        <v>1596</v>
      </c>
      <c r="C667" t="s">
        <v>1595</v>
      </c>
      <c r="F667" t="s">
        <v>1594</v>
      </c>
      <c r="G667" t="s">
        <v>6</v>
      </c>
      <c r="H667" t="s">
        <v>5</v>
      </c>
      <c r="I667" t="s">
        <v>1593</v>
      </c>
      <c r="J667" t="s">
        <v>1588</v>
      </c>
      <c r="K667" t="s">
        <v>1592</v>
      </c>
      <c r="L667" t="s">
        <v>1591</v>
      </c>
      <c r="M667" t="s">
        <v>30</v>
      </c>
      <c r="N667">
        <v>2</v>
      </c>
      <c r="O667" t="s">
        <v>1590</v>
      </c>
      <c r="P667" t="s">
        <v>1589</v>
      </c>
      <c r="Q667" t="s">
        <v>1588</v>
      </c>
      <c r="R667" s="7">
        <v>36363</v>
      </c>
      <c r="S667" s="8">
        <f t="shared" si="80"/>
        <v>1999</v>
      </c>
      <c r="T667" s="8">
        <v>1999</v>
      </c>
      <c r="U667" s="8">
        <f t="shared" si="81"/>
        <v>23</v>
      </c>
      <c r="V667" s="7">
        <v>36363</v>
      </c>
      <c r="W667" t="s">
        <v>227</v>
      </c>
      <c r="X667" s="2">
        <v>0.375</v>
      </c>
      <c r="Y667" s="6">
        <f t="shared" si="82"/>
        <v>1.0010410827260351E-2</v>
      </c>
      <c r="AA667">
        <v>135194</v>
      </c>
      <c r="AB667">
        <v>24918</v>
      </c>
      <c r="AD667" t="s">
        <v>2</v>
      </c>
      <c r="AE667">
        <v>35</v>
      </c>
      <c r="AF667">
        <v>15</v>
      </c>
      <c r="AH667" t="s">
        <v>1587</v>
      </c>
      <c r="AI667" t="s">
        <v>1586</v>
      </c>
      <c r="AK667" t="s">
        <v>1585</v>
      </c>
      <c r="AL667">
        <v>1</v>
      </c>
      <c r="AM667" s="5">
        <f t="shared" si="83"/>
        <v>4.3478260869565216E-2</v>
      </c>
      <c r="AN667" s="4">
        <f t="shared" si="84"/>
        <v>6.5851209192828807E-5</v>
      </c>
      <c r="AO667" s="3"/>
      <c r="AP667">
        <v>0</v>
      </c>
      <c r="AR667" t="s">
        <v>1</v>
      </c>
      <c r="AT667" s="2">
        <v>1.3140000000000001</v>
      </c>
      <c r="AU667" s="1">
        <f t="shared" si="85"/>
        <v>0.70270429418400948</v>
      </c>
      <c r="AV667" s="1">
        <f t="shared" si="86"/>
        <v>0.50381310182265904</v>
      </c>
      <c r="AW667" s="1">
        <f t="shared" si="87"/>
        <v>0.30492190946130854</v>
      </c>
    </row>
    <row r="668" spans="1:49" x14ac:dyDescent="0.2">
      <c r="A668">
        <v>666</v>
      </c>
      <c r="B668" t="s">
        <v>1584</v>
      </c>
      <c r="C668" t="s">
        <v>1583</v>
      </c>
      <c r="F668" t="s">
        <v>1582</v>
      </c>
      <c r="G668" t="s">
        <v>6</v>
      </c>
      <c r="H668" t="s">
        <v>5</v>
      </c>
      <c r="I668" t="s">
        <v>1581</v>
      </c>
      <c r="J668" t="s">
        <v>1580</v>
      </c>
      <c r="K668" t="s">
        <v>1579</v>
      </c>
      <c r="L668" t="s">
        <v>1578</v>
      </c>
      <c r="M668" t="s">
        <v>18</v>
      </c>
      <c r="N668">
        <v>3</v>
      </c>
      <c r="O668" t="s">
        <v>1577</v>
      </c>
      <c r="P668" t="s">
        <v>1576</v>
      </c>
      <c r="Q668" t="s">
        <v>1575</v>
      </c>
      <c r="R668" s="7">
        <v>36363</v>
      </c>
      <c r="S668" s="8">
        <f t="shared" si="80"/>
        <v>1999</v>
      </c>
      <c r="T668" s="8">
        <v>1999</v>
      </c>
      <c r="U668" s="8">
        <f t="shared" si="81"/>
        <v>23</v>
      </c>
      <c r="V668" s="7">
        <v>36363</v>
      </c>
      <c r="W668" t="s">
        <v>647</v>
      </c>
      <c r="X668" s="2">
        <v>0.86399999999999999</v>
      </c>
      <c r="Y668" s="6">
        <f t="shared" si="82"/>
        <v>2.3063986546007848E-2</v>
      </c>
      <c r="AA668">
        <v>15206106</v>
      </c>
      <c r="AB668">
        <v>26970</v>
      </c>
      <c r="AD668" t="s">
        <v>2</v>
      </c>
      <c r="AE668">
        <v>103</v>
      </c>
      <c r="AF668">
        <v>29</v>
      </c>
      <c r="AH668" t="s">
        <v>1574</v>
      </c>
      <c r="AI668" t="s">
        <v>1573</v>
      </c>
      <c r="AK668" t="s">
        <v>1572</v>
      </c>
      <c r="AL668">
        <v>156</v>
      </c>
      <c r="AM668" s="5">
        <f t="shared" si="83"/>
        <v>6.7826086956521738</v>
      </c>
      <c r="AN668" s="4">
        <f t="shared" si="84"/>
        <v>1.0272788634081292E-2</v>
      </c>
      <c r="AO668" s="3"/>
      <c r="AP668">
        <v>0</v>
      </c>
      <c r="AR668" t="s">
        <v>1</v>
      </c>
      <c r="AT668" s="2">
        <v>2.9910000000000001</v>
      </c>
      <c r="AU668" s="1">
        <f t="shared" si="85"/>
        <v>1.922662717242988</v>
      </c>
      <c r="AV668" s="1">
        <f t="shared" si="86"/>
        <v>1.6668387590044569</v>
      </c>
      <c r="AW668" s="1">
        <f t="shared" si="87"/>
        <v>1.4110148007659258</v>
      </c>
    </row>
    <row r="669" spans="1:49" x14ac:dyDescent="0.2">
      <c r="A669">
        <v>667</v>
      </c>
      <c r="B669" t="s">
        <v>1571</v>
      </c>
      <c r="C669" t="s">
        <v>1570</v>
      </c>
      <c r="F669" t="s">
        <v>1569</v>
      </c>
      <c r="G669" t="s">
        <v>6</v>
      </c>
      <c r="H669" t="s">
        <v>5</v>
      </c>
      <c r="I669" t="s">
        <v>1194</v>
      </c>
      <c r="J669">
        <v>60008447</v>
      </c>
      <c r="K669" t="s">
        <v>849</v>
      </c>
      <c r="L669" t="s">
        <v>848</v>
      </c>
      <c r="M669" t="s">
        <v>47</v>
      </c>
      <c r="N669">
        <v>4</v>
      </c>
      <c r="O669" t="s">
        <v>1568</v>
      </c>
      <c r="P669" t="s">
        <v>1567</v>
      </c>
      <c r="Q669" t="s">
        <v>1566</v>
      </c>
      <c r="R669" s="7">
        <v>36361</v>
      </c>
      <c r="S669" s="8">
        <f t="shared" si="80"/>
        <v>1999</v>
      </c>
      <c r="T669" s="8">
        <v>1999</v>
      </c>
      <c r="U669" s="8">
        <f t="shared" si="81"/>
        <v>23</v>
      </c>
      <c r="V669" s="7">
        <v>36361</v>
      </c>
      <c r="W669" t="s">
        <v>162</v>
      </c>
      <c r="X669" s="2">
        <v>0.30399999999999999</v>
      </c>
      <c r="Y669" s="6">
        <f t="shared" si="82"/>
        <v>8.115106377299057E-3</v>
      </c>
      <c r="AA669">
        <v>8952477</v>
      </c>
      <c r="AB669">
        <v>12250</v>
      </c>
      <c r="AD669" t="s">
        <v>2</v>
      </c>
      <c r="AE669">
        <v>22</v>
      </c>
      <c r="AF669">
        <v>2</v>
      </c>
      <c r="AH669" t="s">
        <v>1565</v>
      </c>
      <c r="AI669" t="s">
        <v>1564</v>
      </c>
      <c r="AK669" t="s">
        <v>1563</v>
      </c>
      <c r="AL669">
        <v>49</v>
      </c>
      <c r="AM669" s="5">
        <f t="shared" si="83"/>
        <v>2.1304347826086958</v>
      </c>
      <c r="AN669" s="4">
        <f t="shared" si="84"/>
        <v>3.2267092504486114E-3</v>
      </c>
      <c r="AO669" s="3"/>
      <c r="AP669">
        <v>0</v>
      </c>
      <c r="AR669" t="s">
        <v>1</v>
      </c>
      <c r="AT669" s="2" t="s">
        <v>0</v>
      </c>
      <c r="AU669" s="1">
        <f t="shared" si="85"/>
        <v>0.66485872392439227</v>
      </c>
      <c r="AV669" s="1">
        <f t="shared" si="86"/>
        <v>0.56709078138738345</v>
      </c>
      <c r="AW669" s="1">
        <f t="shared" si="87"/>
        <v>0.46932283885037457</v>
      </c>
    </row>
    <row r="670" spans="1:49" x14ac:dyDescent="0.2">
      <c r="A670">
        <v>668</v>
      </c>
      <c r="B670" t="s">
        <v>1562</v>
      </c>
      <c r="C670" t="s">
        <v>1561</v>
      </c>
      <c r="F670" t="s">
        <v>1560</v>
      </c>
      <c r="G670" t="s">
        <v>6</v>
      </c>
      <c r="H670" t="s">
        <v>5</v>
      </c>
      <c r="I670" t="s">
        <v>1559</v>
      </c>
      <c r="J670">
        <v>60014156</v>
      </c>
      <c r="K670" t="s">
        <v>1558</v>
      </c>
      <c r="L670" t="s">
        <v>259</v>
      </c>
      <c r="M670" t="s">
        <v>45</v>
      </c>
      <c r="N670">
        <v>2</v>
      </c>
      <c r="O670" t="s">
        <v>1557</v>
      </c>
      <c r="P670" t="s">
        <v>1556</v>
      </c>
      <c r="Q670" t="s">
        <v>1555</v>
      </c>
      <c r="R670" s="7">
        <v>36361</v>
      </c>
      <c r="S670" s="8">
        <f t="shared" si="80"/>
        <v>1999</v>
      </c>
      <c r="T670" s="8">
        <v>1999</v>
      </c>
      <c r="U670" s="8">
        <f t="shared" si="81"/>
        <v>23</v>
      </c>
      <c r="V670" s="7">
        <v>36361</v>
      </c>
      <c r="W670" t="s">
        <v>162</v>
      </c>
      <c r="X670" s="2">
        <v>0.30399999999999999</v>
      </c>
      <c r="Y670" s="6">
        <f t="shared" si="82"/>
        <v>8.115106377299057E-3</v>
      </c>
      <c r="AA670">
        <v>8952477</v>
      </c>
      <c r="AB670">
        <v>12250</v>
      </c>
      <c r="AD670" t="s">
        <v>2</v>
      </c>
      <c r="AE670">
        <v>22</v>
      </c>
      <c r="AF670">
        <v>2</v>
      </c>
      <c r="AH670" t="s">
        <v>1554</v>
      </c>
      <c r="AI670" t="s">
        <v>1553</v>
      </c>
      <c r="AK670" t="s">
        <v>1552</v>
      </c>
      <c r="AL670">
        <v>2</v>
      </c>
      <c r="AM670" s="5">
        <f t="shared" si="83"/>
        <v>8.6956521739130432E-2</v>
      </c>
      <c r="AN670" s="4">
        <f t="shared" si="84"/>
        <v>1.3170241838565761E-4</v>
      </c>
      <c r="AO670" s="3"/>
      <c r="AP670">
        <v>0</v>
      </c>
      <c r="AR670" t="s">
        <v>1</v>
      </c>
      <c r="AT670" s="2" t="s">
        <v>0</v>
      </c>
      <c r="AU670" s="1">
        <f t="shared" si="85"/>
        <v>0.57200851896250371</v>
      </c>
      <c r="AV670" s="1">
        <f t="shared" si="86"/>
        <v>0.41234043978423568</v>
      </c>
      <c r="AW670" s="1">
        <f t="shared" si="87"/>
        <v>0.25267236060596776</v>
      </c>
    </row>
    <row r="671" spans="1:49" x14ac:dyDescent="0.2">
      <c r="A671">
        <v>669</v>
      </c>
      <c r="B671" t="s">
        <v>1551</v>
      </c>
      <c r="C671" t="s">
        <v>1550</v>
      </c>
      <c r="F671" t="s">
        <v>1549</v>
      </c>
      <c r="G671" t="s">
        <v>6</v>
      </c>
      <c r="H671" t="s">
        <v>5</v>
      </c>
      <c r="I671" t="s">
        <v>751</v>
      </c>
      <c r="J671">
        <v>60116768</v>
      </c>
      <c r="K671" t="s">
        <v>750</v>
      </c>
      <c r="L671" t="s">
        <v>217</v>
      </c>
      <c r="M671" t="s">
        <v>133</v>
      </c>
      <c r="N671">
        <v>1</v>
      </c>
      <c r="O671" t="s">
        <v>749</v>
      </c>
      <c r="P671">
        <v>7601561423</v>
      </c>
      <c r="Q671">
        <v>60116768</v>
      </c>
      <c r="R671" s="7">
        <v>36361</v>
      </c>
      <c r="S671" s="8">
        <f t="shared" si="80"/>
        <v>1999</v>
      </c>
      <c r="T671" s="8">
        <v>1999</v>
      </c>
      <c r="U671" s="8">
        <f t="shared" si="81"/>
        <v>23</v>
      </c>
      <c r="V671" s="7">
        <v>36361</v>
      </c>
      <c r="W671" t="s">
        <v>162</v>
      </c>
      <c r="X671" s="2">
        <v>0.30399999999999999</v>
      </c>
      <c r="Y671" s="6">
        <f t="shared" si="82"/>
        <v>8.115106377299057E-3</v>
      </c>
      <c r="AA671">
        <v>8952477</v>
      </c>
      <c r="AB671">
        <v>12250</v>
      </c>
      <c r="AD671" t="s">
        <v>2</v>
      </c>
      <c r="AE671">
        <v>22</v>
      </c>
      <c r="AF671">
        <v>2</v>
      </c>
      <c r="AH671" t="s">
        <v>1548</v>
      </c>
      <c r="AI671" t="s">
        <v>1547</v>
      </c>
      <c r="AK671" t="s">
        <v>1546</v>
      </c>
      <c r="AL671">
        <v>8</v>
      </c>
      <c r="AM671" s="5">
        <f t="shared" si="83"/>
        <v>0.34782608695652173</v>
      </c>
      <c r="AN671" s="4">
        <f t="shared" si="84"/>
        <v>5.2680967354263046E-4</v>
      </c>
      <c r="AO671" s="3"/>
      <c r="AP671">
        <v>0</v>
      </c>
      <c r="AR671" t="s">
        <v>1</v>
      </c>
      <c r="AT671" s="2" t="s">
        <v>0</v>
      </c>
      <c r="AU671" s="1">
        <f t="shared" si="85"/>
        <v>0.58386173661721286</v>
      </c>
      <c r="AV671" s="1">
        <f t="shared" si="86"/>
        <v>0.43209580254208441</v>
      </c>
      <c r="AW671" s="1">
        <f t="shared" si="87"/>
        <v>0.28032986846695584</v>
      </c>
    </row>
    <row r="672" spans="1:49" x14ac:dyDescent="0.2">
      <c r="A672">
        <v>670</v>
      </c>
      <c r="B672" t="s">
        <v>1545</v>
      </c>
      <c r="C672" t="s">
        <v>1544</v>
      </c>
      <c r="F672" t="s">
        <v>1543</v>
      </c>
      <c r="G672" t="s">
        <v>6</v>
      </c>
      <c r="H672" t="s">
        <v>5</v>
      </c>
      <c r="I672" t="s">
        <v>856</v>
      </c>
      <c r="J672" t="s">
        <v>855</v>
      </c>
      <c r="K672" t="s">
        <v>854</v>
      </c>
      <c r="L672" t="s">
        <v>853</v>
      </c>
      <c r="M672" t="s">
        <v>310</v>
      </c>
      <c r="N672">
        <v>3</v>
      </c>
      <c r="O672" t="s">
        <v>1542</v>
      </c>
      <c r="P672" t="s">
        <v>852</v>
      </c>
      <c r="Q672" t="s">
        <v>851</v>
      </c>
      <c r="R672" s="7">
        <v>36361</v>
      </c>
      <c r="S672" s="8">
        <f t="shared" si="80"/>
        <v>1999</v>
      </c>
      <c r="T672" s="8">
        <v>1999</v>
      </c>
      <c r="U672" s="8">
        <f t="shared" si="81"/>
        <v>23</v>
      </c>
      <c r="V672" s="7">
        <v>36361</v>
      </c>
      <c r="W672" t="s">
        <v>162</v>
      </c>
      <c r="X672" s="2">
        <v>0.30399999999999999</v>
      </c>
      <c r="Y672" s="6">
        <f t="shared" si="82"/>
        <v>8.115106377299057E-3</v>
      </c>
      <c r="AA672">
        <v>8952477</v>
      </c>
      <c r="AB672">
        <v>12250</v>
      </c>
      <c r="AD672" t="s">
        <v>2</v>
      </c>
      <c r="AE672">
        <v>22</v>
      </c>
      <c r="AF672">
        <v>2</v>
      </c>
      <c r="AH672" t="s">
        <v>1541</v>
      </c>
      <c r="AI672" t="s">
        <v>1540</v>
      </c>
      <c r="AK672" t="s">
        <v>1539</v>
      </c>
      <c r="AL672">
        <v>19</v>
      </c>
      <c r="AM672" s="5">
        <f t="shared" si="83"/>
        <v>0.82608695652173914</v>
      </c>
      <c r="AN672" s="4">
        <f t="shared" si="84"/>
        <v>1.2511729746637473E-3</v>
      </c>
      <c r="AO672" s="3"/>
      <c r="AP672">
        <v>0</v>
      </c>
      <c r="AR672" t="s">
        <v>1</v>
      </c>
      <c r="AT672" s="2" t="s">
        <v>0</v>
      </c>
      <c r="AU672" s="1">
        <f t="shared" si="85"/>
        <v>0.60559263565084642</v>
      </c>
      <c r="AV672" s="1">
        <f t="shared" si="86"/>
        <v>0.4683139675981402</v>
      </c>
      <c r="AW672" s="1">
        <f t="shared" si="87"/>
        <v>0.33103529954543404</v>
      </c>
    </row>
    <row r="673" spans="1:49" x14ac:dyDescent="0.2">
      <c r="A673">
        <v>671</v>
      </c>
      <c r="B673" t="s">
        <v>1538</v>
      </c>
      <c r="C673" t="s">
        <v>1537</v>
      </c>
      <c r="F673" t="s">
        <v>1536</v>
      </c>
      <c r="G673" t="s">
        <v>6</v>
      </c>
      <c r="H673" t="s">
        <v>5</v>
      </c>
      <c r="I673" t="s">
        <v>202</v>
      </c>
      <c r="J673" t="s">
        <v>1535</v>
      </c>
      <c r="K673" t="s">
        <v>1534</v>
      </c>
      <c r="L673" t="s">
        <v>788</v>
      </c>
      <c r="M673" t="s">
        <v>310</v>
      </c>
      <c r="N673">
        <v>3</v>
      </c>
      <c r="O673" t="s">
        <v>1533</v>
      </c>
      <c r="P673" t="s">
        <v>1532</v>
      </c>
      <c r="Q673" t="s">
        <v>1531</v>
      </c>
      <c r="R673" s="7">
        <v>36361</v>
      </c>
      <c r="S673" s="8">
        <f t="shared" si="80"/>
        <v>1999</v>
      </c>
      <c r="T673" s="8">
        <v>1999</v>
      </c>
      <c r="U673" s="8">
        <f t="shared" si="81"/>
        <v>23</v>
      </c>
      <c r="V673" s="7">
        <v>36361</v>
      </c>
      <c r="W673" t="s">
        <v>162</v>
      </c>
      <c r="X673" s="2">
        <v>0.30399999999999999</v>
      </c>
      <c r="Y673" s="6">
        <f t="shared" si="82"/>
        <v>8.115106377299057E-3</v>
      </c>
      <c r="AA673">
        <v>8952477</v>
      </c>
      <c r="AB673">
        <v>12250</v>
      </c>
      <c r="AD673" t="s">
        <v>2</v>
      </c>
      <c r="AE673">
        <v>22</v>
      </c>
      <c r="AF673">
        <v>2</v>
      </c>
      <c r="AH673" t="s">
        <v>1530</v>
      </c>
      <c r="AI673" t="s">
        <v>1529</v>
      </c>
      <c r="AK673" t="s">
        <v>1528</v>
      </c>
      <c r="AL673">
        <v>0</v>
      </c>
      <c r="AM673" s="5">
        <f t="shared" si="83"/>
        <v>0</v>
      </c>
      <c r="AN673" s="4">
        <f t="shared" si="84"/>
        <v>0</v>
      </c>
      <c r="AO673" s="3"/>
      <c r="AP673">
        <v>0</v>
      </c>
      <c r="AR673" t="s">
        <v>1</v>
      </c>
      <c r="AT673" s="2" t="s">
        <v>0</v>
      </c>
      <c r="AU673" s="1">
        <f t="shared" si="85"/>
        <v>0.56805744641093392</v>
      </c>
      <c r="AV673" s="1">
        <f t="shared" si="86"/>
        <v>0.40575531886495286</v>
      </c>
      <c r="AW673" s="1">
        <f t="shared" si="87"/>
        <v>0.24345319131897172</v>
      </c>
    </row>
    <row r="674" spans="1:49" x14ac:dyDescent="0.2">
      <c r="A674">
        <v>672</v>
      </c>
      <c r="B674" t="s">
        <v>1527</v>
      </c>
      <c r="C674" t="s">
        <v>1526</v>
      </c>
      <c r="F674" t="s">
        <v>1525</v>
      </c>
      <c r="G674" t="s">
        <v>6</v>
      </c>
      <c r="H674" t="s">
        <v>5</v>
      </c>
      <c r="I674" t="s">
        <v>823</v>
      </c>
      <c r="J674" t="s">
        <v>375</v>
      </c>
      <c r="K674" t="s">
        <v>374</v>
      </c>
      <c r="L674" t="s">
        <v>373</v>
      </c>
      <c r="M674" t="s">
        <v>372</v>
      </c>
      <c r="N674">
        <v>3</v>
      </c>
      <c r="O674" t="s">
        <v>1524</v>
      </c>
      <c r="P674" t="s">
        <v>1523</v>
      </c>
      <c r="Q674" t="s">
        <v>1522</v>
      </c>
      <c r="R674" s="7">
        <v>36361</v>
      </c>
      <c r="S674" s="8">
        <f t="shared" si="80"/>
        <v>1999</v>
      </c>
      <c r="T674" s="8">
        <v>1999</v>
      </c>
      <c r="U674" s="8">
        <f t="shared" si="81"/>
        <v>23</v>
      </c>
      <c r="V674" s="7">
        <v>36361</v>
      </c>
      <c r="W674" t="s">
        <v>162</v>
      </c>
      <c r="X674" s="2">
        <v>0.30399999999999999</v>
      </c>
      <c r="Y674" s="6">
        <f t="shared" si="82"/>
        <v>8.115106377299057E-3</v>
      </c>
      <c r="AA674">
        <v>8952477</v>
      </c>
      <c r="AB674">
        <v>12250</v>
      </c>
      <c r="AD674" t="s">
        <v>2</v>
      </c>
      <c r="AE674">
        <v>22</v>
      </c>
      <c r="AF674">
        <v>2</v>
      </c>
      <c r="AH674" t="s">
        <v>663</v>
      </c>
      <c r="AI674" t="s">
        <v>1521</v>
      </c>
      <c r="AK674" t="s">
        <v>1520</v>
      </c>
      <c r="AL674">
        <v>46</v>
      </c>
      <c r="AM674" s="5">
        <f t="shared" si="83"/>
        <v>2</v>
      </c>
      <c r="AN674" s="4">
        <f t="shared" si="84"/>
        <v>3.0291556228701248E-3</v>
      </c>
      <c r="AO674" s="3"/>
      <c r="AP674">
        <v>0</v>
      </c>
      <c r="AR674" t="s">
        <v>1</v>
      </c>
      <c r="AT674" s="2" t="s">
        <v>0</v>
      </c>
      <c r="AU674" s="1">
        <f t="shared" si="85"/>
        <v>0.65893211509703775</v>
      </c>
      <c r="AV674" s="1">
        <f t="shared" si="86"/>
        <v>0.55721310000845914</v>
      </c>
      <c r="AW674" s="1">
        <f t="shared" si="87"/>
        <v>0.45549408491988047</v>
      </c>
    </row>
    <row r="675" spans="1:49" x14ac:dyDescent="0.2">
      <c r="A675">
        <v>673</v>
      </c>
      <c r="B675" t="s">
        <v>1519</v>
      </c>
      <c r="C675" t="s">
        <v>1518</v>
      </c>
      <c r="F675" t="s">
        <v>1517</v>
      </c>
      <c r="G675" t="s">
        <v>6</v>
      </c>
      <c r="H675" t="s">
        <v>5</v>
      </c>
      <c r="I675" t="s">
        <v>1516</v>
      </c>
      <c r="J675">
        <v>60090755</v>
      </c>
      <c r="K675" t="s">
        <v>1515</v>
      </c>
      <c r="L675" t="s">
        <v>148</v>
      </c>
      <c r="M675" t="s">
        <v>67</v>
      </c>
      <c r="N675">
        <v>2</v>
      </c>
      <c r="O675" t="s">
        <v>1514</v>
      </c>
      <c r="P675" t="s">
        <v>1513</v>
      </c>
      <c r="Q675" t="s">
        <v>1512</v>
      </c>
      <c r="R675" s="7">
        <v>36361</v>
      </c>
      <c r="S675" s="8">
        <f t="shared" si="80"/>
        <v>1999</v>
      </c>
      <c r="T675" s="8">
        <v>1999</v>
      </c>
      <c r="U675" s="8">
        <f t="shared" si="81"/>
        <v>23</v>
      </c>
      <c r="V675" s="7">
        <v>36361</v>
      </c>
      <c r="W675" t="s">
        <v>615</v>
      </c>
      <c r="X675" s="2">
        <v>0.66800000000000004</v>
      </c>
      <c r="Y675" s="6">
        <f t="shared" si="82"/>
        <v>1.7831878486959774E-2</v>
      </c>
      <c r="AA675" t="s">
        <v>614</v>
      </c>
      <c r="AB675">
        <v>29593</v>
      </c>
      <c r="AC675">
        <v>21553165</v>
      </c>
      <c r="AD675" t="s">
        <v>2</v>
      </c>
      <c r="AE675">
        <v>38</v>
      </c>
      <c r="AF675">
        <v>21</v>
      </c>
      <c r="AH675" t="s">
        <v>1511</v>
      </c>
      <c r="AI675" t="s">
        <v>1510</v>
      </c>
      <c r="AK675" t="s">
        <v>1509</v>
      </c>
      <c r="AL675">
        <v>9</v>
      </c>
      <c r="AM675" s="5">
        <f t="shared" si="83"/>
        <v>0.39130434782608697</v>
      </c>
      <c r="AN675" s="4">
        <f t="shared" si="84"/>
        <v>5.9266088273545923E-4</v>
      </c>
      <c r="AO675" s="3"/>
      <c r="AP675">
        <v>0</v>
      </c>
      <c r="AR675" t="s">
        <v>1</v>
      </c>
      <c r="AT675" s="2">
        <v>1.98</v>
      </c>
      <c r="AU675" s="1">
        <f t="shared" si="85"/>
        <v>1.2660113205692478</v>
      </c>
      <c r="AV675" s="1">
        <f t="shared" si="86"/>
        <v>0.9212269684847616</v>
      </c>
      <c r="AW675" s="1">
        <f t="shared" si="87"/>
        <v>0.57644261640027528</v>
      </c>
    </row>
    <row r="676" spans="1:49" x14ac:dyDescent="0.2">
      <c r="A676">
        <v>674</v>
      </c>
      <c r="B676" t="s">
        <v>1508</v>
      </c>
      <c r="C676" t="s">
        <v>1507</v>
      </c>
      <c r="F676" t="s">
        <v>1506</v>
      </c>
      <c r="G676" t="s">
        <v>6</v>
      </c>
      <c r="H676" t="s">
        <v>5</v>
      </c>
      <c r="I676" t="s">
        <v>1505</v>
      </c>
      <c r="J676" t="s">
        <v>1504</v>
      </c>
      <c r="K676" t="s">
        <v>1503</v>
      </c>
      <c r="L676" t="s">
        <v>1502</v>
      </c>
      <c r="M676" t="s">
        <v>30</v>
      </c>
      <c r="N676">
        <v>2</v>
      </c>
      <c r="O676" t="s">
        <v>1501</v>
      </c>
      <c r="P676" t="s">
        <v>1500</v>
      </c>
      <c r="Q676" t="s">
        <v>1499</v>
      </c>
      <c r="R676" s="7">
        <v>36361</v>
      </c>
      <c r="S676" s="8">
        <f t="shared" si="80"/>
        <v>1999</v>
      </c>
      <c r="T676" s="8">
        <v>1999</v>
      </c>
      <c r="U676" s="8">
        <f t="shared" si="81"/>
        <v>23</v>
      </c>
      <c r="V676" s="7">
        <v>36361</v>
      </c>
      <c r="W676" t="s">
        <v>615</v>
      </c>
      <c r="X676" s="2">
        <v>0.66800000000000004</v>
      </c>
      <c r="Y676" s="6">
        <f t="shared" si="82"/>
        <v>1.7831878486959774E-2</v>
      </c>
      <c r="AA676" t="s">
        <v>614</v>
      </c>
      <c r="AB676">
        <v>29593</v>
      </c>
      <c r="AC676">
        <v>21553165</v>
      </c>
      <c r="AD676" t="s">
        <v>2</v>
      </c>
      <c r="AE676">
        <v>38</v>
      </c>
      <c r="AF676">
        <v>21</v>
      </c>
      <c r="AH676" t="s">
        <v>1498</v>
      </c>
      <c r="AI676" t="s">
        <v>1497</v>
      </c>
      <c r="AK676" t="s">
        <v>1496</v>
      </c>
      <c r="AL676">
        <v>9</v>
      </c>
      <c r="AM676" s="5">
        <f t="shared" si="83"/>
        <v>0.39130434782608697</v>
      </c>
      <c r="AN676" s="4">
        <f t="shared" si="84"/>
        <v>5.9266088273545923E-4</v>
      </c>
      <c r="AO676" s="3"/>
      <c r="AP676">
        <v>0</v>
      </c>
      <c r="AR676" t="s">
        <v>1</v>
      </c>
      <c r="AT676" s="2">
        <v>1.98</v>
      </c>
      <c r="AU676" s="1">
        <f t="shared" si="85"/>
        <v>1.2660113205692478</v>
      </c>
      <c r="AV676" s="1">
        <f t="shared" si="86"/>
        <v>0.9212269684847616</v>
      </c>
      <c r="AW676" s="1">
        <f t="shared" si="87"/>
        <v>0.57644261640027528</v>
      </c>
    </row>
    <row r="677" spans="1:49" x14ac:dyDescent="0.2">
      <c r="A677">
        <v>675</v>
      </c>
      <c r="B677" t="s">
        <v>1495</v>
      </c>
      <c r="C677" t="s">
        <v>1494</v>
      </c>
      <c r="D677" t="s">
        <v>1493</v>
      </c>
      <c r="E677">
        <v>10395787</v>
      </c>
      <c r="F677" t="s">
        <v>1492</v>
      </c>
      <c r="G677" t="s">
        <v>6</v>
      </c>
      <c r="H677" t="s">
        <v>5</v>
      </c>
      <c r="I677" t="s">
        <v>1491</v>
      </c>
      <c r="J677" t="s">
        <v>1490</v>
      </c>
      <c r="K677" t="s">
        <v>1489</v>
      </c>
      <c r="L677" t="s">
        <v>555</v>
      </c>
      <c r="M677" t="s">
        <v>310</v>
      </c>
      <c r="N677">
        <v>4</v>
      </c>
      <c r="O677" t="s">
        <v>1488</v>
      </c>
      <c r="P677" t="s">
        <v>1487</v>
      </c>
      <c r="Q677" t="s">
        <v>1486</v>
      </c>
      <c r="R677" s="7">
        <v>36356</v>
      </c>
      <c r="S677" s="8">
        <f t="shared" si="80"/>
        <v>1999</v>
      </c>
      <c r="T677" s="8">
        <v>1999</v>
      </c>
      <c r="U677" s="8">
        <f t="shared" si="81"/>
        <v>23</v>
      </c>
      <c r="V677" s="7">
        <v>36356</v>
      </c>
      <c r="W677" t="s">
        <v>1485</v>
      </c>
      <c r="X677" s="2">
        <v>1.77</v>
      </c>
      <c r="Y677" s="6">
        <f t="shared" si="82"/>
        <v>4.7249139104668859E-2</v>
      </c>
      <c r="AA677">
        <v>121606</v>
      </c>
      <c r="AB677">
        <v>14536</v>
      </c>
      <c r="AD677" t="s">
        <v>2</v>
      </c>
      <c r="AE677">
        <v>211</v>
      </c>
      <c r="AF677">
        <v>2</v>
      </c>
      <c r="AH677" t="s">
        <v>1484</v>
      </c>
      <c r="AI677" t="s">
        <v>1483</v>
      </c>
      <c r="AJ677" t="s">
        <v>1482</v>
      </c>
      <c r="AK677" t="s">
        <v>1481</v>
      </c>
      <c r="AL677">
        <v>52</v>
      </c>
      <c r="AM677" s="5">
        <f t="shared" si="83"/>
        <v>2.2608695652173911</v>
      </c>
      <c r="AN677" s="4">
        <f t="shared" si="84"/>
        <v>3.4242628780270976E-3</v>
      </c>
      <c r="AO677" s="3"/>
      <c r="AP677">
        <v>1</v>
      </c>
      <c r="AQ677" t="s">
        <v>84</v>
      </c>
      <c r="AR677" t="s">
        <v>1480</v>
      </c>
      <c r="AS677" t="s">
        <v>83</v>
      </c>
      <c r="AT677" s="2">
        <v>3.5819999999999999</v>
      </c>
      <c r="AU677" s="1">
        <f t="shared" si="85"/>
        <v>3.410167623667633</v>
      </c>
      <c r="AV677" s="1">
        <f t="shared" si="86"/>
        <v>2.533670099134798</v>
      </c>
      <c r="AW677" s="1">
        <f t="shared" si="87"/>
        <v>1.6571725746019623</v>
      </c>
    </row>
    <row r="678" spans="1:49" x14ac:dyDescent="0.2">
      <c r="A678">
        <v>676</v>
      </c>
      <c r="B678" t="s">
        <v>1479</v>
      </c>
      <c r="C678" t="s">
        <v>1478</v>
      </c>
      <c r="D678" t="s">
        <v>1477</v>
      </c>
      <c r="E678">
        <v>10421580</v>
      </c>
      <c r="F678" t="s">
        <v>1476</v>
      </c>
      <c r="G678" t="s">
        <v>6</v>
      </c>
      <c r="H678" t="s">
        <v>5</v>
      </c>
      <c r="I678" t="s">
        <v>1475</v>
      </c>
      <c r="J678">
        <v>60031004</v>
      </c>
      <c r="K678" t="s">
        <v>147</v>
      </c>
      <c r="L678" t="s">
        <v>146</v>
      </c>
      <c r="M678" t="s">
        <v>67</v>
      </c>
      <c r="N678">
        <v>4</v>
      </c>
      <c r="O678" t="s">
        <v>1474</v>
      </c>
      <c r="P678" t="s">
        <v>1473</v>
      </c>
      <c r="Q678" t="s">
        <v>1472</v>
      </c>
      <c r="R678" s="7">
        <v>36356</v>
      </c>
      <c r="S678" s="8">
        <f t="shared" si="80"/>
        <v>1999</v>
      </c>
      <c r="T678" s="8">
        <v>1999</v>
      </c>
      <c r="U678" s="8">
        <f t="shared" si="81"/>
        <v>23</v>
      </c>
      <c r="V678" s="7">
        <v>36356</v>
      </c>
      <c r="W678" t="s">
        <v>1471</v>
      </c>
      <c r="X678" s="2">
        <v>3.8220000000000001</v>
      </c>
      <c r="Y678" s="6">
        <f t="shared" si="82"/>
        <v>0.10202610715143751</v>
      </c>
      <c r="AA678">
        <v>9609822</v>
      </c>
      <c r="AB678">
        <v>15537</v>
      </c>
      <c r="AD678" t="s">
        <v>2</v>
      </c>
      <c r="AE678">
        <v>9</v>
      </c>
      <c r="AF678">
        <v>14</v>
      </c>
      <c r="AH678" t="s">
        <v>1470</v>
      </c>
      <c r="AI678" t="s">
        <v>1469</v>
      </c>
      <c r="AK678" t="s">
        <v>1468</v>
      </c>
      <c r="AL678">
        <v>92</v>
      </c>
      <c r="AM678" s="5">
        <f t="shared" si="83"/>
        <v>4</v>
      </c>
      <c r="AN678" s="4">
        <f t="shared" si="84"/>
        <v>6.0583112457402496E-3</v>
      </c>
      <c r="AO678" s="3"/>
      <c r="AP678">
        <v>1</v>
      </c>
      <c r="AQ678" t="s">
        <v>168</v>
      </c>
      <c r="AR678" t="s">
        <v>1</v>
      </c>
      <c r="AS678" t="s">
        <v>1467</v>
      </c>
      <c r="AT678" s="2">
        <v>10.834</v>
      </c>
      <c r="AU678" s="1">
        <f t="shared" si="85"/>
        <v>7.3235768379728325</v>
      </c>
      <c r="AV678" s="1">
        <f t="shared" si="86"/>
        <v>5.4042209198588873</v>
      </c>
      <c r="AW678" s="1">
        <f t="shared" si="87"/>
        <v>3.4848650017449425</v>
      </c>
    </row>
    <row r="679" spans="1:49" x14ac:dyDescent="0.2">
      <c r="A679">
        <v>677</v>
      </c>
      <c r="B679" t="s">
        <v>1466</v>
      </c>
      <c r="C679" t="s">
        <v>1465</v>
      </c>
      <c r="D679" t="s">
        <v>1464</v>
      </c>
      <c r="E679">
        <v>10425679</v>
      </c>
      <c r="F679" t="s">
        <v>1463</v>
      </c>
      <c r="G679" t="s">
        <v>6</v>
      </c>
      <c r="H679" t="s">
        <v>5</v>
      </c>
      <c r="I679" t="s">
        <v>1462</v>
      </c>
      <c r="J679">
        <v>60028629</v>
      </c>
      <c r="K679" t="s">
        <v>1461</v>
      </c>
      <c r="L679" t="s">
        <v>344</v>
      </c>
      <c r="M679" t="s">
        <v>3</v>
      </c>
      <c r="N679">
        <v>2</v>
      </c>
      <c r="O679" t="s">
        <v>1460</v>
      </c>
      <c r="P679" t="s">
        <v>1459</v>
      </c>
      <c r="Q679" t="s">
        <v>1458</v>
      </c>
      <c r="R679" s="7">
        <v>36356</v>
      </c>
      <c r="S679" s="8">
        <f t="shared" si="80"/>
        <v>1999</v>
      </c>
      <c r="T679" s="8">
        <v>1999</v>
      </c>
      <c r="U679" s="8">
        <f t="shared" si="81"/>
        <v>23</v>
      </c>
      <c r="V679" s="7">
        <v>36356</v>
      </c>
      <c r="W679" t="s">
        <v>1457</v>
      </c>
      <c r="X679" s="2">
        <v>2.907</v>
      </c>
      <c r="Y679" s="6">
        <f t="shared" si="82"/>
        <v>7.7600704732922243E-2</v>
      </c>
      <c r="AA679">
        <v>9692126</v>
      </c>
      <c r="AB679">
        <v>14274</v>
      </c>
      <c r="AD679" t="s">
        <v>2</v>
      </c>
      <c r="AE679">
        <v>7</v>
      </c>
      <c r="AF679">
        <v>7</v>
      </c>
      <c r="AH679" t="s">
        <v>1456</v>
      </c>
      <c r="AI679" t="s">
        <v>1455</v>
      </c>
      <c r="AJ679" t="s">
        <v>1454</v>
      </c>
      <c r="AK679" t="s">
        <v>1453</v>
      </c>
      <c r="AL679">
        <v>146</v>
      </c>
      <c r="AM679" s="5">
        <f t="shared" si="83"/>
        <v>6.3478260869565215</v>
      </c>
      <c r="AN679" s="4">
        <f t="shared" si="84"/>
        <v>9.6142765421530045E-3</v>
      </c>
      <c r="AO679" s="3"/>
      <c r="AP679">
        <v>1</v>
      </c>
      <c r="AQ679" t="s">
        <v>757</v>
      </c>
      <c r="AR679" t="s">
        <v>1452</v>
      </c>
      <c r="AS679" t="s">
        <v>756</v>
      </c>
      <c r="AT679" s="2">
        <v>5.0060000000000002</v>
      </c>
      <c r="AU679" s="1">
        <f t="shared" si="85"/>
        <v>5.7204776275691467</v>
      </c>
      <c r="AV679" s="1">
        <f t="shared" si="86"/>
        <v>4.3607490637537625</v>
      </c>
      <c r="AW679" s="1">
        <f t="shared" si="87"/>
        <v>3.0010204999383774</v>
      </c>
    </row>
    <row r="680" spans="1:49" x14ac:dyDescent="0.2">
      <c r="A680">
        <v>678</v>
      </c>
      <c r="B680" t="s">
        <v>1451</v>
      </c>
      <c r="C680" t="s">
        <v>1450</v>
      </c>
      <c r="E680">
        <v>10370122</v>
      </c>
      <c r="F680" t="s">
        <v>1449</v>
      </c>
      <c r="G680" t="s">
        <v>6</v>
      </c>
      <c r="H680" t="s">
        <v>5</v>
      </c>
      <c r="I680" t="s">
        <v>1448</v>
      </c>
      <c r="J680" t="s">
        <v>1447</v>
      </c>
      <c r="K680" t="s">
        <v>1446</v>
      </c>
      <c r="L680" t="s">
        <v>1445</v>
      </c>
      <c r="M680" t="s">
        <v>19</v>
      </c>
      <c r="N680">
        <v>4</v>
      </c>
      <c r="O680" t="s">
        <v>1444</v>
      </c>
      <c r="P680" t="s">
        <v>1443</v>
      </c>
      <c r="Q680" t="s">
        <v>1442</v>
      </c>
      <c r="R680" s="7">
        <v>36355</v>
      </c>
      <c r="S680" s="8">
        <f t="shared" si="80"/>
        <v>1999</v>
      </c>
      <c r="T680" s="8">
        <v>1999</v>
      </c>
      <c r="U680" s="8">
        <f t="shared" si="81"/>
        <v>23</v>
      </c>
      <c r="V680" s="7">
        <v>1999</v>
      </c>
      <c r="W680" t="s">
        <v>727</v>
      </c>
      <c r="X680" s="2">
        <v>0.67400000000000004</v>
      </c>
      <c r="Y680" s="6">
        <f t="shared" si="82"/>
        <v>1.799204506019594E-2</v>
      </c>
      <c r="AA680" t="s">
        <v>726</v>
      </c>
      <c r="AB680">
        <v>14532</v>
      </c>
      <c r="AD680" t="s">
        <v>2</v>
      </c>
      <c r="AE680">
        <v>209</v>
      </c>
      <c r="AF680">
        <v>7</v>
      </c>
      <c r="AH680" t="s">
        <v>1441</v>
      </c>
      <c r="AI680" t="s">
        <v>1440</v>
      </c>
      <c r="AJ680" t="s">
        <v>1439</v>
      </c>
      <c r="AK680" t="s">
        <v>1438</v>
      </c>
      <c r="AL680">
        <v>41</v>
      </c>
      <c r="AM680" s="5">
        <f t="shared" si="83"/>
        <v>1.7826086956521738</v>
      </c>
      <c r="AN680" s="4">
        <f t="shared" si="84"/>
        <v>2.6998995769059808E-3</v>
      </c>
      <c r="AO680" s="3"/>
      <c r="AP680">
        <v>0</v>
      </c>
      <c r="AQ680" t="s">
        <v>205</v>
      </c>
      <c r="AR680" t="s">
        <v>1437</v>
      </c>
      <c r="AS680" t="s">
        <v>204</v>
      </c>
      <c r="AT680" s="2">
        <v>0.9</v>
      </c>
      <c r="AU680" s="1">
        <f t="shared" si="85"/>
        <v>1.3404401415208953</v>
      </c>
      <c r="AV680" s="1">
        <f t="shared" si="86"/>
        <v>1.034597231855096</v>
      </c>
      <c r="AW680" s="1">
        <f t="shared" si="87"/>
        <v>0.72875432218929681</v>
      </c>
    </row>
    <row r="681" spans="1:49" x14ac:dyDescent="0.2">
      <c r="A681">
        <v>679</v>
      </c>
      <c r="B681" t="s">
        <v>1436</v>
      </c>
      <c r="C681" t="s">
        <v>1435</v>
      </c>
      <c r="E681">
        <v>10398069</v>
      </c>
      <c r="F681" t="s">
        <v>1434</v>
      </c>
      <c r="G681" t="s">
        <v>6</v>
      </c>
      <c r="H681" t="s">
        <v>5</v>
      </c>
      <c r="I681" t="s">
        <v>1433</v>
      </c>
      <c r="J681" t="s">
        <v>1432</v>
      </c>
      <c r="K681" t="s">
        <v>1431</v>
      </c>
      <c r="L681" t="s">
        <v>1430</v>
      </c>
      <c r="M681" t="s">
        <v>30</v>
      </c>
      <c r="N681">
        <v>3</v>
      </c>
      <c r="O681" t="s">
        <v>1429</v>
      </c>
      <c r="P681" t="s">
        <v>1428</v>
      </c>
      <c r="Q681" t="s">
        <v>1427</v>
      </c>
      <c r="R681" s="7">
        <v>36353</v>
      </c>
      <c r="S681" s="8">
        <f t="shared" si="80"/>
        <v>1999</v>
      </c>
      <c r="T681" s="8">
        <v>1999</v>
      </c>
      <c r="U681" s="8">
        <f t="shared" si="81"/>
        <v>23</v>
      </c>
      <c r="V681" s="7">
        <v>1999</v>
      </c>
      <c r="W681" t="s">
        <v>761</v>
      </c>
      <c r="X681" s="2" t="s">
        <v>0</v>
      </c>
      <c r="Y681" s="6" t="e">
        <f t="shared" si="82"/>
        <v>#VALUE!</v>
      </c>
      <c r="AA681">
        <v>223034</v>
      </c>
      <c r="AB681">
        <v>23463</v>
      </c>
      <c r="AD681" t="s">
        <v>2</v>
      </c>
      <c r="AE681">
        <v>40</v>
      </c>
      <c r="AF681">
        <v>1</v>
      </c>
      <c r="AH681" t="s">
        <v>1426</v>
      </c>
      <c r="AI681" t="s">
        <v>1425</v>
      </c>
      <c r="AJ681" t="s">
        <v>1424</v>
      </c>
      <c r="AK681" t="s">
        <v>1423</v>
      </c>
      <c r="AL681">
        <v>19</v>
      </c>
      <c r="AM681" s="5">
        <f t="shared" si="83"/>
        <v>0.82608695652173914</v>
      </c>
      <c r="AN681" s="4">
        <f t="shared" si="84"/>
        <v>1.2511729746637473E-3</v>
      </c>
      <c r="AO681" s="3"/>
      <c r="AP681">
        <v>0</v>
      </c>
      <c r="AQ681" t="s">
        <v>1422</v>
      </c>
      <c r="AR681" t="s">
        <v>1421</v>
      </c>
      <c r="AS681" t="s">
        <v>1420</v>
      </c>
      <c r="AT681" s="2" t="s">
        <v>0</v>
      </c>
      <c r="AU681" s="1" t="e">
        <f t="shared" si="85"/>
        <v>#VALUE!</v>
      </c>
      <c r="AV681" s="1" t="e">
        <f t="shared" si="86"/>
        <v>#VALUE!</v>
      </c>
      <c r="AW681" s="1" t="e">
        <f t="shared" si="87"/>
        <v>#VALUE!</v>
      </c>
    </row>
    <row r="682" spans="1:49" x14ac:dyDescent="0.2">
      <c r="A682">
        <v>680</v>
      </c>
      <c r="B682" t="s">
        <v>1419</v>
      </c>
      <c r="C682" t="s">
        <v>1418</v>
      </c>
      <c r="F682" t="s">
        <v>1417</v>
      </c>
      <c r="G682" t="s">
        <v>6</v>
      </c>
      <c r="H682" t="s">
        <v>5</v>
      </c>
      <c r="I682" t="s">
        <v>1416</v>
      </c>
      <c r="J682" t="s">
        <v>1415</v>
      </c>
      <c r="K682" t="s">
        <v>1414</v>
      </c>
      <c r="L682" t="s">
        <v>1413</v>
      </c>
      <c r="M682" t="s">
        <v>30</v>
      </c>
      <c r="N682">
        <v>3</v>
      </c>
      <c r="O682" t="s">
        <v>1412</v>
      </c>
      <c r="P682" t="s">
        <v>1411</v>
      </c>
      <c r="Q682" t="s">
        <v>1410</v>
      </c>
      <c r="R682" s="7">
        <v>36349</v>
      </c>
      <c r="S682" s="8">
        <f t="shared" si="80"/>
        <v>1999</v>
      </c>
      <c r="T682" s="8">
        <v>1999</v>
      </c>
      <c r="U682" s="8">
        <f t="shared" si="81"/>
        <v>23</v>
      </c>
      <c r="V682" s="7">
        <v>36349</v>
      </c>
      <c r="W682" t="s">
        <v>647</v>
      </c>
      <c r="X682" s="2">
        <v>0.86399999999999999</v>
      </c>
      <c r="Y682" s="6">
        <f t="shared" si="82"/>
        <v>2.3063986546007848E-2</v>
      </c>
      <c r="AA682">
        <v>15206106</v>
      </c>
      <c r="AB682">
        <v>26970</v>
      </c>
      <c r="AD682" t="s">
        <v>2</v>
      </c>
      <c r="AE682">
        <v>103</v>
      </c>
      <c r="AF682">
        <v>27</v>
      </c>
      <c r="AH682" t="s">
        <v>1409</v>
      </c>
      <c r="AI682" t="s">
        <v>1408</v>
      </c>
      <c r="AK682" t="s">
        <v>1407</v>
      </c>
      <c r="AL682">
        <v>35</v>
      </c>
      <c r="AM682" s="5">
        <f t="shared" si="83"/>
        <v>1.5217391304347827</v>
      </c>
      <c r="AN682" s="4">
        <f t="shared" si="84"/>
        <v>2.3047923217490085E-3</v>
      </c>
      <c r="AO682" s="3"/>
      <c r="AP682">
        <v>0</v>
      </c>
      <c r="AR682" t="s">
        <v>1</v>
      </c>
      <c r="AT682" s="2">
        <v>2.9910000000000001</v>
      </c>
      <c r="AU682" s="1">
        <f t="shared" si="85"/>
        <v>1.6836228278730194</v>
      </c>
      <c r="AV682" s="1">
        <f t="shared" si="86"/>
        <v>1.2684389433878429</v>
      </c>
      <c r="AW682" s="1">
        <f t="shared" si="87"/>
        <v>0.85325505890266606</v>
      </c>
    </row>
    <row r="683" spans="1:49" x14ac:dyDescent="0.2">
      <c r="A683">
        <v>681</v>
      </c>
      <c r="B683" t="s">
        <v>1406</v>
      </c>
      <c r="C683" t="s">
        <v>1405</v>
      </c>
      <c r="F683" t="s">
        <v>1404</v>
      </c>
      <c r="G683" t="s">
        <v>6</v>
      </c>
      <c r="H683" t="s">
        <v>5</v>
      </c>
      <c r="I683" t="s">
        <v>213</v>
      </c>
      <c r="J683">
        <v>60000745</v>
      </c>
      <c r="K683" t="s">
        <v>212</v>
      </c>
      <c r="L683" t="s">
        <v>211</v>
      </c>
      <c r="M683" t="s">
        <v>3</v>
      </c>
      <c r="N683">
        <v>2</v>
      </c>
      <c r="O683" t="s">
        <v>210</v>
      </c>
      <c r="P683" t="s">
        <v>209</v>
      </c>
      <c r="Q683" t="s">
        <v>208</v>
      </c>
      <c r="R683" s="7">
        <v>36349</v>
      </c>
      <c r="S683" s="8">
        <f t="shared" si="80"/>
        <v>1999</v>
      </c>
      <c r="T683" s="8">
        <v>1999</v>
      </c>
      <c r="U683" s="8">
        <f t="shared" si="81"/>
        <v>23</v>
      </c>
      <c r="V683" s="7">
        <v>36349</v>
      </c>
      <c r="W683" t="s">
        <v>227</v>
      </c>
      <c r="X683" s="2">
        <v>0.375</v>
      </c>
      <c r="Y683" s="6">
        <f t="shared" si="82"/>
        <v>1.0010410827260351E-2</v>
      </c>
      <c r="AA683">
        <v>135194</v>
      </c>
      <c r="AB683">
        <v>24918</v>
      </c>
      <c r="AD683" t="s">
        <v>2</v>
      </c>
      <c r="AE683">
        <v>35</v>
      </c>
      <c r="AF683">
        <v>14</v>
      </c>
      <c r="AH683" t="s">
        <v>1403</v>
      </c>
      <c r="AI683" t="s">
        <v>1402</v>
      </c>
      <c r="AK683" t="s">
        <v>1401</v>
      </c>
      <c r="AL683">
        <v>12</v>
      </c>
      <c r="AM683" s="5">
        <f t="shared" si="83"/>
        <v>0.52173913043478259</v>
      </c>
      <c r="AN683" s="4">
        <f t="shared" si="84"/>
        <v>7.9021451031394564E-4</v>
      </c>
      <c r="AO683" s="3"/>
      <c r="AP683">
        <v>0</v>
      </c>
      <c r="AR683" t="s">
        <v>1</v>
      </c>
      <c r="AT683" s="2">
        <v>1.3140000000000001</v>
      </c>
      <c r="AU683" s="1">
        <f t="shared" si="85"/>
        <v>0.72443519321764294</v>
      </c>
      <c r="AV683" s="1">
        <f t="shared" si="86"/>
        <v>0.54003126687871483</v>
      </c>
      <c r="AW683" s="1">
        <f t="shared" si="87"/>
        <v>0.35562734053978673</v>
      </c>
    </row>
    <row r="684" spans="1:49" x14ac:dyDescent="0.2">
      <c r="A684">
        <v>682</v>
      </c>
      <c r="B684" t="s">
        <v>1400</v>
      </c>
      <c r="C684" t="s">
        <v>1399</v>
      </c>
      <c r="F684" t="s">
        <v>1398</v>
      </c>
      <c r="G684" t="s">
        <v>6</v>
      </c>
      <c r="H684" t="s">
        <v>5</v>
      </c>
      <c r="I684" t="s">
        <v>1397</v>
      </c>
      <c r="J684" t="s">
        <v>1396</v>
      </c>
      <c r="K684" t="s">
        <v>1395</v>
      </c>
      <c r="L684" t="s">
        <v>449</v>
      </c>
      <c r="M684" t="s">
        <v>407</v>
      </c>
      <c r="N684">
        <v>3</v>
      </c>
      <c r="O684" t="s">
        <v>1394</v>
      </c>
      <c r="P684" t="s">
        <v>1393</v>
      </c>
      <c r="Q684" t="s">
        <v>1392</v>
      </c>
      <c r="R684" s="7">
        <v>36349</v>
      </c>
      <c r="S684" s="8">
        <f t="shared" si="80"/>
        <v>1999</v>
      </c>
      <c r="T684" s="8">
        <v>1999</v>
      </c>
      <c r="U684" s="8">
        <f t="shared" si="81"/>
        <v>23</v>
      </c>
      <c r="V684" s="7">
        <v>36349</v>
      </c>
      <c r="W684" t="s">
        <v>227</v>
      </c>
      <c r="X684" s="2">
        <v>0.375</v>
      </c>
      <c r="Y684" s="6">
        <f t="shared" si="82"/>
        <v>1.0010410827260351E-2</v>
      </c>
      <c r="AA684">
        <v>135194</v>
      </c>
      <c r="AB684">
        <v>24918</v>
      </c>
      <c r="AD684" t="s">
        <v>2</v>
      </c>
      <c r="AE684">
        <v>35</v>
      </c>
      <c r="AF684">
        <v>14</v>
      </c>
      <c r="AH684" t="s">
        <v>1391</v>
      </c>
      <c r="AI684" t="s">
        <v>1390</v>
      </c>
      <c r="AK684" t="s">
        <v>1389</v>
      </c>
      <c r="AL684">
        <v>29</v>
      </c>
      <c r="AM684" s="5">
        <f t="shared" si="83"/>
        <v>1.2608695652173914</v>
      </c>
      <c r="AN684" s="4">
        <f t="shared" si="84"/>
        <v>1.9096850665920354E-3</v>
      </c>
      <c r="AO684" s="3"/>
      <c r="AP684">
        <v>0</v>
      </c>
      <c r="AR684" t="s">
        <v>1</v>
      </c>
      <c r="AT684" s="2">
        <v>1.3140000000000001</v>
      </c>
      <c r="AU684" s="1">
        <f t="shared" si="85"/>
        <v>0.75801930990598565</v>
      </c>
      <c r="AV684" s="1">
        <f t="shared" si="86"/>
        <v>0.59600479469261936</v>
      </c>
      <c r="AW684" s="1">
        <f t="shared" si="87"/>
        <v>0.433990279479253</v>
      </c>
    </row>
    <row r="685" spans="1:49" x14ac:dyDescent="0.2">
      <c r="A685">
        <v>683</v>
      </c>
      <c r="B685" t="s">
        <v>1388</v>
      </c>
      <c r="C685" t="s">
        <v>1387</v>
      </c>
      <c r="F685" t="s">
        <v>1386</v>
      </c>
      <c r="G685" t="s">
        <v>6</v>
      </c>
      <c r="H685" t="s">
        <v>5</v>
      </c>
      <c r="I685" t="s">
        <v>1385</v>
      </c>
      <c r="J685" t="s">
        <v>1384</v>
      </c>
      <c r="K685" t="s">
        <v>1383</v>
      </c>
      <c r="L685" t="s">
        <v>1382</v>
      </c>
      <c r="M685" t="s">
        <v>1381</v>
      </c>
      <c r="N685">
        <v>4</v>
      </c>
      <c r="O685" t="s">
        <v>1380</v>
      </c>
      <c r="P685" t="s">
        <v>1379</v>
      </c>
      <c r="Q685" t="s">
        <v>1378</v>
      </c>
      <c r="R685" s="7">
        <v>36349</v>
      </c>
      <c r="S685" s="8">
        <f t="shared" si="80"/>
        <v>1999</v>
      </c>
      <c r="T685" s="8">
        <v>1999</v>
      </c>
      <c r="U685" s="8">
        <f t="shared" si="81"/>
        <v>23</v>
      </c>
      <c r="V685" s="7">
        <v>36349</v>
      </c>
      <c r="W685" t="s">
        <v>227</v>
      </c>
      <c r="X685" s="2">
        <v>0.375</v>
      </c>
      <c r="Y685" s="6">
        <f t="shared" si="82"/>
        <v>1.0010410827260351E-2</v>
      </c>
      <c r="AA685">
        <v>135194</v>
      </c>
      <c r="AB685">
        <v>24918</v>
      </c>
      <c r="AD685" t="s">
        <v>2</v>
      </c>
      <c r="AE685">
        <v>35</v>
      </c>
      <c r="AF685">
        <v>14</v>
      </c>
      <c r="AH685" t="s">
        <v>1377</v>
      </c>
      <c r="AI685" t="s">
        <v>1376</v>
      </c>
      <c r="AK685" t="s">
        <v>1375</v>
      </c>
      <c r="AL685">
        <v>0</v>
      </c>
      <c r="AM685" s="5">
        <f t="shared" si="83"/>
        <v>0</v>
      </c>
      <c r="AN685" s="4">
        <f t="shared" si="84"/>
        <v>0</v>
      </c>
      <c r="AO685" s="3"/>
      <c r="AP685">
        <v>0</v>
      </c>
      <c r="AR685" t="s">
        <v>1</v>
      </c>
      <c r="AT685" s="2">
        <v>1.3140000000000001</v>
      </c>
      <c r="AU685" s="1">
        <f t="shared" si="85"/>
        <v>0.70072875790822453</v>
      </c>
      <c r="AV685" s="1">
        <f t="shared" si="86"/>
        <v>0.5005205413630176</v>
      </c>
      <c r="AW685" s="1">
        <f t="shared" si="87"/>
        <v>0.30031232481781051</v>
      </c>
    </row>
    <row r="686" spans="1:49" x14ac:dyDescent="0.2">
      <c r="A686">
        <v>684</v>
      </c>
      <c r="B686" t="s">
        <v>1374</v>
      </c>
      <c r="C686" t="s">
        <v>1373</v>
      </c>
      <c r="F686" t="s">
        <v>1372</v>
      </c>
      <c r="G686" t="s">
        <v>6</v>
      </c>
      <c r="H686" t="s">
        <v>5</v>
      </c>
      <c r="I686" t="s">
        <v>480</v>
      </c>
      <c r="J686" t="s">
        <v>375</v>
      </c>
      <c r="K686" t="s">
        <v>374</v>
      </c>
      <c r="L686" t="s">
        <v>373</v>
      </c>
      <c r="M686" t="s">
        <v>372</v>
      </c>
      <c r="N686">
        <v>3</v>
      </c>
      <c r="O686" t="s">
        <v>1371</v>
      </c>
      <c r="P686" t="s">
        <v>1370</v>
      </c>
      <c r="Q686" t="s">
        <v>369</v>
      </c>
      <c r="R686" s="7">
        <v>36349</v>
      </c>
      <c r="S686" s="8">
        <f t="shared" si="80"/>
        <v>1999</v>
      </c>
      <c r="T686" s="8">
        <v>1999</v>
      </c>
      <c r="U686" s="8">
        <f t="shared" si="81"/>
        <v>23</v>
      </c>
      <c r="V686" s="7">
        <v>36349</v>
      </c>
      <c r="W686" t="s">
        <v>227</v>
      </c>
      <c r="X686" s="2">
        <v>0.375</v>
      </c>
      <c r="Y686" s="6">
        <f t="shared" si="82"/>
        <v>1.0010410827260351E-2</v>
      </c>
      <c r="AA686">
        <v>135194</v>
      </c>
      <c r="AB686">
        <v>24918</v>
      </c>
      <c r="AD686" t="s">
        <v>2</v>
      </c>
      <c r="AE686">
        <v>35</v>
      </c>
      <c r="AF686">
        <v>14</v>
      </c>
      <c r="AH686" t="s">
        <v>1369</v>
      </c>
      <c r="AI686" t="s">
        <v>1368</v>
      </c>
      <c r="AK686" t="s">
        <v>1367</v>
      </c>
      <c r="AL686">
        <v>33</v>
      </c>
      <c r="AM686" s="5">
        <f t="shared" si="83"/>
        <v>1.4347826086956521</v>
      </c>
      <c r="AN686" s="4">
        <f t="shared" si="84"/>
        <v>2.1730899033633503E-3</v>
      </c>
      <c r="AO686" s="3"/>
      <c r="AP686">
        <v>0</v>
      </c>
      <c r="AR686" t="s">
        <v>1</v>
      </c>
      <c r="AT686" s="2">
        <v>1.3140000000000001</v>
      </c>
      <c r="AU686" s="1">
        <f t="shared" si="85"/>
        <v>0.76592145500912501</v>
      </c>
      <c r="AV686" s="1">
        <f t="shared" si="86"/>
        <v>0.6091750365311851</v>
      </c>
      <c r="AW686" s="1">
        <f t="shared" si="87"/>
        <v>0.45242861805324508</v>
      </c>
    </row>
    <row r="687" spans="1:49" x14ac:dyDescent="0.2">
      <c r="A687">
        <v>685</v>
      </c>
      <c r="B687" t="s">
        <v>1366</v>
      </c>
      <c r="C687" t="s">
        <v>1365</v>
      </c>
      <c r="F687" t="s">
        <v>1364</v>
      </c>
      <c r="G687" t="s">
        <v>6</v>
      </c>
      <c r="H687" t="s">
        <v>5</v>
      </c>
      <c r="I687" t="s">
        <v>1363</v>
      </c>
      <c r="J687" t="s">
        <v>1362</v>
      </c>
      <c r="K687" t="s">
        <v>1361</v>
      </c>
      <c r="L687" t="s">
        <v>1360</v>
      </c>
      <c r="M687" t="s">
        <v>1359</v>
      </c>
      <c r="N687">
        <v>3</v>
      </c>
      <c r="O687" t="s">
        <v>1358</v>
      </c>
      <c r="P687" t="s">
        <v>1357</v>
      </c>
      <c r="Q687" t="s">
        <v>1356</v>
      </c>
      <c r="R687" s="7">
        <v>36348</v>
      </c>
      <c r="S687" s="8">
        <f t="shared" si="80"/>
        <v>1999</v>
      </c>
      <c r="T687" s="8">
        <v>1999</v>
      </c>
      <c r="U687" s="8">
        <f t="shared" si="81"/>
        <v>23</v>
      </c>
      <c r="V687" s="7">
        <v>36348</v>
      </c>
      <c r="W687" t="s">
        <v>1355</v>
      </c>
      <c r="X687" s="2">
        <v>2.3420000000000001</v>
      </c>
      <c r="Y687" s="6">
        <f t="shared" si="82"/>
        <v>6.2518352419849987E-2</v>
      </c>
      <c r="AA687">
        <v>9628452</v>
      </c>
      <c r="AB687">
        <v>130030</v>
      </c>
      <c r="AC687">
        <v>14712970</v>
      </c>
      <c r="AD687" t="s">
        <v>2</v>
      </c>
      <c r="AE687">
        <v>266</v>
      </c>
      <c r="AF687">
        <v>1426</v>
      </c>
      <c r="AH687" t="s">
        <v>1354</v>
      </c>
      <c r="AI687" t="s">
        <v>1353</v>
      </c>
      <c r="AJ687" t="s">
        <v>1352</v>
      </c>
      <c r="AK687" t="s">
        <v>1351</v>
      </c>
      <c r="AL687">
        <v>169</v>
      </c>
      <c r="AM687" s="5">
        <f t="shared" si="83"/>
        <v>7.3478260869565215</v>
      </c>
      <c r="AN687" s="4">
        <f t="shared" si="84"/>
        <v>1.1128854353588067E-2</v>
      </c>
      <c r="AO687" s="3"/>
      <c r="AP687">
        <v>0</v>
      </c>
      <c r="AR687" t="s">
        <v>1</v>
      </c>
      <c r="AT687" s="2" t="s">
        <v>0</v>
      </c>
      <c r="AU687" s="1">
        <f t="shared" si="85"/>
        <v>4.7101502999971414</v>
      </c>
      <c r="AV687" s="1">
        <f t="shared" si="86"/>
        <v>3.682360338671903</v>
      </c>
      <c r="AW687" s="1">
        <f t="shared" si="87"/>
        <v>2.6545703773466642</v>
      </c>
    </row>
    <row r="688" spans="1:49" x14ac:dyDescent="0.2">
      <c r="A688">
        <v>686</v>
      </c>
      <c r="B688" t="s">
        <v>1350</v>
      </c>
      <c r="C688" t="s">
        <v>1349</v>
      </c>
      <c r="F688" t="s">
        <v>1348</v>
      </c>
      <c r="G688" t="s">
        <v>6</v>
      </c>
      <c r="H688" t="s">
        <v>5</v>
      </c>
      <c r="I688" t="s">
        <v>818</v>
      </c>
      <c r="J688" t="s">
        <v>1347</v>
      </c>
      <c r="K688" t="s">
        <v>1346</v>
      </c>
      <c r="L688" t="s">
        <v>1345</v>
      </c>
      <c r="M688" t="s">
        <v>261</v>
      </c>
      <c r="N688">
        <v>5</v>
      </c>
      <c r="O688" t="s">
        <v>1344</v>
      </c>
      <c r="P688" t="s">
        <v>1343</v>
      </c>
      <c r="Q688" t="s">
        <v>1342</v>
      </c>
      <c r="R688" s="7">
        <v>36346</v>
      </c>
      <c r="S688" s="8">
        <f t="shared" si="80"/>
        <v>1999</v>
      </c>
      <c r="T688" s="8">
        <v>1999</v>
      </c>
      <c r="U688" s="8">
        <f t="shared" si="81"/>
        <v>23</v>
      </c>
      <c r="V688" s="7">
        <v>36346</v>
      </c>
      <c r="W688" t="s">
        <v>162</v>
      </c>
      <c r="X688" s="2">
        <v>0.30399999999999999</v>
      </c>
      <c r="Y688" s="6">
        <f t="shared" si="82"/>
        <v>8.115106377299057E-3</v>
      </c>
      <c r="AA688">
        <v>8952477</v>
      </c>
      <c r="AB688">
        <v>12250</v>
      </c>
      <c r="AD688" t="s">
        <v>2</v>
      </c>
      <c r="AE688">
        <v>22</v>
      </c>
      <c r="AF688">
        <v>1</v>
      </c>
      <c r="AH688" t="s">
        <v>1341</v>
      </c>
      <c r="AI688" t="s">
        <v>1340</v>
      </c>
      <c r="AK688" t="s">
        <v>1339</v>
      </c>
      <c r="AL688">
        <v>2</v>
      </c>
      <c r="AM688" s="5">
        <f t="shared" si="83"/>
        <v>8.6956521739130432E-2</v>
      </c>
      <c r="AN688" s="4">
        <f t="shared" si="84"/>
        <v>1.3170241838565761E-4</v>
      </c>
      <c r="AO688" s="3"/>
      <c r="AP688">
        <v>0</v>
      </c>
      <c r="AR688" t="s">
        <v>1</v>
      </c>
      <c r="AT688" s="2" t="s">
        <v>0</v>
      </c>
      <c r="AU688" s="1">
        <f t="shared" si="85"/>
        <v>0.57200851896250371</v>
      </c>
      <c r="AV688" s="1">
        <f t="shared" si="86"/>
        <v>0.41234043978423568</v>
      </c>
      <c r="AW688" s="1">
        <f t="shared" si="87"/>
        <v>0.25267236060596776</v>
      </c>
    </row>
    <row r="689" spans="1:49" x14ac:dyDescent="0.2">
      <c r="A689">
        <v>687</v>
      </c>
      <c r="B689" t="s">
        <v>1338</v>
      </c>
      <c r="C689" t="s">
        <v>1337</v>
      </c>
      <c r="F689" t="s">
        <v>1336</v>
      </c>
      <c r="G689" t="s">
        <v>6</v>
      </c>
      <c r="H689" t="s">
        <v>5</v>
      </c>
      <c r="I689" t="s">
        <v>1335</v>
      </c>
      <c r="J689">
        <v>60011357</v>
      </c>
      <c r="K689" t="s">
        <v>218</v>
      </c>
      <c r="L689" t="s">
        <v>217</v>
      </c>
      <c r="M689" t="s">
        <v>133</v>
      </c>
      <c r="N689">
        <v>2</v>
      </c>
      <c r="O689" t="s">
        <v>1334</v>
      </c>
      <c r="P689" t="s">
        <v>1333</v>
      </c>
      <c r="Q689" t="s">
        <v>216</v>
      </c>
      <c r="R689" s="7">
        <v>36346</v>
      </c>
      <c r="S689" s="8">
        <f t="shared" si="80"/>
        <v>1999</v>
      </c>
      <c r="T689" s="8">
        <v>1999</v>
      </c>
      <c r="U689" s="8">
        <f t="shared" si="81"/>
        <v>23</v>
      </c>
      <c r="V689" s="7">
        <v>36346</v>
      </c>
      <c r="W689" t="s">
        <v>162</v>
      </c>
      <c r="X689" s="2">
        <v>0.30399999999999999</v>
      </c>
      <c r="Y689" s="6">
        <f t="shared" si="82"/>
        <v>8.115106377299057E-3</v>
      </c>
      <c r="AA689">
        <v>8952477</v>
      </c>
      <c r="AB689">
        <v>12250</v>
      </c>
      <c r="AD689" t="s">
        <v>2</v>
      </c>
      <c r="AE689">
        <v>22</v>
      </c>
      <c r="AF689">
        <v>1</v>
      </c>
      <c r="AH689" s="10">
        <v>44476</v>
      </c>
      <c r="AI689" t="s">
        <v>1332</v>
      </c>
      <c r="AK689" t="s">
        <v>1331</v>
      </c>
      <c r="AL689">
        <v>1</v>
      </c>
      <c r="AM689" s="5">
        <f t="shared" si="83"/>
        <v>4.3478260869565216E-2</v>
      </c>
      <c r="AN689" s="4">
        <f t="shared" si="84"/>
        <v>6.5851209192828807E-5</v>
      </c>
      <c r="AO689" s="3"/>
      <c r="AP689">
        <v>0</v>
      </c>
      <c r="AR689" t="s">
        <v>1</v>
      </c>
      <c r="AT689" s="2" t="s">
        <v>0</v>
      </c>
      <c r="AU689" s="1">
        <f t="shared" si="85"/>
        <v>0.57003298268671876</v>
      </c>
      <c r="AV689" s="1">
        <f t="shared" si="86"/>
        <v>0.4090478793245943</v>
      </c>
      <c r="AW689" s="1">
        <f t="shared" si="87"/>
        <v>0.24806277596246973</v>
      </c>
    </row>
    <row r="690" spans="1:49" x14ac:dyDescent="0.2">
      <c r="A690">
        <v>688</v>
      </c>
      <c r="B690" t="s">
        <v>1330</v>
      </c>
      <c r="C690" t="s">
        <v>1329</v>
      </c>
      <c r="F690" t="s">
        <v>1328</v>
      </c>
      <c r="G690" t="s">
        <v>6</v>
      </c>
      <c r="H690" t="s">
        <v>5</v>
      </c>
      <c r="I690" t="s">
        <v>1327</v>
      </c>
      <c r="J690">
        <v>60026113</v>
      </c>
      <c r="K690" t="s">
        <v>1326</v>
      </c>
      <c r="L690" t="s">
        <v>1325</v>
      </c>
      <c r="M690" t="s">
        <v>47</v>
      </c>
      <c r="N690">
        <v>4</v>
      </c>
      <c r="O690" t="s">
        <v>1324</v>
      </c>
      <c r="P690" t="s">
        <v>1323</v>
      </c>
      <c r="Q690" t="s">
        <v>1322</v>
      </c>
      <c r="R690" s="7">
        <v>36346</v>
      </c>
      <c r="S690" s="8">
        <f t="shared" si="80"/>
        <v>1999</v>
      </c>
      <c r="T690" s="8">
        <v>1999</v>
      </c>
      <c r="U690" s="8">
        <f t="shared" si="81"/>
        <v>23</v>
      </c>
      <c r="V690" s="7">
        <v>36346</v>
      </c>
      <c r="W690" t="s">
        <v>162</v>
      </c>
      <c r="X690" s="2">
        <v>0.30399999999999999</v>
      </c>
      <c r="Y690" s="6">
        <f t="shared" si="82"/>
        <v>8.115106377299057E-3</v>
      </c>
      <c r="AA690">
        <v>8952477</v>
      </c>
      <c r="AB690">
        <v>12250</v>
      </c>
      <c r="AD690" t="s">
        <v>2</v>
      </c>
      <c r="AE690">
        <v>22</v>
      </c>
      <c r="AF690">
        <v>1</v>
      </c>
      <c r="AH690" t="s">
        <v>1321</v>
      </c>
      <c r="AI690" t="s">
        <v>1320</v>
      </c>
      <c r="AK690" t="s">
        <v>1319</v>
      </c>
      <c r="AL690">
        <v>1</v>
      </c>
      <c r="AM690" s="5">
        <f t="shared" si="83"/>
        <v>4.3478260869565216E-2</v>
      </c>
      <c r="AN690" s="4">
        <f t="shared" si="84"/>
        <v>6.5851209192828807E-5</v>
      </c>
      <c r="AO690" s="3"/>
      <c r="AP690">
        <v>0</v>
      </c>
      <c r="AR690" t="s">
        <v>1</v>
      </c>
      <c r="AT690" s="2" t="s">
        <v>0</v>
      </c>
      <c r="AU690" s="1">
        <f t="shared" si="85"/>
        <v>0.57003298268671876</v>
      </c>
      <c r="AV690" s="1">
        <f t="shared" si="86"/>
        <v>0.4090478793245943</v>
      </c>
      <c r="AW690" s="1">
        <f t="shared" si="87"/>
        <v>0.24806277596246973</v>
      </c>
    </row>
    <row r="691" spans="1:49" x14ac:dyDescent="0.2">
      <c r="A691">
        <v>689</v>
      </c>
      <c r="B691" t="s">
        <v>1318</v>
      </c>
      <c r="C691" t="s">
        <v>1317</v>
      </c>
      <c r="F691" t="s">
        <v>1316</v>
      </c>
      <c r="G691" t="s">
        <v>6</v>
      </c>
      <c r="H691" t="s">
        <v>5</v>
      </c>
      <c r="I691" t="s">
        <v>1315</v>
      </c>
      <c r="J691">
        <v>60013983</v>
      </c>
      <c r="K691" t="s">
        <v>324</v>
      </c>
      <c r="L691" t="s">
        <v>323</v>
      </c>
      <c r="M691" t="s">
        <v>322</v>
      </c>
      <c r="N691">
        <v>5</v>
      </c>
      <c r="O691" t="s">
        <v>1314</v>
      </c>
      <c r="P691" t="s">
        <v>1313</v>
      </c>
      <c r="Q691" t="s">
        <v>1312</v>
      </c>
      <c r="R691" s="7">
        <v>36346</v>
      </c>
      <c r="S691" s="8">
        <f t="shared" si="80"/>
        <v>1999</v>
      </c>
      <c r="T691" s="8">
        <v>1999</v>
      </c>
      <c r="U691" s="8">
        <f t="shared" si="81"/>
        <v>23</v>
      </c>
      <c r="V691" s="7">
        <v>36346</v>
      </c>
      <c r="W691" t="s">
        <v>162</v>
      </c>
      <c r="X691" s="2">
        <v>0.30399999999999999</v>
      </c>
      <c r="Y691" s="6">
        <f t="shared" si="82"/>
        <v>8.115106377299057E-3</v>
      </c>
      <c r="AA691">
        <v>8952477</v>
      </c>
      <c r="AB691">
        <v>12250</v>
      </c>
      <c r="AD691" t="s">
        <v>2</v>
      </c>
      <c r="AE691">
        <v>22</v>
      </c>
      <c r="AF691">
        <v>1</v>
      </c>
      <c r="AH691" t="s">
        <v>1311</v>
      </c>
      <c r="AI691" t="s">
        <v>1310</v>
      </c>
      <c r="AK691" t="s">
        <v>1309</v>
      </c>
      <c r="AL691">
        <v>3</v>
      </c>
      <c r="AM691" s="5">
        <f t="shared" si="83"/>
        <v>0.13043478260869565</v>
      </c>
      <c r="AN691" s="4">
        <f t="shared" si="84"/>
        <v>1.9755362757848641E-4</v>
      </c>
      <c r="AO691" s="3"/>
      <c r="AP691">
        <v>0</v>
      </c>
      <c r="AR691" t="s">
        <v>1</v>
      </c>
      <c r="AT691" s="2" t="s">
        <v>0</v>
      </c>
      <c r="AU691" s="1">
        <f t="shared" si="85"/>
        <v>0.57398405523828855</v>
      </c>
      <c r="AV691" s="1">
        <f t="shared" si="86"/>
        <v>0.41563300024387723</v>
      </c>
      <c r="AW691" s="1">
        <f t="shared" si="87"/>
        <v>0.25728194524946579</v>
      </c>
    </row>
    <row r="692" spans="1:49" x14ac:dyDescent="0.2">
      <c r="A692">
        <v>690</v>
      </c>
      <c r="B692" t="s">
        <v>1308</v>
      </c>
      <c r="C692" t="s">
        <v>1307</v>
      </c>
      <c r="F692" t="s">
        <v>1306</v>
      </c>
      <c r="G692" t="s">
        <v>6</v>
      </c>
      <c r="H692" t="s">
        <v>5</v>
      </c>
      <c r="I692" t="s">
        <v>1305</v>
      </c>
      <c r="J692" t="s">
        <v>1304</v>
      </c>
      <c r="K692" t="s">
        <v>1303</v>
      </c>
      <c r="L692" t="s">
        <v>1302</v>
      </c>
      <c r="M692" t="s">
        <v>1301</v>
      </c>
      <c r="N692">
        <v>6</v>
      </c>
      <c r="O692" t="s">
        <v>1300</v>
      </c>
      <c r="P692" t="s">
        <v>1299</v>
      </c>
      <c r="Q692" t="s">
        <v>1298</v>
      </c>
      <c r="R692" s="7">
        <v>36346</v>
      </c>
      <c r="S692" s="8">
        <f t="shared" si="80"/>
        <v>1999</v>
      </c>
      <c r="T692" s="8">
        <v>1999</v>
      </c>
      <c r="U692" s="8">
        <f t="shared" si="81"/>
        <v>23</v>
      </c>
      <c r="V692" s="7">
        <v>36346</v>
      </c>
      <c r="W692" t="s">
        <v>162</v>
      </c>
      <c r="X692" s="2">
        <v>0.30399999999999999</v>
      </c>
      <c r="Y692" s="6">
        <f t="shared" si="82"/>
        <v>8.115106377299057E-3</v>
      </c>
      <c r="AA692">
        <v>8952477</v>
      </c>
      <c r="AB692">
        <v>12250</v>
      </c>
      <c r="AD692" t="s">
        <v>2</v>
      </c>
      <c r="AE692">
        <v>22</v>
      </c>
      <c r="AF692">
        <v>1</v>
      </c>
      <c r="AH692" s="11">
        <v>42644</v>
      </c>
      <c r="AI692" t="s">
        <v>1297</v>
      </c>
      <c r="AK692" t="s">
        <v>1296</v>
      </c>
      <c r="AL692">
        <v>21</v>
      </c>
      <c r="AM692" s="5">
        <f t="shared" si="83"/>
        <v>0.91304347826086951</v>
      </c>
      <c r="AN692" s="4">
        <f t="shared" si="84"/>
        <v>1.3828753930494049E-3</v>
      </c>
      <c r="AO692" s="3"/>
      <c r="AP692">
        <v>0</v>
      </c>
      <c r="AR692" t="s">
        <v>1</v>
      </c>
      <c r="AT692" s="2" t="s">
        <v>0</v>
      </c>
      <c r="AU692" s="1">
        <f t="shared" si="85"/>
        <v>0.60954370820241599</v>
      </c>
      <c r="AV692" s="1">
        <f t="shared" si="86"/>
        <v>0.47489908851742307</v>
      </c>
      <c r="AW692" s="1">
        <f t="shared" si="87"/>
        <v>0.34025446883243005</v>
      </c>
    </row>
    <row r="693" spans="1:49" x14ac:dyDescent="0.2">
      <c r="A693">
        <v>691</v>
      </c>
      <c r="B693" t="s">
        <v>1295</v>
      </c>
      <c r="C693" t="s">
        <v>1294</v>
      </c>
      <c r="F693" t="s">
        <v>1293</v>
      </c>
      <c r="G693" t="s">
        <v>6</v>
      </c>
      <c r="H693" t="s">
        <v>5</v>
      </c>
      <c r="I693" t="s">
        <v>1292</v>
      </c>
      <c r="J693">
        <v>60011357</v>
      </c>
      <c r="K693" t="s">
        <v>218</v>
      </c>
      <c r="L693" t="s">
        <v>217</v>
      </c>
      <c r="M693" t="s">
        <v>133</v>
      </c>
      <c r="N693">
        <v>2</v>
      </c>
      <c r="O693" t="s">
        <v>1291</v>
      </c>
      <c r="P693" t="s">
        <v>1290</v>
      </c>
      <c r="Q693" t="s">
        <v>216</v>
      </c>
      <c r="R693" s="7">
        <v>36346</v>
      </c>
      <c r="S693" s="8">
        <f t="shared" si="80"/>
        <v>1999</v>
      </c>
      <c r="T693" s="8">
        <v>1999</v>
      </c>
      <c r="U693" s="8">
        <f t="shared" si="81"/>
        <v>23</v>
      </c>
      <c r="V693" s="7">
        <v>36346</v>
      </c>
      <c r="W693" t="s">
        <v>162</v>
      </c>
      <c r="X693" s="2">
        <v>0.30399999999999999</v>
      </c>
      <c r="Y693" s="6">
        <f t="shared" si="82"/>
        <v>8.115106377299057E-3</v>
      </c>
      <c r="AA693">
        <v>8952477</v>
      </c>
      <c r="AB693">
        <v>12250</v>
      </c>
      <c r="AD693" t="s">
        <v>2</v>
      </c>
      <c r="AE693">
        <v>22</v>
      </c>
      <c r="AF693">
        <v>1</v>
      </c>
      <c r="AH693" t="s">
        <v>1289</v>
      </c>
      <c r="AI693" t="s">
        <v>1288</v>
      </c>
      <c r="AK693" t="s">
        <v>1287</v>
      </c>
      <c r="AL693">
        <v>12</v>
      </c>
      <c r="AM693" s="5">
        <f t="shared" si="83"/>
        <v>0.52173913043478259</v>
      </c>
      <c r="AN693" s="4">
        <f t="shared" si="84"/>
        <v>7.9021451031394564E-4</v>
      </c>
      <c r="AO693" s="3"/>
      <c r="AP693">
        <v>0</v>
      </c>
      <c r="AR693" t="s">
        <v>1</v>
      </c>
      <c r="AT693" s="2" t="s">
        <v>0</v>
      </c>
      <c r="AU693" s="1">
        <f t="shared" si="85"/>
        <v>0.59176388172035232</v>
      </c>
      <c r="AV693" s="1">
        <f t="shared" si="86"/>
        <v>0.44526604438065009</v>
      </c>
      <c r="AW693" s="1">
        <f t="shared" si="87"/>
        <v>0.29876820704094792</v>
      </c>
    </row>
    <row r="694" spans="1:49" x14ac:dyDescent="0.2">
      <c r="A694">
        <v>692</v>
      </c>
      <c r="B694" t="s">
        <v>1286</v>
      </c>
      <c r="C694" t="s">
        <v>1285</v>
      </c>
      <c r="F694" t="s">
        <v>1284</v>
      </c>
      <c r="G694" t="s">
        <v>6</v>
      </c>
      <c r="H694" t="s">
        <v>5</v>
      </c>
      <c r="I694" t="s">
        <v>229</v>
      </c>
      <c r="J694">
        <v>60015941</v>
      </c>
      <c r="K694" t="s">
        <v>483</v>
      </c>
      <c r="L694" t="s">
        <v>482</v>
      </c>
      <c r="M694" t="s">
        <v>3</v>
      </c>
      <c r="N694">
        <v>2</v>
      </c>
      <c r="O694" t="s">
        <v>1283</v>
      </c>
      <c r="P694" t="s">
        <v>228</v>
      </c>
      <c r="Q694" t="s">
        <v>1282</v>
      </c>
      <c r="R694" s="7">
        <v>36346</v>
      </c>
      <c r="S694" s="8">
        <f t="shared" si="80"/>
        <v>1999</v>
      </c>
      <c r="T694" s="8">
        <v>1999</v>
      </c>
      <c r="U694" s="8">
        <f t="shared" si="81"/>
        <v>23</v>
      </c>
      <c r="V694" s="7">
        <v>36346</v>
      </c>
      <c r="W694" t="s">
        <v>162</v>
      </c>
      <c r="X694" s="2">
        <v>0.30399999999999999</v>
      </c>
      <c r="Y694" s="6">
        <f t="shared" si="82"/>
        <v>8.115106377299057E-3</v>
      </c>
      <c r="AA694">
        <v>8952477</v>
      </c>
      <c r="AB694">
        <v>12250</v>
      </c>
      <c r="AD694" t="s">
        <v>2</v>
      </c>
      <c r="AE694">
        <v>22</v>
      </c>
      <c r="AF694">
        <v>1</v>
      </c>
      <c r="AH694" t="s">
        <v>1281</v>
      </c>
      <c r="AI694" t="s">
        <v>1280</v>
      </c>
      <c r="AK694" t="s">
        <v>1279</v>
      </c>
      <c r="AL694">
        <v>9</v>
      </c>
      <c r="AM694" s="5">
        <f t="shared" si="83"/>
        <v>0.39130434782608697</v>
      </c>
      <c r="AN694" s="4">
        <f t="shared" si="84"/>
        <v>5.9266088273545923E-4</v>
      </c>
      <c r="AO694" s="3"/>
      <c r="AP694">
        <v>0</v>
      </c>
      <c r="AR694" t="s">
        <v>1</v>
      </c>
      <c r="AT694" s="2" t="s">
        <v>0</v>
      </c>
      <c r="AU694" s="1">
        <f t="shared" si="85"/>
        <v>0.5858372728929977</v>
      </c>
      <c r="AV694" s="1">
        <f t="shared" si="86"/>
        <v>0.43538836300172584</v>
      </c>
      <c r="AW694" s="1">
        <f t="shared" si="87"/>
        <v>0.28493945311045388</v>
      </c>
    </row>
    <row r="695" spans="1:49" x14ac:dyDescent="0.2">
      <c r="A695">
        <v>693</v>
      </c>
      <c r="B695" t="s">
        <v>1278</v>
      </c>
      <c r="C695" t="s">
        <v>1277</v>
      </c>
      <c r="F695" t="s">
        <v>1276</v>
      </c>
      <c r="G695" t="s">
        <v>6</v>
      </c>
      <c r="H695" t="s">
        <v>5</v>
      </c>
      <c r="I695" t="s">
        <v>1275</v>
      </c>
      <c r="J695">
        <v>60024872</v>
      </c>
      <c r="K695" t="s">
        <v>260</v>
      </c>
      <c r="L695" t="s">
        <v>259</v>
      </c>
      <c r="M695" t="s">
        <v>45</v>
      </c>
      <c r="N695">
        <v>3</v>
      </c>
      <c r="O695" t="s">
        <v>1274</v>
      </c>
      <c r="P695" t="s">
        <v>1273</v>
      </c>
      <c r="Q695" t="s">
        <v>1272</v>
      </c>
      <c r="R695" s="7">
        <v>36346</v>
      </c>
      <c r="S695" s="8">
        <f t="shared" si="80"/>
        <v>1999</v>
      </c>
      <c r="T695" s="8">
        <v>1999</v>
      </c>
      <c r="U695" s="8">
        <f t="shared" si="81"/>
        <v>23</v>
      </c>
      <c r="V695" s="7">
        <v>36346</v>
      </c>
      <c r="W695" t="s">
        <v>162</v>
      </c>
      <c r="X695" s="2">
        <v>0.30399999999999999</v>
      </c>
      <c r="Y695" s="6">
        <f t="shared" si="82"/>
        <v>8.115106377299057E-3</v>
      </c>
      <c r="AA695">
        <v>8952477</v>
      </c>
      <c r="AB695">
        <v>12250</v>
      </c>
      <c r="AD695" t="s">
        <v>2</v>
      </c>
      <c r="AE695">
        <v>22</v>
      </c>
      <c r="AF695">
        <v>1</v>
      </c>
      <c r="AH695" t="s">
        <v>1271</v>
      </c>
      <c r="AI695" t="s">
        <v>1270</v>
      </c>
      <c r="AK695" t="s">
        <v>1269</v>
      </c>
      <c r="AL695">
        <v>0</v>
      </c>
      <c r="AM695" s="5">
        <f t="shared" si="83"/>
        <v>0</v>
      </c>
      <c r="AN695" s="4">
        <f t="shared" si="84"/>
        <v>0</v>
      </c>
      <c r="AO695" s="3"/>
      <c r="AP695">
        <v>0</v>
      </c>
      <c r="AR695" t="s">
        <v>1</v>
      </c>
      <c r="AT695" s="2" t="s">
        <v>0</v>
      </c>
      <c r="AU695" s="1">
        <f t="shared" si="85"/>
        <v>0.56805744641093392</v>
      </c>
      <c r="AV695" s="1">
        <f t="shared" si="86"/>
        <v>0.40575531886495286</v>
      </c>
      <c r="AW695" s="1">
        <f t="shared" si="87"/>
        <v>0.24345319131897172</v>
      </c>
    </row>
    <row r="696" spans="1:49" x14ac:dyDescent="0.2">
      <c r="A696">
        <v>694</v>
      </c>
      <c r="B696" t="s">
        <v>1268</v>
      </c>
      <c r="C696" t="s">
        <v>1267</v>
      </c>
      <c r="F696" t="s">
        <v>1266</v>
      </c>
      <c r="G696" t="s">
        <v>6</v>
      </c>
      <c r="H696" t="s">
        <v>5</v>
      </c>
      <c r="I696" t="s">
        <v>792</v>
      </c>
      <c r="J696" t="s">
        <v>1265</v>
      </c>
      <c r="K696" t="s">
        <v>1264</v>
      </c>
      <c r="L696" t="s">
        <v>1263</v>
      </c>
      <c r="M696" t="s">
        <v>30</v>
      </c>
      <c r="N696">
        <v>3</v>
      </c>
      <c r="O696" t="s">
        <v>1262</v>
      </c>
      <c r="P696" t="s">
        <v>1261</v>
      </c>
      <c r="Q696" t="s">
        <v>1260</v>
      </c>
      <c r="R696" s="7">
        <v>36346</v>
      </c>
      <c r="S696" s="8">
        <f t="shared" si="80"/>
        <v>1999</v>
      </c>
      <c r="T696" s="8">
        <v>1999</v>
      </c>
      <c r="U696" s="8">
        <f t="shared" si="81"/>
        <v>23</v>
      </c>
      <c r="V696" s="7">
        <v>36346</v>
      </c>
      <c r="W696" t="s">
        <v>162</v>
      </c>
      <c r="X696" s="2">
        <v>0.30399999999999999</v>
      </c>
      <c r="Y696" s="6">
        <f t="shared" si="82"/>
        <v>8.115106377299057E-3</v>
      </c>
      <c r="AA696">
        <v>8952477</v>
      </c>
      <c r="AB696">
        <v>12250</v>
      </c>
      <c r="AD696" t="s">
        <v>2</v>
      </c>
      <c r="AE696">
        <v>22</v>
      </c>
      <c r="AF696">
        <v>1</v>
      </c>
      <c r="AH696" t="s">
        <v>1259</v>
      </c>
      <c r="AI696" t="s">
        <v>1258</v>
      </c>
      <c r="AK696" t="s">
        <v>1257</v>
      </c>
      <c r="AL696">
        <v>8</v>
      </c>
      <c r="AM696" s="5">
        <f t="shared" si="83"/>
        <v>0.34782608695652173</v>
      </c>
      <c r="AN696" s="4">
        <f t="shared" si="84"/>
        <v>5.2680967354263046E-4</v>
      </c>
      <c r="AO696" s="3"/>
      <c r="AP696">
        <v>0</v>
      </c>
      <c r="AR696" t="s">
        <v>1</v>
      </c>
      <c r="AT696" s="2" t="s">
        <v>0</v>
      </c>
      <c r="AU696" s="1">
        <f t="shared" si="85"/>
        <v>0.58386173661721286</v>
      </c>
      <c r="AV696" s="1">
        <f t="shared" si="86"/>
        <v>0.43209580254208441</v>
      </c>
      <c r="AW696" s="1">
        <f t="shared" si="87"/>
        <v>0.28032986846695584</v>
      </c>
    </row>
    <row r="697" spans="1:49" x14ac:dyDescent="0.2">
      <c r="A697">
        <v>695</v>
      </c>
      <c r="B697" t="s">
        <v>1256</v>
      </c>
      <c r="F697" t="s">
        <v>1255</v>
      </c>
      <c r="G697" t="s">
        <v>6</v>
      </c>
      <c r="H697" t="s">
        <v>5</v>
      </c>
      <c r="I697" t="s">
        <v>1254</v>
      </c>
      <c r="J697">
        <v>60017681</v>
      </c>
      <c r="K697" t="s">
        <v>406</v>
      </c>
      <c r="L697" t="s">
        <v>148</v>
      </c>
      <c r="M697" t="s">
        <v>67</v>
      </c>
      <c r="N697">
        <v>1</v>
      </c>
      <c r="O697" t="s">
        <v>1253</v>
      </c>
      <c r="P697">
        <v>7005738258</v>
      </c>
      <c r="Q697">
        <v>60017681</v>
      </c>
      <c r="R697" s="7">
        <v>36343</v>
      </c>
      <c r="S697" s="8">
        <f t="shared" si="80"/>
        <v>1999</v>
      </c>
      <c r="T697" s="8">
        <v>1999</v>
      </c>
      <c r="U697" s="8">
        <f t="shared" si="81"/>
        <v>23</v>
      </c>
      <c r="V697" s="7">
        <v>36343</v>
      </c>
      <c r="W697" t="s">
        <v>1252</v>
      </c>
      <c r="X697" s="2">
        <v>0.45100000000000001</v>
      </c>
      <c r="Y697" s="6">
        <f t="shared" si="82"/>
        <v>1.2039187421585116E-2</v>
      </c>
      <c r="AA697">
        <v>2172445</v>
      </c>
      <c r="AB697">
        <v>23362</v>
      </c>
      <c r="AD697" t="s">
        <v>2</v>
      </c>
      <c r="AE697">
        <v>47</v>
      </c>
      <c r="AF697">
        <v>1</v>
      </c>
      <c r="AH697" t="s">
        <v>1251</v>
      </c>
      <c r="AI697" t="s">
        <v>1250</v>
      </c>
      <c r="AJ697" t="s">
        <v>1249</v>
      </c>
      <c r="AK697" t="s">
        <v>1248</v>
      </c>
      <c r="AL697">
        <v>3</v>
      </c>
      <c r="AM697" s="5">
        <f t="shared" si="83"/>
        <v>0.13043478260869565</v>
      </c>
      <c r="AN697" s="4">
        <f t="shared" si="84"/>
        <v>1.9755362757848641E-4</v>
      </c>
      <c r="AO697" s="3"/>
      <c r="AP697">
        <v>0</v>
      </c>
      <c r="AR697" t="s">
        <v>1</v>
      </c>
      <c r="AT697" s="2">
        <v>1.2669999999999999</v>
      </c>
      <c r="AU697" s="1">
        <f t="shared" si="85"/>
        <v>0.84866972833831256</v>
      </c>
      <c r="AV697" s="1">
        <f t="shared" si="86"/>
        <v>0.6118370524581801</v>
      </c>
      <c r="AW697" s="1">
        <f t="shared" si="87"/>
        <v>0.37500437657804747</v>
      </c>
    </row>
    <row r="698" spans="1:49" x14ac:dyDescent="0.2">
      <c r="A698">
        <v>696</v>
      </c>
      <c r="B698" t="s">
        <v>1247</v>
      </c>
      <c r="C698" t="s">
        <v>1246</v>
      </c>
      <c r="E698">
        <v>10467039</v>
      </c>
      <c r="F698" t="s">
        <v>1245</v>
      </c>
      <c r="G698" t="s">
        <v>6</v>
      </c>
      <c r="H698" t="s">
        <v>5</v>
      </c>
      <c r="I698" t="s">
        <v>1244</v>
      </c>
      <c r="J698" t="s">
        <v>1243</v>
      </c>
      <c r="K698" t="s">
        <v>1242</v>
      </c>
      <c r="L698" t="s">
        <v>1241</v>
      </c>
      <c r="M698" t="s">
        <v>1240</v>
      </c>
      <c r="N698">
        <v>7</v>
      </c>
      <c r="O698" t="s">
        <v>1239</v>
      </c>
      <c r="P698" t="s">
        <v>1238</v>
      </c>
      <c r="Q698" t="s">
        <v>1237</v>
      </c>
      <c r="R698" s="7">
        <v>36342</v>
      </c>
      <c r="S698" s="8">
        <f t="shared" si="80"/>
        <v>1999</v>
      </c>
      <c r="T698" s="8">
        <v>1999</v>
      </c>
      <c r="U698" s="8">
        <f t="shared" si="81"/>
        <v>23</v>
      </c>
      <c r="V698" s="7">
        <v>36342</v>
      </c>
      <c r="W698" t="s">
        <v>460</v>
      </c>
      <c r="X698" s="2">
        <v>1.2529999999999999</v>
      </c>
      <c r="Y698" s="6">
        <f t="shared" si="82"/>
        <v>3.3448119377485916E-2</v>
      </c>
      <c r="AA698">
        <v>320935</v>
      </c>
      <c r="AB698">
        <v>16646</v>
      </c>
      <c r="AD698" t="s">
        <v>2</v>
      </c>
      <c r="AE698">
        <v>209</v>
      </c>
      <c r="AF698">
        <v>1</v>
      </c>
      <c r="AH698" t="s">
        <v>1236</v>
      </c>
      <c r="AI698" t="s">
        <v>1235</v>
      </c>
      <c r="AJ698" t="s">
        <v>1234</v>
      </c>
      <c r="AK698" t="s">
        <v>1233</v>
      </c>
      <c r="AL698">
        <v>68</v>
      </c>
      <c r="AM698" s="5">
        <f t="shared" si="83"/>
        <v>2.9565217391304346</v>
      </c>
      <c r="AN698" s="4">
        <f t="shared" si="84"/>
        <v>4.4778822251123583E-3</v>
      </c>
      <c r="AO698" s="3"/>
      <c r="AP698">
        <v>0</v>
      </c>
      <c r="AQ698" t="s">
        <v>424</v>
      </c>
      <c r="AR698" t="s">
        <v>1232</v>
      </c>
      <c r="AS698" t="s">
        <v>423</v>
      </c>
      <c r="AT698" s="2">
        <v>4.1159999999999997</v>
      </c>
      <c r="AU698" s="1">
        <f t="shared" si="85"/>
        <v>2.4757048231773848</v>
      </c>
      <c r="AV698" s="1">
        <f t="shared" si="86"/>
        <v>1.8963000801299139</v>
      </c>
      <c r="AW698" s="1">
        <f t="shared" si="87"/>
        <v>1.3168953370824423</v>
      </c>
    </row>
    <row r="699" spans="1:49" x14ac:dyDescent="0.2">
      <c r="A699">
        <v>697</v>
      </c>
      <c r="B699" t="s">
        <v>1231</v>
      </c>
      <c r="C699" t="s">
        <v>1230</v>
      </c>
      <c r="F699" t="s">
        <v>1229</v>
      </c>
      <c r="G699" t="s">
        <v>6</v>
      </c>
      <c r="H699" t="s">
        <v>5</v>
      </c>
      <c r="I699" t="s">
        <v>1228</v>
      </c>
      <c r="J699">
        <v>60028333</v>
      </c>
      <c r="K699" t="s">
        <v>772</v>
      </c>
      <c r="L699" t="s">
        <v>148</v>
      </c>
      <c r="M699" t="s">
        <v>67</v>
      </c>
      <c r="N699">
        <v>2</v>
      </c>
      <c r="O699" t="s">
        <v>1227</v>
      </c>
      <c r="P699" t="s">
        <v>1226</v>
      </c>
      <c r="Q699" t="s">
        <v>771</v>
      </c>
      <c r="R699" s="7">
        <v>36342</v>
      </c>
      <c r="S699" s="8">
        <f t="shared" si="80"/>
        <v>1999</v>
      </c>
      <c r="T699" s="8">
        <v>1999</v>
      </c>
      <c r="U699" s="8">
        <f t="shared" si="81"/>
        <v>23</v>
      </c>
      <c r="V699" s="7">
        <v>36342</v>
      </c>
      <c r="W699" t="s">
        <v>641</v>
      </c>
      <c r="X699" s="2">
        <v>1.4950000000000001</v>
      </c>
      <c r="Y699" s="6">
        <f t="shared" si="82"/>
        <v>3.9908171164677937E-2</v>
      </c>
      <c r="AA699">
        <v>10805370</v>
      </c>
      <c r="AB699">
        <v>144827</v>
      </c>
      <c r="AC699">
        <v>15211886</v>
      </c>
      <c r="AD699" t="s">
        <v>2</v>
      </c>
      <c r="AE699">
        <v>3</v>
      </c>
      <c r="AF699">
        <v>1</v>
      </c>
      <c r="AH699" s="10">
        <v>44535</v>
      </c>
      <c r="AI699" t="s">
        <v>1225</v>
      </c>
      <c r="AJ699" t="s">
        <v>1224</v>
      </c>
      <c r="AK699" t="s">
        <v>1223</v>
      </c>
      <c r="AL699">
        <v>24</v>
      </c>
      <c r="AM699" s="5">
        <f t="shared" si="83"/>
        <v>1.0434782608695652</v>
      </c>
      <c r="AN699" s="4">
        <f t="shared" si="84"/>
        <v>1.5804290206278913E-3</v>
      </c>
      <c r="AO699" s="3"/>
      <c r="AP699">
        <v>0</v>
      </c>
      <c r="AR699" t="s">
        <v>1</v>
      </c>
      <c r="AT699" s="2">
        <v>4.0659999999999998</v>
      </c>
      <c r="AU699" s="1">
        <f t="shared" si="85"/>
        <v>2.8409848521462924</v>
      </c>
      <c r="AV699" s="1">
        <f t="shared" si="86"/>
        <v>2.0744300092652912</v>
      </c>
      <c r="AW699" s="1">
        <f t="shared" si="87"/>
        <v>1.3078751663842905</v>
      </c>
    </row>
    <row r="700" spans="1:49" x14ac:dyDescent="0.2">
      <c r="A700">
        <v>698</v>
      </c>
      <c r="B700" t="s">
        <v>1222</v>
      </c>
      <c r="C700" t="s">
        <v>1221</v>
      </c>
      <c r="F700" t="s">
        <v>1220</v>
      </c>
      <c r="G700" t="s">
        <v>6</v>
      </c>
      <c r="H700" t="s">
        <v>5</v>
      </c>
      <c r="I700" t="s">
        <v>1219</v>
      </c>
      <c r="J700">
        <v>121400621</v>
      </c>
      <c r="K700" t="s">
        <v>1218</v>
      </c>
      <c r="L700" t="s">
        <v>206</v>
      </c>
      <c r="M700" t="s">
        <v>3</v>
      </c>
      <c r="N700">
        <v>1</v>
      </c>
      <c r="O700" t="s">
        <v>1217</v>
      </c>
      <c r="P700">
        <v>7004123800</v>
      </c>
      <c r="Q700">
        <v>121400621</v>
      </c>
      <c r="R700" s="7">
        <v>36342</v>
      </c>
      <c r="S700" s="8">
        <f t="shared" si="80"/>
        <v>1999</v>
      </c>
      <c r="T700" s="8">
        <v>1999</v>
      </c>
      <c r="U700" s="8">
        <f t="shared" si="81"/>
        <v>23</v>
      </c>
      <c r="V700" s="7">
        <v>36342</v>
      </c>
      <c r="W700" t="s">
        <v>641</v>
      </c>
      <c r="X700" s="2">
        <v>1.4950000000000001</v>
      </c>
      <c r="Y700" s="6">
        <f t="shared" si="82"/>
        <v>3.9908171164677937E-2</v>
      </c>
      <c r="AA700">
        <v>10805370</v>
      </c>
      <c r="AB700">
        <v>144827</v>
      </c>
      <c r="AC700">
        <v>15211886</v>
      </c>
      <c r="AD700" t="s">
        <v>2</v>
      </c>
      <c r="AE700">
        <v>3</v>
      </c>
      <c r="AF700">
        <v>1</v>
      </c>
      <c r="AH700" t="s">
        <v>1216</v>
      </c>
      <c r="AI700" t="s">
        <v>1215</v>
      </c>
      <c r="AJ700" t="s">
        <v>1214</v>
      </c>
      <c r="AK700" t="s">
        <v>1213</v>
      </c>
      <c r="AL700">
        <v>113</v>
      </c>
      <c r="AM700" s="5">
        <f t="shared" si="83"/>
        <v>4.9130434782608692</v>
      </c>
      <c r="AN700" s="4">
        <f t="shared" si="84"/>
        <v>7.4411866387896538E-3</v>
      </c>
      <c r="AO700" s="3"/>
      <c r="AP700">
        <v>0</v>
      </c>
      <c r="AR700" t="s">
        <v>1</v>
      </c>
      <c r="AT700" s="2">
        <v>4.0659999999999998</v>
      </c>
      <c r="AU700" s="1">
        <f t="shared" si="85"/>
        <v>3.016807580691145</v>
      </c>
      <c r="AV700" s="1">
        <f t="shared" si="86"/>
        <v>2.3674678901733794</v>
      </c>
      <c r="AW700" s="1">
        <f t="shared" si="87"/>
        <v>1.7181281996556139</v>
      </c>
    </row>
    <row r="701" spans="1:49" x14ac:dyDescent="0.2">
      <c r="A701">
        <v>699</v>
      </c>
      <c r="B701" t="s">
        <v>1212</v>
      </c>
      <c r="C701" t="s">
        <v>1211</v>
      </c>
      <c r="F701" t="s">
        <v>1210</v>
      </c>
      <c r="G701" t="s">
        <v>6</v>
      </c>
      <c r="H701" t="s">
        <v>5</v>
      </c>
      <c r="I701" t="s">
        <v>1209</v>
      </c>
      <c r="J701">
        <v>60008279</v>
      </c>
      <c r="K701" t="s">
        <v>1208</v>
      </c>
      <c r="L701" t="s">
        <v>1207</v>
      </c>
      <c r="M701" t="s">
        <v>3</v>
      </c>
      <c r="N701">
        <v>2</v>
      </c>
      <c r="O701" t="s">
        <v>1206</v>
      </c>
      <c r="P701" t="s">
        <v>1205</v>
      </c>
      <c r="Q701" t="s">
        <v>1204</v>
      </c>
      <c r="R701" s="7">
        <v>36342</v>
      </c>
      <c r="S701" s="8">
        <f t="shared" si="80"/>
        <v>1999</v>
      </c>
      <c r="T701" s="8">
        <v>1999</v>
      </c>
      <c r="U701" s="8">
        <f t="shared" si="81"/>
        <v>23</v>
      </c>
      <c r="V701" s="7">
        <v>36342</v>
      </c>
      <c r="W701" t="s">
        <v>641</v>
      </c>
      <c r="X701" s="2">
        <v>1.4950000000000001</v>
      </c>
      <c r="Y701" s="6">
        <f t="shared" si="82"/>
        <v>3.9908171164677937E-2</v>
      </c>
      <c r="AA701">
        <v>10805370</v>
      </c>
      <c r="AB701">
        <v>144827</v>
      </c>
      <c r="AC701">
        <v>15211886</v>
      </c>
      <c r="AD701" t="s">
        <v>2</v>
      </c>
      <c r="AE701">
        <v>3</v>
      </c>
      <c r="AF701">
        <v>1</v>
      </c>
      <c r="AH701" t="s">
        <v>1203</v>
      </c>
      <c r="AI701" t="s">
        <v>1202</v>
      </c>
      <c r="AJ701" t="s">
        <v>1201</v>
      </c>
      <c r="AK701" t="s">
        <v>1200</v>
      </c>
      <c r="AL701">
        <v>9</v>
      </c>
      <c r="AM701" s="5">
        <f t="shared" si="83"/>
        <v>0.39130434782608697</v>
      </c>
      <c r="AN701" s="4">
        <f t="shared" si="84"/>
        <v>5.9266088273545923E-4</v>
      </c>
      <c r="AO701" s="3"/>
      <c r="AP701">
        <v>0</v>
      </c>
      <c r="AQ701" t="s">
        <v>1199</v>
      </c>
      <c r="AR701" t="s">
        <v>1</v>
      </c>
      <c r="AS701" t="s">
        <v>1198</v>
      </c>
      <c r="AT701" s="2">
        <v>4.0659999999999998</v>
      </c>
      <c r="AU701" s="1">
        <f t="shared" si="85"/>
        <v>2.811351808009519</v>
      </c>
      <c r="AV701" s="1">
        <f t="shared" si="86"/>
        <v>2.0250416023706697</v>
      </c>
      <c r="AW701" s="1">
        <f t="shared" si="87"/>
        <v>1.2387313967318203</v>
      </c>
    </row>
    <row r="702" spans="1:49" x14ac:dyDescent="0.2">
      <c r="A702">
        <v>700</v>
      </c>
      <c r="B702" t="s">
        <v>1197</v>
      </c>
      <c r="C702" t="s">
        <v>1196</v>
      </c>
      <c r="F702" t="s">
        <v>1195</v>
      </c>
      <c r="G702" t="s">
        <v>6</v>
      </c>
      <c r="H702" t="s">
        <v>5</v>
      </c>
      <c r="I702" t="s">
        <v>1194</v>
      </c>
      <c r="J702">
        <v>60008447</v>
      </c>
      <c r="K702" t="s">
        <v>849</v>
      </c>
      <c r="L702" t="s">
        <v>848</v>
      </c>
      <c r="M702" t="s">
        <v>47</v>
      </c>
      <c r="N702">
        <v>3</v>
      </c>
      <c r="O702" t="s">
        <v>1193</v>
      </c>
      <c r="P702" t="s">
        <v>1192</v>
      </c>
      <c r="Q702" t="s">
        <v>847</v>
      </c>
      <c r="R702" s="7">
        <v>36342</v>
      </c>
      <c r="S702" s="8">
        <f t="shared" si="80"/>
        <v>1999</v>
      </c>
      <c r="T702" s="8">
        <v>1999</v>
      </c>
      <c r="U702" s="8">
        <f t="shared" si="81"/>
        <v>23</v>
      </c>
      <c r="V702" s="7">
        <v>36342</v>
      </c>
      <c r="W702" t="s">
        <v>744</v>
      </c>
      <c r="X702" s="2" t="s">
        <v>0</v>
      </c>
      <c r="Y702" s="6" t="e">
        <f t="shared" si="82"/>
        <v>#VALUE!</v>
      </c>
      <c r="AA702">
        <v>14644258</v>
      </c>
      <c r="AB702">
        <v>12205</v>
      </c>
      <c r="AD702" t="s">
        <v>2</v>
      </c>
      <c r="AE702">
        <v>1</v>
      </c>
      <c r="AF702">
        <v>4</v>
      </c>
      <c r="AH702" t="s">
        <v>1191</v>
      </c>
      <c r="AI702" t="s">
        <v>1190</v>
      </c>
      <c r="AK702" t="s">
        <v>1189</v>
      </c>
      <c r="AL702">
        <v>12</v>
      </c>
      <c r="AM702" s="5">
        <f t="shared" si="83"/>
        <v>0.52173913043478259</v>
      </c>
      <c r="AN702" s="4">
        <f t="shared" si="84"/>
        <v>7.9021451031394564E-4</v>
      </c>
      <c r="AO702" s="3"/>
      <c r="AP702">
        <v>0</v>
      </c>
      <c r="AR702" t="s">
        <v>1</v>
      </c>
      <c r="AT702" s="2" t="s">
        <v>0</v>
      </c>
      <c r="AU702" s="1" t="e">
        <f t="shared" si="85"/>
        <v>#VALUE!</v>
      </c>
      <c r="AV702" s="1" t="e">
        <f t="shared" si="86"/>
        <v>#VALUE!</v>
      </c>
      <c r="AW702" s="1" t="e">
        <f t="shared" si="87"/>
        <v>#VALUE!</v>
      </c>
    </row>
    <row r="703" spans="1:49" x14ac:dyDescent="0.2">
      <c r="A703">
        <v>701</v>
      </c>
      <c r="B703" t="s">
        <v>1188</v>
      </c>
      <c r="F703" t="s">
        <v>1187</v>
      </c>
      <c r="G703" t="s">
        <v>6</v>
      </c>
      <c r="H703" t="s">
        <v>5</v>
      </c>
      <c r="I703" t="s">
        <v>1186</v>
      </c>
      <c r="N703">
        <v>2</v>
      </c>
      <c r="O703" t="s">
        <v>1185</v>
      </c>
      <c r="P703" t="s">
        <v>1184</v>
      </c>
      <c r="Q703" t="s">
        <v>85</v>
      </c>
      <c r="R703" s="7">
        <v>36342</v>
      </c>
      <c r="S703" s="8">
        <f t="shared" si="80"/>
        <v>1999</v>
      </c>
      <c r="T703" s="8">
        <v>1999</v>
      </c>
      <c r="U703" s="8">
        <f t="shared" si="81"/>
        <v>23</v>
      </c>
      <c r="V703" s="7">
        <v>36342</v>
      </c>
      <c r="W703" t="s">
        <v>617</v>
      </c>
      <c r="X703" s="2">
        <v>0.29499999999999998</v>
      </c>
      <c r="Y703" s="6">
        <f t="shared" si="82"/>
        <v>7.8748565174448087E-3</v>
      </c>
      <c r="AA703">
        <v>10642269</v>
      </c>
      <c r="AB703">
        <v>19554</v>
      </c>
      <c r="AD703" t="s">
        <v>2</v>
      </c>
      <c r="AE703">
        <v>44</v>
      </c>
      <c r="AF703">
        <v>7</v>
      </c>
      <c r="AH703" t="s">
        <v>1183</v>
      </c>
      <c r="AI703" t="s">
        <v>1182</v>
      </c>
      <c r="AK703" t="s">
        <v>1181</v>
      </c>
      <c r="AL703">
        <v>1</v>
      </c>
      <c r="AM703" s="5">
        <f t="shared" si="83"/>
        <v>4.3478260869565216E-2</v>
      </c>
      <c r="AN703" s="4">
        <f t="shared" si="84"/>
        <v>6.5851209192828807E-5</v>
      </c>
      <c r="AO703" s="3"/>
      <c r="AP703">
        <v>0</v>
      </c>
      <c r="AR703" t="s">
        <v>1</v>
      </c>
      <c r="AT703" s="2" t="s">
        <v>0</v>
      </c>
      <c r="AU703" s="1">
        <f t="shared" si="85"/>
        <v>0.55321549249692137</v>
      </c>
      <c r="AV703" s="1">
        <f t="shared" si="86"/>
        <v>0.39703538633188185</v>
      </c>
      <c r="AW703" s="1">
        <f t="shared" si="87"/>
        <v>0.24085528016684227</v>
      </c>
    </row>
    <row r="704" spans="1:49" x14ac:dyDescent="0.2">
      <c r="A704">
        <v>702</v>
      </c>
      <c r="B704" t="s">
        <v>1180</v>
      </c>
      <c r="F704" t="s">
        <v>1179</v>
      </c>
      <c r="G704" t="s">
        <v>6</v>
      </c>
      <c r="H704" t="s">
        <v>5</v>
      </c>
      <c r="I704" t="s">
        <v>1178</v>
      </c>
      <c r="N704">
        <v>1</v>
      </c>
      <c r="O704" t="s">
        <v>1177</v>
      </c>
      <c r="P704">
        <v>6603584865</v>
      </c>
      <c r="R704" s="7">
        <v>36342</v>
      </c>
      <c r="S704" s="8">
        <f t="shared" si="80"/>
        <v>1999</v>
      </c>
      <c r="T704" s="8">
        <v>1999</v>
      </c>
      <c r="U704" s="8">
        <f t="shared" si="81"/>
        <v>23</v>
      </c>
      <c r="V704" s="7">
        <v>36342</v>
      </c>
      <c r="W704" t="s">
        <v>617</v>
      </c>
      <c r="X704" s="2">
        <v>0.29499999999999998</v>
      </c>
      <c r="Y704" s="6">
        <f t="shared" si="82"/>
        <v>7.8748565174448087E-3</v>
      </c>
      <c r="AA704">
        <v>10642269</v>
      </c>
      <c r="AB704">
        <v>19554</v>
      </c>
      <c r="AD704" t="s">
        <v>2</v>
      </c>
      <c r="AE704">
        <v>44</v>
      </c>
      <c r="AF704">
        <v>7</v>
      </c>
      <c r="AH704" t="s">
        <v>1176</v>
      </c>
      <c r="AI704" t="s">
        <v>1175</v>
      </c>
      <c r="AK704" t="s">
        <v>1174</v>
      </c>
      <c r="AL704">
        <v>1</v>
      </c>
      <c r="AM704" s="5">
        <f t="shared" si="83"/>
        <v>4.3478260869565216E-2</v>
      </c>
      <c r="AN704" s="4">
        <f t="shared" si="84"/>
        <v>6.5851209192828807E-5</v>
      </c>
      <c r="AO704" s="3"/>
      <c r="AP704">
        <v>0</v>
      </c>
      <c r="AR704" t="s">
        <v>1</v>
      </c>
      <c r="AT704" s="2" t="s">
        <v>0</v>
      </c>
      <c r="AU704" s="1">
        <f t="shared" si="85"/>
        <v>0.55321549249692137</v>
      </c>
      <c r="AV704" s="1">
        <f t="shared" si="86"/>
        <v>0.39703538633188185</v>
      </c>
      <c r="AW704" s="1">
        <f t="shared" si="87"/>
        <v>0.24085528016684227</v>
      </c>
    </row>
    <row r="705" spans="1:49" x14ac:dyDescent="0.2">
      <c r="A705">
        <v>703</v>
      </c>
      <c r="B705" t="s">
        <v>1173</v>
      </c>
      <c r="C705" t="s">
        <v>1172</v>
      </c>
      <c r="F705" t="s">
        <v>1171</v>
      </c>
      <c r="G705" t="s">
        <v>6</v>
      </c>
      <c r="H705" t="s">
        <v>5</v>
      </c>
      <c r="I705" t="s">
        <v>1170</v>
      </c>
      <c r="J705">
        <v>60013682</v>
      </c>
      <c r="K705" t="s">
        <v>119</v>
      </c>
      <c r="L705" t="s">
        <v>259</v>
      </c>
      <c r="M705" t="s">
        <v>45</v>
      </c>
      <c r="N705">
        <v>2</v>
      </c>
      <c r="O705" t="s">
        <v>1169</v>
      </c>
      <c r="P705" t="s">
        <v>1168</v>
      </c>
      <c r="Q705" t="s">
        <v>569</v>
      </c>
      <c r="R705" s="7">
        <v>36342</v>
      </c>
      <c r="S705" s="8">
        <f t="shared" si="80"/>
        <v>1999</v>
      </c>
      <c r="T705" s="8">
        <v>1999</v>
      </c>
      <c r="U705" s="8">
        <f t="shared" si="81"/>
        <v>23</v>
      </c>
      <c r="V705" s="7">
        <v>36342</v>
      </c>
      <c r="W705" t="s">
        <v>685</v>
      </c>
      <c r="X705" s="2">
        <v>0.92900000000000005</v>
      </c>
      <c r="Y705" s="6">
        <f t="shared" si="82"/>
        <v>2.4799124422732979E-2</v>
      </c>
      <c r="AA705">
        <v>10897798</v>
      </c>
      <c r="AB705">
        <v>18896</v>
      </c>
      <c r="AD705" t="s">
        <v>2</v>
      </c>
      <c r="AE705">
        <v>3</v>
      </c>
      <c r="AF705">
        <v>7</v>
      </c>
      <c r="AH705" t="s">
        <v>1167</v>
      </c>
      <c r="AI705" t="s">
        <v>1166</v>
      </c>
      <c r="AK705" t="s">
        <v>1165</v>
      </c>
      <c r="AL705">
        <v>16</v>
      </c>
      <c r="AM705" s="5">
        <f t="shared" si="83"/>
        <v>0.69565217391304346</v>
      </c>
      <c r="AN705" s="4">
        <f t="shared" si="84"/>
        <v>1.0536193470852609E-3</v>
      </c>
      <c r="AO705" s="3"/>
      <c r="AP705">
        <v>0</v>
      </c>
      <c r="AR705" t="s">
        <v>1</v>
      </c>
      <c r="AT705" s="2">
        <v>3.4359999999999999</v>
      </c>
      <c r="AU705" s="1">
        <f t="shared" si="85"/>
        <v>1.7675472900038662</v>
      </c>
      <c r="AV705" s="1">
        <f t="shared" si="86"/>
        <v>1.292637188490912</v>
      </c>
      <c r="AW705" s="1">
        <f t="shared" si="87"/>
        <v>0.81772708697795748</v>
      </c>
    </row>
    <row r="706" spans="1:49" x14ac:dyDescent="0.2">
      <c r="A706">
        <v>704</v>
      </c>
      <c r="B706" t="s">
        <v>1164</v>
      </c>
      <c r="F706" t="s">
        <v>1163</v>
      </c>
      <c r="G706" t="s">
        <v>6</v>
      </c>
      <c r="H706" t="s">
        <v>5</v>
      </c>
      <c r="I706" t="s">
        <v>1162</v>
      </c>
      <c r="J706">
        <v>60002306</v>
      </c>
      <c r="K706" t="s">
        <v>1161</v>
      </c>
      <c r="L706" t="s">
        <v>1160</v>
      </c>
      <c r="M706" t="s">
        <v>125</v>
      </c>
      <c r="N706">
        <v>4</v>
      </c>
      <c r="O706" t="s">
        <v>1159</v>
      </c>
      <c r="P706" t="s">
        <v>1158</v>
      </c>
      <c r="Q706" t="s">
        <v>1157</v>
      </c>
      <c r="R706" s="7">
        <v>36342</v>
      </c>
      <c r="S706" s="8">
        <f t="shared" ref="S706:S733" si="88">YEAR(R706)</f>
        <v>1999</v>
      </c>
      <c r="T706" s="8">
        <v>1999</v>
      </c>
      <c r="U706" s="8">
        <f t="shared" ref="U706:U733" si="89">2022-T706</f>
        <v>23</v>
      </c>
      <c r="V706" s="7">
        <v>36342</v>
      </c>
      <c r="W706" t="s">
        <v>247</v>
      </c>
      <c r="X706" s="2">
        <v>0.46400000000000002</v>
      </c>
      <c r="Y706" s="6">
        <f t="shared" ref="Y706:Y733" si="90">(X706-$Z$3)/($Z$2-$Z$3)</f>
        <v>1.2386214996930142E-2</v>
      </c>
      <c r="AA706">
        <v>8408688</v>
      </c>
      <c r="AB706">
        <v>26200</v>
      </c>
      <c r="AD706" t="s">
        <v>2</v>
      </c>
      <c r="AE706">
        <v>24</v>
      </c>
      <c r="AF706">
        <v>3</v>
      </c>
      <c r="AH706" t="s">
        <v>1156</v>
      </c>
      <c r="AI706" t="s">
        <v>1155</v>
      </c>
      <c r="AK706" t="s">
        <v>1154</v>
      </c>
      <c r="AL706">
        <v>4</v>
      </c>
      <c r="AM706" s="5">
        <f t="shared" ref="AM706:AM733" si="91">AL706/U706</f>
        <v>0.17391304347826086</v>
      </c>
      <c r="AN706" s="4">
        <f t="shared" ref="AN706:AN733" si="92">(AM706-$AO$3)/($AO$2-$AO$3)</f>
        <v>2.6340483677131523E-4</v>
      </c>
      <c r="AO706" s="3"/>
      <c r="AP706">
        <v>0</v>
      </c>
      <c r="AR706" t="s">
        <v>1</v>
      </c>
      <c r="AT706" s="2" t="s">
        <v>0</v>
      </c>
      <c r="AU706" s="1">
        <f t="shared" ref="AU706:AU733" si="93">(Y706*0.7+AN706*0.3)*100</f>
        <v>0.87493719488824939</v>
      </c>
      <c r="AV706" s="1">
        <f t="shared" ref="AV706:AV733" si="94">(Y706*0.5+AN706*0.5)*100</f>
        <v>0.63248099168507288</v>
      </c>
      <c r="AW706" s="1">
        <f t="shared" ref="AW706:AW733" si="95">(Y706*0.3+AN706*0.7)*100</f>
        <v>0.39002478848189631</v>
      </c>
    </row>
    <row r="707" spans="1:49" x14ac:dyDescent="0.2">
      <c r="A707">
        <v>705</v>
      </c>
      <c r="B707" t="s">
        <v>1153</v>
      </c>
      <c r="F707" t="s">
        <v>1152</v>
      </c>
      <c r="G707" t="s">
        <v>6</v>
      </c>
      <c r="H707" t="s">
        <v>5</v>
      </c>
      <c r="I707" t="s">
        <v>1151</v>
      </c>
      <c r="J707" t="s">
        <v>1150</v>
      </c>
      <c r="K707" t="s">
        <v>1149</v>
      </c>
      <c r="L707" t="s">
        <v>1148</v>
      </c>
      <c r="M707" t="s">
        <v>608</v>
      </c>
      <c r="N707">
        <v>7</v>
      </c>
      <c r="O707" t="s">
        <v>1147</v>
      </c>
      <c r="P707" t="s">
        <v>1146</v>
      </c>
      <c r="Q707" t="s">
        <v>1145</v>
      </c>
      <c r="R707" s="7">
        <v>36342</v>
      </c>
      <c r="S707" s="8">
        <f t="shared" si="88"/>
        <v>1999</v>
      </c>
      <c r="T707" s="8">
        <v>1999</v>
      </c>
      <c r="U707" s="8">
        <f t="shared" si="89"/>
        <v>23</v>
      </c>
      <c r="V707" s="7">
        <v>36342</v>
      </c>
      <c r="W707" t="s">
        <v>1144</v>
      </c>
      <c r="X707" s="2">
        <v>0.42099999999999999</v>
      </c>
      <c r="Y707" s="6">
        <f t="shared" si="90"/>
        <v>1.1238354555404288E-2</v>
      </c>
      <c r="AA707">
        <v>10214437</v>
      </c>
      <c r="AB707">
        <v>17169</v>
      </c>
      <c r="AD707" t="s">
        <v>2</v>
      </c>
      <c r="AE707">
        <v>46</v>
      </c>
      <c r="AF707">
        <v>4</v>
      </c>
      <c r="AH707" t="s">
        <v>1143</v>
      </c>
      <c r="AI707" t="s">
        <v>1142</v>
      </c>
      <c r="AJ707" t="s">
        <v>1141</v>
      </c>
      <c r="AK707" t="s">
        <v>1140</v>
      </c>
      <c r="AL707">
        <v>4</v>
      </c>
      <c r="AM707" s="5">
        <f t="shared" si="91"/>
        <v>0.17391304347826086</v>
      </c>
      <c r="AN707" s="4">
        <f t="shared" si="92"/>
        <v>2.6340483677131523E-4</v>
      </c>
      <c r="AO707" s="3"/>
      <c r="AP707">
        <v>0</v>
      </c>
      <c r="AR707" t="s">
        <v>1</v>
      </c>
      <c r="AT707" s="2">
        <v>1.4810000000000001</v>
      </c>
      <c r="AU707" s="1">
        <f t="shared" si="93"/>
        <v>0.79458696398143958</v>
      </c>
      <c r="AV707" s="1">
        <f t="shared" si="94"/>
        <v>0.57508796960878017</v>
      </c>
      <c r="AW707" s="1">
        <f t="shared" si="95"/>
        <v>0.35558897523612065</v>
      </c>
    </row>
    <row r="708" spans="1:49" x14ac:dyDescent="0.2">
      <c r="A708">
        <v>706</v>
      </c>
      <c r="B708" t="s">
        <v>1139</v>
      </c>
      <c r="F708" t="s">
        <v>1138</v>
      </c>
      <c r="G708" t="s">
        <v>6</v>
      </c>
      <c r="H708" t="s">
        <v>5</v>
      </c>
      <c r="I708" t="s">
        <v>1137</v>
      </c>
      <c r="N708">
        <v>1</v>
      </c>
      <c r="O708" t="s">
        <v>1136</v>
      </c>
      <c r="P708">
        <v>7003374097</v>
      </c>
      <c r="R708" s="7">
        <v>36342</v>
      </c>
      <c r="S708" s="8">
        <f t="shared" si="88"/>
        <v>1999</v>
      </c>
      <c r="T708" s="8">
        <v>1999</v>
      </c>
      <c r="U708" s="8">
        <f t="shared" si="89"/>
        <v>23</v>
      </c>
      <c r="V708" s="7">
        <v>36342</v>
      </c>
      <c r="W708" t="s">
        <v>1135</v>
      </c>
      <c r="X708" s="2">
        <v>0.371</v>
      </c>
      <c r="Y708" s="6">
        <f t="shared" si="90"/>
        <v>9.9036331117695747E-3</v>
      </c>
      <c r="AA708">
        <v>10618309</v>
      </c>
      <c r="AB708">
        <v>17903</v>
      </c>
      <c r="AD708" t="s">
        <v>2</v>
      </c>
      <c r="AE708">
        <v>35</v>
      </c>
      <c r="AF708">
        <v>7</v>
      </c>
      <c r="AH708" t="s">
        <v>1134</v>
      </c>
      <c r="AI708" t="s">
        <v>1133</v>
      </c>
      <c r="AK708" t="s">
        <v>1132</v>
      </c>
      <c r="AL708">
        <v>0</v>
      </c>
      <c r="AM708" s="5">
        <f t="shared" si="91"/>
        <v>0</v>
      </c>
      <c r="AN708" s="4">
        <f t="shared" si="92"/>
        <v>0</v>
      </c>
      <c r="AO708" s="3"/>
      <c r="AP708">
        <v>0</v>
      </c>
      <c r="AR708" t="s">
        <v>1</v>
      </c>
      <c r="AT708" s="2" t="s">
        <v>0</v>
      </c>
      <c r="AU708" s="1">
        <f t="shared" si="93"/>
        <v>0.69325431782387015</v>
      </c>
      <c r="AV708" s="1">
        <f t="shared" si="94"/>
        <v>0.49518165558847871</v>
      </c>
      <c r="AW708" s="1">
        <f t="shared" si="95"/>
        <v>0.29710899335308727</v>
      </c>
    </row>
    <row r="709" spans="1:49" x14ac:dyDescent="0.2">
      <c r="A709">
        <v>707</v>
      </c>
      <c r="B709" t="s">
        <v>1131</v>
      </c>
      <c r="C709" t="s">
        <v>1130</v>
      </c>
      <c r="F709" t="s">
        <v>1129</v>
      </c>
      <c r="G709" t="s">
        <v>6</v>
      </c>
      <c r="H709" t="s">
        <v>5</v>
      </c>
      <c r="I709" t="s">
        <v>1128</v>
      </c>
      <c r="J709">
        <v>60025779</v>
      </c>
      <c r="K709" t="s">
        <v>1127</v>
      </c>
      <c r="L709" t="s">
        <v>1126</v>
      </c>
      <c r="M709" t="s">
        <v>58</v>
      </c>
      <c r="N709">
        <v>1</v>
      </c>
      <c r="O709" t="s">
        <v>1125</v>
      </c>
      <c r="P709">
        <v>54894769700</v>
      </c>
      <c r="Q709">
        <v>60025779</v>
      </c>
      <c r="R709" s="7">
        <v>36342</v>
      </c>
      <c r="S709" s="8">
        <f t="shared" si="88"/>
        <v>1999</v>
      </c>
      <c r="T709" s="8">
        <v>1999</v>
      </c>
      <c r="U709" s="8">
        <f t="shared" si="89"/>
        <v>23</v>
      </c>
      <c r="V709" s="7">
        <v>36342</v>
      </c>
      <c r="W709" t="s">
        <v>784</v>
      </c>
      <c r="X709" s="2">
        <v>0.41399999999999998</v>
      </c>
      <c r="Y709" s="6">
        <f t="shared" si="90"/>
        <v>1.1051493553295428E-2</v>
      </c>
      <c r="AA709">
        <v>17272</v>
      </c>
      <c r="AB709">
        <v>24104</v>
      </c>
      <c r="AD709" t="s">
        <v>2</v>
      </c>
      <c r="AE709">
        <v>80</v>
      </c>
      <c r="AF709">
        <v>3</v>
      </c>
      <c r="AH709" t="s">
        <v>1124</v>
      </c>
      <c r="AI709" t="s">
        <v>1123</v>
      </c>
      <c r="AJ709" t="s">
        <v>1122</v>
      </c>
      <c r="AK709" t="s">
        <v>1121</v>
      </c>
      <c r="AL709">
        <v>17</v>
      </c>
      <c r="AM709" s="5">
        <f t="shared" si="91"/>
        <v>0.73913043478260865</v>
      </c>
      <c r="AN709" s="4">
        <f t="shared" si="92"/>
        <v>1.1194705562780896E-3</v>
      </c>
      <c r="AO709" s="3"/>
      <c r="AP709">
        <v>0</v>
      </c>
      <c r="AR709" t="s">
        <v>1</v>
      </c>
      <c r="AT709" s="2">
        <v>1.2609999999999999</v>
      </c>
      <c r="AU709" s="1">
        <f t="shared" si="93"/>
        <v>0.80718866541902246</v>
      </c>
      <c r="AV709" s="1">
        <f t="shared" si="94"/>
        <v>0.60854820547867583</v>
      </c>
      <c r="AW709" s="1">
        <f t="shared" si="95"/>
        <v>0.40990774553832904</v>
      </c>
    </row>
    <row r="710" spans="1:49" x14ac:dyDescent="0.2">
      <c r="A710">
        <v>708</v>
      </c>
      <c r="B710" t="s">
        <v>1120</v>
      </c>
      <c r="F710" t="s">
        <v>1119</v>
      </c>
      <c r="G710" t="s">
        <v>6</v>
      </c>
      <c r="H710" t="s">
        <v>5</v>
      </c>
      <c r="I710" t="s">
        <v>1118</v>
      </c>
      <c r="J710">
        <v>60025578</v>
      </c>
      <c r="K710" t="s">
        <v>539</v>
      </c>
      <c r="L710" t="s">
        <v>538</v>
      </c>
      <c r="M710" t="s">
        <v>78</v>
      </c>
      <c r="N710">
        <v>3</v>
      </c>
      <c r="O710" t="s">
        <v>1117</v>
      </c>
      <c r="P710" t="s">
        <v>1116</v>
      </c>
      <c r="Q710" t="s">
        <v>1115</v>
      </c>
      <c r="R710" s="7">
        <v>36342</v>
      </c>
      <c r="S710" s="8">
        <f t="shared" si="88"/>
        <v>1999</v>
      </c>
      <c r="T710" s="8">
        <v>1999</v>
      </c>
      <c r="U710" s="8">
        <f t="shared" si="89"/>
        <v>23</v>
      </c>
      <c r="V710" s="7">
        <v>36342</v>
      </c>
      <c r="W710" t="s">
        <v>773</v>
      </c>
      <c r="X710" s="2">
        <v>0.26700000000000002</v>
      </c>
      <c r="Y710" s="6">
        <f t="shared" si="90"/>
        <v>7.1274125090093707E-3</v>
      </c>
      <c r="AA710">
        <v>10224653</v>
      </c>
      <c r="AB710">
        <v>24184</v>
      </c>
      <c r="AD710" t="s">
        <v>2</v>
      </c>
      <c r="AE710">
        <v>8</v>
      </c>
      <c r="AF710">
        <v>3</v>
      </c>
      <c r="AH710" t="s">
        <v>1114</v>
      </c>
      <c r="AI710" t="s">
        <v>1113</v>
      </c>
      <c r="AK710" t="s">
        <v>1112</v>
      </c>
      <c r="AL710">
        <v>2</v>
      </c>
      <c r="AM710" s="5">
        <f t="shared" si="91"/>
        <v>8.6956521739130432E-2</v>
      </c>
      <c r="AN710" s="4">
        <f t="shared" si="92"/>
        <v>1.3170241838565761E-4</v>
      </c>
      <c r="AO710" s="3"/>
      <c r="AP710">
        <v>0</v>
      </c>
      <c r="AR710" t="s">
        <v>1</v>
      </c>
      <c r="AT710" s="2">
        <v>1.014</v>
      </c>
      <c r="AU710" s="1">
        <f t="shared" si="93"/>
        <v>0.50286994818222563</v>
      </c>
      <c r="AV710" s="1">
        <f t="shared" si="94"/>
        <v>0.36295574636975142</v>
      </c>
      <c r="AW710" s="1">
        <f t="shared" si="95"/>
        <v>0.22304154455727712</v>
      </c>
    </row>
    <row r="711" spans="1:49" x14ac:dyDescent="0.2">
      <c r="A711">
        <v>709</v>
      </c>
      <c r="B711" t="s">
        <v>1111</v>
      </c>
      <c r="F711" t="s">
        <v>1110</v>
      </c>
      <c r="G711" t="s">
        <v>6</v>
      </c>
      <c r="H711" t="s">
        <v>5</v>
      </c>
      <c r="I711" t="s">
        <v>398</v>
      </c>
      <c r="J711" t="s">
        <v>397</v>
      </c>
      <c r="K711" t="s">
        <v>396</v>
      </c>
      <c r="L711" t="s">
        <v>395</v>
      </c>
      <c r="M711" t="s">
        <v>30</v>
      </c>
      <c r="N711">
        <v>4</v>
      </c>
      <c r="O711" t="s">
        <v>1109</v>
      </c>
      <c r="P711" t="s">
        <v>1108</v>
      </c>
      <c r="Q711" t="s">
        <v>1107</v>
      </c>
      <c r="R711" s="7">
        <v>36342</v>
      </c>
      <c r="S711" s="8">
        <f t="shared" si="88"/>
        <v>1999</v>
      </c>
      <c r="T711" s="8">
        <v>1999</v>
      </c>
      <c r="U711" s="8">
        <f t="shared" si="89"/>
        <v>23</v>
      </c>
      <c r="V711" s="7">
        <v>36342</v>
      </c>
      <c r="W711" t="s">
        <v>236</v>
      </c>
      <c r="X711" s="2">
        <v>0.13800000000000001</v>
      </c>
      <c r="Y711" s="6">
        <f t="shared" si="90"/>
        <v>3.6838311844318095E-3</v>
      </c>
      <c r="AA711">
        <v>1926225</v>
      </c>
      <c r="AB711">
        <v>18580</v>
      </c>
      <c r="AD711" t="s">
        <v>2</v>
      </c>
      <c r="AE711">
        <v>42</v>
      </c>
      <c r="AF711">
        <v>7</v>
      </c>
      <c r="AI711" t="s">
        <v>1106</v>
      </c>
      <c r="AK711" t="s">
        <v>1105</v>
      </c>
      <c r="AL711">
        <v>9</v>
      </c>
      <c r="AM711" s="5">
        <f t="shared" si="91"/>
        <v>0.39130434782608697</v>
      </c>
      <c r="AN711" s="4">
        <f t="shared" si="92"/>
        <v>5.9266088273545923E-4</v>
      </c>
      <c r="AO711" s="3"/>
      <c r="AP711">
        <v>0</v>
      </c>
      <c r="AR711" t="s">
        <v>1</v>
      </c>
      <c r="AT711" s="2">
        <v>0.30599999999999999</v>
      </c>
      <c r="AU711" s="1">
        <f t="shared" si="93"/>
        <v>0.27564800939229045</v>
      </c>
      <c r="AV711" s="1">
        <f t="shared" si="94"/>
        <v>0.21382460335836345</v>
      </c>
      <c r="AW711" s="1">
        <f t="shared" si="95"/>
        <v>0.15200119732443643</v>
      </c>
    </row>
    <row r="712" spans="1:49" x14ac:dyDescent="0.2">
      <c r="A712">
        <v>710</v>
      </c>
      <c r="B712" t="s">
        <v>1104</v>
      </c>
      <c r="F712" t="s">
        <v>1103</v>
      </c>
      <c r="G712" t="s">
        <v>6</v>
      </c>
      <c r="H712" t="s">
        <v>5</v>
      </c>
      <c r="I712" t="s">
        <v>1102</v>
      </c>
      <c r="J712">
        <v>60023345</v>
      </c>
      <c r="K712" t="s">
        <v>154</v>
      </c>
      <c r="L712" t="s">
        <v>115</v>
      </c>
      <c r="M712" t="s">
        <v>114</v>
      </c>
      <c r="N712">
        <v>1</v>
      </c>
      <c r="O712" t="s">
        <v>1101</v>
      </c>
      <c r="P712">
        <v>7005110922</v>
      </c>
      <c r="Q712">
        <v>60023345</v>
      </c>
      <c r="R712" s="7">
        <v>36342</v>
      </c>
      <c r="S712" s="8">
        <f t="shared" si="88"/>
        <v>1999</v>
      </c>
      <c r="T712" s="8">
        <v>1999</v>
      </c>
      <c r="U712" s="8">
        <f t="shared" si="89"/>
        <v>23</v>
      </c>
      <c r="V712" s="7">
        <v>36342</v>
      </c>
      <c r="W712" t="s">
        <v>153</v>
      </c>
      <c r="X712" s="2">
        <v>0.10100000000000001</v>
      </c>
      <c r="Y712" s="6">
        <f t="shared" si="90"/>
        <v>2.6961373161421215E-3</v>
      </c>
      <c r="AA712">
        <v>9711600</v>
      </c>
      <c r="AB712">
        <v>29590</v>
      </c>
      <c r="AD712" t="s">
        <v>2</v>
      </c>
      <c r="AE712">
        <v>9</v>
      </c>
      <c r="AF712">
        <v>2</v>
      </c>
      <c r="AH712" t="s">
        <v>626</v>
      </c>
      <c r="AI712" t="s">
        <v>1100</v>
      </c>
      <c r="AK712" t="s">
        <v>1099</v>
      </c>
      <c r="AL712">
        <v>0</v>
      </c>
      <c r="AM712" s="5">
        <f t="shared" si="91"/>
        <v>0</v>
      </c>
      <c r="AN712" s="4">
        <f t="shared" si="92"/>
        <v>0</v>
      </c>
      <c r="AO712" s="3"/>
      <c r="AP712">
        <v>0</v>
      </c>
      <c r="AR712" t="s">
        <v>1</v>
      </c>
      <c r="AT712" s="2" t="s">
        <v>0</v>
      </c>
      <c r="AU712" s="1">
        <f t="shared" si="93"/>
        <v>0.18872961212994849</v>
      </c>
      <c r="AV712" s="1">
        <f t="shared" si="94"/>
        <v>0.13480686580710607</v>
      </c>
      <c r="AW712" s="1">
        <f t="shared" si="95"/>
        <v>8.0884119484263647E-2</v>
      </c>
    </row>
    <row r="713" spans="1:49" x14ac:dyDescent="0.2">
      <c r="A713">
        <v>711</v>
      </c>
      <c r="B713" t="s">
        <v>1098</v>
      </c>
      <c r="F713" t="s">
        <v>1097</v>
      </c>
      <c r="G713" t="s">
        <v>6</v>
      </c>
      <c r="H713" t="s">
        <v>5</v>
      </c>
      <c r="I713" t="s">
        <v>1096</v>
      </c>
      <c r="N713">
        <v>7</v>
      </c>
      <c r="O713" t="s">
        <v>1095</v>
      </c>
      <c r="P713" t="s">
        <v>1094</v>
      </c>
      <c r="Q713" t="s">
        <v>721</v>
      </c>
      <c r="R713" s="7">
        <v>36342</v>
      </c>
      <c r="S713" s="8">
        <f t="shared" si="88"/>
        <v>1999</v>
      </c>
      <c r="T713" s="8">
        <v>1999</v>
      </c>
      <c r="U713" s="8">
        <f t="shared" si="89"/>
        <v>23</v>
      </c>
      <c r="V713" s="7">
        <v>36342</v>
      </c>
      <c r="W713" t="s">
        <v>719</v>
      </c>
      <c r="X713" s="2" t="s">
        <v>0</v>
      </c>
      <c r="Y713" s="6" t="e">
        <f t="shared" si="90"/>
        <v>#VALUE!</v>
      </c>
      <c r="AA713">
        <v>9149260</v>
      </c>
      <c r="AB713">
        <v>23105</v>
      </c>
      <c r="AD713" t="s">
        <v>2</v>
      </c>
      <c r="AE713">
        <v>46</v>
      </c>
      <c r="AF713">
        <v>2</v>
      </c>
      <c r="AH713" t="s">
        <v>1093</v>
      </c>
      <c r="AI713" t="s">
        <v>1092</v>
      </c>
      <c r="AK713" t="s">
        <v>1091</v>
      </c>
      <c r="AL713">
        <v>0</v>
      </c>
      <c r="AM713" s="5">
        <f t="shared" si="91"/>
        <v>0</v>
      </c>
      <c r="AN713" s="4">
        <f t="shared" si="92"/>
        <v>0</v>
      </c>
      <c r="AO713" s="3"/>
      <c r="AP713">
        <v>0</v>
      </c>
      <c r="AR713" t="s">
        <v>1</v>
      </c>
      <c r="AT713" s="2" t="s">
        <v>0</v>
      </c>
      <c r="AU713" s="1" t="e">
        <f t="shared" si="93"/>
        <v>#VALUE!</v>
      </c>
      <c r="AV713" s="1" t="e">
        <f t="shared" si="94"/>
        <v>#VALUE!</v>
      </c>
      <c r="AW713" s="1" t="e">
        <f t="shared" si="95"/>
        <v>#VALUE!</v>
      </c>
    </row>
    <row r="714" spans="1:49" x14ac:dyDescent="0.2">
      <c r="A714">
        <v>712</v>
      </c>
      <c r="B714" t="s">
        <v>1090</v>
      </c>
      <c r="F714" t="s">
        <v>1089</v>
      </c>
      <c r="G714" t="s">
        <v>6</v>
      </c>
      <c r="H714" t="s">
        <v>5</v>
      </c>
      <c r="I714" t="s">
        <v>1088</v>
      </c>
      <c r="J714">
        <v>60012370</v>
      </c>
      <c r="K714" t="s">
        <v>201</v>
      </c>
      <c r="L714" t="s">
        <v>200</v>
      </c>
      <c r="M714" t="s">
        <v>133</v>
      </c>
      <c r="N714">
        <v>1</v>
      </c>
      <c r="O714" t="s">
        <v>1087</v>
      </c>
      <c r="P714">
        <v>55412221300</v>
      </c>
      <c r="Q714">
        <v>60012370</v>
      </c>
      <c r="R714" s="7">
        <v>36342</v>
      </c>
      <c r="S714" s="8">
        <f t="shared" si="88"/>
        <v>1999</v>
      </c>
      <c r="T714" s="8">
        <v>1999</v>
      </c>
      <c r="U714" s="8">
        <f t="shared" si="89"/>
        <v>23</v>
      </c>
      <c r="V714" s="7">
        <v>36342</v>
      </c>
      <c r="W714" t="s">
        <v>330</v>
      </c>
      <c r="X714" s="2" t="s">
        <v>0</v>
      </c>
      <c r="Y714" s="6" t="e">
        <f t="shared" si="90"/>
        <v>#VALUE!</v>
      </c>
      <c r="AA714">
        <v>2556588</v>
      </c>
      <c r="AB714">
        <v>62659</v>
      </c>
      <c r="AD714" t="s">
        <v>2</v>
      </c>
      <c r="AE714">
        <v>23</v>
      </c>
      <c r="AF714">
        <v>4</v>
      </c>
      <c r="AH714" t="s">
        <v>1086</v>
      </c>
      <c r="AI714" t="s">
        <v>1085</v>
      </c>
      <c r="AK714" t="s">
        <v>1084</v>
      </c>
      <c r="AL714">
        <v>3</v>
      </c>
      <c r="AM714" s="5">
        <f t="shared" si="91"/>
        <v>0.13043478260869565</v>
      </c>
      <c r="AN714" s="4">
        <f t="shared" si="92"/>
        <v>1.9755362757848641E-4</v>
      </c>
      <c r="AO714" s="3"/>
      <c r="AP714">
        <v>0</v>
      </c>
      <c r="AR714" t="s">
        <v>1</v>
      </c>
      <c r="AT714" s="2" t="s">
        <v>0</v>
      </c>
      <c r="AU714" s="1" t="e">
        <f t="shared" si="93"/>
        <v>#VALUE!</v>
      </c>
      <c r="AV714" s="1" t="e">
        <f t="shared" si="94"/>
        <v>#VALUE!</v>
      </c>
      <c r="AW714" s="1" t="e">
        <f t="shared" si="95"/>
        <v>#VALUE!</v>
      </c>
    </row>
    <row r="715" spans="1:49" x14ac:dyDescent="0.2">
      <c r="A715">
        <v>713</v>
      </c>
      <c r="B715" t="s">
        <v>1083</v>
      </c>
      <c r="F715" t="s">
        <v>1082</v>
      </c>
      <c r="G715" t="s">
        <v>6</v>
      </c>
      <c r="H715" t="s">
        <v>5</v>
      </c>
      <c r="I715" t="s">
        <v>751</v>
      </c>
      <c r="J715">
        <v>60116768</v>
      </c>
      <c r="K715" t="s">
        <v>750</v>
      </c>
      <c r="L715" t="s">
        <v>217</v>
      </c>
      <c r="M715" t="s">
        <v>133</v>
      </c>
      <c r="N715">
        <v>1</v>
      </c>
      <c r="O715" t="s">
        <v>749</v>
      </c>
      <c r="P715">
        <v>7601561423</v>
      </c>
      <c r="Q715">
        <v>60116768</v>
      </c>
      <c r="R715" s="7">
        <v>36342</v>
      </c>
      <c r="S715" s="8">
        <f t="shared" si="88"/>
        <v>1999</v>
      </c>
      <c r="T715" s="8">
        <v>1999</v>
      </c>
      <c r="U715" s="8">
        <f t="shared" si="89"/>
        <v>23</v>
      </c>
      <c r="V715" s="7">
        <v>36342</v>
      </c>
      <c r="W715" t="s">
        <v>330</v>
      </c>
      <c r="X715" s="2" t="s">
        <v>0</v>
      </c>
      <c r="Y715" s="6" t="e">
        <f t="shared" si="90"/>
        <v>#VALUE!</v>
      </c>
      <c r="AA715">
        <v>2556588</v>
      </c>
      <c r="AB715">
        <v>62659</v>
      </c>
      <c r="AD715" t="s">
        <v>2</v>
      </c>
      <c r="AE715">
        <v>23</v>
      </c>
      <c r="AF715">
        <v>4</v>
      </c>
      <c r="AH715" t="s">
        <v>1081</v>
      </c>
      <c r="AI715" t="s">
        <v>1080</v>
      </c>
      <c r="AK715" t="s">
        <v>1079</v>
      </c>
      <c r="AL715">
        <v>4</v>
      </c>
      <c r="AM715" s="5">
        <f t="shared" si="91"/>
        <v>0.17391304347826086</v>
      </c>
      <c r="AN715" s="4">
        <f t="shared" si="92"/>
        <v>2.6340483677131523E-4</v>
      </c>
      <c r="AO715" s="3"/>
      <c r="AP715">
        <v>0</v>
      </c>
      <c r="AR715" t="s">
        <v>1</v>
      </c>
      <c r="AT715" s="2" t="s">
        <v>0</v>
      </c>
      <c r="AU715" s="1" t="e">
        <f t="shared" si="93"/>
        <v>#VALUE!</v>
      </c>
      <c r="AV715" s="1" t="e">
        <f t="shared" si="94"/>
        <v>#VALUE!</v>
      </c>
      <c r="AW715" s="1" t="e">
        <f t="shared" si="95"/>
        <v>#VALUE!</v>
      </c>
    </row>
    <row r="716" spans="1:49" x14ac:dyDescent="0.2">
      <c r="A716">
        <v>714</v>
      </c>
      <c r="B716" t="s">
        <v>1078</v>
      </c>
      <c r="C716" t="s">
        <v>1077</v>
      </c>
      <c r="D716" t="s">
        <v>1076</v>
      </c>
      <c r="F716" t="s">
        <v>1075</v>
      </c>
      <c r="G716" t="s">
        <v>6</v>
      </c>
      <c r="H716" t="s">
        <v>5</v>
      </c>
      <c r="I716" t="s">
        <v>1074</v>
      </c>
      <c r="J716" t="s">
        <v>1073</v>
      </c>
      <c r="K716" t="s">
        <v>1072</v>
      </c>
      <c r="L716" t="s">
        <v>1071</v>
      </c>
      <c r="M716" t="s">
        <v>76</v>
      </c>
      <c r="N716">
        <v>3</v>
      </c>
      <c r="O716" t="s">
        <v>1070</v>
      </c>
      <c r="P716" t="s">
        <v>1069</v>
      </c>
      <c r="Q716" t="s">
        <v>1068</v>
      </c>
      <c r="R716" s="7">
        <v>36342</v>
      </c>
      <c r="S716" s="8">
        <f t="shared" si="88"/>
        <v>1999</v>
      </c>
      <c r="T716" s="8">
        <v>1999</v>
      </c>
      <c r="U716" s="8">
        <f t="shared" si="89"/>
        <v>23</v>
      </c>
      <c r="V716" s="7">
        <v>36342</v>
      </c>
      <c r="W716" t="s">
        <v>1067</v>
      </c>
      <c r="X716" s="2" t="s">
        <v>0</v>
      </c>
      <c r="Y716" s="6" t="e">
        <f t="shared" si="90"/>
        <v>#VALUE!</v>
      </c>
      <c r="AA716">
        <v>3016226</v>
      </c>
      <c r="AB716">
        <v>90232</v>
      </c>
      <c r="AD716" t="s">
        <v>2</v>
      </c>
      <c r="AE716">
        <v>60</v>
      </c>
      <c r="AF716">
        <v>1</v>
      </c>
      <c r="AH716" t="s">
        <v>645</v>
      </c>
      <c r="AI716" t="s">
        <v>1066</v>
      </c>
      <c r="AJ716" t="s">
        <v>1065</v>
      </c>
      <c r="AK716" t="s">
        <v>1064</v>
      </c>
      <c r="AL716">
        <v>48</v>
      </c>
      <c r="AM716" s="5">
        <f t="shared" si="91"/>
        <v>2.0869565217391304</v>
      </c>
      <c r="AN716" s="4">
        <f t="shared" si="92"/>
        <v>3.1608580412557825E-3</v>
      </c>
      <c r="AO716" s="3"/>
      <c r="AP716">
        <v>0</v>
      </c>
      <c r="AR716" t="s">
        <v>1</v>
      </c>
      <c r="AT716" s="2" t="s">
        <v>0</v>
      </c>
      <c r="AU716" s="1" t="e">
        <f t="shared" si="93"/>
        <v>#VALUE!</v>
      </c>
      <c r="AV716" s="1" t="e">
        <f t="shared" si="94"/>
        <v>#VALUE!</v>
      </c>
      <c r="AW716" s="1" t="e">
        <f t="shared" si="95"/>
        <v>#VALUE!</v>
      </c>
    </row>
    <row r="717" spans="1:49" x14ac:dyDescent="0.2">
      <c r="A717">
        <v>715</v>
      </c>
      <c r="B717" t="s">
        <v>1063</v>
      </c>
      <c r="F717" t="s">
        <v>1062</v>
      </c>
      <c r="G717" t="s">
        <v>6</v>
      </c>
      <c r="H717" t="s">
        <v>5</v>
      </c>
      <c r="I717" t="s">
        <v>1061</v>
      </c>
      <c r="J717" t="s">
        <v>1060</v>
      </c>
      <c r="K717" t="s">
        <v>1059</v>
      </c>
      <c r="L717" t="s">
        <v>1058</v>
      </c>
      <c r="M717" t="s">
        <v>824</v>
      </c>
      <c r="N717">
        <v>2</v>
      </c>
      <c r="O717" t="s">
        <v>1057</v>
      </c>
      <c r="P717" t="s">
        <v>1056</v>
      </c>
      <c r="Q717" t="s">
        <v>1055</v>
      </c>
      <c r="R717" s="7">
        <v>36342</v>
      </c>
      <c r="S717" s="8">
        <f t="shared" si="88"/>
        <v>1999</v>
      </c>
      <c r="T717" s="8">
        <v>1999</v>
      </c>
      <c r="U717" s="8">
        <f t="shared" si="89"/>
        <v>23</v>
      </c>
      <c r="V717" s="7">
        <v>36342</v>
      </c>
      <c r="W717" t="s">
        <v>696</v>
      </c>
      <c r="X717" s="2">
        <v>0.41299999999999998</v>
      </c>
      <c r="Y717" s="6">
        <f t="shared" si="90"/>
        <v>1.1024799124422733E-2</v>
      </c>
      <c r="AA717">
        <v>138797</v>
      </c>
      <c r="AB717">
        <v>19840</v>
      </c>
      <c r="AD717" t="s">
        <v>2</v>
      </c>
      <c r="AE717">
        <v>101</v>
      </c>
      <c r="AF717">
        <v>3</v>
      </c>
      <c r="AH717" t="s">
        <v>1054</v>
      </c>
      <c r="AI717" t="s">
        <v>1053</v>
      </c>
      <c r="AJ717" t="s">
        <v>1052</v>
      </c>
      <c r="AK717" t="s">
        <v>1051</v>
      </c>
      <c r="AL717">
        <v>6</v>
      </c>
      <c r="AM717" s="5">
        <f t="shared" si="91"/>
        <v>0.2608695652173913</v>
      </c>
      <c r="AN717" s="4">
        <f t="shared" si="92"/>
        <v>3.9510725515697282E-4</v>
      </c>
      <c r="AO717" s="3"/>
      <c r="AP717">
        <v>0</v>
      </c>
      <c r="AR717" t="s">
        <v>1</v>
      </c>
      <c r="AT717" s="2" t="s">
        <v>0</v>
      </c>
      <c r="AU717" s="1">
        <f t="shared" si="93"/>
        <v>0.78358915636430049</v>
      </c>
      <c r="AV717" s="1">
        <f t="shared" si="94"/>
        <v>0.57099531897898526</v>
      </c>
      <c r="AW717" s="1">
        <f t="shared" si="95"/>
        <v>0.35840148159367008</v>
      </c>
    </row>
    <row r="718" spans="1:49" x14ac:dyDescent="0.2">
      <c r="A718">
        <v>716</v>
      </c>
      <c r="B718" t="s">
        <v>1050</v>
      </c>
      <c r="E718">
        <v>10388823</v>
      </c>
      <c r="F718" t="s">
        <v>1049</v>
      </c>
      <c r="G718" t="s">
        <v>6</v>
      </c>
      <c r="H718" t="s">
        <v>5</v>
      </c>
      <c r="I718" t="s">
        <v>1048</v>
      </c>
      <c r="J718">
        <v>60005248</v>
      </c>
      <c r="K718" t="s">
        <v>234</v>
      </c>
      <c r="L718" t="s">
        <v>233</v>
      </c>
      <c r="M718" t="s">
        <v>3</v>
      </c>
      <c r="N718">
        <v>3</v>
      </c>
      <c r="O718" t="s">
        <v>1047</v>
      </c>
      <c r="P718" t="s">
        <v>1046</v>
      </c>
      <c r="Q718" t="s">
        <v>1045</v>
      </c>
      <c r="R718" s="7">
        <v>36342</v>
      </c>
      <c r="S718" s="8">
        <f t="shared" si="88"/>
        <v>1999</v>
      </c>
      <c r="T718" s="8">
        <v>1999</v>
      </c>
      <c r="U718" s="8">
        <f t="shared" si="89"/>
        <v>23</v>
      </c>
      <c r="V718" s="7">
        <v>36342</v>
      </c>
      <c r="W718" t="s">
        <v>1044</v>
      </c>
      <c r="X718" s="2">
        <v>2.7919999999999998</v>
      </c>
      <c r="Y718" s="6">
        <f t="shared" si="90"/>
        <v>7.4530845412562399E-2</v>
      </c>
      <c r="AA718">
        <v>166731</v>
      </c>
      <c r="AB718">
        <v>22173</v>
      </c>
      <c r="AD718" t="s">
        <v>2</v>
      </c>
      <c r="AE718">
        <v>152</v>
      </c>
      <c r="AF718">
        <v>3</v>
      </c>
      <c r="AH718" t="s">
        <v>1043</v>
      </c>
      <c r="AI718" t="s">
        <v>1042</v>
      </c>
      <c r="AK718" t="s">
        <v>1041</v>
      </c>
      <c r="AL718">
        <v>8</v>
      </c>
      <c r="AM718" s="5">
        <f t="shared" si="91"/>
        <v>0.34782608695652173</v>
      </c>
      <c r="AN718" s="4">
        <f t="shared" si="92"/>
        <v>5.2680967354263046E-4</v>
      </c>
      <c r="AO718" s="3"/>
      <c r="AP718">
        <v>0</v>
      </c>
      <c r="AQ718" t="s">
        <v>1040</v>
      </c>
      <c r="AR718" t="s">
        <v>1039</v>
      </c>
      <c r="AS718" t="s">
        <v>1038</v>
      </c>
      <c r="AT718" s="2">
        <v>4.5620000000000003</v>
      </c>
      <c r="AU718" s="1">
        <f t="shared" si="93"/>
        <v>5.2329634690856466</v>
      </c>
      <c r="AV718" s="1">
        <f t="shared" si="94"/>
        <v>3.7528827543052512</v>
      </c>
      <c r="AW718" s="1">
        <f t="shared" si="95"/>
        <v>2.2728020395248563</v>
      </c>
    </row>
    <row r="719" spans="1:49" x14ac:dyDescent="0.2">
      <c r="A719">
        <v>717</v>
      </c>
      <c r="B719" t="s">
        <v>1037</v>
      </c>
      <c r="C719" t="s">
        <v>1036</v>
      </c>
      <c r="D719" t="s">
        <v>1035</v>
      </c>
      <c r="F719" t="s">
        <v>1034</v>
      </c>
      <c r="G719" t="s">
        <v>6</v>
      </c>
      <c r="H719" t="s">
        <v>5</v>
      </c>
      <c r="I719" t="s">
        <v>1033</v>
      </c>
      <c r="J719" t="s">
        <v>1032</v>
      </c>
      <c r="K719" t="s">
        <v>1031</v>
      </c>
      <c r="L719" t="s">
        <v>1030</v>
      </c>
      <c r="M719" t="s">
        <v>1029</v>
      </c>
      <c r="N719">
        <v>3</v>
      </c>
      <c r="O719" t="s">
        <v>1028</v>
      </c>
      <c r="P719" t="s">
        <v>1027</v>
      </c>
      <c r="Q719" t="s">
        <v>1026</v>
      </c>
      <c r="R719" s="7">
        <v>36342</v>
      </c>
      <c r="S719" s="8">
        <f t="shared" si="88"/>
        <v>1999</v>
      </c>
      <c r="T719" s="8">
        <v>1999</v>
      </c>
      <c r="U719" s="8">
        <f t="shared" si="89"/>
        <v>23</v>
      </c>
      <c r="V719" s="7">
        <v>36342</v>
      </c>
      <c r="W719" t="s">
        <v>1025</v>
      </c>
      <c r="X719" s="2">
        <v>1.488</v>
      </c>
      <c r="Y719" s="6">
        <f t="shared" si="90"/>
        <v>3.9721310162569072E-2</v>
      </c>
      <c r="AA719">
        <v>1698095</v>
      </c>
      <c r="AB719">
        <v>12092</v>
      </c>
      <c r="AD719" t="s">
        <v>2</v>
      </c>
      <c r="AE719">
        <v>51</v>
      </c>
      <c r="AF719">
        <v>3</v>
      </c>
      <c r="AH719" t="s">
        <v>1024</v>
      </c>
      <c r="AI719" t="s">
        <v>1023</v>
      </c>
      <c r="AJ719" t="s">
        <v>1022</v>
      </c>
      <c r="AK719" t="s">
        <v>1021</v>
      </c>
      <c r="AL719">
        <v>0</v>
      </c>
      <c r="AM719" s="5">
        <f t="shared" si="91"/>
        <v>0</v>
      </c>
      <c r="AN719" s="4">
        <f t="shared" si="92"/>
        <v>0</v>
      </c>
      <c r="AO719" s="3"/>
      <c r="AP719">
        <v>0</v>
      </c>
      <c r="AR719" t="s">
        <v>1020</v>
      </c>
      <c r="AT719" s="2">
        <v>5.3689999999999998</v>
      </c>
      <c r="AU719" s="1">
        <f t="shared" si="93"/>
        <v>2.7804917113798346</v>
      </c>
      <c r="AV719" s="1">
        <f t="shared" si="94"/>
        <v>1.9860655081284535</v>
      </c>
      <c r="AW719" s="1">
        <f t="shared" si="95"/>
        <v>1.1916393048770721</v>
      </c>
    </row>
    <row r="720" spans="1:49" x14ac:dyDescent="0.2">
      <c r="A720">
        <v>718</v>
      </c>
      <c r="B720" t="s">
        <v>1019</v>
      </c>
      <c r="C720" t="s">
        <v>1018</v>
      </c>
      <c r="F720" t="s">
        <v>1017</v>
      </c>
      <c r="G720" t="s">
        <v>6</v>
      </c>
      <c r="H720" t="s">
        <v>5</v>
      </c>
      <c r="I720" t="s">
        <v>1016</v>
      </c>
      <c r="J720" t="s">
        <v>1015</v>
      </c>
      <c r="K720" t="s">
        <v>1014</v>
      </c>
      <c r="L720" t="s">
        <v>1013</v>
      </c>
      <c r="M720" t="s">
        <v>461</v>
      </c>
      <c r="N720">
        <v>2</v>
      </c>
      <c r="O720" t="s">
        <v>1012</v>
      </c>
      <c r="P720" t="s">
        <v>1011</v>
      </c>
      <c r="Q720" t="s">
        <v>1010</v>
      </c>
      <c r="R720" s="7">
        <v>36342</v>
      </c>
      <c r="S720" s="8">
        <f t="shared" si="88"/>
        <v>1999</v>
      </c>
      <c r="T720" s="8">
        <v>1999</v>
      </c>
      <c r="U720" s="8">
        <f t="shared" si="89"/>
        <v>23</v>
      </c>
      <c r="V720" s="7">
        <v>36342</v>
      </c>
      <c r="W720" t="s">
        <v>1009</v>
      </c>
      <c r="X720" s="2">
        <v>0.752</v>
      </c>
      <c r="Y720" s="6">
        <f t="shared" si="90"/>
        <v>2.0074210512266089E-2</v>
      </c>
      <c r="AA720">
        <v>3649059</v>
      </c>
      <c r="AB720">
        <v>17277</v>
      </c>
      <c r="AD720" t="s">
        <v>2</v>
      </c>
      <c r="AE720">
        <v>24</v>
      </c>
      <c r="AF720">
        <v>3</v>
      </c>
      <c r="AH720" t="s">
        <v>1008</v>
      </c>
      <c r="AI720" t="s">
        <v>1007</v>
      </c>
      <c r="AK720" t="s">
        <v>1006</v>
      </c>
      <c r="AL720">
        <v>147</v>
      </c>
      <c r="AM720" s="5">
        <f t="shared" si="91"/>
        <v>6.3913043478260869</v>
      </c>
      <c r="AN720" s="4">
        <f t="shared" si="92"/>
        <v>9.6801277513458347E-3</v>
      </c>
      <c r="AO720" s="3"/>
      <c r="AP720">
        <v>0</v>
      </c>
      <c r="AR720" t="s">
        <v>1</v>
      </c>
      <c r="AT720" s="2">
        <v>3.5539999999999998</v>
      </c>
      <c r="AU720" s="1">
        <f t="shared" si="93"/>
        <v>1.6955985683990011</v>
      </c>
      <c r="AV720" s="1">
        <f t="shared" si="94"/>
        <v>1.4877169131805961</v>
      </c>
      <c r="AW720" s="1">
        <f t="shared" si="95"/>
        <v>1.279835257962191</v>
      </c>
    </row>
    <row r="721" spans="1:49" x14ac:dyDescent="0.2">
      <c r="A721">
        <v>719</v>
      </c>
      <c r="B721" t="s">
        <v>1005</v>
      </c>
      <c r="C721" t="s">
        <v>1004</v>
      </c>
      <c r="F721" t="s">
        <v>1003</v>
      </c>
      <c r="G721" t="s">
        <v>6</v>
      </c>
      <c r="H721" t="s">
        <v>5</v>
      </c>
      <c r="I721" t="s">
        <v>1002</v>
      </c>
      <c r="J721">
        <v>60025278</v>
      </c>
      <c r="K721" t="s">
        <v>80</v>
      </c>
      <c r="L721" t="s">
        <v>79</v>
      </c>
      <c r="M721" t="s">
        <v>78</v>
      </c>
      <c r="N721">
        <v>3</v>
      </c>
      <c r="O721" t="s">
        <v>1001</v>
      </c>
      <c r="P721" t="s">
        <v>1000</v>
      </c>
      <c r="Q721" t="s">
        <v>999</v>
      </c>
      <c r="R721" s="7">
        <v>36342</v>
      </c>
      <c r="S721" s="8">
        <f t="shared" si="88"/>
        <v>1999</v>
      </c>
      <c r="T721" s="8">
        <v>1999</v>
      </c>
      <c r="U721" s="8">
        <f t="shared" si="89"/>
        <v>23</v>
      </c>
      <c r="V721" s="7">
        <v>36342</v>
      </c>
      <c r="W721" t="s">
        <v>283</v>
      </c>
      <c r="X721" s="2">
        <v>0.39600000000000002</v>
      </c>
      <c r="Y721" s="6">
        <f t="shared" si="90"/>
        <v>1.0570993833586931E-2</v>
      </c>
      <c r="AA721">
        <v>8858985</v>
      </c>
      <c r="AB721">
        <v>25993</v>
      </c>
      <c r="AD721" t="s">
        <v>2</v>
      </c>
      <c r="AE721">
        <v>14</v>
      </c>
      <c r="AF721">
        <v>7</v>
      </c>
      <c r="AH721" t="s">
        <v>998</v>
      </c>
      <c r="AI721" t="s">
        <v>997</v>
      </c>
      <c r="AK721" t="s">
        <v>996</v>
      </c>
      <c r="AL721">
        <v>7</v>
      </c>
      <c r="AM721" s="5">
        <f t="shared" si="91"/>
        <v>0.30434782608695654</v>
      </c>
      <c r="AN721" s="4">
        <f t="shared" si="92"/>
        <v>4.6095846434980164E-4</v>
      </c>
      <c r="AO721" s="3"/>
      <c r="AP721">
        <v>0</v>
      </c>
      <c r="AR721" t="s">
        <v>1</v>
      </c>
      <c r="AT721" s="2" t="s">
        <v>0</v>
      </c>
      <c r="AU721" s="1">
        <f t="shared" si="93"/>
        <v>0.75379832228157917</v>
      </c>
      <c r="AV721" s="1">
        <f t="shared" si="94"/>
        <v>0.55159761489683656</v>
      </c>
      <c r="AW721" s="1">
        <f t="shared" si="95"/>
        <v>0.34939690751209401</v>
      </c>
    </row>
    <row r="722" spans="1:49" x14ac:dyDescent="0.2">
      <c r="A722">
        <v>720</v>
      </c>
      <c r="B722" t="s">
        <v>995</v>
      </c>
      <c r="C722" t="s">
        <v>994</v>
      </c>
      <c r="F722" t="s">
        <v>993</v>
      </c>
      <c r="G722" t="s">
        <v>6</v>
      </c>
      <c r="H722" t="s">
        <v>5</v>
      </c>
      <c r="I722" t="s">
        <v>992</v>
      </c>
      <c r="J722">
        <v>60025555</v>
      </c>
      <c r="K722" t="s">
        <v>33</v>
      </c>
      <c r="L722" t="s">
        <v>32</v>
      </c>
      <c r="M722" t="s">
        <v>7</v>
      </c>
      <c r="N722">
        <v>3</v>
      </c>
      <c r="O722" t="s">
        <v>991</v>
      </c>
      <c r="P722" t="s">
        <v>990</v>
      </c>
      <c r="Q722" t="s">
        <v>418</v>
      </c>
      <c r="R722" s="7">
        <v>36342</v>
      </c>
      <c r="S722" s="8">
        <f t="shared" si="88"/>
        <v>1999</v>
      </c>
      <c r="T722" s="8">
        <v>1999</v>
      </c>
      <c r="U722" s="8">
        <f t="shared" si="89"/>
        <v>23</v>
      </c>
      <c r="V722" s="7">
        <v>36342</v>
      </c>
      <c r="W722" t="s">
        <v>682</v>
      </c>
      <c r="X722" s="2">
        <v>0.81</v>
      </c>
      <c r="Y722" s="6">
        <f t="shared" si="90"/>
        <v>2.1622487386882359E-2</v>
      </c>
      <c r="AA722">
        <v>10411135</v>
      </c>
      <c r="AB722">
        <v>12116</v>
      </c>
      <c r="AD722" t="s">
        <v>2</v>
      </c>
      <c r="AE722">
        <v>11</v>
      </c>
      <c r="AF722">
        <v>7</v>
      </c>
      <c r="AH722" t="s">
        <v>989</v>
      </c>
      <c r="AI722" t="s">
        <v>988</v>
      </c>
      <c r="AK722" t="s">
        <v>987</v>
      </c>
      <c r="AL722">
        <v>13</v>
      </c>
      <c r="AM722" s="5">
        <f t="shared" si="91"/>
        <v>0.56521739130434778</v>
      </c>
      <c r="AN722" s="4">
        <f t="shared" si="92"/>
        <v>8.560657195067744E-4</v>
      </c>
      <c r="AO722" s="3"/>
      <c r="AP722">
        <v>0</v>
      </c>
      <c r="AR722" t="s">
        <v>1</v>
      </c>
      <c r="AT722" s="2">
        <v>2.468</v>
      </c>
      <c r="AU722" s="1">
        <f t="shared" si="93"/>
        <v>1.5392560886669682</v>
      </c>
      <c r="AV722" s="1">
        <f t="shared" si="94"/>
        <v>1.1239276553194566</v>
      </c>
      <c r="AW722" s="1">
        <f t="shared" si="95"/>
        <v>0.70859922197194491</v>
      </c>
    </row>
    <row r="723" spans="1:49" x14ac:dyDescent="0.2">
      <c r="A723">
        <v>721</v>
      </c>
      <c r="B723" t="s">
        <v>986</v>
      </c>
      <c r="C723" t="s">
        <v>985</v>
      </c>
      <c r="F723" t="s">
        <v>984</v>
      </c>
      <c r="G723" t="s">
        <v>6</v>
      </c>
      <c r="H723" t="s">
        <v>5</v>
      </c>
      <c r="I723" t="s">
        <v>983</v>
      </c>
      <c r="J723">
        <v>60000745</v>
      </c>
      <c r="K723" t="s">
        <v>212</v>
      </c>
      <c r="L723" t="s">
        <v>211</v>
      </c>
      <c r="M723" t="s">
        <v>3</v>
      </c>
      <c r="N723">
        <v>5</v>
      </c>
      <c r="O723" t="s">
        <v>982</v>
      </c>
      <c r="P723" t="s">
        <v>981</v>
      </c>
      <c r="Q723" t="s">
        <v>980</v>
      </c>
      <c r="R723" s="7">
        <v>36342</v>
      </c>
      <c r="S723" s="8">
        <f t="shared" si="88"/>
        <v>1999</v>
      </c>
      <c r="T723" s="8">
        <v>1999</v>
      </c>
      <c r="U723" s="8">
        <f t="shared" si="89"/>
        <v>23</v>
      </c>
      <c r="V723" s="7">
        <v>36342</v>
      </c>
      <c r="W723" t="s">
        <v>66</v>
      </c>
      <c r="X723" s="2">
        <v>0.371</v>
      </c>
      <c r="Y723" s="6">
        <f t="shared" si="90"/>
        <v>9.9036331117695747E-3</v>
      </c>
      <c r="AA723">
        <v>486604</v>
      </c>
      <c r="AB723">
        <v>28580</v>
      </c>
      <c r="AD723" t="s">
        <v>2</v>
      </c>
      <c r="AE723">
        <v>34</v>
      </c>
      <c r="AF723">
        <v>4</v>
      </c>
      <c r="AH723" t="s">
        <v>979</v>
      </c>
      <c r="AI723" t="s">
        <v>978</v>
      </c>
      <c r="AK723" t="s">
        <v>977</v>
      </c>
      <c r="AL723">
        <v>21</v>
      </c>
      <c r="AM723" s="5">
        <f t="shared" si="91"/>
        <v>0.91304347826086951</v>
      </c>
      <c r="AN723" s="4">
        <f t="shared" si="92"/>
        <v>1.3828753930494049E-3</v>
      </c>
      <c r="AO723" s="3"/>
      <c r="AP723">
        <v>1</v>
      </c>
      <c r="AR723" t="s">
        <v>1</v>
      </c>
      <c r="AT723" s="2">
        <v>1.431</v>
      </c>
      <c r="AU723" s="1">
        <f t="shared" si="93"/>
        <v>0.73474057961535233</v>
      </c>
      <c r="AV723" s="1">
        <f t="shared" si="94"/>
        <v>0.56432542524094897</v>
      </c>
      <c r="AW723" s="1">
        <f t="shared" si="95"/>
        <v>0.39391027086654562</v>
      </c>
    </row>
    <row r="724" spans="1:49" x14ac:dyDescent="0.2">
      <c r="A724">
        <v>722</v>
      </c>
      <c r="B724" t="s">
        <v>976</v>
      </c>
      <c r="F724" t="s">
        <v>975</v>
      </c>
      <c r="G724" t="s">
        <v>6</v>
      </c>
      <c r="H724" t="s">
        <v>5</v>
      </c>
      <c r="I724" t="s">
        <v>974</v>
      </c>
      <c r="J724">
        <v>60007592</v>
      </c>
      <c r="K724" t="s">
        <v>973</v>
      </c>
      <c r="L724" t="s">
        <v>587</v>
      </c>
      <c r="M724" t="s">
        <v>23</v>
      </c>
      <c r="N724">
        <v>4</v>
      </c>
      <c r="O724" t="s">
        <v>972</v>
      </c>
      <c r="P724" t="s">
        <v>971</v>
      </c>
      <c r="Q724" t="s">
        <v>970</v>
      </c>
      <c r="R724" s="7">
        <v>36342</v>
      </c>
      <c r="S724" s="8">
        <f t="shared" si="88"/>
        <v>1999</v>
      </c>
      <c r="T724" s="8">
        <v>1999</v>
      </c>
      <c r="U724" s="8">
        <f t="shared" si="89"/>
        <v>23</v>
      </c>
      <c r="V724" s="7">
        <v>36342</v>
      </c>
      <c r="W724" t="s">
        <v>734</v>
      </c>
      <c r="X724" s="2">
        <v>0.216</v>
      </c>
      <c r="Y724" s="6">
        <f t="shared" si="90"/>
        <v>5.765996636501962E-3</v>
      </c>
      <c r="AA724">
        <v>10544887</v>
      </c>
      <c r="AB724">
        <v>13200</v>
      </c>
      <c r="AD724" t="s">
        <v>2</v>
      </c>
      <c r="AE724">
        <v>14</v>
      </c>
      <c r="AF724">
        <v>2</v>
      </c>
      <c r="AH724" t="s">
        <v>969</v>
      </c>
      <c r="AI724" t="s">
        <v>968</v>
      </c>
      <c r="AK724" t="s">
        <v>967</v>
      </c>
      <c r="AL724">
        <v>1</v>
      </c>
      <c r="AM724" s="5">
        <f t="shared" si="91"/>
        <v>4.3478260869565216E-2</v>
      </c>
      <c r="AN724" s="4">
        <f t="shared" si="92"/>
        <v>6.5851209192828807E-5</v>
      </c>
      <c r="AO724" s="3"/>
      <c r="AP724">
        <v>0</v>
      </c>
      <c r="AR724" t="s">
        <v>1</v>
      </c>
      <c r="AT724" s="2" t="s">
        <v>0</v>
      </c>
      <c r="AU724" s="1">
        <f t="shared" si="93"/>
        <v>0.40559530083092216</v>
      </c>
      <c r="AV724" s="1">
        <f t="shared" si="94"/>
        <v>0.29159239228473954</v>
      </c>
      <c r="AW724" s="1">
        <f t="shared" si="95"/>
        <v>0.17758948373855687</v>
      </c>
    </row>
    <row r="725" spans="1:49" x14ac:dyDescent="0.2">
      <c r="A725">
        <v>723</v>
      </c>
      <c r="B725" t="s">
        <v>966</v>
      </c>
      <c r="C725" t="s">
        <v>965</v>
      </c>
      <c r="F725" t="s">
        <v>964</v>
      </c>
      <c r="G725" t="s">
        <v>6</v>
      </c>
      <c r="H725" t="s">
        <v>5</v>
      </c>
      <c r="I725" t="s">
        <v>963</v>
      </c>
      <c r="J725" t="s">
        <v>962</v>
      </c>
      <c r="K725" t="s">
        <v>961</v>
      </c>
      <c r="L725" t="s">
        <v>62</v>
      </c>
      <c r="M725" t="s">
        <v>18</v>
      </c>
      <c r="N725">
        <v>3</v>
      </c>
      <c r="O725" t="s">
        <v>960</v>
      </c>
      <c r="P725" t="s">
        <v>959</v>
      </c>
      <c r="Q725" t="s">
        <v>958</v>
      </c>
      <c r="R725" s="7">
        <v>36342</v>
      </c>
      <c r="S725" s="8">
        <f t="shared" si="88"/>
        <v>1999</v>
      </c>
      <c r="T725" s="8">
        <v>1999</v>
      </c>
      <c r="U725" s="8">
        <f t="shared" si="89"/>
        <v>23</v>
      </c>
      <c r="V725" s="7">
        <v>36342</v>
      </c>
      <c r="W725" t="s">
        <v>61</v>
      </c>
      <c r="X725" s="2">
        <v>0.111</v>
      </c>
      <c r="Y725" s="6">
        <f t="shared" si="90"/>
        <v>2.9630816048690639E-3</v>
      </c>
      <c r="AA725">
        <v>87566621</v>
      </c>
      <c r="AB725">
        <v>24890</v>
      </c>
      <c r="AD725" t="s">
        <v>2</v>
      </c>
      <c r="AE725">
        <v>82</v>
      </c>
      <c r="AF725">
        <v>7</v>
      </c>
      <c r="AH725" t="s">
        <v>957</v>
      </c>
      <c r="AI725" t="s">
        <v>956</v>
      </c>
      <c r="AK725" t="s">
        <v>955</v>
      </c>
      <c r="AL725">
        <v>1</v>
      </c>
      <c r="AM725" s="5">
        <f t="shared" si="91"/>
        <v>4.3478260869565216E-2</v>
      </c>
      <c r="AN725" s="4">
        <f t="shared" si="92"/>
        <v>6.5851209192828807E-5</v>
      </c>
      <c r="AO725" s="3"/>
      <c r="AP725">
        <v>0</v>
      </c>
      <c r="AR725" t="s">
        <v>1</v>
      </c>
      <c r="AT725" s="2" t="s">
        <v>0</v>
      </c>
      <c r="AU725" s="1">
        <f t="shared" si="93"/>
        <v>0.20939124861661931</v>
      </c>
      <c r="AV725" s="1">
        <f t="shared" si="94"/>
        <v>0.15144664070309463</v>
      </c>
      <c r="AW725" s="1">
        <f t="shared" si="95"/>
        <v>9.3502032789569922E-2</v>
      </c>
    </row>
    <row r="726" spans="1:49" x14ac:dyDescent="0.2">
      <c r="A726">
        <v>724</v>
      </c>
      <c r="B726" t="s">
        <v>954</v>
      </c>
      <c r="C726" t="s">
        <v>953</v>
      </c>
      <c r="D726" t="s">
        <v>952</v>
      </c>
      <c r="F726" t="s">
        <v>951</v>
      </c>
      <c r="G726" t="s">
        <v>6</v>
      </c>
      <c r="H726" t="s">
        <v>5</v>
      </c>
      <c r="I726" t="s">
        <v>356</v>
      </c>
      <c r="J726">
        <v>60017161</v>
      </c>
      <c r="K726" t="s">
        <v>340</v>
      </c>
      <c r="L726" t="s">
        <v>306</v>
      </c>
      <c r="M726" t="s">
        <v>305</v>
      </c>
      <c r="N726">
        <v>4</v>
      </c>
      <c r="O726" t="s">
        <v>950</v>
      </c>
      <c r="P726" t="s">
        <v>949</v>
      </c>
      <c r="Q726" t="s">
        <v>339</v>
      </c>
      <c r="R726" s="7">
        <v>36342</v>
      </c>
      <c r="S726" s="8">
        <f t="shared" si="88"/>
        <v>1999</v>
      </c>
      <c r="T726" s="8">
        <v>1999</v>
      </c>
      <c r="U726" s="8">
        <f t="shared" si="89"/>
        <v>23</v>
      </c>
      <c r="V726" s="7">
        <v>36342</v>
      </c>
      <c r="W726" t="s">
        <v>948</v>
      </c>
      <c r="X726" s="2">
        <v>2.141</v>
      </c>
      <c r="Y726" s="6">
        <f t="shared" si="90"/>
        <v>5.7152772216438434E-2</v>
      </c>
      <c r="AA726">
        <v>1962892</v>
      </c>
      <c r="AB726">
        <v>17360</v>
      </c>
      <c r="AD726" t="s">
        <v>2</v>
      </c>
      <c r="AE726">
        <v>37</v>
      </c>
      <c r="AF726">
        <v>4</v>
      </c>
      <c r="AH726" t="s">
        <v>947</v>
      </c>
      <c r="AI726" t="s">
        <v>946</v>
      </c>
      <c r="AK726" t="s">
        <v>945</v>
      </c>
      <c r="AL726">
        <v>29</v>
      </c>
      <c r="AM726" s="5">
        <f t="shared" si="91"/>
        <v>1.2608695652173914</v>
      </c>
      <c r="AN726" s="4">
        <f t="shared" si="92"/>
        <v>1.9096850665920354E-3</v>
      </c>
      <c r="AO726" s="3"/>
      <c r="AP726">
        <v>0</v>
      </c>
      <c r="AR726">
        <v>18</v>
      </c>
      <c r="AT726" s="2" t="s">
        <v>0</v>
      </c>
      <c r="AU726" s="1">
        <f t="shared" si="93"/>
        <v>4.0579846071484509</v>
      </c>
      <c r="AV726" s="1">
        <f t="shared" si="94"/>
        <v>2.9531228641515237</v>
      </c>
      <c r="AW726" s="1">
        <f t="shared" si="95"/>
        <v>1.8482611211545954</v>
      </c>
    </row>
    <row r="727" spans="1:49" x14ac:dyDescent="0.2">
      <c r="A727">
        <v>725</v>
      </c>
      <c r="B727" t="s">
        <v>944</v>
      </c>
      <c r="F727" t="s">
        <v>943</v>
      </c>
      <c r="G727" t="s">
        <v>6</v>
      </c>
      <c r="H727" t="s">
        <v>5</v>
      </c>
      <c r="I727" t="s">
        <v>942</v>
      </c>
      <c r="J727">
        <v>101481433</v>
      </c>
      <c r="K727" t="s">
        <v>941</v>
      </c>
      <c r="L727" t="s">
        <v>940</v>
      </c>
      <c r="M727" t="s">
        <v>3</v>
      </c>
      <c r="N727">
        <v>1</v>
      </c>
      <c r="O727" t="s">
        <v>939</v>
      </c>
      <c r="P727">
        <v>55950232900</v>
      </c>
      <c r="Q727">
        <v>101481433</v>
      </c>
      <c r="R727" s="7">
        <v>36342</v>
      </c>
      <c r="S727" s="8">
        <f t="shared" si="88"/>
        <v>1999</v>
      </c>
      <c r="T727" s="8">
        <v>1999</v>
      </c>
      <c r="U727" s="8">
        <f t="shared" si="89"/>
        <v>23</v>
      </c>
      <c r="V727" s="7">
        <v>36342</v>
      </c>
      <c r="W727" t="s">
        <v>734</v>
      </c>
      <c r="X727" s="2">
        <v>0.216</v>
      </c>
      <c r="Y727" s="6">
        <f t="shared" si="90"/>
        <v>5.765996636501962E-3</v>
      </c>
      <c r="AA727">
        <v>10544887</v>
      </c>
      <c r="AB727">
        <v>13200</v>
      </c>
      <c r="AD727" t="s">
        <v>2</v>
      </c>
      <c r="AE727">
        <v>14</v>
      </c>
      <c r="AF727">
        <v>2</v>
      </c>
      <c r="AH727" t="s">
        <v>152</v>
      </c>
      <c r="AI727" t="s">
        <v>938</v>
      </c>
      <c r="AK727" t="s">
        <v>937</v>
      </c>
      <c r="AL727">
        <v>1</v>
      </c>
      <c r="AM727" s="5">
        <f t="shared" si="91"/>
        <v>4.3478260869565216E-2</v>
      </c>
      <c r="AN727" s="4">
        <f t="shared" si="92"/>
        <v>6.5851209192828807E-5</v>
      </c>
      <c r="AO727" s="3"/>
      <c r="AP727">
        <v>0</v>
      </c>
      <c r="AR727" t="s">
        <v>1</v>
      </c>
      <c r="AT727" s="2" t="s">
        <v>0</v>
      </c>
      <c r="AU727" s="1">
        <f t="shared" si="93"/>
        <v>0.40559530083092216</v>
      </c>
      <c r="AV727" s="1">
        <f t="shared" si="94"/>
        <v>0.29159239228473954</v>
      </c>
      <c r="AW727" s="1">
        <f t="shared" si="95"/>
        <v>0.17758948373855687</v>
      </c>
    </row>
    <row r="728" spans="1:49" x14ac:dyDescent="0.2">
      <c r="A728">
        <v>726</v>
      </c>
      <c r="B728" t="s">
        <v>936</v>
      </c>
      <c r="C728" t="s">
        <v>935</v>
      </c>
      <c r="F728" t="s">
        <v>934</v>
      </c>
      <c r="G728" t="s">
        <v>6</v>
      </c>
      <c r="H728" t="s">
        <v>5</v>
      </c>
      <c r="I728" t="s">
        <v>933</v>
      </c>
      <c r="J728" t="s">
        <v>932</v>
      </c>
      <c r="K728" t="s">
        <v>931</v>
      </c>
      <c r="L728" t="s">
        <v>930</v>
      </c>
      <c r="M728" t="s">
        <v>30</v>
      </c>
      <c r="N728">
        <v>2</v>
      </c>
      <c r="O728" t="s">
        <v>929</v>
      </c>
      <c r="P728" t="s">
        <v>928</v>
      </c>
      <c r="Q728" t="s">
        <v>927</v>
      </c>
      <c r="R728" s="7">
        <v>36342</v>
      </c>
      <c r="S728" s="8">
        <f t="shared" si="88"/>
        <v>1999</v>
      </c>
      <c r="T728" s="8">
        <v>1999</v>
      </c>
      <c r="U728" s="8">
        <f t="shared" si="89"/>
        <v>23</v>
      </c>
      <c r="V728" s="7">
        <v>36342</v>
      </c>
      <c r="W728" t="s">
        <v>926</v>
      </c>
      <c r="X728" s="2" t="s">
        <v>0</v>
      </c>
      <c r="Y728" s="6" t="e">
        <f t="shared" si="90"/>
        <v>#VALUE!</v>
      </c>
      <c r="AA728">
        <v>9597174</v>
      </c>
      <c r="AB728">
        <v>12518</v>
      </c>
      <c r="AC728">
        <v>13616676</v>
      </c>
      <c r="AD728" t="s">
        <v>2</v>
      </c>
      <c r="AE728">
        <v>9</v>
      </c>
      <c r="AF728">
        <v>3</v>
      </c>
      <c r="AH728" t="s">
        <v>925</v>
      </c>
      <c r="AI728" t="s">
        <v>924</v>
      </c>
      <c r="AK728" t="s">
        <v>923</v>
      </c>
      <c r="AL728">
        <v>17</v>
      </c>
      <c r="AM728" s="5">
        <f t="shared" si="91"/>
        <v>0.73913043478260865</v>
      </c>
      <c r="AN728" s="4">
        <f t="shared" si="92"/>
        <v>1.1194705562780896E-3</v>
      </c>
      <c r="AO728" s="3"/>
      <c r="AP728">
        <v>0</v>
      </c>
      <c r="AR728" t="s">
        <v>1</v>
      </c>
      <c r="AT728" s="2" t="s">
        <v>0</v>
      </c>
      <c r="AU728" s="1" t="e">
        <f t="shared" si="93"/>
        <v>#VALUE!</v>
      </c>
      <c r="AV728" s="1" t="e">
        <f t="shared" si="94"/>
        <v>#VALUE!</v>
      </c>
      <c r="AW728" s="1" t="e">
        <f t="shared" si="95"/>
        <v>#VALUE!</v>
      </c>
    </row>
    <row r="729" spans="1:49" x14ac:dyDescent="0.2">
      <c r="A729">
        <v>727</v>
      </c>
      <c r="B729" t="s">
        <v>922</v>
      </c>
      <c r="C729" t="s">
        <v>921</v>
      </c>
      <c r="F729" t="s">
        <v>920</v>
      </c>
      <c r="G729" t="s">
        <v>6</v>
      </c>
      <c r="H729" t="s">
        <v>5</v>
      </c>
      <c r="I729" t="s">
        <v>919</v>
      </c>
      <c r="J729" t="s">
        <v>918</v>
      </c>
      <c r="K729" t="s">
        <v>917</v>
      </c>
      <c r="L729" t="s">
        <v>916</v>
      </c>
      <c r="M729" t="s">
        <v>915</v>
      </c>
      <c r="N729">
        <v>5</v>
      </c>
      <c r="O729" t="s">
        <v>914</v>
      </c>
      <c r="P729" t="s">
        <v>913</v>
      </c>
      <c r="Q729" t="s">
        <v>912</v>
      </c>
      <c r="R729" s="7">
        <v>36342</v>
      </c>
      <c r="S729" s="8">
        <f t="shared" si="88"/>
        <v>1999</v>
      </c>
      <c r="T729" s="8">
        <v>1999</v>
      </c>
      <c r="U729" s="8">
        <f t="shared" si="89"/>
        <v>23</v>
      </c>
      <c r="V729" s="7">
        <v>36342</v>
      </c>
      <c r="W729" t="s">
        <v>66</v>
      </c>
      <c r="X729" s="2">
        <v>0.371</v>
      </c>
      <c r="Y729" s="6">
        <f t="shared" si="90"/>
        <v>9.9036331117695747E-3</v>
      </c>
      <c r="AA729">
        <v>486604</v>
      </c>
      <c r="AB729">
        <v>28580</v>
      </c>
      <c r="AD729" t="s">
        <v>2</v>
      </c>
      <c r="AE729">
        <v>34</v>
      </c>
      <c r="AF729">
        <v>4</v>
      </c>
      <c r="AH729" t="s">
        <v>911</v>
      </c>
      <c r="AI729" t="s">
        <v>910</v>
      </c>
      <c r="AK729" t="s">
        <v>909</v>
      </c>
      <c r="AL729">
        <v>0</v>
      </c>
      <c r="AM729" s="5">
        <f t="shared" si="91"/>
        <v>0</v>
      </c>
      <c r="AN729" s="4">
        <f t="shared" si="92"/>
        <v>0</v>
      </c>
      <c r="AO729" s="3"/>
      <c r="AP729">
        <v>1</v>
      </c>
      <c r="AR729" t="s">
        <v>1</v>
      </c>
      <c r="AT729" s="2">
        <v>1.431</v>
      </c>
      <c r="AU729" s="1">
        <f t="shared" si="93"/>
        <v>0.69325431782387015</v>
      </c>
      <c r="AV729" s="1">
        <f t="shared" si="94"/>
        <v>0.49518165558847871</v>
      </c>
      <c r="AW729" s="1">
        <f t="shared" si="95"/>
        <v>0.29710899335308727</v>
      </c>
    </row>
    <row r="730" spans="1:49" x14ac:dyDescent="0.2">
      <c r="A730">
        <v>728</v>
      </c>
      <c r="B730" t="s">
        <v>908</v>
      </c>
      <c r="C730" t="s">
        <v>907</v>
      </c>
      <c r="F730" t="s">
        <v>906</v>
      </c>
      <c r="G730" t="s">
        <v>6</v>
      </c>
      <c r="H730" t="s">
        <v>5</v>
      </c>
      <c r="I730" t="s">
        <v>905</v>
      </c>
      <c r="J730">
        <v>60021032</v>
      </c>
      <c r="K730" t="s">
        <v>329</v>
      </c>
      <c r="L730" t="s">
        <v>328</v>
      </c>
      <c r="M730" t="s">
        <v>3</v>
      </c>
      <c r="N730">
        <v>2</v>
      </c>
      <c r="O730" t="s">
        <v>904</v>
      </c>
      <c r="P730" t="s">
        <v>903</v>
      </c>
      <c r="Q730" t="s">
        <v>327</v>
      </c>
      <c r="R730" s="7">
        <v>36342</v>
      </c>
      <c r="S730" s="8">
        <f t="shared" si="88"/>
        <v>1999</v>
      </c>
      <c r="T730" s="8">
        <v>1999</v>
      </c>
      <c r="U730" s="8">
        <f t="shared" si="89"/>
        <v>23</v>
      </c>
      <c r="V730" s="7">
        <v>36342</v>
      </c>
      <c r="W730" t="s">
        <v>66</v>
      </c>
      <c r="X730" s="2">
        <v>0.371</v>
      </c>
      <c r="Y730" s="6">
        <f t="shared" si="90"/>
        <v>9.9036331117695747E-3</v>
      </c>
      <c r="AA730">
        <v>486604</v>
      </c>
      <c r="AB730">
        <v>28580</v>
      </c>
      <c r="AD730" t="s">
        <v>2</v>
      </c>
      <c r="AE730">
        <v>34</v>
      </c>
      <c r="AF730">
        <v>4</v>
      </c>
      <c r="AH730" t="s">
        <v>902</v>
      </c>
      <c r="AI730" t="s">
        <v>901</v>
      </c>
      <c r="AK730" t="s">
        <v>900</v>
      </c>
      <c r="AL730">
        <v>3</v>
      </c>
      <c r="AM730" s="5">
        <f t="shared" si="91"/>
        <v>0.13043478260869565</v>
      </c>
      <c r="AN730" s="4">
        <f t="shared" si="92"/>
        <v>1.9755362757848641E-4</v>
      </c>
      <c r="AO730" s="3"/>
      <c r="AP730">
        <v>1</v>
      </c>
      <c r="AR730" t="s">
        <v>1</v>
      </c>
      <c r="AT730" s="2">
        <v>1.431</v>
      </c>
      <c r="AU730" s="1">
        <f t="shared" si="93"/>
        <v>0.69918092665122478</v>
      </c>
      <c r="AV730" s="1">
        <f t="shared" si="94"/>
        <v>0.50505933696740313</v>
      </c>
      <c r="AW730" s="1">
        <f t="shared" si="95"/>
        <v>0.31093774728358131</v>
      </c>
    </row>
    <row r="731" spans="1:49" x14ac:dyDescent="0.2">
      <c r="A731">
        <v>729</v>
      </c>
      <c r="B731" t="s">
        <v>899</v>
      </c>
      <c r="C731" t="s">
        <v>898</v>
      </c>
      <c r="F731" t="s">
        <v>897</v>
      </c>
      <c r="G731" t="s">
        <v>6</v>
      </c>
      <c r="H731" t="s">
        <v>5</v>
      </c>
      <c r="I731" t="s">
        <v>896</v>
      </c>
      <c r="J731" t="s">
        <v>895</v>
      </c>
      <c r="K731" t="s">
        <v>894</v>
      </c>
      <c r="L731" t="s">
        <v>893</v>
      </c>
      <c r="M731" t="s">
        <v>383</v>
      </c>
      <c r="N731">
        <v>5</v>
      </c>
      <c r="O731" t="s">
        <v>892</v>
      </c>
      <c r="P731" t="s">
        <v>891</v>
      </c>
      <c r="Q731" t="s">
        <v>890</v>
      </c>
      <c r="R731" s="7">
        <v>36342</v>
      </c>
      <c r="S731" s="8">
        <f t="shared" si="88"/>
        <v>1999</v>
      </c>
      <c r="T731" s="8">
        <v>1999</v>
      </c>
      <c r="U731" s="8">
        <f t="shared" si="89"/>
        <v>23</v>
      </c>
      <c r="V731" s="7">
        <v>36342</v>
      </c>
      <c r="W731" t="s">
        <v>615</v>
      </c>
      <c r="X731" s="2">
        <v>0.66800000000000004</v>
      </c>
      <c r="Y731" s="6">
        <f t="shared" si="90"/>
        <v>1.7831878486959774E-2</v>
      </c>
      <c r="AA731" t="s">
        <v>614</v>
      </c>
      <c r="AB731">
        <v>29593</v>
      </c>
      <c r="AC731">
        <v>21553165</v>
      </c>
      <c r="AD731" t="s">
        <v>2</v>
      </c>
      <c r="AE731">
        <v>38</v>
      </c>
      <c r="AF731">
        <v>19</v>
      </c>
      <c r="AH731" t="s">
        <v>889</v>
      </c>
      <c r="AI731" t="s">
        <v>888</v>
      </c>
      <c r="AK731" t="s">
        <v>887</v>
      </c>
      <c r="AL731">
        <v>32</v>
      </c>
      <c r="AM731" s="5">
        <f t="shared" si="91"/>
        <v>1.3913043478260869</v>
      </c>
      <c r="AN731" s="4">
        <f t="shared" si="92"/>
        <v>2.1072386941705218E-3</v>
      </c>
      <c r="AO731" s="3"/>
      <c r="AP731">
        <v>0</v>
      </c>
      <c r="AR731" t="s">
        <v>1</v>
      </c>
      <c r="AT731" s="2">
        <v>1.98</v>
      </c>
      <c r="AU731" s="1">
        <f t="shared" si="93"/>
        <v>1.3114486549122997</v>
      </c>
      <c r="AV731" s="1">
        <f t="shared" si="94"/>
        <v>0.99695585905651474</v>
      </c>
      <c r="AW731" s="1">
        <f t="shared" si="95"/>
        <v>0.68246306320072969</v>
      </c>
    </row>
    <row r="732" spans="1:49" x14ac:dyDescent="0.2">
      <c r="A732">
        <v>730</v>
      </c>
      <c r="B732" t="s">
        <v>886</v>
      </c>
      <c r="F732" t="s">
        <v>885</v>
      </c>
      <c r="G732" t="s">
        <v>6</v>
      </c>
      <c r="H732" t="s">
        <v>5</v>
      </c>
      <c r="I732" t="s">
        <v>884</v>
      </c>
      <c r="J732">
        <v>60029859</v>
      </c>
      <c r="K732" t="s">
        <v>883</v>
      </c>
      <c r="L732" t="s">
        <v>245</v>
      </c>
      <c r="M732" t="s">
        <v>47</v>
      </c>
      <c r="N732">
        <v>2</v>
      </c>
      <c r="O732" t="s">
        <v>882</v>
      </c>
      <c r="P732" t="s">
        <v>881</v>
      </c>
      <c r="Q732" t="s">
        <v>880</v>
      </c>
      <c r="R732" s="7">
        <v>36342</v>
      </c>
      <c r="S732" s="8">
        <f t="shared" si="88"/>
        <v>1999</v>
      </c>
      <c r="T732" s="8">
        <v>1999</v>
      </c>
      <c r="U732" s="8">
        <f t="shared" si="89"/>
        <v>23</v>
      </c>
      <c r="V732" s="7">
        <v>36342</v>
      </c>
      <c r="W732" t="s">
        <v>178</v>
      </c>
      <c r="X732" s="2">
        <v>0.33800000000000002</v>
      </c>
      <c r="Y732" s="6">
        <f t="shared" si="90"/>
        <v>9.0227169589706634E-3</v>
      </c>
      <c r="AA732">
        <v>34347</v>
      </c>
      <c r="AB732">
        <v>17722</v>
      </c>
      <c r="AC732">
        <v>19589395</v>
      </c>
      <c r="AD732" t="s">
        <v>2</v>
      </c>
      <c r="AE732">
        <v>54</v>
      </c>
      <c r="AF732">
        <v>7</v>
      </c>
      <c r="AH732" t="s">
        <v>879</v>
      </c>
      <c r="AI732" t="s">
        <v>878</v>
      </c>
      <c r="AK732" t="s">
        <v>877</v>
      </c>
      <c r="AL732">
        <v>3</v>
      </c>
      <c r="AM732" s="5">
        <f t="shared" si="91"/>
        <v>0.13043478260869565</v>
      </c>
      <c r="AN732" s="4">
        <f t="shared" si="92"/>
        <v>1.9755362757848641E-4</v>
      </c>
      <c r="AO732" s="3"/>
      <c r="AP732">
        <v>0</v>
      </c>
      <c r="AR732" t="s">
        <v>1</v>
      </c>
      <c r="AT732" s="2" t="s">
        <v>0</v>
      </c>
      <c r="AU732" s="1">
        <f t="shared" si="93"/>
        <v>0.63751679595530097</v>
      </c>
      <c r="AV732" s="1">
        <f t="shared" si="94"/>
        <v>0.46101352932745754</v>
      </c>
      <c r="AW732" s="1">
        <f t="shared" si="95"/>
        <v>0.28451026269961394</v>
      </c>
    </row>
    <row r="733" spans="1:49" x14ac:dyDescent="0.2">
      <c r="A733">
        <v>731</v>
      </c>
      <c r="B733" t="s">
        <v>876</v>
      </c>
      <c r="F733" t="s">
        <v>875</v>
      </c>
      <c r="G733" t="s">
        <v>6</v>
      </c>
      <c r="H733" t="s">
        <v>5</v>
      </c>
      <c r="I733" t="s">
        <v>874</v>
      </c>
      <c r="J733">
        <v>60029570</v>
      </c>
      <c r="K733" t="s">
        <v>873</v>
      </c>
      <c r="L733" t="s">
        <v>872</v>
      </c>
      <c r="M733" t="s">
        <v>590</v>
      </c>
      <c r="N733">
        <v>2</v>
      </c>
      <c r="O733" t="s">
        <v>871</v>
      </c>
      <c r="P733" t="s">
        <v>870</v>
      </c>
      <c r="Q733" t="s">
        <v>869</v>
      </c>
      <c r="R733" s="7">
        <v>36342</v>
      </c>
      <c r="S733" s="8">
        <f t="shared" si="88"/>
        <v>1999</v>
      </c>
      <c r="T733" s="8">
        <v>1999</v>
      </c>
      <c r="U733" s="8">
        <f t="shared" si="89"/>
        <v>23</v>
      </c>
      <c r="V733" s="7">
        <v>36342</v>
      </c>
      <c r="W733" t="s">
        <v>178</v>
      </c>
      <c r="X733" s="2">
        <v>0.33800000000000002</v>
      </c>
      <c r="Y733" s="6">
        <f t="shared" si="90"/>
        <v>9.0227169589706634E-3</v>
      </c>
      <c r="AA733">
        <v>34347</v>
      </c>
      <c r="AB733">
        <v>17722</v>
      </c>
      <c r="AC733">
        <v>19589395</v>
      </c>
      <c r="AD733" t="s">
        <v>2</v>
      </c>
      <c r="AE733">
        <v>54</v>
      </c>
      <c r="AF733">
        <v>7</v>
      </c>
      <c r="AH733" t="s">
        <v>868</v>
      </c>
      <c r="AI733" t="s">
        <v>867</v>
      </c>
      <c r="AK733" t="s">
        <v>866</v>
      </c>
      <c r="AL733">
        <v>6</v>
      </c>
      <c r="AM733" s="5">
        <f t="shared" si="91"/>
        <v>0.2608695652173913</v>
      </c>
      <c r="AN733" s="4">
        <f t="shared" si="92"/>
        <v>3.9510725515697282E-4</v>
      </c>
      <c r="AO733" s="3"/>
      <c r="AP733">
        <v>0</v>
      </c>
      <c r="AR733" t="s">
        <v>1</v>
      </c>
      <c r="AT733" s="2" t="s">
        <v>0</v>
      </c>
      <c r="AU733" s="1">
        <f t="shared" si="93"/>
        <v>0.6434434047826556</v>
      </c>
      <c r="AV733" s="1">
        <f t="shared" si="94"/>
        <v>0.47089121070638179</v>
      </c>
      <c r="AW733" s="1">
        <f t="shared" si="95"/>
        <v>0.29833901663010798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2021-11-11T10:45:58Z</dcterms:created>
  <dcterms:modified xsi:type="dcterms:W3CDTF">2022-01-19T20:30:34Z</dcterms:modified>
</cp:coreProperties>
</file>