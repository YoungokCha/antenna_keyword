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 documentId="8_{7B0BD872-898B-0B47-9B23-95A5C265A488}" xr6:coauthVersionLast="47" xr6:coauthVersionMax="47" xr10:uidLastSave="{A15A4889-AEB3-F042-992A-A085EEEF97CE}"/>
  <bookViews>
    <workbookView xWindow="12320" yWindow="3740" windowWidth="27640" windowHeight="16940" xr2:uid="{8BADF099-EB75-864E-9A89-513D19E45DFE}"/>
  </bookViews>
  <sheets>
    <sheet name="1990"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 i="1" l="1"/>
  <c r="U2" i="1"/>
  <c r="AM2" i="1" s="1"/>
  <c r="AN2" i="1" s="1"/>
  <c r="Y2" i="1"/>
  <c r="S3" i="1"/>
  <c r="U3" i="1"/>
  <c r="Y3" i="1"/>
  <c r="AM3" i="1"/>
  <c r="AN3" i="1"/>
  <c r="AU3" i="1" s="1"/>
  <c r="S4" i="1"/>
  <c r="U4" i="1"/>
  <c r="AM4" i="1" s="1"/>
  <c r="AN4" i="1" s="1"/>
  <c r="Y4" i="1"/>
  <c r="S5" i="1"/>
  <c r="U5" i="1"/>
  <c r="AM5" i="1" s="1"/>
  <c r="AN5" i="1" s="1"/>
  <c r="Y5" i="1"/>
  <c r="S6" i="1"/>
  <c r="U6" i="1"/>
  <c r="AM6" i="1" s="1"/>
  <c r="AN6" i="1" s="1"/>
  <c r="Y6" i="1"/>
  <c r="S7" i="1"/>
  <c r="U7" i="1"/>
  <c r="AM7" i="1" s="1"/>
  <c r="AN7" i="1" s="1"/>
  <c r="Y7" i="1"/>
  <c r="S8" i="1"/>
  <c r="U8" i="1"/>
  <c r="Y8" i="1"/>
  <c r="AM8" i="1"/>
  <c r="AN8" i="1"/>
  <c r="AU8" i="1"/>
  <c r="S9" i="1"/>
  <c r="U9" i="1"/>
  <c r="AM9" i="1" s="1"/>
  <c r="AN9" i="1" s="1"/>
  <c r="Y9" i="1"/>
  <c r="AU9" i="1" s="1"/>
  <c r="S10" i="1"/>
  <c r="U10" i="1"/>
  <c r="AM10" i="1" s="1"/>
  <c r="AN10" i="1" s="1"/>
  <c r="Y10" i="1"/>
  <c r="S11" i="1"/>
  <c r="U11" i="1"/>
  <c r="AM11" i="1" s="1"/>
  <c r="AN11" i="1" s="1"/>
  <c r="Y11" i="1"/>
  <c r="S12" i="1"/>
  <c r="U12" i="1"/>
  <c r="AM12" i="1" s="1"/>
  <c r="AN12" i="1" s="1"/>
  <c r="Y12" i="1"/>
  <c r="S13" i="1"/>
  <c r="U13" i="1"/>
  <c r="Y13" i="1"/>
  <c r="AM13" i="1"/>
  <c r="AN13" i="1"/>
  <c r="S14" i="1"/>
  <c r="U14" i="1"/>
  <c r="AM14" i="1" s="1"/>
  <c r="AN14" i="1" s="1"/>
  <c r="Y14" i="1"/>
  <c r="S15" i="1"/>
  <c r="U15" i="1"/>
  <c r="AM15" i="1" s="1"/>
  <c r="AN15" i="1" s="1"/>
  <c r="AV15" i="1" s="1"/>
  <c r="Y15" i="1"/>
  <c r="S16" i="1"/>
  <c r="U16" i="1"/>
  <c r="AM16" i="1" s="1"/>
  <c r="AN16" i="1" s="1"/>
  <c r="Y16" i="1"/>
  <c r="S17" i="1"/>
  <c r="U17" i="1"/>
  <c r="AM17" i="1" s="1"/>
  <c r="AN17" i="1" s="1"/>
  <c r="Y17" i="1"/>
  <c r="S18" i="1"/>
  <c r="U18" i="1"/>
  <c r="AM18" i="1" s="1"/>
  <c r="AN18" i="1" s="1"/>
  <c r="Y18" i="1"/>
  <c r="S19" i="1"/>
  <c r="U19" i="1"/>
  <c r="AM19" i="1" s="1"/>
  <c r="AN19" i="1" s="1"/>
  <c r="Y19" i="1"/>
  <c r="S20" i="1"/>
  <c r="U20" i="1"/>
  <c r="AM20" i="1" s="1"/>
  <c r="AN20" i="1" s="1"/>
  <c r="Y20" i="1"/>
  <c r="S21" i="1"/>
  <c r="U21" i="1"/>
  <c r="AM21" i="1" s="1"/>
  <c r="AN21" i="1" s="1"/>
  <c r="Y21" i="1"/>
  <c r="S22" i="1"/>
  <c r="U22" i="1"/>
  <c r="AM22" i="1" s="1"/>
  <c r="AN22" i="1" s="1"/>
  <c r="AU22" i="1" s="1"/>
  <c r="Y22" i="1"/>
  <c r="S23" i="1"/>
  <c r="U23" i="1"/>
  <c r="Y23" i="1"/>
  <c r="AM23" i="1"/>
  <c r="AN23" i="1"/>
  <c r="S24" i="1"/>
  <c r="U24" i="1"/>
  <c r="AM24" i="1" s="1"/>
  <c r="AN24" i="1" s="1"/>
  <c r="Y24" i="1"/>
  <c r="S25" i="1"/>
  <c r="U25" i="1"/>
  <c r="Y25" i="1"/>
  <c r="AM25" i="1"/>
  <c r="AN25" i="1" s="1"/>
  <c r="AV25" i="1" s="1"/>
  <c r="S26" i="1"/>
  <c r="U26" i="1"/>
  <c r="AM26" i="1" s="1"/>
  <c r="AN26" i="1" s="1"/>
  <c r="Y26" i="1"/>
  <c r="S27" i="1"/>
  <c r="U27" i="1"/>
  <c r="AM27" i="1" s="1"/>
  <c r="AN27" i="1" s="1"/>
  <c r="AU27" i="1" s="1"/>
  <c r="Y27" i="1"/>
  <c r="S28" i="1"/>
  <c r="U28" i="1"/>
  <c r="Y28" i="1"/>
  <c r="AM28" i="1"/>
  <c r="AN28" i="1" s="1"/>
  <c r="S29" i="1"/>
  <c r="U29" i="1"/>
  <c r="AM29" i="1" s="1"/>
  <c r="AN29" i="1" s="1"/>
  <c r="Y29" i="1"/>
  <c r="AU29" i="1" s="1"/>
  <c r="S30" i="1"/>
  <c r="U30" i="1"/>
  <c r="AM30" i="1" s="1"/>
  <c r="AN30" i="1" s="1"/>
  <c r="Y30" i="1"/>
  <c r="S31" i="1"/>
  <c r="U31" i="1"/>
  <c r="AM31" i="1" s="1"/>
  <c r="AN31" i="1" s="1"/>
  <c r="Y31" i="1"/>
  <c r="S32" i="1"/>
  <c r="U32" i="1"/>
  <c r="AM32" i="1" s="1"/>
  <c r="AN32" i="1" s="1"/>
  <c r="Y32" i="1"/>
  <c r="S33" i="1"/>
  <c r="U33" i="1"/>
  <c r="AM33" i="1" s="1"/>
  <c r="AN33" i="1" s="1"/>
  <c r="Y33" i="1"/>
  <c r="S34" i="1"/>
  <c r="U34" i="1"/>
  <c r="AM34" i="1" s="1"/>
  <c r="AN34" i="1" s="1"/>
  <c r="Y34" i="1"/>
  <c r="S35" i="1"/>
  <c r="U35" i="1"/>
  <c r="Y35" i="1"/>
  <c r="AM35" i="1"/>
  <c r="AN35" i="1" s="1"/>
  <c r="S36" i="1"/>
  <c r="U36" i="1"/>
  <c r="AM36" i="1" s="1"/>
  <c r="AN36" i="1" s="1"/>
  <c r="Y36" i="1"/>
  <c r="S37" i="1"/>
  <c r="U37" i="1"/>
  <c r="AM37" i="1" s="1"/>
  <c r="AN37" i="1" s="1"/>
  <c r="Y37" i="1"/>
  <c r="S38" i="1"/>
  <c r="U38" i="1"/>
  <c r="AM38" i="1" s="1"/>
  <c r="AN38" i="1" s="1"/>
  <c r="Y38" i="1"/>
  <c r="S39" i="1"/>
  <c r="U39" i="1"/>
  <c r="AM39" i="1" s="1"/>
  <c r="AN39" i="1" s="1"/>
  <c r="Y39" i="1"/>
  <c r="S40" i="1"/>
  <c r="U40" i="1"/>
  <c r="Y40" i="1"/>
  <c r="AM40" i="1"/>
  <c r="AN40" i="1" s="1"/>
  <c r="S41" i="1"/>
  <c r="U41" i="1"/>
  <c r="AM41" i="1" s="1"/>
  <c r="AN41" i="1" s="1"/>
  <c r="Y41" i="1"/>
  <c r="S42" i="1"/>
  <c r="U42" i="1"/>
  <c r="AM42" i="1" s="1"/>
  <c r="AN42" i="1" s="1"/>
  <c r="Y42" i="1"/>
  <c r="S43" i="1"/>
  <c r="U43" i="1"/>
  <c r="AM43" i="1" s="1"/>
  <c r="AN43" i="1" s="1"/>
  <c r="Y43" i="1"/>
  <c r="S44" i="1"/>
  <c r="U44" i="1"/>
  <c r="Y44" i="1"/>
  <c r="AM44" i="1"/>
  <c r="AN44" i="1" s="1"/>
  <c r="S45" i="1"/>
  <c r="U45" i="1"/>
  <c r="AM45" i="1" s="1"/>
  <c r="AN45" i="1" s="1"/>
  <c r="AV45" i="1" s="1"/>
  <c r="Y45" i="1"/>
  <c r="S46" i="1"/>
  <c r="U46" i="1"/>
  <c r="AM46" i="1" s="1"/>
  <c r="AN46" i="1" s="1"/>
  <c r="Y46" i="1"/>
  <c r="S47" i="1"/>
  <c r="U47" i="1"/>
  <c r="AM47" i="1" s="1"/>
  <c r="AN47" i="1" s="1"/>
  <c r="Y47" i="1"/>
  <c r="S48" i="1"/>
  <c r="U48" i="1"/>
  <c r="AM48" i="1" s="1"/>
  <c r="AN48" i="1" s="1"/>
  <c r="Y48" i="1"/>
  <c r="AU48" i="1" s="1"/>
  <c r="S49" i="1"/>
  <c r="U49" i="1"/>
  <c r="Y49" i="1"/>
  <c r="AM49" i="1"/>
  <c r="AN49" i="1" s="1"/>
  <c r="S50" i="1"/>
  <c r="U50" i="1"/>
  <c r="AM50" i="1" s="1"/>
  <c r="AN50" i="1" s="1"/>
  <c r="Y50" i="1"/>
  <c r="S51" i="1"/>
  <c r="U51" i="1"/>
  <c r="AM51" i="1" s="1"/>
  <c r="AN51" i="1" s="1"/>
  <c r="Y51" i="1"/>
  <c r="S52" i="1"/>
  <c r="U52" i="1"/>
  <c r="AM52" i="1" s="1"/>
  <c r="AN52" i="1" s="1"/>
  <c r="Y52" i="1"/>
  <c r="S53" i="1"/>
  <c r="U53" i="1"/>
  <c r="Y53" i="1"/>
  <c r="AM53" i="1"/>
  <c r="AN53" i="1" s="1"/>
  <c r="S54" i="1"/>
  <c r="U54" i="1"/>
  <c r="Y54" i="1"/>
  <c r="AM54" i="1"/>
  <c r="AN54" i="1" s="1"/>
  <c r="S55" i="1"/>
  <c r="U55" i="1"/>
  <c r="Y55" i="1"/>
  <c r="AM55" i="1"/>
  <c r="AN55" i="1" s="1"/>
  <c r="AV55" i="1" s="1"/>
  <c r="S56" i="1"/>
  <c r="U56" i="1"/>
  <c r="AM56" i="1" s="1"/>
  <c r="AN56" i="1" s="1"/>
  <c r="Y56" i="1"/>
  <c r="S57" i="1"/>
  <c r="U57" i="1"/>
  <c r="AM57" i="1" s="1"/>
  <c r="AN57" i="1" s="1"/>
  <c r="Y57" i="1"/>
  <c r="S58" i="1"/>
  <c r="U58" i="1"/>
  <c r="AM58" i="1" s="1"/>
  <c r="AN58" i="1" s="1"/>
  <c r="Y58" i="1"/>
  <c r="S59" i="1"/>
  <c r="U59" i="1"/>
  <c r="Y59" i="1"/>
  <c r="AM59" i="1"/>
  <c r="AN59" i="1" s="1"/>
  <c r="S60" i="1"/>
  <c r="U60" i="1"/>
  <c r="Y60" i="1"/>
  <c r="AM60" i="1"/>
  <c r="AN60" i="1" s="1"/>
  <c r="AV60" i="1" s="1"/>
  <c r="S61" i="1"/>
  <c r="U61" i="1"/>
  <c r="AM61" i="1" s="1"/>
  <c r="AN61" i="1" s="1"/>
  <c r="Y61" i="1"/>
  <c r="AU61" i="1" s="1"/>
  <c r="S62" i="1"/>
  <c r="U62" i="1"/>
  <c r="AM62" i="1" s="1"/>
  <c r="AN62" i="1" s="1"/>
  <c r="Y62" i="1"/>
  <c r="AV62" i="1" s="1"/>
  <c r="S63" i="1"/>
  <c r="U63" i="1"/>
  <c r="AM63" i="1" s="1"/>
  <c r="AN63" i="1" s="1"/>
  <c r="Y63" i="1"/>
  <c r="S64" i="1"/>
  <c r="U64" i="1"/>
  <c r="Y64" i="1"/>
  <c r="AM64" i="1"/>
  <c r="AN64" i="1" s="1"/>
  <c r="S65" i="1"/>
  <c r="U65" i="1"/>
  <c r="AM65" i="1" s="1"/>
  <c r="AN65" i="1" s="1"/>
  <c r="Y65" i="1"/>
  <c r="S66" i="1"/>
  <c r="U66" i="1"/>
  <c r="AM66" i="1" s="1"/>
  <c r="AN66" i="1" s="1"/>
  <c r="Y66" i="1"/>
  <c r="S67" i="1"/>
  <c r="U67" i="1"/>
  <c r="AM67" i="1" s="1"/>
  <c r="AN67" i="1" s="1"/>
  <c r="Y67" i="1"/>
  <c r="S68" i="1"/>
  <c r="U68" i="1"/>
  <c r="AM68" i="1" s="1"/>
  <c r="AN68" i="1" s="1"/>
  <c r="Y68" i="1"/>
  <c r="S69" i="1"/>
  <c r="U69" i="1"/>
  <c r="Y69" i="1"/>
  <c r="AM69" i="1"/>
  <c r="AN69" i="1" s="1"/>
  <c r="S70" i="1"/>
  <c r="U70" i="1"/>
  <c r="AM70" i="1" s="1"/>
  <c r="AN70" i="1" s="1"/>
  <c r="Y70" i="1"/>
  <c r="AU70" i="1" s="1"/>
  <c r="S71" i="1"/>
  <c r="U71" i="1"/>
  <c r="AM71" i="1" s="1"/>
  <c r="AN71" i="1" s="1"/>
  <c r="Y71" i="1"/>
  <c r="AU71" i="1" s="1"/>
  <c r="S72" i="1"/>
  <c r="U72" i="1"/>
  <c r="AM72" i="1" s="1"/>
  <c r="AN72" i="1" s="1"/>
  <c r="Y72" i="1"/>
  <c r="AV72" i="1" s="1"/>
  <c r="AW72" i="1"/>
  <c r="S73" i="1"/>
  <c r="U73" i="1"/>
  <c r="Y73" i="1"/>
  <c r="AM73" i="1"/>
  <c r="AN73" i="1"/>
  <c r="S74" i="1"/>
  <c r="U74" i="1"/>
  <c r="Y74" i="1"/>
  <c r="AM74" i="1"/>
  <c r="AN74" i="1" s="1"/>
  <c r="S75" i="1"/>
  <c r="U75" i="1"/>
  <c r="Y75" i="1"/>
  <c r="AM75" i="1"/>
  <c r="AN75" i="1" s="1"/>
  <c r="AV75" i="1" s="1"/>
  <c r="S76" i="1"/>
  <c r="U76" i="1"/>
  <c r="AM76" i="1" s="1"/>
  <c r="AN76" i="1" s="1"/>
  <c r="Y76" i="1"/>
  <c r="S77" i="1"/>
  <c r="U77" i="1"/>
  <c r="AM77" i="1" s="1"/>
  <c r="AN77" i="1" s="1"/>
  <c r="Y77" i="1"/>
  <c r="S78" i="1"/>
  <c r="U78" i="1"/>
  <c r="AM78" i="1" s="1"/>
  <c r="AN78" i="1" s="1"/>
  <c r="Y78" i="1"/>
  <c r="S79" i="1"/>
  <c r="U79" i="1"/>
  <c r="AM79" i="1" s="1"/>
  <c r="AN79" i="1" s="1"/>
  <c r="Y79" i="1"/>
  <c r="S80" i="1"/>
  <c r="U80" i="1"/>
  <c r="Y80" i="1"/>
  <c r="AM80" i="1"/>
  <c r="AN80" i="1" s="1"/>
  <c r="S81" i="1"/>
  <c r="U81" i="1"/>
  <c r="AM81" i="1" s="1"/>
  <c r="AN81" i="1" s="1"/>
  <c r="Y81" i="1"/>
  <c r="AU81" i="1" s="1"/>
  <c r="S82" i="1"/>
  <c r="U82" i="1"/>
  <c r="AM82" i="1" s="1"/>
  <c r="AN82" i="1" s="1"/>
  <c r="Y82" i="1"/>
  <c r="S83" i="1"/>
  <c r="U83" i="1"/>
  <c r="AM83" i="1" s="1"/>
  <c r="AN83" i="1" s="1"/>
  <c r="Y83" i="1"/>
  <c r="S84" i="1"/>
  <c r="U84" i="1"/>
  <c r="Y84" i="1"/>
  <c r="AM84" i="1"/>
  <c r="AN84" i="1" s="1"/>
  <c r="S85" i="1"/>
  <c r="U85" i="1"/>
  <c r="AM85" i="1" s="1"/>
  <c r="AN85" i="1" s="1"/>
  <c r="AV85" i="1" s="1"/>
  <c r="Y85" i="1"/>
  <c r="S86" i="1"/>
  <c r="U86" i="1"/>
  <c r="AM86" i="1" s="1"/>
  <c r="AN86" i="1" s="1"/>
  <c r="Y86" i="1"/>
  <c r="S87" i="1"/>
  <c r="U87" i="1"/>
  <c r="AM87" i="1" s="1"/>
  <c r="AN87" i="1" s="1"/>
  <c r="Y87" i="1"/>
  <c r="S88" i="1"/>
  <c r="U88" i="1"/>
  <c r="AM88" i="1" s="1"/>
  <c r="AN88" i="1" s="1"/>
  <c r="Y88" i="1"/>
  <c r="S89" i="1"/>
  <c r="U89" i="1"/>
  <c r="Y89" i="1"/>
  <c r="AM89" i="1"/>
  <c r="AN89" i="1" s="1"/>
  <c r="S90" i="1"/>
  <c r="U90" i="1"/>
  <c r="AM90" i="1" s="1"/>
  <c r="AN90" i="1" s="1"/>
  <c r="Y90" i="1"/>
  <c r="S91" i="1"/>
  <c r="U91" i="1"/>
  <c r="AM91" i="1" s="1"/>
  <c r="AN91" i="1" s="1"/>
  <c r="Y91" i="1"/>
  <c r="AU91" i="1" s="1"/>
  <c r="S92" i="1"/>
  <c r="U92" i="1"/>
  <c r="AM92" i="1" s="1"/>
  <c r="AN92" i="1" s="1"/>
  <c r="Y92" i="1"/>
  <c r="S93" i="1"/>
  <c r="U93" i="1"/>
  <c r="AM93" i="1" s="1"/>
  <c r="AN93" i="1" s="1"/>
  <c r="Y93" i="1"/>
  <c r="S94" i="1"/>
  <c r="U94" i="1"/>
  <c r="AM94" i="1" s="1"/>
  <c r="AN94" i="1" s="1"/>
  <c r="Y94" i="1"/>
  <c r="S95" i="1"/>
  <c r="U95" i="1"/>
  <c r="AM95" i="1" s="1"/>
  <c r="AN95" i="1" s="1"/>
  <c r="Y95" i="1"/>
  <c r="S96" i="1"/>
  <c r="U96" i="1"/>
  <c r="AM96" i="1" s="1"/>
  <c r="AN96" i="1" s="1"/>
  <c r="Y96" i="1"/>
  <c r="S97" i="1"/>
  <c r="U97" i="1"/>
  <c r="AM97" i="1" s="1"/>
  <c r="AN97" i="1" s="1"/>
  <c r="Y97" i="1"/>
  <c r="S98" i="1"/>
  <c r="U98" i="1"/>
  <c r="AM98" i="1" s="1"/>
  <c r="AN98" i="1" s="1"/>
  <c r="Y98" i="1"/>
  <c r="S99" i="1"/>
  <c r="U99" i="1"/>
  <c r="Y99" i="1"/>
  <c r="AM99" i="1"/>
  <c r="AN99" i="1" s="1"/>
  <c r="S100" i="1"/>
  <c r="U100" i="1"/>
  <c r="AM100" i="1" s="1"/>
  <c r="AN100" i="1" s="1"/>
  <c r="Y100" i="1"/>
  <c r="AV100" i="1" s="1"/>
  <c r="S101" i="1"/>
  <c r="U101" i="1"/>
  <c r="AM101" i="1" s="1"/>
  <c r="AN101" i="1" s="1"/>
  <c r="Y101" i="1"/>
  <c r="AV101" i="1" s="1"/>
  <c r="S102" i="1"/>
  <c r="U102" i="1"/>
  <c r="AM102" i="1" s="1"/>
  <c r="AN102" i="1" s="1"/>
  <c r="Y102" i="1"/>
  <c r="S103" i="1"/>
  <c r="U103" i="1"/>
  <c r="Y103" i="1"/>
  <c r="AM103" i="1"/>
  <c r="AN103" i="1"/>
  <c r="S104" i="1"/>
  <c r="U104" i="1"/>
  <c r="AM104" i="1" s="1"/>
  <c r="AN104" i="1" s="1"/>
  <c r="Y104" i="1"/>
  <c r="S105" i="1"/>
  <c r="U105" i="1"/>
  <c r="AM105" i="1" s="1"/>
  <c r="AN105" i="1" s="1"/>
  <c r="Y105" i="1"/>
  <c r="S106" i="1"/>
  <c r="U106" i="1"/>
  <c r="AM106" i="1" s="1"/>
  <c r="AN106" i="1" s="1"/>
  <c r="Y106" i="1"/>
  <c r="S107" i="1"/>
  <c r="U107" i="1"/>
  <c r="AM107" i="1" s="1"/>
  <c r="AN107" i="1" s="1"/>
  <c r="Y107" i="1"/>
  <c r="AV107" i="1" s="1"/>
  <c r="S108" i="1"/>
  <c r="U108" i="1"/>
  <c r="Y108" i="1"/>
  <c r="AM108" i="1"/>
  <c r="AN108" i="1"/>
  <c r="S109" i="1"/>
  <c r="U109" i="1"/>
  <c r="AM109" i="1" s="1"/>
  <c r="AN109" i="1" s="1"/>
  <c r="Y109" i="1"/>
  <c r="S110" i="1"/>
  <c r="U110" i="1"/>
  <c r="AM110" i="1" s="1"/>
  <c r="AN110" i="1" s="1"/>
  <c r="Y110" i="1"/>
  <c r="S111" i="1"/>
  <c r="U111" i="1"/>
  <c r="AM111" i="1" s="1"/>
  <c r="AN111" i="1" s="1"/>
  <c r="Y111" i="1"/>
  <c r="AV111" i="1"/>
  <c r="S112" i="1"/>
  <c r="U112" i="1"/>
  <c r="AM112" i="1" s="1"/>
  <c r="AN112" i="1" s="1"/>
  <c r="Y112" i="1"/>
  <c r="AV112" i="1" s="1"/>
  <c r="S113" i="1"/>
  <c r="U113" i="1"/>
  <c r="Y113" i="1"/>
  <c r="AM113" i="1"/>
  <c r="AN113" i="1"/>
  <c r="S114" i="1"/>
  <c r="U114" i="1"/>
  <c r="Y114" i="1"/>
  <c r="AM114" i="1"/>
  <c r="AN114" i="1" s="1"/>
  <c r="S115" i="1"/>
  <c r="U115" i="1"/>
  <c r="Y115" i="1"/>
  <c r="AM115" i="1"/>
  <c r="AN115" i="1" s="1"/>
  <c r="AV115" i="1" s="1"/>
  <c r="S116" i="1"/>
  <c r="U116" i="1"/>
  <c r="AM116" i="1" s="1"/>
  <c r="AN116" i="1" s="1"/>
  <c r="Y116" i="1"/>
  <c r="AU116" i="1" s="1"/>
  <c r="AV116" i="1"/>
  <c r="S117" i="1"/>
  <c r="U117" i="1"/>
  <c r="AM117" i="1" s="1"/>
  <c r="AN117" i="1" s="1"/>
  <c r="Y117" i="1"/>
  <c r="AV117" i="1"/>
  <c r="S118" i="1"/>
  <c r="U118" i="1"/>
  <c r="Y118" i="1"/>
  <c r="AM118" i="1"/>
  <c r="AN118" i="1"/>
  <c r="S119" i="1"/>
  <c r="U119" i="1"/>
  <c r="AM119" i="1" s="1"/>
  <c r="AN119" i="1" s="1"/>
  <c r="Y119" i="1"/>
  <c r="S120" i="1"/>
  <c r="U120" i="1"/>
  <c r="Y120" i="1"/>
  <c r="AM120" i="1"/>
  <c r="AN120" i="1" s="1"/>
  <c r="S121" i="1"/>
  <c r="U121" i="1"/>
  <c r="AM121" i="1" s="1"/>
  <c r="AN121" i="1" s="1"/>
  <c r="Y121" i="1"/>
  <c r="S122" i="1"/>
  <c r="U122" i="1"/>
  <c r="AM122" i="1" s="1"/>
  <c r="AN122" i="1" s="1"/>
  <c r="Y122" i="1"/>
  <c r="AV122" i="1"/>
  <c r="S123" i="1"/>
  <c r="U123" i="1"/>
  <c r="AM123" i="1" s="1"/>
  <c r="AN123" i="1" s="1"/>
  <c r="Y123" i="1"/>
  <c r="S124" i="1"/>
  <c r="U124" i="1"/>
  <c r="AM124" i="1" s="1"/>
  <c r="AN124" i="1" s="1"/>
  <c r="Y124" i="1"/>
  <c r="S125" i="1"/>
  <c r="U125" i="1"/>
  <c r="AM125" i="1" s="1"/>
  <c r="AN125" i="1" s="1"/>
  <c r="Y125" i="1"/>
  <c r="AV125" i="1" s="1"/>
  <c r="S126" i="1"/>
  <c r="U126" i="1"/>
  <c r="AM126" i="1" s="1"/>
  <c r="AN126" i="1" s="1"/>
  <c r="Y126" i="1"/>
  <c r="S127" i="1"/>
  <c r="U127" i="1"/>
  <c r="AM127" i="1" s="1"/>
  <c r="AN127" i="1" s="1"/>
  <c r="Y127" i="1"/>
  <c r="S128" i="1"/>
  <c r="U128" i="1"/>
  <c r="AM128" i="1" s="1"/>
  <c r="AN128" i="1" s="1"/>
  <c r="Y128" i="1"/>
  <c r="S129" i="1"/>
  <c r="U129" i="1"/>
  <c r="AM129" i="1" s="1"/>
  <c r="AN129" i="1" s="1"/>
  <c r="Y129" i="1"/>
  <c r="S130" i="1"/>
  <c r="U130" i="1"/>
  <c r="Y130" i="1"/>
  <c r="AM130" i="1"/>
  <c r="AN130" i="1" s="1"/>
  <c r="AV130" i="1"/>
  <c r="S131" i="1"/>
  <c r="U131" i="1"/>
  <c r="AM131" i="1" s="1"/>
  <c r="AN131" i="1" s="1"/>
  <c r="Y131" i="1"/>
  <c r="S132" i="1"/>
  <c r="U132" i="1"/>
  <c r="AM132" i="1" s="1"/>
  <c r="AN132" i="1" s="1"/>
  <c r="Y132" i="1"/>
  <c r="S133" i="1"/>
  <c r="U133" i="1"/>
  <c r="AM133" i="1" s="1"/>
  <c r="AN133" i="1" s="1"/>
  <c r="Y133" i="1"/>
  <c r="S134" i="1"/>
  <c r="U134" i="1"/>
  <c r="Y134" i="1"/>
  <c r="AM134" i="1"/>
  <c r="AN134" i="1" s="1"/>
  <c r="S135" i="1"/>
  <c r="U135" i="1"/>
  <c r="Y135" i="1"/>
  <c r="AM135" i="1"/>
  <c r="AN135" i="1" s="1"/>
  <c r="S136" i="1"/>
  <c r="U136" i="1"/>
  <c r="AM136" i="1" s="1"/>
  <c r="AN136" i="1" s="1"/>
  <c r="Y136" i="1"/>
  <c r="S137" i="1"/>
  <c r="U137" i="1"/>
  <c r="AM137" i="1" s="1"/>
  <c r="AN137" i="1" s="1"/>
  <c r="Y137" i="1"/>
  <c r="AU137" i="1" s="1"/>
  <c r="AV137" i="1"/>
  <c r="S138" i="1"/>
  <c r="U138" i="1"/>
  <c r="AM138" i="1" s="1"/>
  <c r="AN138" i="1" s="1"/>
  <c r="Y138" i="1"/>
  <c r="S139" i="1"/>
  <c r="U139" i="1"/>
  <c r="Y139" i="1"/>
  <c r="AM139" i="1"/>
  <c r="AN139" i="1" s="1"/>
  <c r="S140" i="1"/>
  <c r="U140" i="1"/>
  <c r="Y140" i="1"/>
  <c r="AM140" i="1"/>
  <c r="AN140" i="1" s="1"/>
  <c r="S141" i="1"/>
  <c r="U141" i="1"/>
  <c r="AM141" i="1" s="1"/>
  <c r="AN141" i="1" s="1"/>
  <c r="Y141" i="1"/>
  <c r="S142" i="1"/>
  <c r="U142" i="1"/>
  <c r="AM142" i="1" s="1"/>
  <c r="AN142" i="1" s="1"/>
  <c r="Y142" i="1"/>
  <c r="AV142" i="1" s="1"/>
  <c r="S143" i="1"/>
  <c r="U143" i="1"/>
  <c r="AM143" i="1" s="1"/>
  <c r="AN143" i="1" s="1"/>
  <c r="Y143" i="1"/>
  <c r="S144" i="1"/>
  <c r="U144" i="1"/>
  <c r="AM144" i="1" s="1"/>
  <c r="AN144" i="1" s="1"/>
  <c r="Y144" i="1"/>
  <c r="S145" i="1"/>
  <c r="U145" i="1"/>
  <c r="Y145" i="1"/>
  <c r="AM145" i="1"/>
  <c r="AN145" i="1" s="1"/>
  <c r="S146" i="1"/>
  <c r="U146" i="1"/>
  <c r="AM146" i="1" s="1"/>
  <c r="Y146" i="1"/>
  <c r="AN146" i="1"/>
  <c r="AV146" i="1" s="1"/>
  <c r="S147" i="1"/>
  <c r="U147" i="1"/>
  <c r="AM147" i="1" s="1"/>
  <c r="AN147" i="1" s="1"/>
  <c r="Y147" i="1"/>
  <c r="AU147" i="1" s="1"/>
  <c r="S148" i="1"/>
  <c r="U148" i="1"/>
  <c r="Y148" i="1"/>
  <c r="AM148" i="1"/>
  <c r="AN148" i="1" s="1"/>
  <c r="AV148" i="1" s="1"/>
  <c r="S149" i="1"/>
  <c r="U149" i="1"/>
  <c r="AM149" i="1" s="1"/>
  <c r="AN149" i="1" s="1"/>
  <c r="Y149" i="1"/>
  <c r="S150" i="1"/>
  <c r="U150" i="1"/>
  <c r="AM150" i="1" s="1"/>
  <c r="AN150" i="1" s="1"/>
  <c r="Y150" i="1"/>
  <c r="AV150" i="1" s="1"/>
  <c r="S151" i="1"/>
  <c r="U151" i="1"/>
  <c r="AM151" i="1" s="1"/>
  <c r="AN151" i="1" s="1"/>
  <c r="Y151" i="1"/>
  <c r="S152" i="1"/>
  <c r="U152" i="1"/>
  <c r="AM152" i="1" s="1"/>
  <c r="AN152" i="1" s="1"/>
  <c r="Y152" i="1"/>
  <c r="S153" i="1"/>
  <c r="U153" i="1"/>
  <c r="AM153" i="1" s="1"/>
  <c r="AN153" i="1" s="1"/>
  <c r="Y153" i="1"/>
  <c r="S154" i="1"/>
  <c r="U154" i="1"/>
  <c r="AM154" i="1" s="1"/>
  <c r="AN154" i="1" s="1"/>
  <c r="Y154" i="1"/>
  <c r="S155" i="1"/>
  <c r="U155" i="1"/>
  <c r="AM155" i="1" s="1"/>
  <c r="AN155" i="1" s="1"/>
  <c r="Y155" i="1"/>
  <c r="AV155" i="1" s="1"/>
  <c r="S156" i="1"/>
  <c r="U156" i="1"/>
  <c r="AM156" i="1" s="1"/>
  <c r="Y156" i="1"/>
  <c r="AN156" i="1"/>
  <c r="AU156" i="1"/>
  <c r="S157" i="1"/>
  <c r="U157" i="1"/>
  <c r="AM157" i="1" s="1"/>
  <c r="AN157" i="1" s="1"/>
  <c r="Y157" i="1"/>
  <c r="AU157" i="1" s="1"/>
  <c r="AV157" i="1"/>
  <c r="S158" i="1"/>
  <c r="U158" i="1"/>
  <c r="AM158" i="1" s="1"/>
  <c r="AN158" i="1" s="1"/>
  <c r="Y158" i="1"/>
  <c r="S159" i="1"/>
  <c r="U159" i="1"/>
  <c r="AM159" i="1" s="1"/>
  <c r="AN159" i="1" s="1"/>
  <c r="Y159" i="1"/>
  <c r="S160" i="1"/>
  <c r="U160" i="1"/>
  <c r="Y160" i="1"/>
  <c r="AM160" i="1"/>
  <c r="AN160" i="1" s="1"/>
  <c r="S161" i="1"/>
  <c r="U161" i="1"/>
  <c r="AM161" i="1" s="1"/>
  <c r="AN161" i="1" s="1"/>
  <c r="Y161" i="1"/>
  <c r="S162" i="1"/>
  <c r="U162" i="1"/>
  <c r="AM162" i="1" s="1"/>
  <c r="AN162" i="1" s="1"/>
  <c r="Y162" i="1"/>
  <c r="AU162" i="1" s="1"/>
  <c r="AV162" i="1"/>
  <c r="S163" i="1"/>
  <c r="U163" i="1"/>
  <c r="AM163" i="1" s="1"/>
  <c r="AN163" i="1" s="1"/>
  <c r="Y163" i="1"/>
  <c r="S164" i="1"/>
  <c r="U164" i="1"/>
  <c r="AM164" i="1" s="1"/>
  <c r="AN164" i="1" s="1"/>
  <c r="Y164" i="1"/>
  <c r="S165" i="1"/>
  <c r="U165" i="1"/>
  <c r="Y165" i="1"/>
  <c r="AM165" i="1"/>
  <c r="AN165" i="1" s="1"/>
  <c r="S166" i="1"/>
  <c r="U166" i="1"/>
  <c r="AM166" i="1" s="1"/>
  <c r="Y166" i="1"/>
  <c r="AN166" i="1"/>
  <c r="AU166" i="1" s="1"/>
  <c r="S167" i="1"/>
  <c r="U167" i="1"/>
  <c r="AM167" i="1" s="1"/>
  <c r="AN167" i="1" s="1"/>
  <c r="Y167" i="1"/>
  <c r="S168" i="1"/>
  <c r="U168" i="1"/>
  <c r="AM168" i="1" s="1"/>
  <c r="AN168" i="1" s="1"/>
  <c r="Y168" i="1"/>
  <c r="S169" i="1"/>
  <c r="U169" i="1"/>
  <c r="AM169" i="1" s="1"/>
  <c r="AN169" i="1" s="1"/>
  <c r="Y169" i="1"/>
  <c r="S170" i="1"/>
  <c r="U170" i="1"/>
  <c r="AM170" i="1" s="1"/>
  <c r="AN170" i="1" s="1"/>
  <c r="AV170" i="1" s="1"/>
  <c r="Y170" i="1"/>
  <c r="S171" i="1"/>
  <c r="U171" i="1"/>
  <c r="AM171" i="1" s="1"/>
  <c r="AN171" i="1" s="1"/>
  <c r="Y171" i="1"/>
  <c r="AW171" i="1" s="1"/>
  <c r="S172" i="1"/>
  <c r="U172" i="1"/>
  <c r="AM172" i="1" s="1"/>
  <c r="AN172" i="1" s="1"/>
  <c r="Y172" i="1"/>
  <c r="S173" i="1"/>
  <c r="U173" i="1"/>
  <c r="AM173" i="1" s="1"/>
  <c r="AN173" i="1" s="1"/>
  <c r="Y173" i="1"/>
  <c r="S174" i="1"/>
  <c r="U174" i="1"/>
  <c r="AM174" i="1" s="1"/>
  <c r="AN174" i="1" s="1"/>
  <c r="Y174" i="1"/>
  <c r="S175" i="1"/>
  <c r="U175" i="1"/>
  <c r="Y175" i="1"/>
  <c r="AM175" i="1"/>
  <c r="AN175" i="1" s="1"/>
  <c r="S176" i="1"/>
  <c r="U176" i="1"/>
  <c r="AM176" i="1" s="1"/>
  <c r="AN176" i="1" s="1"/>
  <c r="Y176" i="1"/>
  <c r="S177" i="1"/>
  <c r="U177" i="1"/>
  <c r="AM177" i="1" s="1"/>
  <c r="AN177" i="1" s="1"/>
  <c r="Y177" i="1"/>
  <c r="S178" i="1"/>
  <c r="U178" i="1"/>
  <c r="Y178" i="1"/>
  <c r="AM178" i="1"/>
  <c r="AN178" i="1"/>
  <c r="AU178" i="1" s="1"/>
  <c r="S179" i="1"/>
  <c r="U179" i="1"/>
  <c r="AM179" i="1" s="1"/>
  <c r="AN179" i="1" s="1"/>
  <c r="Y179" i="1"/>
  <c r="S180" i="1"/>
  <c r="U180" i="1"/>
  <c r="Y180" i="1"/>
  <c r="AM180" i="1"/>
  <c r="AN180" i="1"/>
  <c r="S181" i="1"/>
  <c r="U181" i="1"/>
  <c r="AM181" i="1" s="1"/>
  <c r="AN181" i="1" s="1"/>
  <c r="Y181" i="1"/>
  <c r="S182" i="1"/>
  <c r="U182" i="1"/>
  <c r="AM182" i="1" s="1"/>
  <c r="AN182" i="1" s="1"/>
  <c r="Y182" i="1"/>
  <c r="S183" i="1"/>
  <c r="U183" i="1"/>
  <c r="AM183" i="1" s="1"/>
  <c r="Y183" i="1"/>
  <c r="AN183" i="1"/>
  <c r="S184" i="1"/>
  <c r="U184" i="1"/>
  <c r="Y184" i="1"/>
  <c r="AM184" i="1"/>
  <c r="AN184" i="1" s="1"/>
  <c r="S185" i="1"/>
  <c r="U185" i="1"/>
  <c r="AM185" i="1" s="1"/>
  <c r="AN185" i="1" s="1"/>
  <c r="Y185" i="1"/>
  <c r="S186" i="1"/>
  <c r="U186" i="1"/>
  <c r="AM186" i="1" s="1"/>
  <c r="AN186" i="1" s="1"/>
  <c r="Y186" i="1"/>
  <c r="S187" i="1"/>
  <c r="U187" i="1"/>
  <c r="AM187" i="1" s="1"/>
  <c r="AN187" i="1" s="1"/>
  <c r="Y187" i="1"/>
  <c r="AV187" i="1" s="1"/>
  <c r="S188" i="1"/>
  <c r="U188" i="1"/>
  <c r="AM188" i="1" s="1"/>
  <c r="AN188" i="1" s="1"/>
  <c r="Y188" i="1"/>
  <c r="S189" i="1"/>
  <c r="U189" i="1"/>
  <c r="Y189" i="1"/>
  <c r="AM189" i="1"/>
  <c r="AN189" i="1" s="1"/>
  <c r="S190" i="1"/>
  <c r="U190" i="1"/>
  <c r="AM190" i="1" s="1"/>
  <c r="AN190" i="1" s="1"/>
  <c r="Y190" i="1"/>
  <c r="S191" i="1"/>
  <c r="U191" i="1"/>
  <c r="Y191" i="1"/>
  <c r="AM191" i="1"/>
  <c r="AN191" i="1" s="1"/>
  <c r="S192" i="1"/>
  <c r="U192" i="1"/>
  <c r="AM192" i="1" s="1"/>
  <c r="AN192" i="1" s="1"/>
  <c r="Y192" i="1"/>
  <c r="S193" i="1"/>
  <c r="U193" i="1"/>
  <c r="AM193" i="1" s="1"/>
  <c r="AN193" i="1" s="1"/>
  <c r="AW193" i="1" s="1"/>
  <c r="Y193" i="1"/>
  <c r="S194" i="1"/>
  <c r="U194" i="1"/>
  <c r="Y194" i="1"/>
  <c r="AM194" i="1"/>
  <c r="AN194" i="1" s="1"/>
  <c r="S195" i="1"/>
  <c r="U195" i="1"/>
  <c r="Y195" i="1"/>
  <c r="AM195" i="1"/>
  <c r="AN195" i="1"/>
  <c r="S196" i="1"/>
  <c r="U196" i="1"/>
  <c r="AM196" i="1" s="1"/>
  <c r="AN196" i="1" s="1"/>
  <c r="Y196" i="1"/>
  <c r="S197" i="1"/>
  <c r="U197" i="1"/>
  <c r="AM197" i="1" s="1"/>
  <c r="Y197" i="1"/>
  <c r="AN197" i="1"/>
  <c r="AW197" i="1" s="1"/>
  <c r="S198" i="1"/>
  <c r="U198" i="1"/>
  <c r="AM198" i="1" s="1"/>
  <c r="AN198" i="1" s="1"/>
  <c r="Y198" i="1"/>
  <c r="AW198" i="1" s="1"/>
  <c r="S199" i="1"/>
  <c r="U199" i="1"/>
  <c r="Y199" i="1"/>
  <c r="AM199" i="1"/>
  <c r="AN199" i="1" s="1"/>
  <c r="AV199" i="1" s="1"/>
  <c r="S200" i="1"/>
  <c r="U200" i="1"/>
  <c r="Y200" i="1"/>
  <c r="AM200" i="1"/>
  <c r="AN200" i="1" s="1"/>
  <c r="S201" i="1"/>
  <c r="U201" i="1"/>
  <c r="Y201" i="1"/>
  <c r="AM201" i="1"/>
  <c r="AN201" i="1" s="1"/>
  <c r="S202" i="1"/>
  <c r="U202" i="1"/>
  <c r="AM202" i="1" s="1"/>
  <c r="Y202" i="1"/>
  <c r="AU202" i="1" s="1"/>
  <c r="AN202" i="1"/>
  <c r="AV202" i="1" s="1"/>
  <c r="S203" i="1"/>
  <c r="U203" i="1"/>
  <c r="AM203" i="1" s="1"/>
  <c r="AN203" i="1" s="1"/>
  <c r="Y203" i="1"/>
  <c r="S204" i="1"/>
  <c r="U204" i="1"/>
  <c r="AM204" i="1" s="1"/>
  <c r="AN204" i="1" s="1"/>
  <c r="Y204" i="1"/>
  <c r="S205" i="1"/>
  <c r="U205" i="1"/>
  <c r="Y205" i="1"/>
  <c r="AM205" i="1"/>
  <c r="AN205" i="1"/>
  <c r="AU205" i="1" s="1"/>
  <c r="S206" i="1"/>
  <c r="U206" i="1"/>
  <c r="Y206" i="1"/>
  <c r="AM206" i="1"/>
  <c r="AN206" i="1" s="1"/>
  <c r="S207" i="1"/>
  <c r="U207" i="1"/>
  <c r="AM207" i="1" s="1"/>
  <c r="AN207" i="1" s="1"/>
  <c r="Y207" i="1"/>
  <c r="AU207" i="1" s="1"/>
  <c r="S208" i="1"/>
  <c r="U208" i="1"/>
  <c r="Y208" i="1"/>
  <c r="AM208" i="1"/>
  <c r="AN208" i="1" s="1"/>
  <c r="S209" i="1"/>
  <c r="U209" i="1"/>
  <c r="AM209" i="1" s="1"/>
  <c r="AN209" i="1" s="1"/>
  <c r="Y209" i="1"/>
  <c r="S210" i="1"/>
  <c r="U210" i="1"/>
  <c r="AM210" i="1" s="1"/>
  <c r="AN210" i="1" s="1"/>
  <c r="Y210" i="1"/>
  <c r="S211" i="1"/>
  <c r="U211" i="1"/>
  <c r="Y211" i="1"/>
  <c r="AM211" i="1"/>
  <c r="AN211" i="1" s="1"/>
  <c r="AW211" i="1" s="1"/>
  <c r="S212" i="1"/>
  <c r="U212" i="1"/>
  <c r="AM212" i="1" s="1"/>
  <c r="AN212" i="1" s="1"/>
  <c r="Y212" i="1"/>
  <c r="S213" i="1"/>
  <c r="U213" i="1"/>
  <c r="AM213" i="1" s="1"/>
  <c r="AN213" i="1" s="1"/>
  <c r="Y213" i="1"/>
  <c r="S214" i="1"/>
  <c r="U214" i="1"/>
  <c r="Y214" i="1"/>
  <c r="AM214" i="1"/>
  <c r="AN214" i="1" s="1"/>
  <c r="AV214" i="1"/>
  <c r="S215" i="1"/>
  <c r="U215" i="1"/>
  <c r="Y215" i="1"/>
  <c r="AM215" i="1"/>
  <c r="AN215" i="1" s="1"/>
  <c r="S216" i="1"/>
  <c r="U216" i="1"/>
  <c r="Y216" i="1"/>
  <c r="AM216" i="1"/>
  <c r="AN216" i="1" s="1"/>
  <c r="S217" i="1"/>
  <c r="U217" i="1"/>
  <c r="AM217" i="1" s="1"/>
  <c r="Y217" i="1"/>
  <c r="AN217" i="1"/>
  <c r="AV217" i="1" s="1"/>
  <c r="S218" i="1"/>
  <c r="U218" i="1"/>
  <c r="AM218" i="1" s="1"/>
  <c r="AN218" i="1" s="1"/>
  <c r="Y218" i="1"/>
  <c r="S219" i="1"/>
  <c r="U219" i="1"/>
  <c r="Y219" i="1"/>
  <c r="AM219" i="1"/>
  <c r="AN219" i="1" s="1"/>
  <c r="AV219" i="1" s="1"/>
  <c r="S220" i="1"/>
  <c r="U220" i="1"/>
  <c r="Y220" i="1"/>
  <c r="AM220" i="1"/>
  <c r="AN220" i="1" s="1"/>
  <c r="S221" i="1"/>
  <c r="U221" i="1"/>
  <c r="AM221" i="1" s="1"/>
  <c r="AN221" i="1" s="1"/>
  <c r="Y221" i="1"/>
  <c r="S222" i="1"/>
  <c r="U222" i="1"/>
  <c r="AM222" i="1" s="1"/>
  <c r="Y222" i="1"/>
  <c r="AN222" i="1"/>
  <c r="S223" i="1"/>
  <c r="U223" i="1"/>
  <c r="AM223" i="1" s="1"/>
  <c r="AN223" i="1" s="1"/>
  <c r="AV223" i="1" s="1"/>
  <c r="Y223" i="1"/>
  <c r="S224" i="1"/>
  <c r="U224" i="1"/>
  <c r="AM224" i="1" s="1"/>
  <c r="AN224" i="1" s="1"/>
  <c r="Y224" i="1"/>
  <c r="S225" i="1"/>
  <c r="U225" i="1"/>
  <c r="AM225" i="1" s="1"/>
  <c r="AN225" i="1" s="1"/>
  <c r="Y225" i="1"/>
  <c r="AU225" i="1" s="1"/>
  <c r="S226" i="1"/>
  <c r="U226" i="1"/>
  <c r="AM226" i="1" s="1"/>
  <c r="AN226" i="1" s="1"/>
  <c r="Y226" i="1"/>
  <c r="S227" i="1"/>
  <c r="U227" i="1"/>
  <c r="Y227" i="1"/>
  <c r="AM227" i="1"/>
  <c r="AN227" i="1" s="1"/>
  <c r="S228" i="1"/>
  <c r="U228" i="1"/>
  <c r="AM228" i="1" s="1"/>
  <c r="AN228" i="1" s="1"/>
  <c r="Y228" i="1"/>
  <c r="S229" i="1"/>
  <c r="U229" i="1"/>
  <c r="AM229" i="1" s="1"/>
  <c r="AN229" i="1" s="1"/>
  <c r="Y229" i="1"/>
  <c r="S230" i="1"/>
  <c r="U230" i="1"/>
  <c r="AM230" i="1" s="1"/>
  <c r="AN230" i="1" s="1"/>
  <c r="Y230" i="1"/>
  <c r="AU230" i="1"/>
  <c r="S231" i="1"/>
  <c r="U231" i="1"/>
  <c r="Y231" i="1"/>
  <c r="AM231" i="1"/>
  <c r="AN231" i="1" s="1"/>
  <c r="S232" i="1"/>
  <c r="U232" i="1"/>
  <c r="AM232" i="1" s="1"/>
  <c r="AN232" i="1" s="1"/>
  <c r="Y232" i="1"/>
  <c r="S233" i="1"/>
  <c r="U233" i="1"/>
  <c r="Y233" i="1"/>
  <c r="AM233" i="1"/>
  <c r="AN233" i="1" s="1"/>
  <c r="S234" i="1"/>
  <c r="U234" i="1"/>
  <c r="AM234" i="1" s="1"/>
  <c r="AN234" i="1" s="1"/>
  <c r="Y234" i="1"/>
  <c r="S235" i="1"/>
  <c r="U235" i="1"/>
  <c r="AM235" i="1" s="1"/>
  <c r="AN235" i="1" s="1"/>
  <c r="Y235" i="1"/>
  <c r="S236" i="1"/>
  <c r="U236" i="1"/>
  <c r="Y236" i="1"/>
  <c r="AM236" i="1"/>
  <c r="AN236" i="1" s="1"/>
  <c r="S237" i="1"/>
  <c r="U237" i="1"/>
  <c r="Y237" i="1"/>
  <c r="AM237" i="1"/>
  <c r="AN237" i="1" s="1"/>
  <c r="S238" i="1"/>
  <c r="U238" i="1"/>
  <c r="AM238" i="1" s="1"/>
  <c r="AN238" i="1" s="1"/>
  <c r="Y238" i="1"/>
  <c r="S239" i="1"/>
  <c r="U239" i="1"/>
  <c r="AM239" i="1" s="1"/>
  <c r="AN239" i="1" s="1"/>
  <c r="Y239" i="1"/>
  <c r="S240" i="1"/>
  <c r="U240" i="1"/>
  <c r="Y240" i="1"/>
  <c r="AM240" i="1"/>
  <c r="AN240" i="1" s="1"/>
  <c r="S241" i="1"/>
  <c r="U241" i="1"/>
  <c r="Y241" i="1"/>
  <c r="AM241" i="1"/>
  <c r="AN241" i="1" s="1"/>
  <c r="S242" i="1"/>
  <c r="U242" i="1"/>
  <c r="Y242" i="1"/>
  <c r="AM242" i="1"/>
  <c r="AN242" i="1" s="1"/>
  <c r="S243" i="1"/>
  <c r="U243" i="1"/>
  <c r="Y243" i="1"/>
  <c r="AM243" i="1"/>
  <c r="AN243" i="1" s="1"/>
  <c r="S244" i="1"/>
  <c r="U244" i="1"/>
  <c r="AM244" i="1" s="1"/>
  <c r="AN244" i="1" s="1"/>
  <c r="Y244" i="1"/>
  <c r="S245" i="1"/>
  <c r="U245" i="1"/>
  <c r="Y245" i="1"/>
  <c r="AM245" i="1"/>
  <c r="AN245" i="1" s="1"/>
  <c r="S246" i="1"/>
  <c r="U246" i="1"/>
  <c r="AM246" i="1" s="1"/>
  <c r="AN246" i="1" s="1"/>
  <c r="Y246" i="1"/>
  <c r="S247" i="1"/>
  <c r="U247" i="1"/>
  <c r="Y247" i="1"/>
  <c r="AM247" i="1"/>
  <c r="AN247" i="1" s="1"/>
  <c r="S248" i="1"/>
  <c r="U248" i="1"/>
  <c r="Y248" i="1"/>
  <c r="AM248" i="1"/>
  <c r="AN248" i="1" s="1"/>
  <c r="S249" i="1"/>
  <c r="U249" i="1"/>
  <c r="AM249" i="1" s="1"/>
  <c r="AN249" i="1" s="1"/>
  <c r="Y249" i="1"/>
  <c r="S250" i="1"/>
  <c r="U250" i="1"/>
  <c r="AM250" i="1" s="1"/>
  <c r="AN250" i="1" s="1"/>
  <c r="Y250" i="1"/>
  <c r="S251" i="1"/>
  <c r="U251" i="1"/>
  <c r="AM251" i="1" s="1"/>
  <c r="AN251" i="1" s="1"/>
  <c r="Y251" i="1"/>
  <c r="S252" i="1"/>
  <c r="U252" i="1"/>
  <c r="AM252" i="1" s="1"/>
  <c r="AN252" i="1" s="1"/>
  <c r="Y252" i="1"/>
  <c r="S253" i="1"/>
  <c r="U253" i="1"/>
  <c r="Y253" i="1"/>
  <c r="AM253" i="1"/>
  <c r="AN253" i="1" s="1"/>
  <c r="S254" i="1"/>
  <c r="U254" i="1"/>
  <c r="AM254" i="1" s="1"/>
  <c r="AN254" i="1" s="1"/>
  <c r="Y254" i="1"/>
  <c r="S255" i="1"/>
  <c r="U255" i="1"/>
  <c r="Y255" i="1"/>
  <c r="AM255" i="1"/>
  <c r="AN255" i="1" s="1"/>
  <c r="S256" i="1"/>
  <c r="U256" i="1"/>
  <c r="AM256" i="1" s="1"/>
  <c r="AN256" i="1" s="1"/>
  <c r="Y256" i="1"/>
  <c r="S257" i="1"/>
  <c r="U257" i="1"/>
  <c r="Y257" i="1"/>
  <c r="AM257" i="1"/>
  <c r="AN257" i="1" s="1"/>
  <c r="S258" i="1"/>
  <c r="U258" i="1"/>
  <c r="Y258" i="1"/>
  <c r="AM258" i="1"/>
  <c r="AN258" i="1" s="1"/>
  <c r="S259" i="1"/>
  <c r="U259" i="1"/>
  <c r="AM259" i="1" s="1"/>
  <c r="AN259" i="1" s="1"/>
  <c r="Y259" i="1"/>
  <c r="S260" i="1"/>
  <c r="U260" i="1"/>
  <c r="Y260" i="1"/>
  <c r="AM260" i="1"/>
  <c r="AN260" i="1" s="1"/>
  <c r="AV260" i="1" s="1"/>
  <c r="S261" i="1"/>
  <c r="U261" i="1"/>
  <c r="AM261" i="1" s="1"/>
  <c r="AN261" i="1" s="1"/>
  <c r="Y261" i="1"/>
  <c r="S262" i="1"/>
  <c r="U262" i="1"/>
  <c r="Y262" i="1"/>
  <c r="AM262" i="1"/>
  <c r="AN262" i="1" s="1"/>
  <c r="AV245" i="1" l="1"/>
  <c r="AU245" i="1"/>
  <c r="AU240" i="1"/>
  <c r="AV27" i="1"/>
  <c r="AV50" i="1"/>
  <c r="AV65" i="1"/>
  <c r="AV30" i="1"/>
  <c r="AU210" i="1"/>
  <c r="AW117" i="1"/>
  <c r="AW112" i="1"/>
  <c r="AV106" i="1"/>
  <c r="AV35" i="1"/>
  <c r="AV172" i="1"/>
  <c r="AV96" i="1"/>
  <c r="AV102" i="1"/>
  <c r="AV121" i="1"/>
  <c r="AW225" i="1"/>
  <c r="AW107" i="1"/>
  <c r="AU188" i="1"/>
  <c r="AU182" i="1"/>
  <c r="AV177" i="1"/>
  <c r="AV138" i="1"/>
  <c r="AV105" i="1"/>
  <c r="AU40" i="1"/>
  <c r="AV141" i="1"/>
  <c r="AV173" i="1"/>
  <c r="AU233" i="1"/>
  <c r="AV20" i="1"/>
  <c r="AW240" i="1"/>
  <c r="AV230" i="1"/>
  <c r="AU203" i="1"/>
  <c r="AV193" i="1"/>
  <c r="AV143" i="1"/>
  <c r="AV120" i="1"/>
  <c r="AU80" i="1"/>
  <c r="AV240" i="1"/>
  <c r="AW187" i="1"/>
  <c r="AV86" i="1"/>
  <c r="AV66" i="1"/>
  <c r="AU72" i="1"/>
  <c r="AW256" i="1"/>
  <c r="AW202" i="1"/>
  <c r="AV10" i="1"/>
  <c r="AV167" i="1"/>
  <c r="AU192" i="1"/>
  <c r="AV147" i="1"/>
  <c r="AU142" i="1"/>
  <c r="AU68" i="1"/>
  <c r="AU62" i="1"/>
  <c r="AV209" i="1"/>
  <c r="AV70" i="1"/>
  <c r="AU208" i="1"/>
  <c r="AV208" i="1"/>
  <c r="AW208" i="1"/>
  <c r="AU250" i="1"/>
  <c r="AV250" i="1"/>
  <c r="AW250" i="1"/>
  <c r="AU235" i="1"/>
  <c r="AV235" i="1"/>
  <c r="AW235" i="1"/>
  <c r="AV22" i="1"/>
  <c r="AW22" i="1"/>
  <c r="AU255" i="1"/>
  <c r="AV255" i="1"/>
  <c r="AW255" i="1"/>
  <c r="AV197" i="1"/>
  <c r="AW260" i="1"/>
  <c r="AU152" i="1"/>
  <c r="AV152" i="1"/>
  <c r="AU50" i="1"/>
  <c r="AU260" i="1"/>
  <c r="AU222" i="1"/>
  <c r="AV123" i="1"/>
  <c r="AV90" i="1"/>
  <c r="AU216" i="1"/>
  <c r="AV216" i="1"/>
  <c r="AW216" i="1"/>
  <c r="AU211" i="1"/>
  <c r="AV200" i="1"/>
  <c r="AW200" i="1"/>
  <c r="AU95" i="1"/>
  <c r="AV95" i="1"/>
  <c r="AV205" i="1"/>
  <c r="AV166" i="1"/>
  <c r="AV133" i="1"/>
  <c r="AU88" i="1"/>
  <c r="AU243" i="1"/>
  <c r="AU217" i="1"/>
  <c r="AW201" i="1"/>
  <c r="AU183" i="1"/>
  <c r="AV140" i="1"/>
  <c r="AV135" i="1"/>
  <c r="AU53" i="1"/>
  <c r="AV225" i="1"/>
  <c r="AV192" i="1"/>
  <c r="AV178" i="1"/>
  <c r="AW62" i="1"/>
  <c r="AU58" i="1"/>
  <c r="AW251" i="1"/>
  <c r="AU187" i="1"/>
  <c r="AU106" i="1"/>
  <c r="AU102" i="1"/>
  <c r="AU238" i="1"/>
  <c r="AU212" i="1"/>
  <c r="AV163" i="1"/>
  <c r="AV158" i="1"/>
  <c r="AV182" i="1"/>
  <c r="AW177" i="1"/>
  <c r="AV76" i="1"/>
  <c r="AV91" i="1"/>
  <c r="AV81" i="1"/>
  <c r="AV211" i="1"/>
  <c r="AV80" i="1"/>
  <c r="AV71" i="1"/>
  <c r="AV40" i="1"/>
  <c r="AU15" i="1"/>
  <c r="AW245" i="1"/>
  <c r="AV195" i="1"/>
  <c r="AW166" i="1"/>
  <c r="AW162" i="1"/>
  <c r="AW157" i="1"/>
  <c r="AV224" i="1"/>
  <c r="AV190" i="1"/>
  <c r="AU176" i="1"/>
  <c r="AV61" i="1"/>
  <c r="AU258" i="1"/>
  <c r="AW152" i="1"/>
  <c r="AU74" i="1"/>
  <c r="AU55" i="1"/>
  <c r="AV194" i="1"/>
  <c r="AV180" i="1"/>
  <c r="AV156" i="1"/>
  <c r="AU223" i="1"/>
  <c r="AV175" i="1"/>
  <c r="AW147" i="1"/>
  <c r="AU44" i="1"/>
  <c r="AU28" i="1"/>
  <c r="AU253" i="1"/>
  <c r="AV160" i="1"/>
  <c r="AW142" i="1"/>
  <c r="AW137" i="1"/>
  <c r="AW132" i="1"/>
  <c r="AW127" i="1"/>
  <c r="AV8" i="1"/>
  <c r="AV165" i="1"/>
  <c r="AW122" i="1"/>
  <c r="AU33" i="1"/>
  <c r="AU23" i="1"/>
  <c r="AU13" i="1"/>
  <c r="AW222" i="1"/>
  <c r="AV136" i="1"/>
  <c r="AV131" i="1"/>
  <c r="AV126" i="1"/>
  <c r="AU73" i="1"/>
  <c r="AW27" i="1"/>
  <c r="AW230" i="1"/>
  <c r="AV222" i="1"/>
  <c r="AW205" i="1"/>
  <c r="AU193" i="1"/>
  <c r="AV188" i="1"/>
  <c r="AW183" i="1"/>
  <c r="AU112" i="1"/>
  <c r="AU78" i="1"/>
  <c r="AU38" i="1"/>
  <c r="AU18" i="1"/>
  <c r="AV183" i="1"/>
  <c r="AU121" i="1"/>
  <c r="AU107" i="1"/>
  <c r="AW102" i="1"/>
  <c r="AU83" i="1"/>
  <c r="AU63" i="1"/>
  <c r="AU43" i="1"/>
  <c r="AV243" i="1"/>
  <c r="AW243" i="1"/>
  <c r="AU239" i="1"/>
  <c r="AU247" i="1"/>
  <c r="AV247" i="1"/>
  <c r="AW247" i="1"/>
  <c r="AU213" i="1"/>
  <c r="AV213" i="1"/>
  <c r="AW213" i="1"/>
  <c r="AV238" i="1"/>
  <c r="AW238" i="1"/>
  <c r="AU234" i="1"/>
  <c r="AU242" i="1"/>
  <c r="AV242" i="1"/>
  <c r="AW242" i="1"/>
  <c r="AU221" i="1"/>
  <c r="AV191" i="1"/>
  <c r="AW191" i="1"/>
  <c r="AU196" i="1"/>
  <c r="AV196" i="1"/>
  <c r="AW196" i="1"/>
  <c r="AU191" i="1"/>
  <c r="AW246" i="1"/>
  <c r="AV233" i="1"/>
  <c r="AW233" i="1"/>
  <c r="AU229" i="1"/>
  <c r="AU186" i="1"/>
  <c r="AV186" i="1"/>
  <c r="AW186" i="1"/>
  <c r="AU237" i="1"/>
  <c r="AV237" i="1"/>
  <c r="AW237" i="1"/>
  <c r="AU220" i="1"/>
  <c r="AV220" i="1"/>
  <c r="AW220" i="1"/>
  <c r="AU181" i="1"/>
  <c r="AV181" i="1"/>
  <c r="AW181" i="1"/>
  <c r="AU259" i="1"/>
  <c r="AW241" i="1"/>
  <c r="AV228" i="1"/>
  <c r="AW228" i="1"/>
  <c r="AU232" i="1"/>
  <c r="AV232" i="1"/>
  <c r="AW232" i="1"/>
  <c r="AU228" i="1"/>
  <c r="AU171" i="1"/>
  <c r="AV171" i="1"/>
  <c r="AV258" i="1"/>
  <c r="AW258" i="1"/>
  <c r="AU254" i="1"/>
  <c r="AV185" i="1"/>
  <c r="AV176" i="1"/>
  <c r="AW176" i="1"/>
  <c r="AV161" i="1"/>
  <c r="AU262" i="1"/>
  <c r="AV262" i="1"/>
  <c r="AW262" i="1"/>
  <c r="AW236" i="1"/>
  <c r="AW215" i="1"/>
  <c r="AU161" i="1"/>
  <c r="AW161" i="1"/>
  <c r="AU227" i="1"/>
  <c r="AV227" i="1"/>
  <c r="AW227" i="1"/>
  <c r="AV253" i="1"/>
  <c r="AW253" i="1"/>
  <c r="AU249" i="1"/>
  <c r="AU206" i="1"/>
  <c r="AV206" i="1"/>
  <c r="AW206" i="1"/>
  <c r="AU257" i="1"/>
  <c r="AV257" i="1"/>
  <c r="AW257" i="1"/>
  <c r="AW231" i="1"/>
  <c r="AU151" i="1"/>
  <c r="AV151" i="1"/>
  <c r="AW151" i="1"/>
  <c r="AW261" i="1"/>
  <c r="AV248" i="1"/>
  <c r="AW248" i="1"/>
  <c r="AU244" i="1"/>
  <c r="AU218" i="1"/>
  <c r="AU252" i="1"/>
  <c r="AV252" i="1"/>
  <c r="AW252" i="1"/>
  <c r="AU248" i="1"/>
  <c r="AW226" i="1"/>
  <c r="AV261" i="1"/>
  <c r="AV256" i="1"/>
  <c r="AV251" i="1"/>
  <c r="AV246" i="1"/>
  <c r="AV241" i="1"/>
  <c r="AV236" i="1"/>
  <c r="AV231" i="1"/>
  <c r="AV226" i="1"/>
  <c r="AW223" i="1"/>
  <c r="AV215" i="1"/>
  <c r="AW212" i="1"/>
  <c r="AV201" i="1"/>
  <c r="AV198" i="1"/>
  <c r="AU153" i="1"/>
  <c r="AW153" i="1"/>
  <c r="AU149" i="1"/>
  <c r="AV149" i="1"/>
  <c r="AW149" i="1"/>
  <c r="AU145" i="1"/>
  <c r="AW145" i="1"/>
  <c r="AU97" i="1"/>
  <c r="AU32" i="1"/>
  <c r="AV32" i="1"/>
  <c r="AW32" i="1"/>
  <c r="AU12" i="1"/>
  <c r="AV12" i="1"/>
  <c r="AW12" i="1"/>
  <c r="AU261" i="1"/>
  <c r="AU256" i="1"/>
  <c r="AU251" i="1"/>
  <c r="AU246" i="1"/>
  <c r="AU241" i="1"/>
  <c r="AU236" i="1"/>
  <c r="AU231" i="1"/>
  <c r="AU226" i="1"/>
  <c r="AU215" i="1"/>
  <c r="AV212" i="1"/>
  <c r="AU204" i="1"/>
  <c r="AW204" i="1"/>
  <c r="AU201" i="1"/>
  <c r="AU198" i="1"/>
  <c r="AW188" i="1"/>
  <c r="AW178" i="1"/>
  <c r="AU168" i="1"/>
  <c r="AW168" i="1"/>
  <c r="AW156" i="1"/>
  <c r="AV132" i="1"/>
  <c r="AU128" i="1"/>
  <c r="AW128" i="1"/>
  <c r="AU119" i="1"/>
  <c r="AV119" i="1"/>
  <c r="AW119" i="1"/>
  <c r="AU110" i="1"/>
  <c r="AW110" i="1"/>
  <c r="AV97" i="1"/>
  <c r="AW97" i="1"/>
  <c r="AU164" i="1"/>
  <c r="AV164" i="1"/>
  <c r="AW164" i="1"/>
  <c r="AU132" i="1"/>
  <c r="AU92" i="1"/>
  <c r="AV92" i="1"/>
  <c r="AW92" i="1"/>
  <c r="AU77" i="1"/>
  <c r="AV77" i="1"/>
  <c r="AW77" i="1"/>
  <c r="AU37" i="1"/>
  <c r="AV37" i="1"/>
  <c r="AW37" i="1"/>
  <c r="AU17" i="1"/>
  <c r="AV17" i="1"/>
  <c r="AW17" i="1"/>
  <c r="AU6" i="1"/>
  <c r="AV6" i="1"/>
  <c r="AW6" i="1"/>
  <c r="AU195" i="1"/>
  <c r="AW195" i="1"/>
  <c r="AU136" i="1"/>
  <c r="AW136" i="1"/>
  <c r="AU114" i="1"/>
  <c r="AV114" i="1"/>
  <c r="AW114" i="1"/>
  <c r="AU105" i="1"/>
  <c r="AW105" i="1"/>
  <c r="AU101" i="1"/>
  <c r="AU87" i="1"/>
  <c r="AV87" i="1"/>
  <c r="AW87" i="1"/>
  <c r="AU82" i="1"/>
  <c r="AV82" i="1"/>
  <c r="AW82" i="1"/>
  <c r="AU42" i="1"/>
  <c r="AV42" i="1"/>
  <c r="AW42" i="1"/>
  <c r="AU31" i="1"/>
  <c r="AV31" i="1"/>
  <c r="AW31" i="1"/>
  <c r="AU11" i="1"/>
  <c r="AV11" i="1"/>
  <c r="AW11" i="1"/>
  <c r="AW217" i="1"/>
  <c r="AW203" i="1"/>
  <c r="AU185" i="1"/>
  <c r="AW185" i="1"/>
  <c r="AU175" i="1"/>
  <c r="AW175" i="1"/>
  <c r="AW167" i="1"/>
  <c r="AU160" i="1"/>
  <c r="AW160" i="1"/>
  <c r="AU144" i="1"/>
  <c r="AV144" i="1"/>
  <c r="AW144" i="1"/>
  <c r="AU140" i="1"/>
  <c r="AW140" i="1"/>
  <c r="AV127" i="1"/>
  <c r="AU123" i="1"/>
  <c r="AW123" i="1"/>
  <c r="AU96" i="1"/>
  <c r="AU76" i="1"/>
  <c r="AU67" i="1"/>
  <c r="AV67" i="1"/>
  <c r="AW67" i="1"/>
  <c r="AU47" i="1"/>
  <c r="AV47" i="1"/>
  <c r="AW47" i="1"/>
  <c r="AU209" i="1"/>
  <c r="AW209" i="1"/>
  <c r="AV203" i="1"/>
  <c r="AU127" i="1"/>
  <c r="AU109" i="1"/>
  <c r="AV109" i="1"/>
  <c r="AW109" i="1"/>
  <c r="AU52" i="1"/>
  <c r="AV52" i="1"/>
  <c r="AW52" i="1"/>
  <c r="AU36" i="1"/>
  <c r="AV36" i="1"/>
  <c r="AW36" i="1"/>
  <c r="AU26" i="1"/>
  <c r="AV26" i="1"/>
  <c r="AW26" i="1"/>
  <c r="AU16" i="1"/>
  <c r="AV16" i="1"/>
  <c r="AW16" i="1"/>
  <c r="AU5" i="1"/>
  <c r="AU167" i="1"/>
  <c r="AU148" i="1"/>
  <c r="AW148" i="1"/>
  <c r="AU131" i="1"/>
  <c r="AW131" i="1"/>
  <c r="AU118" i="1"/>
  <c r="AV118" i="1"/>
  <c r="AW118" i="1"/>
  <c r="AU86" i="1"/>
  <c r="AU66" i="1"/>
  <c r="AU57" i="1"/>
  <c r="AV57" i="1"/>
  <c r="AW57" i="1"/>
  <c r="AU41" i="1"/>
  <c r="AV41" i="1"/>
  <c r="AW41" i="1"/>
  <c r="AU30" i="1"/>
  <c r="AU10" i="1"/>
  <c r="AU104" i="1"/>
  <c r="AV104" i="1"/>
  <c r="AW104" i="1"/>
  <c r="AU46" i="1"/>
  <c r="AV46" i="1"/>
  <c r="AW46" i="1"/>
  <c r="AU21" i="1"/>
  <c r="AV21" i="1"/>
  <c r="AW21" i="1"/>
  <c r="AU194" i="1"/>
  <c r="AW194" i="1"/>
  <c r="AU184" i="1"/>
  <c r="AV184" i="1"/>
  <c r="AW184" i="1"/>
  <c r="AU174" i="1"/>
  <c r="AV174" i="1"/>
  <c r="AW174" i="1"/>
  <c r="AU163" i="1"/>
  <c r="AW163" i="1"/>
  <c r="AU159" i="1"/>
  <c r="AV159" i="1"/>
  <c r="AW159" i="1"/>
  <c r="AU139" i="1"/>
  <c r="AV139" i="1"/>
  <c r="AW139" i="1"/>
  <c r="AU135" i="1"/>
  <c r="AW135" i="1"/>
  <c r="AU122" i="1"/>
  <c r="AU113" i="1"/>
  <c r="AV113" i="1"/>
  <c r="AW113" i="1"/>
  <c r="AU100" i="1"/>
  <c r="AW100" i="1"/>
  <c r="AU75" i="1"/>
  <c r="AU56" i="1"/>
  <c r="AU51" i="1"/>
  <c r="AV51" i="1"/>
  <c r="AW51" i="1"/>
  <c r="AU35" i="1"/>
  <c r="AU25" i="1"/>
  <c r="AU214" i="1"/>
  <c r="AW214" i="1"/>
  <c r="AU197" i="1"/>
  <c r="AU126" i="1"/>
  <c r="AW126" i="1"/>
  <c r="AV56" i="1"/>
  <c r="AW56" i="1"/>
  <c r="AU4" i="1"/>
  <c r="AU155" i="1"/>
  <c r="AW155" i="1"/>
  <c r="AU143" i="1"/>
  <c r="AW143" i="1"/>
  <c r="AU117" i="1"/>
  <c r="AU108" i="1"/>
  <c r="AV108" i="1"/>
  <c r="AW108" i="1"/>
  <c r="AU90" i="1"/>
  <c r="AU85" i="1"/>
  <c r="AU65" i="1"/>
  <c r="AU45" i="1"/>
  <c r="AU20" i="1"/>
  <c r="AU200" i="1"/>
  <c r="AU177" i="1"/>
  <c r="AU170" i="1"/>
  <c r="AW170" i="1"/>
  <c r="AU130" i="1"/>
  <c r="AW130" i="1"/>
  <c r="AU34" i="1"/>
  <c r="AU24" i="1"/>
  <c r="AU14" i="1"/>
  <c r="AU134" i="1"/>
  <c r="AV134" i="1"/>
  <c r="AW134" i="1"/>
  <c r="AU103" i="1"/>
  <c r="AV103" i="1"/>
  <c r="AW103" i="1"/>
  <c r="AU99" i="1"/>
  <c r="AV99" i="1"/>
  <c r="AW99" i="1"/>
  <c r="AU219" i="1"/>
  <c r="AW219" i="1"/>
  <c r="AU94" i="1"/>
  <c r="AV94" i="1"/>
  <c r="AW94" i="1"/>
  <c r="AU79" i="1"/>
  <c r="AU60" i="1"/>
  <c r="AU39" i="1"/>
  <c r="AU19" i="1"/>
  <c r="AU190" i="1"/>
  <c r="AW190" i="1"/>
  <c r="AU180" i="1"/>
  <c r="AW180" i="1"/>
  <c r="AU173" i="1"/>
  <c r="AW173" i="1"/>
  <c r="AU158" i="1"/>
  <c r="AW158" i="1"/>
  <c r="AU154" i="1"/>
  <c r="AV154" i="1"/>
  <c r="AW154" i="1"/>
  <c r="AU138" i="1"/>
  <c r="AW138" i="1"/>
  <c r="AU125" i="1"/>
  <c r="AW125" i="1"/>
  <c r="AU89" i="1"/>
  <c r="AV89" i="1"/>
  <c r="AW89" i="1"/>
  <c r="AU84" i="1"/>
  <c r="AU64" i="1"/>
  <c r="AW259" i="1"/>
  <c r="AW254" i="1"/>
  <c r="AW249" i="1"/>
  <c r="AW244" i="1"/>
  <c r="AW239" i="1"/>
  <c r="AW234" i="1"/>
  <c r="AW229" i="1"/>
  <c r="AW221" i="1"/>
  <c r="AW210" i="1"/>
  <c r="AU169" i="1"/>
  <c r="AV169" i="1"/>
  <c r="AW169" i="1"/>
  <c r="AU146" i="1"/>
  <c r="AW146" i="1"/>
  <c r="AU129" i="1"/>
  <c r="AV129" i="1"/>
  <c r="AW129" i="1"/>
  <c r="AU69" i="1"/>
  <c r="AU49" i="1"/>
  <c r="AV259" i="1"/>
  <c r="AV254" i="1"/>
  <c r="AV249" i="1"/>
  <c r="AV244" i="1"/>
  <c r="AV239" i="1"/>
  <c r="AV234" i="1"/>
  <c r="AV229" i="1"/>
  <c r="AV221" i="1"/>
  <c r="AW218" i="1"/>
  <c r="AV210" i="1"/>
  <c r="AW207" i="1"/>
  <c r="AU199" i="1"/>
  <c r="AW199" i="1"/>
  <c r="AU150" i="1"/>
  <c r="AW150" i="1"/>
  <c r="AU111" i="1"/>
  <c r="AU54" i="1"/>
  <c r="AU224" i="1"/>
  <c r="AW224" i="1"/>
  <c r="AV218" i="1"/>
  <c r="AV207" i="1"/>
  <c r="AW172" i="1"/>
  <c r="AV153" i="1"/>
  <c r="AU120" i="1"/>
  <c r="AW120" i="1"/>
  <c r="AU98" i="1"/>
  <c r="AV98" i="1"/>
  <c r="AW98" i="1"/>
  <c r="AU59" i="1"/>
  <c r="AW192" i="1"/>
  <c r="AU189" i="1"/>
  <c r="AV189" i="1"/>
  <c r="AW189" i="1"/>
  <c r="AW182" i="1"/>
  <c r="AU179" i="1"/>
  <c r="AV179" i="1"/>
  <c r="AW179" i="1"/>
  <c r="AV168" i="1"/>
  <c r="AU165" i="1"/>
  <c r="AW165" i="1"/>
  <c r="AV145" i="1"/>
  <c r="AU133" i="1"/>
  <c r="AW133" i="1"/>
  <c r="AV128" i="1"/>
  <c r="AU124" i="1"/>
  <c r="AV124" i="1"/>
  <c r="AW124" i="1"/>
  <c r="AU93" i="1"/>
  <c r="AV93" i="1"/>
  <c r="AW93" i="1"/>
  <c r="AU2" i="1"/>
  <c r="AV2" i="1"/>
  <c r="AW2" i="1"/>
  <c r="AV204" i="1"/>
  <c r="AU172" i="1"/>
  <c r="AU141" i="1"/>
  <c r="AW141" i="1"/>
  <c r="AU115" i="1"/>
  <c r="AW115" i="1"/>
  <c r="AV110" i="1"/>
  <c r="AU7" i="1"/>
  <c r="AV7" i="1"/>
  <c r="AW7" i="1"/>
  <c r="AW121" i="1"/>
  <c r="AW116" i="1"/>
  <c r="AW111" i="1"/>
  <c r="AW106" i="1"/>
  <c r="AW101" i="1"/>
  <c r="AW96" i="1"/>
  <c r="AW91" i="1"/>
  <c r="AW86" i="1"/>
  <c r="AW81" i="1"/>
  <c r="AW76" i="1"/>
  <c r="AW71" i="1"/>
  <c r="AW66" i="1"/>
  <c r="AW61" i="1"/>
  <c r="AW88" i="1"/>
  <c r="AW83" i="1"/>
  <c r="AW78" i="1"/>
  <c r="AW73" i="1"/>
  <c r="AW68" i="1"/>
  <c r="AW63" i="1"/>
  <c r="AW58" i="1"/>
  <c r="AW53" i="1"/>
  <c r="AW48" i="1"/>
  <c r="AW43" i="1"/>
  <c r="AW38" i="1"/>
  <c r="AW33" i="1"/>
  <c r="AW28" i="1"/>
  <c r="AW23" i="1"/>
  <c r="AW18" i="1"/>
  <c r="AW13" i="1"/>
  <c r="AW8" i="1"/>
  <c r="AW3" i="1"/>
  <c r="AV88" i="1"/>
  <c r="AV83" i="1"/>
  <c r="AV78" i="1"/>
  <c r="AV73" i="1"/>
  <c r="AV68" i="1"/>
  <c r="AV63" i="1"/>
  <c r="AV58" i="1"/>
  <c r="AV53" i="1"/>
  <c r="AV48" i="1"/>
  <c r="AV43" i="1"/>
  <c r="AV38" i="1"/>
  <c r="AV33" i="1"/>
  <c r="AV28" i="1"/>
  <c r="AV23" i="1"/>
  <c r="AV18" i="1"/>
  <c r="AV13" i="1"/>
  <c r="AV3" i="1"/>
  <c r="AW95" i="1"/>
  <c r="AW90" i="1"/>
  <c r="AW85" i="1"/>
  <c r="AW80" i="1"/>
  <c r="AW75" i="1"/>
  <c r="AW70" i="1"/>
  <c r="AW65" i="1"/>
  <c r="AW60" i="1"/>
  <c r="AW55" i="1"/>
  <c r="AW50" i="1"/>
  <c r="AW45" i="1"/>
  <c r="AW40" i="1"/>
  <c r="AW35" i="1"/>
  <c r="AW30" i="1"/>
  <c r="AW25" i="1"/>
  <c r="AW20" i="1"/>
  <c r="AW15" i="1"/>
  <c r="AW10" i="1"/>
  <c r="AW5" i="1"/>
  <c r="AV5" i="1"/>
  <c r="AW84" i="1"/>
  <c r="AW79" i="1"/>
  <c r="AW74" i="1"/>
  <c r="AW69" i="1"/>
  <c r="AW64" i="1"/>
  <c r="AW59" i="1"/>
  <c r="AW54" i="1"/>
  <c r="AW49" i="1"/>
  <c r="AW44" i="1"/>
  <c r="AW39" i="1"/>
  <c r="AW34" i="1"/>
  <c r="AW29" i="1"/>
  <c r="AW24" i="1"/>
  <c r="AW19" i="1"/>
  <c r="AW14" i="1"/>
  <c r="AW9" i="1"/>
  <c r="AW4" i="1"/>
  <c r="AV84" i="1"/>
  <c r="AV79" i="1"/>
  <c r="AV74" i="1"/>
  <c r="AV69" i="1"/>
  <c r="AV64" i="1"/>
  <c r="AV59" i="1"/>
  <c r="AV54" i="1"/>
  <c r="AV49" i="1"/>
  <c r="AV44" i="1"/>
  <c r="AV39" i="1"/>
  <c r="AV34" i="1"/>
  <c r="AV29" i="1"/>
  <c r="AV24" i="1"/>
  <c r="AV19" i="1"/>
  <c r="AV14" i="1"/>
  <c r="AV9" i="1"/>
  <c r="AV4" i="1"/>
</calcChain>
</file>

<file path=xl/sharedStrings.xml><?xml version="1.0" encoding="utf-8"?>
<sst xmlns="http://schemas.openxmlformats.org/spreadsheetml/2006/main" count="4585" uniqueCount="2852">
  <si>
    <t>undefined</t>
  </si>
  <si>
    <t>Journal</t>
  </si>
  <si>
    <t>South Africa</t>
  </si>
  <si>
    <t>Article</t>
  </si>
  <si>
    <t>ar</t>
  </si>
  <si>
    <t>Australia;Japan</t>
  </si>
  <si>
    <t>Sydney;Fukui</t>
  </si>
  <si>
    <t>The University of Sydney;University of Fukui</t>
  </si>
  <si>
    <t>60025709;60010848</t>
  </si>
  <si>
    <t>United States;United Kingdom</t>
  </si>
  <si>
    <t>Germany;United States</t>
  </si>
  <si>
    <t>United States;United States</t>
  </si>
  <si>
    <t>;</t>
  </si>
  <si>
    <t>n</t>
  </si>
  <si>
    <t>Germany</t>
  </si>
  <si>
    <t>;;;;;</t>
  </si>
  <si>
    <t>Italy</t>
  </si>
  <si>
    <t>Rome</t>
  </si>
  <si>
    <t>Consiglio Nazionale delle Ricerche</t>
  </si>
  <si>
    <t>United States</t>
  </si>
  <si>
    <t>Sweden</t>
  </si>
  <si>
    <t>Superconductor Science and Technology</t>
  </si>
  <si>
    <t>Netherlands</t>
  </si>
  <si>
    <t>United Kingdom</t>
  </si>
  <si>
    <t>Japan</t>
  </si>
  <si>
    <t>Los Angeles</t>
  </si>
  <si>
    <t>;;;</t>
  </si>
  <si>
    <t>India</t>
  </si>
  <si>
    <t>New Delhi</t>
  </si>
  <si>
    <t>0004637X</t>
  </si>
  <si>
    <t>Astrophysical Journal</t>
  </si>
  <si>
    <t>Telecommunications and Radio Engineering (English translation of Elektrosvyaz and Radiotekhnika)</t>
  </si>
  <si>
    <t>;;</t>
  </si>
  <si>
    <t>Yorktown Heights</t>
  </si>
  <si>
    <t>IBM Thomas J. Watson Research Center</t>
  </si>
  <si>
    <t>60025778;60025778</t>
  </si>
  <si>
    <t>Ann Arbor</t>
  </si>
  <si>
    <t>University of Michigan, Ann Arbor</t>
  </si>
  <si>
    <t>Tokyo</t>
  </si>
  <si>
    <t>Chicago</t>
  </si>
  <si>
    <t>Spain</t>
  </si>
  <si>
    <t>Madrid</t>
  </si>
  <si>
    <t>239-244</t>
  </si>
  <si>
    <t>Israel</t>
  </si>
  <si>
    <t>Soviet journal of communications technology &amp; electronics</t>
  </si>
  <si>
    <t>SERC</t>
  </si>
  <si>
    <t>Munich</t>
  </si>
  <si>
    <t>Siemens AG</t>
  </si>
  <si>
    <t>Amherst MA</t>
  </si>
  <si>
    <t>University of Massachusetts Amherst</t>
  </si>
  <si>
    <t>Philadelphia</t>
  </si>
  <si>
    <t>Roanoke</t>
  </si>
  <si>
    <t>Willems D.</t>
  </si>
  <si>
    <t>Boston</t>
  </si>
  <si>
    <t>General Electric Company</t>
  </si>
  <si>
    <t>Waltham</t>
  </si>
  <si>
    <t>Raytheon</t>
  </si>
  <si>
    <t>Austin</t>
  </si>
  <si>
    <t>The University of Texas at Austin</t>
  </si>
  <si>
    <t>China</t>
  </si>
  <si>
    <t>Beijing</t>
  </si>
  <si>
    <t>1243-1246</t>
  </si>
  <si>
    <t>60032350;60032350;60032350</t>
  </si>
  <si>
    <t>7004439932;7006012591;7005564352</t>
  </si>
  <si>
    <t>Sapienza Universit√† di Roma</t>
  </si>
  <si>
    <t>Lampariello P.</t>
  </si>
  <si>
    <t>60023324;60023324</t>
  </si>
  <si>
    <t>Tucson</t>
  </si>
  <si>
    <t>Arizona Research Laboratories</t>
  </si>
  <si>
    <t>Pittsburgh</t>
  </si>
  <si>
    <t>Westinghouse Electric Company</t>
  </si>
  <si>
    <t>49-56</t>
  </si>
  <si>
    <t>Greece</t>
  </si>
  <si>
    <t>122-125</t>
  </si>
  <si>
    <t>International Journal of Satellite Communications</t>
  </si>
  <si>
    <t>Australia</t>
  </si>
  <si>
    <t>Canberra</t>
  </si>
  <si>
    <t>National Institute of Allergy and Infectious Diseases</t>
  </si>
  <si>
    <t>R37AI023253</t>
  </si>
  <si>
    <t>NIAID</t>
  </si>
  <si>
    <t>The University of Arizona</t>
  </si>
  <si>
    <t>IEEE Transactions on Geoscience and Remote Sensing</t>
  </si>
  <si>
    <t>60025778;60025778;60025778</t>
  </si>
  <si>
    <t>IEEE Transactions on Microwave Theory and Techniques</t>
  </si>
  <si>
    <t>143-146</t>
  </si>
  <si>
    <t>Electronics Letters</t>
  </si>
  <si>
    <t>60017366;60017366;60017366</t>
  </si>
  <si>
    <t>National Science Foundation</t>
  </si>
  <si>
    <t>NSF</t>
  </si>
  <si>
    <t>Er, M. H.</t>
  </si>
  <si>
    <t>Singapore</t>
  </si>
  <si>
    <t>Singapore City</t>
  </si>
  <si>
    <t>Nanyang Technological University</t>
  </si>
  <si>
    <t>Er M.</t>
  </si>
  <si>
    <t>France</t>
  </si>
  <si>
    <t>Mulheim an der Ruhr</t>
  </si>
  <si>
    <t>Max Planck Institute for Chemical Energy Conversion</t>
  </si>
  <si>
    <t>Cambridge</t>
  </si>
  <si>
    <t>Massachusetts Institute of Technology</t>
  </si>
  <si>
    <t>United States;United States;United States</t>
  </si>
  <si>
    <t>Bure≈° M.</t>
  </si>
  <si>
    <t>IEEE Antennas and Propagation Magazine</t>
  </si>
  <si>
    <t>Canada</t>
  </si>
  <si>
    <t>Japan;Japan</t>
  </si>
  <si>
    <t>Berlin</t>
  </si>
  <si>
    <t>Connecticut State Emergency Response Commission</t>
  </si>
  <si>
    <t>Bristol</t>
  </si>
  <si>
    <t>University of Bristol</t>
  </si>
  <si>
    <t>Indian Institute of Technology Delhi</t>
  </si>
  <si>
    <t>Ganguli A.</t>
  </si>
  <si>
    <t>Urbana</t>
  </si>
  <si>
    <t>University of Illinois Urbana-Champaign</t>
  </si>
  <si>
    <t>Gaithersburg</t>
  </si>
  <si>
    <t>National Institute of Standards and Technology</t>
  </si>
  <si>
    <t>Washington, D.C.</t>
  </si>
  <si>
    <t>Naval Research Laboratory</t>
  </si>
  <si>
    <t>Blacksburg</t>
  </si>
  <si>
    <t>Virginia Polytechnic Institute and State University</t>
  </si>
  <si>
    <t>60000745;60000745;60000745</t>
  </si>
  <si>
    <t>Athens</t>
  </si>
  <si>
    <t>National Technical University of Athens</t>
  </si>
  <si>
    <t>7102842938;24341657200</t>
  </si>
  <si>
    <t>Er, M. H.;Ng, B. P.</t>
  </si>
  <si>
    <t>Vancouver</t>
  </si>
  <si>
    <t>The University of British Columbia</t>
  </si>
  <si>
    <t>Oak Ridge</t>
  </si>
  <si>
    <t>Oak Ridge National Laboratory</t>
  </si>
  <si>
    <t>Japan;Japan;Japan</t>
  </si>
  <si>
    <t>108-112</t>
  </si>
  <si>
    <t>Bengaluru</t>
  </si>
  <si>
    <t>60014313;60014313</t>
  </si>
  <si>
    <t>119-122</t>
  </si>
  <si>
    <t>Pozar, D. M.</t>
  </si>
  <si>
    <t>Pozar D.</t>
  </si>
  <si>
    <t>U.S. Department of Energy</t>
  </si>
  <si>
    <t>USDOE</t>
  </si>
  <si>
    <t>Zeitschrift fur Naturforschung - Section C Journal of Biosciences</t>
  </si>
  <si>
    <t>Antennas | Microstrip</t>
  </si>
  <si>
    <t>South Korea</t>
  </si>
  <si>
    <t>Antennas</t>
  </si>
  <si>
    <t>Sheffield</t>
  </si>
  <si>
    <t>The University of Sheffield</t>
  </si>
  <si>
    <t>Noordwijk aan Zee</t>
  </si>
  <si>
    <t>ESTEC - European Space Research and Technology Centre</t>
  </si>
  <si>
    <t>Rennes</t>
  </si>
  <si>
    <t>Universite de Rennes 1</t>
  </si>
  <si>
    <t>Mitsubishi Electric Corporation</t>
  </si>
  <si>
    <t>Edmonton</t>
  </si>
  <si>
    <t>Russian Federation</t>
  </si>
  <si>
    <t>Italy;Italy</t>
  </si>
  <si>
    <t>Haifa</t>
  </si>
  <si>
    <t>Wang J.</t>
  </si>
  <si>
    <t>Haupt R.</t>
  </si>
  <si>
    <t>United States;Germany</t>
  </si>
  <si>
    <t>Darmstadt</t>
  </si>
  <si>
    <t>Bhattacharyya A.K.</t>
  </si>
  <si>
    <t>Ottawa</t>
  </si>
  <si>
    <t>Limoges</t>
  </si>
  <si>
    <t>Universite de Limoges</t>
  </si>
  <si>
    <t>Natural Sciences and Engineering Research Council of Canada</t>
  </si>
  <si>
    <t>NSERC</t>
  </si>
  <si>
    <t>Algeria;France</t>
  </si>
  <si>
    <t>Algiers;Rennes</t>
  </si>
  <si>
    <t>Ecole Nationale Polytechnique Alger;Universite de Rennes 1</t>
  </si>
  <si>
    <t>60068739;60030553</t>
  </si>
  <si>
    <t>Dubost G.</t>
  </si>
  <si>
    <t>Albuquerque</t>
  </si>
  <si>
    <t>60005244;60005244</t>
  </si>
  <si>
    <t>Nanjing</t>
  </si>
  <si>
    <t>Southeast University</t>
  </si>
  <si>
    <t>Ukraine</t>
  </si>
  <si>
    <t>Norway</t>
  </si>
  <si>
    <t>Trondheim</t>
  </si>
  <si>
    <t>60014313;60014313;60014313</t>
  </si>
  <si>
    <t>Toronto</t>
  </si>
  <si>
    <t>University of Toronto</t>
  </si>
  <si>
    <t>60001881;60001881;60001881</t>
  </si>
  <si>
    <t>Palo Alto</t>
  </si>
  <si>
    <t>60020650;60020650</t>
  </si>
  <si>
    <t>;;;;</t>
  </si>
  <si>
    <t>Kiev</t>
  </si>
  <si>
    <t>National Academy of Sciences in Ukraine</t>
  </si>
  <si>
    <t>60030988;60015331</t>
  </si>
  <si>
    <t>Greece;Greece</t>
  </si>
  <si>
    <t>Komotini;Thessaloniki</t>
  </si>
  <si>
    <t>Democritus University of Thrace;Aristotle University of Thessaloniki</t>
  </si>
  <si>
    <t>Hanscom AFB</t>
  </si>
  <si>
    <t>Moscow</t>
  </si>
  <si>
    <t>University of Alberta</t>
  </si>
  <si>
    <t>France;France</t>
  </si>
  <si>
    <t>San Diego</t>
  </si>
  <si>
    <t>60000221;60000221</t>
  </si>
  <si>
    <t>Boulder</t>
  </si>
  <si>
    <t>University of Colorado Boulder</t>
  </si>
  <si>
    <t>Wait, J. R.</t>
  </si>
  <si>
    <t>Wait J.</t>
  </si>
  <si>
    <t>59-61</t>
  </si>
  <si>
    <t>Princeton</t>
  </si>
  <si>
    <t>Lehrman I.S.</t>
  </si>
  <si>
    <t>Lund</t>
  </si>
  <si>
    <t>Lunds Universitet</t>
  </si>
  <si>
    <t>United States;Germany;United States</t>
  </si>
  <si>
    <t>Demmig-Adams B.</t>
  </si>
  <si>
    <t>Bhattacharyya, A. K.</t>
  </si>
  <si>
    <t>Peng H.</t>
  </si>
  <si>
    <t>Edinburgh</t>
  </si>
  <si>
    <t>EFDA-JET</t>
  </si>
  <si>
    <t>Frankfurt am Main</t>
  </si>
  <si>
    <t>Goethe-Universit√§t Frankfurt am Main</t>
  </si>
  <si>
    <t>Koenig F.</t>
  </si>
  <si>
    <t>Peng, Huei</t>
  </si>
  <si>
    <t>103-106</t>
  </si>
  <si>
    <t>1573837X</t>
  </si>
  <si>
    <t>1046283X</t>
  </si>
  <si>
    <t>Computational Mathematics and Modeling</t>
  </si>
  <si>
    <t>Paris</t>
  </si>
  <si>
    <t>123-125</t>
  </si>
  <si>
    <t>Strizhkov V.</t>
  </si>
  <si>
    <t>Milan</t>
  </si>
  <si>
    <t>Universit√† degli Studi di Milano</t>
  </si>
  <si>
    <t>Il Nuovo Cimento C</t>
  </si>
  <si>
    <t>Journal of Electronics (China)</t>
  </si>
  <si>
    <t>China Academy of Space Technology</t>
  </si>
  <si>
    <t>22-29</t>
  </si>
  <si>
    <t>41-44</t>
  </si>
  <si>
    <t>1559128X</t>
  </si>
  <si>
    <t>Applied Optics</t>
  </si>
  <si>
    <t>Schmid R.</t>
  </si>
  <si>
    <t>60012556;60012556;60012556</t>
  </si>
  <si>
    <t>7004676254;6603415023;7005126308</t>
  </si>
  <si>
    <t>R√∂mer, S.;Humbeck, K.;Senger, H.</t>
  </si>
  <si>
    <t>Marburg</t>
  </si>
  <si>
    <t>Philipps-Universit√§t Marburg</t>
  </si>
  <si>
    <t>R√∂mer S.</t>
  </si>
  <si>
    <t>BBA - Bioenergetics</t>
  </si>
  <si>
    <t>Physics Letters A</t>
  </si>
  <si>
    <t>Russian Federation;Russian Federation</t>
  </si>
  <si>
    <t>Moscow;Moscow</t>
  </si>
  <si>
    <t>Gershman A.B.</t>
  </si>
  <si>
    <t>International Journal of Infrared and Millimeter Waves</t>
  </si>
  <si>
    <t>17-20</t>
  </si>
  <si>
    <t>Measurement Techniques</t>
  </si>
  <si>
    <t>Tempe</t>
  </si>
  <si>
    <t>Arizona State University</t>
  </si>
  <si>
    <t>Cell</t>
  </si>
  <si>
    <t>Planta</t>
  </si>
  <si>
    <t>Wurzburg</t>
  </si>
  <si>
    <t>Julius-Maximilians-Universit√§t W√ºrzburg</t>
  </si>
  <si>
    <t>Photosynthesis Research</t>
  </si>
  <si>
    <t>CNRS Centre National de la Recherche Scientifique</t>
  </si>
  <si>
    <t>Journal of Chemical Ecology</t>
  </si>
  <si>
    <t>Biochemistry</t>
  </si>
  <si>
    <t>Filippov V.</t>
  </si>
  <si>
    <t>38-40</t>
  </si>
  <si>
    <t>48-51</t>
  </si>
  <si>
    <t>60028673;60028673</t>
  </si>
  <si>
    <t>Space Communications</t>
  </si>
  <si>
    <t>Rumyantsev, R. I.</t>
  </si>
  <si>
    <t>Rumyantsev R.</t>
  </si>
  <si>
    <t>Lomonosov Moscow State University</t>
  </si>
  <si>
    <t>60029170;60029170;60029170</t>
  </si>
  <si>
    <t>Journal of Biological Chemistry</t>
  </si>
  <si>
    <t>60072285;60072285;60072285</t>
  </si>
  <si>
    <t>Journal of Comparative Physiology A</t>
  </si>
  <si>
    <t>1432119X</t>
  </si>
  <si>
    <t>Histochemistry</t>
  </si>
  <si>
    <t>Regensburg</t>
  </si>
  <si>
    <t>Universit√§t Regensburg</t>
  </si>
  <si>
    <t>137-141</t>
  </si>
  <si>
    <t>Journal of the Astronautical Sciences</t>
  </si>
  <si>
    <t>0497137X</t>
  </si>
  <si>
    <t>Nuclear Inst. and Methods in Physics Research, A</t>
  </si>
  <si>
    <t>Ludwig-Maximilians-Universit√§t M√ºnchen</t>
  </si>
  <si>
    <t>1432072X</t>
  </si>
  <si>
    <t>Archives of Microbiology</t>
  </si>
  <si>
    <t>0302766X</t>
  </si>
  <si>
    <t>Cell and Tissue Research</t>
  </si>
  <si>
    <t>347-352</t>
  </si>
  <si>
    <t>85-87</t>
  </si>
  <si>
    <t>119-121</t>
  </si>
  <si>
    <t>Plant Molecular Biology</t>
  </si>
  <si>
    <t>NTT Review</t>
  </si>
  <si>
    <t>Buzinov V.</t>
  </si>
  <si>
    <t>FEBS Letters</t>
  </si>
  <si>
    <t>60019118;60019118</t>
  </si>
  <si>
    <t>Hefei</t>
  </si>
  <si>
    <t>University of Science and Technology of China</t>
  </si>
  <si>
    <t>Shanjia X.</t>
  </si>
  <si>
    <t>Bakhrakh L.</t>
  </si>
  <si>
    <t>Huntsville</t>
  </si>
  <si>
    <t>The University of Alabama in Huntsville</t>
  </si>
  <si>
    <t>Journal of Electrical and Electronics Engineering, Australia</t>
  </si>
  <si>
    <t>['variable energy', 'thylakoid membranes', 'require greater', 'reaction centers', 'rapidly turning', 'quantum yield', 'ps ii', 'many photons', 'intact chloroplasts', 'electrochromic shift', 'antenna size', 'absorbance increase', '518 nm', '50 ms', '37 times']</t>
  </si>
  <si>
    <t>antenna size | electrochromic shift | inactive photosystem II | photosystem II</t>
  </si>
  <si>
    <t>The effective absorption cross section of inactive photosystem II (PS II) centers, which is the product of the effective antenna size and the quantum yield for photochemistry, was investigated by comparing the light saturation curves of inactive PS II and active reaction centers in intact chloroplasts and thylakoid membranes of spinach (Spinacia oleracea). Inactive PS II centers are defined as the impaired PS II reaction centers that require greater than 50 ms for the reoxidation of QA- subsequent to a single turnover flash. Active reaction centers are defined as the rapidly turning over PS II centers (recovery time less than 50 ms) and all of the PS I centers. The electrochromic shift, measured by the flash-induced absorbance increase at 518 nm, was used to probe the activity of the reaction centers. Light saturation curves were generated for inactive PS II centers and active reaction centers by measuring the extent of the absorbance increase at 518 nm induced by red actinic flashes of variable energy. The light saturation curves show that inactive PS II centers required over twice as many photons as active reaction centers to achieve the same yield. The ratio of the flash energy required for 50% saturation for active reaction centers (PS II active + PS I) compared to inactive PS II centers was 0.45¬±0.04 in intact chloroplasts, and 0.54¬±0.11 in thylakoid membranes. Analysis of the light saturation curves using a Poisson statistical model in which the ratio of the antenna size of active PS II centers to that of PS I is considered to range from 1 to 1.5, indicates that the effective absorption cross section of inactive PS II centers was 0.54-0.37 times that of active PS II centers. If the quantum yield for photochemistry is assumed to be one, we estimate that the antenna system serving the inactive PS II centers contains approx. 110 chlorophyll molecules. ¬© 1990 Kluwer Academic Publishers.</t>
  </si>
  <si>
    <t>39-48</t>
  </si>
  <si>
    <t>120172421;60000745</t>
  </si>
  <si>
    <t>57203095958;7004272536</t>
  </si>
  <si>
    <t>Chylla, Roger A.;Whitmarsh, John</t>
  </si>
  <si>
    <t>Urbana;Oak Lawn</t>
  </si>
  <si>
    <t>University of Illinois Urbana-Champaign;University of Illinois</t>
  </si>
  <si>
    <t>60000745;120172421</t>
  </si>
  <si>
    <t>Chylla R.A.</t>
  </si>
  <si>
    <t>Light saturation response of inactive photosystem II reaction centers in spinach</t>
  </si>
  <si>
    <t>10.1007/BF00051734</t>
  </si>
  <si>
    <t>2-s2.0-0002618919</t>
  </si>
  <si>
    <t>['¬© 1990', 'trans configuration', 'structural analysis', 'serrs spectroscopy', 'serrs represents', 'serrs data', 'sensitive means', 'rights reserved', 'provide information', 'periplasmic side', 'peak frequencies', 'molecular level', 'methoxy end', 'intracytoplasmic membrane', 'intact membranes', 'detecting pigments', 'derived vesicles', 'cytoplasmic side', 'chromophore within', 'cell membrane', 'biological systems', 'biological membrane', 'barely detectable', 'asymmetrically located', 'antenna complexes', '1 membranes', '), demonstrating']</t>
  </si>
  <si>
    <t>SurfAcc.-enhanced resonance Raman scattering (SERRS) spectra were obtained from carotenoids, in the all-trans configuration, located on the antenna complexes of Rhodobacter sphaeroides 2.4.1 membranes. Since resonance Raman (RR) spectra are barely detectable at the concentration that SERRS signals saturate, SERRS represents a very sensitive means of detecting pigments in biological systems. Prominent SERRS spectra of sphaeroidenone were detected in chromatophores (cytoplasmic side out) but not in sphero-plast-derived vesicles (periplasmic side out), demonstrating that the carotenoid is asymmetrically located on the cytoplasmic side of the cell membrane. Comparison of peak frequencies from SERRS and RR spectral data suggests that the carotenoids are oriented into the membrane with the methoxy end of the isoprenoid chains located closest to the cytoplasmic side of the intracytoplasmic membrane. This work not only shows that SERRS spectroscopy can provide information on the location of a chromophore in a biological membrane but also for the first time demonstrates that SERRS data can be used to ascertain the orientation of a chromophore within the membrane. This observation greatly increases the potential of this technique for structural analysis of intact membranes at the molecular level. ¬© 1990, American Chemical Society. All rights reserved.</t>
  </si>
  <si>
    <t>707-712</t>
  </si>
  <si>
    <t>60030451;60026306;60026306;60026306;60015404</t>
  </si>
  <si>
    <t>56259745200;57191396711;7402085282;7005381485;7006117632</t>
  </si>
  <si>
    <t>Picorel, Rafael;Lu, Tianhong;Holt, Randall E.;Cotton, Therese M.;Seibert, Michael</t>
  </si>
  <si>
    <t>Golden;Lincoln;Denver</t>
  </si>
  <si>
    <t>National Renewable Energy Laboratory;University of Nebraska‚ÄìLincoln;University of Denver</t>
  </si>
  <si>
    <t>60030451;60026306;60015404</t>
  </si>
  <si>
    <t>Picorel R.</t>
  </si>
  <si>
    <t>SurfAcc.-Enhanced Resonance Raman Scattering Spectroscopy of Bacterial Photosynthetic Membranes: Orientation of the Carotenoids of Rhodobacter sphaeroides 2.4.1</t>
  </si>
  <si>
    <t>10.1021/bi00455a017</t>
  </si>
  <si>
    <t>2-s2.0-0025058421</t>
  </si>
  <si>
    <t>National Heart, Lung, and Blood Institute</t>
  </si>
  <si>
    <t>P01HL026335</t>
  </si>
  <si>
    <t>NHLBI</t>
  </si>
  <si>
    <t>['¬© 1990', 'wavelength minimum', 'size man', 'secondary structures', 'secondary structure', 'rights reserved', 'results suggest', 'resulting glycoprotein', 'released monosaccharides', 'random coil', 'proper folding', 'probably three', 'primary structure', 'polypeptide chains', 'partially sialylated', 'oligosaccharide units', 'molar ellipticity', 'large portion', 'large increase', 'glycans may', 'enzymatic step', 'enzymatic removal', 'defined specificity', 'corresponding reductions', 'circular dichroic', 'ce ).', 'cd spectra', 'carbohydrate moiety', 'biological activity', 'aqueous buffer', 'approximately 96', 'amino acids', '13 regions']</t>
  </si>
  <si>
    <t>By use of six highly purified exoglycosidases with well-defined specificity, the oligosaccharide units of human plasma Œ≤2-glycoprotein I (Œ≤2I) were modified by sequential enzymatic degradation. The released monosaccharides (NeuAc, Gal, GlcNAc, and Man) were quantified, and the carbohydrate com positions of the resulting glycoprotein (gp) derivatives were determined. The gp was found to be both partially sialylated and galactosylated. These findings which are in agreement with earlier reports suggest that the carbohydrate moiety of Œ≤2I possesses more bi- than tri-antennas, probably three of the former and two of the latter carbohydrate units. Circular dichroic (CD) spectra of native Œ≤2I and its derivatives were measured in aqueous buffer and 2-chloroethanol (2-CE). Analysis of these spectra for elements of secondary structure showed Œ≤2I and most of the derivatives to contain predominantly Œ≤-sheet and Œ≤-turn structures. The lack of Œ±-helical structures in aqueous buffer was noted. Removal of a large portion of the carbohydrate moiety did not alter the CD spectra or secondary structure of Œ≤2I in either aqueous buffer or in 2-CE. However, after enzymatic removal of approximately 96% of the carbohydrate moiety, large significant changes in the spectra and secondary structures were observed. In aqueous buffer a shift in the wavelength minimum occurred, accompanied by an increase in the magnitude of the molar ellipticity and the amount of Œ≤-turn, with a reduction in random coil. One-third of the amino acids which were originally in random coil conformation assumed Œ≤-turns after removal of 96% of the carbohydrate moiety. In 2-CE the position of the wavelength minimum was unaltered after each enzymatic step; however, a large increase in the magnitude of the molar ellipticity was seen as well as a 10% increase in Œ±-helix and a 5% increase in random coil with corresponding reductions in both Œ≤-sheet and Œ≤-turn. Analysis of the primary structure of Œ≤2I by secondary structure prediction methods which were modified to include the elements of secondary structure estimated from the CD spectra showed the presence of 31 Œ≤-turns and 13 regions of Œ≤-sheet and showed the remainder to be random coil. These results suggest that the transfer of large-size Man-type (oligomannose) N-glycans during biosynthesis of gp may ensure the proper folding of their polypeptide chains and, thus, the presence of glycans may be a requirement for the biological activity of Œ≤2I. ¬© 1990, American Chemical Society. All rights reserved.</t>
  </si>
  <si>
    <t>6250-6257</t>
  </si>
  <si>
    <t>60006385;60016908;60021121;60006385;60016908</t>
  </si>
  <si>
    <t>7402337784;55956902500;35252314500;7201753459;7007017681</t>
  </si>
  <si>
    <t>Walsh, M. T.;Watzlawick, H.;Putnam, F. W.;Schmid, K.;Brossmer, R.</t>
  </si>
  <si>
    <t>Bloomington;Heidelberg;Boston</t>
  </si>
  <si>
    <t>Indiana University Bloomington;Universit√§t Heidelberg;Boston University School of Medicine</t>
  </si>
  <si>
    <t>60021121;60016908;60006385</t>
  </si>
  <si>
    <t>Walsh M.</t>
  </si>
  <si>
    <t>Effect of the Carbohydrate Moiety on the Secondary Structure of Œ≤&lt;inf&gt;2&lt;/inf&gt;-Glycoprotein I. Implications for the Biosynthesis and Folding of Glycoproteins</t>
  </si>
  <si>
    <t>10.1021/bi00478a020</t>
  </si>
  <si>
    <t>2-s2.0-0025369545</t>
  </si>
  <si>
    <t>['transient process', 'studied theoretically', 'stability regions']</t>
  </si>
  <si>
    <t>A phase stabilization system of an extended microwave channel with two controlled phase shifters is studied theoretically. Stability regions are obtained. The results of a calculation of the transient process in the system are presented.</t>
  </si>
  <si>
    <t>109-111</t>
  </si>
  <si>
    <t>6602247325;6508341217</t>
  </si>
  <si>
    <t>Zemtsov, G. P.;Plotnitskiy, S. O.</t>
  </si>
  <si>
    <t>Zemtsov G.</t>
  </si>
  <si>
    <t>Stability and the transient of a phase stabilization system of an extended microwave channel</t>
  </si>
  <si>
    <t>2-s2.0-0025450222</t>
  </si>
  <si>
    <t>['weak signals', 'weak signal', 'slow suppression', 'interference suppression', 'interference ratio', 'adaptive antenna']</t>
  </si>
  <si>
    <t>It is shown that in an adaptive antenna for increasing the signal-to-noise + interference ratio, the reception of weak signals in the presence of interference is possible not due to the difference in the levels of signal and interference suppression, but due to slow suppression of the weak signal.</t>
  </si>
  <si>
    <t>120-122</t>
  </si>
  <si>
    <t>Pistol'kors, A. A.</t>
  </si>
  <si>
    <t>Pistol'kors A.</t>
  </si>
  <si>
    <t>Reception of weak signals in the presence of high-power interference</t>
  </si>
  <si>
    <t>2-s2.0-0025450258</t>
  </si>
  <si>
    <t>['rp obtained', 'rp formed', 'rp ).', 'reception channel', 'radiation pattern', 'quadrature components', 'digital method', 'digital codes']</t>
  </si>
  <si>
    <t>Each element of a digital antenna array contains its own reception channel. Reception channels convert microwave signals entering the array radiator inputs into digital codes that are used to form the radiation pattern (RP). The parameters of a RP obtained by a digital method depend on whether the reception channel characteristics are identical. The purpose is to estimate the effect of the properties of the circuit for forming the quadrature components of a signal on the parameters of a RP formed by a digital method. Two typical circuits of a quadrature component generator are considered.</t>
  </si>
  <si>
    <t>6602223914;6505993913;57198253940;6504230985</t>
  </si>
  <si>
    <t>Letunov, L. A.;Mityashev, M. B.;Rabinovich, V. S.;Chigin, O. V.</t>
  </si>
  <si>
    <t>Letunov L.</t>
  </si>
  <si>
    <t>Effect of nonidentity of the reception channel characteristics on the parameters of a digital antenna array</t>
  </si>
  <si>
    <t>2-s2.0-0025450516</t>
  </si>
  <si>
    <t>['small loop', 'metal sphere', 'input impedances', 'finite conductance', 'dipole made', 'conducting medium']</t>
  </si>
  <si>
    <t>The input impedances and efficiency of a small loop and a dipole made from ideally conducting materials in free space without a metal sphere of finite conductance are calculated. The advisability of using superconducting wire for a loop and a dipole, placed in a conducting medium is considered.</t>
  </si>
  <si>
    <t>Korchagin, Yu A.</t>
  </si>
  <si>
    <t>Korchagin Y.</t>
  </si>
  <si>
    <t>Certain parameters of ULF-VLF superconducting antennas</t>
  </si>
  <si>
    <t>2-s2.0-0025450530</t>
  </si>
  <si>
    <t>['search algorithm', 'low rate', 'higher rate', 'binary random']</t>
  </si>
  <si>
    <t>Random search algorithms, used in adaptive antenna arrays have a low rate of adaptation. The objective is to study a binary random-search algorithm that has a higher rate of adaptation as compared to the well known random search algorithms. This algorithm is described.</t>
  </si>
  <si>
    <t>114-115</t>
  </si>
  <si>
    <t>6602851818;7005381162</t>
  </si>
  <si>
    <t>Glushankov, Ye I.;Gusev, N. A.</t>
  </si>
  <si>
    <t>Glushankov Y.</t>
  </si>
  <si>
    <t>Binary random-search algorithm in problems of optimizing the weighting factors of adaptive antenna arrays</t>
  </si>
  <si>
    <t>2-s2.0-0025451596</t>
  </si>
  <si>
    <t>['underlying surface', 'transceiving antenna', 'radar measurements', 'minus one', 'large compared', 'free space', 'expressions hold', 'esa ).', 'calibration using', 'calibration bodies', 'analyticial expressions']</t>
  </si>
  <si>
    <t>Spherical and cylindrical metal reflectors are used in radar measurements in free space as calibration bodies with a known effective scattering area (ESA). In measurements made near an underlying surface, calibration using these solids was considered to be impossible in the abscence of analyticial expressions for the ESA. The authors have obtained such expressions for the case of the plane of the interface with a Fresnel reflection coefficient equal to minus one. The expressions hold for reflectors with dimensions that are large compared to the wavelength, and a height above the interface plane small compared to the distance to a transceiving antenna.</t>
  </si>
  <si>
    <t>112-114</t>
  </si>
  <si>
    <t>7006627687;6602844877;6506226455</t>
  </si>
  <si>
    <t>Andreyev, A. Yu;Kobak, V. O.;Leont'yev, V. V.</t>
  </si>
  <si>
    <t>Andreyev A.</t>
  </si>
  <si>
    <t>Scattering characteristics of spherical and cylindrical reflectors near an interface</t>
  </si>
  <si>
    <t>2-s2.0-0025451597</t>
  </si>
  <si>
    <t>['single generator', 'nonlinear filtering', 'derived based', 'communications link']</t>
  </si>
  <si>
    <t>An optimum phasing structure of two remote radiators from a single generator is derived based on nonlinear filtering and stochastic optimum control theory. The communications link between the radiators has an unstable time delay.</t>
  </si>
  <si>
    <t>48-53</t>
  </si>
  <si>
    <t>7006499714;6603351545;6507165679</t>
  </si>
  <si>
    <t>Samoilenko, V. I.;Grubrin, I. V.;Lygina, I. Yu</t>
  </si>
  <si>
    <t>Samoilenko V.</t>
  </si>
  <si>
    <t>Optimum stochastic phasing of distant radiators</t>
  </si>
  <si>
    <t>2-s2.0-0025451599</t>
  </si>
  <si>
    <t>['surface wave', 'dielectric plate']</t>
  </si>
  <si>
    <t>The radiation from the end of a dielectric plate is investigated, taking into account the contribution of the surface wave to the far-zone field structure.</t>
  </si>
  <si>
    <t>Panchenko, B. A.</t>
  </si>
  <si>
    <t>Panchenko B.</t>
  </si>
  <si>
    <t>Effect of a discontinuity in the dielectric substrate on the radiation of a microstrip structure</t>
  </si>
  <si>
    <t>2-s2.0-0025452033</t>
  </si>
  <si>
    <t>['software tool', 'significant impact', 'programming required', 'personal computers', 'numerical methods', 'innovative package', 'engineering education']</t>
  </si>
  <si>
    <t>MathCAD is a software tool for personal computers that should have a significant impact on engineering education. In this paper we show some ways to use this package in introductory antenna analysis. For example, MathCAD is helpful in generating radiation patterns for arrays or for studying dipole antennas. MathCAD is shown to be an innovative package that reduces the amount of programming required in order to profit from the capabilities of our personal computers, especially in those courses that make substantial use of numerical methods.</t>
  </si>
  <si>
    <t>73-76</t>
  </si>
  <si>
    <t>CoED</t>
  </si>
  <si>
    <t>60032270;60032270;60032270;60032270</t>
  </si>
  <si>
    <t>57214370971;7406667064;6602519677;6602159790</t>
  </si>
  <si>
    <t>Rogers, David A.;Lee, David J.;Aslakson, Joel T.;Helt, Jon L.</t>
  </si>
  <si>
    <t>Fargo</t>
  </si>
  <si>
    <t>North Dakota State University</t>
  </si>
  <si>
    <t>Rogers D.</t>
  </si>
  <si>
    <t>Using MathCAD in introductory antenna analysis</t>
  </si>
  <si>
    <t>2-s2.0-0025455034</t>
  </si>
  <si>
    <t>['paper discusses', 'oversized waveguide', 'overmoded optics', 'overmoded due', 'greatest disadvantage', 'frequency receiver', 'done using']</t>
  </si>
  <si>
    <t>Conical Horn | Overmoded | Oversized Waveguide | Quasi-Optics</t>
  </si>
  <si>
    <t>This paper discusses the case of a submillimetre conical feedhorn system which is overmoded due to an oversized waveguide, but is not in the geometric optics regime. The motivation for this system is to use the same feed as a multi-frequency receiver. Increased background loading is the greatest disadvantage in overmoded optics; and aperture efficiency also suffers due to non-optimum horn dimensions. The analysis is done using the Laguerre-Gauss beam expansion method. ¬© 1990 Plenum Publishing Corporation.</t>
  </si>
  <si>
    <t>791-808</t>
  </si>
  <si>
    <t>Torchinsky, S. A.</t>
  </si>
  <si>
    <t>The University of Edinburgh</t>
  </si>
  <si>
    <t>Torchinsky S.</t>
  </si>
  <si>
    <t>Analysis of a conical horn fed by a slightly oversized waveguide</t>
  </si>
  <si>
    <t>10.1007/BF01010133</t>
  </si>
  <si>
    <t>2-s2.0-0025458485</t>
  </si>
  <si>
    <t>157-160</t>
  </si>
  <si>
    <t>7201902183;7005046349</t>
  </si>
  <si>
    <t>Schwartz, Egbert;Pichersky, Eran</t>
  </si>
  <si>
    <t>Schwartz E.</t>
  </si>
  <si>
    <t>Sequence of two tomato nuclear genes encoding chlorophyll a/b-binding proteins of CP24, a PSII antenna component</t>
  </si>
  <si>
    <t>10.1007/BF00017734</t>
  </si>
  <si>
    <t>2-s2.0-0025461530</t>
  </si>
  <si>
    <t>['radc ).', 'physical model', 'overdense meteors', 'link simulator', 'link relies', 'greenland operated', 'experimental link', 'antenna pattern', 'analysis shows']</t>
  </si>
  <si>
    <t>A physical model of the meteor burst communication channel (METLINK) and a link simulator (METWAIT) have been developed. Validation was performed using data measured on an experimental link in Greenland operated by the Rome Air Development Center (RADC). METLINK and METWAIT were used to determine the sensitivity of 1000 character message waiting times to antenna pattern, link power margin and range. This analysis shows that sensitivity of message waiting times to power margin increases considerably when the link relies on overdense meteors.</t>
  </si>
  <si>
    <t>277-282</t>
  </si>
  <si>
    <t>60015916;60015916;60015916;60015916</t>
  </si>
  <si>
    <t>6602406241;7005441833;6601962618;6602859431</t>
  </si>
  <si>
    <t>Desourdis, Robert I.;Merrill, Steven C.;Wojtaszek, Joseph H.;Hernandez, Kevin</t>
  </si>
  <si>
    <t>SAIC</t>
  </si>
  <si>
    <t>Desourdis R.</t>
  </si>
  <si>
    <t>Meteor burst link performance sensitivity to antenna pattern, power margin and range</t>
  </si>
  <si>
    <t>2-s2.0-0025461994</t>
  </si>
  <si>
    <t>['service area', 'new development', 'led ntt', 'enhancing functions', 'detailed description', 'december 1989']</t>
  </si>
  <si>
    <t>NTT's radio paging service, known by the name 'POCKET BELL', has become increasingly popular with customers in Japan. In December 1989, the number of customers reached 3 million. Increasing customer requests have led NTT to focus on improving three primary areas. These are: (1) expanding the service area, (2) increasing system capacity, and (3) enhancing functions and reducing the size of the pagers. In the following, we will describe the factors that led NTT to target these areas for improvement, and provide a detailed description of each new development.</t>
  </si>
  <si>
    <t>129-137</t>
  </si>
  <si>
    <t>55254799700;7004294639</t>
  </si>
  <si>
    <t>Wada, Masahiro;Shimanuki, Yoshitaro</t>
  </si>
  <si>
    <t>Wada M.</t>
  </si>
  <si>
    <t>New developments in NTT's radio paging system</t>
  </si>
  <si>
    <t>2-s2.0-0025462002</t>
  </si>
  <si>
    <t>['vibration monitoring', 'turbine blade', 'troubleshooting vibration', 'troubleshooting tools', 'stress technology', 'sti also', 'stationary antenna', 'spectrum analyses', 'root causes', 'repair options', 'repair decisions', 'provide utilities', 'power plants', 'possible solutions', 'overall strategy', 'natural frequencies', 'mode shapes', 'mechanical technology', 'main turbine', 'line measurement', 'life algorithm', 'independent means', 'increasing availability', 'generator bearings', 'fundamental causes', 'epri research', 'ensure safe', 'element techniques', 'effective redesign', 'dynamic evaluation', 'computer program', 'blade failure', 'blade cracking', 'auxiliary turbines', 'analytic capability', 'alternative design']</t>
  </si>
  <si>
    <t>The Electric Power Research Institute (EPRI) has developed a series of troubleshooting tools to help utilities determine the root causes of turbine blade and other rotating machinery failure. With this knowledge, utilities can identify and determine the costs and benefits of possible solutions and apply an overall strategy of reducing repair costs, increasing availability, and improving rotating machinery life. In conjunction with Stress Technology, Inc. (STI), EPRI has developed an interactive code called BLADE (blade-life algorithm for dynamic evaluation) to provide utilities with an independent means of analyzing and troubleshooting vibration-related blade failures. The code uses finite-element techniques to analyze the fundamental causes of blade failure, which helps utilities make the most cost-effective redesign and repair decisions. By predicting remaining blade life, the code also helps optimize inspection intervals and ensure safe, reliable plant operation. As an extension of this analytic capability, EPRI and STI also have developed a system for on-line measurement of dynamic blade stresses, natural frequencies, and mode shapes. In STEMS (stress telemetry monitoring system), strain and pressure gages attached to turbine blades transmit data to a rotating FM antenna/transmitter. Then the signals are transmitted to a stationary antenna/receiver for processing by spectrum analyses and blade cracking and evaluation of alternative design, operating, and repair options. The combination of aging rotating machinery and high reliability demands has elevated the importance of vibration monitoring of main turbine-generators, auxiliary turbines, motors, pumps, and fans in power plants. EPRI research in this area has resulted in two key tools, developed by Mechanical Technology, Inc.: FEATURE (finite-element analysis tool for utility rotordynamic evaluation) and the companion code COJOUR, a computer program for analyzing large turbine-generator bearings.</t>
  </si>
  <si>
    <t>30-31</t>
  </si>
  <si>
    <t>Power Engineering (Barrington, Illinois)</t>
  </si>
  <si>
    <t>McCloskey, Thomas</t>
  </si>
  <si>
    <t>Electric Power Research Institute</t>
  </si>
  <si>
    <t>McCloskey T.</t>
  </si>
  <si>
    <t>Troubleshooting rotating machinery vibration problems</t>
  </si>
  <si>
    <t>2-s2.0-0025462594</t>
  </si>
  <si>
    <t>709-712</t>
  </si>
  <si>
    <t>Improving the accuracy of antenna measuring systems by using a priori information</t>
  </si>
  <si>
    <t>10.1007/BF00978550</t>
  </si>
  <si>
    <t>2-s2.0-0025558759</t>
  </si>
  <si>
    <t>['radiation power', 'publishing house', 'plane relative', 'excited spectrum', 'electromagnetic part', 'czechoslovak academy', 'arbitrary orientation']</t>
  </si>
  <si>
    <t>The radiation power a VLF loop antenna with an arbitrary orientation of the loop's plane relative to the direction of the external magnetic field is calculated and its portion, transferred to the electromagnetic part of the excited spectrum, is determined. ¬© 1990 Academia, Publishing House of the Czechoslovak Academy of Sciences.</t>
  </si>
  <si>
    <t>284-287</t>
  </si>
  <si>
    <t>Studia Geophysica et Geod√¶tica</t>
  </si>
  <si>
    <t>60068924;60068924;60017989;60017989;60017989;60017989</t>
  </si>
  <si>
    <t>6701368960;6701762982;16435848000;7401566800;6603930559;7102269095</t>
  </si>
  <si>
    <t>Fiala, V.;T≈ô√≠ska, P.;Kruchina, E. N.;Shevchenko, V. I.;Soloviev, G. I.;Sotnikov, V. I.</t>
  </si>
  <si>
    <t>Czech Republic;Russian Federation</t>
  </si>
  <si>
    <t>Prague;Moscow</t>
  </si>
  <si>
    <t>Geophysical Institute, Prague;Space Research Institute of the Russian Academy of Sciences</t>
  </si>
  <si>
    <t>60068924;60017989</t>
  </si>
  <si>
    <t>Fiala V.</t>
  </si>
  <si>
    <t>Power radiated by a VLF loop antenna in the ionospheric plasma</t>
  </si>
  <si>
    <t>10.1007/BF02295935</t>
  </si>
  <si>
    <t>2-s2.0-34249960204</t>
  </si>
  <si>
    <t>301-317</t>
  </si>
  <si>
    <t>57096791300;6507926801</t>
  </si>
  <si>
    <t>Il'inskii, A. S.;Berezhnaya, I. V.</t>
  </si>
  <si>
    <t>Il'inskii A.</t>
  </si>
  <si>
    <t>Mathematical models of thin dipole antennas</t>
  </si>
  <si>
    <t>10.1007/BF01126583</t>
  </si>
  <si>
    <t>2-s2.0-34249963220</t>
  </si>
  <si>
    <t>['multilayer media', 'integral equation', 'hed ),', 'field expression', 'experimental data', 'electric current', 'air gap']</t>
  </si>
  <si>
    <t>Antenna | Microwave antenna | Multilayer substrate</t>
  </si>
  <si>
    <t>A method has been devised to analyze multilayer electrically thick circular microstrip antenna excited by a probe. The current on the probe is taken to be uniform. This method was verified by analysis and experiment of an electrically thick circular microstrip antenna with an air gap. Based on the free space electric dyadic Green's function, the field expression of an horizontal electric dipole (HED), which is located at any point of the multilayer media and points in any direction, has been derived. By using this field expression and the Richmond reaction equation, an integral equation in terms of electric current on the patch is formulated. By properly choosing current expansion modes, this method can be used for an electrically thick microstrip antenna. The theoretical results agree very well with experimental data for an electrically thick circular microstrip antenna with an air gap. ¬© 1990 Science Press.</t>
  </si>
  <si>
    <t>200-206</t>
  </si>
  <si>
    <t>60019499;60016930;60016930</t>
  </si>
  <si>
    <t>57142746900;55474949700;24789036500</t>
  </si>
  <si>
    <t>Li, Li;Yuan, Yang;Ronglong, Li</t>
  </si>
  <si>
    <t>China;China</t>
  </si>
  <si>
    <t>Beijing;Beijing</t>
  </si>
  <si>
    <t>Chinese Academy of Sciences;Beijing University of Posts and Telecommunications</t>
  </si>
  <si>
    <t>60019499;60016930</t>
  </si>
  <si>
    <t>Li L.</t>
  </si>
  <si>
    <t>Input impedance of microstrip antenna with thick multilayer substrate</t>
  </si>
  <si>
    <t>10.1007/BF02778420</t>
  </si>
  <si>
    <t>2-s2.0-51649148425</t>
  </si>
  <si>
    <t>['sn model', 'sn 1987a', 'gravitational antennas']</t>
  </si>
  <si>
    <t>Other objects and background radiations of unknown origin or distances</t>
  </si>
  <si>
    <t>We discuss a SN model with s-matter in the core, compatible with the set of experimental results obtained on SN 1987A by ŒΩ-detectors and gravitational antennas. ¬© 1990 Societ√† Italiana di Fisica.</t>
  </si>
  <si>
    <t>783-787</t>
  </si>
  <si>
    <t>60012259-60021199;60012259-60021199</t>
  </si>
  <si>
    <t>22965992900;57209388966</t>
  </si>
  <si>
    <t>Castagnoli, C.;Masani, A.</t>
  </si>
  <si>
    <t>Rome;Turin</t>
  </si>
  <si>
    <t>Consiglio Nazionale delle Ricerche;Universit√† degli Studi di Torino</t>
  </si>
  <si>
    <t>60021199;60012259</t>
  </si>
  <si>
    <t>Castagnoli C.</t>
  </si>
  <si>
    <t>SN1987A; n-stars, s-stars and the observational evidences</t>
  </si>
  <si>
    <t>10.1007/BF02507970</t>
  </si>
  <si>
    <t>2-s2.0-51649150784</t>
  </si>
  <si>
    <t>['two methods', 'new method', 'maximum number', 'effective aperture', 'array size']</t>
  </si>
  <si>
    <t>Array antenna | Coherent signal | Two-direction spatial smoothing method</t>
  </si>
  <si>
    <t>Based on Evans' spatial smoothing preprocessing scheme, a new approach called two-direction spatial smoothing preprocessing method is presented. It is proved that the decorrelation, the effective aperture and the maximum number of distinguishable coherent signals (when array size is given) of the new method are better than those of the Evans' method. Simulation results give a comparison between the eigenvector spectrums produced by the two methods. ¬© 1990 Science Press.</t>
  </si>
  <si>
    <t>215-222</t>
  </si>
  <si>
    <t>60024350;60024350</t>
  </si>
  <si>
    <t>24786031200;24789402500</t>
  </si>
  <si>
    <t>Binsheng, Zhao;Zhongliang, Lu</t>
  </si>
  <si>
    <t>Changsha</t>
  </si>
  <si>
    <t>National University of Defense Technology</t>
  </si>
  <si>
    <t>Binsheng Z.</t>
  </si>
  <si>
    <t>On two-direction spatial smoothing for estimation angle-of-direction of coherent signals</t>
  </si>
  <si>
    <t>10.1007/BF02778422</t>
  </si>
  <si>
    <t>2-s2.0-51649151159</t>
  </si>
  <si>
    <t>['sommerfeld type', 'small œå', 'results calculated', 'near field', 'microstrip structure', 'layer thickness', 'element current']</t>
  </si>
  <si>
    <t>EM theory | Microstrip antenna | Moment method | Sommerfeld integral</t>
  </si>
  <si>
    <t>Simple approximate formulas of near field for an element current in microstrip structure are derived by using the exact formulas consisting of integrals of Sommerfeld type. Results calculated with these formulas are compared with those obtained by numerically calculating Sommerfeld integrals. It is shown that these formulas are valid for small œÅ/Œª and have no limitation of layer thickness and loss. ¬© 1990 Science Press.</t>
  </si>
  <si>
    <t>263-267</t>
  </si>
  <si>
    <t>Wang, Jiasheng</t>
  </si>
  <si>
    <t>Approximate calculation for the near field of element current in microstrip structure with dielectric cover</t>
  </si>
  <si>
    <t>10.1007/BF02778428</t>
  </si>
  <si>
    <t>2-s2.0-51649151973</t>
  </si>
  <si>
    <t>['test run', 'td method', 'simulated numerically', 'near fields', 'near field', 'human torso', 'dipole antennas', 'deionized water', 'current distribution']</t>
  </si>
  <si>
    <t>Annular phased array | Dipole antenna | FD-TD method</t>
  </si>
  <si>
    <t>The problem for calculating near fields of EM radiation systems by using the finite difference time domain (FD-TD) method are discussed and the annular phased array of dipole antennas has been simulated numerically by use of the FD-TD method. For a test run the near field and current distribution of the single dipole antenna are calculated. The near fields of the annular phased array of dipole antennas in central region filled with deionized water are computed and the interaction of near fields with an anatomically-based inhomogeneous model of human torso is considered as well. ¬© 1990 Science Press.</t>
  </si>
  <si>
    <t>193-199</t>
  </si>
  <si>
    <t>60014966;60014966;60019118</t>
  </si>
  <si>
    <t>23059311200;24785528900;24787180000</t>
  </si>
  <si>
    <t>Changqing, Wang;Xili, Zhu;Jinyuan, Chen</t>
  </si>
  <si>
    <t>Hefei;Beijing</t>
  </si>
  <si>
    <t>University of Science and Technology of China;Peking University</t>
  </si>
  <si>
    <t>60019118;60014966</t>
  </si>
  <si>
    <t>Changqing W.</t>
  </si>
  <si>
    <t>Numerical simulation of annular phased array of dipole antennas using the FD-TD method</t>
  </si>
  <si>
    <t>10.1007/BF02778419</t>
  </si>
  <si>
    <t>2-s2.0-51649153886</t>
  </si>
  <si>
    <t>['wind directions', 'vortex shedding', 'tower investigated', 'response observed', 'porous plate', 'plate results', 'narrow band', 'microwave tower', 'microwave reflectors', 'large oscillations', 'dynamic response', 'complete elimination', 'also concluded']</t>
  </si>
  <si>
    <t>A wind tunnel study undertaken to investigate large oscillations observed on a microwave tower is reported. It is found that large oscillations can occur for a narrow band of wind directions, which are produced by vortex shedding from the microwave reflectors. A porous plate to be mounted between the two microwave dishes is proposed as a method to eliminate these oscillations. This plate results in complete elimination of the dynamic response and does not increase the along-wind drag noticeably. It is also concluded that the response observed is very particular to the tower investigated and would not have occurred on towers that are not equipped with weather protecting radomes.</t>
  </si>
  <si>
    <t>251-255</t>
  </si>
  <si>
    <t>Structural engineer London</t>
  </si>
  <si>
    <t>101481623;101481623</t>
  </si>
  <si>
    <t>7004011037;6601975543</t>
  </si>
  <si>
    <t>Milford, R. V.;Goliger, A. M.</t>
  </si>
  <si>
    <t>Div of Building Technology</t>
  </si>
  <si>
    <t>Milford R.</t>
  </si>
  <si>
    <t>Cross-wind excitation of a microwave tower</t>
  </si>
  <si>
    <t>2-s2.0-0025699142</t>
  </si>
  <si>
    <t>Alberta Heritage Foundation for Medical Research</t>
  </si>
  <si>
    <t>AHFMR</t>
  </si>
  <si>
    <t>['¬© 1990', 'outgrowth occurred', 'membrane level', 'mechanotransduction mechanisms', 'chordotonal organs', 'cell membrane']</t>
  </si>
  <si>
    <t>Cell separation | Channel | Cockroach | Cultured cell | Mechanoreceptor | Neuron | Patch clamp</t>
  </si>
  <si>
    <t>Single mechanosensory neurons were isolated from chordotonal organs of adult cockroach antennae. Transmission and scanning electron microscopy showed that the soma and part of the mechanosensory ending survived the dissociation. In culture, outgrowth occurred from the ending. Regions of cell membrane were accessible for patch clamp analysis and channels were recorded. The ability to record channel activity in isolated mechanosensory neurons will allow the study of mechanotransduction mechanisms at the membrane level. ¬© 1990.</t>
  </si>
  <si>
    <t>161-166</t>
  </si>
  <si>
    <t>Brain Research</t>
  </si>
  <si>
    <t>60030835;60030835;60030835</t>
  </si>
  <si>
    <t>6603428412;7202095039;56213807900</t>
  </si>
  <si>
    <t>Stockbridge, L. L.;French, A. S.;Sanders, E. J.</t>
  </si>
  <si>
    <t>Stockbridge L.</t>
  </si>
  <si>
    <t>Dissociation and culture of mechanosensory neurons for patch clamp analysis</t>
  </si>
  <si>
    <t>000689939091652W</t>
  </si>
  <si>
    <t>10.1016/0006-8993(90)91652-W</t>
  </si>
  <si>
    <t>2-s2.0-0025307206</t>
  </si>
  <si>
    <t>['¬© 1990', 'sensitivity h', 'requirements necessary', 'quantum meter', 'new type']</t>
  </si>
  <si>
    <t>An analysis of a gravitational wave antenna with a new type of quantum meter is presented. The requirements necessary to obtain a sensitivity h{less-than or approximate}1 √ó 10-20 for a small size antenna are described. ¬© 1990.</t>
  </si>
  <si>
    <t>251-256</t>
  </si>
  <si>
    <t>60007457;60007457</t>
  </si>
  <si>
    <t>7003908077;35351478800</t>
  </si>
  <si>
    <t>Braginsky, V. B.;Khalili, F. Ja</t>
  </si>
  <si>
    <t>Braginsky V.</t>
  </si>
  <si>
    <t>Gravitational wave antenna with QND speed meter</t>
  </si>
  <si>
    <t>0375-9601(90)90442-Q</t>
  </si>
  <si>
    <t>10.1016/0375-9601(90)90442-Q</t>
  </si>
  <si>
    <t>2-s2.0-33646602449</t>
  </si>
  <si>
    <t>['¬© 1990', 'whole chl', 'totally lacking', 'seventh mutant', 'seven mutants', 'second chl', 'ps ii', 'protein complex', 'possible function', 'normal content', 'mutants impaired', 'main light', 'low amounts', 'known role', 'hplc analysis', 'harvesting antenna', 'febs lett', 'either lacking', 'direct relation', 'cp ii', 'cp 0a', 'chl b', 'associated exclusively', '256 ).', '., nakazato', '., kobayashi', '., hongu', '., hiyama']</t>
  </si>
  <si>
    <t>(C. reinhardtii) | Chlorophyll a‚Ä≤ | Pheophytin a | Photosynthesis mutant</t>
  </si>
  <si>
    <t>HPLC analysis of chlorophyll (Chl) a‚Ä≤ and pheophytin (Pheo) a content was run for wild type Chlamydomonas reinhardtii and seven mutants with impaired photosynthetic functions. Four of them had no or little Photosystem II (PS II) activity. Two had no Photosystem I (PS I) activity and no P-700. In the seventh mutant, both photosystems were present but the main light-harvesting antenna (the chlorophyll-protein complex corresponding to PS II: CP II) was totally lacking because of the absence of Chl b. In mutants impaired in PS II activity, Pheo a is either lacking or found in only low amounts in direct relation with the loss in PS II activity. These results are in agreement with the well-known role of Pheo a as a primary electron acceptor in PS II. In mutants impaired in PS II activity the Chl a‚Ä≤ level is normal. In mutants impaired in PS I activity (P-700 less mutants), only half of the normal content of Chl a‚Ä≤ is present. So Chl a‚Ä≤ is associated exclusively with PS I as demonstrated before by Watanabe (Watanabe, T., Kobayashi, M., Hongu, A., Nakazato, M., Hiyama, T. and Murata, N. (1985) FEBS Lett. 191, 252-256). But only half the Chl a‚Ä≤ content could be P-700. This last result contradicts Watanabe's conclusion that the whole Chl a‚Ä≤ constitutes P-700. On the other hand, there is no relation between the presence of Chl a‚Ä≤ and the second Chl a-protein complex of PS I: CP 0a. The possible function of Chl a‚Ä≤ related to PS I activity is discussed. ¬© 1990.</t>
  </si>
  <si>
    <t>67-71</t>
  </si>
  <si>
    <t>60008134;60008134</t>
  </si>
  <si>
    <t>6602420717;6603798324</t>
  </si>
  <si>
    <t>Maroc, Jeannine;Tremolieres, Antoine</t>
  </si>
  <si>
    <t>Maroc J.</t>
  </si>
  <si>
    <t>Chlorophyll a‚Ä≤ and pheophytin a, as determined by HPLC, in photosynthesis mutants and double mutants of Chlamydomonas reinhardtii</t>
  </si>
  <si>
    <t>000527289090111G</t>
  </si>
  <si>
    <t>10.1016/0005-2728(90)90111-G</t>
  </si>
  <si>
    <t>2-s2.0-0025331263</t>
  </si>
  <si>
    <t>['vlbi measurements', 'vlbi data', 'used successfully', 'system temperature', 'spacecraft orbit', 'source visibilities', 'small number', 'six sources', 'results suggest', 'previously used', 'phase transfer', 'orbiting antenna', 'maximum baseline', 'ground baselines', 'earth orbit', 'diameter antenna', 'brightness temperatures', 'baseline lengths', 'also obtained', '6 poorer', '3 ghz', '15 ghz']</t>
  </si>
  <si>
    <t>Instruments | Interferometry | Radio sources: galaxies</t>
  </si>
  <si>
    <t>A 4.9 m diameter antenna in earth orbit, part of the Tracking and Data Relay Satellite System, was previously used for space VLBI observations at 2.3 GHz. It has now been used successfully with two ground antennas for VLBI measurements at 15 GHz. Although the sensitivity (gain/system temperature) of the orbiting antenna was a factor of 6 poorer at 15 GHz than at 2.3 GHz, 11 out of 22 extragalactic sources were detected on space-ground baselines, up to a maximum baseline of 1.63 Earth diameters. The results suggest that the distribution of source visibilities at 15 and 2.3 GHz are similar for these baseline lengths. Model-dependent brightness temperatures of 1-2.5 √ó 1012 K were derived for six sources. This suggests that sources with brightness temperatures in this range are as common at 15 GHz as at 2.3 GHz. The coherence on space-ground baselines (This includes effects due to the phase transfer from the ground to the satellite and the reconstruction of the spacecraft orbit) was 0.76 for 340 s integrations. A small number of VLBI data at 2.3 GHz were also obtained.</t>
  </si>
  <si>
    <t>350-358</t>
  </si>
  <si>
    <t>60009037;60009037;60009037;60009037;120539108-101778510;60029701-120539088-60000809;60029701;60029701;120539207-60029470;60008950-60015827;120539088-60000809;120539088-60000809;120539088-60000809;120539088-60000809;60022195;60022195;60022195;60022195;60022195;60016247;120539083-60015009;120539083-60015009;120539083-60015009;60024185;60009037;60009037;60009037;120539146-100519658</t>
  </si>
  <si>
    <t>7003671406;16200992900;7403062595;7003366473;6507976411;7101821985;7202520376;7406273351;7003412348;56482774200;23081029300;23030809700;7402167894;55724857300;55728551900;7007154524;6701802774;7004830993;7202791054;7404253141;7005455500;6506472345;7402815984;7003568727;35846644300;6602247566;6507432345;36754991200</t>
  </si>
  <si>
    <t>Linfield, R. P.;Levy, G. S.;Edwards, C. D.;Ulvestad, J. S.;Ottenhoff, C. H.;Hirabayashi, H.;Morimoto, M.;Inoue, M.;Jauncey, D. L.;Reynolds, J.;Nishimura, T.;Hayashi, T.;Takano, T.;Yamada, T.;Barrett, J. W.;Conner, S. R.;Heflin, M. B.;L√©har, J.;Burke, B. F.;Roberts, D. H.;Whitney, A. R.;Cappallo, R. J.;Rogers, A. E.E.;Pospieszalski, M. W.;Dinardo, S. J.;Skjerve, L. J.;Stavert, L. R.;Maher, M. J.</t>
  </si>
  <si>
    <t>Japan;Australia;United States;United States;United States;Australia;United States;United States;Australia;Japan;;;;;;United States;United States</t>
  </si>
  <si>
    <t>Mitaka;Melbourne;Charlottesville;Cambridge;Waltham;Canberra;Westford;Pasadena;Canberra;Sagamihara;;;;;;Las Cruces;Seabrook</t>
  </si>
  <si>
    <t>National Institutes of Natural Sciences - National Astronomical Observatory of Japan;Commonwealth Scientific and Industrial Research Organization;National Radio Astronomy Observatory;Massachusetts Institute of Technology;Brandeis University;Australian National University, Mount Stromlo Observatory;MIT Haystack Observatory;Jet Propulsion Laboratory;The Australian National University;JAXA Institute of Space and Astronautical Science;Cmw. Sci. and Indust. Organization;Bendix Field Engineering Corporation;TRW;Inst. Space and Astronautical Sci;Haystack Observatory;TRW Space and Technology Group;Bendix Field Engineering Corporation</t>
  </si>
  <si>
    <t>60029701;60029470;60024185;60022195;60016247;60015827;60015009;60009037;60008950;60000809;120539207;120539146;120539108;120539088;120539083;101778510;100519658</t>
  </si>
  <si>
    <t>Linfield R.P.</t>
  </si>
  <si>
    <t>15 GHz space VLBI observations using an antenna on a TDRSS satellite</t>
  </si>
  <si>
    <t>10.1086/168992</t>
  </si>
  <si>
    <t>2-s2.0-4243729776</t>
  </si>
  <si>
    <t>['¬© 1990', 'water soluble', 'vpa copolymers', 'sodium styrenesulfonate', 'makes possible', 'macromolecules appear', 'efficient photosensitizers', 'dpbf ).', 'different compositions', 'copolymers containing', 'compact conformation', 'aqueous solutions', 'anthracene copolymers', '33 mol']</t>
  </si>
  <si>
    <t>Poly(sodium styrenesulfonate-co-9-vinylphenyl)anthracene copolymers (PSSS-VPA) of different compositions were synthesized. The copolymers containing up to 33 mol % of 9-vinylphenylanthracene are water soluble. In aqueous solutions the macromolecules appear to adopt a compact conformation which makes possible the solubilization of large hydrophobic compounds such as perylene (P), tetraphenyl porphine and 1,3-diphenylisobenzofuran (DPBF). The PSSS-VPA copolymers were found to be very efficient photosensitizers in the oxidation of P and DPBF. It was observed, however, that the photostability of the polymers in the presence of oxygen is limited. ¬© 1990.</t>
  </si>
  <si>
    <t>233-250</t>
  </si>
  <si>
    <t>Journal of Photochemistry and Photobiology, A: Chemistry</t>
  </si>
  <si>
    <t>60016849;60016849;60016849</t>
  </si>
  <si>
    <t>7801407296;7004369519;7102379256</t>
  </si>
  <si>
    <t>Sustar, E.;Nowakowska, M.;Guillet, J. E.</t>
  </si>
  <si>
    <t>Sustar E.</t>
  </si>
  <si>
    <t>Studies of the antenna effect in polymer systems 16: synthesis and properties of water-soluble poly(sodium styrenesulfonate-CO-9-(p-vinylphenyl)anthracene)</t>
  </si>
  <si>
    <t>101060309087127W</t>
  </si>
  <si>
    <t>10.1016/1010-6030(90)87127-W</t>
  </si>
  <si>
    <t>2-s2.0-0001195225</t>
  </si>
  <si>
    <t>['¬© 1990', 'space group', 'crystals diffract', 'amphidinium carterae', 'almost identical']</t>
  </si>
  <si>
    <t>Antenna protein | Protein crystallization | X-ray diffraction</t>
  </si>
  <si>
    <t>Crystals of a water-soluble (Mr ‚âà 39 000) peridinin-chlorophyll a protein from Amphidinium carterae are reported. The crystals diffract to 2.2 √Ö and belong to a monoclinic (B2) and a triclinic (P1) space group. Spectra of the protein in the crystal and in solution are almost identical. ¬© 1990.</t>
  </si>
  <si>
    <t>48-50</t>
  </si>
  <si>
    <t>60025641;60025641;60025641;60019544;60019544</t>
  </si>
  <si>
    <t>24365002200;6603767150;7006702640;6603084067;7005379828</t>
  </si>
  <si>
    <t>Steck, Karolin;Wacker, Thomas;Welte, Wolfram;Sharples, Frank P.;Hiller, Roger G.</t>
  </si>
  <si>
    <t>Germany;Australia</t>
  </si>
  <si>
    <t>Freiburg im Breisgau;North Ryde</t>
  </si>
  <si>
    <t>Universit√§t Freiburg im Breisgau;Macquarie University</t>
  </si>
  <si>
    <t>60025641;60019544</t>
  </si>
  <si>
    <t>Steck K.</t>
  </si>
  <si>
    <t>Crystallization and preliminary X-ray analysis of a peridinin-chlorophyll a protein from Amphidinium carterae</t>
  </si>
  <si>
    <t>001457939080969P</t>
  </si>
  <si>
    <t>10.1016/0014-5793(90)80969-P</t>
  </si>
  <si>
    <t>2-s2.0-0025339470</t>
  </si>
  <si>
    <t>['yield nadph', 'reduce pq', 'ps ii', 'physiological significance', 'physiological conditions', 'pass electrons', 'functional state', 'direct analysis', 'data give', 'control thylakoids']</t>
  </si>
  <si>
    <t>NADPH formation | non-appressed region | oxygen evolution | PS II heterogeneity | PS II Œ≤ | regulation of photosynthesis</t>
  </si>
  <si>
    <t>The functional state of the PS II population localized in the stroma exposed non-appressed thylakoid region was investigated by direct analysis of the PS II content of isolated stroma thylakoid vesicles. This PS II population, possessing an antenna size typical for PS IIŒ≤, was found to have a fully functional oxygen evolving capacity in the presence of an added quinone electron acceptor such as phenyl-p-benzoquinone. The sensitivity to DCMU for this PS II population was the same as for PS II in control thylakoids. However, under more physiological conditions, in the absence of an added quinone acceptor, no oxygen was evolved from stroma thylakoid vesicles and their PS II centers were found to be incapable to pass electrons to PS I and to yield NADPH. By comparison of the effect of a variety of added quinone acceptors with different midpoint potentials, it is concluded that the inability of PS II in the stroma thylakoid membranes to contribute to NADPH formation probably is due to that QA of this population is not able to reduce PQ, although it can reduce some artificial acceptors like phenyl-p-benzoquinone. These data give further support to the notion of a discrete PS II population in the non-appressed stroma thylakoid region, PS IIŒ≤, having a higher midpoint potential of QA than the PS II population in the appressed thylakoid region, PS IIŒ±. The physiological significance of a PS II population that does not produce any NADPH is discussed. ¬© 1990 Kluwer Academic Publishers.</t>
  </si>
  <si>
    <t>107-117</t>
  </si>
  <si>
    <t>60029170;60029170</t>
  </si>
  <si>
    <t>6602092569;6602751507</t>
  </si>
  <si>
    <t>Henrysson, Tomas;Sundby, Cecilia</t>
  </si>
  <si>
    <t>Henrysson T.</t>
  </si>
  <si>
    <t>Characterization of photosystem II in stroma thylakoid membranes</t>
  </si>
  <si>
    <t>10.1007/BF00035459</t>
  </si>
  <si>
    <t>2-s2.0-0001241350</t>
  </si>
  <si>
    <t>['œ ≤', 'œ ±', '¬© 1990', 'terminal domains', 'stable incorporation', 'semiaerobic dark', 'semiaerobic conditions', 'rights reserved', 'rhodobacter capsulatus', 'results show', 'positions 14', 'oppositely charged', 'opposite charge', 'mutant u43', 'located close', 'little effect', 'inhibits strongly', 'grow without', 'binding polypeptides', 'b870 complex', 'amino acids', 'additional exchange']</t>
  </si>
  <si>
    <t>The N-terminal domains of the Œ± and Œ≤ polypeptides of the B870 antenna complex of Rhodobacter capsulatus are oppositely charged. In both polypeptides two charged amino acids are located close to the N-terminus, and two of them are close to the hydrophobic central domain. To test the hypothesis that charged amino acids in the N-terminus have a function for insertion and assembly of pigment-binding polypeptides, charged amino acids were replaced by amino acids of opposite charge. The results show that an exchange of amino acid positions 3 and 6 in Œ± (Lys ‚Üí Glu) or 2 and 5 in Œ≤ (Asp ‚Üí Lys, Arg) has little effect under semiaerobic conditions on the formation of B870 but the additional exchange of positions 14 and 15 in Œ± (Arg ‚Üí Glu, Asp) and/or 13 and 14 in Œ≤ (Asp, Glu ‚Üí Arg) inhibits strongly under semiaerobic dark and anaerobic light conditions the stable incorporation of the polypeptides into the membrane and the formation of the B870 complex. The mutant U43(pTXAB5) is able to grow without any antenna. ¬© 1990, American Chemical Society. All rights reserved.</t>
  </si>
  <si>
    <t>7754-7758</t>
  </si>
  <si>
    <t>60025641;60025641;60025641;60016908;60032838</t>
  </si>
  <si>
    <t>6507324688;57194676170;7102742634;16137779500;56390500800</t>
  </si>
  <si>
    <t>D√∂rge, Bernhard;Gad‚Äôon, Nasser;Drews, Gerhart;Klug, Gabriele;Cohen, Stanley N.</t>
  </si>
  <si>
    <t>United States;Germany;Germany</t>
  </si>
  <si>
    <t>Stanford;Freiburg im Breisgau;Heidelberg</t>
  </si>
  <si>
    <t>Stanford University School of Medicine;Universit√§t Freiburg im Breisgau;Universit√§t Heidelberg</t>
  </si>
  <si>
    <t>60032838;60025641;60016908</t>
  </si>
  <si>
    <t>D√∂rge B.</t>
  </si>
  <si>
    <t>Effects on the Formation of Antenna Complex B870 of Rhodobacter capsulatus by Exchange of Charged Amino Acids in the N-Terminal Domain of the Œ± and Œ≤ Pigment-Binding Proteins</t>
  </si>
  <si>
    <t>10.1021/bi00485a026</t>
  </si>
  <si>
    <t>2-s2.0-0024999089</t>
  </si>
  <si>
    <t>['two subgroups', 'stimuli applied', 'several neurons', 'recorded extracellularly', 'receptive fields', 'projection neurons', 'periplanone b', 'periplaneta americana', 'particularly sensitive', 'particular part', 'olfactory inputs', 'mechanosensory signals', 'lateral region', 'cobalt stainings', 'antennal region']</t>
  </si>
  <si>
    <t>Insect olfaction | Macroglomerulus | Periplaneta americana | Receptive fields | Sex pheromone</t>
  </si>
  <si>
    <t>The activity of olfactory projection neurons was recorded extracellularly in the macroglomerulus (mg) of the deutocerebrum of Periplaneta americana and their anatomy was investigated by cobalt stainings. These neurons are particularly sensitive to periplanone B, one of the two main components of the female sex pheromone. The neurons can be assigned to two subgroups on the basis of their receptive fields on the antenna: Neurons with global receptive fields give responses of similar intensity regardless of the antennal region that is stimulated. Their dendrites are uniformly distributed throughout the mg. Neurons with local receptive fields respond only to stimuli applied to a particular part of the antenna. The position of this receptive field varies within the group. The dendrites branch profusely in the lateral region of the mg. In each deutocerebrum there are several neurons with different, overlapping receptive fields. Due to the presence of projection neurons with different receptive fields, information about the site of stimulation is available in the deutocerebrum. This information is derived from the processing of olfactory inputs, with no involvement of mechanosensory signals. ¬© 1990 Springer-Verlag.</t>
  </si>
  <si>
    <t>321-327</t>
  </si>
  <si>
    <t>H√∂sl, Manfred</t>
  </si>
  <si>
    <t>H√∂sl M.</t>
  </si>
  <si>
    <t>Pheromone-sensitive neurons in the deutocerebrum of Periplaneta americana: receptive fields on the antenna</t>
  </si>
  <si>
    <t>10.1007/BF00192567</t>
  </si>
  <si>
    <t>2-s2.0-0025111093</t>
  </si>
  <si>
    <t>['two types', 'trailing edge', 'thickly covered', 'specific type', 'similar elements', 'sensitive receptors', 'sensillum coeloconicum', 'sensillum chaeticum', 'sensilla trichodea', 'sensilla situated', 'sensilla basiconica', 'second type', 'second species', 'one type', 'olfactory sensilla', 'olfactory receptors', 'olfactory elements', 'olfactory centres', 'odour molecules', 'nine types', 'neuronal organization', 'midway along', 'male antenna', 'lower surfaces', 'least 3', 'lack receptors', 'hall ltd', 'functionally identified', 'flagellum revealed', 'flagellar nerve', 'dendritic structures', 'dendritic morphology', 'current knowledge', 'contact chemoreceptors', 'contact chemoreceptor', 'characteristic location', 'bimodal hygro', 'arciform arrays', 'annuli situated', 'almost 50', '800 consist']</t>
  </si>
  <si>
    <t>Distribution and neuronal organization of sensilla on the surface of the annulate flagellar segment of the antenna of the male Manduca sexta were studied by scanning and transmission electron microscopy. Nine types of sensilla were identified and their bipolar neurons ascribed to specific sensory modalities on the basis of their cuticular and dendritic morphology. Cuticle morphology identifies two types of sensilla trichodea, two types of sensilla basiconica and one type of sensillum coeloconicum. Certain of these olfactory sensilla are further subdivided on the basis of their dendritic structures. One type of sensillum chaeticum was interpreted as a contact chemoreceptor. A second type of sensillum coeloconicum and a styliform sensilla complex were interpreted as bimodal hygro- and thermosensilla. A second species of sensillum chaeticum serves mechanosensation. Counts from annuli situated about midway along the flagellum revealed a total of about 2200 sensilla supplied by approximately 5160 sensory neurons. A conservative estimate suggests that a male antenna with 85-90 annuli provides the flagellar nerve with at least 3.6 √ó 105 receptor axons, a number that exceeds previous estimates by almost 50% Each species of receptor has a characteristic location on the annulus. Of the 2100 or so sensilla situated on the dorsal, ventral and the leading edge surfaces, about 800 consist of male-specific type-I trichoids containing pheromone-sensitive receptors. Arciform arrays of these sensilla on the upper and lower surfaces of each annulus presumably optimize the capture and absorbtion of odour molecules. The trailing edge of the flagellum, which is thickly covered by scales and was assumed until now to lack receptors, contains both mechanosensitive and contact chemoreceptors. The modality of non-olfactory receptors is considered with respect to similar elements that have been functionally identified in other species. The coexistence of non-olfactory sensilla with olfactory elements is discussed with respect to current knowledge of the organization of olfactory centres in the brain. ¬© 1990 Chapman and Hall Ltd.</t>
  </si>
  <si>
    <t>519-538</t>
  </si>
  <si>
    <t>Journal of Neurocytology</t>
  </si>
  <si>
    <t>16441324200;7006202510</t>
  </si>
  <si>
    <t>Lee, J. K.;Strausfeld, N. J.</t>
  </si>
  <si>
    <t>Lee J.</t>
  </si>
  <si>
    <t>Structure, distribution and number of surface sensilla and their receptor cells on the olfactory appendage of the male moth Manduca sexta</t>
  </si>
  <si>
    <t>10.1007/BF01257241</t>
  </si>
  <si>
    <t>2-s2.0-0025149030</t>
  </si>
  <si>
    <t>['vsat technology', 'terrestrial networks', 'small antennas', 'several organisations', 'restaurant chains', 'modern technology', 'insurance companies', 'good chance', 'fast penetration', 'developing countries', 'data exchange', 'certain applications', 'become feasible', 'based networks']</t>
  </si>
  <si>
    <t>It has become feasible to use inexpensive VSATs for satellite-based networks which in certain applications are superior to terrestrial networks. Small antennas are capable of receiving high information rates. In Europe, several organisations have installed or leased VSAT networks in order to be independent of terrestrial networks. Banks, insurance companies, hotel and restaurant chains and authorities are using VSAT networks for data exchange, reservation, booking and stock data handling. In the USA, VSAT technology is seeing powerful expansion. In Europe, this modern technology has a good chance to spread, because it offers ISDN functions and fast penetration into the future European market. Finally, it is evident that VSAT networks lend themselves as an economic and powerful communications infrastructure in developing countries.</t>
  </si>
  <si>
    <t>0262401X</t>
  </si>
  <si>
    <t>British Telecommunications Engineering</t>
  </si>
  <si>
    <t>Buechs, J. D.</t>
  </si>
  <si>
    <t>Backnang</t>
  </si>
  <si>
    <t>ANT Telecommunications</t>
  </si>
  <si>
    <t>Buechs J.</t>
  </si>
  <si>
    <t>Satellite communications using very small aperture terminals (VSATs)</t>
  </si>
  <si>
    <t>2-s2.0-0025466963</t>
  </si>
  <si>
    <t>['screen printing', 'mgo substrates', 'electrical properties', 'cover large', 'continuous coatings', 'complex shapes', 'complex areas', 'chemically compatible']</t>
  </si>
  <si>
    <t>The ability to cover large and complex areas with high-temperature superconducting material is required in many applications including patterned lines for microelectronics, complex shapes for resonators, and continuous coatings for power transmission lines. Thick film technology offers the ability to coat a variety of substrates by dipping, spraying, or screen printing. Silver and MgO substrates have been found to be chemically compatible with high-critical temperature superconducting thin films, but the compatibility of thermal expansion coefficients between film and substrate is also highly important when selecting a substrate. Electrical properties, such as critical current density and RF surface resistance, were used to evaluate the utility of these materials.</t>
  </si>
  <si>
    <t>37-40</t>
  </si>
  <si>
    <t>Hybrid circuit technology</t>
  </si>
  <si>
    <t>60028609;60028609;60028609;60028609;60028609;60028609</t>
  </si>
  <si>
    <t>7005320568;7004422833;6505706082;7202376523;57148928400;7005400444</t>
  </si>
  <si>
    <t>Lanagan, M. T.;Dorris, S. E.;Poeppei, R. B.;McGuire, M. J.;Wu, W.;Danyluk, S.</t>
  </si>
  <si>
    <t>Lemont</t>
  </si>
  <si>
    <t>Argonne National Laboratory</t>
  </si>
  <si>
    <t>Lanagan M.T.</t>
  </si>
  <si>
    <t>Processing and characterization of high-temperature superconducting thick films</t>
  </si>
  <si>
    <t>2-s2.0-0025467360</t>
  </si>
  <si>
    <t>['semiconductor antennas', 'sapphire technology', 'imperfectly conducting', 'diode detector']</t>
  </si>
  <si>
    <t>Monolithic semiconductor antennas integrated with a diode detector have been fabricated using silicon-on-sapphire technology. The performance of these antennas is analyzed on the basis of earlier theoretical work on imperfectly conducting/resistive cylindrical dipoles. The measured radiation patterns of semiconductor antennas are compared with those of the corresponding printed metal dipoles. ¬© 1990 Plenum Publishing Corporation.</t>
  </si>
  <si>
    <t>937-946</t>
  </si>
  <si>
    <t>60022659;60022659;60022659</t>
  </si>
  <si>
    <t>55466183200;7004299865;7202185170</t>
  </si>
  <si>
    <t>Brown, B. M.;Jain, F. C.;Bansal, R.</t>
  </si>
  <si>
    <t>Storrs</t>
  </si>
  <si>
    <t>University of Connecticut</t>
  </si>
  <si>
    <t>Brown B.M.</t>
  </si>
  <si>
    <t>A 44 GHz monolithic semiconductor dipole antenna</t>
  </si>
  <si>
    <t>10.1007/BF01008636</t>
  </si>
  <si>
    <t>2-s2.0-0025471313</t>
  </si>
  <si>
    <t>['reactive part', 'input impedance', 'hilbert transformation', 'finite thickness']</t>
  </si>
  <si>
    <t>A method is proposed for calculating an additional term taking the finite thickness of an electrically short antenna into account, for which the results of calculations of the reactive part of the input impedance, by means of a Hilbert transformation and the Hallen integral equation are in an agreement with each other.</t>
  </si>
  <si>
    <t>101-104</t>
  </si>
  <si>
    <t>Varyvdin, V. S.</t>
  </si>
  <si>
    <t>Varyvdin V.</t>
  </si>
  <si>
    <t>Use of a Hilbert transformation to calculate the reactive part of the input impedance of dipole antennas</t>
  </si>
  <si>
    <t>2-s2.0-0025473558</t>
  </si>
  <si>
    <t>['determination algorithms']</t>
  </si>
  <si>
    <t>'True' slowly moving target position selection and determination algorithms for a monopulse radar employing harmonic analysis-type signal processing are analyzed for the case of arbitrary aircraft flight.</t>
  </si>
  <si>
    <t>47-50</t>
  </si>
  <si>
    <t>Sazonov, N. A.</t>
  </si>
  <si>
    <t>Sazonov N.</t>
  </si>
  <si>
    <t>Features of 'true' moving target position indication and determination in a synthetic aperture radar in the case of arbitrary aircraft flight</t>
  </si>
  <si>
    <t>2-s2.0-0025473559</t>
  </si>
  <si>
    <t>['plane traveling', 'periodic system', 'mathematical model']</t>
  </si>
  <si>
    <t>A mathematical model of a plane traveling-wave slotted waveguide antenna with a periodic system of radiators is considered. The results of calculations of its characteristics are presented.</t>
  </si>
  <si>
    <t>105-107</t>
  </si>
  <si>
    <t>7202667195;6504084859</t>
  </si>
  <si>
    <t>Filippov, V. S.;Kurzayev, I. V.</t>
  </si>
  <si>
    <t>Mathematical model of a traveling-wave slotted waveguide antenna array</t>
  </si>
  <si>
    <t>2-s2.0-0025473560</t>
  </si>
  <si>
    <t>['work analyzes', 'signal field', 'radiated field', 'obtained experimentally', 'mode structure', 'many papers', 'linear polarization', 'diurnal variation', 'designing communication', 'decameter band', 'broadcasting networks', 'basic results', 'average values', '600 km', '4565 khz']</t>
  </si>
  <si>
    <t>In designing communication and broadcasting networks it is interesting to know not only the diurnal variation of field median values, but the depth and speed of rapid (interference) fading. This makes it possible to take into consideration the deterioration of the radio-link operation quality that they cause. Many papers have been devoted to studying rapid fading in the decameter band for linear polarization of the radiated field. The basic results were presented in CCIR Report 266-5. However, they do not contain an analysis of the beam field structure. This work analyzes the beam and mode structure of the signal field in comparison with the average values of the rapid fading amplitude, depth and speed. These values were obtained experimentally for paths of 195-600 km in investigating the boundaries of useful transmission zone with zenithal radiation antenna at 4565 kHz.</t>
  </si>
  <si>
    <t>13-17</t>
  </si>
  <si>
    <t>6603322231;36933726700;36793356200</t>
  </si>
  <si>
    <t>Dotolev, V. G.;Zhil'tsov, A. V.;Sukhanov, V. I.</t>
  </si>
  <si>
    <t>Dotolev V.</t>
  </si>
  <si>
    <t>Multibeam behavior for short paths in the decameter</t>
  </si>
  <si>
    <t>2-s2.0-0025473563</t>
  </si>
  <si>
    <t>['various lengths', 'suitable transmitting', 'standard deviations', 'receiving antennas', 'radio links', 'large extent', 'decameter paths', 'decameter broadcast', 'average values', 'analyze changes']</t>
  </si>
  <si>
    <t>The most important characteristics used in the design and operation of decameter broadcast and communications radio links are the average values and standard deviations of the signal arrival angles. These determine the choice of the most suitable transmitting and receiving antennas, on which, to a large extent, the reliability of data reception depends. In this paper, based on a generalization of the statistics of the signal arrival angles over decameter paths, we analyze changes in the performance of various HF antennas for radio links of various lengths.</t>
  </si>
  <si>
    <t>17-22</t>
  </si>
  <si>
    <t>Chernov, Yu A.</t>
  </si>
  <si>
    <t>Chernov Y.</t>
  </si>
  <si>
    <t>Performance of HF antennas with random angles of signal arrival</t>
  </si>
  <si>
    <t>2-s2.0-0025473576</t>
  </si>
  <si>
    <t>['type instruments', 'terminal networks', 'relative accuracy', 'recent times', 'prototype instrument', 'output resistances', 'oa ).', 'much simpler', 'moscow institute', 'measured parameter', 'mass produced', 'instruments based', 'direct readout', 'conversion circuit', 'complex impedances', 'ci components', 'capacitive impedances', 'anomalies arise', 'active impedances']</t>
  </si>
  <si>
    <t>One of the most widely used forms of measurements in telecommunications are measurements of complex impedances (CI) and their components in a wide frequency band. This category of measurement includes measurement of two-terminal networks (resistors, inductances, capacitances) and four-terminal networks (input and output resistances of amplifiers, filters, and antenna parameters). In recent times, active impedances have been measured by the widely used voltmeter-ammeter method using operational amplifier (OA). Instruments based on this method, having relative accuracy, are much simpler in terms of design than bridge-type instruments. They contain two basic elements, a device for converting the parameter being measured into a voltage, and a digital (or analog) voltmeter, that measures this voltage, with direct readout of measured parameter. A number of instruments of this type are mass produced. This method may also be used for measuring purely reactive impedances. The simplicity of the conversion circuit and the ease of constructing digital instruments have also given incentive to a searching for ways of using the method for separate digital measurements of the CI components. A method of such measurements, in a wide frequency band, has been developed at the Moscow Institute of Communications. Tests of a prototype instrument have confirmed the basic theoretical conclusions that were obtained in measurements of capacitive impedances. However, a number of anomalies arise when measuring inductive impedances, which need to be examined.</t>
  </si>
  <si>
    <t>27-33</t>
  </si>
  <si>
    <t>Vladimirov, A. S.</t>
  </si>
  <si>
    <t>Vladimirov A.S.</t>
  </si>
  <si>
    <t>Digital measurements of complex impedance components using an operational amplifier</t>
  </si>
  <si>
    <t>2-s2.0-0025473581</t>
  </si>
  <si>
    <t>['spatial phasing', 'radiation characteristics', 'field strength', 'converging identical']</t>
  </si>
  <si>
    <t>Expressions are obtained for determining the field strength of a system of converging identical and equally oriented coherent wave beams in space. Calculations are made of the radiation characteristics of an antenna with spatial phasing.</t>
  </si>
  <si>
    <t>108-111</t>
  </si>
  <si>
    <t>Mar'in, N. P.</t>
  </si>
  <si>
    <t>Mar'in N.</t>
  </si>
  <si>
    <t>Spatial distribution of the field strength of a system of converging wave beams</t>
  </si>
  <si>
    <t>2-s2.0-0025473582</t>
  </si>
  <si>
    <t>['screen made', 'open platforms', 'measuring systems', 'external characteristics', 'absorbing materials']</t>
  </si>
  <si>
    <t>The reasons for the occurrence of errors in information-measuring systems for measuring the external characteristics of antennas on open platforms are considered. A two-stage measuring procedure is proposed, in which a screen made from a radio-absorbing materials is used.</t>
  </si>
  <si>
    <t>98-100</t>
  </si>
  <si>
    <t>Method of increasing the accuracy of measurements of antenna characteristics</t>
  </si>
  <si>
    <t>2-s2.0-0025473603</t>
  </si>
  <si>
    <t>['various methods', 'transmitter power', 'therefore used', 'required quality', 'operational frequencies', 'information transmission', 'etc .)', 'essential nonstationarity', 'comparative efficiency', 'author discusses', 'adaptive control', 'adaptive choice', 'absorption fading']</t>
  </si>
  <si>
    <t>High interference level and essential nonstationarity of radiowave propagation conditions are typical of decameter radio communications. Various methods of adaptive control (adaptive choice of operational frequencies, adjustment of the transmitter power and of the speed of information transmission, control of the antenna directional pattern, etc.) are therefore used in existing and planned decameter radio communication systems. The author discusses a comparative efficiency of the forms of adaptive control used, depending on the required quality of information transmission in channels with interference and absorption fading.</t>
  </si>
  <si>
    <t>Tatarchenko, L. V.</t>
  </si>
  <si>
    <t>Tatarchenko L.</t>
  </si>
  <si>
    <t>Comparative efficiency of forms of adaptive control in decameter radio links</t>
  </si>
  <si>
    <t>2-s2.0-0025473605</t>
  </si>
  <si>
    <t>['technical facilities', 'simultaneous communication', 'paper propose', 'main rrcs', 'different frequencies', 'different directions', 'converter equipment', 'automatic control']</t>
  </si>
  <si>
    <t>A radio receiving center (RRC) is a complex multichannel system. Its task is to ensure, at different frequencies which change during operation, simultaneous communication with served subscribers situated in different directions from the RRC. Until recently, development of receiving centers proceeded by improving the technical facilities such as radio receivers antenna switches, converter equipment, etc. Much less attention was paid to the organization of automatic control of main RRCs. The authors of this paper propose the discussion of the expediency of creating an automated control system for RRCs, and indicate a way to achieve this.</t>
  </si>
  <si>
    <t>7004819897;7005137371;6602860948;57212812574</t>
  </si>
  <si>
    <t>Golovin, O. V.;Krotov, A. V.;Guzeyev, V. Ye;Goreglyad, V. D.</t>
  </si>
  <si>
    <t>Golovin O.</t>
  </si>
  <si>
    <t>Automated control of a radio receiving center</t>
  </si>
  <si>
    <t>2-s2.0-0025473606</t>
  </si>
  <si>
    <t>['¬∑ hz1', 'series summation', 'magnetic antenna', 'frequency range', 'emfs induced', 'compact low', 'authors describe', '8 na', '4 khz', '3 db']</t>
  </si>
  <si>
    <t>The authors describe a compact low-frequency inductive transducer the nonuniformity of whose conversion factor is not over 3 dB in the frequency range of 0.3-4 kHz and whose sensitivity threshold is not over 3.8 nA/m¬∑Hz1/2 at frequencies of 1-4 kHz. To obtain high sensitivity the magnetic antenna is in the form of two parallel ferrite rod antennas in a circuit with series summation of the emfs induced in their winding.</t>
  </si>
  <si>
    <t>127-129</t>
  </si>
  <si>
    <t>1 pt 2</t>
  </si>
  <si>
    <t>Instruments and experimental techniques New York</t>
  </si>
  <si>
    <t>7101925137;6603526791;6603512981;7006922781;6506128972;6505606253</t>
  </si>
  <si>
    <t>Gromov, V. I.;Lipskii, V. K.;Mende, N. A.;Moshinskii, A. E.;Perminov, M. F.;Popovyan, D. E.</t>
  </si>
  <si>
    <t>Gromov V.</t>
  </si>
  <si>
    <t>Low-frequency inductive transducer</t>
  </si>
  <si>
    <t>2-s2.0-0025476164</t>
  </si>
  <si>
    <t>['similar shape', 'represent parts', 'numerical results', 'new applicator', 'human body', 'function theory', 'cylindrical configuration', 'aperture antenna']</t>
  </si>
  <si>
    <t>The electromagnetic power distribution inside a three-layer cylindrical model irradiated by a loop or an aperture antenna is examined. The cylindrical configuration has been adopted to represent parts of the human body with similar shape, such as the torso or limb. The complex electromagnetic problem is formulated with the aid of the Green's function theory. The Green's function for the three-layer cylindrical structure is determined as the response to a unit excitation located outside the cylinder. The response to the radiators under examination is found. Numerical results are presented for several radiator dimensions and locations. A new applicator with enhanced penetration depth is proposed.</t>
  </si>
  <si>
    <t>990-999</t>
  </si>
  <si>
    <t>60002947;60002947;60002947</t>
  </si>
  <si>
    <t>7004017835;6602378212;7102355233</t>
  </si>
  <si>
    <t>Cottis, P. G.;Chatzarakis, G. E.;Uzunoglu, N. K.</t>
  </si>
  <si>
    <t>Cottis P.</t>
  </si>
  <si>
    <t>Electromagnetic energy deposition inside a three-layer cylindrical human body model caused by near-field radiators</t>
  </si>
  <si>
    <t>10.1109/22.57322</t>
  </si>
  <si>
    <t>2-s2.0-0025477438</t>
  </si>
  <si>
    <t>749-753</t>
  </si>
  <si>
    <t>Gusev, A. V.</t>
  </si>
  <si>
    <t>Gusev A.</t>
  </si>
  <si>
    <t>Sensitivity of a gravitational antenna with a piezoelectric converter</t>
  </si>
  <si>
    <t>10.1007/BF00976145</t>
  </si>
  <si>
    <t>2-s2.0-0025794665</t>
  </si>
  <si>
    <t>['¬© 1990', 'yet unidentified', 'upon denaturation', 'rights reserved', 'reaction cannot', 'protein present', 'prevented simply', 'native absorption', 'minor amount', 'h owever', 'fragm ent', 'form ation', 'fluorescence properties', 'degradation product', 'conclude th', 'chlorosome preparations', 'chlorosom es', 'chloroflexus aurantiacus', 'bchl c', '1984 )],']</t>
  </si>
  <si>
    <t>5.6-kDa Polypeptide | Chloroflexus aurantiacus | Chlorosomes | Photosynthetic Antennae</t>
  </si>
  <si>
    <t>Chlorosom es containing BChl a 790 have been isolated from Chloroflexus aurantiacus on sucrose density gradients using the detergents M iranol, D eriphat, N, N -dim ethyldodecylam ine-N -oxide, and dodecyl-√ü-D-m altoside. All freshly prepared sam ples either lack the polypeptide of approxim ately 5 kD a, which appears identical w ith the 5.6-kD a protein previously assigned the role of BChl c-binding [R. G. Feick and R. C. Fuller, Biochem istry 23, 3693-3700 (1984)], or they contain only a minor amount there of. This polypeptide accum ulates in the chlorosom es in vitro at room tem perature w ithin 24 h after isolation. The reaction cannot be prevented simply by addition of the protease inhibitors benzamidine, ¬£-caproic acid, and phenylm ethylsulfonyl fluoride. H owever, upon denaturation, as required to r gel electrophoresis, of the freshly isolated chlorosome sample the form ation of the 5-kD a polypeptide is inhibited. We conclude th at this species, viz. 5.6-kD a protein, is a degradation product of another - as yet unidentified - protein present in the chlorosom e preparations. Despite the pronounced proteolytic activity which affords the 5-kD a fragm ent, the native absorption and fluorescence properties of BChl c and BChl a are essentially not changed in these chlorosome preparations. ¬© 1990, Walter de Gruyter. All rights reserved.</t>
  </si>
  <si>
    <t>823-828</t>
  </si>
  <si>
    <t>36796558900;35501122300;7006711511</t>
  </si>
  <si>
    <t>Griebenow, Kai;Holzwarth, Alfred R.;Schaffner, Kurt</t>
  </si>
  <si>
    <t>Griebenow K.</t>
  </si>
  <si>
    <t>The 5.6-kilodalton protein in isolated chlorosomes of chloroflexus aurantiacus strain ok-70-fl is a degradation product</t>
  </si>
  <si>
    <t>10.1515/znc-1990-7-813</t>
  </si>
  <si>
    <t>2-s2.0-0041503011</t>
  </si>
  <si>
    <t>['viable cells', 'using udp', 'type mday', 'two inhibitors', 'syngeneic mice', 'studying carbohydrate', 'results suggest', 'purified glycosyl', 'provide evidence', 'lymphocyte homing', 'linked processing', 'linked oligosaccharides', 'lectin interactions', 'increasing availability', 'golgi udp', 'gal transporter', 'enhanced binding', 'endothelial cells', 'endothelial cell', 'd2 cells', 'controlled means', 'conjugated albumin', 'cell interactions', 'carbohydrate sequences', 'bovine galactosyltransferase', 'binding lectins', '8 h', '4 gal']</t>
  </si>
  <si>
    <t>Cell surface carbohydrate structures acting as ligands for tissue specific mammalian lectins have been implicated in cell-cell interactions during embryogenesis, lymphocyte homing, and tumor cell metastasis. In this report, we provide evidence that Œ≤1-4 linked galactose (Gal) residues in N-linked oligosaccharides on the surface of blood born tumor cells serve as a ligand for binding to microvascular endothelial cells. D36W25, a class 1 glycosylation mutant of the MDAY-D2 lymphoreticular tumor cell line, lacks sialic acid and Gal in cellular glycans due to a defect in the Golgi UDP-Gal transporter. Using UDP-Gal and bovine galactosyltransferase in vitro, Œ≤1-4 Gal was restored to the surface of the cells and 70% of the galactosylated glycans persisted for 8 h in vitro at 37¬∞C. Compared to mock-treated D36W25 cells, galactosylated D36W25 cells showed an 80% increase in binding to microvascular endothelial cell monolayers in vitro. The enhanced binding of galactosylated D36W25 cells to endothelial cell was inhibited by the addition of lactosamine-conjugated albumin to the assay. Consistent with these observations, swainsonine and castinospermine, two inhibitors of N-linked processing that result in loss of lactosamine antennae inhibited the binding of wild-type MDAY-D2 cells to endothelial cells in vitro. Injection of radiolabeled tumor cells into the circulation of syngeneic mice, showed that galactosylation of D36W25 cells resulted in 2-3 more tumor cells retained in the lungs and livers. In addition, galactosylation of D36W25 cells increased by 30-fold the number of visible liver metastases on inspection 4 wk after tumor cell injection. These results suggest that Œ≤1-4Gal-binding lectins on microvascular endothelial cells can contribute to retention and secondary tumor formation of blood born tumor cells. With the increasing availability of purified glycosyl-transferases, reconstruction of a variety of carbohydrate sequences on the surface of class 1 mutants provides a controlled means of studying carbohydrate-lectin interactions on viable cells.</t>
  </si>
  <si>
    <t>773-781</t>
  </si>
  <si>
    <t>Journal of Cell Biology</t>
  </si>
  <si>
    <t>60027016;60027016;60027016</t>
  </si>
  <si>
    <t>6602152776;35926910900;7202979823</t>
  </si>
  <si>
    <t>Cornil, I.;Kerbel, R. S.;Dennis, J. W.</t>
  </si>
  <si>
    <t>The Lunenfeld-Tanenbaum Research Institute of University of Toronto</t>
  </si>
  <si>
    <t>Cornil I.</t>
  </si>
  <si>
    <t>Tumor cell surface Œ≤1-4-linked galactose binds to lectin(s) on microvascular endothelial cells and contributes to organ colonization</t>
  </si>
  <si>
    <t>10.1083/jcb.111.2.773</t>
  </si>
  <si>
    <t>2-s2.0-0025365203</t>
  </si>
  <si>
    <t>['wageningen meeting', 'unifying model', 'triplet state', 'triplet excitation', 'second step', 'recent progress', 'qn developed', 'primary control', 'previous conclusions', 'photochemical quenching', 'peroxidase reaction', 'invasive techniques', 'introductory talk', 'intact chloroplasts', 'inhibit part', 'combined mehler', 'chlorophyll fluorescence', 'charge recombination', 'antenna quenching', 'actual mechanism']</t>
  </si>
  <si>
    <t>ascorbate peroxidase | chlorophyll luminescence | Mehler reaction | P515 | photosystem II | recombination quenching | zeaxanthin</t>
  </si>
  <si>
    <t>Recent progress in chlorophyll fluorescence research is reviewed, with emphasis on separation of photochemical and non-photochemical quenching coefficients (qP and qN) by the 'saturation pulse method'. This is part of an introductory talk at the Wageningen Meeting on 'The use of chlorophyll fluorescence and other non-invasive techniques in plant stress physiology'. The sequence of events is investigated which leads to down-regulation of PS II quantum yield in vivo, expressed in formation of qN. The role of O2-dependent electron flow for ŒîpH- and qN-formation is emphasized. Previous conclusions on the rate of 'pseudocyclic' transport are re-evaluated in view of high ascorbate peroxidase activity observed in intact chloroplasts. It is proposed that the combined Mehler-Peroxidase reaction is responsible for most of the qN developed when CO2-assimilation is limited. Dithiothreitol is shown to inhibit part of qN-formation as well as peroxidase-induced electron flow. As to the actual mechanism of non-photochemical quenching, it is demonstrated that quenching is favored by treatments which slow down reactions at the PS II donor side. The same treatments are shown to stimulate charge recombination, as measured via 50 Œºs luminescence. It is suggested that also in vivo internal thylakoid acidification leads to stimulation of charge recombination, although on a more rapid time scale. A unifying model is proposed, incorporating reaction center and antenna quenching, with primary control of ŒîpH at the PS II reaction center, involving radical pair spin transition and charge recombination to the triplet state in a first quenching step. In a second step, triplet excitation is trapped by zeaxanthin (if present) which in its triplet excited state causes additional quenching of singlet excited chlorophyll. ¬© 1990 Kluwer Academic Publishers.</t>
  </si>
  <si>
    <t>279-293</t>
  </si>
  <si>
    <t>60012689;60012689</t>
  </si>
  <si>
    <t>7006532114;7003791761</t>
  </si>
  <si>
    <t>Schreiber, Ulrich;Neubauer, Christian</t>
  </si>
  <si>
    <t>Schreiber U.</t>
  </si>
  <si>
    <t>O&lt;inf&gt;2&lt;/inf&gt;-dependent electron flow, membrane energization and the mechanism of non-photochemical quenching of chlorophyll fluorescence</t>
  </si>
  <si>
    <t>10.1007/BF00033169</t>
  </si>
  <si>
    <t>2-s2.0-0000191606</t>
  </si>
  <si>
    <t>['zeaxanthin mediates', 'zeaxanthin independent', 'zeaxanthin content', 'xanthophyll cycle', 'violaxanthin de', 'two types', 'two groups', 'state quenching', 'state photosynthesis', 'spinach leaves', 'similar response', 'rate constant', 'predominant component', 'possibly associated', 'pigment bed', 'photochemical apparatus', 'naturally lacks', 'major component', 'less favorable', 'initial fluorescence', 'high rates', 'free blue', 'fluorescence quenching', 'excitation energy', 'energy dissipation', 'e .,', 'dtt inhibited', 'dtt ),', 'conditions examined', 'conditions allowing', 'close correlation', 'chlorophyll fluorescence', 'antenna chlorophyll']</t>
  </si>
  <si>
    <t>excessive light | photoprotection | photosynthesis | photosystem II regulation | xanthophyll cycle</t>
  </si>
  <si>
    <t>The possibility that zeaxanthin mediates the dissipation of an excess of excitation energy in the antenna chlorophyll of the photochemical apparatus has been tested through the use of an inhibitor of violaxanthin de-epoxidation, dithiothreitol (DTT), as well as through the comparison of two closely related organisms (green and blue-green algal lichens), one of which (blue-green algal lichen) naturally lacks the xanthophyll cycle. In spinach leaves, DTT inhibited a major component of the rapidly relaxing high-energy-state quenching' of chlorophyll fluorescence, which was associated with a quenching of the level of initial fluorescence (F‚Ä≤0) and exhibited a close correlation with the zeaxanthin content of leaves when fluorescence quenching was expressed as the rate constant for radiationless energy dissipation in the antenna chlorophyll. Green algal lichens, which possess the xanthophyll cycle, exhibited the same type of fluorescence quenching as that observed in leaves. Two groups of blue-green algal lichens were used for a comparison with these green algal lichens. A group of zeaxanthin-free blue-green algal lichens did not exhibit the type of chlorophyll fluorescence quenching indicative of energy dissipation in the pigment bed. In contrast, a group of blue-green algal lichens which had formed zeaxanthin slowly through reactions other than the xanthophyll cycle, did show a very similar response to that of leaves and green algal lichens. Fluorescence quenching indicative of radiationless energy dissipation in the antenna chlorophyll was the predominant component of 'high-energy-state quenching' in spinach leaves under conditions allowing for high rates of steady-state photosynthesis. A second, but distinctly different type of 'high-energy-state quenching' of chlorophyll fluorescence, which was not inhibited by DTT (i.e., it was zeaxanthin independent) and which is possibly associated with the photosystem II reaction center, occurred in addition to that associated with zeaxanthin in leaves under a range of conditions which were less favorable for linear photosynthetic electron flow. In intact chloroplasts isolated from (zeaxanthin-free) spinach leaves a combination of these two types of rapidly reversible fluorescence quenching occurred under all conditions examined. ¬© 1990 Kluwer Academic Publishers.</t>
  </si>
  <si>
    <t>187-197</t>
  </si>
  <si>
    <t>7003992248;7401725101</t>
  </si>
  <si>
    <t>Demmig-Adams, Barbara;Adams, William W.</t>
  </si>
  <si>
    <t>The carotenoid zeaxanthin and 'high-energy-state quenching' of chlorophyll fluorescence</t>
  </si>
  <si>
    <t>10.1007/BF00033160</t>
  </si>
  <si>
    <t>2-s2.0-0000191610</t>
  </si>
  <si>
    <t>['theoretical predictions', 'small deviation', 'reaction centres', 'quench fluorescence', 'phenylene diamine', 'pea thylakoids', 'energy dissipation', 'dunaliella c9aa', 'dnb ),', 'directly atributable', 'correlated well', 'consistent relationship', 'chemical model', 'butler prediction', 'butler model', 'barley leaves', 'antenna quenching']</t>
  </si>
  <si>
    <t>The quenching of variable fluorescence yield (qN) and the quenching of dark level fluorescence yield (q0) directly atributable to high-energy-state fluorescence quenching (qE) was studied to distinguish between energy dissipation in the antenna and light harvesting complexes (antenna quenching) and energy dissipation at the reaction centres (reaction centre quenching). A consistent relationship was obtained between qN and q0 in barley leaves, the green alga Dunaliella C9AA and in pea thylakoids with 2,3,5,6-tetramethyl-p-phenylene diamine (DAD) as mediator of cyclic electron flow around PS 1. This correlated well with the relationship obtained using m-dinitrobenzene (DNB), a chemical model for antenna quenching, to quench fluorescence in Dunaliella C9AA or pea thylakoids. The results also correlated reasonably well with theoretical predictions by the Butler model for antenna quenching, but did not correlate with the predictions for reaction centre quenching. It is postulated that qE quenching therefore occures in the antenna and light harvesting complexes, and that the small deviation from the Butler prediction is due to PS 2 heterogeneity. ¬© 1990 Kluwer Academic Publishers.</t>
  </si>
  <si>
    <t>199-211</t>
  </si>
  <si>
    <t>8975800000;57225328063;57203184101</t>
  </si>
  <si>
    <t>Rees, D.;Noctor, G. D.;Horton, P.</t>
  </si>
  <si>
    <t>Rees D.</t>
  </si>
  <si>
    <t>The effect of high-energy-state excitation quenching on maximum and dark level chlorophyll fluorescence yield</t>
  </si>
  <si>
    <t>10.1007/BF00033161</t>
  </si>
  <si>
    <t>2-s2.0-0001417934</t>
  </si>
  <si>
    <t>['sun line', 'radio azimuths', 'radiation around', 'previous suggestion', 'originate near', 'opposite side', 'like sources', 'events corresponds', 'drift far']</t>
  </si>
  <si>
    <t>The radio azimuths for many kilometric type III bursts that originate near or behind the limb of the Sun are observed to drift far to the east or far to the west of the spacecraft-Sun line. It is shown that the behavior of the observed burst parameters for these events corresponds to the response of a spinning dipole antenna to halo-like sources of radiation around the Sun. Our results provide evidence for a previous suggestion that behind-the-limb type III events should appear as halo-like sources of radiation to an observer on the opposite side of the Sun, due to scattering of the radiation from the primary source back around the Sun. ¬© 1990 Kluwer Academic Publishers.</t>
  </si>
  <si>
    <t>371-388</t>
  </si>
  <si>
    <t>1573093X</t>
  </si>
  <si>
    <t>Solar Physics</t>
  </si>
  <si>
    <t>100319458;60006337</t>
  </si>
  <si>
    <t>7005454282;7402456211</t>
  </si>
  <si>
    <t>Reiner, M. J.;Stone, R. G.</t>
  </si>
  <si>
    <t>Greenbelt;Latham</t>
  </si>
  <si>
    <t>NASA Goddard Space Flight Center;ST Systems Corporation</t>
  </si>
  <si>
    <t>60006337;100319458</t>
  </si>
  <si>
    <t>Reiner M.</t>
  </si>
  <si>
    <t>Evidence for halo-like radio sources from kilometric type III burst observations</t>
  </si>
  <si>
    <t>10.1007/BF00158413</t>
  </si>
  <si>
    <t>2-s2.0-0003486406</t>
  </si>
  <si>
    <t>['output contacts', 'mushroom bodies', 'main synapses', 'lateral lobe', 'labeled fibers', 'ipsilateral protocerebrum', 'immunoreactive arborizations', 'electron micrographs', 'antennal lobes']</t>
  </si>
  <si>
    <t>A large deutocerebral serotonin-immunoreactive neuron arborizes profusely in the glomeruli of the antennal lobes, and also sends neurites into the lateral lobe and the calyces of the mushroom bodies in the ipsilateral protocerebrum. Electron micrographs of the glomerular neuropil show that the main synapses of the serotonin-immunoreactive arborizations are output contacts with unidentified neuron profiles. Only a few synaptic input contacts with serotonin-labeled fibers were observed. ¬© 1990 Springer-Verlag.</t>
  </si>
  <si>
    <t>463-473</t>
  </si>
  <si>
    <t>60030807;60030807</t>
  </si>
  <si>
    <t>6603199069;6602724826</t>
  </si>
  <si>
    <t>Salecker, I.;Distler, P.</t>
  </si>
  <si>
    <t>Salecker I.</t>
  </si>
  <si>
    <t>Serotonin-immunoreactive neurons in the antennal lobes of the American cockroach Periplaneta americana: light- and electron-microscopic observations</t>
  </si>
  <si>
    <t>10.1007/BF00272608</t>
  </si>
  <si>
    <t>2-s2.0-0025082779</t>
  </si>
  <si>
    <t>['¬© 1990', 'rigorous closed', 'rights reserved', 'radiation efficiency', 'previously appeared', 'form expressions', 'electrical engineers']</t>
  </si>
  <si>
    <t>Antennas | Printed circuits</t>
  </si>
  <si>
    <t>Rigorous closed-form expressions are presented for the radiation efficiency of an arbitrary printed antenna element. These results are an improvement over those which have previously appeared. ¬© 1990, The Institution of Electrical Engineers. All rights reserved.</t>
  </si>
  <si>
    <t>954-956</t>
  </si>
  <si>
    <t>Rigorous Closed-Form Expressions for the Surface Wave Loss of Printed Antennas</t>
  </si>
  <si>
    <t>10.1049/el:19900622</t>
  </si>
  <si>
    <t>2-s2.0-0025445135</t>
  </si>
  <si>
    <t>['¬© 1990', 'validity domain', 'theoretical results', 'simple method', 'rights reserved', 'radiation pattern', 'microstrip antenna', 'good value', 'good agreement', 'experimental measurements', 'electrical engineers', 'already known', '90 ¬∞,']</t>
  </si>
  <si>
    <t>Finite ground plane | Microstrip antenna</t>
  </si>
  <si>
    <t>Limited ground effect on the radiation pattern of microstrip antenna is already known. A simple method to predict E plane radiation, except in the neighbourhood of the geometrical optical boundary that is 6 = 90¬∞, is presented. A very good value of the field on this boundary is given: it means that the leaving pattern could be constructed by interpolation. Good agreement is obtained between the theoretical results and the experimental measurements in the validity domain of the method. ¬© 1990, The Institution of Electrical Engineers. All rights reserved.</t>
  </si>
  <si>
    <t>956-957</t>
  </si>
  <si>
    <t>60008447;60008447;60008447</t>
  </si>
  <si>
    <t>6601978312;7004363654;7006402070</t>
  </si>
  <si>
    <t>Vaudon, P.;Reineix, A.;Jecko, B.</t>
  </si>
  <si>
    <t>Vaudon P.</t>
  </si>
  <si>
    <t>Asymptotic Method in Prediction of E Plane Radiation Pattern of Rectangular Microstrip Patch Antennas on Finite Ground</t>
  </si>
  <si>
    <t>10.1049/el:19900623</t>
  </si>
  <si>
    <t>2-s2.0-0025445247</t>
  </si>
  <si>
    <t>['¬© 1990', 'theoretical results', 'rights reserved', 'radiation admittance', 'particular case', 'good agreement', 'electrical engineers', 'circular shape']</t>
  </si>
  <si>
    <t>Antennas | Patch | Transmission lines</t>
  </si>
  <si>
    <t>A quasi-TEM two coupled transmission line model is used to express the radiation admittance of an arbitrary shape symmetric patch antenna coupled with a director. In the particular case of the circular shape the theoretical results are in good agreement with experiments. ¬© 1990, The Institution of Electrical Engineers. All rights reserved.</t>
  </si>
  <si>
    <t>952-954</t>
  </si>
  <si>
    <t>60030553;60068739</t>
  </si>
  <si>
    <t>7006052449;6507419116</t>
  </si>
  <si>
    <t>Dubost, G.;Zerguerras, A.</t>
  </si>
  <si>
    <t>Transmission Line Model Analysis of Arbitrary Shape Symmetrical Patch Antenna Coupled with a Director</t>
  </si>
  <si>
    <t>10.1049/el:19900621</t>
  </si>
  <si>
    <t>2-s2.0-0025448747</t>
  </si>
  <si>
    <t>['¬© 1990', 'slot transition', 'rights reserved', 'input vswr', 'electrical engineers']</t>
  </si>
  <si>
    <t>Striplines and stripline components</t>
  </si>
  <si>
    <t>An equivalent circuit model for a stripline fed half wave slot cut into a copper ground plane is described. The effect of varying various dimensions of the stripline/slot transition is monitored on the input VSWR to ensure good impedance matching over the desired frequency range. ¬© 1990, The Institution of Electrical Engineers. All rights reserved.</t>
  </si>
  <si>
    <t>1160-1162</t>
  </si>
  <si>
    <t>Muir, A.</t>
  </si>
  <si>
    <t>Aberdeen</t>
  </si>
  <si>
    <t>Robert Gordon University</t>
  </si>
  <si>
    <t>Muir A.</t>
  </si>
  <si>
    <t>Analysis of Strip Line/Slot Transition</t>
  </si>
  <si>
    <t>10.1049/el:19900750</t>
  </si>
  <si>
    <t>2-s2.0-0025463252</t>
  </si>
  <si>
    <t>['¬© 1990', 'unwanted signals', 'transmission purposes', 'several examples', 'rights reserved', 'linear equations', 'ideally suited', 'electrical engineers']</t>
  </si>
  <si>
    <t>Antenna arrays | Antennas</t>
  </si>
  <si>
    <t>A method for calculating current distributions on a phased array antenna is presented. The method produces steerable major lobes for transmission purposes and multiple independently steerable nulls for rejection of unwanted signals during transmission. The method allows fine tuning of the nulls based upon a set of linear equations and is ideally suited to the implementation of vertical phased array antenna systems operating in the HF frequency spectrum. Several examples are presented. ¬© 1990, The Institution of Electrical Engineers. All rights reserved.</t>
  </si>
  <si>
    <t>1216-1218</t>
  </si>
  <si>
    <t>60020633;60020633</t>
  </si>
  <si>
    <t>6602128972;55478867600</t>
  </si>
  <si>
    <t>Stuckman, B. E.;Hill, J. C.</t>
  </si>
  <si>
    <t>Louisville</t>
  </si>
  <si>
    <t>University of Louisville</t>
  </si>
  <si>
    <t>Stuckman B.</t>
  </si>
  <si>
    <t>Method of Null Steering in Phased Array Antenna Systems</t>
  </si>
  <si>
    <t>10.1049/el:19900786</t>
  </si>
  <si>
    <t>2-s2.0-0025463255</t>
  </si>
  <si>
    <t>['transect consisted', 'reflected signals', 'processing steps', 'penetrating radar', 'monitoring pollutants', 'mhz antenna', 'meter plot', 'marking layers', 'interbedded layers', 'grained sands', 'automatically recorded', 'appear consistently']</t>
  </si>
  <si>
    <t>The potential of ground-penetrating radar for monitoring pollutants was investigated in a 24-by-24-meter plot at the Hancock Research Station in Wisconsin. The geological setting consists of interbedded layers of fine and coarse-grained sands. Ground-penetrating radar images were obtained by using a 500-MHz antenna that was towed by hand at a rate of five kilometers per hour over a series of parallel paths one meter apart. After digitizing, the data for each transect consisted of approximately four megabytes of integer ASCII numbers. These data on reflected signals were automatically recorded on tape, and then put through a series of processing steps. In the processed radar image, the interbedded layer structure can be revealed by marking layers that appear consistently in two or more transects. Further refinements can be made in the way the data are processed.</t>
  </si>
  <si>
    <t>15-19</t>
  </si>
  <si>
    <t>Engineering. Cornell quarterly</t>
  </si>
  <si>
    <t>35584506900;7005867193;56967875800</t>
  </si>
  <si>
    <t>Steenhuis, Tammo S.;Kung, K. J.Samuel;Cathles, Lawrence M.</t>
  </si>
  <si>
    <t>Steenhuis T.</t>
  </si>
  <si>
    <t>Finding layers in the soil. Ground-penetrating radar as a tool in studies of groundwater contamination</t>
  </si>
  <si>
    <t>2-s2.0-0025479219</t>
  </si>
  <si>
    <t>['useful guidelines', 'two examples', 'thereby suggested', 'systemetically studied', 'strictly required', 'staircase approximation', 'single one', 'results indicate', 'radiation property', 'radiation characteristics', 'present method', 'groove profile', 'great importance', 'grating antennas']</t>
  </si>
  <si>
    <t>Radiation characteristics of multilayer periodic dielectric structures are investigated by the method which combines the building block approach of multimode network theory with the rigorous mode matching procedure. The multilayer periodic structure is composed of uniform dielectric layers and single periodic layers. Two examples are given in this paper; first, radiation property of the double dielectric grating antenna is analyzed. The results indicate that the double dielectric grating antenna has relatively smaller dimensions than that of the single one. It is undoubtly of great importance in the case that the limitation of the weight and the volume of the system is strictly required. Secondly, some curved profile grating antennas are analyzed by combining the present method with the staircase approximation. In such a way, the effects of groove profile on the performance of the grating antennas are systemetically studied and some useful guidelines for the design of the dielectric grating antennas are thereby suggested. ¬© 1990 Plenum Publishing Corporation.</t>
  </si>
  <si>
    <t>1047-1067</t>
  </si>
  <si>
    <t>6603478057;16424126700</t>
  </si>
  <si>
    <t>Shanjia, Xu;Xinzhang, Wu</t>
  </si>
  <si>
    <t>Radiation characteristics of multilayer periodic dielectric structures</t>
  </si>
  <si>
    <t>10.1007/BF01008568</t>
  </si>
  <si>
    <t>2-s2.0-0025484089</t>
  </si>
  <si>
    <t>['weight vector', 'quadratic constraint', 'performance achievable', 'paper presents', 'numerical techniques', 'linear constraints', 'first solved', 'dual method', 'computational complexity']</t>
  </si>
  <si>
    <t>approximation techniques | Quadratic optimization | robust antenna arrays | robust beamforming</t>
  </si>
  <si>
    <t>This paper presents a class of constrained optimization problems whereby a quadratic cost function is to be minimized with respect to a weight vector subject to an inequality quadratic constraint on the weight vector. This class of constrained optimization problems arises as a result of a motivation for designing robust antenna array processors in the field of adaptive array processing. The constrained optimization problem is first solved by using the primal-dual method. Numerical techniques are presented to reduce the computational complexity of determining the optimal Lagrange multiplier and hence the optimal weight vector. Subsequently, a set of linear constraints or at most linear plus norm constraints are developed for approximating the performance achievable with the quadratic constraint. The use of linear constraints is very attractive, since they reduce the computational burden required to determine the optimal weight vector. ¬© 1990 Plenum Publishing Corporation.</t>
  </si>
  <si>
    <t>431-442</t>
  </si>
  <si>
    <t>Journal of Optimization Theory and Applications</t>
  </si>
  <si>
    <t>Quadratic optimization problems in robust beamforming</t>
  </si>
  <si>
    <t>10.1007/BF00940930</t>
  </si>
  <si>
    <t>2-s2.0-0025486137</t>
  </si>
  <si>
    <t>['system noise', 'optic system']</t>
  </si>
  <si>
    <t>The possibility of constructing a hybrid microwave fiber-optic system for distributing reference radio signals in an active phased antenna array is discussed. The dependence of the power transfer coefficients and the system noise on its structure is analyzed. Methods of optimizing its characteristics are indicated.</t>
  </si>
  <si>
    <t>87-90</t>
  </si>
  <si>
    <t>7003635691;6506598350</t>
  </si>
  <si>
    <t>Bakhrakh, L. D.;Bliskavitskiy, A. A.</t>
  </si>
  <si>
    <t>Hybrid microwave fiber-optic signal distribution system in an active phased antenna array</t>
  </si>
  <si>
    <t>2-s2.0-0025486881</t>
  </si>
  <si>
    <t>['weighting vector', 'radiation pattern', 'correlation matrix', '-( interference']</t>
  </si>
  <si>
    <t>It is shown that the weighting vector in an equidistant antenna array, which is optimal in terms of the signal-to-(interference + noise) ratio maximum criterion, as well as the limits of the weighting vector, formed by using Toeplitz structural properties of the correlation matrix, ensure the presence of 'absolute' zeros in the radiation pattern.</t>
  </si>
  <si>
    <t>90-92</t>
  </si>
  <si>
    <t>6701509526;6507532009;6506188619</t>
  </si>
  <si>
    <t>Sverdlik, M. B.;Shpatakovskiy, V. E.;Kushnerik, O. A.</t>
  </si>
  <si>
    <t>Sverdlik M.</t>
  </si>
  <si>
    <t>Property of the optimal weighting vector in an antenna array and its limits</t>
  </si>
  <si>
    <t>2-s2.0-0025486883</t>
  </si>
  <si>
    <t>['telecommunications named', 'telecommunications field', 'technical progress', 'system described', 'real conditions', 'project personnel', 'project engineers', 'planning trunk', 'main directions', 'leit ).', 'higher productivity', 'emergence nowadays', 'different applications', 'computer capacity', 'cad systems', 'best use', 'best results']</t>
  </si>
  <si>
    <t>The development of CAD systems for designing telecommunications lines and networks is one of the main directions of scientific and technical progress in the telecommunications field. The use of CAD systems secures higher quality of designing and higher productivity of project personnel, and the best results are obtained here when using interactive CAD systems. In these systems both the best use of computer capacity and the experience of project engineers are achieved. With the emergence nowadays of easily available personal microcomputers, real conditions have appeared for developing interactive CAD systems and introducing them in the practice of planning telecommunication links for different applications. An interactive CAD system for radio-relay links type ISCAD-RRL-0010 has been developed at the Leningrad Electrotechnical Institute of Telecommunications named after Prof. M.A. Bonch-Bruyevich (LEIT). It is intended for automation of the calculation and design of constructed and reconstructed analog line-of-sight radio links using frequency modulation. The system described below can be used when planning trunk and intrazone radio links.</t>
  </si>
  <si>
    <t>6507472283;7003594845;6504035788;7103275748</t>
  </si>
  <si>
    <t>Danilovich, O. S.;Kichigin, V. N.;Zhemahugov, V. N.;Sukhanov, A. A.</t>
  </si>
  <si>
    <t>Danilovich O.</t>
  </si>
  <si>
    <t>Interactive system for computer-aided design of the RRL-0010 radio-relay link</t>
  </si>
  <si>
    <t>2-s2.0-0025486891</t>
  </si>
  <si>
    <t>['time module', 'radioholographic real', 'radioholograms synthesized', 'images obtained', 'digital reconstruction']</t>
  </si>
  <si>
    <t>An algorithm is proposed for the digital reconstruction of radioholograms synthesized by means of orthogonal linear antenna arrays. Illustrations are provided for images obtained on a radioholographic real-time module.</t>
  </si>
  <si>
    <t>84-86</t>
  </si>
  <si>
    <t>6603850947;6602541146;6505890556;6504685883;57215218253</t>
  </si>
  <si>
    <t>Kukharchik, P. D.;Kurilo, N. I.;Titovitskiy, I. A.;Bychinov, Ye V.;Rubanik, V. V.</t>
  </si>
  <si>
    <t>Kukharchik P.D.</t>
  </si>
  <si>
    <t>Reconstruction of radioholograms synthesized by means of orthogonal linear antenna arrays</t>
  </si>
  <si>
    <t>2-s2.0-0025486904</t>
  </si>
  <si>
    <t>['shaped waveguide', 'reflection coefficient', 'radiation problem', 'radiation pattern']</t>
  </si>
  <si>
    <t>A rigorous electrodynamic formulation is used to solve the radiation problem, and the results of calculations of the reflection coefficient and the radiation pattern of a wedge-shaped waveguide are presented.</t>
  </si>
  <si>
    <t>101-103</t>
  </si>
  <si>
    <t>6701692693;36929779500</t>
  </si>
  <si>
    <t>Manuilov, B. D.;Yakovenko, V. A.</t>
  </si>
  <si>
    <t>Manuilov B.</t>
  </si>
  <si>
    <t>Radiation from a wedge-shaped waveguide on a semicircular cylinder with infinite flanges</t>
  </si>
  <si>
    <t>2-s2.0-0025487019</t>
  </si>
  <si>
    <t>['single 72', 'paper describes', 'modeling objectives', 'mhz transponder', 'leases ),', 'intelsat vi', 'intelsat v', 'handle hundreds', 'general description', 'digital operation', 'channel interference', 'associated databases', 'approach used', 'also discussed']</t>
  </si>
  <si>
    <t>INTELSAT employs computerized transmission system models to operate almost 10,000 communications carriers. This paper describes how these models have been prepared for use with the INTELSAT VI satellite to ensure the transmission quality necessary for a variety of frequency-division multiple access (FDMA) services, while maximizing transponder channel capacity. A general description of the modeling objectives for INTELSAT VI is given, including frequency planning, reference link budgets, co-channel interference, the transition from INTELSAT V (fourfold frequency reuse) to INTELSAT VI (sixfold reuse), and optimization of transponder channel capacity. The STRIP6 and OUTMAT6 system models and associated databases are also discussed, including mixed analog and digital operation, partial transponder optimization routines (leases), the approach used to handle hundreds of small digital carriers in a single 72-MHz transponder, and generation of antenna coverage diagrams (footprints) from measured INTELSAT VI databases.</t>
  </si>
  <si>
    <t>373-399</t>
  </si>
  <si>
    <t>COMSAT Technical Review</t>
  </si>
  <si>
    <t>7405383185;6701385285;57215913973;6601953916;6603069932</t>
  </si>
  <si>
    <t>Brown, M. P.;Duesing, R. W.;Nguyen, L. N.;Sandrin, W. A.;Tehrani, J. A.</t>
  </si>
  <si>
    <t>Brown M.P.</t>
  </si>
  <si>
    <t>INTELSAT VI transmission design and computer system models for FDMA services</t>
  </si>
  <si>
    <t>2-s2.0-0025487038</t>
  </si>
  <si>
    <t>['radar estimation', 'numerical modeling', 'extended target']</t>
  </si>
  <si>
    <t>An algorithm for the radar estimation of the spatial velocity distribution of elements of an extended target is examined and the results of numerical modeling are given.</t>
  </si>
  <si>
    <t>Lavrov, A. A.</t>
  </si>
  <si>
    <t>Lavrov A.</t>
  </si>
  <si>
    <t>Algorithm for estimating the spatial velocity distribution in radar observation systems</t>
  </si>
  <si>
    <t>2-s2.0-0025487061</t>
  </si>
  <si>
    <t>['wave signals', 'multisecond delays', 'ionospheric reflection']</t>
  </si>
  <si>
    <t>The possibility of ionospheric reflection of short-wave signals with multisecond delays at frequencies below the maximum usable frequencies for the corresponding solar activity is examined.</t>
  </si>
  <si>
    <t>7801335216;7801582419</t>
  </si>
  <si>
    <t>Shlionskiy, A. G.;Yarko, O. I.</t>
  </si>
  <si>
    <t>Shlionskiy A.</t>
  </si>
  <si>
    <t>Ionospheric reflection of long-delay echo signals</t>
  </si>
  <si>
    <t>2-s2.0-0025487084</t>
  </si>
  <si>
    <t>['w pulses', 'transmitter employs', 'transmit 60', 'scene reflector', 'pronounced sensitivity', 'polarized receiver', 'polarimetric measurements', 'polarimetric data', 'ns duration', 'mueller matrix', 'incoherent measurements', 'incoherent 225', 'distributed targets']</t>
  </si>
  <si>
    <t>An incoherent 225-GHz polarimetric radar capable of measuring the Mueller matrix of point and distributed targets is described. The transmitter employs an extended interaction oscillator that transmit 60-W pulses of 50- to 600-ns duration. Incoherent measurements of the Mueller matrix are achieved by transmitting four linearly independent polarizations and measuring the scattered wave using a dual-polarized receiver. A novel calibration technique that requires a single in-scene reflector is presented. Polarimetric measurements are presented of a dihedral corner reflector and foliage which are the first polarimetric measurements reported at this wavelength. The foliage measurements indicate a pronounced sensitivity of the polarimetric data to fine-scale surface structure.</t>
  </si>
  <si>
    <t>1252-1258</t>
  </si>
  <si>
    <t>57213852946;7103288212</t>
  </si>
  <si>
    <t>Mead, James B.;McIntosh, Robert E.</t>
  </si>
  <si>
    <t>Mead J.</t>
  </si>
  <si>
    <t>A 225 GHz polarimetric radar</t>
  </si>
  <si>
    <t>10.1109/22.58651</t>
  </si>
  <si>
    <t>2-s2.0-0025488393</t>
  </si>
  <si>
    <t>['transient responses', 'tether flexibility', 'system could', 'special case', 'shell roll', 'plane motion', 'local vertical', 'improved significantly', 'elastic vibrations', 'control gains', 'chosen carefully', 'also seen']</t>
  </si>
  <si>
    <t>The system linear equations for the motion of a tethered shallow spherical in orbit with its symmetry axis nominally following the local vertical are developed. The shell roll, yaw, tether out-of-plane swing motion and elastic vibrations are decoupled from the shell and tether in-plane pitch motions and elastic vibrations. The neutral gravity stability conditions for the special case of a constant length rigid tether are given for in-plane motion and out-of-plane motion. It is proved that the in-plane motion of the system could be asymptotically stable based on Rupp's tension control law, for a variable length tether. However, the system simulation results indicate that the transient responses can be improved significantly, especially for the damping of the tether and shell pitch motion, by an optimal feedback control law for the rigid variable length tether model. It is also seen that the system could be unstable when the effect of the tether flexibility is included if the control gains are not chosen carefully. The transient responses for three different tension control laws are compared during typical station keeping operations.</t>
  </si>
  <si>
    <t>247-268</t>
  </si>
  <si>
    <t>60073440;60073440</t>
  </si>
  <si>
    <t>6508288771;7006209371</t>
  </si>
  <si>
    <t>Liangdong, Liu;Bainum, Peter M.</t>
  </si>
  <si>
    <t>Beijing Institute of Control Engineering</t>
  </si>
  <si>
    <t>Liangdong L.</t>
  </si>
  <si>
    <t>Dynamics and control of a tethered antenna/reflector in orbit</t>
  </si>
  <si>
    <t>2-s2.0-0025488542</t>
  </si>
  <si>
    <t>['wave arrays', 'temperature superconductors', 'possible applications', 'matching networks', 'matching network', 'hts material', 'high efficiency', 'frequency range', 'feed networks', 'compact arrays', '100 ghz', '1 mhz']</t>
  </si>
  <si>
    <t>antenna arrays | antenna feed networks | antennas | electrically small antennas | High-temperature superconductivity | superdirectivity</t>
  </si>
  <si>
    <t>A review of possible applications of high-temperature superconductors (HTS) to antennas and antenna feed networks is presented. The frequency range of consideration is 1 MHz to 100 GHz. Three antenna application areas seem appropriate for HTS material. (1)Electrically small antennas and their matching networks: An increase in efficiency is possible for electrically short antennas, but at the expense of bandwidth. Substantial radiated power levels (on the order of kilowatts) can be handled by the best HTS material. Substantial improvement may be realized by making only the matching network of HTS material. (2)Feed and matching networks for compact arrays with enhanced directive gain (superdirective arrays): HTS material should permit such arrays to be fabricated that have high efficiency. (3)Feed networks for millimeter-wave arrays: Low-loss feed networks using HTS microstrip transmission lines give many decibels improvement in gain. ¬© 1990 Plenum Publishing Corporation.</t>
  </si>
  <si>
    <t>287-296</t>
  </si>
  <si>
    <t>Journal of Superconductivity</t>
  </si>
  <si>
    <t>Dinger, Robert J.</t>
  </si>
  <si>
    <t>China Lake</t>
  </si>
  <si>
    <t>Naval Air Warfare Center Weapons Division</t>
  </si>
  <si>
    <t>Dinger R.</t>
  </si>
  <si>
    <t>Some potential antenna applications of high-temperature superconductors</t>
  </si>
  <si>
    <t>10.1007/BF00625270</t>
  </si>
  <si>
    <t>2-s2.0-0025491910</t>
  </si>
  <si>
    <t>['weight vector', 'reference 1', 'quartic function', 'band beam']</t>
  </si>
  <si>
    <t>It is shown that, using the set of linear constraints presented in reference 1, the norm of the weight vector of the 'gain plus first derivative' and the 'gain plus first plus second derivative constrained beam-formers, using an equi-spaced linear array and under white noise conditions, is a quadratic and a quartic function of the parameter which specifies the phase centre location, respectively. The results provide additional insight into the issue of dependency of weight vector on the phase centre location for derivative constrained broad-band beam-forming.</t>
  </si>
  <si>
    <t>202-206</t>
  </si>
  <si>
    <t>60005510;60005510</t>
  </si>
  <si>
    <t>Dependency of weight vector on array origin for derivative-constrained broad-band arrays</t>
  </si>
  <si>
    <t>2-s2.0-0025491956</t>
  </si>
  <si>
    <t>['wave frequencies', 'ultrastable clocks', 'transmission lines', 'temperatures well', 'superconductor devices', 'resonant filters', 'potential applications', 'particle accelerators', 'oxide superconductors', 'new superconductors', 'new class', 'microwave response', 'microwave properties', 'feasibility study', 'devices using', 'april 1987', 'also studied']</t>
  </si>
  <si>
    <t>BiPbSrCaCuO | feasibility | high frequency | High-temperature superconductor | YBaCuO</t>
  </si>
  <si>
    <t>After the discovery of new metal oxide superconductors with higher transition temperatures raised the possibility of a new class of superconducting microwave devices operating at temperatures well above liquid He, a feasibility study of the superconductor devices at r.f., microwave, and millimeter-wave frequencies, i.e., cavity resonator, transmission lines, waveguide, mirror, and antenna, was started at JAERI (Japan Atomic Energy Research Institute), Tokai in April 1987. In order to examine the feasibility of such devices and to investigate the nature of the superconductivity in these new superconductors, we have studied the microwave response of the oxide superconductors. In addition, we have also studied the fabrication and microwave properties of these devices using the new superconductors. We report here the status of the feasibility study, especially about the BSCCO and YBCO superconductor cavities, and the r.f. characterization apparatus using several cavity resonators. The cavities have potential applications for particle accelerators, resonant filters, ultrastable clocks, and so on. ¬© 1990 Plenum Publishing Corporation.</t>
  </si>
  <si>
    <t>277-280</t>
  </si>
  <si>
    <t>60015658;60000099;60098693;60000099</t>
  </si>
  <si>
    <t>7004003460;15741281900;7402671387;35553411000</t>
  </si>
  <si>
    <t>Minehara, Eisuke;Nagai, Ryoji;Hoshino, Kazutomo;Takeuchi, Manabu</t>
  </si>
  <si>
    <t>Tokyo;Kashiwa;Mito</t>
  </si>
  <si>
    <t>Mitsui Kinzoku;Japan Atomic Energy Agency;Ibaraki University</t>
  </si>
  <si>
    <t>60098693;60015658;60000099</t>
  </si>
  <si>
    <t>Minehara E.</t>
  </si>
  <si>
    <t>Fabrication and RF properties of the microwave cavity made of YBaCuO and BiPbSrCaCuO superconductors</t>
  </si>
  <si>
    <t>10.1007/BF00625268</t>
  </si>
  <si>
    <t>2-s2.0-0025493177</t>
  </si>
  <si>
    <t>['spin rate', 'scan geometry', 'research community', 'radiometer noise', 'provide high', 'operational forecasters', 'microwave images', 'land parameters', 'global weather', 'effort demonstrate', 'critical atmospheric', 'calibration targets', 'briefly described', 'beam width', 'beam efficiency', 'antenna beams', 'absolute calibration']</t>
  </si>
  <si>
    <t>The Special Sensor Microwave/Imager (SSM/I) instrument and scan geometry are briefly described. The results of investigations of the stability of the gain, calibration targets and spin rate, the radiometer noise and sensitivity, the coregistration, the beam width and main-beam efficiency of the antenna beams, and the absolute calibration and geolocation of the instrument are presented. The results of this effort demonstrate that the SSM/I is a stable, sensitive, and well-calibrated microwave radiometric system capable of providing accurate brightness temperatures for microwave images of the earth and for use by environmental product retrieval algorithms. It is predicted that this SSM/I and the 11 future ones currently built or to be built will provide high-performance microwave measurements for determination of global weather and critical atmospheric, oceanographic, and land parameters to operational forecasters and users and the research community for the next two decades.</t>
  </si>
  <si>
    <t>781-790</t>
  </si>
  <si>
    <t>60027271;60027271;60027271</t>
  </si>
  <si>
    <t>7005328576;7005756803;7003965616</t>
  </si>
  <si>
    <t>Hollinger, James P.;Peirce, James L.;Poe, Gene A.</t>
  </si>
  <si>
    <t>Hollinger J.</t>
  </si>
  <si>
    <t>SSM/I instrument evaluation</t>
  </si>
  <si>
    <t>10.1109/36.58964</t>
  </si>
  <si>
    <t>2-s2.0-0025493328</t>
  </si>
  <si>
    <t>['¬© 1990', 'rights reserved', 'printed antennas', 'gain better', 'electrical engineers', 'bandwidth greater', '8db throughout', '30 db']</t>
  </si>
  <si>
    <t>The feasibility of printed antennas which meet all the criteria for satellite communications antennas is considered. These criteria are a bandwidth greater than 20% for a VSWR of less than 1-5, crosspolar level lower than - 30 dB over 20¬∞ solid angle, and gain better than 8dB throughout the bandwidth. ¬© 1990, The Institution of Electrical Engineers. All rights reserved.</t>
  </si>
  <si>
    <t>1293-1294</t>
  </si>
  <si>
    <t>6603231347;7003385210</t>
  </si>
  <si>
    <t>Croq, F.;Papiernik, A.</t>
  </si>
  <si>
    <t>Croq F.</t>
  </si>
  <si>
    <t>Large Bandwidth Aperture-Coupled Microstrip Antenna</t>
  </si>
  <si>
    <t>10.1049/el:19900832</t>
  </si>
  <si>
    <t>2-s2.0-0025698620</t>
  </si>
  <si>
    <t>['¬© 1990', 'rights reserved', 'radiating edges', 'parameter values', 'new model', 'measured values', 'good agreement', 'electrical engineers']</t>
  </si>
  <si>
    <t>A new model is presented which characterises the coupling of the radiating edges between two rectangular microstrip patch antennas. The calculated S-parameter values for two radiating edges gap coupled microstrip antennas are in good agreement with the measured values for the various coupling gaps. ¬© 1990, The Institution of Electrical Engineers. All rights reserved.</t>
  </si>
  <si>
    <t>1295-1297</t>
  </si>
  <si>
    <t>60012704;60012704;60012704</t>
  </si>
  <si>
    <t>7404469777;7404118511;7102742330</t>
  </si>
  <si>
    <t>Cho, Y. K.;Hong, J. P.;Son, H.</t>
  </si>
  <si>
    <t>Daegu</t>
  </si>
  <si>
    <t>Kyungpook National University</t>
  </si>
  <si>
    <t>Cho Y.</t>
  </si>
  <si>
    <t>New Radiating Edges Coupling Model for the Gap Between Two Rectangular Microstrip Patch Antennas</t>
  </si>
  <si>
    <t>10.1049/el:19900833</t>
  </si>
  <si>
    <t>2-s2.0-0025698644</t>
  </si>
  <si>
    <t>['¬© 1990', 'rights reserved', 'numerically analysed', 'infinite arrays', 'experimental measurements', 'electrical engineers']</t>
  </si>
  <si>
    <t>A full wave analysis of infinite arrays of proximity coupled rectangular microstrip antennas is described. The broadband scanning properties of the arrays are numerically analysed in conjunction with experimental measurements to validate the analysis. ¬© 1990, The Institution of Electrical Engineers. All rights reserved.</t>
  </si>
  <si>
    <t>1282-1284</t>
  </si>
  <si>
    <t>Herd, J. S.</t>
  </si>
  <si>
    <t>Herd J.</t>
  </si>
  <si>
    <t>Modelling of Wideband Proximity Coupled Microstrip Array Elements</t>
  </si>
  <si>
    <t>10.1049/el:19900825</t>
  </si>
  <si>
    <t>2-s2.0-0025698654</t>
  </si>
  <si>
    <t>['¬© 1990', 'useful property', 'unique sets', 'rights reserved', 'possible cross', 'phase code', 'electrical engineers', 'correlations added', 'codes possess', 'autocorrelations within', 'autocorrelation function']</t>
  </si>
  <si>
    <t>Antenna arrays | Codes and coding</t>
  </si>
  <si>
    <t>Unique sets of 2 phase coded pulses are introduced. Derived from any phase code, using simple transformations, these codes possess the useful property that the sum of all possible cross-correlations added to the sum of all autocorrelations within a set, produce a pulse compressed signal. This signal has a peak to sidelobe ratio equal to that for the autocorrelation function of the original untransformed code. ¬© 1990, The Institution of Electrical Engineers. All rights reserved.</t>
  </si>
  <si>
    <t>1240-1241</t>
  </si>
  <si>
    <t>Mckinnon, E. R.</t>
  </si>
  <si>
    <t>Birmingham</t>
  </si>
  <si>
    <t>University of Birmingham</t>
  </si>
  <si>
    <t>Mckinnon E.</t>
  </si>
  <si>
    <t>Synthetis of Single Sets of 2 Mutually Orthogonal Phase Codes</t>
  </si>
  <si>
    <t>10.1049/el:19900799</t>
  </si>
  <si>
    <t>2-s2.0-0025698655</t>
  </si>
  <si>
    <t>['¬© 1990', 'wider axial', 'strip dipoles', 'shaped feed', 'set cp', 'rights reserved', 'ratio bandwidth', 'pass gives', 'new h', 'electrical engineers', '6 %.', '3db axial']</t>
  </si>
  <si>
    <t>A new H-shaped feed-network for CP-PASS (circularly polarised printed array composed of strip dipoles and slots) is presented which allows a wider axial-ratio bandwidth to be realised at 12 GHz band. By using the H-shaped feed-network, a 12 x 2 element-set CP-PASS gives a 3dB axial-ratio bandwidth of 6%. ¬© 1990, The Institution of Electrical Engineers. All rights reserved.</t>
  </si>
  <si>
    <t>1228-1229</t>
  </si>
  <si>
    <t>60103384;60002787</t>
  </si>
  <si>
    <t>7403261744;57223664212</t>
  </si>
  <si>
    <t>Naito, M.;Ito, K.</t>
  </si>
  <si>
    <t>Tokyo;Chiba</t>
  </si>
  <si>
    <t>Sumitomo Metal Mining Co., Ltd.;Chiba University</t>
  </si>
  <si>
    <t>Naito M.</t>
  </si>
  <si>
    <t>Improved Feed-System for a Printed Antenna Composed of Strip Dipoles and Slots</t>
  </si>
  <si>
    <t>10.1049/el:19900791</t>
  </si>
  <si>
    <t>2-s2.0-0025698664</t>
  </si>
  <si>
    <t>['¬© 1990', 'rights reserved', 'electrical engineers', 'communications systems']</t>
  </si>
  <si>
    <t>An overlapping quadrifilar helix antenna is designed for mobile-satellite-communications systems. The mutual coupling effect gives a good impedance match in both the receive and the transmit frequency bands. ¬© 1990, The Institution of Electrical Engineers. All rights reserved.</t>
  </si>
  <si>
    <t>1090-1092</t>
  </si>
  <si>
    <t>60030553;60030553</t>
  </si>
  <si>
    <t>24722105800;7006272544</t>
  </si>
  <si>
    <t>Sharaiha, A.;Terret, C.</t>
  </si>
  <si>
    <t>Sharaiha A.</t>
  </si>
  <si>
    <t>Overlapping Quadrifilar Resonant Helix Antenna</t>
  </si>
  <si>
    <t>10.1049/el:19900706</t>
  </si>
  <si>
    <t>2-s2.0-0025700759</t>
  </si>
  <si>
    <t>['¬© 1990', 'vertical polarisation', 'rights reserved', 'radiated energy', 'outlined employing', 'electrical engineers']</t>
  </si>
  <si>
    <t>Antennas | Electromagnetic waves</t>
  </si>
  <si>
    <t>While a vertical magnetic dipole will radiate horizontally polarised waves over a homogeneous isotropic earth, the effect of anisotropy will convert some of the radiated energy to vertical polarisation. An analysis of this situation is outlined employing an anisotropic surface impedance model. ¬© 1990, The Institution of Electrical Engineers. All rights reserved.</t>
  </si>
  <si>
    <t>1080-1082</t>
  </si>
  <si>
    <t>Launching Vertically Polarised Ground Waves from a Vertical Magnetic Dipole Over an Anisotropic Surface</t>
  </si>
  <si>
    <t>10.1049/el:19900700</t>
  </si>
  <si>
    <t>2-s2.0-0025700761</t>
  </si>
  <si>
    <t>['¬© 1990', 'scattering properties', 'rights reserved', 'proper choice', 'polarisation transformer', 'electrical engineers', 'chiral sphere']</t>
  </si>
  <si>
    <t>Chiral medium | Cross-polarisation | Radar | Radar antennas</t>
  </si>
  <si>
    <t>With a proper choice of parameters, it may be possible to use a chiral sphere as a polarisation transformer. The key equations describing the scattering properties of the sphere are presented. ¬© 1990, The Institution of Electrical Engineers. All rights reserved.</t>
  </si>
  <si>
    <t>1066-1067</t>
  </si>
  <si>
    <t>Las Cruces</t>
  </si>
  <si>
    <t>New Mexico State University</t>
  </si>
  <si>
    <t>Control of Radar Cross-Section and Crosspolarisation Characteristics of an Isotropic Chiralsphere</t>
  </si>
  <si>
    <t>10.1049/el:19900690</t>
  </si>
  <si>
    <t>2-s2.0-0025700806</t>
  </si>
  <si>
    <t>['¬© 1990', 'test results', 'rights reserved', 'prototype fabricated', 'optoelectronic devices', 'optical waveguides', 'monolithic integration', 'microwave antenna', 'frequency antennas', 'electrical engineers', 'duroid 6010', '18 ghz']</t>
  </si>
  <si>
    <t>Antennas | Gallium Arsenide</t>
  </si>
  <si>
    <t>A broadband (16-18 GHz) microwave antenna has been designed on a semi-indulsting GaAs substrate using effective index theory designed for optical waveguides. Test results on a prototype fabricated on Duroid 6010 have validated the design, which is relevant to monolithic integration of high-frequency antennas with other electronic and optoelectronic devices. ¬© 1990, The Institution of Electrical Engineers. All rights reserved.</t>
  </si>
  <si>
    <t>1083-1085</t>
  </si>
  <si>
    <t>60033021;60033021</t>
  </si>
  <si>
    <t>7004645795;7102595290</t>
  </si>
  <si>
    <t>Baca, L. J.;Mcinerney, J. G.</t>
  </si>
  <si>
    <t>The University of New Mexico</t>
  </si>
  <si>
    <t>Baca L.</t>
  </si>
  <si>
    <t>Design of a Broadband High-Frequency Antenna on Gallium Arsenide Using the Effective Index Method</t>
  </si>
  <si>
    <t>10.1049/el:19900702</t>
  </si>
  <si>
    <t>2-s2.0-0025700827</t>
  </si>
  <si>
    <t>['weight complex', 'upon illumination', 'strain d3', 'scenedesmus obliquus', 'psi caused', 'p700 ratio', 'mutant c', 'molecular organization', 'model demonstrating', 'low chl', 'lhci ).', 'later stages', 'grown cells', 'functioning photosystem', 'findings demonstrate', 'core complex', 'chloroplast differentiation', 'chl b', 'ch1 b', 'center complex', 'carotenoid precursors', 'basic structure', 'additional chl', 'action spectroscopy', 'absorption cross', '719 nm']</t>
  </si>
  <si>
    <t>Chloroplast differentiation | Light-harvesting complex I | Long wavelength antenna | Photosystem I | Pigment-protein complex | Scenedesmus</t>
  </si>
  <si>
    <t>Dark-grown cells of the pigment mutant C-6D of Scenedesmus obliquus, strain D3 (Gaffron 1939), contain only chlorophyll (Chl) a and carotenoid precursors. In these cells a functioning photosystem I (PSI) of basic structure was characterised by a high PSI activity and a low Chl/P700 ratio. The reaction-center complex of PSI (CPI) was shown to exist in the dark-grown cells. These findings demonstrate that the assembly of the core complex of PSI and its function are independent of the presence of carotenoids. Upon illumination, carotenoids, Ch1 b and additional Chl a were synthesized. Newly formed Œ≤-carotene was shown by pigment analysis using high-performance liquid chromatography (HPLC) to be incorporated into CPI. Parallel to this process a shift of the long-wavelength fluorescence emission of PSI from 712-714 to 718-719 nm was observed. In the later stages of chloroplast differentiation, when xanthophylls and Chl b were synthesized, a higher-molecular-weight complex of PSI (CPIa) could be isolated. Pigment analysis demonstrated that CPIa contained xanthophylls and Chl b in addition to Chl a and Œ≤-carotene. This indicates the formation of a light-harvesting antenna closely associated with PSI (LHCI). The addition of an LHCI to the reaction-center complex of PSI caused an increase in the absorption cross-section of PSI as shown by action spectroscopy and in-vivo fluorescence measurements. A model demonstrating the changes in the molecular organization of PSI during light-induced carotenoid biosynthesis in mutant C-6D of Scenedesmus obliquus is presented. ¬© 1990 Springer-Verlag.</t>
  </si>
  <si>
    <t>216-222</t>
  </si>
  <si>
    <t>Relationship between biosynthesis of carotenoids and increasing complexity of photosystem I in mutant C-6D of Scenedesmus obtiquus</t>
  </si>
  <si>
    <t>10.1007/BF00197114</t>
  </si>
  <si>
    <t>2-s2.0-0344648083</t>
  </si>
  <si>
    <t>['rotational temperature', 'peak position', 'hhl 73', 'hh 33', 'haystack observatory', 'ammonia emission', 'ammonia clumps', 'also observed', 'afgl 6366s', 'afgl 5157', 'afgl 5142']</t>
  </si>
  <si>
    <t>The (J, K)=(1,1) ammonia transition emission has been observed toward six regions with signs of active star formation (AFGL 5142, HH 33/40, AFGL 5157, AFGL 6366S, HHL 73, and S140N), using the 37 m antenna of the Haystack Observatory. We detected and mapped the ammonia emission in all of these sources with the exception of HH 33/40. The (J, K)-(2,2), ammonia transition was also observed at the peak position of each source in order to obtain the rotational temperature of the ammonia clumps. ¬© 1990 Kluwer Academic Publishers.</t>
  </si>
  <si>
    <t>161-162</t>
  </si>
  <si>
    <t>1572946X</t>
  </si>
  <si>
    <t>0004640X</t>
  </si>
  <si>
    <t>Astrophysics and Space Science</t>
  </si>
  <si>
    <t>60021557;60021557;60032442;60028575;60028575;60028575;60032442;60020680</t>
  </si>
  <si>
    <t>55943349100;7005186449;55566294700;7003699718;35478961600;16434426300;23011773600;7402211489</t>
  </si>
  <si>
    <t>Verdes-Montenegro, L.;Torrelles, J. M.;Rodriguez, L. F.;Anglada, G.;Lopez, R.;Estallella, R.;Canto, J.;Ho, P. T.P.</t>
  </si>
  <si>
    <t>Mexico;Spain;Spain;United States</t>
  </si>
  <si>
    <t>Ciudad de M√©xico;Barcelona;Granada;Cambridge</t>
  </si>
  <si>
    <t>Universidad Nacional Aut√≥noma de M√©xico;Instituto de Estudios Catalanes;Instituto de Astrof√≠sica de Andaluc√≠a - CSIC;Harvard-Smithsonian Center for Astrophysics</t>
  </si>
  <si>
    <t>60032442;60028575;60021557;60020680</t>
  </si>
  <si>
    <t>Verdes-Montenegro L.</t>
  </si>
  <si>
    <t>Molecular clouds around outflow sources</t>
  </si>
  <si>
    <t>10.1007/BF00646838</t>
  </si>
  <si>
    <t>2-s2.0-34249958194</t>
  </si>
  <si>
    <t>['zeaxanthin protects', 'zeaxanthin formation', 'xanthophyll cycle', 'sun leaves', 'strong npq', 'short term', 'shade leaves', 'results support', 'ps ii', 'pigment bed', 'photosynthetic system', 'photon yield', 'photoinhibitory treatment', 'photoinhibitory injury', 'photochemical yield', 'o2 evolution', 'npq ).', 'low pfd', 'less pronounced', 'largely blocked', 'large nrd', 'increased closure', 'high pfds', 'high capacity', 'hedera canariensis', 'fully inhibited', 'fo quenching', 'fm ratio', 'energy flow', 'detectable effect', 'darkness showed', 'control leaves', 'continuous monitoring', 'chl fluorescence', 'central role', 'although present', '510 nm', '200 œºmol']</t>
  </si>
  <si>
    <t>Energy dissipation | photoinhibition | xanthophyll cycle | zeaxanthin</t>
  </si>
  <si>
    <t>The role of the xanthophyll cycle in regulating the energy flow to the PS II reaction centers and therefore in photoprotection was studied by measurements of light-induced absorbance changes, Chl fluorescence, and photosynthetic O2 evolution in sun and shade leaves of Hedera canariensis. The light-induced absorbance change at 510 nm (ŒîA510) was used for continuous monitoring of zeaxanthin formation by de-epoxidation of violaxanthin. Non-radiative energy dissipation (NRD) was estimated from non-photochemical fluorescence quenching (NPQ). High capacity for zeaxanthin formation in sun leaves was accompanied by large NRD in the pigment bed at high PFDs as indicated by a very strong NPQ both when all PS II centers are closed (F'm) and when all centers are open (F'o). Such Fo quenching, although present, was less pronounced in shade leaves which have a much smaller xanthophyll cycle pool. Dithiothreitol (DTT) provided through the cut petiole completely blocked zeaxanthin formation. DTT had no detectable effect on photosynthetic O2 evolution or the photochemical yield of PS II in the short term but fully inhibited the quenching of Fo and 75% of the quenching of Fm, indicating that NRD in the antenna was largely blocked. This inhibition of quenching was accompanied by an increased closure of the PS II reaction centers. In the presence of DTT a photoinhibitory treatment at a PFD of 200 Œºmol m-2 s-1, followed by a 45 min recovery period at a low PFD, caused a 35% decrease in the photon yield of O2 evolution, compared to a decrease of less than 5% in the absence of DTT. The Fv/Fm ratio, measured in darkness showed a much greater decrease in the presence than in the absence of DTT. In the presence of DTT Fo rose by 15-20% whereas no change was detected in control leaves. The results support the conclusion that the xanthophyll cycle has a central role in regulating the energy flow to the PS II reaction centers and also provide direct evidence that zeaxanthin protects against photoinhibitory injury to the photosynthetic system. ¬© 1990 Kluwer Academic Publishers.</t>
  </si>
  <si>
    <t>173-185</t>
  </si>
  <si>
    <t>60024613;60024613</t>
  </si>
  <si>
    <t>6701677454;7004044029</t>
  </si>
  <si>
    <t>Bilger, Wolfgang;Bj√∂rkman, Olle</t>
  </si>
  <si>
    <t>Carnegie Institution of Washington</t>
  </si>
  <si>
    <t>Bilger W.</t>
  </si>
  <si>
    <t>Role of the xanthophyll cycle in photoprotection elucidated by measurements of light-induced absorbance changes, fluorescence and photosynthesis in leaves of Hedera canariensis</t>
  </si>
  <si>
    <t>10.1007/BF00033159</t>
  </si>
  <si>
    <t>2-s2.0-34249960486</t>
  </si>
  <si>
    <t>['input impedance', 'emf method', 'current probe']</t>
  </si>
  <si>
    <t>The geometrical optics model for a triangular 45¬∞/45¬∞/90¬∞ patch antenna is presented. The antenna is fed by a current probe, and the input impedance of the antenna is found by the emf method. Numerical as well as experimental results show the validity of the model. ¬© 1990 Springer-Verlag.</t>
  </si>
  <si>
    <t>365-371</t>
  </si>
  <si>
    <t>Archiv f√ºr Elektrotechnik</t>
  </si>
  <si>
    <t>7003999101;7005683394</t>
  </si>
  <si>
    <t>Kyriacou, G. A.;Sahalos, J. N.</t>
  </si>
  <si>
    <t>Kyriacou G.A.</t>
  </si>
  <si>
    <t>The geometrical theory for the input impedance of the isosceles orthogonal triangular microstrip patch antenna</t>
  </si>
  <si>
    <t>10.1007/BF01574272</t>
  </si>
  <si>
    <t>2-s2.0-34249964212</t>
  </si>
  <si>
    <t>['transit mode', 'synthesized beam', 'synthesis along', 'survey covers', 'special care', 'south direction', 'single day', 'right ascension', 'point sources', 'paper describes', 'hinder wide', 'frequency mapping', 'field low', 'declination range', 'antenna responds', '50 ¬∞', '5 jy', '1œé ).', '1 ).']</t>
  </si>
  <si>
    <t>low-frequency | radio continuum | synthesis mapping | wide-field</t>
  </si>
  <si>
    <t>This paper describes a wide-field survey made at 34.5 MHz using GEETEE,1 the low frequency telescope at Gauribidanur (latitude 13¬∞36‚Ä≤12‚Ä≤‚Ä≤N). This telescope was used in the transit mode and by per forming 1-D synthesis along the north-south direction the entire observable sky was mapped in a single day. This minimized the problems that hinder wide-field low-frequency mapping. This survey covers the declination range of-50¬∞ to + 70¬∞ (- 33¬∞ to +61¬∞ without aliasing) and the complete 24 hours of right ascension. The synthesized beam has a resolution of 26‚Ä≤ x 42‚Ä≤ sec (Œ¥- 14¬∞. 1). The sensitivity of the survey is 5 Jy/beam (1œÉ). Special care has been taken to ensure that the antenna responds to all angular scale structures and is suitable for studies of both point sources and extended objects ¬© 1990 Indian Academy of Sciences.</t>
  </si>
  <si>
    <t>323-410</t>
  </si>
  <si>
    <t>Journal of Astrophysics and Astronomy</t>
  </si>
  <si>
    <t>60022784;60022784</t>
  </si>
  <si>
    <t>55976434400;56667084600</t>
  </si>
  <si>
    <t>Dwarakanath, K. S.;Shankar, N. Udaya</t>
  </si>
  <si>
    <t>Raman Research Institute</t>
  </si>
  <si>
    <t>Dwarakanath K.</t>
  </si>
  <si>
    <t>A synthesis map of the sky at 34.5 MHz</t>
  </si>
  <si>
    <t>10.1007/BF02709282</t>
  </si>
  <si>
    <t>2-s2.0-51249173529</t>
  </si>
  <si>
    <t>['visibilities required', 'two clocks', 'threshold detector', 'successfully used', 'south india', 'signal using', 'receiver uses', 'pulsar observations', 'one quarter', 'modified doublesideband', 'geetee 1', 'f .)', 'dsb system', 'dimensional synthesis', 'bit correlators', 'bit correlator', 'antenna system', 'also described']</t>
  </si>
  <si>
    <t>DSB system | one-bit correlator</t>
  </si>
  <si>
    <t>A 128-channel digital correlation receiver has been built for the GEETEE 1, the low-frequency radio telescope situated at Gauribidanur, South India, (latitude 13¬∞36‚Ä≤12‚Ä≤‚Ä≤ N). The receiver uses a modified doublesideband (DSB) technique. The quadrature samples required for a DSB system are obtained by sampling the digitized intermediate frequency (I.F.) signals by two clocks which are separated in time by one quarter of the period of the I.F. The visibilities required for one-dimensional synthesis are measured using one-bit correlators. A technique to measure amplitude information for the signal using a threshold detector and a one-bit correlator has been developed. The receiver has been successfully used for continuum, spectral-line and pulsar observations. The antenna system of GEETEE and its configuration for one dimensional synthesis are also described in this paper ¬© 1990 Indian Academy of Sciences.</t>
  </si>
  <si>
    <t>297-310</t>
  </si>
  <si>
    <t>56667084600;24789047600</t>
  </si>
  <si>
    <t>Shankar, N. Udaya;Shankar, T. S.Ravi</t>
  </si>
  <si>
    <t>Shankar N.</t>
  </si>
  <si>
    <t>A digital correlation receiver for the GEETEE radio telescope</t>
  </si>
  <si>
    <t>10.1007/BF02709280</t>
  </si>
  <si>
    <t>2-s2.0-51249176704</t>
  </si>
  <si>
    <t>['systematic corrections', 'satellite spins', 'rms sensitivity', 'receiver input', 'polar orbit', 'entire sky', 'dipole sensitivity', 'carefully designed', 'brightness temperature', '90 ghz', '6 months', '3 mm', '1 œé', '1 year']</t>
  </si>
  <si>
    <t>Cosmic background radiation | Instruments</t>
  </si>
  <si>
    <t>Differential Microwave Radiometers (DMRs) at frequencies of 31.5, 53, and 90 GHz (9.5, 5.7, and 3.3 mm) have been designed and built to map the large angular scale variations in the brightness temperature of the cosmic microwave background radiation. The instrument is being flown aboard NASA's Cosmic Background Explorer (COBE) satellite, launched 1989 November 18. Each receiver input is switched between two antennas pointing 60¬∞ apart on the sky. The satellite spins at 0.8 revolutions per minute to interchange the antenna directions every half-rotation. The satellite is in near-polar orbit with the orbital plane precessing at 1Ãä per day, causing the beams to scan the entire sky in 6 months. In 1 year of observation, the instruments are capable of mapping the sky to an rms sensitivity of 0.1 mK per 7¬∞ field of view. This translates to a per pixel sensitivity of ŒîT/TCMB = 4 √ó 10-5 (1 œÉ) and a dipole sensitivity of 5 √ó 10-6 (1 œÉ) in 1 year. The mission and the instrument have been carefully designed to minimize the need for systematic corrections to the data.</t>
  </si>
  <si>
    <t>685-695</t>
  </si>
  <si>
    <t>60025038;60006337;60006337;60006337;60006337;60009037;60006337;60006337;60006337;60006337;60006337;60006337;60006094-60006337;60006337;60006337;60022195;60003269;60009037;60006337;60006337;60006337;60029241;60022195;60006337;60076690-100410224;60006337;60006337;60027550</t>
  </si>
  <si>
    <t>24497446500;57206919239;57212639208;7801482761;7006653253;55547120839;57225846133;8314853800;14630496200;57214282062;35786405900;57216169247;7004351511;7103373841;55976722700;35278927800;7401870096;7004068696;6603947125;57191737171;7004836544;7004243122;7402775091;36238308200;7004029524;36814605200;7005894024;57203176050</t>
  </si>
  <si>
    <t>Smoot, G.;Bennett, C.;Weber, R.;Maruschak, J.;Ratliff, R.;Janssen, M.;Chitwood, J.;Hilliard, L.;Lecha, M.;Mills, R.;Patschke, R.;Richards, C.;Backus, C.;Mather, J.;Hauser, M.;Weiss, R.;Wilkinson, D.;Gulkis, S.;Boggess, N.;Cheng, E.;Kelsall, T.;Lubin, P.;Meyer, S.;Moseley, H.;Murdock, T.;Shafer, R.;Silverberg, R.;Wright, E.</t>
  </si>
  <si>
    <t>United States;United States;United States;United States;United States;United States;United States;United States;United States;United States</t>
  </si>
  <si>
    <t>Santa Barbara;Santa Barbara;Los Angeles;Berkeley;Cambridge;Pasadena;Greenbelt;Sioux Falls;Princeton;Danvers</t>
  </si>
  <si>
    <t>General Research Corporation;University of California, Santa Barbara;University of California, Los Angeles;University of California, Berkeley;Massachusetts Institute of Technology;Jet Propulsion Laboratory;NASA Goddard Space Flight Center;Hughes STX Corporation;Princeton University;General Research Corporation</t>
  </si>
  <si>
    <t>60076690;60029241;60027550;60025038;60022195;60009037;60006337;60006094;60003269;100410224</t>
  </si>
  <si>
    <t>Smoot G.</t>
  </si>
  <si>
    <t>COBE differential microwave radiometers: Instrument design and implementation</t>
  </si>
  <si>
    <t>10.1086/169154</t>
  </si>
  <si>
    <t>2-s2.0-0000589235</t>
  </si>
  <si>
    <t>Natur og Univers, Det Frie Forskningsr√•d</t>
  </si>
  <si>
    <t>FNU, DFF</t>
  </si>
  <si>
    <t>['¬© 1990', 'treated chlorosomes', 'strong pigment', 'strong interaction', 'still observed', 'solution saturated', 'shifted far', 'reversed completely', 'results suggest', 'red bands', 'protein interactions', 'pigment molecules', 'organic solvent', 'monomeric form', 'magnesium atom', 'largely due', 'isolated chlorosomes', 'hydroxyl oxygen', 'hexanol effect', 'hexanol destroys', 'energy transfer', 'diluted slowly', 'converted completely', 'conversion corresponds', 'chlorosome pigments', 'chloroflexus aurantiacus', 'chlorobium limicola', 'band peaking', 'bacteriochlorophyll c', 'aggregated form', '750 nm', '740 nm', '670 nm']</t>
  </si>
  <si>
    <t>(Chlorobium) | (Chloroflexus) | Bacteriochlorophyll c | Chlorosome | Energy transfer | Photosynthetic antenna</t>
  </si>
  <si>
    <t>When isolated chlorosomes from Chlorobium limicola or Chloroflexus aurantiacus are suspended in a solution saturated with 1-hexanol, the far-red absorption band of bacteriochlorophyll c at 750 or 740 nm is converted completely to a band peaking at 670 nm. The cooperation of 9 to 15 hexanol molecules is required to effect this change. This conversion corresponds to a change of the pigment molecules from the aggregated form to the monomeric form in vitro and suggests that hexanol destroys the strong interaction between the chlorosome pigments by the ligation of the hydroxyl oxygen of hexanol to the magnesium atom of the chlorophyll. However, fluorescence from the monomer in the treated chlorosomes is very small in comparison to that from monomer in organic solvent or detergent treated chlorosomes and efficient energy transfer from bacteriochlorophyll c to bacteriochlorophyll a in the hexanol-treated chlorosomes is still observed. When the treated chlorosomes are diluted slowly with buffer by a factor of two or more, the hexanol effect is reversed completely. These results suggest that the red-shifted far-red bands of bacteriochlorophyll c at 740 or 750 nm are largely due to strong pigment-pigment interactions rather than pigment-protein interactions and that the far-red bands are not necessary for energy transfer to the bacteriochlorophyll a in chlorosomes. ¬© 1990.</t>
  </si>
  <si>
    <t>233-238</t>
  </si>
  <si>
    <t>60005038;60019160</t>
  </si>
  <si>
    <t>57200274634;57203322585</t>
  </si>
  <si>
    <t>Matsuura, Katsumi;Olson, John M.</t>
  </si>
  <si>
    <t>Denmark;Japan</t>
  </si>
  <si>
    <t>Odense;Hachioji</t>
  </si>
  <si>
    <t>Syddansk Universitet;Tokyo Metropolitan University</t>
  </si>
  <si>
    <t>60019160;60005038</t>
  </si>
  <si>
    <t>Matsuura K.</t>
  </si>
  <si>
    <t>Reversible conversion of aggregated bacteriochlorophyll c to the monomeric form by 1-hexanol in chlorosomes from Chlorobium and Chloroflexus</t>
  </si>
  <si>
    <t>000527289090198D</t>
  </si>
  <si>
    <t>10.1016/0005-2728(90)90198-D</t>
  </si>
  <si>
    <t>2-s2.0-0025006806</t>
  </si>
  <si>
    <t>['¬© 1990', 'two components', 'spectral properties', 'reaction centre', 'polypeptide composition', 'photosynthetic unit', 'normal lh1', 'complex together']</t>
  </si>
  <si>
    <t>Antenna complex | Bacteriochlorophyll | Carotenoid | Photosynthetic bacterium</t>
  </si>
  <si>
    <t>The photosynthetic unit of the marin√® purple sulphur bacterium Chromatium purpuratum has been fractionated into two components. It consists of a normal LH1-reaction centre 'core' complex together with a spectrally unusual B830 LH2 complex. The polypeptide composition and spectral properties of the B830-complex have been characterised. ¬© 1990.</t>
  </si>
  <si>
    <t>60001490;60001490;60001490;60001490;60027550;60027550;60008734;60008734</t>
  </si>
  <si>
    <t>7006465617;6602660561;7404539442;16184785400;6701512374;7004524029;7003691142;35599806700</t>
  </si>
  <si>
    <t>Cogdell, Richard J.;Hawthornthwaite, Anna M.;Evans, Mark B.;Ferguson, Linda A.;Kerfeld, Cheryl;Thornber, J. Philip;van Mourik, Frank;van Grondelle, Rienk</t>
  </si>
  <si>
    <t>United States;Netherlands;United Kingdom</t>
  </si>
  <si>
    <t>Los Angeles;Amsterdam;Glasgow</t>
  </si>
  <si>
    <t>University of California, Los Angeles;Vrije Universiteit Amsterdam;University of Glasgow</t>
  </si>
  <si>
    <t>60027550;60008734;60001490</t>
  </si>
  <si>
    <t>Cogdell R.</t>
  </si>
  <si>
    <t>Isolation and characterisation of an unusual antenna complex from the marine purple sulphur photosynthetic bacterium Chromatium purpuratum BN5500</t>
  </si>
  <si>
    <t>000527289090199E</t>
  </si>
  <si>
    <t>10.1016/0005-2728(90)90199-E</t>
  </si>
  <si>
    <t>2-s2.0-0025109128</t>
  </si>
  <si>
    <t>['¬© 1990', 'two biliproteins', 'therefore used', 'terminal part', 'sequence homology', 'sequence determined', 'provides mechanisms', 'peca ).', 'linker protein', 'harvesting components', 'genes coding', 'gene pair', 'gene duplication', 'gene coding', 'gene arrangement', 'frequently clustered', 'forms complexes', 'followed downstream', 'environmental factors', 'encoding pair', 'encoding genes', 'cpc genes', 'closely related', '6 stoichiometry']</t>
  </si>
  <si>
    <t>linker polypeptide | molecular evolution | photosynthetic antenna | phycobiliprotein | phycobilisome | Recombinant DNA</t>
  </si>
  <si>
    <t>Phycocyanin (PC) and phycoerythrocyanin (PEC) are light-harvesting components of the phycobilisome (PbS) from the cyanobacterium Mastigocladus laminosus. These two biliproteins are closely related, and show a particularly high degree of sequence homology in the C-terminal part of their Œ≤-subunits. A 198-bp gene fragment encoding this region of PC from M. laminosus was therefore used as a heterologous hybridization probe to identify the genes coding for PEC from the same organism. A 1.7-kb HindIII fragment was cloned and its sequence determined. Three open reading frames (ORFs) were found on this fragment. The gene coding for the Œ≤-subunit of PEC (pecB) was followed downstream by the Œ±-subunit encoding gene (pecA). This gene arrangement had also been found in the PC-encoding (cpc) gene pair from M. laminosus, and is conserved in cpc genes from other organisms. This finding is compatible with a model of evolution of the cpc and pec gene pairs as the product of gene duplication of an ancestral Œ≤- and Œ±-subunit-encoding pair. A third ORF starts downstream from pecA. It codes for the 34.5-kDa linker protein, which forms complexes with PEC with a 1:6 stoichiometry in the PbS. Biliprotein- and linker protein-encoding genes are frequently clustered, and this provides mechanisms for the production of the different stoichiometric amounts of these gene products required in the PbS and for coregulation by environmental factors. ¬© 1990.</t>
  </si>
  <si>
    <t>133-136</t>
  </si>
  <si>
    <t>Gene</t>
  </si>
  <si>
    <t>60028717;60028717</t>
  </si>
  <si>
    <t>24363061100;6507086969</t>
  </si>
  <si>
    <t>Eberlein, Magdalena;Kufer, Werner</t>
  </si>
  <si>
    <t>Eberlein M.</t>
  </si>
  <si>
    <t>Genes encoding both subunits of phycoerythrocyanin, a light-harvesting biliprotein from the cyanobacterium Mastigocladus laminosus</t>
  </si>
  <si>
    <t>0378-1119(90)90480-F</t>
  </si>
  <si>
    <t>10.1016/0378-1119(90)90480-F</t>
  </si>
  <si>
    <t>2-s2.0-0025048527</t>
  </si>
  <si>
    <t>['principally characterised', 'prehendorastrus spp', 'prehendorastrus n', 'new genus', 'near manaus', 'individually grasp', 'gill rakers', 'first species', 'fimbriatus kner', 'ergasilidae reported', 'catal √£', 'antennae modified']</t>
  </si>
  <si>
    <t>Prehendorastrus n.g. (Poecilostomatoida, Ergasilidae) is proposed for two new species (P. bidentatus and P. monodontus) collected from the gill rakers of the catfishes Hypophthalmus edentatus Spix, 1829 and H. fimbriatus Kner, 1857, from the Furo do Catal√£o, near Manaus, Amazonas, Brazil. Species of the new genus are principally characterised by having antennae modified to individually grasp the gill rakers and latch, and second antennal segment with one or two prominent teeth. Prehendorastrus spp. are the first species of the Ergasilidae reported from the gill rakers of fish. ¬© 1990 Kluwer Academic Publishers.</t>
  </si>
  <si>
    <t>133-141</t>
  </si>
  <si>
    <t>Systematic Parasitology</t>
  </si>
  <si>
    <t>60000036-60028775;60029159</t>
  </si>
  <si>
    <t>6701729958;7003744336</t>
  </si>
  <si>
    <t>Boeger, Walter A.;Thatcher, Vernon E.</t>
  </si>
  <si>
    <t>Brazil;Brazil;Brazil</t>
  </si>
  <si>
    <t>Manaus;Brasilia;Rio de Janeiro</t>
  </si>
  <si>
    <t>Instituto Nacional de Pesquisas Da Amazonia;Conselho Nacional de Desenvolvimento Cientifico E Tecnologico Cnpq;Universidade Federal do Rio de Janeiro</t>
  </si>
  <si>
    <t>60029159;60028775;60000036</t>
  </si>
  <si>
    <t>Boeger W.</t>
  </si>
  <si>
    <t>Prehendorastrus n. g. (Poecilostomatoida, Ergasilidae) with descriptions of two new species from the gill rakers of Hypophthalmus spp. (Teleostei, Siluriformes) from the Brazilian Amazon</t>
  </si>
  <si>
    <t>10.1007/BF00009801</t>
  </si>
  <si>
    <t>2-s2.0-0000861152</t>
  </si>
  <si>
    <t>['whole cells', 'similarly affected', 'lifetime shortens', 'isolated chlorosomes', 'induced quenching', 'global analyses', 'energy transfer', 'corresponding rise', 'chlorosome pigments', 'bchl a795', 'anaerobic conditions', 'aerobic samples', '805 nm', '66 ps', '46 ps', '11 ps']</t>
  </si>
  <si>
    <t>Chlorosomes | energy transfer | fluorescence | green photosynthetic bacteria</t>
  </si>
  <si>
    <t>Time-resolved fluorescence spectroscopy and global data analysis techniques have been used to study the flow of excitations in antennae of the green photosynthetic bacteria Chloroflexus aurantiacus and Chlorobium vibrioforme f. thiosulfatophilum. The transfer of energy from bacteriochlorophyll (BChl) c in Chloroflexus or BChl d in Chlorobium to BChl a795 was resolved in both whole cells and isolated chlorosomes. In Chloroflexus, the decay of excitations in BChl c occurs in ‚àº16 ps and a corresponding rise in BChl a emission at 805 nm is detected in global analyses. This band then decays in 46 ps in whole cells due to energy transfer into the membrane. The 805 nm fluorescence in isolated chlorosomes shows a fast decay component similar to that of whole cells, which is consistent with trapping by residual membrane antenna complexes. In Chlorobium, the kinetics are sensitive to the presence of oxygen. Under anaerobic conditions, BChl d decays in 66 ps while the lifetime shortens to 11 ps in aerobic samples. The effect is reversible and occurs in both whole cells and isolated chlorosomes. Emission from BChl a is similarly affected by oxygen, indicating that oxidant-induced quenching can occur from all chlorosome pigments. ¬© 1990 Kluwer Academic Publishers.</t>
  </si>
  <si>
    <t>60003892;60003892;60003892;60003892;60003892</t>
  </si>
  <si>
    <t>6602911490;7005522646;57191399111;6602436920;57203046340</t>
  </si>
  <si>
    <t>Causgrove, Timothy P.;Brune, Daniel C.;Wang, Jian;Wittmershaus, Bruce P.;Blankenship, Robert E.</t>
  </si>
  <si>
    <t>Causgrove T.P.</t>
  </si>
  <si>
    <t>Energy transfer kinetics in whole cells and isolated chlorosomes of green photosynthetic bacteria</t>
  </si>
  <si>
    <t>10.1007/BF00048975</t>
  </si>
  <si>
    <t>2-s2.0-0002555204</t>
  </si>
  <si>
    <t>['type inhibitors', 'type appearance', 'sun phenotype', 'sublethal concentrations', 'shade phenotype', 'reduced rate', 'phycocyanin paralleled', 'photosynthetic apparatus', 'partially prevent', 'may play', 'low rate', 'light meter', 'increased synthesis', 'high rate', 'high light', 'electron transport', 'dynamic herbicide', 'd1 protein', 'cultures growing', 'artificially shade', 'antenna synthesis', 'adaptive reorganization', 'adapted cells']</t>
  </si>
  <si>
    <t>D1 protein | DCMU-type inhibitors | fluorescence excitation | light intensity adaptation | protein synthesis | thiosulphate oxidation</t>
  </si>
  <si>
    <t>Growth of Anacystis in high light in the presence of sublethal concentrations of DCMU-type inhibitors leads to an increased synthesis of phycocyanin paralleled by a reduced rate of 35S methionine incorporation into the D1 protein compared to the high light controls, as is characteristic for naturally-induced shade phenotype. On the contrary, sun phenotype is characterized by a low rate of antenna synthesis, but a high rate of 35S methionine incorporation into the D1 protein. Room temperature excitation spectra of 684 nm fluorescence emission clearly demonstrate the participation of the extraordinarily high concentration of phycocyanin in artificially shade-adapted cells in excitation energy transfer to chlorophyll. It could be shown that the development of shade-type appearance is not simply the consequence of an imbalance in electron transport, since an addition of thiosulphate to cultures growing in high light in the presence of DCMU-type inhibitors can only partially prevent or revert the change from sun to artificial-herbicide-induced-shade phenotype. This is regarded as evidence that the dynamic herbicide-binding D1 protein itself may play a role as a light meter in the process of natural shade adaptation, the rate of its degradation and resynthesis possibly giving the signal for the adaptive reorganization of the photosynthetic apparatus. The chain of signal transduction remains to be established. ¬© 1990 Kluwer Academic Publishers.</t>
  </si>
  <si>
    <t>29-37</t>
  </si>
  <si>
    <t>Koenig, Friederike</t>
  </si>
  <si>
    <t>Shade adaptation in cyanobacteria - Further characterization of Anacystis shade phenotype as induced by sublethal concentrations of DCMU-type inhibitors in strong light</t>
  </si>
  <si>
    <t>10.1007/BF00048974</t>
  </si>
  <si>
    <t>2-s2.0-0002959376</t>
  </si>
  <si>
    <t>['treated cells', 'three weeks', 'splitting apparatus', 'restoring effect', 'reaction centre', 'psii complexes', 'psii ).', 'proteins associated', 'protein complexes', 'polypeptide composition', 'photosystem ii', 'peripheral antenna', 'original activity', 'o2 production', 'major light', 'long periods', 'light treatment', 'light quality', 'kinetics similar', 'harvesting complexes', 'harvesting complex', 'either red', 'correlated well', 'core antenna', 'containing reaction', 'completely unaffected', 'co2 consumption', 'change detectably', 'centre complex', 'cells grown', 'cells cultured', 'blue light', 'binding polypeptide', 'analyzed mainly']</t>
  </si>
  <si>
    <t>Acetabularia | Blue light | Chlorophyll-protein complexes | Photosystem II (antenna function) | Thylakoid (polypeptide composition)</t>
  </si>
  <si>
    <t>The high photosynthetic activity (O2 production and CO2 consumption) of Acetabularia mediterranea Lamour. (=A. acetabulum (L.) Silva) characteristic of cells cultured in white light decreases slowly when cells are kept in continuous red light, and is less than 20% of the original activity after three weeks. Subsequent blue irradiation restores the original activity completely within 3-5 d. The polypeptide composition of the thylakoids from cells grown in either red or blue light and after transfer from red to blue light was analyzed mainly with regards to photosystem II (PSII). The P700-containing reaction-centre complex of photosystem I, CPI, showed only minor quantitative alterations as a consequence of the growth-light quality, which correlated well with the activity of photosystem I under these conditions. In PSII, no drastic changes occurred in the quantity of the reaction-centre components D1 (herbicide-binding polypeptide) and D2, as determined by immunoblots. Likewise, the proteins associated with the water-splitting apparatus did not change detectably in thylakoids from red- or blue-light-treated cells (the 16-kDa component could not be found in Acetabularia thylakoids). The level of the major light-harvesting complex was completely unaffected by the light quality. In contrast, the quantities of the chlorophyll a-protein complexes of the core antenna, CP43 and CP47 (and probably CP29), changed, with kinetics similar to those of total photosynthetic activity. We postulate that the function of the PSII antenna became increasingly impaired in the absence of blue light (i.e. in red light), while blue light had a restoring effect. The peripheral antenna, comprising the light-harvesting complexes, is probably functionally connected with the reaction-centre chlorophylls via the core antenna chlorophyll-protein complexes (CP43, CP47 and probably CP29). A deficiency of these complexes would lead to uncoupling of antenna and reaction centre in the majority of PSII complexes after long periods of red-light treatment. ¬© 1990 Springer-Verlag.</t>
  </si>
  <si>
    <t>391-398</t>
  </si>
  <si>
    <t>60030718;60030718;60030718</t>
  </si>
  <si>
    <t>7402199226;16437911800;16434477500</t>
  </si>
  <si>
    <t>Schmid, Rainer;Wennicke, Rainer;Fleischhauer, Sigrun</t>
  </si>
  <si>
    <t>Freie Universit√§t Berlin</t>
  </si>
  <si>
    <t>Quantitative correlation of peripheral and intrinsic core polypeptides of photosystem II with photosynthetic electron-transport activity of Acetabularia mediterranea in red and blue light</t>
  </si>
  <si>
    <t>10.1007/BF02411390</t>
  </si>
  <si>
    <t>2-s2.0-0006280725</t>
  </si>
  <si>
    <t>['unilateral interneurons', 'unilateral interneuron', 'unilateral amputation', 'target glomeruli', 'suboesophageal ganglion', 'structural results', 'small number', 'single glomeruli', 'prominent types', 'prominent glomeruli', 'posterior brain', 'positions relative', 'pharyngeal sensilla', 'maxillary palps', 'lpr ),', 'lateral protocerebrum', 'glomerular architecture', 'extensive ramifications', 'extensive arborization', 'exclusive targets', 'entire lobe', 'drosophila melanogaster', 'contralateral lobe', 'computer reconstruction', 'bilateral interneurons', 'behavioral data', 'basiconic sensilla', 'available functional', 'antennal lobes', 'antennal lobe', 'antennal commissure', '35 glomeruli', '1000 fibers']</t>
  </si>
  <si>
    <t>Antennal afferents | Antennal glomeruli | Antennal interneurons | Antennal lobes | Backfilling | Computer reconstruction | Drosophila melanogaster (Insecta) | Golgi impregnation | Maxillary afferents</t>
  </si>
  <si>
    <t>Computer reconstruction of the antennal lobe of Drosophila melanogaster has revealed a total of 35 glomeruli, of which 30 are located in the periphery of the lobe and 5 in its center. Several prominent glomeruli are recognizable by their location, size, and shape; others are identifiable only by their positions relative to prominent glomeruli. No obvious sexual dimorphism of the glomerular architecture was observed. Golgi impregnations revealed: (1) Five of the glomeruli are exclusive targets for ipsilateral antennal input, whereas all others receive afferents from both antennae. Unilateral amputation of the third antennal segment led to a loss of about 1000 fibers in the antennal commissure. Hence, about 5/6 of the approximately 1200 antennal afferents per side have a process that extends into the contralateral lobe. (2) Afferents from maxillary palps (most likely from basiconic sensilla) project into both ipsi-and contralateral antennal lobes, yet their target glomeruli are apparently not the same as those of antennal basiconic sensilla. (3) Afferents in the antennal lobe may also stem from pharyngeal sensilla. (4) The most prominent types of interneurons with arborizations in the antennal lobe are: (i) local interneurons ramifying in the entire lobe, (ii) unilateral relay interneurons that extend from single glomeruli into the calyx and the lateral protocerebrum (LPR), (iii) unilateral interneurons that connect several glomeruli with the LPR only, (iv) bilateral interneurons that link a small number of glomeruli in both antennal lobes with the calyx and LPR, (v) giant bilateral interneurons characterized by extensive ramifications in both antennal lobes and the posterior brain and a cell body situated in the midline of the suboesophageal ganglion, and (vi) a unilateral interneuron with extensive arborization in one antennal lobe and the posterior brain and a process that extends into the thorax. These structural results are discussed in the context of the available functional and behavioral data. ¬© 1990 Springer-Verlag.</t>
  </si>
  <si>
    <t>60024631;60024631;60004898;60025641</t>
  </si>
  <si>
    <t>7103138484;6603156303;7006608619;7004238918</t>
  </si>
  <si>
    <t>Stocker, R. F.;Lienhard, M. C.;Borst, A.;Fischbach, K. F.</t>
  </si>
  <si>
    <t>Germany;Switzerland;Germany</t>
  </si>
  <si>
    <t>Freiburg im Breisgau;Fribourg;Tubingen</t>
  </si>
  <si>
    <t>Universit√§t Freiburg im Breisgau;University of Fribourg;Max Planck Institute for Biological Cybernetics</t>
  </si>
  <si>
    <t>60025641;60024631;60004898</t>
  </si>
  <si>
    <t>Stocker R.</t>
  </si>
  <si>
    <t>Neuronal architecture of the antennal lobe in Drosophila melanogaster</t>
  </si>
  <si>
    <t>10.1007/BF00327741</t>
  </si>
  <si>
    <t>2-s2.0-0024991442</t>
  </si>
  <si>
    <t>['type ).', 'thiosulfatophilum antisera', 'sodium thiocyanate', 'results provide', 'purified chlorosomes', 'phaeobacteroides protein', 'nascn ).', 'minor bchl', 'mild detergent', 'major light', 'isolated chlorosomes', 'immunological procedures', 'harvesting antennae', 'green bacteria', 'evolutionary divergence', 'e ),', 'cross react', 'chlorobium tepidum', 'chlorobium species', 'chlorobium phaeobacteroides', 'bchl c', '5 kda']</t>
  </si>
  <si>
    <t>Bacteriochlorophylls a, c, and e | Chlorobium limicola | Chlorobium phaeobacteroides | Chlorobium tepidum | Chloroflexus aurantiacus | Chlorosome | Green phototrophic bacteria</t>
  </si>
  <si>
    <t>In order to compare and contrast the structure and function of the light-harvesting antennae (i.e. chlorosomes) of green bacteria, a procedure for isolating and characterizing them from green sulfur bacteria was developed. The chlorosomes from Chlorobium species with bacteriochlorophyll (Bchl) c or e were isolated by a two step sucrose density centrifugation in the presence of 2% miranol, a mild detergent, and 2 M sodium thiocyanate (NaSCN). Purified chlorosomes from two green sulfur bacteria, Chlorobium phaeobacteroides and Chlorobium tepidum, and the filamentous green bacterium Chloroflexus aurantiacus were analysed by spectrophotometry, SDS-polyacrylamide gel electrophoresis, and immunological procedures. Isolated chlorosomes from both Chlorobium species contain only two electrophoretically separable protein components with approximate molecular masses of 5-7.5 and 34.5 kDa. In addition, they have a major light-harvesting antenna pigment (Bchl c or e), a minor Bchl a species, and carotenoids. Chloroflexus aurantiacus antisera for the three major chlorosome proteins (5.6, 11, and 18 kDa), and the reaction center proteins (24 and 24.5 kDa) did not cross react with any Chlorobium proteins analyzed in this study. Chlorobium limicola f. thiosulfatophilum antisera against the 7.5 kDa chlorosome protein cross reacted strongly with the 5-7.5 kDa protein from Cb. tepidum, weakly with the Cb. phaeobacteroides protein, but not at all to the 5.6 kDa chlorosome protein from Cf. aurantiacus. These results provide further evidence for the evolutionary divergence of the chlorosomes from green phototrophic bacteria (e.g., Chlorobium-type and Chloroflexus-type). ¬© 1990 Springer-Verlag.</t>
  </si>
  <si>
    <t>422-427</t>
  </si>
  <si>
    <t>7006479870;35593628100;6701548068</t>
  </si>
  <si>
    <t>Stolz, John F.;Fuller, R. Clinton;Redlinger, Thomas E.</t>
  </si>
  <si>
    <t>Stolz J.</t>
  </si>
  <si>
    <t>Pigment-protein diversity in chlorosomes of green phototrophic bacteria</t>
  </si>
  <si>
    <t>10.1007/BF00245221</t>
  </si>
  <si>
    <t>2-s2.0-0025089525</t>
  </si>
  <si>
    <t>['use mathcad', 'fourier series', 'fourier integrals', 'cubic spline', 'bode plots', 'article shows', 'antenna patterns']</t>
  </si>
  <si>
    <t>This article shows how to use MathCAD for Fourier Series, Fourier Integrals, Convolution, Bode Plots, Antenna Patterns, Cubic Spline and other engineering type problems. MathCAD, which is very popular, runs on IBM compatible personal computers using the MS-DOS operating system.</t>
  </si>
  <si>
    <t>42-47</t>
  </si>
  <si>
    <t>Barnett, Roy I.</t>
  </si>
  <si>
    <t>California State University, Los Angeles</t>
  </si>
  <si>
    <t>Barnett R.I.</t>
  </si>
  <si>
    <t>Using MathCAD for engineering related problems</t>
  </si>
  <si>
    <t>2-s2.0-0025497561</t>
  </si>
  <si>
    <t>['use graphics', 'programming languages', 'program leads', 'paper describes', 'matlab program', 'fast execution', 'engineering computations']</t>
  </si>
  <si>
    <t>This paper describes a tutorial antenna array program written in MATLAB. The program leads the student through a series of demonstrations on the analysis of phased array antennas. MATLAB is a vectorized interactive software package for scientific and engineering computations that has the advantages of easy-to-use graphics, easy program development, and fast execution. Similar antenna programs written in other programming languages are more difficult to develop and execute much slower than this MATLAB program.</t>
  </si>
  <si>
    <t>Haupt, Randy L.</t>
  </si>
  <si>
    <t>Colorado Springs</t>
  </si>
  <si>
    <t>United States Air Force Academy</t>
  </si>
  <si>
    <t>Antenna array tutorial using MATLAB</t>
  </si>
  <si>
    <t>2-s2.0-0025497855</t>
  </si>
  <si>
    <t>['virginia tech', 'two parameters', 'students face', 'scenarios prompted', 'rather poorly', 'problem solution', 'practicing engineers', 'practicing engineer', 'paper gives', 'next version', 'dimensional representations', 'dimensional reality', 'dimensional patterns', 'continuous struggle', 'complex geometries', 'called 3d', 'also discussed', '3d program']</t>
  </si>
  <si>
    <t>Graphically representing three-dimensional patterns has long been an obstacle with which educators, students and practicing engineers have had to contend. For the educator, two separate two-dimensional plots illustrating the interdependence of two parameters has served, rather poorly, to convey the complex geometries of three-dimensional antenna patterns. As a result of this method of representation, students face a continuous struggle to grasp the three-dimensional reality of a problem solution. For the practicing engineer, three-dimensional representations are often generated using expensive software which requires considerable time and effort to learn and use. These scenarios prompted the development of a three-dimensional graphics package, called 3D, at Virginia Tech. This paper gives the reader an overview of the 3D program and details an example of its use. The program's constraints are also discussed and examples of its output are displayed. Finally, we conclude with improvements for 3D which are being developed as a part of the next version of the software.</t>
  </si>
  <si>
    <t>52-56</t>
  </si>
  <si>
    <t>60027090;60027090;60027090</t>
  </si>
  <si>
    <t>6506147937;6701767453;35958947300</t>
  </si>
  <si>
    <t>Ruhlmann, G. M.;McKeeman, J. C.;Colbert, M. A.</t>
  </si>
  <si>
    <t>Ruhlmann G.</t>
  </si>
  <si>
    <t>Three dimensional displays of spherical coordinate equations on personal computers</t>
  </si>
  <si>
    <t>2-s2.0-0025497856</t>
  </si>
  <si>
    <t>['video signals', 'receivers within', 'provide point', 'manufacturing techniques', 'low cost', 'alleviate difficulties']</t>
  </si>
  <si>
    <t>A 29 GHz radio system has been developed for BT visual systems and services, initially to alleviate difficulties with serving business customers. This was achieved by providing short range distribution of video signals from a 29 GHz transmitter to a number of receivers within a circular coverage area. The system has also been adapted to provide point-to-point video transmission. From the system's inception, manufacturing techniques and costs were considered to ensure that the radio equipment could be produced at low cost.</t>
  </si>
  <si>
    <t>18-25</t>
  </si>
  <si>
    <t>British Telecom technology journal</t>
  </si>
  <si>
    <t>Scott, R. P.I.</t>
  </si>
  <si>
    <t>Scott R.</t>
  </si>
  <si>
    <t>29 GHz radio system for video distribution</t>
  </si>
  <si>
    <t>2-s2.0-0025498266</t>
  </si>
  <si>
    <t>['useful insight', 'space station', 'slewing arm', 'scientific instruments', 'satellite consisting', 'rigid platform', 'rigid appendage', 'results suggest', 'regain stability', 'paper presents', 'orbit geometry', 'mrms ).', 'initial conditions', 'inertia parameters', 'flexible beam', 'flexible appendages', 'critical combinations', 'analysis provides']</t>
  </si>
  <si>
    <t>This paper presents a relatively general formulation for studying librational dynamics of a flexible platform supporting a mobile base connected to a series of slewing, flexible appendages. It is applicable to missions requiring slew maneuvers of antennas, telescopes, scientific instruments, and in particular, the U.S. proposed Space Station's Mobile Remote Manipulator System (MRMS). Application of the formulation is illustrated through two simple examples: (i) a satellite consisting of a rigid platform with a slewing, rigid appendage; (ii) a flexible beam-type platform representing the space station with a mobile, flexible, slewing arm. The analysis provides a useful insight into interactions between inertia parameters, orbit geometry, translational and slewing time histories, flexibility and initial conditions. Results suggest that under critical combinations of the parameters the system may become unstable. Application of the infinite time linear regulator to regain stability is demonstrated.</t>
  </si>
  <si>
    <t>557-579</t>
  </si>
  <si>
    <t>60010365;60010365;60010365;60010365</t>
  </si>
  <si>
    <t>6603766524;57207605283;7402316333;16229065100</t>
  </si>
  <si>
    <t>Mah, H. W.;Modi, V. J.;Morita, Y.;Yokota, H.</t>
  </si>
  <si>
    <t>Mah H.</t>
  </si>
  <si>
    <t>Dynamics during slewing and translational maneuvers of the space station based MRMS</t>
  </si>
  <si>
    <t>2-s2.0-0025498375</t>
  </si>
  <si>
    <t>['phase error', 'axial ratio']</t>
  </si>
  <si>
    <t>Circularly polarized antenna elements created by using two orthogonal linearly polarized elements fed with equal-amplitude signals phased 90¬∞ apart are discussed. The computation of axial ratio is described. The use of contours of constant axial ratio versus amplitude and phase error to determine the amplitude and phase accuracies required for a given axial ratio is considered.</t>
  </si>
  <si>
    <t>45-46</t>
  </si>
  <si>
    <t>7006061921;6603820268</t>
  </si>
  <si>
    <t>Pozar, David M.;Targonski, Steven</t>
  </si>
  <si>
    <t>Axial ratio of circularly polarized antennas with amplitude and phase errors</t>
  </si>
  <si>
    <t>2-s2.0-0025502581</t>
  </si>
  <si>
    <t>['use today', 'scattering properties', 'scattered signal', 'millimeter wavelengths', 'distributed targets', 'correction techniques', 'avna ).', 'accurate measurements']</t>
  </si>
  <si>
    <t>The polarization synthesis technique for measuring the scattering properties of point and distributed targets is discussed, and it is pointed out that accurate measurements of both the magnitude and phase of the scattered signal are now possible by using the signal-processing and error-correction techniques of the automatic vector network analyzer (AVNA). The principles of operation of the AVNA are given, and an overview of AVNA-based scatterometer configurations in use today at centimeter and millimeter wavelengths is provided.</t>
  </si>
  <si>
    <t>7103159953;7005928673;35585913500</t>
  </si>
  <si>
    <t>Ulaby, Fawwaz T.;Whitt, Michael W.;Sarabandi, Kamal</t>
  </si>
  <si>
    <t>Ulaby F.</t>
  </si>
  <si>
    <t>AVNA-based polarimetric scatterometers</t>
  </si>
  <si>
    <t>10.1109/74.80582</t>
  </si>
  <si>
    <t>2-s2.0-0025502582</t>
  </si>
  <si>
    <t>['input impedance', 'improved performance']</t>
  </si>
  <si>
    <t>imaging arrays | slot antennas | spectral domain technique</t>
  </si>
  <si>
    <t>A method is described for calculating the input impedance as seen by the detector for a twin slot antenna structure. This technique is then used to analyze several twin slot antenna configurations, leading to improved performance. ¬© 1990 Plenum Publishing Corporation.</t>
  </si>
  <si>
    <t>1225-1249</t>
  </si>
  <si>
    <t>60013372;60011754;60013372;60013372</t>
  </si>
  <si>
    <t>16454983700;7006258203;7006694199;36041035600</t>
  </si>
  <si>
    <t>Rogers, R. L.;Wentworth, S. M.;Neikirk, D. P.;Itoh, T.</t>
  </si>
  <si>
    <t>Austin;Auburn</t>
  </si>
  <si>
    <t>The University of Texas at Austin;Auburn University</t>
  </si>
  <si>
    <t>60013372;60011754</t>
  </si>
  <si>
    <t>Rogers R.</t>
  </si>
  <si>
    <t>A twin slot antenna on a layered substrate coupled to a microstrip feed line</t>
  </si>
  <si>
    <t>10.1007/BF01014740</t>
  </si>
  <si>
    <t>2-s2.0-0025505776</t>
  </si>
  <si>
    <t>['personal history', 'author presents']</t>
  </si>
  <si>
    <t>The author presents his personal history. He describes his education and his work as an engineer, focusing on his research in antennas.</t>
  </si>
  <si>
    <t>38-42</t>
  </si>
  <si>
    <t>Altshuler, Edward E.</t>
  </si>
  <si>
    <t>Force Base</t>
  </si>
  <si>
    <t>Altshuler E.</t>
  </si>
  <si>
    <t>Engineer's personal history: Edward Altshuler</t>
  </si>
  <si>
    <t>2-s2.0-0025507008</t>
  </si>
  <si>
    <t>1038-1042</t>
  </si>
  <si>
    <t>6508095353;6602223914;6507135465;6506264809</t>
  </si>
  <si>
    <t>Evtyukhina, O. E.;Letunov, L. A.;Mosolov, G. Yu;Skorov, V. G.</t>
  </si>
  <si>
    <t>Evtyukhina O.</t>
  </si>
  <si>
    <t>Modulation method of determining PAA channel characteristics with discrete pin-diode phase shifters</t>
  </si>
  <si>
    <t>10.1007/BF00990527</t>
  </si>
  <si>
    <t>2-s2.0-0026117003</t>
  </si>
  <si>
    <t>1003-1007</t>
  </si>
  <si>
    <t>55893915500;57216047816</t>
  </si>
  <si>
    <t>Morozov, A. N.;Gladyshev, V. O.</t>
  </si>
  <si>
    <t>Morozov A.N.</t>
  </si>
  <si>
    <t>Peculiarities of the response of a laser interference gravitational antenna to low-frequency disturbances</t>
  </si>
  <si>
    <t>10.1007/BF00990518</t>
  </si>
  <si>
    <t>2-s2.0-0026118111</t>
  </si>
  <si>
    <t>1035-1037</t>
  </si>
  <si>
    <t>6602956702;6506510061;7103313639</t>
  </si>
  <si>
    <t>Buzinov, V. S.;Iskhakova, N. N.;Tishchenko, V. A.</t>
  </si>
  <si>
    <t>Reference wide-band electric-field intensity meter</t>
  </si>
  <si>
    <t>10.1007/BF00990526</t>
  </si>
  <si>
    <t>2-s2.0-0026120308</t>
  </si>
  <si>
    <t>['√ ºller', 'weber theory', 'vaughan z', 'maxwell theory', 'flux rule']</t>
  </si>
  <si>
    <t>electrodynamics | unipolar induction | Weber versus Maxwell | Z-antenna self torque</t>
  </si>
  <si>
    <t>Weber electrodynamics predicts the localized unipolar induction observed by M√ºller and Kennard; whereas the Maxwell theory, based upon closed current loops and the flux rule, fails. The Weber theory for high frequency fields predicts a zero self torque on the Pappas-Vaughan Z-antenna, as observed. In contrast, the Maxwell theory predicts a sizeable self torque which is not observed. ¬© 1990 Plenum Publishing Corporation.</t>
  </si>
  <si>
    <t>471-490</t>
  </si>
  <si>
    <t>Foundations of Physics Letters</t>
  </si>
  <si>
    <t>Wesley, J. P.</t>
  </si>
  <si>
    <t>Wesley J.</t>
  </si>
  <si>
    <t>Weber electrodynamics, part II unipolar induction, Z-antenna</t>
  </si>
  <si>
    <t>10.1007/BF00665930</t>
  </si>
  <si>
    <t>2-s2.0-0346809209</t>
  </si>
  <si>
    <t>['¬© 1990', 'transmission line', 'superconductor devices', 'present status', 'oxide superconductivity', 'new metal', 'march 1987', 'magnetic shield', 'late 1986', 'jaeri tokai', 'focusing lens', 'feasibility study', 'cavity resonator']</t>
  </si>
  <si>
    <t>After the discovery of the new metal-oxide superconductivity with higher onset temperatures in late 1986, a feasibility study for superconductor devices (cavity resonator, transmission line, antenna, magnetic shield, focusing lens and so on) as FEL accelerator components was started at JAERI Tokai in March 1987. The present status of the feasibility study will be discussed. ¬© 1990.</t>
  </si>
  <si>
    <t>707-709</t>
  </si>
  <si>
    <t>100792737;60000099;60000099</t>
  </si>
  <si>
    <t>7004003460;15741281900;35553411000</t>
  </si>
  <si>
    <t>Minehara, Eisuke;Nagai, Ryouji;Takeuchi, Manabu</t>
  </si>
  <si>
    <t>Mito;Ibaraki Prefecture</t>
  </si>
  <si>
    <t>Ibaraki University;Tokai Research Establishment</t>
  </si>
  <si>
    <t>60000099;100792737</t>
  </si>
  <si>
    <t>Potential applications of high-T&lt;inf&gt;c&lt;/inf&gt; superconductors to FEL accelerator components</t>
  </si>
  <si>
    <t>016890029091292J</t>
  </si>
  <si>
    <t>10.1016/0168-9002(90)91292-J</t>
  </si>
  <si>
    <t>2-s2.0-0025505321</t>
  </si>
  <si>
    <t>['œ ¥', '¬© 1990', 'substrate temperature', 'rutherford backscattering', 'penetration depth', 'oxygen pressure', 'mœ ©', 'miniaturized high', 'intrinsic value', 'first application', 'film thickness', 'dc sputtering', 'best film', '87 ghz', '8 mbar', '77 k', '4 ghz']</t>
  </si>
  <si>
    <t>We have prepared thin films of YBa2Cu3O7 - Œ¥ in situ by dc sputtering at an oxygen pressure of 3.8 mbar and a substrate temperature of 700 ¬∞C on SrTiO3 and LaAlO3. For our best film on SrTiO3 an effective surface resistance of (48 ¬± 5) mŒ© at 77 K and 87 GHz was achieved. From these data, the measured temperature dependence of the penetration depth, and the film thickness of (190 ¬± 8)nm an intrinsic value of (12 ¬± 4) mŒ© was determined. Similar good results were obtained with films on LaAlO3. Moreover, we have found by Rutherford backscattering that the film thickness varies only 8% over 1 √ó 1 cm2. Therefore, such films are appropriate for planar microwave devices. As a first application a miniaturized high-Tc patch antenna, operating at 2.4 GHz, was built from two patterned films on LaAlO3. From the measured quality factor of 800 at 77K an efficiency of about 0.9 was estimated in comparison to 0.25 for high purity copper at the same temperature. ¬© 1990.</t>
  </si>
  <si>
    <t>1536-1543</t>
  </si>
  <si>
    <t>PART 2</t>
  </si>
  <si>
    <t>164-165</t>
  </si>
  <si>
    <t>Journal of The Less-Common Metals</t>
  </si>
  <si>
    <t>60022995;60022995;60022995;60022995;60022995;60022995;105830986;105830986;105830986;105831592;105831592;60028673;105830987;105830987</t>
  </si>
  <si>
    <t>57203233838;7003780857;35466217700;23016397300;7006693036;6504594789;6603803058;7003717192;7101955687;35556365400;55916336600;24300861000;57207789251;6602654911</t>
  </si>
  <si>
    <t>Klein, N.;Chaloupka, H.;M√ºller, G.;Orbach, S.;Piel, H.;Pischke, A.;Soltner, H.;Poppe, U.;Urban, K.;Buchal, Ch;Schubert, J.;Daalmans, G.;Klein, U.;Peiniger, M.</t>
  </si>
  <si>
    <t>Germany;Germany;Germany;Germany;Germany</t>
  </si>
  <si>
    <t>Munich;Wuppertal;;;</t>
  </si>
  <si>
    <t>Siemens AG;Bergische Universit√§t Wuppertal;Institut f√ºr Schicht- und Ionentechnik Forschungszentrum KFA J√ºlich GmbH;Interatom GmbH D-5060 Bergisch GladbachF.R.G;Institut f√ºr Festk√∂rperforschung Forschungszentrum KFA J√ºlich GmbH</t>
  </si>
  <si>
    <t>60028673;60022995;105831592;105830987;105830986</t>
  </si>
  <si>
    <t>Klein N.</t>
  </si>
  <si>
    <t>Surface impedance measurements on sputtered YBa&lt;inf&gt;2&lt;/inf&gt;Cu&lt;inf&gt;3&lt;/inf&gt;O&lt;inf&gt;7 - Œ¥&lt;/inf&gt; films and first experimental results on a high-T&lt;inf&gt;C&lt;/inf&gt; patch antenna</t>
  </si>
  <si>
    <t>10.1016/0022-5088(90)90578-8</t>
  </si>
  <si>
    <t>2-s2.0-44949265908</t>
  </si>
  <si>
    <t>['¬© 1990', 'stroma lamellae', 'separate domains', 'psiiœ ≤,', 'photosynthetic membrane', 'largest antennae', 'higher plants', 'different photosystems', 'alpha systems']</t>
  </si>
  <si>
    <t>Cytochrome {Peseta sign} | Membrane domain | Photosynthesis | Photosystem I | Photosystem II | Thylakoid structure</t>
  </si>
  <si>
    <t>A model of the photosynthetic membrane from higher plants is presented. The different photosystems, PSIŒ±, PSIŒ≤, PSIIŒ± and PSIIŒ≤, are located in separate domains. The photosystems with the largest antenna systems, the alpha systems, are in the grana and the other in the stroma lamellae. In each grana disc PSIŒ± is located in a flat annulus surrounding a circular PSIIŒ± domain. In this the PSIIŒ± units with the largest antennae are found in the center. The model is consistent with results from recent membrane fractionation experiments. ¬© 1990.</t>
  </si>
  <si>
    <t>36-40</t>
  </si>
  <si>
    <t>7005280402;6603595300;7103121358</t>
  </si>
  <si>
    <t>Albertsson, Per √Öke;Andreasson, Eva;Svensson, Per</t>
  </si>
  <si>
    <t>Albertsson P.A.</t>
  </si>
  <si>
    <t>The domain organization of the plant thylakoid membrane</t>
  </si>
  <si>
    <t>001457939081045P</t>
  </si>
  <si>
    <t>10.1016/0014-5793(90)81045-P</t>
  </si>
  <si>
    <t>2-s2.0-0025029061</t>
  </si>
  <si>
    <t>['specific regions', 'since none', 'sensillum styloconicum', 'resistant ache', 'presumably intracellular', 'positive somata', 'positive neurons', 'peg organ', 'mechanosensory organs', 'mechanosensory functions', 'known mechanoreceptors', 'intersegmental membranes', 'high levels', 'high level', 'first annulus', 'cytochemical technique', 'antennal flagellum', 'adult moth', 'ache activity', '4 ache', '30 ache']</t>
  </si>
  <si>
    <t>Acetylcholinesterase | Antennal receptor neurons | Insect antenna | Manduca sexta (Insecta)</t>
  </si>
  <si>
    <t>We have used a cytochemical technique to investigate the distribution of acetylcholinesterase (AChE) activity in the antenna of the sphinx moth Manduca sexta. High levels of echothiophate-insensitive (presumably intracellular) AChE activity were found in six different types of antennal receptors localized in specific regions of the three antennal segments of the adult moth. Mechanosensory organs in the scape and pedicel, the B√∂hm bristles and Johnston's organ, are innervated by AChE-positive neurons. In each annulus of the antennal flagellum, AChE-positive neurons are associated with six sensilla chaetica and a peg organ, probably a sensillum styloconicum. At least 112 receptor neurons (8-10 per annulus) innervating the intersegmental membranes between the 14 distalmost annuli also exhibit high levels of echothiophate-resistant AChE. In addition, each annulus has more than 30 AChE-positive somata in the epidermis of the scale-covered (back) side of the flagellum, and 4 AChE-positive somata reside within the first annulus of the flagellum. Since none of the olfactory receptor neurons show a high level of echothiophateresistant AChE activity, and all known mechanoreceptors are AChE-positive, apparently "intracellular" AChE activity in the antenna correlates well with mechanosensory functions and is consistent with the idea that these cells employ acetylcholine as a neurotransmitter. ¬© 1990 Springer-Verlag.</t>
  </si>
  <si>
    <t>245-252</t>
  </si>
  <si>
    <t>60023324;60025525;60023324</t>
  </si>
  <si>
    <t>7003691160;7003707070;7102653635</t>
  </si>
  <si>
    <t>Stengl, Monika;Homberg, Uwe;Hildebrand, John G.</t>
  </si>
  <si>
    <t>Konstanz;Tucson</t>
  </si>
  <si>
    <t>Universit√§t Konstanz;Arizona Research Laboratories</t>
  </si>
  <si>
    <t>60025525;60023324</t>
  </si>
  <si>
    <t>Stengl M.</t>
  </si>
  <si>
    <t>Acetylcholinesterase activity in antennal receptor neurons of the sphinx moth Manduca sexta</t>
  </si>
  <si>
    <t>10.1007/BF00309879</t>
  </si>
  <si>
    <t>2-s2.0-0025123479</t>
  </si>
  <si>
    <t>['transportable applications', 'special consideration', 'reflector system', 'radiation characteristic', 'new 2', 'circular aperture', 'ccir specifications']</t>
  </si>
  <si>
    <t>A new 2.4 m offset dual reflector antenna for transportable applications in the 20/30 GHz bands is described. Using a 2.4 m circular aperture the reflector system has been designed by means of sophisticated reflector antenna optimization software. As will be shown, the new antenna meets the CCIR specifications for the sidelobes with a large safety margin. Special consideration is given to the problem of reflector profile errors and its influence on the radiation characteristic of the antenna.</t>
  </si>
  <si>
    <t>629-638</t>
  </si>
  <si>
    <t>Ansorge, H.</t>
  </si>
  <si>
    <t>Ansorge H.</t>
  </si>
  <si>
    <t>2.4 m Offset dual reflector antenna for a transportable 20/30 GHz earth station</t>
  </si>
  <si>
    <t>2-s2.0-0025509440</t>
  </si>
  <si>
    <t>['transponder channel', 'satellite signals', 'proposed system', 'key component', 'german tv', 'antenna components', 'adaptive antenna', 'adaptation principles', '16 high']</t>
  </si>
  <si>
    <t>The German TV-SAT2 is utilized to transmit four television programmes and, in a further transponder channel, 16 high-quality stereo sound broadcast programmes. A system for the transmission of digitalized traffic messages together with the signals of the digital sound service via a subcarrier is proposed. Due to the long distances traveled by the satellite signals and the special propagation conditions, efficient mobile antennas are required. Electronically controlled adaptive arrays, which consist of a multitude of single antenna elements, are suitable to solve these problems. The adaptive antenna as a key component of the proposed system will be presented in this paper. To realize an economically feasible solution, it is necessary to find a compromise that simplifies the adaptation principles and the antenna components.</t>
  </si>
  <si>
    <t>639-644</t>
  </si>
  <si>
    <t>60020238;60020238</t>
  </si>
  <si>
    <t>6506152625;7003505548</t>
  </si>
  <si>
    <t>Koschnick, Peter;Schrewe, Hans Juergen</t>
  </si>
  <si>
    <t>Paderborn</t>
  </si>
  <si>
    <t>Universit√§t Paderborn</t>
  </si>
  <si>
    <t>Koschnick P.</t>
  </si>
  <si>
    <t>Adaptive antenna for mobile reception of digital transmitted traffic messages via DBS satellites</t>
  </si>
  <si>
    <t>2-s2.0-0025511032</t>
  </si>
  <si>
    <t>['technical facilities', 'special attention', 'space stations', 'space services', 'section concentrates', 'present developments', 'parabolic antenna', 'monitoring methods', 'important aspects', 'deutsche bundespost', 'comprehensive description', 'brief description', 'automated measurement', 'article outlines', '1980 receives', '130 mhz', '13 ghz']</t>
  </si>
  <si>
    <t>The Leeheim radio monitoring station for space services which was put into service by the Deutsche Bundespost in 1980 receives and monitors all emissions from space stations in the major frequency bands between 130 MHz and 13 GHz. This article outlines the task of the radio monitoring station for space services. A special section deals with the technical facilities and features of the installed receiving system. Rather than giving a comprehensive description, the section concentrates on some of the more important aspects. Special attention is paid to the frequency band change concept of the 12 m parabolic antenna and the polarization tracking technique. In conclusion, a brief description is given of the present developments in automated measurement and monitoring methods.</t>
  </si>
  <si>
    <t>577-585</t>
  </si>
  <si>
    <t>Krietenstein, Klaus</t>
  </si>
  <si>
    <t>Centralizing Office of the Radio</t>
  </si>
  <si>
    <t>Krietenstein K.</t>
  </si>
  <si>
    <t>Leeheim radio monitoring station for space services. Tasks and controlling activities, technical equipment</t>
  </si>
  <si>
    <t>2-s2.0-0025511554</t>
  </si>
  <si>
    <t>['successfully designed', 'saw technology', 'rf power', 'resource allocation', 'quality demodulator', 'present edm', 'present application', 'powerful approach', 'multibeam antennas', 'link signals', 'linear mixer', 'large number', 'incoming signal', 'including demodulation', 'greatly enhance', 'frequency demultiplexing', 'first multiplied', 'digital part', 'digital demodulation', 'computational burden', 'bandwidth efficiency', 'advanced payloads', '6 kb']</t>
  </si>
  <si>
    <t>On-board satellite processing, including demodulation and regeneration, can greatly enhance the flexibility of resource allocation and RF power and bandwidth efficiency of advanced payloads, particularly when multibeam antennas are employed. SAW technology is the most powerful approach when demodulation of a large number of low data rate up-link signals is required. An electrical demonstration model (EDM) of a 300-channel multicarrier demodulator (MCD) employing a SAW Chirp Fourier Transformer (CFT) for frequency demultiplexing, followed by digital demodulation has been successfully designed and manufactured. The incoming signal is first multiplied in a bi-linear mixer by three parallel digitally generated chirp signals and then convolved in a SAW chirp line manufactured on quartz. The digital part of the demodulator will work as any other high-quality demodulator, but the algorithms have been selected in order to reduce the computational burden, and to ease ASIC implementation. The present application is envisaged for a land-mobile satellite system transmitting coded voice and data at 9.6 kb/s. The design and performance of the present EDM will be described.</t>
  </si>
  <si>
    <t>521-529</t>
  </si>
  <si>
    <t>100335648;100335648;100335648;100335648;100335648</t>
  </si>
  <si>
    <t>6506352571;6701795099;6604078964;57198313453;6508227295</t>
  </si>
  <si>
    <t>Ringset, V.;Bakken, P. M.;Ronnekleiv, A.;Olsen, E.;Bjornstrom, G.</t>
  </si>
  <si>
    <t>ELAB-RUNIT</t>
  </si>
  <si>
    <t>Ringset V.</t>
  </si>
  <si>
    <t>SAW technology for multicarrier demodulation in advanced payloads</t>
  </si>
  <si>
    <t>2-s2.0-0025511555</t>
  </si>
  <si>
    <t>['reflectors directly', 'prescribed criteria', 'polarization attenuation', 'physical optics', 'method involves', 'design method', 'antenna efficiency', '70 ¬∞)']</t>
  </si>
  <si>
    <t>An efficient direct numerical synthesis method for dual offset reflector antennas is described which is based on the physical optics (PO) procedure. The method involves an evolution strategy optimization algorithm in order to shape both reflectors directly, so as to generate the desired far field with prescribed criteria. The efficiency of the design method is demonstrated by the example of a compact Gregorian dual offset earth station antenna with high offset angle (70¬∞) and small subreflector size (13 Œª); 75% antenna efficiency, 38 dB cross-polarization attenuation, and a very low sidelobe behaviour of about 23-25 logŒ∏ dBi are achieved.</t>
  </si>
  <si>
    <t>621-628</t>
  </si>
  <si>
    <t>60008293;60008293</t>
  </si>
  <si>
    <t>6507442002;7006748393</t>
  </si>
  <si>
    <t>Schlobohm, B.;Arndt, F.</t>
  </si>
  <si>
    <t>Bremen</t>
  </si>
  <si>
    <t>Universit√§t Bremen</t>
  </si>
  <si>
    <t>Schlobohm B.</t>
  </si>
  <si>
    <t>Small earth station antenna synthesized by a direct PO method</t>
  </si>
  <si>
    <t>2-s2.0-0025512898</t>
  </si>
  <si>
    <t>['relevant results', 'receive functions', 'performance data', 'paper describes', 'one em', 'maximum number', 'main areas', 'hardware activities', 'engineering model', 'complex multi', 'combined transmit', 'band technology']</t>
  </si>
  <si>
    <t>The paper describes the advance of C-band technology for complex multi-shaped beam spacecraft antennas allowing operation of the maximum number of channels. Relevant results (design and optimization, hardware activities, performance data) of two representative antenna subsystem (S/S) developments are presented: Engineering Model (EM) of a C-band multibeam antenna S/S for covering the main areas of Africa, qualification of C-band technology and development of variable Beam Forming Network (BFN) components. One EM and two Flight Models (FM) of a dual polarized contoured beam antenna S/S with combined transmit and receive functions for the Chinese communication satellite DFH-3.</t>
  </si>
  <si>
    <t>549-558</t>
  </si>
  <si>
    <t>100360048;100360048;100360048;100360048</t>
  </si>
  <si>
    <t>8690149700;6507798311;6603098065;7006687355</t>
  </si>
  <si>
    <t>Wolf, H.;Dudok, E.;Nathrath, N.;Sommer, E.</t>
  </si>
  <si>
    <t>Ottobrunn</t>
  </si>
  <si>
    <t>MBB</t>
  </si>
  <si>
    <t>Wolf H.</t>
  </si>
  <si>
    <t>C-band antennas for regional communication systems</t>
  </si>
  <si>
    <t>2-s2.0-0025512899</t>
  </si>
  <si>
    <t>['unbalanced dipoles', 'rigorous terms', 'passive reflector', 'optimization process', '15 db']</t>
  </si>
  <si>
    <t>An optimally matched broadband phased antenna array, consisting of unbalanced dipoles with a passive reflector that provides a back radiation level of -15 dB, is synthesized. The solvability of the optimization process, based on the solution of the Pocklington integral equation, is formulated in rigorous terms.</t>
  </si>
  <si>
    <t>122-124</t>
  </si>
  <si>
    <t>6602096691;6701752084;6603876725;7102068159</t>
  </si>
  <si>
    <t>Strizhkov, V. A.;Pushkareva, T. A.;Malyutina, S. V.;Roman, S. V.</t>
  </si>
  <si>
    <t>Optimization of the matching of an antenna array consisting of unbalanced dipoles with a passive reflector</t>
  </si>
  <si>
    <t>2-s2.0-0025514654</t>
  </si>
  <si>
    <t>['phase shifters', 'improved characteristics', 'combined use']</t>
  </si>
  <si>
    <t>Analog phase shifter designs based on the combined use of phase shifters with both continuous and discrete phase shifts are proposed, and experimental results confirming the possibility of fabricating miniature analog phase shifters with improved characteristics are given.</t>
  </si>
  <si>
    <t>100-101</t>
  </si>
  <si>
    <t>Tagilayev, A. R.</t>
  </si>
  <si>
    <t>Tagilayev A.</t>
  </si>
  <si>
    <t>Analog microwave phase shifters</t>
  </si>
  <si>
    <t>2-s2.0-0025514655</t>
  </si>
  <si>
    <t>['virtually eliminated', 'regularized estimate', 'noise ratios', 'noise ratio', 'low interference', 'correlation matrix']</t>
  </si>
  <si>
    <t>It is shown that the degradation in the signal-to-noise ratio at the output of an adaptive phased antenna array which occurs at low interference-to-noise ratios can be virtually eliminated by using a regularized estimate of the correlation matrix of the interference.</t>
  </si>
  <si>
    <t>113-115</t>
  </si>
  <si>
    <t>7005507328;6602682825;6503850635</t>
  </si>
  <si>
    <t>Arutyunov, A. S.;Byalyi, L. I.;Vostropyatov, A. Yu</t>
  </si>
  <si>
    <t>Arutyunov A.</t>
  </si>
  <si>
    <t>Adaptive spatial filtering with weak interference</t>
  </si>
  <si>
    <t>2-s2.0-0025514663</t>
  </si>
  <si>
    <t>['slotted line', 'microstrip line', 'high slope', 'frequency response', 'device provides']</t>
  </si>
  <si>
    <t>A microwave phase corrector based on a combination of a microstrip line and a slotted line is investigated. This device provides a high slope of the phase-frequency response.</t>
  </si>
  <si>
    <t>Petrenko, V. P.</t>
  </si>
  <si>
    <t>Petrenko V.</t>
  </si>
  <si>
    <t>Microstrip phase corrector based on a combination of transmission lines</t>
  </si>
  <si>
    <t>2-s2.0-0025514757</t>
  </si>
  <si>
    <t>['whose radiators', 'overlapping subarrays', 'directional couplers', 'coupler parameters', 'antenna array']</t>
  </si>
  <si>
    <t>An antenna array, whose radiators are fed through cascade-connected power dividers and directional couplers that ensure the formation of overlapping subarrays, is considered. The values of the coupler parameters for which the sectoral partial radiation patterns are realized are obtained.</t>
  </si>
  <si>
    <t>116-119</t>
  </si>
  <si>
    <t>Skobelev, S. P.</t>
  </si>
  <si>
    <t>Skobelev S.</t>
  </si>
  <si>
    <t>Analysis and synthesis of an antenna array with sectoral partial radiation patterns</t>
  </si>
  <si>
    <t>2-s2.0-0025514879</t>
  </si>
  <si>
    <t>['two methods', 'resolving power', 'nonlinear methods', 'data signals', 'comparative analysis', 'angular resolution']</t>
  </si>
  <si>
    <t>A comparative analysis of two methods of external signal mutual decorrelation is carried out. Such methods are used to improve the effectiveness of adaptive spatial processing procedures and the resolving power of nonlinear methods of angular resolution when the data signals are correlated.</t>
  </si>
  <si>
    <t>57225400667;6602499789;57224373508</t>
  </si>
  <si>
    <t>Gershman, A. B.;Yermolayev, V. T.;Serebryakov, G. V.</t>
  </si>
  <si>
    <t>Analysis of spatial smoothing methods in problems of the angular correlation of signals</t>
  </si>
  <si>
    <t>2-s2.0-0025514899</t>
  </si>
  <si>
    <t>['uniform ground', 'radius equal', 'plane ground', 'overhead conductor', 'cylindrical conductor']</t>
  </si>
  <si>
    <t>A model 'overhead conductor - uniform ground' line is proposed, in which a plane ground is replaced by a cylindrical conductor with a radius equal to the depth of penetration of the cylindrical electromagnetic field into the cylindrical conductor.</t>
  </si>
  <si>
    <t>Kalyuzhnyy, V. F.</t>
  </si>
  <si>
    <t>Kalyuzhnyy V.</t>
  </si>
  <si>
    <t>Determination of the components of the electromagnetic field on the surface of a homogeneous ground when excited by an overhead conductor</t>
  </si>
  <si>
    <t>2-s2.0-0025514916</t>
  </si>
  <si>
    <t>['spatial filtering', 'phased array', 'interference due']</t>
  </si>
  <si>
    <t>It is shown that spatial filtering of interference in an adaptive phased antenna array, with virtually complete interference suppression, is accompanied by a degradation in the signal-(interference + noise)-ratio compared with the case of no interference due to a reduction in the directivity of the phased array.</t>
  </si>
  <si>
    <t>110-113</t>
  </si>
  <si>
    <t>Ratynskiy, M. V.</t>
  </si>
  <si>
    <t>Ratynskiy M.</t>
  </si>
  <si>
    <t>Effectiveness of spatial filtering as a function of the number and position of interference sources</t>
  </si>
  <si>
    <t>2-s2.0-0025514917</t>
  </si>
  <si>
    <t>['square error', 'output signals', 'adaptive array', 'adaptive antenna', 'adaption channels']</t>
  </si>
  <si>
    <t>A criterion for the minimum root mean-square error between the reference and output signals of an adaptive array is considered, which takes into account the correlation of the noise in the adaption channels. An expression is obtained for the optimal weighting factors of an adaptive antenna that satisfies this criterion.</t>
  </si>
  <si>
    <t>124-126</t>
  </si>
  <si>
    <t>6701760438;6506934495</t>
  </si>
  <si>
    <t>Stashkevich, A. I.;Shchesnyak, S. S.</t>
  </si>
  <si>
    <t>Stashkevich A.</t>
  </si>
  <si>
    <t>Adaptive array quality criterion taking external noise correlation into account</t>
  </si>
  <si>
    <t>2-s2.0-0025514934</t>
  </si>
  <si>
    <t>['yield enhancement', 'wafer partitioning', 'reconfigurable architectures', 'performance simulation', 'oriented design', 'oodra workbench', 'fault tolerance']</t>
  </si>
  <si>
    <t>application-specific architecture simulation | object-oriented design | reconfiguration evaluation</t>
  </si>
  <si>
    <t>Application of the Object-Oriented Design of Reliable/Reconfigurable Architectures (OODRA) workbench to the performance simulation of a reconfigurable adaptive digital beamforming architecture is described in this paper. The performance effects due to chip/wafer partitioning and reconfiguration for fault tolerance and yield enhancement are presented. The experiments described illustrate use of the OODRA workbench in architectural-level performance evaluation of algorithm-specific reconfigurable architectures, particularly for signal processing applications. ¬© 1990 Kluwer Academic Publishers.</t>
  </si>
  <si>
    <t>159-172</t>
  </si>
  <si>
    <t>1573109X</t>
  </si>
  <si>
    <t>Journal of VLSI Signal Processing</t>
  </si>
  <si>
    <t>6507771338;56232015900;7101614961</t>
  </si>
  <si>
    <t>Wernimont, Thomas L.;Hwang, David K.;Fuchs, W. Kent</t>
  </si>
  <si>
    <t>Wernimont T.</t>
  </si>
  <si>
    <t>CSP-based object-oriented description and simulation of a reconfigurable adaptive beamforming architecture using the OODRA workbench</t>
  </si>
  <si>
    <t>10.1007/BF00935213</t>
  </si>
  <si>
    <t>2-s2.0-0025516940</t>
  </si>
  <si>
    <t>['propagation characteristics']</t>
  </si>
  <si>
    <t>In this paper, the propagation characteristics of NRD waveguide loaded with periodic metallic strips are analyzed in terms of the method of lines. Numerical results show that such structures are most suitable for millimeter wave bandstop filter and NRD waveguide beam scanning leaky wave antenna application. ¬© 1990 Plenum Publishing Corporation.</t>
  </si>
  <si>
    <t>1323-1332</t>
  </si>
  <si>
    <t>56937616600;7409424720</t>
  </si>
  <si>
    <t>Hong, Wei;Zhang, Wen Xun</t>
  </si>
  <si>
    <t>Hong W.</t>
  </si>
  <si>
    <t>Analysis of the characteristics of NRD waveguides loaded with periodic metallic strips by using the method of lines for millimeter wave filter and antenna application</t>
  </si>
  <si>
    <t>10.1007/BF01015941</t>
  </si>
  <si>
    <t>2-s2.0-0025517289</t>
  </si>
  <si>
    <t>['system noise', 'powers radiated', 'optical schottky', 'numerical values', 'noise performance', 'measurements indicate', 'improved quasi', 'horn structure', 'cube mixer', 'antenna characteristics', '800 ghz']</t>
  </si>
  <si>
    <t>Antenna characteristics and noise performance of an improved quasi-optical Schottky-barrier diode mixer have been investigated at 800 GHz. We present both calculated and measured antenna patterns. Numerical values are given for the powers radiated in two orthogonal polarizations and for the main beam efficiencies. Measurements indicate that system noise can be reduced by about 25% by adding a conical-horn structure to a corner-cube mixer. ¬© 1990 Plenum Publishing Corporation.</t>
  </si>
  <si>
    <t>1333-1343</t>
  </si>
  <si>
    <t>60001754;60022195</t>
  </si>
  <si>
    <t>6602703376;7006743190</t>
  </si>
  <si>
    <t>Nett, H.;Clifton, B. J.</t>
  </si>
  <si>
    <t>Cambridge;Bonn</t>
  </si>
  <si>
    <t>Massachusetts Institute of Technology;Max Planck Institute for Radio Astronomy</t>
  </si>
  <si>
    <t>60022195;60001754</t>
  </si>
  <si>
    <t>Nett H.</t>
  </si>
  <si>
    <t>Characteristics of a Schottky-barrier diode mixer with conical horn antenna for submillimeter wavelengths</t>
  </si>
  <si>
    <t>10.1007/BF01015942</t>
  </si>
  <si>
    <t>2-s2.0-0025521274</t>
  </si>
  <si>
    <t>1094-1096</t>
  </si>
  <si>
    <t>6506963456;57199340298</t>
  </si>
  <si>
    <t>Lapunov, S. Yu;Polonik, A. V.</t>
  </si>
  <si>
    <t>Lapunov S.Y.</t>
  </si>
  <si>
    <t>Nontraditional antennas in complex dielectric-constant measurement</t>
  </si>
  <si>
    <t>10.1007/BF00976392</t>
  </si>
  <si>
    <t>2-s2.0-0026136380</t>
  </si>
  <si>
    <t>1171-1176</t>
  </si>
  <si>
    <t>6602223914;6507135465;6506264809;6508095353</t>
  </si>
  <si>
    <t>Letunov, L. A.;Mosolov, G. Yu;Skorov, V. G.;Evtyukhina, O. E.</t>
  </si>
  <si>
    <t>Modulation method of determining channel characteristics of a phase antenna array (PAA) with ferrite phaseshifters</t>
  </si>
  <si>
    <t>10.1007/BF00976415</t>
  </si>
  <si>
    <t>2-s2.0-0026141291</t>
  </si>
  <si>
    <t>['thermal expansion', 'sensitivity thermal', 'optical fabry', 'experimental study', 'expansion studies', 'current applications', 'condensed matter', 'cavity finesse', '300 k']</t>
  </si>
  <si>
    <t>Results of an experimental study of an optical Fabry-Perot resonant cavity operated between temperatures of 77 and 300 K are presented. In particular, measurements of the cavity finesse and thermal expansion are discussed in terms of new and current applications for such a device. These include energy sensors for Weber-bar type gravitational wave antennas, high-stability laser oscillators, and high-sensitivity thermal-expansion studies of condensed matter. ¬© 1990 Plenum Publishing Corporation.</t>
  </si>
  <si>
    <t>189-198</t>
  </si>
  <si>
    <t>Journal of Low Temperature Physics</t>
  </si>
  <si>
    <t>60020304;60020304;60020304</t>
  </si>
  <si>
    <t>16437065300;15071606700;7201685988</t>
  </si>
  <si>
    <t>Richard, J. P.;Hamilton, J. J.;Pang, Y.</t>
  </si>
  <si>
    <t>College Park</t>
  </si>
  <si>
    <t>University of Maryland, College Park</t>
  </si>
  <si>
    <t>Richard J.</t>
  </si>
  <si>
    <t>Fabry-Perot optical resonator at low temperatures</t>
  </si>
  <si>
    <t>10.1007/BF00682681</t>
  </si>
  <si>
    <t>2-s2.0-0039867528</t>
  </si>
  <si>
    <t>['without knowledge', 'without computation', 'wide variety', 'two identical', 'subarray elements', 'spectral measure', 'sensor array', 'principal advantage', 'phase perturbations', 'performance degradation', 'obtained directly', 'narrowband direction', 'music algorithm', 'independent gain', 'including non', 'identical angle', 'hence storage', 'array manifold', 'array errors']</t>
  </si>
  <si>
    <t>antenna errors | direction-of-arrival estimation | perturbation analyses | Sensor array processing</t>
  </si>
  <si>
    <t>ESPRIT (estimation of signal parameters via rotational invariance techniques) is a recently introduced algorithm for narrowband direction-of-arrival (DOA) estimation. Its principal advantage is that the DOA parameter estimates are obtained directly, without knowledge (and hence storage) of the array manifold and without computation or search of some spectral measure. This advantage is achieved by constraining the sensor array to be composed of two identical, translationally invariant subarrays. In this paper, we analyse the sensitivity of ESPRIT to the assumption that the subarrays are identical. The analysis is applicable to a wide variety of array errors, including non-identical angle-dependent and angle-independent gain and phase perturbations, errors in the locations of the subarray elements, and mutual coupling effects. A representative simulation example will be presented to validate the analysis and compare the performance degradation of ESPRIT with that of the MUSIC algorithm. ¬© 1985 Indian Academy of Sciences.</t>
  </si>
  <si>
    <t>197-212</t>
  </si>
  <si>
    <t>Sadhana</t>
  </si>
  <si>
    <t>60006832;60012708</t>
  </si>
  <si>
    <t>55665154800;7102843718</t>
  </si>
  <si>
    <t>Swindlehurst, A.;Kailath, T.</t>
  </si>
  <si>
    <t>Palo Alto;Provo</t>
  </si>
  <si>
    <t>Stanford University;Brigham Young University</t>
  </si>
  <si>
    <t>60012708;60006832</t>
  </si>
  <si>
    <t>Swindlehurst A.</t>
  </si>
  <si>
    <t>On the sensitivity of the ESPRIT algorithm to non-identical subarrays</t>
  </si>
  <si>
    <t>10.1007/BF02812037</t>
  </si>
  <si>
    <t>2-s2.0-51649157551</t>
  </si>
  <si>
    <t>['¬© 1990', 'whole cells', 'trans ),', 'times higher', 'thylakoid membrane', 'synthesize 16', 'state ii', 'stabilizing neo', 'results indicated', 'restoration experiments', 'protein complexes', 'photosystem ii', 'pg );', 'oligomeric form', 'new chl', 'mf 2', 'main light', 'impaired regulation', 'hexadecenoic acid', 'harvesting chlorophyll', 'fluorescent mutant', 'excitation energy', 'essential role', 'cp ii', 'containing phosphatidylglycerol', 'containing phosphatidylcholine', 'containing pg', 'chloroplast phosphatidylglycerol', 'chlamydomonas reinhardtii', 'b antenna', 'appreciable amount', '712 nm', '682 nm', '39 h']</t>
  </si>
  <si>
    <t>(C. reinhardtii) | Excitation energy transfer | Light-harvesting chlorophyll-protein complex | Lipid | Photosynthesis | Œî -trans-Hexadecenoic acid 3</t>
  </si>
  <si>
    <t>To define the role of the Œî3-trans-hexadecenoic acid (16:1-trans) in the thylakoid membrane, restoration experiments were carried out using a Photosystem II (PS II)-lacking but low-fluorescent mutant, mf 2, of Chlamydomonas reinhardtii. This mutant is unable to synthesize 16:1-trans, lacks an oligomeric form of the main light-harvesting chlorophyll (Chl) a + b antenna, CP II, and shows an impaired regulation of the excitation energy distribution. Whole cells were incubated for 39 h in the presence of liposomes of 16:1-trans-containing phosphatidylglycerol (PG-16:1-trans), in the light at 25¬∞C. Then lipids and Chl-protein complexes were analyzed and low-temperature fluorescence emission spectra, both in state I and in state II (oxidized and reduced plastoquinone pool), were measured. The results indicated: (1) a relatively important content of 16:1-trans specifically incorporated in the chloroplast phosphatidylglycerol (PG); (2) an appreciable amount of CP II oligomeric form; (3) the occurrence of a clear state II-state I transition, as shown by a ratio of the CP II fluorescence at 682 nm to the photosystem I fluorescence at 712 nm, which was 3.8-times higher in state I than in state II. These restorations were not observed when cells of mf 2 were incubated in the presence of palmitate-containing PG, of oleate-containing phosphatidylcholine or of PG-16:1-trans + cycloheximide. It is concluded that: (1) the oligomeric form of CP II is essential for a good excitation energy transfer towards the PS II region and, consequently, to a good state II-state I transition in the distribution of excitation energy; (2) PG-16:1-trans probably plays an essential role in stabilizing neo-formed CP II oligomers during the assembly of new Chl-protein complexes in the chloroplast. ¬© 1990.</t>
  </si>
  <si>
    <t>153-162</t>
  </si>
  <si>
    <t>60008134;60008134;60008134;60008134;60008134</t>
  </si>
  <si>
    <t>7201815134;16195868500;24363488000;16193893500;6603798324</t>
  </si>
  <si>
    <t>Garnier, Jacques;Wu, Benrui;Jeannine, Maroc;Guyon, Denise;Tr√©moli√®res, Antoine</t>
  </si>
  <si>
    <t>Garnier J.</t>
  </si>
  <si>
    <t>Restoration of both an oligomeric form of the light-harvesting antenna CP II and a fluorescence state II-state I transition by Œî&lt;sup&gt;3&lt;/sup&gt;-trans-hexadecenoic acid-containing phosphatidylglycerol, in cells of a mutant of Chlamydomonas reinhardtii</t>
  </si>
  <si>
    <t>10.1016/0005-2728(90)90046-7</t>
  </si>
  <si>
    <t>2-s2.0-0025146803</t>
  </si>
  <si>
    <t>['œª2 term', 'wide distribution', 'timing data', 'three lines', 'three effects', 'small antenna', 'remaining residuals', 'radio frequencies', 'pulsar timing', 'proper motion', 'propagation effects', 'noise ratio', 'length scales', 'law spectrum', 'larger antenna', 'kolmogorov power', 'ionized component', 'interstellar medium', 'highly correlated', 'frequent sampling', 'frequency observations', 'following conclusions', 'final residuals', 'equal time', 'density fluctuations', 'column density', 'coarse sampling', 'bandwidth balances', 'astrometric terms', 'arrival variations', 'arrival times', 'analyzing multi', 'allowing removal', '21 data']</t>
  </si>
  <si>
    <t>Interstellar: matter | Pulsars | Turbulence</t>
  </si>
  <si>
    <t>Interstellar propagation effects induced by electron-density turbulence limit the precision of pulsar timing. We study three distinct arrival time perturbations that are associated with propagation through the ionized component of the interstellar medium. One is due to variations in the electron-column density while angle-of-arrival variations cause the other two. The three effects have different frequency scalings as well as different time dependences for electron-density fluctuations having a wide distribution of length scales. We assess the feasibility of removing propagation effects by analyzing multi-frequency timing measurements. Maximization of the signal-to-noise ratio from weak pulsars forces observations toward low frequencies where the amplitudes of interstellar propagation effects increase. We examine in detail the arrival times from simulated PSR 1937 + 21 data and draw the following conclusions: (1) for a Kolmogorov power-law spectrum, the arrival time errors are dominated by dispersion measure variations at radio frequencies above several hundred Megahertz; (2) dual-frequency observations can be used to remove dispersion measure variations to obtain submicrosecond residuals; (3) the remaining residuals are highly correlated with the angle-of-arrival variations; (4) fitting for a non-Œª2 term does improve the final residuals, although it does not appear to improve the measurement of the astrometric terms of proper motion and parallax; and (5) frequent sampling with a small antenna is better for allowing removal of propagation effects and measuring proper motion and parallax in timing data than coarse sampling with a larger antenna (when the number of observations with equal time and bandwidth balances the difference in antenna gain). Simulated parallax measurements are fit within 25% of the "true" value through a turbulent phase screen along only three lines of sight: toward pulsars 1620-26, 1855 + 09, and 1957 + 20.</t>
  </si>
  <si>
    <t>123-135</t>
  </si>
  <si>
    <t>60025038;60019493-60007776</t>
  </si>
  <si>
    <t>7402462289;7102087612</t>
  </si>
  <si>
    <t>Foster, R. S.;Cordes, J. M.</t>
  </si>
  <si>
    <t>Berkeley;Ithaca;Ithaca</t>
  </si>
  <si>
    <t>University of California, Berkeley;National Astronomy and Ionosphere Center, New York;Cornell University</t>
  </si>
  <si>
    <t>60025038;60019493;60007776</t>
  </si>
  <si>
    <t>Foster R.S.</t>
  </si>
  <si>
    <t>Interstellar propagation effects and the precision of pulsar timing</t>
  </si>
  <si>
    <t>10.1086/169393</t>
  </si>
  <si>
    <t>2-s2.0-3142523700</t>
  </si>
  <si>
    <t>P01GM039813</t>
  </si>
  <si>
    <t>['¬© 1990', 'structurally similar', 'phenotypic effects', 'nearly identical', 'mouse genome', 'mouse antp', 'like genes', 'homeobox genes', 'head structures', 'ectopic expression', 'drosophila embryo', 'drosophila antennapedia', 'downstream genes', '2 expression']</t>
  </si>
  <si>
    <t>The mouse genome has a number of homeobox genes that are structurally similar to the Drosophila Antennapedia (Antp) gene. We find that one of the mouse Antp-like genes, Hox-2.2, when expressed in developing Drosophila cells under control of a heat shock promoter, can induce homeotic transformations that are nearly identical to those caused by ectopic expression of Antp. In larvae, the Hox-2.2-induced transformations include thoracic denticle belts in place of head structures; in adults, the Hox-2.2 transformations include thoracic legs in place of antennae. The phenotypic effects of Hox-2.2 do not depend on the endogenous Antp gene, whose spatial limits of expression are unaffected by Hox-2.2 expression. Thus, in the Drosophila embryo, Hox-2.2 can substitute for some of the segmental identity functions of Antp, presumably by regulating the same set of downstream genes. ¬© 1990.</t>
  </si>
  <si>
    <t>961-967</t>
  </si>
  <si>
    <t>60005455;60005455;60015159</t>
  </si>
  <si>
    <t>7003989650;35495744800;56827619900</t>
  </si>
  <si>
    <t>Malicki, Jarema;Schughart, Klaus;McGinnis, William</t>
  </si>
  <si>
    <t>Freiburg im Breisgau;New Haven</t>
  </si>
  <si>
    <t>Max Planck Institute of Immunobiology and Epigenetics;Yale University</t>
  </si>
  <si>
    <t>60015159;60005455</t>
  </si>
  <si>
    <t>Malicki J.</t>
  </si>
  <si>
    <t>Mouse Hox-2.2 specifies thoracic segmental identity in Drosophila embryos and larvae</t>
  </si>
  <si>
    <t>10.1016/0092-8674(90)90499-5</t>
  </si>
  <si>
    <t>2-s2.0-0025695673</t>
  </si>
  <si>
    <t>['optical beam']</t>
  </si>
  <si>
    <t>When illuminated by ultrashort optical pulses, large aperture planar photoconductors are shown to radiate a directional electromagnetic pulse which can be steered by varying the angle of incidence of the optical beam.</t>
  </si>
  <si>
    <t>886-888</t>
  </si>
  <si>
    <t>Applied Physics Letters</t>
  </si>
  <si>
    <t>60030162;60030162;60030162;60030162;60021378</t>
  </si>
  <si>
    <t>24325456000;6701531352;7410280543;7003905455;57214269177</t>
  </si>
  <si>
    <t>Hu, B. B.;Darrow, J. T.;Zhang, X. C.;Auston, D. H.;Smith, P. R.</t>
  </si>
  <si>
    <t>New York;Murray</t>
  </si>
  <si>
    <t>Columbia University;Nokia Bell Labs</t>
  </si>
  <si>
    <t>60030162;60021378</t>
  </si>
  <si>
    <t>Hu B.</t>
  </si>
  <si>
    <t>Optically steerable photoconducting antennas</t>
  </si>
  <si>
    <t>10.1063/1.102618</t>
  </si>
  <si>
    <t>2-s2.0-0000616046</t>
  </si>
  <si>
    <t>['tiny pieces', 'small area', 'selected parts', 'quantitative analysis', 'mass spectrometry', 'insect cuticle', 'individual insects', 'glass capillary', 'give qualitative', 'gas chromatograph', 'cuticular hydrocarbons', 'analyzed directly', 'abdominal sclerite', '4 min']</t>
  </si>
  <si>
    <t>chemotaxonomy | Cuticular hydrocarbons | gas chromatography | insect cuticle</t>
  </si>
  <si>
    <t>Cuticular hydrocarbons from tiny pieces of insect cuticle can be analyzed directly by gas chromatography without solvent. The cuticle, sealed in a glass capillary, is introduced into the heated injector area of a gas Chromatograph, and the glass capillary crushed after heating for 4 min. Linked gas chromatography-mass spectrometry can be performed on selected parts of individual insects, such as an antenna, leg, or abdominal sclerite, to give qualitative and quantitative analysis of the substances on a small area of the body. ¬© 1990 Plenum Publishing Corporation.</t>
  </si>
  <si>
    <t>3263-3276</t>
  </si>
  <si>
    <t>60030210;60030210</t>
  </si>
  <si>
    <t>7003282649;7201411749</t>
  </si>
  <si>
    <t>Bagn√®res, Anne Genevi√®ve;Morgan, E. David</t>
  </si>
  <si>
    <t>Keele</t>
  </si>
  <si>
    <t>Keele University</t>
  </si>
  <si>
    <t>Bagn√®res A.</t>
  </si>
  <si>
    <t>A simple method for analysis of insect cuticular hydrocarbons</t>
  </si>
  <si>
    <t>10.1007/BF00982097</t>
  </si>
  <si>
    <t>2-s2.0-0001074706</t>
  </si>
  <si>
    <t>['studied using', 'radiation resistance', 'radiation emitted', 'radiated fields', 'homogeneous sphere', 'far field', 'exact formulation', 'dyadic green', 'dipole located', 'chiral sphere', 'chiral media', 'also demonstrated']</t>
  </si>
  <si>
    <t>The radiation emitted by electromagnetic sources placed both inside and outside of a homogeneous sphere of chiral media is studied using an exact formulation. For both cases, dyadic Green's functions are found in terms of spherical vector wave functions. The radiated fields and radiation resistance are examined for a dipole located at the center of the chiral sphere. For this case, it is shown that by choosing the sphere's size and material parameters properly, purely circular polarization can be achieved in the far field. It is also demonstrated that the radiation resistance of the dipole can be increased.</t>
  </si>
  <si>
    <t>639-647</t>
  </si>
  <si>
    <t>Journal of Applied Physics</t>
  </si>
  <si>
    <t>60102562;60102562</t>
  </si>
  <si>
    <t>7005850584;56962597600</t>
  </si>
  <si>
    <t>Engheta, Nader;Kowarz, Marek W.</t>
  </si>
  <si>
    <t>School of Engineering and Applied Science</t>
  </si>
  <si>
    <t>Engheta N.</t>
  </si>
  <si>
    <t>Antenna radiation in the presence of a chiral sphere</t>
  </si>
  <si>
    <t>10.1063/1.345766</t>
  </si>
  <si>
    <t>2-s2.0-0001263405</t>
  </si>
  <si>
    <t>['yet established', 'volatiles produced', 'sexual females', 'secondary rhinaria', 'primary host', 'phorodon humuli', 'one peak', 'olfactometer demonstrated', 'males respond', 'male antenna', 'major activity', 'hop garden', 'hop aphid', '4a r']</t>
  </si>
  <si>
    <t>aphid | Aphididae | attractant | electrophysiology | Homoptera | mass spectrometry | monoterpenoid | nepetalactol | Pheromone | Phorodon humuli | sex | single cell recording</t>
  </si>
  <si>
    <t>Behavioral studies using an olfactometer demonstrated that sexual females (oviparae) of the damson-hop aphid, Phorodon humuli, release a pheromone to which males respond. Volatiles produced by the oviparae were analyzed by coupled gas chromatography-single cell recording from the secondary rhinaria on the male antenna and showed the presence of one peak with major activity. Coupled gas chrornatography-mass spectrometry suggested a nepetalactol, which was shown to have the 4a R, 7S, 7a S stereochemistry by synthesis from the corresponding nepetalactone isolated from the labiate plant Nepeta mussinii. Although the stereochemistry at carbon-1 is not yet established, a synthetic sample comprising ca. 70% 1S and 30% 1R attracted highly significant numbers of males to water traps placed within and adjacent to a hop garden. Initial studies also indicated attraction of males in both the olfactometer and in the field by volatiles from the primary host. ¬© 1990 Plenum Publishing Corporation.</t>
  </si>
  <si>
    <t>3455-3465</t>
  </si>
  <si>
    <t>60009401;60002793;60002793;60027152;60002793;60002793;60002793</t>
  </si>
  <si>
    <t>7403368190;7201539105;16420094200;57210686392;7101754379;7003829798;7103167157</t>
  </si>
  <si>
    <t>Campbell, C. A.M.;Dawson, G. W.;Griffiths, D. C.;Pettersson, J.;Pickett, J. A.;Wadhams, L. J.;Woodcock, C. M.</t>
  </si>
  <si>
    <t>Sweden;United Kingdom;United Kingdom</t>
  </si>
  <si>
    <t>Uppsala;Swindon;Harpenden</t>
  </si>
  <si>
    <t>Sveriges lantbruksuniversitet;Biotechnology and Biological Sciences Research Council;Rothamsted Research</t>
  </si>
  <si>
    <t>60027152;60009401;60002793</t>
  </si>
  <si>
    <t>Campbell C.</t>
  </si>
  <si>
    <t>Sex attractant pheromone of damson-hop aphid Phorodon humuli (Homoptera, aphididae)</t>
  </si>
  <si>
    <t>10.1007/BF00982110</t>
  </si>
  <si>
    <t>2-s2.0-0001612207</t>
  </si>
  <si>
    <t>['upper chromosphere', 'time resolution', 'show one', 'several x', 'second harmonic', 'rs bursts', 'rs burst', 'ray spikes', 'ray peaks', 'ray observations', 'ray bursts', 'ray burst', 'radio pulse', 'radio observations', 'radio emission', 'previous attempts', 'present observations', 'one correlation', 'one case', 'lower corona', 'long delays', 'leading edge', 'l polarization', 'july 9', 'hard x', 'electron beam', 'detailed comparison', 'associated x', '6 ghz', '52 ut', '46 ut', '3 ms', '3 c', '25 kev']</t>
  </si>
  <si>
    <t>In previous attempts to show one-to-one correlation between type III bursts and X-ray spikes, there have been ambiguities as to which of several X-ray spikes are correlated with any given type III burst. Here, we present observations that show clear associations of X-ray bursts with RS type III bursts between 16:46 UT and 16:52 UT on July 9, 1985. The hard X-ray observations were made at energies above 25 keV with HXRBS on SMM and the radio observations were made at 1.63 GHz using the 13.7m Itapetinga antenna in R and L polarization with a time resolution of 3 ms. Detailed comparison between the hard X-ray and radio observations shows: (1) In at least 13 cases we can identify the associated hard X-ray and decimetric RS bursts. (2) On average, the X-ray peaks were delayed from the peak of the RS bursts at 1.6 GHz by ‚àº 400 ms although a delay as long as 1 s was observed in one case. One possible explanation of the long delays between the RS bursts and the associated X-ray bursts is that the RS burst is produced at the leading edge of the electron beam, whereas the X-ray burst peaks at the time of arrival of the bulk of the electrons at the high density region at the lower corona and upper chromosphere. Thus, the time comparison must be made between the peak of the radio pulse and the start of the X-ray burst. In that case the delays are consistent with an electron travel time with velocity ‚àº 0.3 c from the 800 MHz plasma level to the lower corona assuming that the radio emission is at the second harmonic. ¬© 1990 Kluwer Academic Publishers.</t>
  </si>
  <si>
    <t>57-73</t>
  </si>
  <si>
    <t>60012729;60012729;101287646</t>
  </si>
  <si>
    <t>7003555403;16435972500;7005864760</t>
  </si>
  <si>
    <t>Sawant, H. S.;Lattari, C. J.B.;Benz, A. O.</t>
  </si>
  <si>
    <t>Brazil;Switzerland</t>
  </si>
  <si>
    <t>Sao Jose dos Campos;Zurich</t>
  </si>
  <si>
    <t>Instituto Nacional de Pesquisas Espaciais;Institut f√ºr Astronomie</t>
  </si>
  <si>
    <t>60012729;101287646</t>
  </si>
  <si>
    <t>Sawant H.</t>
  </si>
  <si>
    <t>Hard X-rays and associated weak decimetric bursts</t>
  </si>
  <si>
    <t>10.1007/BF00156779</t>
  </si>
  <si>
    <t>2-s2.0-0002044583</t>
  </si>
  <si>
    <t>['wild type', 'various treatments', 'ultrastructural study', 'two photosystems', 'synechocystis 6803', 'still oxidized', 'state transitions', 'state 1', 'starved cells', 'spectra demonstrate', 'reduced size', 'redox state', 'ps ii', 'primary control', 'plastoquinone pool', 'photosystems rather', 'parallel increase', 'mutual orientation', 'latter case', 'important decrease', 'fluorescence transients', 'excitation transfer', 'energy transfer', 'cytochrome b6', 'already observed', '1986 ).']</t>
  </si>
  <si>
    <t>chlorophyll fluorescence | freeze-fracture | photosystem II | phycobilisomes | state transitions</t>
  </si>
  <si>
    <t>The mechanism of excitation energy distribution between the two photosystems (state transitions) is studied in Synechocystis 6714 wild type and in wild type and a mutant lacking phycocyanin of Synechocystis 6803. (i) Measurements of fluorescence transients and spectra demonstrate that state transitions in these cyanobacteria are controlled by changes in the efficiency of energy transfer from PS II to PS I (spillover) rather than by changes in association of the phycobilisomes to PS II (mobile antenna model). (ii) Ultrastructural study (freeze-fracture) shows that in the mutant the alignment of the PS II associated EF particles is prevalent in state 1 while the conversion to state 2 results in randomization of the EF particle distribution, as already observed in the wild type (Olive et al. 1986). In the mutant, the distance between the EF particle rows is smaller than in the wild type, probably because of the reduced size of the phycobilisomes. Since a parallel increase of spillover is not observed we suggest that the probability of excitation transfer between PS II units and between PS II and PS I depends on the mutual orientation of the photosystems rather than on their distance. (iii) Measurements of the redox state of the plastoquinone pool in state 1 obtained by PS I illumination and in state 2 obtained by various treatments (darkness, anaerobiosis and starvation) show that the plastoquinone pool is oxidized in state 1 and reduced in state 2 except in starved cells where it is still oxidized. In the latter case, no important decrease of ATP was observed. Thus, we propose that in Synechocystis the primary control of the state transitions is the redox state of a component of the cytochrome b6/f complex rather than that of the plastoquinone pool. ¬© 1990 Kluwer Academic Publishers.</t>
  </si>
  <si>
    <t>203-212</t>
  </si>
  <si>
    <t>100516213;100516213;60005370</t>
  </si>
  <si>
    <t>6603777550;7003931548;7103354748</t>
  </si>
  <si>
    <t>Vernotte, C.;Astier, C.;Olive, J.</t>
  </si>
  <si>
    <t>Paris;Gif-sur-Yvette</t>
  </si>
  <si>
    <t>Institut Jacques Monod;UPR 407</t>
  </si>
  <si>
    <t>60005370;100516213</t>
  </si>
  <si>
    <t>Vernotte C.</t>
  </si>
  <si>
    <t>State 1-state 2 adaptation in the cyanobacteria Synechocystis PCC 6714 wild type and Synechocystis PCC 6803 wild type and phycocyanin-less mutant</t>
  </si>
  <si>
    <t>10.1007/BF00033133</t>
  </si>
  <si>
    <t>2-s2.0-0002937343</t>
  </si>
  <si>
    <t>['ultrasonic line', 'transmitted via', 'transmission lines', 'transmission line', 'small electric', 'signal transmission', 'sheath waves', 'resonant antennas', 'radio frequency', 'probe performance', 'nonmetallic material', 'measuring dipoles', 'low permittivity', 'low frequency', 'gigahertz range', 'frequency range', 'frequency directly', 'field measurements', 'essentially simple', 'especially important', 'demodulation circuitry', 'band operation', 'amplitude modulating', '200 mhz']</t>
  </si>
  <si>
    <t>Electromagnetic field probes are described which use ultrasonic transmission lines for signal transmission from a small electric or magnetic measuring dipole to the data processing unit. These transmission lines are made of nonmetallic material with low permittivity and permeability so that its interaction with the field to be measured is minimum. In particular, there is no evidence of energy leakage via surface or sheath waves, which normally cause problems when usual metallic connecting cables are used. This is especially important when measuring near fields of antennas or fields in resonators with high Q factors. Wide-band operation was achieved by amplitude modulating the field to be measured at a low frequency. The purpose of this modulation is to create a low-frequency (kHz) signal which can be transmitted via an ultrasonic line, designed to resonate at this low frequency. The radio frequency (rf) itself can extend over a broad range since the ultrasonic line does not transmit this frequency directly. Since the ultrasonic line is operated at a low frequency, its design and manufacture including ultrasonic transducers are essentially simple, even for field probes working in the gigahertz range. The design of the transmission line and of the measuring dipoles with demodulation circuitry are described. The probe performance is discussed for a magnetic field probe used for field measurements in resonant antennas for magnetic resonance imaging in the frequency range up to about 200 MHz. A typical field measurement result is presented for this application.</t>
  </si>
  <si>
    <t>859-864</t>
  </si>
  <si>
    <t>Review of Scientific Instruments</t>
  </si>
  <si>
    <t>57197995833;6602282717</t>
  </si>
  <si>
    <t>D√ºrr, W.;Oppelt, R.</t>
  </si>
  <si>
    <t>D√ºrr W.</t>
  </si>
  <si>
    <t>Novel electromagnetic field probes with ultrasonic transmission lines for field measurements with minimum interaction</t>
  </si>
  <si>
    <t>10.1063/1.1141454</t>
  </si>
  <si>
    <t>2-s2.0-0004999744</t>
  </si>
  <si>
    <t>['tftr show', 'system inferred', 'spatial resolution', 'smaller devices', 'simple scattering', 'scale unresolved', 'relatively large', 'receiving antennas', 'ray tracing', 'ordinary mode', 'ohmic discharges', 'measurements caused', 'low values', 'initial results', 'important part', 'ghost feature', 'gaussian wings', 'frequency spectrum', 'drift waves', 'doppler shift', 'crossing region', 'central region', 'average features']</t>
  </si>
  <si>
    <t>Initial results from extraordinary mode microwave scattering on TFTR show that the magnitude of density fluctuations approximately follows the mixing length prediction in both beam-heated and ohmic discharges and that the most important part of the k spectrum falls below k‚ä•œÅ s=0.5 at a scale unresolved in these measurements. These results are consistent with most scattering measurements done in the ordinary mode on smaller devices. We observe only electron diamagnetic spectral shifts in ohmic discharges while beam-heated discharges display a shift which depends on the sign of the toroidal flow velocity. The spatial resolution of the system inferred from ray tracing is consistent with the measured toroidal velocity profiles and measured spectral shapes. There are some limitations on our measurements caused by a relatively large "ghost" component in the low-frequency spectrum which cannot be identified with simple scattering from the crossing region of the incident and scattering antenna patterns. This component has some of the average features of scattering in the central region but does not have the frequency offset expected for drift waves and does not exhibit a Doppler shift when the plasma is rotating. We show that this ghost feature can be explained by non-Gaussian wings on the transmitting and receiving antennas which have a response to the high fluctuation levels at low values of k.</t>
  </si>
  <si>
    <t>3031-3033</t>
  </si>
  <si>
    <t>60018020;60018020;60018020;60018020;60018020;60018020</t>
  </si>
  <si>
    <t>35350498700;8662461800;6602112116;6602387022;22966335600;7402059782</t>
  </si>
  <si>
    <t>Bretz, N.;Nazikian, R.;Bergin, W.;Diesso, M.;Felt, J.;McCarthy, M.</t>
  </si>
  <si>
    <t>Princeton Plasma Physics Laboratory</t>
  </si>
  <si>
    <t>Bretz N.</t>
  </si>
  <si>
    <t>Instrumental aspects of extraordinary mode scattering on TFTR</t>
  </si>
  <si>
    <t>10.1063/1.1141717</t>
  </si>
  <si>
    <t>2-s2.0-0005991589</t>
  </si>
  <si>
    <t>['tube wall', 'tube diameter', 'selected excitation', 'radio frequencies', 'problems associated', 'population inversion', 'plasma wall', 'operation condition', 'new argon', 'lasing threshold', 'landau damping', 'important role', 'external antenna', 'experimentally studied', 'excited externally', 'electrodeless magnetoplasma', 'directly touch', '5 w', '45 mm', '4 efficiency']</t>
  </si>
  <si>
    <t>A new argon-ion laser based on an electrodeless magnetoplasma with tube diameter of 45 mm has been developed, and optimal operation conditions were experimentally studied. The plasma is thought to be generated by helicon waves excited by an external antenna. Selected excitation of the upper lasing level of Ar ii due to Landau damping of the helicon waves plays an important role in the mechanics of the population inversion in this laser. The plasma is excited externally by radio frequencies, and the lasing active medium does not directly touch the plasma wall, minimizing the problems associated with impurities from both the electrodes and the tube wall. A peak laser output power of 0.5 W with 10-4 efficiency has been reached, although the operation condition was not far from that of the lasing threshold.</t>
  </si>
  <si>
    <t>1981-1984</t>
  </si>
  <si>
    <t>60008950;60008950</t>
  </si>
  <si>
    <t>22969587600;7103354742</t>
  </si>
  <si>
    <t>Zhu, Peiyuan;Boswell, R. W.</t>
  </si>
  <si>
    <t>The Australian National University</t>
  </si>
  <si>
    <t>Zhu P.</t>
  </si>
  <si>
    <t>A new argon-ion laser based on an electrodeless plasma</t>
  </si>
  <si>
    <t>10.1063/1.346597</t>
  </si>
  <si>
    <t>2-s2.0-0008096331</t>
  </si>
  <si>
    <t>['reflector antenna', 'plasma produced', 'important consideration', 'diagnostic consists', 'arcjet thruster']</t>
  </si>
  <si>
    <t>A configuration is described to measure the effect of the plasma produced by an arcjet thruster on a reflector antenna. The diagnostic consists of a small movable rf probe coupled to a Hewlett-Packard 8510 network analyzer. Because the perturbation is expected to be small (&lt;10¬∞ phase shift), wall reflections are an important consideration. To minimize their effect we use Fourier transform gating techniques.</t>
  </si>
  <si>
    <t>2978-2980</t>
  </si>
  <si>
    <t>60013372;60013372;60013372;60013372</t>
  </si>
  <si>
    <t>7003417991;7102019226;7410128245;7202062608</t>
  </si>
  <si>
    <t>Birkner, B. W.;Hallock, G. A.;Kim, H.;Ling, H.</t>
  </si>
  <si>
    <t>Birkner B.</t>
  </si>
  <si>
    <t>Arcjet plasma plume effect on a microwave reflector antenna</t>
  </si>
  <si>
    <t>10.1063/1.1141745</t>
  </si>
  <si>
    <t>2-s2.0-0008665997</t>
  </si>
  <si>
    <t>['vertical view', 'utilizes reflection', 'u machine', 'u allows', 'side window', 'mirror mounted', 'center column']</t>
  </si>
  <si>
    <t>A versatile 2 mm scanning interferometer has been built for the CDX-U machine. The unique diagnostic access of CDX-U allows a vertical view through windows on the top and bottom, and a two-pass horizontal view through a side window which utilizes reflection off of a mirror mounted on the center column of the vessel. A single launching antenna and two separate receivers can be operated in a variety of modes including simple interferometry, polarimetry, and scattering. The optics, mechanical translation system, and 2 mm heterodyne receiver are described.</t>
  </si>
  <si>
    <t>2888-2890</t>
  </si>
  <si>
    <t>60018020;60018020;60018020</t>
  </si>
  <si>
    <t>7004390007;22961435600;56144605100</t>
  </si>
  <si>
    <t>Forest, C. B.;Greene, G.;Ono, M.</t>
  </si>
  <si>
    <t>Forest C.</t>
  </si>
  <si>
    <t>CDX-U two-dimensional scanning microwave system</t>
  </si>
  <si>
    <t>10.1063/1.1141764</t>
  </si>
  <si>
    <t>2-s2.0-0011925476</t>
  </si>
  <si>
    <t>['whose frequencies', 'two 9', 'spatial resolution', 'spatial distributions', 'plasma density', 'one direction', 'multiple diodes', 'modulation frequency', 'microwave power', 'heterodyne branch', 'cost means', '5 khz', '35 mhz']</t>
  </si>
  <si>
    <t>By using a microwave heterodyne interferometer assisted by microwave scattering techniques, computer tomographic images of spatial distributions of plasma density can be obtained. Two 9.5 GHz Gunn diodes, whose frequencies are offset by 35 MHz, are used in a heterodyne branch. In front of the detection horn antenna, multiple diodes are lined up, which scatter the microwave power with modulation frequency of 5 kHz, and the whole spatial information in one direction can be obtained by a pair of launcher-detector systems assisted by these diodes. This system is a simple and low-cost means to get images compared with popularly known multichannel interferometer techniques; still, precise, spatial resolution in the images has been observed.</t>
  </si>
  <si>
    <t>60010742;60010742;60010742</t>
  </si>
  <si>
    <t>57216196418;14629727800;7403123890</t>
  </si>
  <si>
    <t>Okazaki, K.;Yamada, Y.;Nishida, Y.</t>
  </si>
  <si>
    <t>Utsunomiya</t>
  </si>
  <si>
    <t>Utsunomiya University</t>
  </si>
  <si>
    <t>Okazaki K.</t>
  </si>
  <si>
    <t>Fast-imaging method of plasma density spatial distribution by a microwave heterodyne interferometer</t>
  </si>
  <si>
    <t>10.1063/1.1141218</t>
  </si>
  <si>
    <t>2-s2.0-0012446080</t>
  </si>
  <si>
    <t>['tokamak plasma', 'therefore requires', 'sufficiently low', 'slow waves', 'slow wave', 'screen angle', 'power going', 'power could', 'possible connections', 'numerical estimates', 'nonnegligible amount', 'necessarily require', 'mainly due', 'imperfect alignment', 'heating experiments', 'functional dependence', 'fast wave', 'excited spectrum', 'density near']</t>
  </si>
  <si>
    <t>The coupling of the fast wave antenna to short wavelength waves is analysed by taking into account the imperfect alignment of the antenna screens along the magnetic field lines of a Tokamak plasma. Analytical and numerical estimates for the fraction of the power going into the short wavelength modes are given for various edge plasma parameters and their profiles. The functional dependence of this fraction on the screen angle and the excited spectrum of the short wavelength waves are computed. According to the results a nonnegligible amount of power could be radiated from the present ICRF antennas in the form of ion Bernstein waves or slow waves for realistic edge density profiles. For edge plasmas extending to the screen, the excited electrostatic wave spectrum is peaked for large parallel refractive indices nz and the electrostatic wave coupling is due to the parallel electric field along the magnetic field lines which therefore requires some misalignment of the screens. When the density near the screens is sufficiently low to allow the presence of the slow mode resonance, the excited electrostatic wave spectrum is peaked for mod n z mod &lt;1 and the coupling is mainly due to the confluence between the fast wave and slow wave and does not necessarily require any misalignment. Possible connections of these phenomena to the deleterious edge modification and enhanced impurity influx from the antennae, observed in the heating experiments of JET, are discussed.</t>
  </si>
  <si>
    <t>173-188</t>
  </si>
  <si>
    <t>Plasma Physics and Controlled Fusion</t>
  </si>
  <si>
    <t>60025104;60025104</t>
  </si>
  <si>
    <t>7102290215;57212335886</t>
  </si>
  <si>
    <t>Heikkinen, J. A.;Bures, M.</t>
  </si>
  <si>
    <t>Heikkinen J.</t>
  </si>
  <si>
    <t>Fast wave antenna coupling to slow waves and ion Bernstein waves during ICRF heating of tokamak plasmas</t>
  </si>
  <si>
    <t>10.1088/0741-3335/32/3/002</t>
  </si>
  <si>
    <t>2-s2.0-0012784554</t>
  </si>
  <si>
    <t>['untreated larvae', 'two larvae', 'peanut roots', 'palpi blocked', 'olfactory responses', 'olfactometer studies', 'medium larvae', 'large larvae', 'intact pods', 'ethanol ).', 'elasmopalpus lignosellus', 'conspecific individuals', '1 mg']</t>
  </si>
  <si>
    <t>Elasmopalpus lignosellus | Insecta | Olfaction | Peanut</t>
  </si>
  <si>
    <t>Olfactory responses of lesser cornstalk borer, Elasmopalpus lignosellus (Zeller), larvae to conspecific individuals and peanut plant parts were determined in olfactometer studies. Larvae were not attractive to conspecifics. Young peanut pods infested by two larvae had the same attractiveness as intact pods. Peanut roots, pegs, and pods attracted significantly more larvae, although there were some differences in attraction between lesser cornstalk borer instars. Roots and young pods attracted more small and large larvae. More medium larvae were attracted to pegs and roots. Olfactory responses of larvae to peanut roots were eliminated after antennae were treated with N-methylmaleimide (1 mg/ml in 100% ethanol). There were no differences between the responses of untreated larvae and those with only the palpi blocked. Larval olfactory response to peanut plant volatiles therefore depends primarily on the antennae.</t>
  </si>
  <si>
    <t>1289-1295</t>
  </si>
  <si>
    <t>0046225X</t>
  </si>
  <si>
    <t>Environmental Entomology</t>
  </si>
  <si>
    <t>60023694-60013551;60023694;60023694</t>
  </si>
  <si>
    <t>55500187100;7006385382;56290395800</t>
  </si>
  <si>
    <t>Huang, X. P.;Mack, T. P.;Berger, R. S.</t>
  </si>
  <si>
    <t>United States;China</t>
  </si>
  <si>
    <t>Auburn;Beijing</t>
  </si>
  <si>
    <t>Alabama Agricultural Experiment Station;China Agricultural University</t>
  </si>
  <si>
    <t>60023694;60013551</t>
  </si>
  <si>
    <t>Huang X.P.</t>
  </si>
  <si>
    <t>Olfactory responses of lesser cornstalk borer (Lepidoptera: Pyralidae) larvae to peanut plant parts</t>
  </si>
  <si>
    <t>10.1093/ee/19.5.1289</t>
  </si>
  <si>
    <t>2-s2.0-0012794770</t>
  </si>
  <si>
    <t>['subjacent medium', 'simultaneously measured', 'quadrupolar arrays', 'quadrupolar array', 'new version', 'mechanical contact', 'frequency signals', 'frequency currents', 'electrodes necessarily']</t>
  </si>
  <si>
    <t>Quadrupolar arrays have been used for mapping ground resistivity; low-frequency currents are injected into the Earth and the induced potential drop is simultaneously measured with electrodes necessarily in contact with the Earth's surface. A new version of the quadrupolar array is proposed; this instrument makes use of high-frequency signals, does not require any mechanical contact with the ground and measures the resistivity and permittivity of the subjacent medium. A practical design applicable to unmanned planetary missions is presented.</t>
  </si>
  <si>
    <t>295-301</t>
  </si>
  <si>
    <t>Measurement Science and Technology</t>
  </si>
  <si>
    <t>Grard, R.</t>
  </si>
  <si>
    <t>Grard R.</t>
  </si>
  <si>
    <t>A quadrupolar array for measuring the complex permittivity of the ground: Application to Earth prospection and planetary exploration</t>
  </si>
  <si>
    <t>10.1088/0957-0233/1/3/016</t>
  </si>
  <si>
    <t>2-s2.0-0025399461</t>
  </si>
  <si>
    <t>['without introducing', 'used monostatically', 'technique experimentally', 'scatterer via', 'reactive near', 'moved around', 'monostatic use', 'modulating waveform', 'modulated scatterer', 'measure scattering', 'general theory', 'ended waveguide', 'electromagnetic fields', 'constant level', 'conducting material', 'certain circumstances', 'authors present', '18 ghz']</t>
  </si>
  <si>
    <t>The modulated scatterer technique allows one to measure fine structure in electromagnetic fields with the minimum of perturbation. The authors present a general theory for the monostatic use of a modulated scatterer and show that in certain circumstances, for example in the reactive near-field of an antenna, the modulated scatterer may be used monostatically where conventional techniques would fail. They have verified the technique experimentally by constructing a broadbanded homodyne detector, working over the frequency range 2-18 GHz, and using it to measure scattering from an optically modulated electric dipole in the near-field of an open-ended waveguide. The modulating waveform is conveyed to the scatterer via a flexible plastic optical fibre, this provides a constant level of modulation as the scatterer is moved around, without introducing any conducting material into the neighbourhood of the scatterer.</t>
  </si>
  <si>
    <t>703-709</t>
  </si>
  <si>
    <t>6603022671;7006370365</t>
  </si>
  <si>
    <t>Hygate, G.;Nye, J. F.</t>
  </si>
  <si>
    <t>Hygate G.</t>
  </si>
  <si>
    <t>Measuring microwave fields directly with an optically modulated scatterer</t>
  </si>
  <si>
    <t>10.1088/0957-0233/1/8/006</t>
  </si>
  <si>
    <t>2-s2.0-0025472417</t>
  </si>
  <si>
    <t>['widely used', 'system operating', 'reference signal', 'precise measurements', 'intrinsic stability', 'differential radiometers', 'authors discuss', '5 ghz']</t>
  </si>
  <si>
    <t>Differential radiometers are widely used in physics and astronomy for their intrinsic stability. The authors discuss a modification of the Dicke radiometer configuration which allows very precise measurements of the difference between a reference signal and the signal to be measured. Results of tests with a system operating at 2.5 GHz are presented.</t>
  </si>
  <si>
    <t>1119-1121</t>
  </si>
  <si>
    <t>60030318;60030318;60030318;60030318</t>
  </si>
  <si>
    <t>7006084404;7003929906;57194133671;55959605600</t>
  </si>
  <si>
    <t>Sironi, G.;Inzani, P.;Limon, M.;Marchioni, C.</t>
  </si>
  <si>
    <t>Sironi G.</t>
  </si>
  <si>
    <t>Evaluation of small signals with a differential radiometer (with application to radio observations at 2.5 GHz)</t>
  </si>
  <si>
    <t>10.1088/0957-0233/1/10/025</t>
  </si>
  <si>
    <t>2-s2.0-0025508771</t>
  </si>
  <si>
    <t>['water surface', 'surface investigated', 'polarization properties', 'pattern sidelobes', 'observation angle', 'natural surfaces', 'enables one', 'digital correction', 'brightness temperature', 'angular dependence', 'analysis given']</t>
  </si>
  <si>
    <t>It was shown by J. P. Classen et al that the accuracy of estimates of the brightness temperature deteriorates when the polarization properties of the antenna and of the surface investigated are ignored. The analysis given here not consider the dependence of the brightness temperature on the observation angle. This dependence is most pronounced for a water surface and can be neglected for other natural surfaces. The correction for the angular dependence should be considered when the brightness temperature is to be calculated with an accuracy of 1¬∞K. Thus, the digital correction for the effects of pattern sidelobes, which takes into account the antenna polarization properties and the surface investigated, enables one to improve the accuracy when determining brightness temperature.</t>
  </si>
  <si>
    <t>57196884865;6602159216</t>
  </si>
  <si>
    <t>Vlasov, A. A.;Plyushchev, V. A.</t>
  </si>
  <si>
    <t>Vlasov A.A.</t>
  </si>
  <si>
    <t>Correction of the distortions of the radio brightness distribution taking into account the polarization properties of the antenna and the surface</t>
  </si>
  <si>
    <t>2-s2.0-0025529947</t>
  </si>
  <si>
    <t>['system enables', 'single mode', 'simple explanation', 'scanning mode', 'radiation pattern', 'orthonormal system', 'model makes', 'input impedance', 'current modes']</t>
  </si>
  <si>
    <t>A model of a linear infinite phased antenna array (PAA) based on a spectral electromagnetic field representation is proposed. This model makes it possible to explain the effect of the higher-order current modes on the input impedance and radiation pattern of the radiator and the array in the scanning mode. The possibility of constructing an orthonormal system of current modes in which only a single mode is responsible for the 'blinding' phenomenon is demonstrated. The introduction of such a system enables a simple explanation to be given for the phenomenon of blinding in a multimode phased antenna array model.</t>
  </si>
  <si>
    <t>6602753480;6603283184</t>
  </si>
  <si>
    <t>Konyashenko, E. A.;Shmykov, V. N.</t>
  </si>
  <si>
    <t>Konyashenko E.</t>
  </si>
  <si>
    <t>Effect of higher current modes on the radiation characteristics of a linear phased antenna array</t>
  </si>
  <si>
    <t>2-s2.0-0025530495</t>
  </si>
  <si>
    <t>['radiation pattern', 'orthogonal polynomials', 'discrete variable']</t>
  </si>
  <si>
    <t>The problem of maximizing the power focusing ratio is formulated and solved, based on the theory of orthogonal polynomials of a discrete variable for a linear equidistant symmetrically excited antenna array with a maximally flat main lobe of the radiation pattern.</t>
  </si>
  <si>
    <t>66-71</t>
  </si>
  <si>
    <t>16448437600;6507704865;6507184832</t>
  </si>
  <si>
    <t>Mints, M. Ya;Prilepskiy, Ye D.;Zaslonko, V. M.</t>
  </si>
  <si>
    <t>Mints M.</t>
  </si>
  <si>
    <t>Synthesis of the radiation patterns of a linear antenna array with a maximally flat main lobe</t>
  </si>
  <si>
    <t>2-s2.0-0025530620</t>
  </si>
  <si>
    <t>['valued measurement', 'linear arrays', 'best arrangement', 'array elements', 'approximate calculation', 'antenna systems', 'anomalous errors']</t>
  </si>
  <si>
    <t>Phase direction finders are considered that have antenna systems in the form of linear arrays, in which the maximum likelihood method is used to obtain an exact and single-valued measurement. The method of an approximate calculation of the probability of anomalous errors is used to find the best arrangement of the array elements.</t>
  </si>
  <si>
    <t>22-27</t>
  </si>
  <si>
    <t>57201573596;7202950806</t>
  </si>
  <si>
    <t>Belov, V. I.;Denisov, V. P.</t>
  </si>
  <si>
    <t>Belov V.</t>
  </si>
  <si>
    <t>Optimization of the antenna structures of phase direction finders in terms of the criterion of minimum anomalous error probability</t>
  </si>
  <si>
    <t>2-s2.0-0025534892</t>
  </si>
  <si>
    <t>['total current', 'tem wave', 'side lobes', 'semitransparent window', 'planar waveguide', 'outer space', 'integral equation', 'given direction', 'antenna apeture', '2nd kind']</t>
  </si>
  <si>
    <t>The problem of the emission of a TEM wave through a semitransparent window in the wall of a planar waveguide is considered. In a rigorous electrodynamic formulation the problem is reduced to an integral equation of the 2nd kind for the total current in the antenna apeture. Numerical investigations showed that emission in a given direction (within a wide angular interval) with no side lobes and an essentially ideal matching with outer space can be ensured by choosing the parameters of the antenna and the manner in which the aperture transparency varies.</t>
  </si>
  <si>
    <t>44-48</t>
  </si>
  <si>
    <t>6603550149;7004714672;7006135844</t>
  </si>
  <si>
    <t>Korshunova, YE N.;Sivov, A. N.;Shatrov, A. D.</t>
  </si>
  <si>
    <t>Korshunova Y.</t>
  </si>
  <si>
    <t>Wave-emitting plane antenna with a wall of variable transparency</t>
  </si>
  <si>
    <t>2-s2.0-0025534897</t>
  </si>
  <si>
    <t>North Atlantic Treaty Organization</t>
  </si>
  <si>
    <t>NATO</t>
  </si>
  <si>
    <t>['transition region', 'specific example', 'real spectral', 'purely bound', 'physical nature', 'partially dielectric', 'numerical values', 'frequency range', 'discussed qualitatively', 'complex nonspectral', 'anomalous features']</t>
  </si>
  <si>
    <t>Most modes on partially dielectric-loaded open guiding structures are purely bound in some frequency range and leaky in another. The transition region between them is complicated and interesting, including a section where the dispersion curve doubles back because it connects a complex nonspectral (leaky-wave) solution with a real spectral (bound-wave or surface-wave) solution. The physical nature of this type of transition region is discussed qualitatively, where some anomalous features are considered; then numerical values for a specific example, a recently proposed novel leaky-wave antenna structure, are presented.</t>
  </si>
  <si>
    <t>1831-1836</t>
  </si>
  <si>
    <t>Lampariello, Paolo;Frezza, Fabrizio;Oliner, Arthur A.</t>
  </si>
  <si>
    <t>The transition region between bound-wave and leaky-wave ranges for a partially dielectric-loaded open guiding structure</t>
  </si>
  <si>
    <t>10.1109/22.64563</t>
  </si>
  <si>
    <t>2-s2.0-0025535624</t>
  </si>
  <si>
    <t>['practical problem', 'numerical solutions', 'measurements provide', 'measured data', 'expresses surprise', 'commenter disagrees', 'best way', 'analytical solutions']</t>
  </si>
  <si>
    <t>The commenter disagrees with the implication in the above-titled paper R. E. Collin (ibid., vol. 32, pp. 27-31, Aug. 1990) that analytical solutions are the only way, or even the best way, to check the accuracy of numerical solutions. He expresses surprise that no mention was made of verifying solutions accuracy by comparison with measured data. He argues that measurements provide what is often the best way of verifying the accuracy of a solution to a practical problem in electromagnetics, regardless of the extent to which the solution is analytical or numerical. He gives an example from the paper to illustrate this point.</t>
  </si>
  <si>
    <t>43-44</t>
  </si>
  <si>
    <t>Pozar, David M.</t>
  </si>
  <si>
    <t>Comments on 'The role of analysis in an age of computers: View from the analytical side' by R. E. Collin</t>
  </si>
  <si>
    <t>10.1109/74.80616</t>
  </si>
  <si>
    <t>2-s2.0-0025537279</t>
  </si>
  <si>
    <t>['victim receivers', 'various modifications', 'simulation technique', 'radiocommunication system', 'performance criteria', 'multiple man', 'model allows', 'interference threat', 'interference sources', 'input data', 'imitate experiments', 'engineering tool', 'directive antennas', 'dimensional space', 'article describes', 'areas occupied', 'application examples']</t>
  </si>
  <si>
    <t>This article describes an interactive microcomputer simulation model which is intended to serve as an engineering tool for the analysis of man-made interference threat to a radiocommunication system. Simulation technique is used to imitate experiments with the system, environment and their interaction. Various modifications can be simulated and their effects on the system performance analysed. Input data are supplied by the user, and the computer produces pictures, maps and statistics, describing the interference threat. The model allows for experiments with directive antennas, multiple man-made interference sources randomly located in three-dimensional space and with various propagation mechanisms. The areas occupied by the interference sources and victim receivers can be separate or coincide, totally or partially. Assumptions, limitations, algorithms, performance criteria and application examples are presented.</t>
  </si>
  <si>
    <t>827-839</t>
  </si>
  <si>
    <t>Telecommunication journal</t>
  </si>
  <si>
    <t>Struzak, R. G.</t>
  </si>
  <si>
    <t>Struzak R.</t>
  </si>
  <si>
    <t>Simulation model for evaluating interference threat to radiocommunication systems</t>
  </si>
  <si>
    <t>2-s2.0-0025538041</t>
  </si>
  <si>
    <t>['numerical calculation', 'magnetoactive plasma', 'integral equation', 'input impedance', 'dipole antenna']</t>
  </si>
  <si>
    <t>An integral equation is formulated for the current distribution function in a dipole antenna, located in a magnetoactive plasma. The solution of the integral equation is represented in the form of an expansion in a trigonometric Fourier series. The results of a numerical calculation of the current distribution function and the input impedance of a dipole antenna for different geometrical antenna dimensions are given.</t>
  </si>
  <si>
    <t>56-61</t>
  </si>
  <si>
    <t>7801671599;7004318173</t>
  </si>
  <si>
    <t>Nedykhalov, V. I.;Shabanov, A. V.</t>
  </si>
  <si>
    <t>Nedykhalov V.</t>
  </si>
  <si>
    <t>Current distribution and input impedance of dipole antenna in magnetoactive plasma</t>
  </si>
  <si>
    <t>2-s2.0-0025539817</t>
  </si>
  <si>
    <t>['propagation velocity', 'difusing ti', 'acoustic waves']</t>
  </si>
  <si>
    <t>In this work authors set the task of fabricating a slot waveguide whose guiding region is defined by difusing Ti into LiNbO3 in the regions that bound the slot. In principle this can lead to an increase in the propagation velocity of the acoustic waves. They also have obtained experimental proof that such structures can exhibit channelizing properties, along with estimates of the losses and dispersion of acoustic waves in these structures.</t>
  </si>
  <si>
    <t>134-136</t>
  </si>
  <si>
    <t>6506011878;7003614757</t>
  </si>
  <si>
    <t>Osipyan, M. S.;Mansfel'd, G. D.</t>
  </si>
  <si>
    <t>Osipyan M.</t>
  </si>
  <si>
    <t>Propagation of acoustic waves in slot waveguides made by Ti diffusion at the surface of an LiNbO&lt;inf&gt;3&lt;/inf&gt; film</t>
  </si>
  <si>
    <t>2-s2.0-0025539962</t>
  </si>
  <si>
    <t>['subsequent compensation', 'signal source', 'sharpness function', 'relative position', 'phase errors', 'pdc ).', 'input channels', 'antenna arrays']</t>
  </si>
  <si>
    <t>The use of the sharpness function is shown to be possible for estimating and the subsequent compensation of phase errors in the input channels of antenna arrays (AA) for the processing of signals in a basis of partial directivity characteristics (PDC). The conditions are derived for which the maximum of the sharpness function does not depend on the relative position of the signal source and receiver antenna array. The results of a modeling are presented.</t>
  </si>
  <si>
    <t>124-128</t>
  </si>
  <si>
    <t>6603498542;6506142926;6503943649;6601959972;6507021936</t>
  </si>
  <si>
    <t>Korobko, O. V.;Lyutarevich, B. L.;Minyakov, I. S.;Sinyakov, G. S.;Tauroginskiy, B. I.</t>
  </si>
  <si>
    <t>Korobko O.</t>
  </si>
  <si>
    <t>Use of the sharpness function in problems associated with the adaptive compensation of phase error in the input channels of an antenna array</t>
  </si>
  <si>
    <t>2-s2.0-0025540737</t>
  </si>
  <si>
    <t>['proposed construction', 'original data', 'multidimensional case', 'discrete time', 'appropriate method']</t>
  </si>
  <si>
    <t>The problem of estimating the power spectral density of a process observed continuously during some finite time interval, is examined. It is shown that its solution can be obtained by means of a regularization of the original data. An appropriate method for arriving at an estimate of the spectrum is suggested. An analogy is drawn between the proposed construction and the maximum entropy method, developed for processes with discrete time. The construction is generalized to the multidimensional case, and the unique features appearing in this situation are investigated.</t>
  </si>
  <si>
    <t>109-116</t>
  </si>
  <si>
    <t>6506125540;57213090619;55354871700;6507040845;6507106046</t>
  </si>
  <si>
    <t>Notik, A. I.;Knafel, A. I.;Turchin, V. I.;Ugrinovskiy, V. A.;Ugrinovskiy, R. A.</t>
  </si>
  <si>
    <t>Notik A.</t>
  </si>
  <si>
    <t>Spectral analysis on the basis of a continual analog of the maximum entropy method</t>
  </si>
  <si>
    <t>2-s2.0-0025541299</t>
  </si>
  <si>
    <t>['small steps', 'numerical studies', 'excitation currents', 'antenna array']</t>
  </si>
  <si>
    <t>A method is proposed for reconstructing a prespecified directivity diagram by using the phases of the excitation currents of the antenna array. Results of numerical studies are presented for arrays with small steps; these results can be used to design superdirective arrays.</t>
  </si>
  <si>
    <t>7004856096;7005030448;6507233340</t>
  </si>
  <si>
    <t>Rybalko, A. M.;Pavlyuk, V. A.;Lyulicheva, I. A.</t>
  </si>
  <si>
    <t>Rybalko A.M.</t>
  </si>
  <si>
    <t>Method of reconstructing a prespecified directivity diagram using the method of antenna phase synthesis</t>
  </si>
  <si>
    <t>2-s2.0-0025541598</t>
  </si>
  <si>
    <t>['linear polarizations', 'circular apertures', 'advantages compared']</t>
  </si>
  <si>
    <t>We have solved the problem of maximizing the power concentration coefficient for circular apertures with radially polarized fields. For the example of the power transmission channel (PTC) of a solar space power system (SSPS) we show that a PTC with radial field polarization at its antennas has a number of advantages compared with PTCs with linear polarizations.</t>
  </si>
  <si>
    <t>63-68</t>
  </si>
  <si>
    <t>7004652700;57208727390;6507610480</t>
  </si>
  <si>
    <t>Vanke, V. A.;Zaporozhets, A. A.;Rachnikov, A. V.</t>
  </si>
  <si>
    <t>Vanke V.</t>
  </si>
  <si>
    <t>On a microwave energy transmission channel with radial polarization of the field at the antenna</t>
  </si>
  <si>
    <t>2-s2.0-0025543474</t>
  </si>
  <si>
    <t>['required accuracy', 'new approach', 'methods described', 'given voltage', 'discrete system', 'bachrach et']</t>
  </si>
  <si>
    <t>The problem of obtaining a given voltage on curvilinear slot radiators by a discrete system of sources, using the methods described by P.Hs. Fridberg was considered by L.D. Bachrach et.al. however, the stability of the solution was not investigated and it is still unclear whether the required accuracy can be achieved. In this paper authors describe a new approach to this problem.</t>
  </si>
  <si>
    <t>6602318573;6603863264</t>
  </si>
  <si>
    <t>Radtsig, Yu Yu;Eminov, S. I.</t>
  </si>
  <si>
    <t>Radtsig Y.</t>
  </si>
  <si>
    <t>On the integral equation of slot antennas</t>
  </si>
  <si>
    <t>2-s2.0-0025543479</t>
  </si>
  <si>
    <t>U.S. Air Force</t>
  </si>
  <si>
    <t>F33615-87-C-1414</t>
  </si>
  <si>
    <t>USAF</t>
  </si>
  <si>
    <t>['smith chart', 'one disadvantage', 'lower weight', 'insertion loss', 'comparable loss', 'band mmic', 'antenna vswrs', '3 db']</t>
  </si>
  <si>
    <t>A novel electronically controlled matching network has been demonstrated as an aperture isolation circuit. This approach offers smaller size, lower weight, and potentially lower cost than circulators. An X-band MMIC (monolithic microwave integrated circuit) realization of this circuit has comparable loss to a circulator. An S-band hybrid realization demonstrated reductions in insertion loss of up to 2.3 dB for antenna VSWRs (voltage standing wave ratios) of up to 5:1 lying within a 100¬∞ sector on the Smith chart. One disadvantage of this approach is that it increases the complexity of controlling and calibrating the module.</t>
  </si>
  <si>
    <t>1994-2000</t>
  </si>
  <si>
    <t>60015623;60015623;60015623;60015623</t>
  </si>
  <si>
    <t>6603063964;7102468051;57216065233;57202624630</t>
  </si>
  <si>
    <t>Jacomb-Hood, Anthony W.;Booth, Michael S.;Houston, D. E.;Alcorn, T.</t>
  </si>
  <si>
    <t>Jacomb-Hood A.W.</t>
  </si>
  <si>
    <t>A novel aperture isolation circuit for use in phased array systems</t>
  </si>
  <si>
    <t>10.1109/22.64585</t>
  </si>
  <si>
    <t>2-s2.0-0025543516</t>
  </si>
  <si>
    <t>['symmetrical reflector', 'scale model', 'realistic illumination', "quasat '.", 'measured quasat', 'geometrical data', 'feed patterns', 'electrical predictions', 'baseline interferometry', '22 ghz']</t>
  </si>
  <si>
    <t>An inflatable parabolic reflector antenna almost 6 m in diameter has been realised. It is a scale model (1:3) of the symmetrical reflector that was being considered for the Agency's Very-Long-Baseline Interferometry (VLBI) satellite 'Quasat'. The geometry of the model has been evaluated with theodolites and the reflector's geometrical data have been used for electrical predictions at 1.6, 5 and 22 GHz. Measured Quasat-feed patterns have been used as a realistic illumination in the antenna electrical predictions.</t>
  </si>
  <si>
    <t>211-216</t>
  </si>
  <si>
    <t>ESA journal</t>
  </si>
  <si>
    <t>105719998;105719998;105719998;105719998;105719998</t>
  </si>
  <si>
    <t>57191574104;57208970517;6602149280;35859198300;7007016033</t>
  </si>
  <si>
    <t>van't Klooster, K.;Rits, W.;Pagana, E.;Mantica, P. G.;Bernasconi, M. C.</t>
  </si>
  <si>
    <t>Noordwijk</t>
  </si>
  <si>
    <t>European Space Research &amp;</t>
  </si>
  <si>
    <t>van't Klooster K.</t>
  </si>
  <si>
    <t>Inflatable parabolic reflector antenna: its realisation and electrical predictions</t>
  </si>
  <si>
    <t>2-s2.0-0025543573</t>
  </si>
  <si>
    <t>['system performance', 'system parameters', 'system design', 'system cost', 'space segment', 'rather limited', 'principal driver', 'present status', 'precious resource', 'power efficiency', 'paper reviews', 'north america', 'mobile warc', 'mobile terminals', 'main challenge', 'key element', 'key component', 'heavy emphasis', 'good match', 'frequencies considered', 'expected performance', 'expected market', 'exclusively within', 'efficient utilization', 'carrier signals', 'capacity must', 'available spectrum', 'acceptable intermodulation', '87 necessitated']</t>
  </si>
  <si>
    <t>Mobile satellite communications services are in the process of being implemented in North America. A main challenge of the system design is to establish a good match between the requirements of the expected market and the system performance. System cost and capacity must be optimized in order to ensure an economically viable business venture; and the principal driver in these areas is the space segment. A key component of the system is therefore the spacecraft, which has to satisfy demanding requirements with respect to cost, communications subsystem performance, weight and power. The provisions of Mobile WARC '87 necessitated a change in some system parameters. The frequencies considered for communicating with the mobile terminals are now exclusively within the L-Band. The available spectrum is not contiguous, and is rather limited, placing a heavy emphasis on an efficient utilization of this precious resource. This paper reviews the baseline space segment configuration of the mobile satellite communications system planned for Canada. The communications communications subsystem performance is addressed, together with the main performance parameters of the spacecraft service module. A key element of the spacecraft is the high power r.f. amplifier which must be able to operate with a good d.c. to r.f. power efficiency, and with an acceptable intermodulation when driven by multi-carrier signals. Another key component is the large deployable antenna. These technical risk areas are reviewed with respect to present status of development and expected performance.</t>
  </si>
  <si>
    <t>Space Technology</t>
  </si>
  <si>
    <t>Bertenyi, E.</t>
  </si>
  <si>
    <t>Telesat</t>
  </si>
  <si>
    <t>Bertenyi E.</t>
  </si>
  <si>
    <t>Space segment configuration of Canada's mobile satellite system</t>
  </si>
  <si>
    <t>2-s2.0-0025543636</t>
  </si>
  <si>
    <t>['value problems', 'scattering characteristics', 'rectangular waveguide', 'planar ring', 'natural frequencies', 'galerkin method', 'functions taking', 'experimental results', 'disk resonators']</t>
  </si>
  <si>
    <t>Boundary-value problems are solved by the Galerkin method in a basis of functions taking into consideration the condition at an edge and the natural frequencies of planar ring and disk resonators (microstrip, slotted, waveguide-slotted, waveguide-strip) as well as the scattering characteristics of such structures are determined in a rectangular waveguide. The theoretical and experimental results are compared.</t>
  </si>
  <si>
    <t>15-28</t>
  </si>
  <si>
    <t>56271307000;7006140438;6603930754;6603725298</t>
  </si>
  <si>
    <t>Kravchenko, V. I.;Lerer, A. M.;Fridberg, P. SH;Shelamov, G. N.</t>
  </si>
  <si>
    <t>Kravchenko V.</t>
  </si>
  <si>
    <t>Theoretical and experimental investigation of open and screened planar ring (or disk) structures</t>
  </si>
  <si>
    <t>2-s2.0-0025544879</t>
  </si>
  <si>
    <t>['worthwhile directions', 'statistical theory', 'second part', 'principal directions', 'present status', 'large expansion', 'large degree', 'inverse problems', 'future studies', 'first part', 'characterized briefly']</t>
  </si>
  <si>
    <t>The principal directions of development in the statistical theory of antennas (STA) are examined. The substance and contents of STA are presented in the first part of this review and the status of this theory at the beginning of the 1970s is characterized briefly. The second part of this review is devoted to a characterization of the present status of internal and external, direct and inverse problems of STA. The efforts that have been carried out in the area of STA during the last two decades are classified. The large expansion of the area of applicability of STA and the range of problems that can be solved by using it is pointed out. A number of new practical important results of the theory are presented. Worthwhile directions for future studies are formulated. This review is based to a large degree on the results of investigations by the author.</t>
  </si>
  <si>
    <t>32-49</t>
  </si>
  <si>
    <t>Shifrin, Ya S.</t>
  </si>
  <si>
    <t>Shifrin Y.</t>
  </si>
  <si>
    <t>Present status of statistical theory of antennas</t>
  </si>
  <si>
    <t>2-s2.0-0025545198</t>
  </si>
  <si>
    <t>['transverse directions', 'semitransparent surfaces', 'network structures', 'minimum reactance', 'metallic network', 'infinite reduction', 'four l', 'cell dimensions', 'capacitive reactance', 'c parameters', 'arbitrary nature', 'approximate formulas', 'abc obtained']</t>
  </si>
  <si>
    <t>Network structures are considered that have a capacitive reactance (capacitive sheets), which can be used in antennas with semitransparent surfaces. Averaged boundary conditions (ABC) are derived for a metallic network with condenser loads connected into its branches. Four L and four C parameters enter into the ABC, associated with the inductances and capacitances per unit length of the lines, formed when the condensers are shorted in the arms in the longitudinal or transverse directions. The ABC obtained are extended to the case of loads with an impedance of arbitrary nature. Approximate formulas are given for the L and C parameters. The simplification of the ABC for an infinite reduction in the cell dimensions is examined. Recommendations are given with regard to obtaining minimum energy loss and minimum reactance.</t>
  </si>
  <si>
    <t>36-44</t>
  </si>
  <si>
    <t>Fedyanovich, V. I.</t>
  </si>
  <si>
    <t>Fedyanovich V.</t>
  </si>
  <si>
    <t>Transparency of capacitive sheets</t>
  </si>
  <si>
    <t>2-s2.0-0025545471</t>
  </si>
  <si>
    <t>['wire screen', 'stratified half', 'shall consider', 'screen reflects', 'reflection coefficient', 'reflected wave', 'practical interest', 'polarized component', 'perfect contacts', 'mounted parallel', 'intensive snowfalls', 'grid mesh', 'figure ).', 'electrodynamic properties', 'considerable effect', 'certain conditions', 'azimuthal variation', 'arbitrary angle']</t>
  </si>
  <si>
    <t>Investigations have indicate that during intensive snowfalls some of the snow is retained by the screen which, under certain conditions, has a considerable effect on its electrodynamic properties. This effect is most pronounced when the screen reflects an E-polarized plane wave at an arbitrary angle. This paper is devoted to an examination of such a problem. Suppose that a wire screen is mounted parallel to the boundary of a stratified half-space and an E-polarized planar wave is incident on the screen at an arbitrary angle. There is a layer of precipitation (snow) on top of the screen (the insert in the figure). We shall consider a square-grid mesh with perfect contacts at the nodes. This case is of practical interest because there is no cross-polarized component of the reflected wave and no azimuthal variation of the reflection coefficient.</t>
  </si>
  <si>
    <t>14-17</t>
  </si>
  <si>
    <t>6602835349;6506270461;6507548311</t>
  </si>
  <si>
    <t>Boyarskiy, D. A.;Kliorin, N. I.;Mirovskii, V. G.</t>
  </si>
  <si>
    <t>Boyarskiy D.</t>
  </si>
  <si>
    <t>Properties of snow-covered wire screens</t>
  </si>
  <si>
    <t>2-s2.0-0025545475</t>
  </si>
  <si>
    <t>['unambiguous detection', 'general case', 'equidistant subarrays']</t>
  </si>
  <si>
    <t>A method is proposed for unambiguous detection in the general case of coherent, incoherent and partially coherent plane-wave signals received by a planar antenna array consisting of a set of equidistant subarrays.</t>
  </si>
  <si>
    <t>14-18</t>
  </si>
  <si>
    <t>6507663972;7102230064</t>
  </si>
  <si>
    <t>Gitel'Son, V. S.;Petrova, I. V.</t>
  </si>
  <si>
    <t>Gitel'Son V.</t>
  </si>
  <si>
    <t>Coherent signal resolution by a planar antenna array</t>
  </si>
  <si>
    <t>2-s2.0-0025545516</t>
  </si>
  <si>
    <t>['wave part', 'wave attenuation', 'saturation tangential', 'retardation coefficient', 'result make', 'natural modes', 'microwave band', 'main contribution', 'magnetic losses', 'investigated based', 'fswl show', 'ferrite substrate', 'dominant mode', 'diminishing gyrotropy', 'dielectric losses']</t>
  </si>
  <si>
    <t>The properties of natural modes in single and coupled slotted waveguide lines with a ferrite substrate (FSWL) magnetized to saturation tangential to its surface and tranverse to the wave propagation direction are investigated based on a rigorous electrodynamic calculation. It is established that unlike other ferrite transmission lines in a ferrite substrate slotted waveguide line the nonreciprocity of the retardation coefficient of the dominant mode may increase in spite of the diminishing gyrotropy of the ferrite substrate. Calculations of the dielectric and magnetic losses of the dominant mode of an FSWL show that in the short-wave part of the microwave band the dielectric losses in the ferrite substrate predominate over the magnetic losses and as a result make the main contribution to wave attenuation.</t>
  </si>
  <si>
    <t>6507337210;7404808962;6505667163</t>
  </si>
  <si>
    <t>Gribnikov, B. A.;Ivanov, V. N.;Shuchinskiy, A. G.</t>
  </si>
  <si>
    <t>Gribnikov B.</t>
  </si>
  <si>
    <t>Analysis of the characteristics of natural waves in a slotted waveguide line with a ferrite substrate</t>
  </si>
  <si>
    <t>2-s2.0-0025545795</t>
  </si>
  <si>
    <t>['surface impedance', 'reflected field', 'purely reactive', 'numerical investigation', 'maximum radiation', 'integral equations', 'given surface', 'given direction', 'conformal reflector']</t>
  </si>
  <si>
    <t>The problem of finding the surface impedance of a conformal reflector in a given direction of maximum radiation is considered. The reflected field is represented as a nonuniform plane wave whose wavefront amplitude distribution is found from the condition for the surface impedance on the given surface to be purely reactive. A numerical investigation of such reflectors is carried out by solving the inverse diffraction problem by means of integral equations.</t>
  </si>
  <si>
    <t>6701816402;6506003495</t>
  </si>
  <si>
    <t>Erokhin, G. A.;Shkvarin, V. V.</t>
  </si>
  <si>
    <t>Erokhin G.</t>
  </si>
  <si>
    <t>Design of conformal reflectors</t>
  </si>
  <si>
    <t>2-s2.0-0025545837</t>
  </si>
  <si>
    <t>['transmittance distribution', 'resonator antennas', 'numerical calculations', 'intrinsic oscillation', 'internal surface', 'internal boundaries', 'given external', 'external surface']</t>
  </si>
  <si>
    <t>A method is described for the synthesis of resonator antennas with given external and internal boundaries. The antennas are synthesized in such a manner that the amplitude or energy directivity patterns of the intrinsic oscillation of the resonator is close to the required. The transmittance distribution of the external surface of the antenna is determined, and the internal surface is metallic. The results of numerical calculations are given.</t>
  </si>
  <si>
    <t>116-122</t>
  </si>
  <si>
    <t>6603346090;6507969957</t>
  </si>
  <si>
    <t>Andriychuk, M. I.;Topolyuk, Yu P.</t>
  </si>
  <si>
    <t>Andriychuk M.</t>
  </si>
  <si>
    <t>Synthesis of conformal resonator antennas in terms of a given amplitude of the directivity pattern</t>
  </si>
  <si>
    <t>2-s2.0-0025547864</t>
  </si>
  <si>
    <t>['vector functions', 'tangential component', 'space lr2', 'series satisfies', 'scattered field', 'plane waves', 'known formulas', 'infinite series', 'geometric surface', 'fourier coefficients']</t>
  </si>
  <si>
    <t>A treatment of the scattering of plane waves by dipole-excited mirror antennas is given, based on identifying certain vector functions that coincide with the surface current density and tangential component of the electric field vector both on the mirror metal surface and on a geometric surface that 'completes' the surface of the mirror, i.e., extends it until it is closed. The Fourier coefficients of these functions are then found with respect to a certain complete system of functions. Using these coefficients, an infinite series is constructed for the vector functions which coverges in the norm of the space LR2(sO); each term of this series satisfies the corresponding Meixner conditions at the edge of the mirror. Once the currents on the mirrors are found, they can be used to determine the scattered field and differential scattering cross-section of the mirror antenna according to well-known formulas.</t>
  </si>
  <si>
    <t>58-65</t>
  </si>
  <si>
    <t>Fel'd, Ya N.</t>
  </si>
  <si>
    <t>Fel'd Y.</t>
  </si>
  <si>
    <t>Scattering of electromagnetic waves by mirror antennas</t>
  </si>
  <si>
    <t>2-s2.0-0025549607</t>
  </si>
  <si>
    <t>['term separately', 'specially studied', 'short baseline', 'separate signals', 'recorded oscillation', 'much less', 'iterative algorithm', 'determining simultaneously', 'additive noise']</t>
  </si>
  <si>
    <t>An iterative algorithm is proposed for determining simultaneously the azimuths of two coherent radio signals. In this algorithm at each step of the iteration the recorded oscillation is represented as the sum of separate signals and the estimates of the azimuths are refined for each term separately. The analysis is performed for a circular antenna array. The case of a short baseline, when the radius of the array is much less than the wavelength of the signal, is specially studied. The convergence of the algorithm is investigated and the Cramer-Rao lower limits for the variances of the estimates are calculated for the case of a uniform isotropic field of additive noise.</t>
  </si>
  <si>
    <t>Khadzhi, B. A.</t>
  </si>
  <si>
    <t>Khadzhi B.</t>
  </si>
  <si>
    <t>Iterative, two-wave, phase-difference direction-finding algorithm</t>
  </si>
  <si>
    <t>2-s2.0-0025549941</t>
  </si>
  <si>
    <t>['value problem', 'transmission line', 'three coordinates', 'slotted structure', 'planar conductors', 'form fins', 'experimental investigations', 'dielectric layers', 'designed structures', 'complex boundary', 'complete solution']</t>
  </si>
  <si>
    <t>A transmission line is proposed with mutually orthogonal placement of dielectric layers and planar conductors to form fins at the center of a slotted structure. We have modeled the electromagnetic fields using a method that does not require a complete solution to the complex boundary-value problem. On the basis of our theoretical and experimental investigations we have designed structures for power division along all three coordinates and volume radiating structures.</t>
  </si>
  <si>
    <t>81-85</t>
  </si>
  <si>
    <t>7101700501;6602757732;6508379963</t>
  </si>
  <si>
    <t>Gvozdev, V. I.;Kuzaev, G. A.;Shepetina, V. A.</t>
  </si>
  <si>
    <t>Gvozdev V.</t>
  </si>
  <si>
    <t>Fin-slotlines. Theory, experiment, and structure</t>
  </si>
  <si>
    <t>2-s2.0-0025554063</t>
  </si>
  <si>
    <t>['simultaneous measurements', 'paper presents', 'open path', 'inversion layers', 'integral refraction', 'experimental data', 'essentially independent', 'closed paths', 'calculations within', 'basic models', 'atmospheric inhomogeneities', 'appreciable thickness']</t>
  </si>
  <si>
    <t>This paper presents the results of simultaneous measurements of the levels of meter-band television signals along open and closed paths. The open path was used to estimate the integral refraction. It is shown that in the absence of inversion layers of appreciable thickness the levels of the signals, re-emitted by atmospheric inhomogeneities, are essentially independent of the refractive index gradient. A comparison is made of experimental data with calculations within the framework of the basic models for long-distance tropospheric propagation.</t>
  </si>
  <si>
    <t>72-76</t>
  </si>
  <si>
    <t>6602260632;6506041624;6602785867</t>
  </si>
  <si>
    <t>Kortunov, V. A.;Strel'Nikov, Yu M.;Kivva, F. V.</t>
  </si>
  <si>
    <t>Kortunov V.</t>
  </si>
  <si>
    <t>On the effect of refraction on the propagation of meter radio waves near the diffraction horizon</t>
  </si>
  <si>
    <t>2-s2.0-0025554068</t>
  </si>
  <si>
    <t>['time algorithm', 'statistical model', 'rayleigh criterion', 'known number', 'angular coordinates']</t>
  </si>
  <si>
    <t>A space-time algorithm is obtained for estimating the angular coordinates of a known number of point radiation sources, located within one resolution element in terms of the Rayleigh criterion. A statistical model of it is given.</t>
  </si>
  <si>
    <t>104-112</t>
  </si>
  <si>
    <t>Sychev, M. I.</t>
  </si>
  <si>
    <t>Sychev M.</t>
  </si>
  <si>
    <t>Space-time estimation of angular coordinates of closely spaced radiation sources</t>
  </si>
  <si>
    <t>2-s2.0-0025554815</t>
  </si>
  <si>
    <t>['waveguide ku', 'two ports', 'step discontinuities', 'schiffman principle', 'rigorous method', 'return loss', 'plane stub', 'normalized eigenmodes', 'measured results', 'loss qualities', 'finite step', 'field expansion', 'design includes', 'broadband potential', 'branch three', 'branch heights', 'branch couplers', '40 ghz', '18 ghz']</t>
  </si>
  <si>
    <t>Optimum rectangular waveguide E-plane branch guide phase shifters and 180¬∞ branch guide couplers are designed with the rigorous method of field expansion into normalized eigenmodes. The design includes both the higher order mode interaction between the step discontinuities and the finite step and branch heights. The phase shifter design applies the Schiffman principle to branch guide couplers where two ports are short-circuited. The 180¬∞ coupler design combines the advantage of the broadband potential of multiple-branch couplers with the low-insertion-loss qualities of E-plane stub-loaded phase shifters. A computer-optimized phase shifter prototype for the waveguide Ku-band (12-18 GHz) shows a 90¬∞ ¬± 1¬∞ differential phase shift with reference to an empty waveguide within about 23% bandwidth. Five-branch three-stub coupler prototypes, designed for 3 ¬± 0.2 dB coupling, for the waveguide Ku- and Ka-bands (26-40 GHz) achieve a 180¬∞ ¬± 1¬∞ differential phase shift at the output ports within about 19% bandwidth, as well as more than 30 dB isolation and return loss. The theory is verified by measured results.</t>
  </si>
  <si>
    <t>1854-1861</t>
  </si>
  <si>
    <t>60008293;60008293;60008293</t>
  </si>
  <si>
    <t>7006748393;6601906823;36956067400</t>
  </si>
  <si>
    <t>Arndt, Fritz;Sieverding, Thomas;Anders, Peter</t>
  </si>
  <si>
    <t>Arndt F.</t>
  </si>
  <si>
    <t>Optimum field theory design of broad-band E-plane branch guide phase shifters and 180¬∞ couplers</t>
  </si>
  <si>
    <t>10.1109/22.64566</t>
  </si>
  <si>
    <t>2-s2.0-0025554845</t>
  </si>
  <si>
    <t>['transmission distribution', 'resonant cavity', 'paper extends', 'outer boundary', 'method determines', 'given frequency', 'dimensional problem']</t>
  </si>
  <si>
    <t>This paper extends a method of synthesizing resonator antennas. This method determines the shape and properties of the resonant cavity, and finds the generalized natural oscillation, which at a given frequency has the required directivity pattern. We consider the case of antennas with a non-circular outer boundary. The amplitude and the shape of the outer boundary are given in the problem to be solved, while the unknowns are the transmission distribution of the outer boundary and the shape of the inner metallic boundary. The two-dimensional problem is considered.</t>
  </si>
  <si>
    <t>140-143</t>
  </si>
  <si>
    <t>6603346090;6507066954</t>
  </si>
  <si>
    <t>Andriychuk, M. I.;Bolotova, I. P.</t>
  </si>
  <si>
    <t>Synthesis of resonator antenna with an arbitrary outer boundary</t>
  </si>
  <si>
    <t>2-s2.0-0025556551</t>
  </si>
  <si>
    <t>['transmit path', 'test results', 'seven stages', 'pole double', 'phase shifter', 'noise amplifier', 'multifunction self', 'high level', 'good yield', 'gain low', 'four chips', 'excellent performance', 'band transmit', 'aligned gate', '2 gain']</t>
  </si>
  <si>
    <t>Design and test results for small-signal multifunction MMICs (monolithic microwave integrated circuits) for C-band transmit/receive (T/R) modules are presented. This chip set includes the entire receive path and a portion of the transmit path (seven stages of amplification and 11 passive circuits) in just four chips. These ICs, fabricated with the multifunction self-aligned gate (MSAG) process, demonstrate a high level of integration, excellent performance, and a good yield. The variable-gain low-noise amplifier has 30 ¬± 1 dB gain and 2.5 dB noise figure, the phase shifter/SPDT (single-pole double-throw) switch has 8 ¬± 1 dB loss, the T/R buffer amplifier has 6.5 ¬± 0.2 gain and 3.5 dB noise figure, and the variable gain buffer amplifier has 8.5 ¬± 0.5 dB gain and 2.5 dB noise figure.</t>
  </si>
  <si>
    <t>2007-2015</t>
  </si>
  <si>
    <t>60021030;60021030;60021030;60021030;60021030;60021030;60021030;60021030;60021030</t>
  </si>
  <si>
    <t>7006626228;7004967836;6507756626;7006923871;6603948909;7103350293;7103016737;6602346100;6506928333</t>
  </si>
  <si>
    <t>Willems, David A.;Coluzzi, Michael E.;Tantod, Shukdev S.;Bahl, Inder J.;Pollman, Michael D.;Jorgenson, Jon D.;Griffin, Edward L.;Andricos, Constantine;Brukiewa, Thomas F.</t>
  </si>
  <si>
    <t>ITT Night Vision</t>
  </si>
  <si>
    <t>Multifunction small-signal chip set for transmit/receive modules</t>
  </si>
  <si>
    <t>10.1109/22.64587</t>
  </si>
  <si>
    <t>2-s2.0-0025558407</t>
  </si>
  <si>
    <t>['spatial interference', 'proposed criteria', 'optimality requirements', 'optimality criterion', 'numerical modeling', 'navigation systems', 'applebaum algorithm', 'adequately reflect']</t>
  </si>
  <si>
    <t>The optimality criterion of the Applebaum algorithm and the criteria that adequately reflect the optimality requirements of spatial interference in communications and navigation systems are formulated and a corresponding block diagram is given. The effectiveness of the proposed criteria is illustrated by the results of numerical modeling.</t>
  </si>
  <si>
    <t>32-37</t>
  </si>
  <si>
    <t>Choni, Yu I.</t>
  </si>
  <si>
    <t>Choni Y.</t>
  </si>
  <si>
    <t>Optimum adaptive antenna arrays for communications and navigation systems</t>
  </si>
  <si>
    <t>2-s2.0-0025558518</t>
  </si>
  <si>
    <t>['studied theoretically', 'signal reflected', 'secondary spectrum', 'roughness parameters', 'rough surface', 'reflecting surface', 'radiation pattern', 'radar altimetry', 'flight altitude', 'average spectra']</t>
  </si>
  <si>
    <t>The case of radar altimetry with the help of a continuous wideband noisy sounding signal and double spectral processing is studied theoretically. Analysis of the average spectra of the sum of the signal reflected from the rough surface and the reference signal showed that the form of the secondary spectrum (the spectrum of the spectrum) is determined not only by the flight altitude and the width of the radiation pattern of the antennas but also by the roughness parameters of the reflecting surface.</t>
  </si>
  <si>
    <t>98-104</t>
  </si>
  <si>
    <t>6701534648;6602865908;55401259100;7006165564</t>
  </si>
  <si>
    <t>Zalogin, N. N.;Kalinkevich, A. A.;Kirillin, K. A.;Kislov, V. Ya</t>
  </si>
  <si>
    <t>Zalogin N.</t>
  </si>
  <si>
    <t>On the possibility of measuring the distance to a rough surface by the method of spectral analysis of a continuous noise signal</t>
  </si>
  <si>
    <t>2-s2.0-0025561278</t>
  </si>
  <si>
    <t>['static waves', 'nonuniform along', 'frequency characteristics', 'current distribution', 'approximate method']</t>
  </si>
  <si>
    <t>An approximate method is proposed for calculating the spatial-frequency characteristics of finite curvilinear microstrip antennas of magneto-static waves (MSW) with a current distribution that is nonuniform along the length.</t>
  </si>
  <si>
    <t>24-28</t>
  </si>
  <si>
    <t>Gold'Berg, L. B.</t>
  </si>
  <si>
    <t>Gold'Berg L.</t>
  </si>
  <si>
    <t>Calculation of spatial-frequency characteristics of curvilinear microstrip emitters of magnetostatic waves</t>
  </si>
  <si>
    <t>2-s2.0-0025562299</t>
  </si>
  <si>
    <t>['paper considers', 'model reduces', 'mathematical model', 'magnetic fields', 'longitudinal elements', 'helmotz equations']</t>
  </si>
  <si>
    <t>This paper considers the mathematical model of a regular shielded line. An investigation of this model reduces to that of solving the complex boundary value problem at the eigenvalues for the system of Helmotz equations for the longitudinal elements of the electric and magnetic fields.</t>
  </si>
  <si>
    <t>138-140</t>
  </si>
  <si>
    <t>Smirnov, Yu G.</t>
  </si>
  <si>
    <t>Smirnov Y.</t>
  </si>
  <si>
    <t>Analysis of the mathematical models of slot and strip transmission lines with a conductor of arbitrary shape</t>
  </si>
  <si>
    <t>2-s2.0-0025562469</t>
  </si>
  <si>
    <t>['whose distribution', 'time constant', 'synthesized algorithm', 'slow changes', 'reference load', 'optimal evaluation', 'much shorter', 'dimensional analog', 'constructed based', 'connected alternately', 'antenna temperatures', 'antenna channels']</t>
  </si>
  <si>
    <t>The problem of passive remote sensing in the microwave band using a radiometer system consisting of an antenna with two orthoganally polarized channels and a receiver is studied. The input of the receiver is connected alternately to a reference load and the antenna channels with a period that is much shorter than the time constant of the slow changes in the gain. An algorithm for the optimal evaluation of the antenna temperatures is constructed based on the statistics of observations, whose distribution does not depend on the values of the gain. The synthesized algorithm is a two-dimensional analog of the invariant estimation algorithm for Dicke's radiometer.</t>
  </si>
  <si>
    <t>6701544684;57197684548</t>
  </si>
  <si>
    <t>Murza, L. P.;Musatov, V. V.</t>
  </si>
  <si>
    <t>Murza L.</t>
  </si>
  <si>
    <t>Synthesis of an invariant two-polarization radiometer</t>
  </si>
  <si>
    <t>2-s2.0-0025564421</t>
  </si>
  <si>
    <t>['well known', 'tapered low', 'sidelobe level', 'sidelobe array', 'missing element', 'failed element']</t>
  </si>
  <si>
    <t>It is well known that the sidelobe level of a tapered low-sidelobe array is degraded by a missing or failed element and that the effect is strongest (worst) when the outage (missing element) is at or near the center of the array. To illustrate this quantitatively, the effects of one missing center element in various tapered linear arrays is shown.</t>
  </si>
  <si>
    <t>32-33</t>
  </si>
  <si>
    <t>Howell, James M.</t>
  </si>
  <si>
    <t>Howell J.</t>
  </si>
  <si>
    <t>Antenna Designer's Notebook--Effects of a missing element on Taylor array patterns</t>
  </si>
  <si>
    <t>10.1109/74.80610</t>
  </si>
  <si>
    <t>2-s2.0-0025564425</t>
  </si>
  <si>
    <t>['transmitting antenna', 'time fulfills', 'power transmission', 'maximum value', 'directivity diagram', 'amplitude distribution']</t>
  </si>
  <si>
    <t>We investigate a method of synthesizing the amplitude distribution (AD) of the field at a transmitting antenna which corresponds to the maximum value of efficiency for power transmission, and at the same time fulfills a number of conditions which apply to the shape of the directivity diagram (DD)</t>
  </si>
  <si>
    <t>56-62</t>
  </si>
  <si>
    <t>Method of synthesizing optimal directivity diagrams for antennas used for energy transmission via microwave beams</t>
  </si>
  <si>
    <t>2-s2.0-0025566226</t>
  </si>
  <si>
    <t>['work consideres', 'structural parameters', 'smooth variation', 'regular structures', 'reactive loads', 'modulated structures', 'metallic screen', 'markov et', 'lobe level', 'equally spaced', 'dp realizations', 'directivity pattern', 'conductor structure', 'certain periodicity']</t>
  </si>
  <si>
    <t>It has been established by G.T. Markov et. al. in the practice of building traveling wave antennas that for a smooth variation of the structural parameters of the antennas the side-lobe level of the directivity pattern (DP) is reduced, and for a certain periodicity (or modulated structures) wilder possibilities become available for DP realizations than in the case of traveling wave antennas constructed on the basis of regular structures. This work consideres a periodically loaded single-conductor structure in the form of a conductor above a metallic screen, in which equally spaced (by the amount T) reactive loads are incorporated.</t>
  </si>
  <si>
    <t>Dvurechenskiy, V. D.</t>
  </si>
  <si>
    <t>Dvurechenskiy V.</t>
  </si>
  <si>
    <t>Modulated periodically loaded single-conductor structure</t>
  </si>
  <si>
    <t>2-s2.0-0025566236</t>
  </si>
  <si>
    <t>['œ ±)', 'œ ±', 'xoy plane', 'two reflections', 'r sin', 'r cos', 'plane waves', 'plane wave', 'phase front', 'change direction', 'boundary x', 'boundary u', 'author considers']</t>
  </si>
  <si>
    <t>Author considers the problem of the transformation of plane waves after two reflections. Let us assume a plane wave, the phase front of which coincides with the XOY plane, is propagating in the z axis direction. For simplicity we will assume that after two reflections the wave does not change direction. As an example, the transformation is considered of a circle with the boundary x(Œ±) = r cosŒ±, y(Œ±) = r sinŒ± into a circle that is extended and 'rotated' by the angle Œ±0 and having the boundary u(Œ±) = R cos(Œ± + Œ±0) + Œæ0, v(Œ±) = R sin(Œ± + Œ±0) + Œ∑0.</t>
  </si>
  <si>
    <t>Gasanov, E. E.</t>
  </si>
  <si>
    <t>Gasanov E.</t>
  </si>
  <si>
    <t>On the synthesis of cassegrainian antennas, transforming the amplitudes of plane waves in the required manner</t>
  </si>
  <si>
    <t>2-s2.0-0025566706</t>
  </si>
  <si>
    <t>['solved approximately', 'numerical results', 'linear dipole', 'integral equation']</t>
  </si>
  <si>
    <t>The problem of producing a given current distribution along a linear dipole by connecting lumped loads is considered. The problem is solved approximately (by the method of an equivalent loaded long line) and more precisely (by using an integral equation and mathematical programming method). Numerical results are presented.</t>
  </si>
  <si>
    <t>122-130</t>
  </si>
  <si>
    <t>Levin, B. M.</t>
  </si>
  <si>
    <t>Levin B.M.</t>
  </si>
  <si>
    <t>Using loads to obtain a given current distribution along a dipole</t>
  </si>
  <si>
    <t>2-s2.0-0025566834</t>
  </si>
  <si>
    <t>['targets k', 'simple increase', 'resolution conditions', 'resolution capability', 'relations make', 'potential accuracies', 'orthonormal functions', 'one wishes', 'noise ratio', 'directivity patterns', 'direction finders', 'direction finder', 'best characteristics', 'arbitrary number']</t>
  </si>
  <si>
    <t>Relations have been obtained that make it possible to estimate the resolution conditions, the potential accuracies of the measurements, as well as the structure of the signal processing devices in a multichannel direction finder for an arbitrary number of channels M, targets K and configuration of the directivity patterns in space. These relations make it possible to conclude that a simple increase in the number of channels cannot improve the resolution capability of a direction finder by very much for a signal/noise ratio as high as one wishes. Direction finders, whose directivity patterns are described by orthonormal functions (the elements of the Wronskian matrices reach their maximum values), have the best characteristics with respect to resolution and accuracy.</t>
  </si>
  <si>
    <t>135-140</t>
  </si>
  <si>
    <t>6506513613;6603351839</t>
  </si>
  <si>
    <t>Andreyev, F. M.;Seletkov, V. L.</t>
  </si>
  <si>
    <t>Andreyev F.</t>
  </si>
  <si>
    <t>Synthesis of a nontracking multichannel direction finder of a collection of unknown signal sources</t>
  </si>
  <si>
    <t>2-s2.0-0025567211</t>
  </si>
  <si>
    <t>['wave dipoles', 'two reflectors', 'specific requirements', 'shape depends', 'polarization orthogonal', 'operating efficiency', 'investigated together', 'high frequency', 'directivity pattern', 'dipole feed', 'different frequencies']</t>
  </si>
  <si>
    <t>One possible implementation of a decimeter wave band two-frequency dipole feed, which has been used for the reception of unpolarized cosmic radio emission, is suggested in this paper. The dipole feed has two mutually orthogonal half-wave dipoles and two reflectors. The dipoles are tuned to different frequencies and are shifted with respect to one another along the axis of the system, while one of the reflectors is made in the form of an array of rods, parallel to the dipole, tuned to a high frequency. The other reflector's shape depends on the specific requirements of the directivity pattern of the antenna. The effect of the array on the characteristics of an antenna with a polarization orthogonal to the direction of the rods was investigated together with its operating efficiency with its own dipole.</t>
  </si>
  <si>
    <t>124-125</t>
  </si>
  <si>
    <t>6602308977;56283331300</t>
  </si>
  <si>
    <t>Dugin, N. A.;Miller, M. Ye</t>
  </si>
  <si>
    <t>Dugin N.</t>
  </si>
  <si>
    <t>Two-frequency dipole feed</t>
  </si>
  <si>
    <t>2-s2.0-0025567344</t>
  </si>
  <si>
    <t>['two versions', 'phase method', 'phase distribution', 'block diagrams', 'antenna measurements', 'antenna field']</t>
  </si>
  <si>
    <t>An essentially new procedure is developed for determining the amplitude-phase distribution of an antenna field for the amplitude-phase method of antenna measurements. Two versions of the block diagrams of the device for carrying out the method are presented.</t>
  </si>
  <si>
    <t>7103210121;6603450040</t>
  </si>
  <si>
    <t>Borisov, S. Yu;Sazonov, D. M.</t>
  </si>
  <si>
    <t>Borisov S.</t>
  </si>
  <si>
    <t>Method of increasing the accuracy of phase measurements in the amplitude-phase method of antenna measurements</t>
  </si>
  <si>
    <t>2-s2.0-0025575186</t>
  </si>
  <si>
    <t>['unequal amplitudes', 'uncorrelated signals', 'two antennas', 'power combiners', 'noise sources', 'input signals', 'communication systems', 'become complex', 'also critical']</t>
  </si>
  <si>
    <t>Power combiners are useful as components in communication systems and in communication system modeling. The analysis of power combiners can become complex when the input signals are sinusoids with unequal amplitudes and phases, uncorrelated signals, or noise sources. Power combining techniques are also critical in combining power amplifiers and designing receiving systems with two antennas. Power combiner fundamentals are discussed.</t>
  </si>
  <si>
    <t>69-70, 74</t>
  </si>
  <si>
    <t>Microwaves &amp; RF</t>
  </si>
  <si>
    <t>Gilmore, Robert P.</t>
  </si>
  <si>
    <t>Qualcomm Incorporated</t>
  </si>
  <si>
    <t>Gilmore R.</t>
  </si>
  <si>
    <t>Combiner design techniques optimize system performance</t>
  </si>
  <si>
    <t>2-s2.0-0025575520</t>
  </si>
  <si>
    <t>['screen surface', 'results obtained', 'radiation pattern', 'eev located', 'current distribution']</t>
  </si>
  <si>
    <t>The effect of a rectangular ideally conducting screen on the structure of the electromagnetic field generated by an elementary electric dipole (EED) is analyzed. The current distribution on the screen surface and the radiation pattern of the system under consideration are investigated. The results obtained are compared with the results for an EEV located over an ideally conducting disk.</t>
  </si>
  <si>
    <t>121-124</t>
  </si>
  <si>
    <t>7007013967;6507959040</t>
  </si>
  <si>
    <t>Pimenov, Yu V.;Khod'kov, D. A.</t>
  </si>
  <si>
    <t>Pimenov Y.</t>
  </si>
  <si>
    <t>Radiation of an elementary electric dipole located over a plane rectangular screen</t>
  </si>
  <si>
    <t>2-s2.0-0025576012</t>
  </si>
  <si>
    <t>['vertical component', 'transfer charges', 'thunderstorm activity', 'stroke model', 'statistical analysis', 'short space', 'protected areas', 'main parameters', 'lightning protection', 'lightning parameters', 'lightning flashes', 'lightning discharge', 'lightning current', 'leading edge', 'high value', 'errors compared', 'enable one', 'direct methods', 'different signs', 'different kinds', 'completely reflects', 'channel stage', 'calibrated antenna', 'acceptable way']</t>
  </si>
  <si>
    <t>In designing construction projects for example overhead electric power lines, it is necessary to provide scientific justification for the choice of the method of lightning protection. To do this one needs reliable information on such characteristics of thunderstorm activity as the amplitude and slope of the leading edge of the lightning current, the number of components in a flash of lightning and the length of the intervals between them, the ratio of the lightning flashes which transfer charges of different signs to earth, and the specific damage inflicted on protected areas by different kinds of lightning. Despite the high value of the errors compared with direct methods of measurement, the most acceptable way of obtaining this information is by using remote radio methods, which enable one in a short space of time to assemble sufficient experimental data for a statistical analysis of the lightning parameters. By recording the vertical component of the electric field strength Ez on the earth's surface, using a calibrated antenna at the leading-channel stage of the lightning discharge, and using the return-stroke model, which most completely reflects the physical processes occurring in a channel, one can determine the main parameters of the lightning current.</t>
  </si>
  <si>
    <t>Electric Technology, USSR</t>
  </si>
  <si>
    <t>6508273171;6504323269</t>
  </si>
  <si>
    <t>Adzhiyev, A. Kh;Bogachenko, E. M.</t>
  </si>
  <si>
    <t>Adzhiyev A.</t>
  </si>
  <si>
    <t>Use of radio methods to estimate the parameters of lightning discharges used in thunderstorm protection</t>
  </si>
  <si>
    <t>2-s2.0-0025576089</t>
  </si>
  <si>
    <t>['surface electric', 'remaining surface', 'mixed problem', 'magnetic current', 'curvilinear surface', 'currents belonging', 'certain sense', 'best approximation', 'antenna theory']</t>
  </si>
  <si>
    <t>Three inverse problems of antenna theory are formulated and solved. These problems are reduced to determining the surface electric or magnetic current density on a curvilinear surface s, and a mixed problem, when the electric current must be found on a portion of the surface and the magnetic current on the remaining surface from the given radiation patterns of these currents. Criteria for the obtainability of these patterns by currents belonging to LR2(s) space are presented, and methods of obtaining the best approximation in a certain sense, of nonrealizable radiation patterns, produced by currents from the LR2(s) space, are described.</t>
  </si>
  <si>
    <t>113-121</t>
  </si>
  <si>
    <t>Inverse problems of the antenna theory and the criteria for the obtainability of radiation patterns</t>
  </si>
  <si>
    <t>2-s2.0-0025576947</t>
  </si>
  <si>
    <t>['absorption element']</t>
  </si>
  <si>
    <t>Broadband discrete attenuators whose fixed attenuator (absorption element) is constructed in the form of a balanced slotted line are investigated, and experimental results confirming the possibility of fabricating minature discrete attenuators with improved performance characteristics are given.</t>
  </si>
  <si>
    <t>88-89</t>
  </si>
  <si>
    <t>Broadband discrete microwave attenuators</t>
  </si>
  <si>
    <t>2-s2.0-0025577171</t>
  </si>
  <si>
    <t>['statistical modeling', 'sequential detector']</t>
  </si>
  <si>
    <t>A sequential detector that employs the total response power of a heterodyne gravitational antenna is synthesized, and statistical modeling of a detector on a computer is carried out.</t>
  </si>
  <si>
    <t>89-92</t>
  </si>
  <si>
    <t>7102280274;6603987918</t>
  </si>
  <si>
    <t>Trifonov, A. P.;Vetrov, S. V.</t>
  </si>
  <si>
    <t>Trifonov A.</t>
  </si>
  <si>
    <t>Sequential detector of continuous gravitational radiation of decreasing frequency</t>
  </si>
  <si>
    <t>2-s2.0-0025577885</t>
  </si>
  <si>
    <t>['simple design', 'arrays combine']</t>
  </si>
  <si>
    <t>The characteristics of linear nonequidistant antenna arrays (AA) designed using cyclic and relative difference sets (CDS and RDS) are investigated and optimized. It is shown that such arrays combine a simple design and fairly low sidelobe (SL) levels.</t>
  </si>
  <si>
    <t>42-49</t>
  </si>
  <si>
    <t>6701599026;7003684032</t>
  </si>
  <si>
    <t>Kopilovich, L. E.;Sodin, L. G.</t>
  </si>
  <si>
    <t>Kopilovich L.</t>
  </si>
  <si>
    <t>Linear nonequidistant antenna arrays based on difference sets</t>
  </si>
  <si>
    <t>2-s2.0-0025586961</t>
  </si>
  <si>
    <t>['use information', 'transfer coefficient', 'synthesis problem', 'space needed', 'present note', 'fundamental changes', 'exact expression', 'e .,', 'directional properties', 'current distribution', 'classical formulation', 'approach involving']</t>
  </si>
  <si>
    <t>The goal of the present note is to show that inclusion of thermal losses leads to fundamental changes in both the theory of the synthesis problem and its classical formulation, which consists of finding the current distribution for a given complex directivity diagram. In this paper, everywhere in what follows we will state the requirements on the directional properties of the antenna in terms of real angles alone, i.e., we use information only about the fundamental observable quantities (for local problems involving the maximization of the transfer coefficient between closely spaced antennas, it is impossible to develop an approach involving only the fundamental observable quantities in all the other relations as well, by deriving an exact expression for the field - in the regions on space needed to solve the problem - in the form of a superposition of purely uniform plane waves).</t>
  </si>
  <si>
    <t>Polishchuk, I. M.</t>
  </si>
  <si>
    <t>Polishchuk I.</t>
  </si>
  <si>
    <t>Theory of the synthesis of radiating systems in the classical formulation. The effect of including thermal losses</t>
  </si>
  <si>
    <t>2-s2.0-0025589003</t>
  </si>
  <si>
    <t>['sis mixer', 'sis junction', 'saturation power', 'operating regimes', 'energy gap', 'different harmonics', 'conversion regime', 'conversion loss', 'compensation elements', '75 ghz']</t>
  </si>
  <si>
    <t>A mockup of a quasi-optical wideband mixer on the basis of an equiangle helical antenna, loaded by a superconductor-insulator-superconductor (SIS) junction with compensation elements of the capacitance of the SIS junction on a substrate, was built in order to investigate the harmonic SIS mixer. The operating regimes of the SIS mixer at heterodyne frequencies fh = 1, 1/2. 1/3 and 1/8 of the signal frequency fs = 75 GHz are investigated. A comparison of the conversion loss and optimum heterodyne power is made at different harmonics. The conversion regime at the second heterodyne harmonic is investigated for a bias voltage corresponding to the energy gap of the SIS junction. The saturation power of the harmonic SIS mixer and the noise in the case of high bias current and heterodyne power values are measured.</t>
  </si>
  <si>
    <t>103-112</t>
  </si>
  <si>
    <t>6507441979;7005834598;6602312652;7006847399</t>
  </si>
  <si>
    <t>Belitskiy, V. Yu;Vystavkin, A. N.;Serpuchenko, I. L.;Tarasov, M. A.</t>
  </si>
  <si>
    <t>Belitskiy V.</t>
  </si>
  <si>
    <t>Conversion at Heterodyne frequency harmonics in a mixer employing superconductor tunnel junctions</t>
  </si>
  <si>
    <t>2-s2.0-0025590007</t>
  </si>
  <si>
    <t>['sharply diminished', 'really encountered', 'planar interface', 'ocean paths', 'narrow sector', 'isotropic antennas', 'irregular interfaces', 'glancing angles', 'entire half', 'enhancement effect', 'e .,']</t>
  </si>
  <si>
    <t>For the case of isotropic antennas and reflectors, the the enhanced backward scattering of waves is observable in the entire half-space above the planar interface. It is shown here that for irregular interfaces, i.e., the kind that are really encountered in earth and ocean paths, the region of existence of this enhancement effect is sharply diminished, and is localized in a narrow sector of glancing angles of observation.</t>
  </si>
  <si>
    <t>141-143</t>
  </si>
  <si>
    <t>6602320569;6503877831</t>
  </si>
  <si>
    <t>Shtager, E. A.;Shtager, D. E.</t>
  </si>
  <si>
    <t>Shtager E.</t>
  </si>
  <si>
    <t>Region of existence of enhanced backward scattering of waves near a rough surface</t>
  </si>
  <si>
    <t>2-s2.0-0025590199</t>
  </si>
  <si>
    <t>['variable transmittance', 'rms discrepancy', 'results obtained', 'numerical results', 'dimensional problem', 'asymptotic formulas', 'antenna consisting']</t>
  </si>
  <si>
    <t>An antenna consisting of a half-transmitting shell enclosing known sources (the two-dimensional problem) is studied. A method is proposed for calculating the variable transmittance, minimizing the rms discrepancy between the fixed and obtained amplitude radiation patterns. The numerical results are compared with the results obtained from asymptotic formulas in order to determine the limits of applicability of the latter.</t>
  </si>
  <si>
    <t>29-35</t>
  </si>
  <si>
    <t>6603901427;7801582482;6603550149</t>
  </si>
  <si>
    <t>Voytovich, N. N.;Zamorskaya, O. F.;Korshunova, Ye N.</t>
  </si>
  <si>
    <t>Voytovich N.</t>
  </si>
  <si>
    <t>Synthesis of the distribution of the transmittance of the surface of a conformal antenna with fixed excitation</t>
  </si>
  <si>
    <t>2-s2.0-0025591150</t>
  </si>
  <si>
    <t>['visual inspection', 'technique based', 'subspace techniques', 'spectrum estimator', 'spatial spectrum', 'proposed technique', 'optimal processing', 'music algorithm', 'existing high', 'assessing resolution', 'achieves superresolution']</t>
  </si>
  <si>
    <t>The paper first briefly reviews some subspace techniques for high-resolution array processing. It is shown that existing high-resolution techniques like the MUSIC algorithm are based on visual inspection of the spatial spectrum. It is not a scientifically valid means of assessing resolution of a spectrum estimator. The paper then proposes a technique based on a combination of optimal processing and signal subspace extraction for high-resolution array processing. Numerical results show that the proposed technique not only achieves superresolution of the spectrum, but also provides power estimates of the arrivals. ¬© 1990 Birkh√§user Boston Inc.</t>
  </si>
  <si>
    <t>421-433</t>
  </si>
  <si>
    <t>0278081X</t>
  </si>
  <si>
    <t>Circuits Systems and Signal Processing</t>
  </si>
  <si>
    <t>60005510;60031806;60005510</t>
  </si>
  <si>
    <t>7102842938;7005144794;7410148436</t>
  </si>
  <si>
    <t>Er, M. H.;Cantoni, A.;Lee, C. S.</t>
  </si>
  <si>
    <t>Australia;Singapore</t>
  </si>
  <si>
    <t>Perth;Singapore City</t>
  </si>
  <si>
    <t>The University of Western Australia;Nanyang Technological University</t>
  </si>
  <si>
    <t>60031806;60005510</t>
  </si>
  <si>
    <t>Application of signal subspace approach to high-resolution narrowband array processing</t>
  </si>
  <si>
    <t>10.1007/BF01189335</t>
  </si>
  <si>
    <t>2-s2.0-0025596706</t>
  </si>
  <si>
    <t>['wave beams', 'radiation pattern', 'fundamental modes', 'distances comparable', 'converging beams']</t>
  </si>
  <si>
    <t>The interference of coherent electromagnetic waves, merged into converging beams which are separated in space by distances comparable with the wavelength, is studied. The radiation pattern of a system of beams is determined. The radiation pattern of a system of wave beams with fundamental modes is analyzed in detail.</t>
  </si>
  <si>
    <t>Radiation pattern of a system of converging wave beams</t>
  </si>
  <si>
    <t>2-s2.0-0025621860</t>
  </si>
  <si>
    <t>['v satellite', 'tracking tests', 'tracking method', 'system compactness', 'low cost', 'light weight', 'array antenna', 'antenna design']</t>
  </si>
  <si>
    <t>The antenna design and tracking method of the phased-array antenna for land-mobile earth stations described were developed with emphasis on system compactness, light weight, and low cost. The antenna will soon be used in communications and tracking tests with the ETS-V satellite at the Communications Research Laboratory of the Ministry of Posts and Telecommunications in Japan.</t>
  </si>
  <si>
    <t>33-34</t>
  </si>
  <si>
    <t>Mitsubishi Electric Advance</t>
  </si>
  <si>
    <t>60101699;60101699</t>
  </si>
  <si>
    <t>7402492423;7102500699</t>
  </si>
  <si>
    <t>Tsuchiya, Makio;Matsunaga, Makoto</t>
  </si>
  <si>
    <t>Tsuchiya M.</t>
  </si>
  <si>
    <t>Phased-array antenna for land-mobile satellite-communications systems</t>
  </si>
  <si>
    <t>2-s2.0-0025628080</t>
  </si>
  <si>
    <t>['receiver antenna', 'proposed making', 'maximum flatness', 'directivity pattern']</t>
  </si>
  <si>
    <t>A method has been proposed making it possible for a given power transmission efficiency value (&lt;EFFmax) to synthesize a DP of maximum flatness. It has also been shown that for a given efficiency value a directivity pattern can exist having a higher efficiency value for the receiver antenna.</t>
  </si>
  <si>
    <t>7004652700;57208727390</t>
  </si>
  <si>
    <t>Vanke, V. A.;Zaporozhets, A. A.</t>
  </si>
  <si>
    <t>Synthesis of directivity pattern of maximum flatness for an antenna transmitting power by means of microwave beam</t>
  </si>
  <si>
    <t>2-s2.0-0025630293</t>
  </si>
  <si>
    <t>['resolution provided', 'quantitative analysis', 'psc ):', 'potential capabilities', 'matched processing', 'linear field']</t>
  </si>
  <si>
    <t>An approach is proposed to the quantitative analysis of the potential capabilities for improving the resolution of linear field and signal restoration techniques compared to the resolution provided by matched processing for continual and finite-dimensional primary field observations. It is shown that such an approach for a given observation equation and a primary data recording technique makes it possible to obtain potential superresolution characteristics (PSC): the dependence of the theoretically maximum superresolution coefficient on the maximum energy loss level. Potential superresolution characteristics are obtained for the problem of inverting a convolutional observation equation and for spatial spectral analysis.</t>
  </si>
  <si>
    <t>Kolyadin, V. L.</t>
  </si>
  <si>
    <t>Kolyadin V.</t>
  </si>
  <si>
    <t>Investigation of the potential superresolution capabilities by field and signal restoration</t>
  </si>
  <si>
    <t>2-s2.0-0025637851</t>
  </si>
  <si>
    <t>['resolving power', 'refractive index', 'record signals', 'linear antennas', 'horizontal planes', 'distorting effect', 'described using', 'comparative analysis', 'anisotropic modification']</t>
  </si>
  <si>
    <t>A comparative analysis is made of the resolving power of linear antennas which are placed on the earth in the vertical and horizontal planes and which record signals from spatially separated sources in the presence of the distorting effect of the atmosphere. The effect of the atmosphere is described using an anisotropic modification of Karman's model for the spectrum of fluctuations of the refractive index.</t>
  </si>
  <si>
    <t>35614653600;7006332887</t>
  </si>
  <si>
    <t>Lobanov, Ye A.;Lomakin, A. N.</t>
  </si>
  <si>
    <t>Lobanov Y.</t>
  </si>
  <si>
    <t>Resolving power of antennas in an anisotropic turbulent medium</t>
  </si>
  <si>
    <t>2-s2.0-0025666263</t>
  </si>
  <si>
    <t>['two degrees', 'several versions', 'required amplitude', 'reactive elements', 'phase distribution', 'one step', 'feed circuit', 'antenna array']</t>
  </si>
  <si>
    <t>It is shown that the required amplitude-phase distribution of the current in an antenna array can be obtained with reactive elements in the feed circuit. Two operating regimes are studied: transmitting (receiving) and relay. Several versions of the feed circuit, characterized by two degrees of freedom on one step of the array, are studied.</t>
  </si>
  <si>
    <t>35-42</t>
  </si>
  <si>
    <t>Yerokhin, G. A.</t>
  </si>
  <si>
    <t>Yerokhin G.</t>
  </si>
  <si>
    <t>Rigorous solution of the problem of the constructive synthesis of antenna arrays with a feed circuit of the series type</t>
  </si>
  <si>
    <t>2-s2.0-0025679761</t>
  </si>
  <si>
    <t>['¬© 1990', 'vary systematically', 'using epr', 'two phases', 'triplet located', 'time constants', 'thus attributed', 'sulfur centers', 'second triplet', 'second center', 'rights reserved', 'reduced iron', 'redox state', 'redox conditions', 'recombination reactions', 'reaction center', 'present results', 'orientation indicates', 'optical spectrum', 'optical spectroscopy', 'membrane plane', 'many respects', 'low temperatures', 'high concentrations', 'heliobacterium chlorum', 'following results', 'flash excitation', 'first flash', 'dithionite resulted', 'dilute sample', 'differently influenced', 'designated fa', 'continuous illumination', 'component thought', 'chemical reduction', 'charge recombination', 'centers upon', 'centers attained', 'additionally reduced', '90 ).', '89 ).', '812 nm', '798 nm', '5 k', '200 k', '10 min']</t>
  </si>
  <si>
    <t>Reaction center photochemistry in Heliobacterium chlorum has been investigated by using EPR and flash absorption spectroscopy at low temperatures. The following results were obtained. At 5 K, in the presence of ascorbate, continuous illumination resulted in the formation of P798+ and a reduced iron-sulfur center designated FB (gz = 2.07, gy = 1.93, gx = 1.89). This state was stable at low temperatures, but the yield for this reaction was low, and it was estimated that it occurred only in about 3% of the centers upon the first flash. After continuous illumination of a dilute sample for 10 min, still only half of the centers attained this state. In most centers, flash excitation at 5 K produced a state which recombined with time constants of 2.5 ms (‚âÉ 80%) and 850 Œºs (‚âÉ 20%). These two phases were differently influenced by the redox state of the reaction center, indicating that two different acceptors were involved in the recombination reactions. When continuous illumination was given at 200 K, a second center, designated FA, was additionally reduced (gz = 2.05, gy = 1.95, gx = 1.90). High concentrations of dithionite resulted in the chemical reduction of FB and of most of FA; illumination at 200 K resulted in the further reduction of FA. Two triplet states were identified by EPR and optical spectroscopy. The amplitude of the narrower triplet (|D| = 226 √ó 10‚àí4cm‚àí1) varied with the redox state of the iron-sulfur centers and was influenced by a component thought to be a quinone undergoing double reduction. It correlated with a triplet state observed by flash absorption spectroscopy showing a bleaching at 798 nm and is attributed to a triplet state formed by charge recombination in the reaction center. Its narrowness is taken as an indication of its origin on a pair of bacteriochlorophylls, and its orientation indicates an orientation of the chlorophyll ring plane perpendicular to the membrane plane. The second triplet had a wider splitting (|D| = 242 √ó 10‚àí4 cm‚àí1), did not vary systematically with redox conditions, corresponds to an optical spectrum with a maximum at 812 nm, and is not ordered in the membrane. It was thus attributed to a triplet located on a BChl g monomer in the antenna. The reaction center photochemistry in H. chlorum is comparable in many respects to that of photosystem I and green sulfur bacteria. Earlier contrasting conclusions are discussed and rationalized in light of the present results. ¬© 1990, American Chemical Society. All rights reserved.</t>
  </si>
  <si>
    <t>11079-11088</t>
  </si>
  <si>
    <t>60019615;60019615-60020952;60019615-60020952;60019615-60020952;60019615-60020952;60020952</t>
  </si>
  <si>
    <t>57202373285;7004094649;24311787600;6602646919;7103398627;7005804256</t>
  </si>
  <si>
    <t>Nitschke, Wolfgang;S√©tif, Pierre;Liebl, Ursula;Feiler, Ute;Rutherford, A. William;Nitschke, Wolfgang</t>
  </si>
  <si>
    <t>Germany;France</t>
  </si>
  <si>
    <t>Frankfurt am Main;Gif-sur-Yvette</t>
  </si>
  <si>
    <t>Max Planck Institute of Biophysics;CEA Saclay</t>
  </si>
  <si>
    <t>60020952;60019615</t>
  </si>
  <si>
    <t>Nitschke W.</t>
  </si>
  <si>
    <t>Reaction Center Photochemistry of Heliobacterium chlorum</t>
  </si>
  <si>
    <t>10.1021/bi00502a010</t>
  </si>
  <si>
    <t>2-s2.0-0025684718</t>
  </si>
  <si>
    <t>['numerical calculations', 'complex waves', 'aperiodic excitations']</t>
  </si>
  <si>
    <t>A linear phased array is considered, formed from dielectric-coated planar waveguides, in the presence of periodic and aperiodic excitations. Simple analytical expressions for describing the behavior of this array are obtained by means of an interpolation factorization method. The reasons for blinding of the array and the contribution of complex waves are investigated. Numerical calculations are performed.</t>
  </si>
  <si>
    <t>73-81</t>
  </si>
  <si>
    <t>6701924609;57191876947</t>
  </si>
  <si>
    <t>Vol'man, V. I.;Baradit, E.</t>
  </si>
  <si>
    <t>Vol'man V.</t>
  </si>
  <si>
    <t>Electrodynamic analysis of a dielectric-coated linear phased array</t>
  </si>
  <si>
    <t>2-s2.0-0025686801</t>
  </si>
  <si>
    <t>['thermal noise', 'regularized versions', 'multichannel system']</t>
  </si>
  <si>
    <t>The effectiveness of adaptive direction finding of set of point Gaussian noise sources in a multichannel system with an antenna array based on Keypone and 'thermal noise' statistics and regularized versions of them is investigated. It is shown that in the case of high-power, non-converging interference sources the optimum accuracy characteristics are provided by a regularized thermal noise method that enables asymptotically effective estimates with a higher adaptive algorithm speed to be obtained.</t>
  </si>
  <si>
    <t>Cheremisin, O. P.</t>
  </si>
  <si>
    <t>Cheremisin O.</t>
  </si>
  <si>
    <t>Effectiveness of adaptive interference direction-finding techniques</t>
  </si>
  <si>
    <t>2-s2.0-0025692270</t>
  </si>
  <si>
    <t>['processor selections', 'given together', 'design employing', 'conjugate gradients']</t>
  </si>
  <si>
    <t>The method of conjugate gradients in a design employing a pre-processor is used for adaptive spatial filtering. A variety of pre-processor selections are given together with an analysis of adaptive algorithm modeling compared with the existing gradient method.</t>
  </si>
  <si>
    <t>17-25</t>
  </si>
  <si>
    <t>57082646300;56736748400</t>
  </si>
  <si>
    <t>Piskarev, S. I.;Piskunov, D. A.</t>
  </si>
  <si>
    <t>Piskarev S.</t>
  </si>
  <si>
    <t>Application of the method of conjugate gradients to adaptive spatial filtering</t>
  </si>
  <si>
    <t>2-s2.0-0025694435</t>
  </si>
  <si>
    <t>['velocity bullets', 'scalp closure', 'results support', 'require surgery', 'remaining 17', 'readily accessible', 'one case', 'mortality rate', 'line hospital', 'late complications', 'intracranial path', 'indriven bone', 'increased immediate', 'explosive devices', 'epilepsy ).', 'conservative approach', 'brain sustained', 'associated lesions', '48 %,', '4 %.', '10 %)']</t>
  </si>
  <si>
    <t>Brain injury | military | neurosurgery | penetrating craniocerebral injury</t>
  </si>
  <si>
    <t>The present report analyzes 116 penetrating wounds of the brain sustained during warfare in Lebanon during 1982-85. Two basic mechanisms of injury were encountered: high-velocity bullets, and shrapnel and stones from explosive devices; and in one case a radio antenna penetrated the head through the orbit. The site of impact was at the convexity in 87% of cases and at the base of the skull in the remaining 13%. Surgery was performed in 83% of the patients: debridement-craniotomy in 73%, burr hole for intracranial pressure monitoring only in 6% and scalp closure only in 4%. The remaining 17% did not require surgery because of transbasal penetration without intracranial mass (10%) or due to moribundity. Indriven bone or foreign body fragments were removed only if readily accessible. The mortality rate was highest among patients with a Glasgow Coma Scale of ‚â§4 on arrival, after high-velocity bullet wounds, when the intracranial path was multilobar or transventricular, and when associated lesions were accompanied by shock. A follow-up study of the 49 Israeli survivors for almost 6 years revealed intracerebral-retained bone fragments in 48%, but these did not result in increased immediate or late complications (e.g., infection, epilepsy). These results support our conservative approach. Since all victims of penetrating head injuries were evacuated from Lebanon to Rambam Medical Center, Haifa, our report can serve as an estimation of the incidence of penetrating brain wounds and their burden on a front-line hospital.</t>
  </si>
  <si>
    <t>548-554</t>
  </si>
  <si>
    <t>Israel Journal of Medical Sciences</t>
  </si>
  <si>
    <t>60023064;60023064;60023064;60023064;60023064;60023064;60023064;60023064;60023064;60023064</t>
  </si>
  <si>
    <t>7102793969;7004298310;6701488974;6507290065;6603337418;7102590173;6507555662;6603675424;55527475100;56227871600</t>
  </si>
  <si>
    <t>Levi, L.;Borovich, B.;Guilburd, J. N.;Grushkiewicz, I.;Lemberger, A.;Linn, S.;Schachter, I.;Zaaroor, M.;Braun, J.;Feinsod, M.</t>
  </si>
  <si>
    <t>Rambam Health Care Campus Israel</t>
  </si>
  <si>
    <t>Levi L.</t>
  </si>
  <si>
    <t>Wartime neurosurgical experience in Lebanon, 1982-85. I: Penetrating craniocerebral injuries</t>
  </si>
  <si>
    <t>2-s2.0-0025695498</t>
  </si>
  <si>
    <t>['tunable gyrotron', 'toroidal direction', 'small amount', 'radiation beam', 'radiated fields', 'plasma region', 'parabolic reflector', 'optical antenna', 'major radius', 'gyrotron iii', 'focal point', 'dimensionally focusing', 'dimensional focusing']</t>
  </si>
  <si>
    <t>A two-dimensionally focusing, quasi-optical antenna having one elliptical reflector and one parabolic reflector has been built for use with a tunable gyrotron in order to carry out millimeter-wave scattering measurements on the TORTUS tokamak plasma at the University of Sydney. The advantages of this antenna are the following: (1) The elliptical reflector focuses the radiation beam in the toroidal direction, while the parabolic reflector focuses in the direction of major radius. This gives excellent two-dimensional focusing in the plasma region, and consequently excellent spatial resolution. (2) The focal point can be easily swept along the direction of major radius in the whole plasma region, simply by changing the angle of the parabolic reflector by a small amount. These features have been demonstrated experimentally using the tunable gyrotron source, GYROTRON III, and in computations of the radiated fields.</t>
  </si>
  <si>
    <t>7086-7091</t>
  </si>
  <si>
    <t>60010848;60010848;60025709;60025709;60025709</t>
  </si>
  <si>
    <t>10242269300;7004209587;55666487200;7004424724;57198867735</t>
  </si>
  <si>
    <t>Idehara, T.;Tatsukawa, T.;Brand, G. F.;Fekete, P. W.;Moore, K. J.</t>
  </si>
  <si>
    <t>Idehara T.</t>
  </si>
  <si>
    <t>A two-dimensionally focusing, quasi-optical antenna for millimeter-wave scattering in plasmas</t>
  </si>
  <si>
    <t>10.1063/1.345058</t>
  </si>
  <si>
    <t>2-s2.0-0039151710</t>
  </si>
  <si>
    <t>['x mode', 'two reflectometers', 'system uses', 'spectra analyzed', 'slow sweeping', 'single antenna', 'signals reflected', 'range 33', 'radial profiles', 'plasma bulk', 'obtain information', 'microwave reflectometer', 'microwave beam', 'limitations due', 'langmuir probes', 'information given', 'homodyne system', 'homodyne reflectometry', 'different techniques', 'detection scheme', 'density turbulence', 'also presented', 'absolute value', '50 ka', '50 ghz']</t>
  </si>
  <si>
    <t>A microwave reflectometer has been used in the TJ-I tomakak (R=0.30 m, a=0.10 m, IpIp&lt; 50 kA, Bt &lt; 1.5 T) to monitor density fluctuations in the plasma bulk. Experiments were made in the range 33-50 GHz, x mode. The system uses a single antenna for launching and receiving the microwave beam. Since broadband operation usually requires homodyne detection, different techniques were used to overcome the limitations due to this detection scheme. Radial profiles of the density turbulence were taken and the behavior of the spectra analyzed. A slow frequency sweeping has been performed to provide a method to normalize the signals reflected from different radial positions. In addition this technique can be used to obtain information on the absolute value of the phase oscillation amplitude. Spectra of the edge density fluctuations obtained by reflectometry and by Langmuir probes are compared. By the use of two reflectometers in the same antenna, radial correlation experiments can be performed. Some discussions on the ability of homodyne reflectometry to determine coherence lengths are also presented. A slow sweeping of the frequency is proposed to overcome the lack on the information given by the homodyne system.</t>
  </si>
  <si>
    <t>3034-3036</t>
  </si>
  <si>
    <t>60005233;60005233;60005233;60005233</t>
  </si>
  <si>
    <t>55416273400;57206697443;6602911547;8059156400</t>
  </si>
  <si>
    <t>Estrada, T.;S√°nchez, J.;Bra√±as, B.;Navarro, A. P.</t>
  </si>
  <si>
    <t>Centro de Investigaciones Energeticas, Medioambientales y Tecnologicas</t>
  </si>
  <si>
    <t>Estrada T.</t>
  </si>
  <si>
    <t>Broadband homodyne reflectometer devoted to density fluctuation measurements</t>
  </si>
  <si>
    <t>10.1063/1.1141718</t>
  </si>
  <si>
    <t>2-s2.0-0342977293</t>
  </si>
  <si>
    <t>['viridis hosts', 'silwoodensis reared', 'silwoodensis occurred', 'parasitoids reared', 'parasitized host', 'mutans reared', 'mutans oviposited', 'mean times', 'larger c', 'l .)', 'initial oviposition', 'important role', 'host egg', 'handled hosts', 'first attack', 'finding hosts', 'dicranotopis hamata', 'boheman ).', 'avoidance varied', 'antennae play', '15 min']</t>
  </si>
  <si>
    <t>Host-finding behavior | Insecta | Oviposition behavior | Parasites</t>
  </si>
  <si>
    <t>Host-finding oviposition behavior of Anagrus mutans Walker and Anagrus silwoodensis Walker are similar when attacking either Cicadella viridis (L.) or Dicranotopis hamata (Boheman). Antennae play an important role in finding hosts and orienting the female on top of the host egg. A. Mutans was slower handling hosts than A. Silwoodensis. Parasitoids reared from C. Viridis were larger and handled hosts more slowly than parasitoids reared from D. Hamata. Mean times for drilling and initial oviposition in C. Viridis and D. Hamata were 32.6 and 64.3 s, respectively, for A. Mutans reared from C. Viridis and 34.5 and 56.1 s, respectively, for A. Silwoodensis reared from C. Viridis. Both Anagrus species rejected parasitized hosts. Rejection always followed drilling. When smaller D. Hamata were attacked, both Anagrus species completely avoided oviposition in a parasitized host. However, when the larger C. Viridis hosts were attacked, the degree of avoidance varied, and A. Silwoodensis more consistently avoided subsequent ovipositions. Rejection of an already parasitized host by A. Silwoodensis occurred as early as 30 s; A. Mutans oviposited in hosts up to 15 min after the first attack.</t>
  </si>
  <si>
    <t>142-147</t>
  </si>
  <si>
    <t>60015150-60029526</t>
  </si>
  <si>
    <t>Moratorio, Mario S.</t>
  </si>
  <si>
    <t>Riverside;London</t>
  </si>
  <si>
    <t>University of California, Riverside;Imperial College London</t>
  </si>
  <si>
    <t>60029526;60015150</t>
  </si>
  <si>
    <t>Moratorio M.</t>
  </si>
  <si>
    <t>Host-finding and oviposition behavior of anagrus mutans and anagrus silwoodensis (Hymenoptera: Mymaridae)</t>
  </si>
  <si>
    <t>10.1093/ee/19.1.142</t>
  </si>
  <si>
    <t>2-s2.0-0343489991</t>
  </si>
  <si>
    <t>['two reflectometers', 'technique used', 'reflectometer consists', 'recent results', 'radial separation', 'radial chord', 'nbi ),', 'local measurements', 'initial experiments', 'frequency structures', 'frequency separation', 'fluctuation spectra', 'edge region', 'ech plasmas', 'detailed structure', 'density fluctuations', 'cutoff layers', 'correlation lengths', 'clear loss', 'approximately 0', 'antenna system', '3 cm', '2 cm', '0 cm']</t>
  </si>
  <si>
    <t>The Advanced Toroidal Facility (ATF) density fluctuation reflectometer system consists of two individual reflectometers operating in the 30-40 GHz band. Each reflectometer consists of a tunable microwave source and a quadrature phase detector connected to the same antenna system. This arrangement allows two-frequency operation along the same radial chord for radial coherence measurements. The technique used in making radial coherence measurements is discussed and the results of such experiments are given. Initial experiments have shown high coherence when the frequencies of the two reflectometers are tuned close together and a clear loss of coherence as the radial separation of the cutoff layers is increased by increasing the frequency separation of the two reflectometers. Recent results have shown that local measurements of density fluctuations in plasmas with electron cyclotron heating (ECH) are possible and that detailed structure can be seen in the fluctuation spectra. In addition, radial correlation lengths have been found to be from 0.5 to 1.0 cm in ECH plasmas, with some frequency structures having correlation lengths up to 3 cm. In plasmas with neutral beam injection (NBI), the radial correlation lengths in the edge region have been found to be approximately 0.1-0.2 cm.</t>
  </si>
  <si>
    <t>3049-3051</t>
  </si>
  <si>
    <t>60024266;60024266;60024266;60024266;60024266;60024266;60024266</t>
  </si>
  <si>
    <t>7201565452;7004674569;6602252028;55472299600;7407315969;7102251052;24072016300</t>
  </si>
  <si>
    <t>Hanson, G. R.;Wilgen, J. B.;Anabitarte, E.;Bell, J. D.;Harris, J. H.;Dunlap, J. L.;Thomas, C. E.</t>
  </si>
  <si>
    <t>Hanson G.</t>
  </si>
  <si>
    <t>ATF two-frequency correlation reflectometer</t>
  </si>
  <si>
    <t>10.1063/1.1141723</t>
  </si>
  <si>
    <t>2-s2.0-0343848664</t>
  </si>
  <si>
    <t>['vlf oscillations', 'near zone', 'ionospheric plasma']</t>
  </si>
  <si>
    <t>The collisionless plasma heating due to a strong parametric instability of VLF oscillations, excited in the near zone of an antenna in the ionospheric plasma, is considered. An expression for the temperature is derived.</t>
  </si>
  <si>
    <t>221-224</t>
  </si>
  <si>
    <t>60017989;60017989;60017989;60017989;60017989</t>
  </si>
  <si>
    <t>7102750228;7401566800;7102269095;6701368960;6701762982</t>
  </si>
  <si>
    <t>Shapiro, V. D.;Shevchenko, V. I.;Sotnikov, V. I.;Fiala, V.;Triska, P.</t>
  </si>
  <si>
    <t>Space Research Institute of the Russian Academy of Sciences</t>
  </si>
  <si>
    <t>Shapiro V.</t>
  </si>
  <si>
    <t>Plasma heating near a VLF antenna</t>
  </si>
  <si>
    <t>10.1088/0741-3335/32/3/007</t>
  </si>
  <si>
    <t>2-s2.0-1242284298</t>
  </si>
  <si>
    <t>['slowing action', 'radial component', 'electric field', 'dominant component', 'calculated inside', 'axis value', 'axial component', 'antenna region']</t>
  </si>
  <si>
    <t>The slow wave radiation fields of a slotted line antenna are calculated inside the antenna region. For this, a realistic magnetic current distribution, which takes into account the wave-slowing action of the antenna has been chosen. It is shown that the assumed distribution becomes accurate when the number of slots is large. The numerical results show that the radial component of the electric field is the dominant component, while the on-axis value of the axial component of the magnetic field decreases with increasing antenna radius. Relevance of the results to high density plasma production using such structures is pointed out.</t>
  </si>
  <si>
    <t>501-507</t>
  </si>
  <si>
    <t>60032730;60032730</t>
  </si>
  <si>
    <t>57146946800;7004238247</t>
  </si>
  <si>
    <t>Ganguli, A.;Baskaran, R.</t>
  </si>
  <si>
    <t>Slow wave radiation fields of a slotted line antenna</t>
  </si>
  <si>
    <t>10.1063/1.345233</t>
  </si>
  <si>
    <t>2-s2.0-22244446972</t>
  </si>
  <si>
    <t>['modest penalty', 'ghz one', 'conical horn']</t>
  </si>
  <si>
    <t>The design and performance of a 19-GHz one-horn maser radiometer is discussed. The antenna is a lensed, conical horn with 3¬∞ angular resolution. The radiometer is stabilized by chopping against an internal cold load. A novel chopping scheme allows continual calibration of maser gain fluctuations with only a modest penalty in noise. The method of calibrating this instrument is described. The instrument has been used to map the sky with an equivalent blackbody temperature sensitivity of 1 mK per 3¬∞√ó3¬∞resolution element.</t>
  </si>
  <si>
    <t>158-164</t>
  </si>
  <si>
    <t>60029227;60022195;60003269;60003269</t>
  </si>
  <si>
    <t>7004281513;57191737171;6701562952;7005401881</t>
  </si>
  <si>
    <t>Boughn, S. P.;Cheng, E. S.;Cottingham, D. A.;Fixsen, D. J.</t>
  </si>
  <si>
    <t>Haverford;Cambridge;Princeton</t>
  </si>
  <si>
    <t>Haverford College;Massachusetts Institute of Technology;Princeton University</t>
  </si>
  <si>
    <t>60029227;60022195;60003269</t>
  </si>
  <si>
    <t>Boughn S.</t>
  </si>
  <si>
    <t>A balloon borne 19-GHz radiometer</t>
  </si>
  <si>
    <t>10.1063/1.1141867</t>
  </si>
  <si>
    <t>2-s2.0-33645557703</t>
  </si>
  <si>
    <t>['relevant processes', 'relative increase', 'plt tokamak', 'operating conditions', 'metallic impurities', 'locations around', 'localized radially', 'increase significantly', 'faraday shield', 'energized antenna', 'edge measurements', 'edge density', 'deuterium released', 'dalpha emission', 'coupling r', 'corresponding increase', 'approximately 3', 'approximately 2', 'alpha intensity']</t>
  </si>
  <si>
    <t>Edge measurements have been conducted on the PLT Tokamak under a variety of operating conditions in order to ascertain the relevant processes at work in coupling r.f. power to plasmas. The edge density is found to increase significantly with the application of ICRF, and electron heating occurs in the vicinity of the Faraday shield surrounding with antenna. Spectroscopic measurements indicate that the energized antenna is significant particle source. The relative increase of metallic impurities was found to be approximately 2.7 times larger than the corresponding increase in deuterium. In addition, the relative increase of deuterium and impurities was approximately 3-4 times greater at the energized antenna than at other locations around the torus. Model calculations show that for deuterium released from the Faraday shield, the Dalpha emission is localized radially to a region within 4 cm of the antenna. A correlation was found between the edge density and the D alpha intensity that justifies its use as a measure of the particle source rate.</t>
  </si>
  <si>
    <t>51-70</t>
  </si>
  <si>
    <t>60018020;60018020;60018020;60018020;60018020;60018020;60018020;60018020;60018020</t>
  </si>
  <si>
    <t>6602713706;7004002507;7102330372;22961435600;7003860036;22967475100;56144605100;7006655756;57202528890</t>
  </si>
  <si>
    <t>Lehrman, I. S.;Colestock, P. L.;McNeill, D. H.;Greene, G. J.;Bernabei, S.;Hosea, J. C.;Ono, M.;Shohet, J. L.;Wilson, J. R.</t>
  </si>
  <si>
    <t>Edge measurements during ICRF heating on the PLT Tokamak</t>
  </si>
  <si>
    <t>10.1088/0741-3335/32/1/005</t>
  </si>
  <si>
    <t>2-s2.0-36149034632</t>
  </si>
  <si>
    <t>['weight structures', 't6 aluminum', 'surface resistances', 'results illustrate', 'powder mixtures', 'planar sizes', 'matrix monoliths', 'high temperature', 'develop simple', 'cross section', 'corresponding microwave', 'copper matrix', 'around 15', 'areas greater', 'air respectively', '77 k', '38 cm', '3 mm2', '3 ghz', '25 cm', '10 mm2']</t>
  </si>
  <si>
    <t>Explosive (shock-wave) fabrication has been used to develop simple, monolithic planar sandwich arrays of superconducting YBa2Cu 3O7 and Bi7Pb3Sr10Ca 10Cu15Ox powder and powder mixtures in a copper matrix and in a complex metal composite of 6061-T6 aluminum, silver and copper. These bulk superconducting arrays have been scaled from planar sizes of 20*25 cm to 25*38 cm; with superconducting channel sizes ranging from 3 mm2 to 10 mm2 in cross section and exposed dipolar strips having areas greater than 1*25 cm. The as-fabricated arrays exhibited shock-wave induced degradation of superconductivity, with zero frequency resistances ranging from 1 to 0.6 k Omega , and microwave surface resistances ranging from 32 to 82 m Omega at 3 GHz and 77 K (liquid nitrogen temperature). Zero frequency superconductivity exhibiting zero resistance at 77 K was achieved by extracting both Y-Ba-Cu-O and Bi-Pb-Sr-Ca-Cu-O consolidated channel sections from the explosively fabricated metal-matrix monoliths and annealing them at high temperature in oxygen or air respectively. Corresponding microwave (3 GHz) surface resistances were then observed to be reduced to around 15 m Omega . The results illustrate the ability to fabricate and scale up a variety of bulk composite superconducting arrays having microwave antenna applications in light-weight structures as well as a host of other potential space applications.</t>
  </si>
  <si>
    <t>173-179</t>
  </si>
  <si>
    <t>60007801;60007801</t>
  </si>
  <si>
    <t>35562742900;6701568838</t>
  </si>
  <si>
    <t>Murr, L. E.;Niou, C. S.</t>
  </si>
  <si>
    <t>El Paso</t>
  </si>
  <si>
    <t>The University of Texas at El Paso</t>
  </si>
  <si>
    <t>Murr L.</t>
  </si>
  <si>
    <t>Comparison of bulk DC and microwave surface resistance of explosively fabricated Y-Ba-Cu-O and Bi-Pb-Sr-Ca-Cu-O metal-matrix composite superconductors</t>
  </si>
  <si>
    <t>10.1088/0953-2048/3/4/004</t>
  </si>
  <si>
    <t>2-s2.0-36149035348</t>
  </si>
  <si>
    <t>['superconductivity property', 'resonant frequency', 'much smaller', 'addtional shift']</t>
  </si>
  <si>
    <t>We show that the gravitational-wave-induced electric field in a superconducting antenna coupled to a reconant inductance transducer is much smaller than that in a superconducting antenna without a transducer. The superconductivity property of a superconducting antenna produces an addtional shift in the resonant frequency of the displacements which might be detectable, although it is small.</t>
  </si>
  <si>
    <t>3204-3207</t>
  </si>
  <si>
    <t>On a resonant-mass superconducting antenna coupled to a resonant inductance transducer</t>
  </si>
  <si>
    <t>10.1063/1.345377</t>
  </si>
  <si>
    <t>2-s2.0-36549092549</t>
  </si>
  <si>
    <t>['œ ∫', 'thermal resistance', 'thermal crosstalk', 'thermal conductivity', 'therefore sensitivity', 'single substrate', 'limited resolution', 'limited array', 'limitation since', 'filling factor', 'dependent analysis', 'coupled bolometers', 'closely packed', 'allows analysis', 'absorbing detectors', 'absorbing configurations']</t>
  </si>
  <si>
    <t>A two-dimensional, time-dependent analysis is made of array-compatible bolometers directly deposited onto a single substrate. It applies both to antenna-coupled and surface-absorbing configurations. Unlike previous spherically symmetric treatments, it allows analysis of thermal crosstalk between closely neighboring detectors, and of the effects of finite substrate thickness. In a closely packed array of surface-absorbing detectors, thermal crosstalk generally degrades the array's resolution more severely than optical (diffractive) crosstalk. Diffraction-limited resolution with surface-absorbing detectors is possible only by sacrificing either thermal resistance, and therefore sensitivity, or filling factor. With a minimum substrate thickness of Lmin, a closely packed, diffraction-limited array is limited to a thermal resistance of Zt‚â§0.08(Œ∫Lmin) -1, where Œ∫ is the thermal conductivity of the substrate. An array of antenna-coupled bolometers is not subject to this limitation since the thermally and optically sensitive areas need not be equal.</t>
  </si>
  <si>
    <t>5409-5414</t>
  </si>
  <si>
    <t>60023053;60023053;60023053</t>
  </si>
  <si>
    <t>7202730843;56284398700;6602559580</t>
  </si>
  <si>
    <t>Grossman, E. N.;McDonald, D. G.;Sauvageau, J. E.</t>
  </si>
  <si>
    <t>Grossman E.</t>
  </si>
  <si>
    <t>Two-dimensional analysis of microbolometer arrays</t>
  </si>
  <si>
    <t>10.1063/1.346996</t>
  </si>
  <si>
    <t>2-s2.0-36549094453</t>
  </si>
  <si>
    <t>['perot interferometers', 'microwave interference', 'general three', 'dimensional objects', 'amplitude gratings', '130 ghz']</t>
  </si>
  <si>
    <t>Broadband (15-130 GHz) microwave interference and diffraction are demonstrated in a reflection configuration using transient radiation from optoelectronically pulsed antennas. The measured complex reflection function of Fabry-Perot interferometers and diffraction from amplitude gratings are presented. The effectiveness of the technique for quantifying the scattering from general three-dimensional objects is discussed.</t>
  </si>
  <si>
    <t>1958-1960</t>
  </si>
  <si>
    <t>57190283458;7004102516;6604060955</t>
  </si>
  <si>
    <t>Robertson, W. M.;Arjavalingam, G.;Kopcsay, G. V.</t>
  </si>
  <si>
    <t>Robertson W.</t>
  </si>
  <si>
    <t>Microwave diffraction and interference in reflection using transient radiation from optoelectronically pulsed antennas</t>
  </si>
  <si>
    <t>10.1063/1.103995</t>
  </si>
  <si>
    <t>2-s2.0-36549097330</t>
  </si>
  <si>
    <t>['successfully obtained', 'several amperes', 'oxygen ion', 'new type', 'mp cathode', 'microwave power', 'microwave plasma', 'major components', 'longer lifetime', 'ion sources', 'inert gases', 'great advantage', 'electron source', 'ecr condition', 'coaxial line', 'beam current', 'argon ion', '45 ghz']</t>
  </si>
  <si>
    <t>A new type of electron source for ion sources, which serves as a cathode has been developed. In this cathode, a high-density microwave plasma is produced under the electron-cyclotron-resonance (ECR) condition, and a high electron current of several amperes can be extracted from it. The structure of this microwave plasma (MP) cathode is very simple and compact. A rod antenna connected to a coaxial line for introducing the microwave power (2.45 GHz) and a rare-earth metal permanent magnet for producing the ECR condition are major components. Since there is no filament in this MP cathode, it has a longer lifetime than the equivalent thermionic filament electron emitter. It offers a great advantage to the operation with reactive as well as inert gases. This MP cathode has been adapted in Kaufman-type ion source and have successfully obtained an argon ion-beam current of 110 mA and an oxygen ion-beam current of 43 mA in 25 mm diameter.</t>
  </si>
  <si>
    <t>541-543</t>
  </si>
  <si>
    <t>60102642;60102642;60102642;60011001</t>
  </si>
  <si>
    <t>57198036802;35988885100;57196906854;26642920300</t>
  </si>
  <si>
    <t>Matsubara, Yoshio;Tahara, Hideaki;Nogawa, Shuichi;Ishikawa, Junzo</t>
  </si>
  <si>
    <t>Kyoto;Kyoto</t>
  </si>
  <si>
    <t>Nissin Electric Co., Ltd.;Kyoto University</t>
  </si>
  <si>
    <t>60102642;60011001</t>
  </si>
  <si>
    <t>Matsubara Y.</t>
  </si>
  <si>
    <t>Development of microwave plasma cathode for ion sources</t>
  </si>
  <si>
    <t>10.1063/1.1141245</t>
  </si>
  <si>
    <t>2-s2.0-36549098634</t>
  </si>
  <si>
    <t>['yielding far', 'waveguide film', 'wafer surface', 'refractive index', 'reduced confinement', 'radiation emitted', 'produce reductions', 'output endface', 'longitudinal variation', 'field beams', 'distinct advantage', 'direction perpendicular', 'confinement geometry', 'confinement antennas', 'achieved using']</t>
  </si>
  <si>
    <t>Monolithically integrated reduced-confinement antennas are shown to produce reductions of &gt;35% in the far-field beam divergence for radiation emitted from single-mode GaAlAs slab waveguides, yielding far-field beams as narrow as 8.2¬∞FWHM along the direction perpendicular to the wafer surface. Reduced confinement of the guided mode near the output endface is achieved using a novel molecular beam epitaxy growth technique to produce a longitudinal variation in the refractive index and thickness of the waveguide film. Unlike present horn antennas, the reduced-confinement geometry has the distinct advantage of being compatible with two-dimensional antenna development.</t>
  </si>
  <si>
    <t>420-422</t>
  </si>
  <si>
    <t>60022195;60022195;60022195;60022195;60022195;60022195</t>
  </si>
  <si>
    <t>6603852204;7004186546;7101724164;7003906905;57197617493;6701398313</t>
  </si>
  <si>
    <t>Bossi, D. E.;Goodhue, W. D.;Finn, M. C.;Rauschenbach, K.;Bales, J. W.;Rediker, R. H.</t>
  </si>
  <si>
    <t>Bossi D.E.</t>
  </si>
  <si>
    <t>Reduced-confinement antennas for GaAlAs integrated optical waveguides</t>
  </si>
  <si>
    <t>10.1063/1.102776</t>
  </si>
  <si>
    <t>2-s2.0-3843062612</t>
  </si>
  <si>
    <t>['¬© 1991', 'signals due', 'reaction centre', 'protein complex', 'optical absorption', 'logwave margin', 'kinetic curves', 'first case', 'excitation corresponding', 'collecting antenna', 'chromatium minutissimum', 'bacteriochlorophyll molecules', 'b890 pigment', 'b890 complex', 'almost irreversibly', 'absorption band', '930 nm', '860 nm', '800 nm', '60 psec', '1 psec']</t>
  </si>
  <si>
    <t>The kinetic curves of the changes in optical absorption at 860 nm in the B890 pigment-protein complex of Chromatium minutissimum on excitation at the logwave margin of the absorption band of the light-collecting antenna (930 nm) and close to the maximum of the absorption band of monomeric bacteriochlorophyll P800 of the reaction centre (800 nm) have been investigated. The measurements were made with a laser differential spectrophotometer with picosecond time resolution for an intensity of excitation corresponding to absorption ~0¬∑1 light quantum per B890 complex per pulse (condition of the absence of non-linear processes). It is shown that in the first case the absorption band of the dimer of bacteriochlorophyll of the reaction centre bleaches with a time constant œÑ ‚àº- 60 psec and in the second with œÑ ‚àº- 1 psec with absence of signals due to excitation of the bacteriochlorophyll molecules of the antenna. It is concluded that in the B890 complex the reaction centre "almost irreversibly" traps the energy of exitation from the antenna. ¬© 1991.</t>
  </si>
  <si>
    <t>Biophysics</t>
  </si>
  <si>
    <t>60021331-60007457;60021331-60007457;60021331-60007457</t>
  </si>
  <si>
    <t>6602409815;7801604864;6603436020</t>
  </si>
  <si>
    <t>Abdurakhmanov, I. A.;Danelius, R. V.;Razzhivin, A. P.</t>
  </si>
  <si>
    <t>Russian Academy of Sciences;Lomonosov Moscow State University</t>
  </si>
  <si>
    <t>60021331;60007457</t>
  </si>
  <si>
    <t>Abdurakhmanov I.A.</t>
  </si>
  <si>
    <t>Model of the interaction of the light-collecting antenna and the reaction centre on transfer of the energy of excitation in the B890 complex of Chromatium minutissimum</t>
  </si>
  <si>
    <t>000635099090285L</t>
  </si>
  <si>
    <t>2-s2.0-45149137311</t>
  </si>
  <si>
    <t>['¬© 1991', 'r state', 'proposed according', 'preparations œîa', 'optical properties', 'optical absorption', 'light quantum', 'light curves', 'induced changes', 'good agreement', 'excited chromophores', 'cooperative change', 'collecting bacteriochlorophyll', 'chromatium minutissimum', 'b890 complex', 'antenna may']</t>
  </si>
  <si>
    <t>A model of cooperative change in the optical properties of the molecules of the light-collecting bacteriochlorophyll of the B890 complex of Chromatium minutissimum in response to absorption of a light quantum is proposed according to which each chromophore of the antenna may be in one of two optically unexcited states-R and T; the appearance of at least one excitation in the B890 complex causes all the non-excited chromophores of this complex to pass from the R state to the T state. Good agreement of the theoretical "light curves" plotted on the basis of the model (dependences of the photo-induced changes in optical absorption of the preparations ŒîA on the intensity of the exciting picosecond pulses) with the corresponding experimental curves for the signals of the "minor" and "basic" forms of the light-collecting bacteriochlorophyll of the B890 complex of Chromatium minutissimum is shown. ¬© 1991.</t>
  </si>
  <si>
    <t>442-446</t>
  </si>
  <si>
    <t>60007457;60007457;60007457;60007457</t>
  </si>
  <si>
    <t>6602409815;24368298100;6506457978;6603436020</t>
  </si>
  <si>
    <t>Abdurakhmanov, I. A.;Dandelyus, R. V.;Mineyev, A. P.;Razzhivin, A. P.</t>
  </si>
  <si>
    <t>Abdurakhmanov I.</t>
  </si>
  <si>
    <t>Cooperative interaction and the light collecting antenna of B890 complexes of Chromatium minut1ssimum observed in the picosecond time range</t>
  </si>
  <si>
    <t>000635099090345E</t>
  </si>
  <si>
    <t>2-s2.0-45149139863</t>
  </si>
  <si>
    <t>['uv spectroscopy', 'p r', 'metallic impurities', 'measurable increase', 'icrf heating', 'f .&gt;', 'f .&lt;', 'antenna phasing', '8 mw', '0 phasing', '0 mw']</t>
  </si>
  <si>
    <t>ICRF power levels of up to 2.8 MW were achieved during the 1988 experimental run on TFTR. Metal impurity concentrations (Ti/el, Cr, Fe, Ni) and Zeff were monitored during ICRF heating by X-ray pulse height analysis and UV spectroscopy. Antenna phasing was the key variable affecting ICRF performance. No increase in metallic impurities was observed for P r.f.&lt;or approximately=2.8 MW with the antenna straps phased 0- pi , while a measurable increase in titanium (Faraday screen material) was observed for Pr.f.&gt;or approximately=1.0 MW with 0-0 phasing.</t>
  </si>
  <si>
    <t>189-196</t>
  </si>
  <si>
    <t>60018020;60018020;60018020;60018020;60018020;60018020;60018020;60018020;60018020;60018020;60018020;60018020;60018020</t>
  </si>
  <si>
    <t>22969339500;7103312394;7004002507;22961435600;7402618098;22967475100;57203798415;7006849275;7003999177;57202528890;7202841146;57213562782;6505836498</t>
  </si>
  <si>
    <t>Stevens, J. E.;Bush, C.;Colestock, P. L.;Greene, G. J.;Hill, K. W.;Hosea, J. C.;Phillips, C. K.;Stratton, B.;Von Goeler, S.;Wilson, J. R.;Gardner, W.;Hoffman, D.;Lysojvan, A.</t>
  </si>
  <si>
    <t>Stevens J.E.</t>
  </si>
  <si>
    <t>The effect of ICRF antenna phasing on metal impurities in TFTR</t>
  </si>
  <si>
    <t>10.1088/0741-3335/32/3/003</t>
  </si>
  <si>
    <t>2-s2.0-4644340187</t>
  </si>
  <si>
    <t>National Institute of Diabetes and Digestive and Kidney Diseases</t>
  </si>
  <si>
    <t>R01DK030118</t>
  </si>
  <si>
    <t>NIDDK</t>
  </si>
  <si>
    <t>['œ ±', '¬© 1990', 'substrates present', 'specific antibodies', 'relative titers', 'molecular weight', 'mammalian counterparts', 'lower amounts', 'immunoblotting studies', 'heterotrimeric model', 'gsœ ±', 'g proteins', 'binding proteins', '51 kda', '42 kda', '41 kda', '38 kda']</t>
  </si>
  <si>
    <t>Adenylate cyclase | Drosophila melanogaster | Manduca sexta | Prothoracic gland</t>
  </si>
  <si>
    <t>The occurrence, structure and function of the Œ± and Œ≤ subunits of GTP-binding proteins (G proteins) were investigated in the Manduca sexta prothoracic gland, a tissue which possesses a hormonally regulated adenylate cyclase. Subunit-specific antibodies were utilized in immunoblotting studies of tissue from Manduca prothoracic glands, brain, eyes and antennae, and compared to the substrates present in the heads of Drosophila, as well as in a mammalian cell line. All Manduca tissues examined showed putative GŒ≤ subunits of 37 and 38 kDa, an unidentified Œ± subunit of 41 kDa, in addition to an eye specific Œ± subunit of 42 kDa. Manduca tissues also produced putative GsŒ± subunits of 48 and 51 kDa which were coupled to prothoracic gland adenylate cyclase as demonstrated by immunoprecipitation. Prothoracic gland G proteins have a definite and limited quaternary structure, consistent with a heterotrimeric model, as demonstrated by crosslinking of prothoracic gland membrane preparations followed by immunoblotting. These studies also yielded data on relative titers of Œ± subunits, and suggest that GsŒ± is present in lower amounts than other Œ± subunits. The G protein subunits studied in the prothoracic gland appear strikingly similar in molecular weight, function and structure to their mammalian counterparts. ¬© 1990.</t>
  </si>
  <si>
    <t>Molecular and Cellular Endocrinology</t>
  </si>
  <si>
    <t>60025111;60025111</t>
  </si>
  <si>
    <t>6603743557;7202480154</t>
  </si>
  <si>
    <t>Meller, Victoria H.;Gilbert, Lawrence I.</t>
  </si>
  <si>
    <t>Chapel Hill</t>
  </si>
  <si>
    <t>The University of North Carolina at Chapel Hill</t>
  </si>
  <si>
    <t>Meller V.</t>
  </si>
  <si>
    <t>Occurrence, quaternary structure and function of G protein subunits in an insect endocrine gland</t>
  </si>
  <si>
    <t>030372079090115O</t>
  </si>
  <si>
    <t>10.1016/0303-7207(90)90115-O</t>
  </si>
  <si>
    <t>2-s2.0-0025221223</t>
  </si>
  <si>
    <t>['¬© 1990', 'sol ).', 'significantly reduced', 'routinely achieved', 'rf specific', 'rf power', 'radiated fraction', 'ptotis 50', 'previously observed', 'power prf', 'power levels', 'limiters even', 'input power', 'influxes originate', 'impurity influxes', 'icrf heating', 'gas puffing', 'far away', 'factor 2', 'dominant impurity', 'carbon phase', 'carbon limiters', 'carbon case', 'belt limiters', '8 mw', '15 mw']</t>
  </si>
  <si>
    <t>During ICRF heating in JET with Be gettering and Be-belt limiters the impurity influxes are significantly reduced as compared to the all carbon case. The dominating "global" influxes originate at the limiters and wall and are consequence of the increased power flow in the scrape-off layer (SOL). The "RF specific" influxes from the torus internal surfaces, far away from the antenna, are not observed. Zeff = 2-1.5 is routinely achieved at power levels up to Prf = 15 MW and with Be limiters even at densities „Äàne„Äâ = (1-2)√ó 1019 m-3. The dilution is nd/ne &gt; 0.8. Zeff scales inversely with density and weakly with RF power, (Zeff - 1) ‚àù P0.4-0.6RF/„Äàne„Äâ0.9-1.1. Prad/Ptotis 50% lower then previously observed. Even at densities „Äàne„Äâ = (4-6) √ó 1019 m-3 the radiated fraction is below 30% of input power. In the case of Be gettering and carbon limiters the dominant impurity is carbon. With the Be limiters it is replaced by Be. The oxygen is eliminated in both cases. The density is controlled by the pumping of deuterium and the recycling coefficient Rd is less than one during the entire rf pulse. The density limit observed in the all carbon phase was exceeded by a factor 2-4. Volume averaged density „Äàne„Äâ = 1 √ó 1020 m-3 was achieved with gas puffing at power PRF = 8 MW. ¬© 1990.</t>
  </si>
  <si>
    <t>387-391</t>
  </si>
  <si>
    <t>C</t>
  </si>
  <si>
    <t>176-177</t>
  </si>
  <si>
    <t>Journal of Nuclear Materials</t>
  </si>
  <si>
    <t>60025104;60025104;60025104;60025104;60025104;60025104;60025104</t>
  </si>
  <si>
    <t>57212335886;7005524697;7404497658;7103032460;7005377624;7003994552;57199472012</t>
  </si>
  <si>
    <t>Bure≈°, M.;Jacquinot, J.;Campbell, D.;Lawson, K.;Stamp, M.;Start, D. F.H.;Thomas, P.</t>
  </si>
  <si>
    <t>Global influx and impurity behaviour during ICRF heating in JET with beryllium gettering and beryllium limiters</t>
  </si>
  <si>
    <t>002231159090077Z</t>
  </si>
  <si>
    <t>10.1016/0022-3115(90)90077-Z</t>
  </si>
  <si>
    <t>2-s2.0-0025531388</t>
  </si>
  <si>
    <t>['¬© 1990', 'wall components', 'third phase', 'subsequent analysis', 'situ analysis', 'one set', 'littled changed', 'first wall', 'deuterium inventory', 'deposition occurs', 'carbon phase', 'beryllium operation', 'beryllium layers', 'belt limiters']</t>
  </si>
  <si>
    <t>During 1989, following a brief all carbon phase, JET was operated with an evaporated beryllium film on all the plasma facing surfaces and then, in a third phase, with bulk beryllium used for the belt limiters and one set of antenna protection tiles. Subsequent analysis of wall components and long term samples (LTS) using Beta Backscatter and Ion Beam Analysis has been conducted to determine the condition of the First Wall and its deuterium inventory after beryllium operation. Ex-situ analysis of components where deposition occurs during operation shows mixed carbon and beryllium layers with an approximate ratio 1:1 and some localised higher Z components. The deuterium inventory situation is littled changed by the introduction of beryllium. Similar surface levels of deuterium, ~1 √ó 1022 atoms m-2, have been seen for both carbon and beryllium belt limiter tiles. ¬© 1990.</t>
  </si>
  <si>
    <t>326-331</t>
  </si>
  <si>
    <t>60025104;60025104;60025104;60026838;60026838;60015900;60025104;60033317;60033317;60025104</t>
  </si>
  <si>
    <t>7103229322;7005140549;57214186078;7006460139;7101637576;16219742100;7005142560;7102239789;57198917040;56172400200</t>
  </si>
  <si>
    <t>Peacock, A. T.;Coad, J. P.;Lama, F.;Behrisch, R.;Martinelli, A. P.;Mills, B. E.;Pick, M.;Partridge, J.;Simpson, J. C.B.;Zhu, Y. K.</t>
  </si>
  <si>
    <t>United Kingdom;Germany;United Kingdom;United States</t>
  </si>
  <si>
    <t>Abingdon;Garching bei Munchen;;Livermore</t>
  </si>
  <si>
    <t>Culham Centre for Fusion Energy;Max Planck Institute for Plasma Physics;EFDA-JET;Sandia National Laboratories, California</t>
  </si>
  <si>
    <t>60033317;60026838;60025104;60015900</t>
  </si>
  <si>
    <t>Peacock A.T.</t>
  </si>
  <si>
    <t>Impurity coverage and deuterium inventory of beryllium and carbon first wall components after beryllium operation in JET</t>
  </si>
  <si>
    <t>002231159090067W</t>
  </si>
  <si>
    <t>10.1016/0022-3115(90)90067-W</t>
  </si>
  <si>
    <t>2-s2.0-0025532137</t>
  </si>
  <si>
    <t>['¬© 1990', 'vacuum chamber', 'two orders', 'rf antennas', 'plasma potential', 'metallic impurities', 'mainly due', 'magnitude less', 'ions following', 'impurity influx', 'deposition rate', 'conventional stellarator', 'confinement region', 'close proximity', '3 torsatron']</t>
  </si>
  <si>
    <t>Results are presented from spectroscopic and collector probe measurements in the Uragan-3 torsatron. Impurity influx from the RF antennas is from sputtering by ions following the divertor field lines. Erosion of the helical winding casings is mainly due to background plasma interaction caused by oscillations in plasma potential. The deposition rate of metallic impurities in U-3 is one or two orders of magnitude less than in a conventional stellarator, due to the lack of a vacuum chamber in close proximity to the confinement region. ¬© 1990.</t>
  </si>
  <si>
    <t>1083-1088</t>
  </si>
  <si>
    <t>60011313;60011313;60011313;60011313;60011313;60011313;60011313;60011313;60011313;60011313</t>
  </si>
  <si>
    <t>57197637035;7003302635;7102129803;7102770327;24364417700;7004496694;6602140474;6503856788;6601970421;7006289739</t>
  </si>
  <si>
    <t>Vasil'ev, V. V.;Voitsenya, V. S.;Grigor'eva, L. I.;Konovalov, V. G.;Nikol'sky, I. K.;Polyakova, G. N.;Sarana, V. D.;Slavny, A. S.;Chechkin, V. V.;Shapoval, A. N.</t>
  </si>
  <si>
    <t>Vasil'ev V.V.</t>
  </si>
  <si>
    <t>On some properties of the metallic impurity influx during RF plasma generation and heating in the "Uragan-3" torsatron</t>
  </si>
  <si>
    <t>002231159090196T</t>
  </si>
  <si>
    <t>10.1016/0022-3115(90)90196-T</t>
  </si>
  <si>
    <t>2-s2.0-17944384963</t>
  </si>
  <si>
    <t>DE-FGO3-85 ER 51069</t>
  </si>
  <si>
    <t>['¬© 1990', 'textor edge', 'spectroscopic measurements', 'probe measurements', 'poloidal rotation', 'peak radial', 'neutral injection', 'nearly vanish', 'many times', 'little effect', 'icrh alters', 'generates large', 'electric fields', 'diffusive velocity', 'auxiliary heating', 'antenna configuration', 'also generated', '8 kv', '5 kv', '3 kv', '2 kv']</t>
  </si>
  <si>
    <t>The generation of d.c. electric fields in the TEXTOR edge (inside the last closed flux surface) and scrape-off layer (SOL) during auxiliary heating has been studied using electric probes and spectroscopy. Peak radial and poloidal electric fields in the edge during neutral injection are 5 kV/m and 3 kV/m respectively while little effect is seen in the SOL. ICRH alters the radial electric field in the edge, and generates large (8 kV/m) fields in the SOL. These modifications depend sensitively on the limiter-antenna configuration. Large poloidal electric fields of 2 kV/m are also generated in the SOL, but nearly vanish in the edge. Spectroscopic measurements of changes in poloidal rotation in the edge are in agreement with the probe measurements in neutral beam heated discharges. Profile modifications due to the electric fields are observed. The radial particle velocities corresponding to the measured poloidal electric fields exceed by many times the diffusive velocity, particularly during ICRH, suggesting that convective flows may be important. ¬© 1990.</t>
  </si>
  <si>
    <t>293-300</t>
  </si>
  <si>
    <t>60027550;60004280;60004280;60007774;60027550;60007774;60017889;60074066;60007774;60007774;60004280;60004280</t>
  </si>
  <si>
    <t>7102649973;6602572553;7006718297;7003909720;7103369930;7004823875;55597087321;56265954600;22994487900;6602100309;6701379854;6603675835</t>
  </si>
  <si>
    <t>Moyer, R. A.;Van Nieuwenhove, R.;Van Oost, G.;Bora, D.;Conn, R. W.;Conrads, H.;Ivanov, R. S.;Laux, M.;Rusb√ºldt, D.;Schorn, R.;Telesca, G.;Vandenplas, P.</t>
  </si>
  <si>
    <t>Germany;United States;Russian Federation;Germany;Belgium</t>
  </si>
  <si>
    <t>Berlin;Los Angeles;Moscow;J√ºlich;Brussels</t>
  </si>
  <si>
    <t>Zentralinstitut f√ºr Elektronenphysik;University of California, Los Angeles;Joint Institute for High Temperatures of the Russian Academy of Sciences;Forschungszentrum J√ºlich (FZJ);Koninklijke Militaire School - Ecole Royale Militaire</t>
  </si>
  <si>
    <t>60074066;60027550;60017889;60007774;60004280</t>
  </si>
  <si>
    <t>Moyer R.A.</t>
  </si>
  <si>
    <t>Effects of auxiliary heating on dc electric fields in the TEXTOR boundary</t>
  </si>
  <si>
    <t>002231159090062R</t>
  </si>
  <si>
    <t>10.1016/0022-3115(90)90062-R</t>
  </si>
  <si>
    <t>2-s2.0-3743061904</t>
  </si>
  <si>
    <t>['¬© 1990', 'upon phosphorylation', 'relative size', 'quantum requirement', 'ps ii', 'nadp reduction', 'minor one', 'large peak', 'ii suppressed', 'granal thylakoids', 'entire spectrum', 'emerson enhancement', 'became larger', 'absorbed radiation', '722 nm', '691 nm', '670 nm', '650 nm', '640 nm', '520 nm', '500 nm']</t>
  </si>
  <si>
    <t>Emerson enhancement | Photosynthetic electron transport | Protein phosphorylation | Thylakoid</t>
  </si>
  <si>
    <t>The relative size of the antennae of PS I and PS II has been estimated from 420 to 722 nm in isolated granal thylakoids, by measuring electron transport from H2O to NADP upon flash actinic illumination under conditions of linearity of electron transport versus light intensity. Emerson enhancement of NADP reduction by PS I-absorbed radiation of 722 nm had a large peak at 475-500 nm, dropping to zero at 520 nm, and a minor one at 650 nm. No enhancement was observed from 520 to 640 nm, nor at wavelengths above 670 nm. Phosphorylation of LHC-II suppressed the enhancement at all wavelengths: upon phosphorylation, the antenna of PS I became larger than that of PS II over the entire spectrum, including the 475-500 nm region. The quantum requirement of PS I was measured from 420 to 691 nm in the granal thylakoids. A minimum was observed at 520 nm, and maxima at 475 to 500 and 650 to 670 nm, i.e., corresponding to the LHCII maximal absorption. ¬© 1990.</t>
  </si>
  <si>
    <t>247-252</t>
  </si>
  <si>
    <t>60021199;60021199</t>
  </si>
  <si>
    <t>7102220815;57218256739</t>
  </si>
  <si>
    <t>Forti, Giorgio;Fusi, Paola</t>
  </si>
  <si>
    <t>Forti G.</t>
  </si>
  <si>
    <t>Influence of thylakoid protein phosphorylation on Emerson enhancement and the quantum requirement of Photosystem I</t>
  </si>
  <si>
    <t>0005-2728(90)90154-V</t>
  </si>
  <si>
    <t>10.1016/0005-2728(90)90154-V</t>
  </si>
  <si>
    <t>2-s2.0-0025252528</t>
  </si>
  <si>
    <t>['¬© 1990', 'thoracic levels', 'tactile cues', 'staining revealed', 'short latencies', 'recorded extracellularly', 'periplaneta americana', 'intracellular recording', 'intense winds', 'head ganglia', 'cervical connectives', 'cells suggest', 'cells respond', 'cell bodies']</t>
  </si>
  <si>
    <t>Antenna | Cockroach | Escape behavior | Interneuron | Mechanosensory</t>
  </si>
  <si>
    <t>Large amplitude units responding to intense winds or touch of the antennae were recorded extracellularly from the cervical connectives of the cockroach, Periplaneta americana. Intracellular recording and staining revealed a number of interneurons with cell bodies in one of the head ganglia and large caliber axons descending to thoracic levels. These cells respond to touch of an antenna at very short latencies. The properties of these cells suggest that in the cockroach they may be a substrate for non-GI evasive behavior, especially for responses to predators which are detected by tactile cues. ¬© 1990.</t>
  </si>
  <si>
    <t>60027561;60027561</t>
  </si>
  <si>
    <t>6505801360;7003696576</t>
  </si>
  <si>
    <t>Burdohan, John A.;Comer, Christopher M.</t>
  </si>
  <si>
    <t>University of Illinois at Chicago</t>
  </si>
  <si>
    <t>Burdohan J.</t>
  </si>
  <si>
    <t>An antennal-derived mechanosensory pathway in the cockroach: descending interneurons as a substrate for evasive behavior</t>
  </si>
  <si>
    <t>000689939091623O</t>
  </si>
  <si>
    <t>10.1016/0006-8993(90)91623-O</t>
  </si>
  <si>
    <t>2-s2.0-0025245467</t>
  </si>
  <si>
    <t>['unsaturated aldehydes', 'specific esterase', 'soluble enzymes', 'sensillar pheromone', 'sensilla contain', 'receptor space', 'polyphemus pheromone', 'olfactory sensilla', 'odorant chemicals', 'molecular masses', 'locate females', 'hence play', 'female antennae', 'dynamic role', 'describe antennal', 'chief organ', 'called pheromones', 'bombyx mori', 'attract males', 'associated uniquely', 'aldehyde pheromones', '130 kda']</t>
  </si>
  <si>
    <t>Female moths produce blends of odorant chemicals, called pheromones. These precise chemical mixtures both attract males and elicit appropriate mating behaviors. To locate females, male moths must rapidly detect changes in environmental pheromone concentration. Therefore, the regulation of pheromone concentration within antennae, their chief organ of smell, is important. We describe antennal-specific aldehyde oxidases from the moths Antheraea polyphemus and Bombyx mori that are capable of catabolizing long chain, unsaturated aldehydes such as their aldehyde pheromones. These soluble enzymes are associated uniquely with male and female antennae and have molecular masses of 175 and 130 kDa, respectively. The A. polyphemus aldehyde oxidase has been localized to the olfactory sensilla which contain the pheromone receptor cell dendrites. These same sensilla contain a previously described sensilla-specific esterase that degrades that acetate ester component of A. polyphemus pheromone. We propose that sensillar pheromone-degrading enzymes modulate pheromone concentration in the receptor space and hence play a dynamic role in the pheromone-mediated reproductive behaviors of these animals.</t>
  </si>
  <si>
    <t>19712-19715</t>
  </si>
  <si>
    <t>60017994;60017994;60017994</t>
  </si>
  <si>
    <t>6701321945;7202412220;35519038900</t>
  </si>
  <si>
    <t>Rybczynski, R.;Vogt, R. G.;Lerner, M. R.</t>
  </si>
  <si>
    <t>New Haven</t>
  </si>
  <si>
    <t>Yale School of Medicine</t>
  </si>
  <si>
    <t>Rybczynski R.</t>
  </si>
  <si>
    <t>Antennal-specific pheromone-degrading aldehyde oxidases from the moths Antheraea polyphemus and Bombyx mori</t>
  </si>
  <si>
    <t>2-s2.0-0025201088</t>
  </si>
  <si>
    <t>['two hardware', 'quantitatively compared', 'compressive 2', 'briefly described', 'basic characteristics']</t>
  </si>
  <si>
    <t>Fiber optic delay lines | Phased array antennas | True-time steering</t>
  </si>
  <si>
    <t>The requirements for true time steering of phased array antennas are reviewed, and the resulting delay line hardware requirements are discussed. Two hardware-compressive fiber optic delay line architectures are then briefly described and quantitatively compared. The basics of phased array antenna partition are then presented. Based on these principles a delay-compressive and element-compressive 2-D fiber optic delay line architecture is described, and its basic characteristics and capabilities are discussed. ¬© 1990 Optical Society of America.</t>
  </si>
  <si>
    <t>5353-5359</t>
  </si>
  <si>
    <t>60020818;60020818</t>
  </si>
  <si>
    <t>35616191300;57190083977</t>
  </si>
  <si>
    <t>Goutzoulis, Akis P.;Davies, D. Keu</t>
  </si>
  <si>
    <t>Goutzoulis A.</t>
  </si>
  <si>
    <t>Hardware-compressive 2-D fiber optic delay line architecture for time steering of phased-array antennas</t>
  </si>
  <si>
    <t>10.1364/AO.29.005353</t>
  </si>
  <si>
    <t>2-s2.0-0003268254</t>
  </si>
  <si>
    <t>weighted matrix_7:3</t>
  </si>
  <si>
    <t>weighted matrix_5:5</t>
  </si>
  <si>
    <t>weighted matrix_3:7</t>
  </si>
  <si>
    <t>if</t>
  </si>
  <si>
    <t>fund_sponsor</t>
  </si>
  <si>
    <t>fund_no</t>
  </si>
  <si>
    <t>fund_acr</t>
  </si>
  <si>
    <t>openaccess</t>
  </si>
  <si>
    <t>max-min</t>
  </si>
  <si>
    <t>citation_norm</t>
  </si>
  <si>
    <t>average_citation</t>
  </si>
  <si>
    <t>citedby_count</t>
  </si>
  <si>
    <t>Rake Keyword</t>
  </si>
  <si>
    <t>authkeywords</t>
  </si>
  <si>
    <t>description</t>
  </si>
  <si>
    <t>pageRange</t>
  </si>
  <si>
    <t>article_number</t>
  </si>
  <si>
    <t>issueIdentifier</t>
  </si>
  <si>
    <t>volume</t>
  </si>
  <si>
    <t>aggregationType</t>
  </si>
  <si>
    <t>eIssn</t>
  </si>
  <si>
    <t>source_id</t>
  </si>
  <si>
    <t>issn</t>
  </si>
  <si>
    <t>sjr_norm</t>
  </si>
  <si>
    <t>sjr</t>
  </si>
  <si>
    <t>publicationName</t>
  </si>
  <si>
    <t>coverDisplayDate</t>
  </si>
  <si>
    <t>Year Gap</t>
  </si>
  <si>
    <t>Year</t>
  </si>
  <si>
    <t>coverDate</t>
  </si>
  <si>
    <t>author_afids</t>
  </si>
  <si>
    <t>author_ids</t>
  </si>
  <si>
    <t>author_names</t>
  </si>
  <si>
    <t>author_count</t>
  </si>
  <si>
    <t>affiliation_country</t>
  </si>
  <si>
    <t>affiliation_city</t>
  </si>
  <si>
    <t>affilname</t>
  </si>
  <si>
    <t>afid</t>
  </si>
  <si>
    <t>creator</t>
  </si>
  <si>
    <t>subtypeDescription</t>
  </si>
  <si>
    <t>subtype</t>
  </si>
  <si>
    <t>title</t>
  </si>
  <si>
    <t>pubmed_id</t>
  </si>
  <si>
    <t>pii</t>
  </si>
  <si>
    <t>doi</t>
  </si>
  <si>
    <t>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</si>
</sst>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b/>
      <sz val="12"/>
      <color theme="1"/>
      <name val="Calibri"/>
      <family val="2"/>
      <scheme val="minor"/>
    </font>
    <font>
      <b/>
      <sz val="12"/>
      <color rgb="FF3F3F76"/>
      <name val="Calibri"/>
      <family val="2"/>
      <scheme val="minor"/>
    </font>
    <font>
      <b/>
      <sz val="11"/>
      <color theme="1"/>
      <name val="Calibri"/>
      <family val="2"/>
      <scheme val="minor"/>
    </font>
    <font>
      <b/>
      <sz val="12"/>
      <color rgb="FF006100"/>
      <name val="Calibri"/>
      <family val="2"/>
      <scheme val="minor"/>
    </font>
    <font>
      <b/>
      <sz val="12"/>
      <color rgb="FF9C000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0">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6" fontId="0" fillId="0" borderId="0" xfId="0" applyNumberFormat="1"/>
    <xf numFmtId="17" fontId="0" fillId="0" borderId="0" xfId="0" applyNumberFormat="1"/>
    <xf numFmtId="0" fontId="0" fillId="7" borderId="0" xfId="0" applyFill="1"/>
    <xf numFmtId="0" fontId="5" fillId="0" borderId="1" xfId="3" applyFont="1" applyFill="1"/>
    <xf numFmtId="0" fontId="6" fillId="0" borderId="2" xfId="0" applyFont="1" applyBorder="1" applyAlignment="1">
      <alignment horizontal="center" vertical="top"/>
    </xf>
    <xf numFmtId="0" fontId="4" fillId="0" borderId="0" xfId="0" applyFont="1"/>
    <xf numFmtId="2" fontId="7" fillId="0" borderId="0" xfId="1" applyNumberFormat="1" applyFont="1" applyFill="1"/>
    <xf numFmtId="2" fontId="4" fillId="0" borderId="0" xfId="0" applyNumberFormat="1" applyFont="1"/>
    <xf numFmtId="0" fontId="6" fillId="0" borderId="0" xfId="0" applyFont="1" applyAlignment="1">
      <alignment horizontal="center" vertical="top"/>
    </xf>
    <xf numFmtId="0" fontId="8" fillId="0" borderId="0" xfId="2" applyFont="1" applyFill="1" applyBorder="1" applyAlignment="1">
      <alignment horizontal="center" vertical="top"/>
    </xf>
    <xf numFmtId="164" fontId="4" fillId="0" borderId="0" xfId="0" applyNumberFormat="1" applyFont="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lt;=1985"/>
      <sheetName val="1991"/>
      <sheetName val="1992"/>
      <sheetName val="1993"/>
      <sheetName val="1994"/>
      <sheetName val="1995"/>
    </sheetNames>
    <sheetDataSet>
      <sheetData sheetId="0"/>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8079E-9319-B149-B9CF-F0D53A16D1A9}">
  <dimension ref="A1:AW262"/>
  <sheetViews>
    <sheetView tabSelected="1" topLeftCell="AD1" workbookViewId="0">
      <selection activeCell="AN2" sqref="AN2"/>
    </sheetView>
  </sheetViews>
  <sheetFormatPr baseColWidth="10" defaultRowHeight="16" x14ac:dyDescent="0.2"/>
  <sheetData>
    <row r="1" spans="1:49" s="11" customFormat="1" x14ac:dyDescent="0.2">
      <c r="A1" s="14"/>
      <c r="B1" s="14" t="s">
        <v>2851</v>
      </c>
      <c r="C1" s="14" t="s">
        <v>2850</v>
      </c>
      <c r="D1" s="14" t="s">
        <v>2849</v>
      </c>
      <c r="E1" s="14" t="s">
        <v>2848</v>
      </c>
      <c r="F1" s="14" t="s">
        <v>2847</v>
      </c>
      <c r="G1" s="14" t="s">
        <v>2846</v>
      </c>
      <c r="H1" s="14" t="s">
        <v>2845</v>
      </c>
      <c r="I1" s="14" t="s">
        <v>2844</v>
      </c>
      <c r="J1" s="14" t="s">
        <v>2843</v>
      </c>
      <c r="K1" s="14" t="s">
        <v>2842</v>
      </c>
      <c r="L1" s="14" t="s">
        <v>2841</v>
      </c>
      <c r="M1" s="14" t="s">
        <v>2840</v>
      </c>
      <c r="N1" s="14" t="s">
        <v>2839</v>
      </c>
      <c r="O1" s="14" t="s">
        <v>2838</v>
      </c>
      <c r="P1" s="14" t="s">
        <v>2837</v>
      </c>
      <c r="Q1" s="14" t="s">
        <v>2836</v>
      </c>
      <c r="R1" s="19" t="s">
        <v>2835</v>
      </c>
      <c r="S1" s="14" t="s">
        <v>2834</v>
      </c>
      <c r="T1" s="14" t="s">
        <v>2834</v>
      </c>
      <c r="U1" s="14" t="s">
        <v>2833</v>
      </c>
      <c r="V1" s="19" t="s">
        <v>2832</v>
      </c>
      <c r="W1" s="14" t="s">
        <v>2831</v>
      </c>
      <c r="X1" s="13" t="s">
        <v>2830</v>
      </c>
      <c r="Y1" s="18" t="s">
        <v>2829</v>
      </c>
      <c r="Z1" s="17" t="s">
        <v>2814</v>
      </c>
      <c r="AA1" s="14" t="s">
        <v>2828</v>
      </c>
      <c r="AB1" s="14" t="s">
        <v>2827</v>
      </c>
      <c r="AC1" s="14" t="s">
        <v>2826</v>
      </c>
      <c r="AD1" s="14" t="s">
        <v>2825</v>
      </c>
      <c r="AE1" s="14" t="s">
        <v>2824</v>
      </c>
      <c r="AF1" s="14" t="s">
        <v>2823</v>
      </c>
      <c r="AG1" s="14" t="s">
        <v>2822</v>
      </c>
      <c r="AH1" s="14" t="s">
        <v>2821</v>
      </c>
      <c r="AI1" s="14" t="s">
        <v>2820</v>
      </c>
      <c r="AJ1" s="14" t="s">
        <v>2819</v>
      </c>
      <c r="AK1" s="13" t="s">
        <v>2818</v>
      </c>
      <c r="AL1" s="14" t="s">
        <v>2817</v>
      </c>
      <c r="AM1" s="16" t="s">
        <v>2816</v>
      </c>
      <c r="AN1" s="15" t="s">
        <v>2815</v>
      </c>
      <c r="AO1" s="15" t="s">
        <v>2814</v>
      </c>
      <c r="AP1" s="14" t="s">
        <v>2813</v>
      </c>
      <c r="AQ1" s="14" t="s">
        <v>2812</v>
      </c>
      <c r="AR1" s="14" t="s">
        <v>2811</v>
      </c>
      <c r="AS1" s="14" t="s">
        <v>2810</v>
      </c>
      <c r="AT1" s="13" t="s">
        <v>2809</v>
      </c>
      <c r="AU1" s="12" t="s">
        <v>2808</v>
      </c>
      <c r="AV1" s="12" t="s">
        <v>2807</v>
      </c>
      <c r="AW1" s="12" t="s">
        <v>2806</v>
      </c>
    </row>
    <row r="2" spans="1:49" x14ac:dyDescent="0.2">
      <c r="A2">
        <v>0</v>
      </c>
      <c r="B2" t="s">
        <v>2805</v>
      </c>
      <c r="C2" t="s">
        <v>2804</v>
      </c>
      <c r="F2" t="s">
        <v>2803</v>
      </c>
      <c r="G2" t="s">
        <v>4</v>
      </c>
      <c r="H2" t="s">
        <v>3</v>
      </c>
      <c r="I2" t="s">
        <v>2802</v>
      </c>
      <c r="J2">
        <v>60020818</v>
      </c>
      <c r="K2" t="s">
        <v>70</v>
      </c>
      <c r="L2" t="s">
        <v>69</v>
      </c>
      <c r="M2" t="s">
        <v>19</v>
      </c>
      <c r="N2">
        <v>2</v>
      </c>
      <c r="O2" t="s">
        <v>2801</v>
      </c>
      <c r="P2" t="s">
        <v>2800</v>
      </c>
      <c r="Q2" t="s">
        <v>2799</v>
      </c>
      <c r="R2" s="7">
        <v>33227</v>
      </c>
      <c r="S2" s="8">
        <f t="shared" ref="S2:S65" si="0">YEAR(R2)</f>
        <v>1990</v>
      </c>
      <c r="T2" s="8">
        <v>1990</v>
      </c>
      <c r="U2" s="8">
        <f t="shared" ref="U2:U65" si="1">2022-T2</f>
        <v>32</v>
      </c>
      <c r="V2" s="7">
        <v>33227</v>
      </c>
      <c r="W2" t="s">
        <v>226</v>
      </c>
      <c r="X2" s="2">
        <v>0.66800000000000004</v>
      </c>
      <c r="Y2" s="6">
        <f t="shared" ref="Y2:Y65" si="2">(X2-$Z$4)/($Z$3-$Z$4)</f>
        <v>1.7831878486959774E-2</v>
      </c>
      <c r="AA2" t="s">
        <v>225</v>
      </c>
      <c r="AB2">
        <v>29593</v>
      </c>
      <c r="AC2">
        <v>21553165</v>
      </c>
      <c r="AD2" t="s">
        <v>1</v>
      </c>
      <c r="AE2">
        <v>29</v>
      </c>
      <c r="AF2">
        <v>36</v>
      </c>
      <c r="AH2" t="s">
        <v>2798</v>
      </c>
      <c r="AI2" t="s">
        <v>2797</v>
      </c>
      <c r="AJ2" t="s">
        <v>2796</v>
      </c>
      <c r="AK2" t="s">
        <v>2795</v>
      </c>
      <c r="AL2">
        <v>39</v>
      </c>
      <c r="AM2" s="5">
        <f t="shared" ref="AM2:AM65" si="3">AL2/U2</f>
        <v>1.21875</v>
      </c>
      <c r="AN2" s="4">
        <f t="shared" ref="AN2:AN65" si="4">(AM2-$AO$4)/($AO$3-$AO$4)</f>
        <v>1.8458917076864824E-3</v>
      </c>
      <c r="AO2" s="3"/>
      <c r="AP2">
        <v>0</v>
      </c>
      <c r="AR2" t="s">
        <v>0</v>
      </c>
      <c r="AT2" s="2">
        <v>1.98</v>
      </c>
      <c r="AU2" s="1">
        <f t="shared" ref="AU2:AU65" si="5">(Y2*0.7+AN2*0.3)*100</f>
        <v>1.3036082453177784</v>
      </c>
      <c r="AV2" s="1">
        <f t="shared" ref="AV2:AV65" si="6">(Y2*0.5+AN2*0.5)*100</f>
        <v>0.98388850973231268</v>
      </c>
      <c r="AW2" s="1">
        <f t="shared" ref="AW2:AW65" si="7">(Y2*0.3+AN2*0.7)*100</f>
        <v>0.66416877414684694</v>
      </c>
    </row>
    <row r="3" spans="1:49" x14ac:dyDescent="0.2">
      <c r="A3">
        <v>1</v>
      </c>
      <c r="B3" t="s">
        <v>2794</v>
      </c>
      <c r="E3">
        <v>2246254</v>
      </c>
      <c r="F3" t="s">
        <v>2793</v>
      </c>
      <c r="G3" t="s">
        <v>4</v>
      </c>
      <c r="H3" t="s">
        <v>3</v>
      </c>
      <c r="I3" t="s">
        <v>2792</v>
      </c>
      <c r="J3">
        <v>60017994</v>
      </c>
      <c r="K3" t="s">
        <v>2791</v>
      </c>
      <c r="L3" t="s">
        <v>2790</v>
      </c>
      <c r="M3" t="s">
        <v>19</v>
      </c>
      <c r="N3">
        <v>3</v>
      </c>
      <c r="O3" t="s">
        <v>2789</v>
      </c>
      <c r="P3" t="s">
        <v>2788</v>
      </c>
      <c r="Q3" t="s">
        <v>2787</v>
      </c>
      <c r="R3" s="7">
        <v>33224</v>
      </c>
      <c r="S3" s="8">
        <f t="shared" si="0"/>
        <v>1990</v>
      </c>
      <c r="T3" s="8">
        <v>1990</v>
      </c>
      <c r="U3" s="8">
        <f t="shared" si="1"/>
        <v>32</v>
      </c>
      <c r="V3" s="7">
        <v>1990</v>
      </c>
      <c r="W3" t="s">
        <v>261</v>
      </c>
      <c r="X3" s="2">
        <v>2.3610000000000002</v>
      </c>
      <c r="Y3" s="6">
        <f t="shared" si="2"/>
        <v>6.3025546568431179E-2</v>
      </c>
      <c r="Z3">
        <v>37.460999999999999</v>
      </c>
      <c r="AA3">
        <v>219258</v>
      </c>
      <c r="AB3">
        <v>17592</v>
      </c>
      <c r="AD3" t="s">
        <v>1</v>
      </c>
      <c r="AE3">
        <v>265</v>
      </c>
      <c r="AF3">
        <v>32</v>
      </c>
      <c r="AH3" t="s">
        <v>2786</v>
      </c>
      <c r="AI3" t="s">
        <v>2785</v>
      </c>
      <c r="AK3" t="s">
        <v>2784</v>
      </c>
      <c r="AL3">
        <v>66</v>
      </c>
      <c r="AM3" s="5">
        <f t="shared" si="3"/>
        <v>2.0625</v>
      </c>
      <c r="AN3" s="4">
        <f t="shared" si="4"/>
        <v>3.1238167360848165E-3</v>
      </c>
      <c r="AO3" s="3">
        <v>660.25</v>
      </c>
      <c r="AP3">
        <v>0</v>
      </c>
      <c r="AR3" t="s">
        <v>0</v>
      </c>
      <c r="AT3" s="2">
        <v>5.157</v>
      </c>
      <c r="AU3" s="1">
        <f t="shared" si="5"/>
        <v>4.5055027618727266</v>
      </c>
      <c r="AV3" s="1">
        <f t="shared" si="6"/>
        <v>3.3074681652257998</v>
      </c>
      <c r="AW3" s="1">
        <f t="shared" si="7"/>
        <v>2.1094335685788721</v>
      </c>
    </row>
    <row r="4" spans="1:49" x14ac:dyDescent="0.2">
      <c r="A4">
        <v>2</v>
      </c>
      <c r="B4" t="s">
        <v>2783</v>
      </c>
      <c r="C4" t="s">
        <v>2782</v>
      </c>
      <c r="D4" t="s">
        <v>2781</v>
      </c>
      <c r="E4">
        <v>2073615</v>
      </c>
      <c r="F4" t="s">
        <v>2780</v>
      </c>
      <c r="G4" t="s">
        <v>4</v>
      </c>
      <c r="H4" t="s">
        <v>3</v>
      </c>
      <c r="I4" t="s">
        <v>2779</v>
      </c>
      <c r="J4">
        <v>60027561</v>
      </c>
      <c r="K4" t="s">
        <v>2778</v>
      </c>
      <c r="L4" t="s">
        <v>39</v>
      </c>
      <c r="M4" t="s">
        <v>19</v>
      </c>
      <c r="N4">
        <v>2</v>
      </c>
      <c r="O4" t="s">
        <v>2777</v>
      </c>
      <c r="P4" t="s">
        <v>2776</v>
      </c>
      <c r="Q4" t="s">
        <v>2775</v>
      </c>
      <c r="R4" s="7">
        <v>33217</v>
      </c>
      <c r="S4" s="8">
        <f t="shared" si="0"/>
        <v>1990</v>
      </c>
      <c r="T4" s="8">
        <v>1990</v>
      </c>
      <c r="U4" s="8">
        <f t="shared" si="1"/>
        <v>32</v>
      </c>
      <c r="V4" s="7">
        <v>33217</v>
      </c>
      <c r="W4" t="s">
        <v>556</v>
      </c>
      <c r="X4" s="2">
        <v>1.0369999999999999</v>
      </c>
      <c r="Y4" s="6">
        <f t="shared" si="2"/>
        <v>2.7682122740983955E-2</v>
      </c>
      <c r="Z4">
        <v>0</v>
      </c>
      <c r="AA4">
        <v>68993</v>
      </c>
      <c r="AB4">
        <v>14346</v>
      </c>
      <c r="AD4" t="s">
        <v>1</v>
      </c>
      <c r="AE4">
        <v>535</v>
      </c>
      <c r="AF4">
        <v>2</v>
      </c>
      <c r="AH4" t="s">
        <v>277</v>
      </c>
      <c r="AI4" t="s">
        <v>2774</v>
      </c>
      <c r="AJ4" t="s">
        <v>2773</v>
      </c>
      <c r="AK4" t="s">
        <v>2772</v>
      </c>
      <c r="AL4">
        <v>26</v>
      </c>
      <c r="AM4" s="5">
        <f t="shared" si="3"/>
        <v>0.8125</v>
      </c>
      <c r="AN4" s="4">
        <f t="shared" si="4"/>
        <v>1.2305944717909882E-3</v>
      </c>
      <c r="AO4" s="3">
        <v>0</v>
      </c>
      <c r="AP4">
        <v>0</v>
      </c>
      <c r="AR4" t="s">
        <v>0</v>
      </c>
      <c r="AT4" s="2">
        <v>3.2519999999999998</v>
      </c>
      <c r="AU4" s="1">
        <f t="shared" si="5"/>
        <v>1.9746664260226063</v>
      </c>
      <c r="AV4" s="1">
        <f t="shared" si="6"/>
        <v>1.4456358606387472</v>
      </c>
      <c r="AW4" s="1">
        <f t="shared" si="7"/>
        <v>0.91660529525488776</v>
      </c>
    </row>
    <row r="5" spans="1:49" x14ac:dyDescent="0.2">
      <c r="A5">
        <v>3</v>
      </c>
      <c r="B5" t="s">
        <v>2771</v>
      </c>
      <c r="C5" t="s">
        <v>2770</v>
      </c>
      <c r="D5" t="s">
        <v>2769</v>
      </c>
      <c r="F5" t="s">
        <v>2768</v>
      </c>
      <c r="G5" t="s">
        <v>4</v>
      </c>
      <c r="H5" t="s">
        <v>3</v>
      </c>
      <c r="I5" t="s">
        <v>2767</v>
      </c>
      <c r="J5">
        <v>60021199</v>
      </c>
      <c r="K5" t="s">
        <v>18</v>
      </c>
      <c r="L5" t="s">
        <v>17</v>
      </c>
      <c r="M5" t="s">
        <v>16</v>
      </c>
      <c r="N5">
        <v>2</v>
      </c>
      <c r="O5" t="s">
        <v>2766</v>
      </c>
      <c r="P5" t="s">
        <v>2765</v>
      </c>
      <c r="Q5" t="s">
        <v>2764</v>
      </c>
      <c r="R5" s="7">
        <v>33213</v>
      </c>
      <c r="S5" s="8">
        <f t="shared" si="0"/>
        <v>1990</v>
      </c>
      <c r="T5" s="8">
        <v>1990</v>
      </c>
      <c r="U5" s="8">
        <f t="shared" si="1"/>
        <v>32</v>
      </c>
      <c r="V5" s="7">
        <v>33213</v>
      </c>
      <c r="W5" t="s">
        <v>234</v>
      </c>
      <c r="X5" s="2">
        <v>1.59</v>
      </c>
      <c r="Y5" s="6">
        <f t="shared" si="2"/>
        <v>4.2444141907583888E-2</v>
      </c>
      <c r="AA5">
        <v>52728</v>
      </c>
      <c r="AB5">
        <v>16791</v>
      </c>
      <c r="AD5" t="s">
        <v>1</v>
      </c>
      <c r="AE5">
        <v>1020</v>
      </c>
      <c r="AF5">
        <v>3</v>
      </c>
      <c r="AH5" t="s">
        <v>2763</v>
      </c>
      <c r="AI5" t="s">
        <v>2762</v>
      </c>
      <c r="AJ5" t="s">
        <v>2761</v>
      </c>
      <c r="AK5" t="s">
        <v>2760</v>
      </c>
      <c r="AL5">
        <v>13</v>
      </c>
      <c r="AM5" s="5">
        <f t="shared" si="3"/>
        <v>0.40625</v>
      </c>
      <c r="AN5" s="4">
        <f t="shared" si="4"/>
        <v>6.1529723589549411E-4</v>
      </c>
      <c r="AO5" s="3"/>
      <c r="AP5">
        <v>0</v>
      </c>
      <c r="AR5" t="s">
        <v>0</v>
      </c>
      <c r="AT5" s="2" t="s">
        <v>13</v>
      </c>
      <c r="AU5" s="1">
        <f t="shared" si="5"/>
        <v>2.9895488506077368</v>
      </c>
      <c r="AV5" s="1">
        <f t="shared" si="6"/>
        <v>2.1529719571739689</v>
      </c>
      <c r="AW5" s="1">
        <f t="shared" si="7"/>
        <v>1.3163950637402011</v>
      </c>
    </row>
    <row r="6" spans="1:49" x14ac:dyDescent="0.2">
      <c r="A6">
        <v>4</v>
      </c>
      <c r="B6" t="s">
        <v>2759</v>
      </c>
      <c r="C6" t="s">
        <v>2758</v>
      </c>
      <c r="D6" t="s">
        <v>2757</v>
      </c>
      <c r="F6" t="s">
        <v>2756</v>
      </c>
      <c r="G6" t="s">
        <v>4</v>
      </c>
      <c r="H6" t="s">
        <v>3</v>
      </c>
      <c r="I6" t="s">
        <v>2755</v>
      </c>
      <c r="J6" t="s">
        <v>2754</v>
      </c>
      <c r="K6" t="s">
        <v>2753</v>
      </c>
      <c r="L6" t="s">
        <v>2752</v>
      </c>
      <c r="M6" t="s">
        <v>2751</v>
      </c>
      <c r="N6">
        <v>12</v>
      </c>
      <c r="O6" t="s">
        <v>2750</v>
      </c>
      <c r="P6" t="s">
        <v>2749</v>
      </c>
      <c r="Q6" t="s">
        <v>2748</v>
      </c>
      <c r="R6" s="7">
        <v>33210</v>
      </c>
      <c r="S6" s="8">
        <f t="shared" si="0"/>
        <v>1990</v>
      </c>
      <c r="T6" s="8">
        <v>1990</v>
      </c>
      <c r="U6" s="8">
        <f t="shared" si="1"/>
        <v>32</v>
      </c>
      <c r="V6" s="7">
        <v>33210</v>
      </c>
      <c r="W6" t="s">
        <v>2710</v>
      </c>
      <c r="X6" s="2">
        <v>1.123</v>
      </c>
      <c r="Y6" s="6">
        <f t="shared" si="2"/>
        <v>2.9977843624035664E-2</v>
      </c>
      <c r="AA6">
        <v>223115</v>
      </c>
      <c r="AB6">
        <v>29021</v>
      </c>
      <c r="AD6" t="s">
        <v>1</v>
      </c>
      <c r="AE6" t="s">
        <v>2709</v>
      </c>
      <c r="AF6" t="s">
        <v>2708</v>
      </c>
      <c r="AH6" t="s">
        <v>2747</v>
      </c>
      <c r="AI6" t="s">
        <v>2746</v>
      </c>
      <c r="AK6" t="s">
        <v>2745</v>
      </c>
      <c r="AL6">
        <v>15</v>
      </c>
      <c r="AM6" s="5">
        <f t="shared" si="3"/>
        <v>0.46875</v>
      </c>
      <c r="AN6" s="4">
        <f t="shared" si="4"/>
        <v>7.0995834911018554E-4</v>
      </c>
      <c r="AO6" s="3"/>
      <c r="AP6">
        <v>0</v>
      </c>
      <c r="AQ6" t="s">
        <v>135</v>
      </c>
      <c r="AR6" t="s">
        <v>2744</v>
      </c>
      <c r="AS6" t="s">
        <v>134</v>
      </c>
      <c r="AT6" s="2">
        <v>2.9359999999999999</v>
      </c>
      <c r="AU6" s="1">
        <f t="shared" si="5"/>
        <v>2.1197478041558018</v>
      </c>
      <c r="AV6" s="1">
        <f t="shared" si="6"/>
        <v>1.5343900986572925</v>
      </c>
      <c r="AW6" s="1">
        <f t="shared" si="7"/>
        <v>0.94903239315878296</v>
      </c>
    </row>
    <row r="7" spans="1:49" x14ac:dyDescent="0.2">
      <c r="A7">
        <v>5</v>
      </c>
      <c r="B7" t="s">
        <v>2743</v>
      </c>
      <c r="C7" t="s">
        <v>2742</v>
      </c>
      <c r="D7" t="s">
        <v>2741</v>
      </c>
      <c r="F7" t="s">
        <v>2740</v>
      </c>
      <c r="G7" t="s">
        <v>4</v>
      </c>
      <c r="H7" t="s">
        <v>3</v>
      </c>
      <c r="I7" t="s">
        <v>2739</v>
      </c>
      <c r="J7">
        <v>60011313</v>
      </c>
      <c r="K7" t="s">
        <v>181</v>
      </c>
      <c r="L7" t="s">
        <v>180</v>
      </c>
      <c r="M7" t="s">
        <v>170</v>
      </c>
      <c r="N7">
        <v>10</v>
      </c>
      <c r="O7" t="s">
        <v>2738</v>
      </c>
      <c r="P7" t="s">
        <v>2737</v>
      </c>
      <c r="Q7" t="s">
        <v>2736</v>
      </c>
      <c r="R7" s="7">
        <v>33210</v>
      </c>
      <c r="S7" s="8">
        <f t="shared" si="0"/>
        <v>1990</v>
      </c>
      <c r="T7" s="8">
        <v>1990</v>
      </c>
      <c r="U7" s="8">
        <f t="shared" si="1"/>
        <v>32</v>
      </c>
      <c r="V7" s="7">
        <v>33210</v>
      </c>
      <c r="W7" t="s">
        <v>2710</v>
      </c>
      <c r="X7" s="2">
        <v>1.123</v>
      </c>
      <c r="Y7" s="6">
        <f t="shared" si="2"/>
        <v>2.9977843624035664E-2</v>
      </c>
      <c r="AA7">
        <v>223115</v>
      </c>
      <c r="AB7">
        <v>29021</v>
      </c>
      <c r="AD7" t="s">
        <v>1</v>
      </c>
      <c r="AE7" t="s">
        <v>2709</v>
      </c>
      <c r="AF7" t="s">
        <v>2708</v>
      </c>
      <c r="AH7" t="s">
        <v>2735</v>
      </c>
      <c r="AI7" t="s">
        <v>2734</v>
      </c>
      <c r="AK7" t="s">
        <v>2733</v>
      </c>
      <c r="AL7">
        <v>0</v>
      </c>
      <c r="AM7" s="5">
        <f t="shared" si="3"/>
        <v>0</v>
      </c>
      <c r="AN7" s="4">
        <f t="shared" si="4"/>
        <v>0</v>
      </c>
      <c r="AO7" s="3"/>
      <c r="AP7">
        <v>0</v>
      </c>
      <c r="AR7" t="s">
        <v>0</v>
      </c>
      <c r="AT7" s="2">
        <v>2.9359999999999999</v>
      </c>
      <c r="AU7" s="1">
        <f t="shared" si="5"/>
        <v>2.0984490536824962</v>
      </c>
      <c r="AV7" s="1">
        <f t="shared" si="6"/>
        <v>1.4988921812017832</v>
      </c>
      <c r="AW7" s="1">
        <f t="shared" si="7"/>
        <v>0.89933530872106993</v>
      </c>
    </row>
    <row r="8" spans="1:49" x14ac:dyDescent="0.2">
      <c r="A8">
        <v>6</v>
      </c>
      <c r="B8" t="s">
        <v>2732</v>
      </c>
      <c r="C8" t="s">
        <v>2731</v>
      </c>
      <c r="D8" t="s">
        <v>2730</v>
      </c>
      <c r="F8" t="s">
        <v>2729</v>
      </c>
      <c r="G8" t="s">
        <v>4</v>
      </c>
      <c r="H8" t="s">
        <v>3</v>
      </c>
      <c r="I8" t="s">
        <v>2728</v>
      </c>
      <c r="J8" t="s">
        <v>2727</v>
      </c>
      <c r="K8" t="s">
        <v>2726</v>
      </c>
      <c r="L8" t="s">
        <v>2725</v>
      </c>
      <c r="M8" t="s">
        <v>2724</v>
      </c>
      <c r="N8">
        <v>10</v>
      </c>
      <c r="O8" t="s">
        <v>2723</v>
      </c>
      <c r="P8" t="s">
        <v>2722</v>
      </c>
      <c r="Q8" t="s">
        <v>2721</v>
      </c>
      <c r="R8" s="7">
        <v>33210</v>
      </c>
      <c r="S8" s="8">
        <f t="shared" si="0"/>
        <v>1990</v>
      </c>
      <c r="T8" s="8">
        <v>1990</v>
      </c>
      <c r="U8" s="8">
        <f t="shared" si="1"/>
        <v>32</v>
      </c>
      <c r="V8" s="7">
        <v>33210</v>
      </c>
      <c r="W8" t="s">
        <v>2710</v>
      </c>
      <c r="X8" s="2">
        <v>1.123</v>
      </c>
      <c r="Y8" s="6">
        <f t="shared" si="2"/>
        <v>2.9977843624035664E-2</v>
      </c>
      <c r="AA8">
        <v>223115</v>
      </c>
      <c r="AB8">
        <v>29021</v>
      </c>
      <c r="AD8" t="s">
        <v>1</v>
      </c>
      <c r="AE8" t="s">
        <v>2709</v>
      </c>
      <c r="AF8" t="s">
        <v>2708</v>
      </c>
      <c r="AH8" t="s">
        <v>2720</v>
      </c>
      <c r="AI8" t="s">
        <v>2719</v>
      </c>
      <c r="AK8" t="s">
        <v>2718</v>
      </c>
      <c r="AL8">
        <v>21</v>
      </c>
      <c r="AM8" s="5">
        <f t="shared" si="3"/>
        <v>0.65625</v>
      </c>
      <c r="AN8" s="4">
        <f t="shared" si="4"/>
        <v>9.9394168875425971E-4</v>
      </c>
      <c r="AO8" s="3"/>
      <c r="AP8">
        <v>0</v>
      </c>
      <c r="AR8" t="s">
        <v>0</v>
      </c>
      <c r="AT8" s="2">
        <v>2.9359999999999999</v>
      </c>
      <c r="AU8" s="1">
        <f t="shared" si="5"/>
        <v>2.1282673043451239</v>
      </c>
      <c r="AV8" s="1">
        <f t="shared" si="6"/>
        <v>1.5485892656394962</v>
      </c>
      <c r="AW8" s="1">
        <f t="shared" si="7"/>
        <v>0.96891122693386811</v>
      </c>
    </row>
    <row r="9" spans="1:49" x14ac:dyDescent="0.2">
      <c r="A9">
        <v>7</v>
      </c>
      <c r="B9" t="s">
        <v>2717</v>
      </c>
      <c r="C9" t="s">
        <v>2716</v>
      </c>
      <c r="D9" t="s">
        <v>2715</v>
      </c>
      <c r="F9" t="s">
        <v>2714</v>
      </c>
      <c r="G9" t="s">
        <v>4</v>
      </c>
      <c r="H9" t="s">
        <v>3</v>
      </c>
      <c r="I9" t="s">
        <v>100</v>
      </c>
      <c r="J9">
        <v>60025104</v>
      </c>
      <c r="K9" t="s">
        <v>206</v>
      </c>
      <c r="M9" t="s">
        <v>23</v>
      </c>
      <c r="N9">
        <v>7</v>
      </c>
      <c r="O9" t="s">
        <v>2713</v>
      </c>
      <c r="P9" t="s">
        <v>2712</v>
      </c>
      <c r="Q9" t="s">
        <v>2711</v>
      </c>
      <c r="R9" s="7">
        <v>33210</v>
      </c>
      <c r="S9" s="8">
        <f t="shared" si="0"/>
        <v>1990</v>
      </c>
      <c r="T9" s="8">
        <v>1990</v>
      </c>
      <c r="U9" s="8">
        <f t="shared" si="1"/>
        <v>32</v>
      </c>
      <c r="V9" s="7">
        <v>33210</v>
      </c>
      <c r="W9" t="s">
        <v>2710</v>
      </c>
      <c r="X9" s="2">
        <v>1.123</v>
      </c>
      <c r="Y9" s="6">
        <f t="shared" si="2"/>
        <v>2.9977843624035664E-2</v>
      </c>
      <c r="AA9">
        <v>223115</v>
      </c>
      <c r="AB9">
        <v>29021</v>
      </c>
      <c r="AD9" t="s">
        <v>1</v>
      </c>
      <c r="AE9" t="s">
        <v>2709</v>
      </c>
      <c r="AF9" t="s">
        <v>2708</v>
      </c>
      <c r="AH9" t="s">
        <v>2707</v>
      </c>
      <c r="AI9" t="s">
        <v>2706</v>
      </c>
      <c r="AK9" t="s">
        <v>2705</v>
      </c>
      <c r="AL9">
        <v>3</v>
      </c>
      <c r="AM9" s="5">
        <f t="shared" si="3"/>
        <v>9.375E-2</v>
      </c>
      <c r="AN9" s="4">
        <f t="shared" si="4"/>
        <v>1.4199166982203711E-4</v>
      </c>
      <c r="AO9" s="3"/>
      <c r="AP9">
        <v>0</v>
      </c>
      <c r="AR9" t="s">
        <v>0</v>
      </c>
      <c r="AT9" s="2">
        <v>2.9359999999999999</v>
      </c>
      <c r="AU9" s="1">
        <f t="shared" si="5"/>
        <v>2.1027088037771575</v>
      </c>
      <c r="AV9" s="1">
        <f t="shared" si="6"/>
        <v>1.5059917646928849</v>
      </c>
      <c r="AW9" s="1">
        <f t="shared" si="7"/>
        <v>0.90927472560861267</v>
      </c>
    </row>
    <row r="10" spans="1:49" x14ac:dyDescent="0.2">
      <c r="A10">
        <v>8</v>
      </c>
      <c r="B10" t="s">
        <v>2704</v>
      </c>
      <c r="C10" t="s">
        <v>2703</v>
      </c>
      <c r="D10" t="s">
        <v>2702</v>
      </c>
      <c r="E10">
        <v>2128628</v>
      </c>
      <c r="F10" t="s">
        <v>2701</v>
      </c>
      <c r="G10" t="s">
        <v>4</v>
      </c>
      <c r="H10" t="s">
        <v>3</v>
      </c>
      <c r="I10" t="s">
        <v>2700</v>
      </c>
      <c r="J10">
        <v>60025111</v>
      </c>
      <c r="K10" t="s">
        <v>2699</v>
      </c>
      <c r="L10" t="s">
        <v>2698</v>
      </c>
      <c r="M10" t="s">
        <v>19</v>
      </c>
      <c r="N10">
        <v>2</v>
      </c>
      <c r="O10" t="s">
        <v>2697</v>
      </c>
      <c r="P10" t="s">
        <v>2696</v>
      </c>
      <c r="Q10" t="s">
        <v>2695</v>
      </c>
      <c r="R10" s="7">
        <v>33210</v>
      </c>
      <c r="S10" s="8">
        <f t="shared" si="0"/>
        <v>1990</v>
      </c>
      <c r="T10" s="8">
        <v>1990</v>
      </c>
      <c r="U10" s="8">
        <f t="shared" si="1"/>
        <v>32</v>
      </c>
      <c r="V10" s="7">
        <v>33210</v>
      </c>
      <c r="W10" t="s">
        <v>2694</v>
      </c>
      <c r="X10" s="2">
        <v>1.296</v>
      </c>
      <c r="Y10" s="6">
        <f t="shared" si="2"/>
        <v>3.4595979819011774E-2</v>
      </c>
      <c r="AA10">
        <v>3037207</v>
      </c>
      <c r="AB10">
        <v>26206</v>
      </c>
      <c r="AD10" t="s">
        <v>1</v>
      </c>
      <c r="AE10">
        <v>74</v>
      </c>
      <c r="AF10">
        <v>2</v>
      </c>
      <c r="AH10" t="s">
        <v>1299</v>
      </c>
      <c r="AI10" t="s">
        <v>2693</v>
      </c>
      <c r="AJ10" t="s">
        <v>2692</v>
      </c>
      <c r="AK10" t="s">
        <v>2691</v>
      </c>
      <c r="AL10">
        <v>11</v>
      </c>
      <c r="AM10" s="5">
        <f t="shared" si="3"/>
        <v>0.34375</v>
      </c>
      <c r="AN10" s="4">
        <f t="shared" si="4"/>
        <v>5.2063612268080268E-4</v>
      </c>
      <c r="AO10" s="3"/>
      <c r="AP10">
        <v>0</v>
      </c>
      <c r="AQ10" t="s">
        <v>2690</v>
      </c>
      <c r="AR10" t="s">
        <v>2689</v>
      </c>
      <c r="AS10" t="s">
        <v>2688</v>
      </c>
      <c r="AT10" s="2" t="s">
        <v>13</v>
      </c>
      <c r="AU10" s="1">
        <f t="shared" si="5"/>
        <v>2.4373376710112482</v>
      </c>
      <c r="AV10" s="1">
        <f t="shared" si="6"/>
        <v>1.7558307970846287</v>
      </c>
      <c r="AW10" s="1">
        <f t="shared" si="7"/>
        <v>1.0743239231580093</v>
      </c>
    </row>
    <row r="11" spans="1:49" x14ac:dyDescent="0.2">
      <c r="A11">
        <v>9</v>
      </c>
      <c r="B11" t="s">
        <v>2687</v>
      </c>
      <c r="C11" t="s">
        <v>2686</v>
      </c>
      <c r="F11" t="s">
        <v>2685</v>
      </c>
      <c r="G11" t="s">
        <v>4</v>
      </c>
      <c r="H11" t="s">
        <v>3</v>
      </c>
      <c r="I11" t="s">
        <v>2684</v>
      </c>
      <c r="J11">
        <v>60018020</v>
      </c>
      <c r="K11" t="s">
        <v>1860</v>
      </c>
      <c r="L11" t="s">
        <v>197</v>
      </c>
      <c r="M11" t="s">
        <v>19</v>
      </c>
      <c r="N11">
        <v>13</v>
      </c>
      <c r="O11" t="s">
        <v>2683</v>
      </c>
      <c r="P11" t="s">
        <v>2682</v>
      </c>
      <c r="Q11" t="s">
        <v>2681</v>
      </c>
      <c r="R11" s="7">
        <v>33208</v>
      </c>
      <c r="S11" s="8">
        <f t="shared" si="0"/>
        <v>1990</v>
      </c>
      <c r="T11" s="8">
        <v>1990</v>
      </c>
      <c r="U11" s="8">
        <f t="shared" si="1"/>
        <v>32</v>
      </c>
      <c r="V11" s="7">
        <v>1990</v>
      </c>
      <c r="W11" t="s">
        <v>1910</v>
      </c>
      <c r="X11" s="2">
        <v>1.3280000000000001</v>
      </c>
      <c r="Y11" s="6">
        <f t="shared" si="2"/>
        <v>3.5450201542937994E-2</v>
      </c>
      <c r="AA11">
        <v>7413335</v>
      </c>
      <c r="AB11">
        <v>29251</v>
      </c>
      <c r="AD11" t="s">
        <v>1</v>
      </c>
      <c r="AE11">
        <v>32</v>
      </c>
      <c r="AF11">
        <v>3</v>
      </c>
      <c r="AG11">
        <v>3</v>
      </c>
      <c r="AH11" t="s">
        <v>2680</v>
      </c>
      <c r="AI11" t="s">
        <v>2679</v>
      </c>
      <c r="AK11" t="s">
        <v>2678</v>
      </c>
      <c r="AL11">
        <v>13</v>
      </c>
      <c r="AM11" s="5">
        <f t="shared" si="3"/>
        <v>0.40625</v>
      </c>
      <c r="AN11" s="4">
        <f t="shared" si="4"/>
        <v>6.1529723589549411E-4</v>
      </c>
      <c r="AO11" s="3"/>
      <c r="AP11">
        <v>0</v>
      </c>
      <c r="AR11" t="s">
        <v>0</v>
      </c>
      <c r="AT11" s="2">
        <v>2.4580000000000002</v>
      </c>
      <c r="AU11" s="1">
        <f t="shared" si="5"/>
        <v>2.4999730250825243</v>
      </c>
      <c r="AV11" s="1">
        <f t="shared" si="6"/>
        <v>1.8032749389416742</v>
      </c>
      <c r="AW11" s="1">
        <f t="shared" si="7"/>
        <v>1.1065768528008244</v>
      </c>
    </row>
    <row r="12" spans="1:49" x14ac:dyDescent="0.2">
      <c r="A12">
        <v>10</v>
      </c>
      <c r="B12" t="s">
        <v>2677</v>
      </c>
      <c r="D12" t="s">
        <v>2676</v>
      </c>
      <c r="F12" t="s">
        <v>2675</v>
      </c>
      <c r="G12" t="s">
        <v>4</v>
      </c>
      <c r="H12" t="s">
        <v>3</v>
      </c>
      <c r="I12" t="s">
        <v>2674</v>
      </c>
      <c r="J12">
        <v>60007457</v>
      </c>
      <c r="K12" t="s">
        <v>259</v>
      </c>
      <c r="L12" t="s">
        <v>187</v>
      </c>
      <c r="M12" t="s">
        <v>148</v>
      </c>
      <c r="N12">
        <v>4</v>
      </c>
      <c r="O12" t="s">
        <v>2673</v>
      </c>
      <c r="P12" t="s">
        <v>2672</v>
      </c>
      <c r="Q12" t="s">
        <v>2671</v>
      </c>
      <c r="R12" s="7">
        <v>33208</v>
      </c>
      <c r="S12" s="8">
        <f t="shared" si="0"/>
        <v>1990</v>
      </c>
      <c r="T12" s="8">
        <v>1990</v>
      </c>
      <c r="U12" s="8">
        <f t="shared" si="1"/>
        <v>32</v>
      </c>
      <c r="V12" s="7">
        <v>1990</v>
      </c>
      <c r="W12" t="s">
        <v>2658</v>
      </c>
      <c r="X12" s="2" t="s">
        <v>13</v>
      </c>
      <c r="Y12" s="6" t="e">
        <f t="shared" si="2"/>
        <v>#VALUE!</v>
      </c>
      <c r="AA12">
        <v>63509</v>
      </c>
      <c r="AB12">
        <v>14860</v>
      </c>
      <c r="AD12" t="s">
        <v>1</v>
      </c>
      <c r="AE12">
        <v>35</v>
      </c>
      <c r="AF12">
        <v>3</v>
      </c>
      <c r="AH12" t="s">
        <v>2670</v>
      </c>
      <c r="AI12" t="s">
        <v>2669</v>
      </c>
      <c r="AK12" t="s">
        <v>2668</v>
      </c>
      <c r="AL12">
        <v>0</v>
      </c>
      <c r="AM12" s="5">
        <f t="shared" si="3"/>
        <v>0</v>
      </c>
      <c r="AN12" s="4">
        <f t="shared" si="4"/>
        <v>0</v>
      </c>
      <c r="AO12" s="3"/>
      <c r="AP12">
        <v>0</v>
      </c>
      <c r="AR12" t="s">
        <v>0</v>
      </c>
      <c r="AT12" s="2" t="s">
        <v>13</v>
      </c>
      <c r="AU12" s="1" t="e">
        <f t="shared" si="5"/>
        <v>#VALUE!</v>
      </c>
      <c r="AV12" s="1" t="e">
        <f t="shared" si="6"/>
        <v>#VALUE!</v>
      </c>
      <c r="AW12" s="1" t="e">
        <f t="shared" si="7"/>
        <v>#VALUE!</v>
      </c>
    </row>
    <row r="13" spans="1:49" x14ac:dyDescent="0.2">
      <c r="A13">
        <v>11</v>
      </c>
      <c r="B13" t="s">
        <v>2667</v>
      </c>
      <c r="D13" t="s">
        <v>2666</v>
      </c>
      <c r="F13" t="s">
        <v>2665</v>
      </c>
      <c r="G13" t="s">
        <v>4</v>
      </c>
      <c r="H13" t="s">
        <v>3</v>
      </c>
      <c r="I13" t="s">
        <v>2664</v>
      </c>
      <c r="J13" t="s">
        <v>2663</v>
      </c>
      <c r="K13" t="s">
        <v>2662</v>
      </c>
      <c r="L13" t="s">
        <v>237</v>
      </c>
      <c r="M13" t="s">
        <v>236</v>
      </c>
      <c r="N13">
        <v>3</v>
      </c>
      <c r="O13" t="s">
        <v>2661</v>
      </c>
      <c r="P13" t="s">
        <v>2660</v>
      </c>
      <c r="Q13" t="s">
        <v>2659</v>
      </c>
      <c r="R13" s="7">
        <v>33208</v>
      </c>
      <c r="S13" s="8">
        <f t="shared" si="0"/>
        <v>1990</v>
      </c>
      <c r="T13" s="8">
        <v>1990</v>
      </c>
      <c r="U13" s="8">
        <f t="shared" si="1"/>
        <v>32</v>
      </c>
      <c r="V13" s="7">
        <v>1990</v>
      </c>
      <c r="W13" t="s">
        <v>2658</v>
      </c>
      <c r="X13" s="2" t="s">
        <v>13</v>
      </c>
      <c r="Y13" s="6" t="e">
        <f t="shared" si="2"/>
        <v>#VALUE!</v>
      </c>
      <c r="AA13">
        <v>63509</v>
      </c>
      <c r="AB13">
        <v>14860</v>
      </c>
      <c r="AD13" t="s">
        <v>1</v>
      </c>
      <c r="AE13">
        <v>35</v>
      </c>
      <c r="AF13">
        <v>1</v>
      </c>
      <c r="AH13" t="s">
        <v>128</v>
      </c>
      <c r="AI13" t="s">
        <v>2657</v>
      </c>
      <c r="AK13" t="s">
        <v>2656</v>
      </c>
      <c r="AL13">
        <v>0</v>
      </c>
      <c r="AM13" s="5">
        <f t="shared" si="3"/>
        <v>0</v>
      </c>
      <c r="AN13" s="4">
        <f t="shared" si="4"/>
        <v>0</v>
      </c>
      <c r="AO13" s="3"/>
      <c r="AP13">
        <v>0</v>
      </c>
      <c r="AR13" t="s">
        <v>0</v>
      </c>
      <c r="AT13" s="2" t="s">
        <v>13</v>
      </c>
      <c r="AU13" s="1" t="e">
        <f t="shared" si="5"/>
        <v>#VALUE!</v>
      </c>
      <c r="AV13" s="1" t="e">
        <f t="shared" si="6"/>
        <v>#VALUE!</v>
      </c>
      <c r="AW13" s="1" t="e">
        <f t="shared" si="7"/>
        <v>#VALUE!</v>
      </c>
    </row>
    <row r="14" spans="1:49" x14ac:dyDescent="0.2">
      <c r="A14">
        <v>12</v>
      </c>
      <c r="B14" t="s">
        <v>2655</v>
      </c>
      <c r="C14" t="s">
        <v>2654</v>
      </c>
      <c r="F14" t="s">
        <v>2653</v>
      </c>
      <c r="G14" t="s">
        <v>4</v>
      </c>
      <c r="H14" t="s">
        <v>3</v>
      </c>
      <c r="I14" t="s">
        <v>2652</v>
      </c>
      <c r="J14">
        <v>60022195</v>
      </c>
      <c r="K14" t="s">
        <v>98</v>
      </c>
      <c r="L14" t="s">
        <v>97</v>
      </c>
      <c r="M14" t="s">
        <v>19</v>
      </c>
      <c r="N14">
        <v>6</v>
      </c>
      <c r="O14" t="s">
        <v>2651</v>
      </c>
      <c r="P14" t="s">
        <v>2650</v>
      </c>
      <c r="Q14" t="s">
        <v>2649</v>
      </c>
      <c r="R14" s="7">
        <v>33208</v>
      </c>
      <c r="S14" s="8">
        <f t="shared" si="0"/>
        <v>1990</v>
      </c>
      <c r="T14" s="8">
        <v>1990</v>
      </c>
      <c r="U14" s="8">
        <f t="shared" si="1"/>
        <v>32</v>
      </c>
      <c r="V14" s="7">
        <v>1990</v>
      </c>
      <c r="W14" t="s">
        <v>1765</v>
      </c>
      <c r="X14" s="2">
        <v>1.1819999999999999</v>
      </c>
      <c r="Y14" s="6">
        <f t="shared" si="2"/>
        <v>3.1552814927524625E-2</v>
      </c>
      <c r="AA14">
        <v>36951</v>
      </c>
      <c r="AB14">
        <v>27030</v>
      </c>
      <c r="AD14" t="s">
        <v>1</v>
      </c>
      <c r="AE14">
        <v>56</v>
      </c>
      <c r="AF14">
        <v>5</v>
      </c>
      <c r="AH14" t="s">
        <v>2648</v>
      </c>
      <c r="AI14" t="s">
        <v>2647</v>
      </c>
      <c r="AK14" t="s">
        <v>2646</v>
      </c>
      <c r="AL14">
        <v>17</v>
      </c>
      <c r="AM14" s="5">
        <f t="shared" si="3"/>
        <v>0.53125</v>
      </c>
      <c r="AN14" s="4">
        <f t="shared" si="4"/>
        <v>8.0461946232487697E-4</v>
      </c>
      <c r="AO14" s="3"/>
      <c r="AP14">
        <v>0</v>
      </c>
      <c r="AR14" t="s">
        <v>0</v>
      </c>
      <c r="AT14" s="2">
        <v>3.7909999999999999</v>
      </c>
      <c r="AU14" s="1">
        <f t="shared" si="5"/>
        <v>2.2328356287964697</v>
      </c>
      <c r="AV14" s="1">
        <f t="shared" si="6"/>
        <v>1.6178717194924752</v>
      </c>
      <c r="AW14" s="1">
        <f t="shared" si="7"/>
        <v>1.0029078101884801</v>
      </c>
    </row>
    <row r="15" spans="1:49" x14ac:dyDescent="0.2">
      <c r="A15">
        <v>13</v>
      </c>
      <c r="B15" t="s">
        <v>2645</v>
      </c>
      <c r="C15" t="s">
        <v>2644</v>
      </c>
      <c r="F15" t="s">
        <v>2643</v>
      </c>
      <c r="G15" t="s">
        <v>4</v>
      </c>
      <c r="H15" t="s">
        <v>3</v>
      </c>
      <c r="I15" t="s">
        <v>2642</v>
      </c>
      <c r="J15" t="s">
        <v>2641</v>
      </c>
      <c r="K15" t="s">
        <v>2640</v>
      </c>
      <c r="L15" t="s">
        <v>2639</v>
      </c>
      <c r="M15" t="s">
        <v>103</v>
      </c>
      <c r="N15">
        <v>4</v>
      </c>
      <c r="O15" t="s">
        <v>2638</v>
      </c>
      <c r="P15" t="s">
        <v>2637</v>
      </c>
      <c r="Q15" t="s">
        <v>2636</v>
      </c>
      <c r="R15" s="7">
        <v>33208</v>
      </c>
      <c r="S15" s="8">
        <f t="shared" si="0"/>
        <v>1990</v>
      </c>
      <c r="T15" s="8">
        <v>1990</v>
      </c>
      <c r="U15" s="8">
        <f t="shared" si="1"/>
        <v>32</v>
      </c>
      <c r="V15" s="7">
        <v>1990</v>
      </c>
      <c r="W15" t="s">
        <v>1847</v>
      </c>
      <c r="X15" s="2">
        <v>0.60499999999999998</v>
      </c>
      <c r="Y15" s="6">
        <f t="shared" si="2"/>
        <v>1.6150129467980032E-2</v>
      </c>
      <c r="AA15">
        <v>346748</v>
      </c>
      <c r="AB15">
        <v>15563</v>
      </c>
      <c r="AD15" t="s">
        <v>1</v>
      </c>
      <c r="AE15">
        <v>61</v>
      </c>
      <c r="AF15">
        <v>1</v>
      </c>
      <c r="AH15" t="s">
        <v>2635</v>
      </c>
      <c r="AI15" t="s">
        <v>2634</v>
      </c>
      <c r="AK15" t="s">
        <v>2633</v>
      </c>
      <c r="AL15">
        <v>27</v>
      </c>
      <c r="AM15" s="5">
        <f t="shared" si="3"/>
        <v>0.84375</v>
      </c>
      <c r="AN15" s="4">
        <f t="shared" si="4"/>
        <v>1.2779250283983339E-3</v>
      </c>
      <c r="AO15" s="3"/>
      <c r="AP15">
        <v>0</v>
      </c>
      <c r="AR15" t="s">
        <v>0</v>
      </c>
      <c r="AT15" s="2">
        <v>1.5229999999999999</v>
      </c>
      <c r="AU15" s="1">
        <f t="shared" si="5"/>
        <v>1.1688468136105521</v>
      </c>
      <c r="AV15" s="1">
        <f t="shared" si="6"/>
        <v>0.87140272481891834</v>
      </c>
      <c r="AW15" s="1">
        <f t="shared" si="7"/>
        <v>0.57395863602728436</v>
      </c>
    </row>
    <row r="16" spans="1:49" x14ac:dyDescent="0.2">
      <c r="A16">
        <v>14</v>
      </c>
      <c r="B16" t="s">
        <v>2632</v>
      </c>
      <c r="C16" t="s">
        <v>2631</v>
      </c>
      <c r="F16" t="s">
        <v>2630</v>
      </c>
      <c r="G16" t="s">
        <v>4</v>
      </c>
      <c r="H16" t="s">
        <v>3</v>
      </c>
      <c r="I16" t="s">
        <v>2629</v>
      </c>
      <c r="J16">
        <v>60017366</v>
      </c>
      <c r="K16" t="s">
        <v>34</v>
      </c>
      <c r="L16" t="s">
        <v>33</v>
      </c>
      <c r="M16" t="s">
        <v>19</v>
      </c>
      <c r="N16">
        <v>3</v>
      </c>
      <c r="O16" t="s">
        <v>2628</v>
      </c>
      <c r="P16" t="s">
        <v>2627</v>
      </c>
      <c r="Q16" t="s">
        <v>86</v>
      </c>
      <c r="R16" s="7">
        <v>33208</v>
      </c>
      <c r="S16" s="8">
        <f t="shared" si="0"/>
        <v>1990</v>
      </c>
      <c r="T16" s="8">
        <v>1990</v>
      </c>
      <c r="U16" s="8">
        <f t="shared" si="1"/>
        <v>32</v>
      </c>
      <c r="V16" s="7">
        <v>1990</v>
      </c>
      <c r="W16" t="s">
        <v>1765</v>
      </c>
      <c r="X16" s="2">
        <v>1.1819999999999999</v>
      </c>
      <c r="Y16" s="6">
        <f t="shared" si="2"/>
        <v>3.1552814927524625E-2</v>
      </c>
      <c r="AA16">
        <v>36951</v>
      </c>
      <c r="AB16">
        <v>27030</v>
      </c>
      <c r="AD16" t="s">
        <v>1</v>
      </c>
      <c r="AE16">
        <v>57</v>
      </c>
      <c r="AF16">
        <v>19</v>
      </c>
      <c r="AH16" t="s">
        <v>2626</v>
      </c>
      <c r="AI16" t="s">
        <v>2625</v>
      </c>
      <c r="AK16" t="s">
        <v>2624</v>
      </c>
      <c r="AL16">
        <v>8</v>
      </c>
      <c r="AM16" s="5">
        <f t="shared" si="3"/>
        <v>0.25</v>
      </c>
      <c r="AN16" s="4">
        <f t="shared" si="4"/>
        <v>3.786444528587656E-4</v>
      </c>
      <c r="AO16" s="3"/>
      <c r="AP16">
        <v>0</v>
      </c>
      <c r="AR16" t="s">
        <v>0</v>
      </c>
      <c r="AT16" s="2">
        <v>3.7909999999999999</v>
      </c>
      <c r="AU16" s="1">
        <f t="shared" si="5"/>
        <v>2.2200563785124863</v>
      </c>
      <c r="AV16" s="1">
        <f t="shared" si="6"/>
        <v>1.5965729690191697</v>
      </c>
      <c r="AW16" s="1">
        <f t="shared" si="7"/>
        <v>0.97308955952585241</v>
      </c>
    </row>
    <row r="17" spans="1:49" x14ac:dyDescent="0.2">
      <c r="A17">
        <v>15</v>
      </c>
      <c r="B17" t="s">
        <v>2623</v>
      </c>
      <c r="C17" t="s">
        <v>2622</v>
      </c>
      <c r="F17" t="s">
        <v>2621</v>
      </c>
      <c r="G17" t="s">
        <v>4</v>
      </c>
      <c r="H17" t="s">
        <v>3</v>
      </c>
      <c r="I17" t="s">
        <v>2620</v>
      </c>
      <c r="J17">
        <v>60023053</v>
      </c>
      <c r="K17" t="s">
        <v>113</v>
      </c>
      <c r="L17" t="s">
        <v>112</v>
      </c>
      <c r="M17" t="s">
        <v>19</v>
      </c>
      <c r="N17">
        <v>3</v>
      </c>
      <c r="O17" t="s">
        <v>2619</v>
      </c>
      <c r="P17" t="s">
        <v>2618</v>
      </c>
      <c r="Q17" t="s">
        <v>2617</v>
      </c>
      <c r="R17" s="7">
        <v>33208</v>
      </c>
      <c r="S17" s="8">
        <f t="shared" si="0"/>
        <v>1990</v>
      </c>
      <c r="T17" s="8">
        <v>1990</v>
      </c>
      <c r="U17" s="8">
        <f t="shared" si="1"/>
        <v>32</v>
      </c>
      <c r="V17" s="7">
        <v>1990</v>
      </c>
      <c r="W17" t="s">
        <v>1792</v>
      </c>
      <c r="X17" s="2">
        <v>0.69899999999999995</v>
      </c>
      <c r="Y17" s="6">
        <f t="shared" si="2"/>
        <v>1.8659405782013295E-2</v>
      </c>
      <c r="AA17">
        <v>218979</v>
      </c>
      <c r="AB17">
        <v>28132</v>
      </c>
      <c r="AD17" t="s">
        <v>1</v>
      </c>
      <c r="AE17">
        <v>68</v>
      </c>
      <c r="AF17">
        <v>11</v>
      </c>
      <c r="AH17" t="s">
        <v>2616</v>
      </c>
      <c r="AI17" t="s">
        <v>2615</v>
      </c>
      <c r="AK17" t="s">
        <v>2614</v>
      </c>
      <c r="AL17">
        <v>11</v>
      </c>
      <c r="AM17" s="5">
        <f t="shared" si="3"/>
        <v>0.34375</v>
      </c>
      <c r="AN17" s="4">
        <f t="shared" si="4"/>
        <v>5.2063612268080268E-4</v>
      </c>
      <c r="AO17" s="3"/>
      <c r="AP17">
        <v>0</v>
      </c>
      <c r="AR17" t="s">
        <v>0</v>
      </c>
      <c r="AT17" s="2">
        <v>2.5459999999999998</v>
      </c>
      <c r="AU17" s="1">
        <f t="shared" si="5"/>
        <v>1.3217774884213547</v>
      </c>
      <c r="AV17" s="1">
        <f t="shared" si="6"/>
        <v>0.95900209523470492</v>
      </c>
      <c r="AW17" s="1">
        <f t="shared" si="7"/>
        <v>0.59622670204805495</v>
      </c>
    </row>
    <row r="18" spans="1:49" x14ac:dyDescent="0.2">
      <c r="A18">
        <v>16</v>
      </c>
      <c r="B18" t="s">
        <v>2613</v>
      </c>
      <c r="C18" t="s">
        <v>2612</v>
      </c>
      <c r="F18" t="s">
        <v>2611</v>
      </c>
      <c r="G18" t="s">
        <v>4</v>
      </c>
      <c r="H18" t="s">
        <v>3</v>
      </c>
      <c r="I18" t="s">
        <v>204</v>
      </c>
      <c r="J18">
        <v>60020583</v>
      </c>
      <c r="K18" t="s">
        <v>290</v>
      </c>
      <c r="L18" t="s">
        <v>289</v>
      </c>
      <c r="M18" t="s">
        <v>19</v>
      </c>
      <c r="N18">
        <v>1</v>
      </c>
      <c r="O18" t="s">
        <v>210</v>
      </c>
      <c r="P18">
        <v>22968745300</v>
      </c>
      <c r="Q18">
        <v>60020583</v>
      </c>
      <c r="R18" s="7">
        <v>33208</v>
      </c>
      <c r="S18" s="8">
        <f t="shared" si="0"/>
        <v>1990</v>
      </c>
      <c r="T18" s="8">
        <v>1990</v>
      </c>
      <c r="U18" s="8">
        <f t="shared" si="1"/>
        <v>32</v>
      </c>
      <c r="V18" s="7">
        <v>1990</v>
      </c>
      <c r="W18" t="s">
        <v>1792</v>
      </c>
      <c r="X18" s="2">
        <v>0.69899999999999995</v>
      </c>
      <c r="Y18" s="6">
        <f t="shared" si="2"/>
        <v>1.8659405782013295E-2</v>
      </c>
      <c r="AA18">
        <v>218979</v>
      </c>
      <c r="AB18">
        <v>28132</v>
      </c>
      <c r="AD18" t="s">
        <v>1</v>
      </c>
      <c r="AE18">
        <v>67</v>
      </c>
      <c r="AF18">
        <v>6</v>
      </c>
      <c r="AH18" t="s">
        <v>2610</v>
      </c>
      <c r="AI18" t="s">
        <v>2609</v>
      </c>
      <c r="AK18" t="s">
        <v>2608</v>
      </c>
      <c r="AL18">
        <v>3</v>
      </c>
      <c r="AM18" s="5">
        <f t="shared" si="3"/>
        <v>9.375E-2</v>
      </c>
      <c r="AN18" s="4">
        <f t="shared" si="4"/>
        <v>1.4199166982203711E-4</v>
      </c>
      <c r="AO18" s="3"/>
      <c r="AP18">
        <v>0</v>
      </c>
      <c r="AR18" t="s">
        <v>0</v>
      </c>
      <c r="AT18" s="2">
        <v>2.5459999999999998</v>
      </c>
      <c r="AU18" s="1">
        <f t="shared" si="5"/>
        <v>1.3104181548355915</v>
      </c>
      <c r="AV18" s="1">
        <f t="shared" si="6"/>
        <v>0.94006987259176655</v>
      </c>
      <c r="AW18" s="1">
        <f t="shared" si="7"/>
        <v>0.56972159034794134</v>
      </c>
    </row>
    <row r="19" spans="1:49" x14ac:dyDescent="0.2">
      <c r="A19">
        <v>17</v>
      </c>
      <c r="B19" t="s">
        <v>2607</v>
      </c>
      <c r="C19" t="s">
        <v>2606</v>
      </c>
      <c r="F19" t="s">
        <v>2605</v>
      </c>
      <c r="G19" t="s">
        <v>4</v>
      </c>
      <c r="H19" t="s">
        <v>3</v>
      </c>
      <c r="I19" t="s">
        <v>2604</v>
      </c>
      <c r="J19">
        <v>60007801</v>
      </c>
      <c r="K19" t="s">
        <v>2603</v>
      </c>
      <c r="L19" t="s">
        <v>2602</v>
      </c>
      <c r="M19" t="s">
        <v>19</v>
      </c>
      <c r="N19">
        <v>2</v>
      </c>
      <c r="O19" t="s">
        <v>2601</v>
      </c>
      <c r="P19" t="s">
        <v>2600</v>
      </c>
      <c r="Q19" t="s">
        <v>2599</v>
      </c>
      <c r="R19" s="7">
        <v>33208</v>
      </c>
      <c r="S19" s="8">
        <f t="shared" si="0"/>
        <v>1990</v>
      </c>
      <c r="T19" s="8">
        <v>1990</v>
      </c>
      <c r="U19" s="8">
        <f t="shared" si="1"/>
        <v>32</v>
      </c>
      <c r="V19" s="7">
        <v>1990</v>
      </c>
      <c r="W19" t="s">
        <v>21</v>
      </c>
      <c r="X19" s="2">
        <v>1.0329999999999999</v>
      </c>
      <c r="Y19" s="6">
        <f t="shared" si="2"/>
        <v>2.7575345025493178E-2</v>
      </c>
      <c r="AA19">
        <v>9532048</v>
      </c>
      <c r="AB19">
        <v>12278</v>
      </c>
      <c r="AD19" t="s">
        <v>1</v>
      </c>
      <c r="AE19">
        <v>3</v>
      </c>
      <c r="AF19">
        <v>4</v>
      </c>
      <c r="AG19">
        <v>4</v>
      </c>
      <c r="AH19" t="s">
        <v>2598</v>
      </c>
      <c r="AI19" t="s">
        <v>2597</v>
      </c>
      <c r="AK19" t="s">
        <v>2596</v>
      </c>
      <c r="AL19">
        <v>2</v>
      </c>
      <c r="AM19" s="5">
        <f t="shared" si="3"/>
        <v>6.25E-2</v>
      </c>
      <c r="AN19" s="4">
        <f t="shared" si="4"/>
        <v>9.46611132146914E-5</v>
      </c>
      <c r="AO19" s="3"/>
      <c r="AP19">
        <v>0</v>
      </c>
      <c r="AR19" t="s">
        <v>0</v>
      </c>
      <c r="AT19" s="2" t="s">
        <v>13</v>
      </c>
      <c r="AU19" s="1">
        <f t="shared" si="5"/>
        <v>1.9331139851809631</v>
      </c>
      <c r="AV19" s="1">
        <f t="shared" si="6"/>
        <v>1.3835003069353935</v>
      </c>
      <c r="AW19" s="1">
        <f t="shared" si="7"/>
        <v>0.83388662868982366</v>
      </c>
    </row>
    <row r="20" spans="1:49" x14ac:dyDescent="0.2">
      <c r="A20">
        <v>18</v>
      </c>
      <c r="B20" t="s">
        <v>2595</v>
      </c>
      <c r="C20" t="s">
        <v>2594</v>
      </c>
      <c r="F20" t="s">
        <v>2593</v>
      </c>
      <c r="G20" t="s">
        <v>4</v>
      </c>
      <c r="H20" t="s">
        <v>3</v>
      </c>
      <c r="I20" t="s">
        <v>198</v>
      </c>
      <c r="J20">
        <v>60018020</v>
      </c>
      <c r="K20" t="s">
        <v>1860</v>
      </c>
      <c r="L20" t="s">
        <v>197</v>
      </c>
      <c r="M20" t="s">
        <v>19</v>
      </c>
      <c r="N20">
        <v>9</v>
      </c>
      <c r="O20" t="s">
        <v>2592</v>
      </c>
      <c r="P20" t="s">
        <v>2591</v>
      </c>
      <c r="Q20" t="s">
        <v>2590</v>
      </c>
      <c r="R20" s="7">
        <v>33208</v>
      </c>
      <c r="S20" s="8">
        <f t="shared" si="0"/>
        <v>1990</v>
      </c>
      <c r="T20" s="8">
        <v>1990</v>
      </c>
      <c r="U20" s="8">
        <f t="shared" si="1"/>
        <v>32</v>
      </c>
      <c r="V20" s="7">
        <v>1990</v>
      </c>
      <c r="W20" t="s">
        <v>1910</v>
      </c>
      <c r="X20" s="2">
        <v>1.3280000000000001</v>
      </c>
      <c r="Y20" s="6">
        <f t="shared" si="2"/>
        <v>3.5450201542937994E-2</v>
      </c>
      <c r="AA20">
        <v>7413335</v>
      </c>
      <c r="AB20">
        <v>29251</v>
      </c>
      <c r="AD20" t="s">
        <v>1</v>
      </c>
      <c r="AE20">
        <v>32</v>
      </c>
      <c r="AF20">
        <v>1</v>
      </c>
      <c r="AG20">
        <v>5</v>
      </c>
      <c r="AH20" t="s">
        <v>2589</v>
      </c>
      <c r="AI20" t="s">
        <v>2588</v>
      </c>
      <c r="AK20" t="s">
        <v>2587</v>
      </c>
      <c r="AL20">
        <v>7</v>
      </c>
      <c r="AM20" s="5">
        <f t="shared" si="3"/>
        <v>0.21875</v>
      </c>
      <c r="AN20" s="4">
        <f t="shared" si="4"/>
        <v>3.3131389625141994E-4</v>
      </c>
      <c r="AO20" s="3"/>
      <c r="AP20">
        <v>0</v>
      </c>
      <c r="AR20" t="s">
        <v>0</v>
      </c>
      <c r="AT20" s="2">
        <v>2.4580000000000002</v>
      </c>
      <c r="AU20" s="1">
        <f t="shared" si="5"/>
        <v>2.4914535248932022</v>
      </c>
      <c r="AV20" s="1">
        <f t="shared" si="6"/>
        <v>1.7890757719594708</v>
      </c>
      <c r="AW20" s="1">
        <f t="shared" si="7"/>
        <v>1.0866980190257391</v>
      </c>
    </row>
    <row r="21" spans="1:49" x14ac:dyDescent="0.2">
      <c r="A21">
        <v>19</v>
      </c>
      <c r="B21" t="s">
        <v>2586</v>
      </c>
      <c r="C21" t="s">
        <v>2585</v>
      </c>
      <c r="F21" t="s">
        <v>2584</v>
      </c>
      <c r="G21" t="s">
        <v>4</v>
      </c>
      <c r="H21" t="s">
        <v>3</v>
      </c>
      <c r="I21" t="s">
        <v>2583</v>
      </c>
      <c r="J21" t="s">
        <v>2582</v>
      </c>
      <c r="K21" t="s">
        <v>2581</v>
      </c>
      <c r="L21" t="s">
        <v>2580</v>
      </c>
      <c r="M21" t="s">
        <v>99</v>
      </c>
      <c r="N21">
        <v>4</v>
      </c>
      <c r="O21" t="s">
        <v>2579</v>
      </c>
      <c r="P21" t="s">
        <v>2578</v>
      </c>
      <c r="Q21" t="s">
        <v>2577</v>
      </c>
      <c r="R21" s="7">
        <v>33208</v>
      </c>
      <c r="S21" s="8">
        <f t="shared" si="0"/>
        <v>1990</v>
      </c>
      <c r="T21" s="8">
        <v>1990</v>
      </c>
      <c r="U21" s="8">
        <f t="shared" si="1"/>
        <v>32</v>
      </c>
      <c r="V21" s="7">
        <v>1990</v>
      </c>
      <c r="W21" t="s">
        <v>1847</v>
      </c>
      <c r="X21" s="2">
        <v>0.60499999999999998</v>
      </c>
      <c r="Y21" s="6">
        <f t="shared" si="2"/>
        <v>1.6150129467980032E-2</v>
      </c>
      <c r="AA21">
        <v>346748</v>
      </c>
      <c r="AB21">
        <v>15563</v>
      </c>
      <c r="AD21" t="s">
        <v>1</v>
      </c>
      <c r="AE21">
        <v>61</v>
      </c>
      <c r="AF21">
        <v>1</v>
      </c>
      <c r="AH21" t="s">
        <v>2576</v>
      </c>
      <c r="AI21" t="s">
        <v>2575</v>
      </c>
      <c r="AK21" t="s">
        <v>2574</v>
      </c>
      <c r="AL21">
        <v>12</v>
      </c>
      <c r="AM21" s="5">
        <f t="shared" si="3"/>
        <v>0.375</v>
      </c>
      <c r="AN21" s="4">
        <f t="shared" si="4"/>
        <v>5.6796667928814845E-4</v>
      </c>
      <c r="AO21" s="3"/>
      <c r="AP21">
        <v>0</v>
      </c>
      <c r="AR21" t="s">
        <v>0</v>
      </c>
      <c r="AT21" s="2">
        <v>1.5229999999999999</v>
      </c>
      <c r="AU21" s="1">
        <f t="shared" si="5"/>
        <v>1.1475480631372466</v>
      </c>
      <c r="AV21" s="1">
        <f t="shared" si="6"/>
        <v>0.83590480736340911</v>
      </c>
      <c r="AW21" s="1">
        <f t="shared" si="7"/>
        <v>0.52426155158957144</v>
      </c>
    </row>
    <row r="22" spans="1:49" x14ac:dyDescent="0.2">
      <c r="A22">
        <v>20</v>
      </c>
      <c r="B22" t="s">
        <v>2573</v>
      </c>
      <c r="C22" t="s">
        <v>2572</v>
      </c>
      <c r="F22" t="s">
        <v>2571</v>
      </c>
      <c r="G22" t="s">
        <v>4</v>
      </c>
      <c r="H22" t="s">
        <v>3</v>
      </c>
      <c r="I22" t="s">
        <v>109</v>
      </c>
      <c r="J22">
        <v>60032730</v>
      </c>
      <c r="K22" t="s">
        <v>108</v>
      </c>
      <c r="L22" t="s">
        <v>28</v>
      </c>
      <c r="M22" t="s">
        <v>27</v>
      </c>
      <c r="N22">
        <v>2</v>
      </c>
      <c r="O22" t="s">
        <v>2570</v>
      </c>
      <c r="P22" t="s">
        <v>2569</v>
      </c>
      <c r="Q22" t="s">
        <v>2568</v>
      </c>
      <c r="R22" s="7">
        <v>33208</v>
      </c>
      <c r="S22" s="8">
        <f t="shared" si="0"/>
        <v>1990</v>
      </c>
      <c r="T22" s="8">
        <v>1990</v>
      </c>
      <c r="U22" s="8">
        <f t="shared" si="1"/>
        <v>32</v>
      </c>
      <c r="V22" s="7">
        <v>1990</v>
      </c>
      <c r="W22" t="s">
        <v>1792</v>
      </c>
      <c r="X22" s="2">
        <v>0.69899999999999995</v>
      </c>
      <c r="Y22" s="6">
        <f t="shared" si="2"/>
        <v>1.8659405782013295E-2</v>
      </c>
      <c r="AA22">
        <v>218979</v>
      </c>
      <c r="AB22">
        <v>28132</v>
      </c>
      <c r="AD22" t="s">
        <v>1</v>
      </c>
      <c r="AE22">
        <v>67</v>
      </c>
      <c r="AF22">
        <v>1</v>
      </c>
      <c r="AH22" t="s">
        <v>2567</v>
      </c>
      <c r="AI22" t="s">
        <v>2566</v>
      </c>
      <c r="AK22" t="s">
        <v>2565</v>
      </c>
      <c r="AL22">
        <v>7</v>
      </c>
      <c r="AM22" s="5">
        <f t="shared" si="3"/>
        <v>0.21875</v>
      </c>
      <c r="AN22" s="4">
        <f t="shared" si="4"/>
        <v>3.3131389625141994E-4</v>
      </c>
      <c r="AO22" s="3"/>
      <c r="AP22">
        <v>0</v>
      </c>
      <c r="AR22" t="s">
        <v>0</v>
      </c>
      <c r="AT22" s="2">
        <v>2.5459999999999998</v>
      </c>
      <c r="AU22" s="1">
        <f t="shared" si="5"/>
        <v>1.3160978216284731</v>
      </c>
      <c r="AV22" s="1">
        <f t="shared" si="6"/>
        <v>0.94953598391323579</v>
      </c>
      <c r="AW22" s="1">
        <f t="shared" si="7"/>
        <v>0.58297414619799826</v>
      </c>
    </row>
    <row r="23" spans="1:49" x14ac:dyDescent="0.2">
      <c r="A23">
        <v>21</v>
      </c>
      <c r="B23" t="s">
        <v>2564</v>
      </c>
      <c r="C23" t="s">
        <v>2563</v>
      </c>
      <c r="F23" t="s">
        <v>2562</v>
      </c>
      <c r="G23" t="s">
        <v>4</v>
      </c>
      <c r="H23" t="s">
        <v>3</v>
      </c>
      <c r="I23" t="s">
        <v>2561</v>
      </c>
      <c r="J23">
        <v>60017989</v>
      </c>
      <c r="K23" t="s">
        <v>2560</v>
      </c>
      <c r="L23" t="s">
        <v>187</v>
      </c>
      <c r="M23" t="s">
        <v>148</v>
      </c>
      <c r="N23">
        <v>5</v>
      </c>
      <c r="O23" t="s">
        <v>2559</v>
      </c>
      <c r="P23" t="s">
        <v>2558</v>
      </c>
      <c r="Q23" t="s">
        <v>2557</v>
      </c>
      <c r="R23" s="7">
        <v>33208</v>
      </c>
      <c r="S23" s="8">
        <f t="shared" si="0"/>
        <v>1990</v>
      </c>
      <c r="T23" s="8">
        <v>1990</v>
      </c>
      <c r="U23" s="8">
        <f t="shared" si="1"/>
        <v>32</v>
      </c>
      <c r="V23" s="7">
        <v>1990</v>
      </c>
      <c r="W23" t="s">
        <v>1910</v>
      </c>
      <c r="X23" s="2">
        <v>1.3280000000000001</v>
      </c>
      <c r="Y23" s="6">
        <f t="shared" si="2"/>
        <v>3.5450201542937994E-2</v>
      </c>
      <c r="AA23">
        <v>7413335</v>
      </c>
      <c r="AB23">
        <v>29251</v>
      </c>
      <c r="AD23" t="s">
        <v>1</v>
      </c>
      <c r="AE23">
        <v>32</v>
      </c>
      <c r="AF23">
        <v>3</v>
      </c>
      <c r="AG23">
        <v>7</v>
      </c>
      <c r="AH23" t="s">
        <v>2556</v>
      </c>
      <c r="AI23" t="s">
        <v>2555</v>
      </c>
      <c r="AK23" t="s">
        <v>2554</v>
      </c>
      <c r="AL23">
        <v>2</v>
      </c>
      <c r="AM23" s="5">
        <f t="shared" si="3"/>
        <v>6.25E-2</v>
      </c>
      <c r="AN23" s="4">
        <f t="shared" si="4"/>
        <v>9.46611132146914E-5</v>
      </c>
      <c r="AO23" s="3"/>
      <c r="AP23">
        <v>0</v>
      </c>
      <c r="AR23" t="s">
        <v>0</v>
      </c>
      <c r="AT23" s="2">
        <v>2.4580000000000002</v>
      </c>
      <c r="AU23" s="1">
        <f t="shared" si="5"/>
        <v>2.4843539414021003</v>
      </c>
      <c r="AV23" s="1">
        <f t="shared" si="6"/>
        <v>1.7772431328076341</v>
      </c>
      <c r="AW23" s="1">
        <f t="shared" si="7"/>
        <v>1.0701323242131682</v>
      </c>
    </row>
    <row r="24" spans="1:49" x14ac:dyDescent="0.2">
      <c r="A24">
        <v>22</v>
      </c>
      <c r="B24" t="s">
        <v>2553</v>
      </c>
      <c r="C24" t="s">
        <v>2552</v>
      </c>
      <c r="F24" t="s">
        <v>2551</v>
      </c>
      <c r="G24" t="s">
        <v>4</v>
      </c>
      <c r="H24" t="s">
        <v>3</v>
      </c>
      <c r="I24" t="s">
        <v>2550</v>
      </c>
      <c r="J24">
        <v>60024266</v>
      </c>
      <c r="K24" t="s">
        <v>126</v>
      </c>
      <c r="L24" t="s">
        <v>125</v>
      </c>
      <c r="M24" t="s">
        <v>19</v>
      </c>
      <c r="N24">
        <v>7</v>
      </c>
      <c r="O24" t="s">
        <v>2549</v>
      </c>
      <c r="P24" t="s">
        <v>2548</v>
      </c>
      <c r="Q24" t="s">
        <v>2547</v>
      </c>
      <c r="R24" s="7">
        <v>33208</v>
      </c>
      <c r="S24" s="8">
        <f t="shared" si="0"/>
        <v>1990</v>
      </c>
      <c r="T24" s="8">
        <v>1990</v>
      </c>
      <c r="U24" s="8">
        <f t="shared" si="1"/>
        <v>32</v>
      </c>
      <c r="V24" s="7">
        <v>1990</v>
      </c>
      <c r="W24" t="s">
        <v>1847</v>
      </c>
      <c r="X24" s="2">
        <v>0.60499999999999998</v>
      </c>
      <c r="Y24" s="6">
        <f t="shared" si="2"/>
        <v>1.6150129467980032E-2</v>
      </c>
      <c r="AA24">
        <v>346748</v>
      </c>
      <c r="AB24">
        <v>15563</v>
      </c>
      <c r="AD24" t="s">
        <v>1</v>
      </c>
      <c r="AE24">
        <v>61</v>
      </c>
      <c r="AF24">
        <v>10</v>
      </c>
      <c r="AH24" t="s">
        <v>2546</v>
      </c>
      <c r="AI24" t="s">
        <v>2545</v>
      </c>
      <c r="AK24" t="s">
        <v>2544</v>
      </c>
      <c r="AL24">
        <v>27</v>
      </c>
      <c r="AM24" s="5">
        <f t="shared" si="3"/>
        <v>0.84375</v>
      </c>
      <c r="AN24" s="4">
        <f t="shared" si="4"/>
        <v>1.2779250283983339E-3</v>
      </c>
      <c r="AO24" s="3"/>
      <c r="AP24">
        <v>0</v>
      </c>
      <c r="AR24" t="s">
        <v>0</v>
      </c>
      <c r="AT24" s="2">
        <v>1.5229999999999999</v>
      </c>
      <c r="AU24" s="1">
        <f t="shared" si="5"/>
        <v>1.1688468136105521</v>
      </c>
      <c r="AV24" s="1">
        <f t="shared" si="6"/>
        <v>0.87140272481891834</v>
      </c>
      <c r="AW24" s="1">
        <f t="shared" si="7"/>
        <v>0.57395863602728436</v>
      </c>
    </row>
    <row r="25" spans="1:49" x14ac:dyDescent="0.2">
      <c r="A25">
        <v>23</v>
      </c>
      <c r="B25" t="s">
        <v>2543</v>
      </c>
      <c r="C25" t="s">
        <v>2542</v>
      </c>
      <c r="F25" t="s">
        <v>2541</v>
      </c>
      <c r="G25" t="s">
        <v>4</v>
      </c>
      <c r="H25" t="s">
        <v>3</v>
      </c>
      <c r="I25" t="s">
        <v>2540</v>
      </c>
      <c r="J25" t="s">
        <v>2539</v>
      </c>
      <c r="K25" t="s">
        <v>2538</v>
      </c>
      <c r="L25" t="s">
        <v>2537</v>
      </c>
      <c r="M25" t="s">
        <v>9</v>
      </c>
      <c r="N25">
        <v>1</v>
      </c>
      <c r="O25" t="s">
        <v>2536</v>
      </c>
      <c r="P25">
        <v>57189982053</v>
      </c>
      <c r="Q25" t="s">
        <v>2535</v>
      </c>
      <c r="R25" s="7">
        <v>33208</v>
      </c>
      <c r="S25" s="8">
        <f t="shared" si="0"/>
        <v>1990</v>
      </c>
      <c r="T25" s="8">
        <v>1990</v>
      </c>
      <c r="U25" s="8">
        <f t="shared" si="1"/>
        <v>32</v>
      </c>
      <c r="V25" s="7">
        <v>33208</v>
      </c>
      <c r="W25" t="s">
        <v>1923</v>
      </c>
      <c r="X25" s="2">
        <v>0.749</v>
      </c>
      <c r="Y25" s="6">
        <f t="shared" si="2"/>
        <v>1.9994127225648008E-2</v>
      </c>
      <c r="AA25" t="s">
        <v>1922</v>
      </c>
      <c r="AB25">
        <v>20311</v>
      </c>
      <c r="AC25">
        <v>19382936</v>
      </c>
      <c r="AD25" t="s">
        <v>1</v>
      </c>
      <c r="AE25">
        <v>19</v>
      </c>
      <c r="AF25">
        <v>6</v>
      </c>
      <c r="AH25" t="s">
        <v>2534</v>
      </c>
      <c r="AI25" t="s">
        <v>2533</v>
      </c>
      <c r="AJ25" t="s">
        <v>2532</v>
      </c>
      <c r="AK25" t="s">
        <v>2531</v>
      </c>
      <c r="AL25">
        <v>11</v>
      </c>
      <c r="AM25" s="5">
        <f t="shared" si="3"/>
        <v>0.34375</v>
      </c>
      <c r="AN25" s="4">
        <f t="shared" si="4"/>
        <v>5.2063612268080268E-4</v>
      </c>
      <c r="AO25" s="3"/>
      <c r="AP25">
        <v>0</v>
      </c>
      <c r="AR25" t="s">
        <v>0</v>
      </c>
      <c r="AT25" s="2">
        <v>2.3769999999999998</v>
      </c>
      <c r="AU25" s="1">
        <f t="shared" si="5"/>
        <v>1.4152079894757845</v>
      </c>
      <c r="AV25" s="1">
        <f t="shared" si="6"/>
        <v>1.0257381674164405</v>
      </c>
      <c r="AW25" s="1">
        <f t="shared" si="7"/>
        <v>0.63626834535709642</v>
      </c>
    </row>
    <row r="26" spans="1:49" x14ac:dyDescent="0.2">
      <c r="A26">
        <v>24</v>
      </c>
      <c r="B26" t="s">
        <v>2530</v>
      </c>
      <c r="C26" t="s">
        <v>2529</v>
      </c>
      <c r="F26" t="s">
        <v>2528</v>
      </c>
      <c r="G26" t="s">
        <v>4</v>
      </c>
      <c r="H26" t="s">
        <v>3</v>
      </c>
      <c r="I26" t="s">
        <v>2527</v>
      </c>
      <c r="J26">
        <v>60005233</v>
      </c>
      <c r="K26" t="s">
        <v>2526</v>
      </c>
      <c r="L26" t="s">
        <v>41</v>
      </c>
      <c r="M26" t="s">
        <v>40</v>
      </c>
      <c r="N26">
        <v>4</v>
      </c>
      <c r="O26" t="s">
        <v>2525</v>
      </c>
      <c r="P26" t="s">
        <v>2524</v>
      </c>
      <c r="Q26" t="s">
        <v>2523</v>
      </c>
      <c r="R26" s="7">
        <v>33208</v>
      </c>
      <c r="S26" s="8">
        <f t="shared" si="0"/>
        <v>1990</v>
      </c>
      <c r="T26" s="8">
        <v>1990</v>
      </c>
      <c r="U26" s="8">
        <f t="shared" si="1"/>
        <v>32</v>
      </c>
      <c r="V26" s="7">
        <v>1990</v>
      </c>
      <c r="W26" t="s">
        <v>1847</v>
      </c>
      <c r="X26" s="2">
        <v>0.60499999999999998</v>
      </c>
      <c r="Y26" s="6">
        <f t="shared" si="2"/>
        <v>1.6150129467980032E-2</v>
      </c>
      <c r="AA26">
        <v>346748</v>
      </c>
      <c r="AB26">
        <v>15563</v>
      </c>
      <c r="AD26" t="s">
        <v>1</v>
      </c>
      <c r="AE26">
        <v>61</v>
      </c>
      <c r="AF26">
        <v>10</v>
      </c>
      <c r="AH26" t="s">
        <v>2522</v>
      </c>
      <c r="AI26" t="s">
        <v>2521</v>
      </c>
      <c r="AK26" t="s">
        <v>2520</v>
      </c>
      <c r="AL26">
        <v>7</v>
      </c>
      <c r="AM26" s="5">
        <f t="shared" si="3"/>
        <v>0.21875</v>
      </c>
      <c r="AN26" s="4">
        <f t="shared" si="4"/>
        <v>3.3131389625141994E-4</v>
      </c>
      <c r="AO26" s="3"/>
      <c r="AP26">
        <v>0</v>
      </c>
      <c r="AR26" t="s">
        <v>0</v>
      </c>
      <c r="AT26" s="2">
        <v>1.5229999999999999</v>
      </c>
      <c r="AU26" s="1">
        <f t="shared" si="5"/>
        <v>1.1404484796461449</v>
      </c>
      <c r="AV26" s="1">
        <f t="shared" si="6"/>
        <v>0.82407216821157259</v>
      </c>
      <c r="AW26" s="1">
        <f t="shared" si="7"/>
        <v>0.50769585677700046</v>
      </c>
    </row>
    <row r="27" spans="1:49" x14ac:dyDescent="0.2">
      <c r="A27">
        <v>25</v>
      </c>
      <c r="B27" t="s">
        <v>2519</v>
      </c>
      <c r="C27" t="s">
        <v>2518</v>
      </c>
      <c r="F27" t="s">
        <v>2517</v>
      </c>
      <c r="G27" t="s">
        <v>4</v>
      </c>
      <c r="H27" t="s">
        <v>3</v>
      </c>
      <c r="I27" t="s">
        <v>2516</v>
      </c>
      <c r="J27" t="s">
        <v>8</v>
      </c>
      <c r="K27" t="s">
        <v>7</v>
      </c>
      <c r="L27" t="s">
        <v>6</v>
      </c>
      <c r="M27" t="s">
        <v>5</v>
      </c>
      <c r="N27">
        <v>5</v>
      </c>
      <c r="O27" t="s">
        <v>2515</v>
      </c>
      <c r="P27" t="s">
        <v>2514</v>
      </c>
      <c r="Q27" t="s">
        <v>2513</v>
      </c>
      <c r="R27" s="7">
        <v>33208</v>
      </c>
      <c r="S27" s="8">
        <f t="shared" si="0"/>
        <v>1990</v>
      </c>
      <c r="T27" s="8">
        <v>1990</v>
      </c>
      <c r="U27" s="8">
        <f t="shared" si="1"/>
        <v>32</v>
      </c>
      <c r="V27" s="7">
        <v>1990</v>
      </c>
      <c r="W27" t="s">
        <v>1792</v>
      </c>
      <c r="X27" s="2">
        <v>0.69899999999999995</v>
      </c>
      <c r="Y27" s="6">
        <f t="shared" si="2"/>
        <v>1.8659405782013295E-2</v>
      </c>
      <c r="AA27">
        <v>218979</v>
      </c>
      <c r="AB27">
        <v>28132</v>
      </c>
      <c r="AD27" t="s">
        <v>1</v>
      </c>
      <c r="AE27">
        <v>67</v>
      </c>
      <c r="AF27">
        <v>11</v>
      </c>
      <c r="AH27" t="s">
        <v>2512</v>
      </c>
      <c r="AI27" t="s">
        <v>2511</v>
      </c>
      <c r="AK27" t="s">
        <v>2510</v>
      </c>
      <c r="AL27">
        <v>6</v>
      </c>
      <c r="AM27" s="5">
        <f t="shared" si="3"/>
        <v>0.1875</v>
      </c>
      <c r="AN27" s="4">
        <f t="shared" si="4"/>
        <v>2.8398333964407423E-4</v>
      </c>
      <c r="AO27" s="3"/>
      <c r="AP27">
        <v>0</v>
      </c>
      <c r="AR27" t="s">
        <v>0</v>
      </c>
      <c r="AT27" s="2">
        <v>2.5459999999999998</v>
      </c>
      <c r="AU27" s="1">
        <f t="shared" si="5"/>
        <v>1.3146779049302526</v>
      </c>
      <c r="AV27" s="1">
        <f t="shared" si="6"/>
        <v>0.94716945608286851</v>
      </c>
      <c r="AW27" s="1">
        <f t="shared" si="7"/>
        <v>0.57966100723548397</v>
      </c>
    </row>
    <row r="28" spans="1:49" x14ac:dyDescent="0.2">
      <c r="A28">
        <v>26</v>
      </c>
      <c r="B28" t="s">
        <v>2509</v>
      </c>
      <c r="E28">
        <v>2249928</v>
      </c>
      <c r="F28" t="s">
        <v>2508</v>
      </c>
      <c r="G28" t="s">
        <v>4</v>
      </c>
      <c r="H28" t="s">
        <v>3</v>
      </c>
      <c r="I28" t="s">
        <v>2507</v>
      </c>
      <c r="J28">
        <v>60023064</v>
      </c>
      <c r="K28" t="s">
        <v>2506</v>
      </c>
      <c r="L28" t="s">
        <v>150</v>
      </c>
      <c r="M28" t="s">
        <v>43</v>
      </c>
      <c r="N28">
        <v>10</v>
      </c>
      <c r="O28" t="s">
        <v>2505</v>
      </c>
      <c r="P28" t="s">
        <v>2504</v>
      </c>
      <c r="Q28" t="s">
        <v>2503</v>
      </c>
      <c r="R28" s="7">
        <v>33208</v>
      </c>
      <c r="S28" s="8">
        <f t="shared" si="0"/>
        <v>1990</v>
      </c>
      <c r="T28" s="8">
        <v>1990</v>
      </c>
      <c r="U28" s="8">
        <f t="shared" si="1"/>
        <v>32</v>
      </c>
      <c r="V28" s="7">
        <v>1990</v>
      </c>
      <c r="W28" t="s">
        <v>2502</v>
      </c>
      <c r="X28" s="2" t="s">
        <v>13</v>
      </c>
      <c r="Y28" s="6" t="e">
        <f t="shared" si="2"/>
        <v>#VALUE!</v>
      </c>
      <c r="AA28">
        <v>212180</v>
      </c>
      <c r="AB28">
        <v>37506</v>
      </c>
      <c r="AD28" t="s">
        <v>1</v>
      </c>
      <c r="AE28">
        <v>26</v>
      </c>
      <c r="AF28">
        <v>10</v>
      </c>
      <c r="AH28" t="s">
        <v>2501</v>
      </c>
      <c r="AI28" t="s">
        <v>2500</v>
      </c>
      <c r="AJ28" t="s">
        <v>2499</v>
      </c>
      <c r="AK28" t="s">
        <v>2498</v>
      </c>
      <c r="AL28">
        <v>47</v>
      </c>
      <c r="AM28" s="5">
        <f t="shared" si="3"/>
        <v>1.46875</v>
      </c>
      <c r="AN28" s="4">
        <f t="shared" si="4"/>
        <v>2.2245361605452482E-3</v>
      </c>
      <c r="AO28" s="3"/>
      <c r="AP28">
        <v>0</v>
      </c>
      <c r="AR28" t="s">
        <v>0</v>
      </c>
      <c r="AT28" s="2" t="s">
        <v>13</v>
      </c>
      <c r="AU28" s="1" t="e">
        <f t="shared" si="5"/>
        <v>#VALUE!</v>
      </c>
      <c r="AV28" s="1" t="e">
        <f t="shared" si="6"/>
        <v>#VALUE!</v>
      </c>
      <c r="AW28" s="1" t="e">
        <f t="shared" si="7"/>
        <v>#VALUE!</v>
      </c>
    </row>
    <row r="29" spans="1:49" x14ac:dyDescent="0.2">
      <c r="A29">
        <v>27</v>
      </c>
      <c r="B29" t="s">
        <v>2497</v>
      </c>
      <c r="F29" t="s">
        <v>2496</v>
      </c>
      <c r="G29" t="s">
        <v>4</v>
      </c>
      <c r="H29" t="s">
        <v>3</v>
      </c>
      <c r="I29" t="s">
        <v>2495</v>
      </c>
      <c r="N29">
        <v>2</v>
      </c>
      <c r="O29" t="s">
        <v>2494</v>
      </c>
      <c r="P29" t="s">
        <v>2493</v>
      </c>
      <c r="Q29" t="s">
        <v>12</v>
      </c>
      <c r="R29" s="7">
        <v>33208</v>
      </c>
      <c r="S29" s="8">
        <f t="shared" si="0"/>
        <v>1990</v>
      </c>
      <c r="T29" s="8">
        <v>1990</v>
      </c>
      <c r="U29" s="8">
        <f t="shared" si="1"/>
        <v>32</v>
      </c>
      <c r="V29" s="7">
        <v>1990</v>
      </c>
      <c r="W29" t="s">
        <v>44</v>
      </c>
      <c r="X29" s="2" t="s">
        <v>13</v>
      </c>
      <c r="Y29" s="6" t="e">
        <f t="shared" si="2"/>
        <v>#VALUE!</v>
      </c>
      <c r="AA29">
        <v>87566648</v>
      </c>
      <c r="AB29">
        <v>74127</v>
      </c>
      <c r="AD29" t="s">
        <v>1</v>
      </c>
      <c r="AE29">
        <v>35</v>
      </c>
      <c r="AF29">
        <v>5</v>
      </c>
      <c r="AH29" t="s">
        <v>2492</v>
      </c>
      <c r="AI29" t="s">
        <v>2491</v>
      </c>
      <c r="AK29" t="s">
        <v>2490</v>
      </c>
      <c r="AL29">
        <v>0</v>
      </c>
      <c r="AM29" s="5">
        <f t="shared" si="3"/>
        <v>0</v>
      </c>
      <c r="AN29" s="4">
        <f t="shared" si="4"/>
        <v>0</v>
      </c>
      <c r="AO29" s="3"/>
      <c r="AP29">
        <v>0</v>
      </c>
      <c r="AR29" t="s">
        <v>0</v>
      </c>
      <c r="AT29" s="2" t="s">
        <v>13</v>
      </c>
      <c r="AU29" s="1" t="e">
        <f t="shared" si="5"/>
        <v>#VALUE!</v>
      </c>
      <c r="AV29" s="1" t="e">
        <f t="shared" si="6"/>
        <v>#VALUE!</v>
      </c>
      <c r="AW29" s="1" t="e">
        <f t="shared" si="7"/>
        <v>#VALUE!</v>
      </c>
    </row>
    <row r="30" spans="1:49" x14ac:dyDescent="0.2">
      <c r="A30">
        <v>28</v>
      </c>
      <c r="B30" t="s">
        <v>2489</v>
      </c>
      <c r="F30" t="s">
        <v>2488</v>
      </c>
      <c r="G30" t="s">
        <v>4</v>
      </c>
      <c r="H30" t="s">
        <v>3</v>
      </c>
      <c r="I30" t="s">
        <v>2487</v>
      </c>
      <c r="N30">
        <v>1</v>
      </c>
      <c r="O30" t="s">
        <v>2486</v>
      </c>
      <c r="P30">
        <v>6603437581</v>
      </c>
      <c r="R30" s="7">
        <v>33208</v>
      </c>
      <c r="S30" s="8">
        <f t="shared" si="0"/>
        <v>1990</v>
      </c>
      <c r="T30" s="8">
        <v>1990</v>
      </c>
      <c r="U30" s="8">
        <f t="shared" si="1"/>
        <v>32</v>
      </c>
      <c r="V30" s="7">
        <v>1990</v>
      </c>
      <c r="W30" t="s">
        <v>44</v>
      </c>
      <c r="X30" s="2" t="s">
        <v>13</v>
      </c>
      <c r="Y30" s="6" t="e">
        <f t="shared" si="2"/>
        <v>#VALUE!</v>
      </c>
      <c r="AA30">
        <v>87566648</v>
      </c>
      <c r="AB30">
        <v>74127</v>
      </c>
      <c r="AD30" t="s">
        <v>1</v>
      </c>
      <c r="AE30">
        <v>35</v>
      </c>
      <c r="AF30">
        <v>6</v>
      </c>
      <c r="AH30" s="10">
        <v>41275</v>
      </c>
      <c r="AI30" t="s">
        <v>2485</v>
      </c>
      <c r="AK30" t="s">
        <v>2484</v>
      </c>
      <c r="AL30">
        <v>0</v>
      </c>
      <c r="AM30" s="5">
        <f t="shared" si="3"/>
        <v>0</v>
      </c>
      <c r="AN30" s="4">
        <f t="shared" si="4"/>
        <v>0</v>
      </c>
      <c r="AO30" s="3"/>
      <c r="AP30">
        <v>0</v>
      </c>
      <c r="AR30" t="s">
        <v>0</v>
      </c>
      <c r="AT30" s="2" t="s">
        <v>13</v>
      </c>
      <c r="AU30" s="1" t="e">
        <f t="shared" si="5"/>
        <v>#VALUE!</v>
      </c>
      <c r="AV30" s="1" t="e">
        <f t="shared" si="6"/>
        <v>#VALUE!</v>
      </c>
      <c r="AW30" s="1" t="e">
        <f t="shared" si="7"/>
        <v>#VALUE!</v>
      </c>
    </row>
    <row r="31" spans="1:49" x14ac:dyDescent="0.2">
      <c r="A31">
        <v>29</v>
      </c>
      <c r="B31" t="s">
        <v>2483</v>
      </c>
      <c r="F31" t="s">
        <v>2482</v>
      </c>
      <c r="G31" t="s">
        <v>4</v>
      </c>
      <c r="H31" t="s">
        <v>3</v>
      </c>
      <c r="I31" t="s">
        <v>2481</v>
      </c>
      <c r="N31">
        <v>2</v>
      </c>
      <c r="O31" t="s">
        <v>2480</v>
      </c>
      <c r="P31" t="s">
        <v>2479</v>
      </c>
      <c r="Q31" t="s">
        <v>12</v>
      </c>
      <c r="R31" s="7">
        <v>33208</v>
      </c>
      <c r="S31" s="8">
        <f t="shared" si="0"/>
        <v>1990</v>
      </c>
      <c r="T31" s="8">
        <v>1990</v>
      </c>
      <c r="U31" s="8">
        <f t="shared" si="1"/>
        <v>32</v>
      </c>
      <c r="V31" s="7">
        <v>1990</v>
      </c>
      <c r="W31" t="s">
        <v>44</v>
      </c>
      <c r="X31" s="2" t="s">
        <v>13</v>
      </c>
      <c r="Y31" s="6" t="e">
        <f t="shared" si="2"/>
        <v>#VALUE!</v>
      </c>
      <c r="AA31">
        <v>87566648</v>
      </c>
      <c r="AB31">
        <v>74127</v>
      </c>
      <c r="AD31" t="s">
        <v>1</v>
      </c>
      <c r="AE31">
        <v>35</v>
      </c>
      <c r="AF31">
        <v>5</v>
      </c>
      <c r="AH31" t="s">
        <v>2478</v>
      </c>
      <c r="AI31" t="s">
        <v>2477</v>
      </c>
      <c r="AK31" t="s">
        <v>2476</v>
      </c>
      <c r="AL31">
        <v>0</v>
      </c>
      <c r="AM31" s="5">
        <f t="shared" si="3"/>
        <v>0</v>
      </c>
      <c r="AN31" s="4">
        <f t="shared" si="4"/>
        <v>0</v>
      </c>
      <c r="AO31" s="3"/>
      <c r="AP31">
        <v>0</v>
      </c>
      <c r="AR31" t="s">
        <v>0</v>
      </c>
      <c r="AT31" s="2" t="s">
        <v>13</v>
      </c>
      <c r="AU31" s="1" t="e">
        <f t="shared" si="5"/>
        <v>#VALUE!</v>
      </c>
      <c r="AV31" s="1" t="e">
        <f t="shared" si="6"/>
        <v>#VALUE!</v>
      </c>
      <c r="AW31" s="1" t="e">
        <f t="shared" si="7"/>
        <v>#VALUE!</v>
      </c>
    </row>
    <row r="32" spans="1:49" x14ac:dyDescent="0.2">
      <c r="A32">
        <v>30</v>
      </c>
      <c r="B32" t="s">
        <v>2475</v>
      </c>
      <c r="C32" t="s">
        <v>2474</v>
      </c>
      <c r="E32">
        <v>2176893</v>
      </c>
      <c r="F32" t="s">
        <v>2473</v>
      </c>
      <c r="G32" t="s">
        <v>4</v>
      </c>
      <c r="H32" t="s">
        <v>3</v>
      </c>
      <c r="I32" t="s">
        <v>2472</v>
      </c>
      <c r="J32" t="s">
        <v>2471</v>
      </c>
      <c r="K32" t="s">
        <v>2470</v>
      </c>
      <c r="L32" t="s">
        <v>2469</v>
      </c>
      <c r="M32" t="s">
        <v>2468</v>
      </c>
      <c r="N32">
        <v>10</v>
      </c>
      <c r="O32" t="s">
        <v>2467</v>
      </c>
      <c r="P32" t="s">
        <v>2466</v>
      </c>
      <c r="Q32" t="s">
        <v>2465</v>
      </c>
      <c r="R32" s="7">
        <v>33208</v>
      </c>
      <c r="S32" s="8">
        <f t="shared" si="0"/>
        <v>1990</v>
      </c>
      <c r="T32" s="8">
        <v>1990</v>
      </c>
      <c r="U32" s="8">
        <f t="shared" si="1"/>
        <v>32</v>
      </c>
      <c r="V32" s="7">
        <v>33208</v>
      </c>
      <c r="W32" t="s">
        <v>251</v>
      </c>
      <c r="X32" s="2">
        <v>1.43</v>
      </c>
      <c r="Y32" s="6">
        <f t="shared" si="2"/>
        <v>3.8173033287952803E-2</v>
      </c>
      <c r="AA32">
        <v>62960</v>
      </c>
      <c r="AB32">
        <v>16867</v>
      </c>
      <c r="AC32">
        <v>15204995</v>
      </c>
      <c r="AD32" t="s">
        <v>1</v>
      </c>
      <c r="AE32">
        <v>29</v>
      </c>
      <c r="AF32">
        <v>50</v>
      </c>
      <c r="AH32" t="s">
        <v>2464</v>
      </c>
      <c r="AI32" t="s">
        <v>2463</v>
      </c>
      <c r="AK32" t="s">
        <v>2462</v>
      </c>
      <c r="AL32">
        <v>57</v>
      </c>
      <c r="AM32" s="5">
        <f t="shared" si="3"/>
        <v>1.78125</v>
      </c>
      <c r="AN32" s="4">
        <f t="shared" si="4"/>
        <v>2.6978417266187052E-3</v>
      </c>
      <c r="AO32" s="3"/>
      <c r="AP32">
        <v>0</v>
      </c>
      <c r="AR32" t="s">
        <v>0</v>
      </c>
      <c r="AT32" s="2">
        <v>3.1619999999999999</v>
      </c>
      <c r="AU32" s="1">
        <f t="shared" si="5"/>
        <v>2.7530475819552573</v>
      </c>
      <c r="AV32" s="1">
        <f t="shared" si="6"/>
        <v>2.0435437507285754</v>
      </c>
      <c r="AW32" s="1">
        <f t="shared" si="7"/>
        <v>1.3340399195018935</v>
      </c>
    </row>
    <row r="33" spans="1:49" x14ac:dyDescent="0.2">
      <c r="A33">
        <v>31</v>
      </c>
      <c r="B33" t="s">
        <v>2461</v>
      </c>
      <c r="F33" t="s">
        <v>2460</v>
      </c>
      <c r="G33" t="s">
        <v>4</v>
      </c>
      <c r="H33" t="s">
        <v>3</v>
      </c>
      <c r="I33" t="s">
        <v>2459</v>
      </c>
      <c r="N33">
        <v>1</v>
      </c>
      <c r="O33" t="s">
        <v>2458</v>
      </c>
      <c r="P33">
        <v>6602698017</v>
      </c>
      <c r="R33" s="7">
        <v>33208</v>
      </c>
      <c r="S33" s="8">
        <f t="shared" si="0"/>
        <v>1990</v>
      </c>
      <c r="T33" s="8">
        <v>1990</v>
      </c>
      <c r="U33" s="8">
        <f t="shared" si="1"/>
        <v>32</v>
      </c>
      <c r="V33" s="7">
        <v>1990</v>
      </c>
      <c r="W33" t="s">
        <v>44</v>
      </c>
      <c r="X33" s="2" t="s">
        <v>13</v>
      </c>
      <c r="Y33" s="6" t="e">
        <f t="shared" si="2"/>
        <v>#VALUE!</v>
      </c>
      <c r="AA33">
        <v>87566648</v>
      </c>
      <c r="AB33">
        <v>74127</v>
      </c>
      <c r="AD33" t="s">
        <v>1</v>
      </c>
      <c r="AE33">
        <v>35</v>
      </c>
      <c r="AF33">
        <v>7</v>
      </c>
      <c r="AH33" t="s">
        <v>2457</v>
      </c>
      <c r="AI33" t="s">
        <v>2456</v>
      </c>
      <c r="AK33" t="s">
        <v>2455</v>
      </c>
      <c r="AL33">
        <v>0</v>
      </c>
      <c r="AM33" s="5">
        <f t="shared" si="3"/>
        <v>0</v>
      </c>
      <c r="AN33" s="4">
        <f t="shared" si="4"/>
        <v>0</v>
      </c>
      <c r="AO33" s="3"/>
      <c r="AP33">
        <v>0</v>
      </c>
      <c r="AR33" t="s">
        <v>0</v>
      </c>
      <c r="AT33" s="2" t="s">
        <v>13</v>
      </c>
      <c r="AU33" s="1" t="e">
        <f t="shared" si="5"/>
        <v>#VALUE!</v>
      </c>
      <c r="AV33" s="1" t="e">
        <f t="shared" si="6"/>
        <v>#VALUE!</v>
      </c>
      <c r="AW33" s="1" t="e">
        <f t="shared" si="7"/>
        <v>#VALUE!</v>
      </c>
    </row>
    <row r="34" spans="1:49" x14ac:dyDescent="0.2">
      <c r="A34">
        <v>32</v>
      </c>
      <c r="B34" t="s">
        <v>2454</v>
      </c>
      <c r="F34" t="s">
        <v>2453</v>
      </c>
      <c r="G34" t="s">
        <v>4</v>
      </c>
      <c r="H34" t="s">
        <v>3</v>
      </c>
      <c r="I34" t="s">
        <v>2452</v>
      </c>
      <c r="N34">
        <v>2</v>
      </c>
      <c r="O34" t="s">
        <v>2451</v>
      </c>
      <c r="P34" t="s">
        <v>2450</v>
      </c>
      <c r="Q34" t="s">
        <v>12</v>
      </c>
      <c r="R34" s="7">
        <v>33208</v>
      </c>
      <c r="S34" s="8">
        <f t="shared" si="0"/>
        <v>1990</v>
      </c>
      <c r="T34" s="8">
        <v>1990</v>
      </c>
      <c r="U34" s="8">
        <f t="shared" si="1"/>
        <v>32</v>
      </c>
      <c r="V34" s="7">
        <v>1990</v>
      </c>
      <c r="W34" t="s">
        <v>44</v>
      </c>
      <c r="X34" s="2" t="s">
        <v>13</v>
      </c>
      <c r="Y34" s="6" t="e">
        <f t="shared" si="2"/>
        <v>#VALUE!</v>
      </c>
      <c r="AA34">
        <v>87566648</v>
      </c>
      <c r="AB34">
        <v>74127</v>
      </c>
      <c r="AD34" t="s">
        <v>1</v>
      </c>
      <c r="AE34">
        <v>35</v>
      </c>
      <c r="AF34">
        <v>7</v>
      </c>
      <c r="AH34" s="10">
        <v>42339</v>
      </c>
      <c r="AI34" t="s">
        <v>2449</v>
      </c>
      <c r="AK34" t="s">
        <v>2448</v>
      </c>
      <c r="AL34">
        <v>0</v>
      </c>
      <c r="AM34" s="5">
        <f t="shared" si="3"/>
        <v>0</v>
      </c>
      <c r="AN34" s="4">
        <f t="shared" si="4"/>
        <v>0</v>
      </c>
      <c r="AO34" s="3"/>
      <c r="AP34">
        <v>0</v>
      </c>
      <c r="AR34" t="s">
        <v>0</v>
      </c>
      <c r="AT34" s="2" t="s">
        <v>13</v>
      </c>
      <c r="AU34" s="1" t="e">
        <f t="shared" si="5"/>
        <v>#VALUE!</v>
      </c>
      <c r="AV34" s="1" t="e">
        <f t="shared" si="6"/>
        <v>#VALUE!</v>
      </c>
      <c r="AW34" s="1" t="e">
        <f t="shared" si="7"/>
        <v>#VALUE!</v>
      </c>
    </row>
    <row r="35" spans="1:49" x14ac:dyDescent="0.2">
      <c r="A35">
        <v>33</v>
      </c>
      <c r="B35" t="s">
        <v>2447</v>
      </c>
      <c r="F35" t="s">
        <v>2446</v>
      </c>
      <c r="G35" t="s">
        <v>4</v>
      </c>
      <c r="H35" t="s">
        <v>3</v>
      </c>
      <c r="I35" t="s">
        <v>2445</v>
      </c>
      <c r="N35">
        <v>1</v>
      </c>
      <c r="O35" t="s">
        <v>2444</v>
      </c>
      <c r="P35">
        <v>6603143564</v>
      </c>
      <c r="R35" s="7">
        <v>33208</v>
      </c>
      <c r="S35" s="8">
        <f t="shared" si="0"/>
        <v>1990</v>
      </c>
      <c r="T35" s="8">
        <v>1990</v>
      </c>
      <c r="U35" s="8">
        <f t="shared" si="1"/>
        <v>32</v>
      </c>
      <c r="V35" s="7">
        <v>1990</v>
      </c>
      <c r="W35" t="s">
        <v>44</v>
      </c>
      <c r="X35" s="2" t="s">
        <v>13</v>
      </c>
      <c r="Y35" s="6" t="e">
        <f t="shared" si="2"/>
        <v>#VALUE!</v>
      </c>
      <c r="AA35">
        <v>87566648</v>
      </c>
      <c r="AB35">
        <v>74127</v>
      </c>
      <c r="AD35" t="s">
        <v>1</v>
      </c>
      <c r="AE35">
        <v>35</v>
      </c>
      <c r="AF35">
        <v>7</v>
      </c>
      <c r="AH35" t="s">
        <v>71</v>
      </c>
      <c r="AI35" t="s">
        <v>2443</v>
      </c>
      <c r="AK35" t="s">
        <v>2442</v>
      </c>
      <c r="AL35">
        <v>0</v>
      </c>
      <c r="AM35" s="5">
        <f t="shared" si="3"/>
        <v>0</v>
      </c>
      <c r="AN35" s="4">
        <f t="shared" si="4"/>
        <v>0</v>
      </c>
      <c r="AO35" s="3"/>
      <c r="AP35">
        <v>0</v>
      </c>
      <c r="AR35" t="s">
        <v>0</v>
      </c>
      <c r="AT35" s="2" t="s">
        <v>13</v>
      </c>
      <c r="AU35" s="1" t="e">
        <f t="shared" si="5"/>
        <v>#VALUE!</v>
      </c>
      <c r="AV35" s="1" t="e">
        <f t="shared" si="6"/>
        <v>#VALUE!</v>
      </c>
      <c r="AW35" s="1" t="e">
        <f t="shared" si="7"/>
        <v>#VALUE!</v>
      </c>
    </row>
    <row r="36" spans="1:49" x14ac:dyDescent="0.2">
      <c r="A36">
        <v>34</v>
      </c>
      <c r="B36" t="s">
        <v>2441</v>
      </c>
      <c r="F36" t="s">
        <v>2440</v>
      </c>
      <c r="G36" t="s">
        <v>4</v>
      </c>
      <c r="H36" t="s">
        <v>3</v>
      </c>
      <c r="I36" t="s">
        <v>2069</v>
      </c>
      <c r="N36">
        <v>2</v>
      </c>
      <c r="O36" t="s">
        <v>2439</v>
      </c>
      <c r="P36" t="s">
        <v>2438</v>
      </c>
      <c r="Q36" t="s">
        <v>12</v>
      </c>
      <c r="R36" s="7">
        <v>33208</v>
      </c>
      <c r="S36" s="8">
        <f t="shared" si="0"/>
        <v>1990</v>
      </c>
      <c r="T36" s="8">
        <v>1990</v>
      </c>
      <c r="U36" s="8">
        <f t="shared" si="1"/>
        <v>32</v>
      </c>
      <c r="V36" s="7">
        <v>1990</v>
      </c>
      <c r="W36" t="s">
        <v>44</v>
      </c>
      <c r="X36" s="2" t="s">
        <v>13</v>
      </c>
      <c r="Y36" s="6" t="e">
        <f t="shared" si="2"/>
        <v>#VALUE!</v>
      </c>
      <c r="AA36">
        <v>87566648</v>
      </c>
      <c r="AB36">
        <v>74127</v>
      </c>
      <c r="AD36" t="s">
        <v>1</v>
      </c>
      <c r="AE36">
        <v>35</v>
      </c>
      <c r="AF36">
        <v>5</v>
      </c>
      <c r="AH36" t="s">
        <v>268</v>
      </c>
      <c r="AI36" t="s">
        <v>2437</v>
      </c>
      <c r="AK36" t="s">
        <v>2436</v>
      </c>
      <c r="AL36">
        <v>1</v>
      </c>
      <c r="AM36" s="5">
        <f t="shared" si="3"/>
        <v>3.125E-2</v>
      </c>
      <c r="AN36" s="4">
        <f t="shared" si="4"/>
        <v>4.73305566073457E-5</v>
      </c>
      <c r="AO36" s="3"/>
      <c r="AP36">
        <v>0</v>
      </c>
      <c r="AR36" t="s">
        <v>0</v>
      </c>
      <c r="AT36" s="2" t="s">
        <v>13</v>
      </c>
      <c r="AU36" s="1" t="e">
        <f t="shared" si="5"/>
        <v>#VALUE!</v>
      </c>
      <c r="AV36" s="1" t="e">
        <f t="shared" si="6"/>
        <v>#VALUE!</v>
      </c>
      <c r="AW36" s="1" t="e">
        <f t="shared" si="7"/>
        <v>#VALUE!</v>
      </c>
    </row>
    <row r="37" spans="1:49" x14ac:dyDescent="0.2">
      <c r="A37">
        <v>35</v>
      </c>
      <c r="B37" t="s">
        <v>2435</v>
      </c>
      <c r="F37" t="s">
        <v>2434</v>
      </c>
      <c r="G37" t="s">
        <v>4</v>
      </c>
      <c r="H37" t="s">
        <v>3</v>
      </c>
      <c r="I37" t="s">
        <v>2433</v>
      </c>
      <c r="J37">
        <v>60101699</v>
      </c>
      <c r="K37" t="s">
        <v>146</v>
      </c>
      <c r="L37" t="s">
        <v>38</v>
      </c>
      <c r="M37" t="s">
        <v>24</v>
      </c>
      <c r="N37">
        <v>2</v>
      </c>
      <c r="O37" t="s">
        <v>2432</v>
      </c>
      <c r="P37" t="s">
        <v>2431</v>
      </c>
      <c r="Q37" t="s">
        <v>2430</v>
      </c>
      <c r="R37" s="7">
        <v>33208</v>
      </c>
      <c r="S37" s="8">
        <f t="shared" si="0"/>
        <v>1990</v>
      </c>
      <c r="T37" s="8">
        <v>1990</v>
      </c>
      <c r="U37" s="8">
        <f t="shared" si="1"/>
        <v>32</v>
      </c>
      <c r="V37" s="7">
        <v>33208</v>
      </c>
      <c r="W37" t="s">
        <v>2429</v>
      </c>
      <c r="X37" s="2" t="s">
        <v>13</v>
      </c>
      <c r="Y37" s="6" t="e">
        <f t="shared" si="2"/>
        <v>#VALUE!</v>
      </c>
      <c r="AA37">
        <v>3865096</v>
      </c>
      <c r="AB37">
        <v>18584</v>
      </c>
      <c r="AD37" t="s">
        <v>1</v>
      </c>
      <c r="AE37">
        <v>53</v>
      </c>
      <c r="AH37" t="s">
        <v>2428</v>
      </c>
      <c r="AI37" t="s">
        <v>2427</v>
      </c>
      <c r="AK37" t="s">
        <v>2426</v>
      </c>
      <c r="AL37">
        <v>0</v>
      </c>
      <c r="AM37" s="5">
        <f t="shared" si="3"/>
        <v>0</v>
      </c>
      <c r="AN37" s="4">
        <f t="shared" si="4"/>
        <v>0</v>
      </c>
      <c r="AO37" s="3"/>
      <c r="AP37">
        <v>0</v>
      </c>
      <c r="AR37" t="s">
        <v>0</v>
      </c>
      <c r="AT37" s="2" t="s">
        <v>13</v>
      </c>
      <c r="AU37" s="1" t="e">
        <f t="shared" si="5"/>
        <v>#VALUE!</v>
      </c>
      <c r="AV37" s="1" t="e">
        <f t="shared" si="6"/>
        <v>#VALUE!</v>
      </c>
      <c r="AW37" s="1" t="e">
        <f t="shared" si="7"/>
        <v>#VALUE!</v>
      </c>
    </row>
    <row r="38" spans="1:49" x14ac:dyDescent="0.2">
      <c r="A38">
        <v>36</v>
      </c>
      <c r="B38" t="s">
        <v>2425</v>
      </c>
      <c r="F38" t="s">
        <v>2424</v>
      </c>
      <c r="G38" t="s">
        <v>4</v>
      </c>
      <c r="H38" t="s">
        <v>3</v>
      </c>
      <c r="I38" t="s">
        <v>756</v>
      </c>
      <c r="N38">
        <v>1</v>
      </c>
      <c r="O38" t="s">
        <v>755</v>
      </c>
      <c r="P38">
        <v>6603302716</v>
      </c>
      <c r="R38" s="7">
        <v>33208</v>
      </c>
      <c r="S38" s="8">
        <f t="shared" si="0"/>
        <v>1990</v>
      </c>
      <c r="T38" s="8">
        <v>1990</v>
      </c>
      <c r="U38" s="8">
        <f t="shared" si="1"/>
        <v>32</v>
      </c>
      <c r="V38" s="7">
        <v>1990</v>
      </c>
      <c r="W38" t="s">
        <v>44</v>
      </c>
      <c r="X38" s="2" t="s">
        <v>13</v>
      </c>
      <c r="Y38" s="6" t="e">
        <f t="shared" si="2"/>
        <v>#VALUE!</v>
      </c>
      <c r="AA38">
        <v>87566648</v>
      </c>
      <c r="AB38">
        <v>74127</v>
      </c>
      <c r="AD38" t="s">
        <v>1</v>
      </c>
      <c r="AE38">
        <v>35</v>
      </c>
      <c r="AF38">
        <v>7</v>
      </c>
      <c r="AH38" t="s">
        <v>223</v>
      </c>
      <c r="AI38" t="s">
        <v>2423</v>
      </c>
      <c r="AK38" t="s">
        <v>2422</v>
      </c>
      <c r="AL38">
        <v>0</v>
      </c>
      <c r="AM38" s="5">
        <f t="shared" si="3"/>
        <v>0</v>
      </c>
      <c r="AN38" s="4">
        <f t="shared" si="4"/>
        <v>0</v>
      </c>
      <c r="AO38" s="3"/>
      <c r="AP38">
        <v>0</v>
      </c>
      <c r="AR38" t="s">
        <v>0</v>
      </c>
      <c r="AT38" s="2" t="s">
        <v>13</v>
      </c>
      <c r="AU38" s="1" t="e">
        <f t="shared" si="5"/>
        <v>#VALUE!</v>
      </c>
      <c r="AV38" s="1" t="e">
        <f t="shared" si="6"/>
        <v>#VALUE!</v>
      </c>
      <c r="AW38" s="1" t="e">
        <f t="shared" si="7"/>
        <v>#VALUE!</v>
      </c>
    </row>
    <row r="39" spans="1:49" x14ac:dyDescent="0.2">
      <c r="A39">
        <v>37</v>
      </c>
      <c r="B39" t="s">
        <v>2421</v>
      </c>
      <c r="C39" t="s">
        <v>2420</v>
      </c>
      <c r="F39" t="s">
        <v>2419</v>
      </c>
      <c r="G39" t="s">
        <v>4</v>
      </c>
      <c r="H39" t="s">
        <v>3</v>
      </c>
      <c r="I39" t="s">
        <v>93</v>
      </c>
      <c r="J39" t="s">
        <v>2418</v>
      </c>
      <c r="K39" t="s">
        <v>2417</v>
      </c>
      <c r="L39" t="s">
        <v>2416</v>
      </c>
      <c r="M39" t="s">
        <v>2415</v>
      </c>
      <c r="N39">
        <v>3</v>
      </c>
      <c r="O39" t="s">
        <v>2414</v>
      </c>
      <c r="P39" t="s">
        <v>2413</v>
      </c>
      <c r="Q39" t="s">
        <v>2412</v>
      </c>
      <c r="R39" s="7">
        <v>33208</v>
      </c>
      <c r="S39" s="8">
        <f t="shared" si="0"/>
        <v>1990</v>
      </c>
      <c r="T39" s="8">
        <v>1990</v>
      </c>
      <c r="U39" s="8">
        <f t="shared" si="1"/>
        <v>32</v>
      </c>
      <c r="V39" s="7">
        <v>33208</v>
      </c>
      <c r="W39" t="s">
        <v>2411</v>
      </c>
      <c r="X39" s="2" t="s">
        <v>13</v>
      </c>
      <c r="Y39" s="6" t="e">
        <f t="shared" si="2"/>
        <v>#VALUE!</v>
      </c>
      <c r="AA39" t="s">
        <v>2410</v>
      </c>
      <c r="AB39">
        <v>18780</v>
      </c>
      <c r="AC39">
        <v>15315878</v>
      </c>
      <c r="AD39" t="s">
        <v>1</v>
      </c>
      <c r="AE39">
        <v>9</v>
      </c>
      <c r="AF39">
        <v>4</v>
      </c>
      <c r="AH39" t="s">
        <v>2409</v>
      </c>
      <c r="AI39" t="s">
        <v>2408</v>
      </c>
      <c r="AK39" t="s">
        <v>2407</v>
      </c>
      <c r="AL39">
        <v>0</v>
      </c>
      <c r="AM39" s="5">
        <f t="shared" si="3"/>
        <v>0</v>
      </c>
      <c r="AN39" s="4">
        <f t="shared" si="4"/>
        <v>0</v>
      </c>
      <c r="AO39" s="3"/>
      <c r="AP39">
        <v>0</v>
      </c>
      <c r="AR39" t="s">
        <v>0</v>
      </c>
      <c r="AT39" s="2">
        <v>2.2250000000000001</v>
      </c>
      <c r="AU39" s="1" t="e">
        <f t="shared" si="5"/>
        <v>#VALUE!</v>
      </c>
      <c r="AV39" s="1" t="e">
        <f t="shared" si="6"/>
        <v>#VALUE!</v>
      </c>
      <c r="AW39" s="1" t="e">
        <f t="shared" si="7"/>
        <v>#VALUE!</v>
      </c>
    </row>
    <row r="40" spans="1:49" x14ac:dyDescent="0.2">
      <c r="A40">
        <v>38</v>
      </c>
      <c r="B40" t="s">
        <v>2406</v>
      </c>
      <c r="F40" t="s">
        <v>2405</v>
      </c>
      <c r="G40" t="s">
        <v>4</v>
      </c>
      <c r="H40" t="s">
        <v>3</v>
      </c>
      <c r="I40" t="s">
        <v>2404</v>
      </c>
      <c r="N40">
        <v>3</v>
      </c>
      <c r="O40" t="s">
        <v>2403</v>
      </c>
      <c r="P40" t="s">
        <v>2402</v>
      </c>
      <c r="Q40" t="s">
        <v>32</v>
      </c>
      <c r="R40" s="7">
        <v>33208</v>
      </c>
      <c r="S40" s="8">
        <f t="shared" si="0"/>
        <v>1990</v>
      </c>
      <c r="T40" s="8">
        <v>1990</v>
      </c>
      <c r="U40" s="8">
        <f t="shared" si="1"/>
        <v>32</v>
      </c>
      <c r="V40" s="7">
        <v>1990</v>
      </c>
      <c r="W40" t="s">
        <v>44</v>
      </c>
      <c r="X40" s="2" t="s">
        <v>13</v>
      </c>
      <c r="Y40" s="6" t="e">
        <f t="shared" si="2"/>
        <v>#VALUE!</v>
      </c>
      <c r="AA40">
        <v>87566648</v>
      </c>
      <c r="AB40">
        <v>74127</v>
      </c>
      <c r="AD40" t="s">
        <v>1</v>
      </c>
      <c r="AE40">
        <v>35</v>
      </c>
      <c r="AF40">
        <v>7</v>
      </c>
      <c r="AH40" t="s">
        <v>2401</v>
      </c>
      <c r="AI40" t="s">
        <v>2400</v>
      </c>
      <c r="AK40" t="s">
        <v>2399</v>
      </c>
      <c r="AL40">
        <v>0</v>
      </c>
      <c r="AM40" s="5">
        <f t="shared" si="3"/>
        <v>0</v>
      </c>
      <c r="AN40" s="4">
        <f t="shared" si="4"/>
        <v>0</v>
      </c>
      <c r="AO40" s="3"/>
      <c r="AP40">
        <v>0</v>
      </c>
      <c r="AR40" t="s">
        <v>0</v>
      </c>
      <c r="AT40" s="2" t="s">
        <v>13</v>
      </c>
      <c r="AU40" s="1" t="e">
        <f t="shared" si="5"/>
        <v>#VALUE!</v>
      </c>
      <c r="AV40" s="1" t="e">
        <f t="shared" si="6"/>
        <v>#VALUE!</v>
      </c>
      <c r="AW40" s="1" t="e">
        <f t="shared" si="7"/>
        <v>#VALUE!</v>
      </c>
    </row>
    <row r="41" spans="1:49" x14ac:dyDescent="0.2">
      <c r="A41">
        <v>39</v>
      </c>
      <c r="B41" t="s">
        <v>2398</v>
      </c>
      <c r="F41" t="s">
        <v>2397</v>
      </c>
      <c r="G41" t="s">
        <v>4</v>
      </c>
      <c r="H41" t="s">
        <v>3</v>
      </c>
      <c r="I41" t="s">
        <v>2396</v>
      </c>
      <c r="N41">
        <v>2</v>
      </c>
      <c r="O41" t="s">
        <v>2395</v>
      </c>
      <c r="P41" t="s">
        <v>2394</v>
      </c>
      <c r="Q41" t="s">
        <v>12</v>
      </c>
      <c r="R41" s="7">
        <v>33208</v>
      </c>
      <c r="S41" s="8">
        <f t="shared" si="0"/>
        <v>1990</v>
      </c>
      <c r="T41" s="8">
        <v>1990</v>
      </c>
      <c r="U41" s="8">
        <f t="shared" si="1"/>
        <v>32</v>
      </c>
      <c r="V41" s="7">
        <v>1990</v>
      </c>
      <c r="W41" t="s">
        <v>44</v>
      </c>
      <c r="X41" s="2" t="s">
        <v>13</v>
      </c>
      <c r="Y41" s="6" t="e">
        <f t="shared" si="2"/>
        <v>#VALUE!</v>
      </c>
      <c r="AA41">
        <v>87566648</v>
      </c>
      <c r="AB41">
        <v>74127</v>
      </c>
      <c r="AD41" t="s">
        <v>1</v>
      </c>
      <c r="AE41">
        <v>35</v>
      </c>
      <c r="AF41">
        <v>7</v>
      </c>
      <c r="AH41" t="s">
        <v>2393</v>
      </c>
      <c r="AI41" t="s">
        <v>2392</v>
      </c>
      <c r="AK41" t="s">
        <v>2391</v>
      </c>
      <c r="AL41">
        <v>0</v>
      </c>
      <c r="AM41" s="5">
        <f t="shared" si="3"/>
        <v>0</v>
      </c>
      <c r="AN41" s="4">
        <f t="shared" si="4"/>
        <v>0</v>
      </c>
      <c r="AO41" s="3"/>
      <c r="AP41">
        <v>0</v>
      </c>
      <c r="AR41" t="s">
        <v>0</v>
      </c>
      <c r="AT41" s="2" t="s">
        <v>13</v>
      </c>
      <c r="AU41" s="1" t="e">
        <f t="shared" si="5"/>
        <v>#VALUE!</v>
      </c>
      <c r="AV41" s="1" t="e">
        <f t="shared" si="6"/>
        <v>#VALUE!</v>
      </c>
      <c r="AW41" s="1" t="e">
        <f t="shared" si="7"/>
        <v>#VALUE!</v>
      </c>
    </row>
    <row r="42" spans="1:49" x14ac:dyDescent="0.2">
      <c r="A42">
        <v>40</v>
      </c>
      <c r="B42" t="s">
        <v>2390</v>
      </c>
      <c r="F42" t="s">
        <v>2389</v>
      </c>
      <c r="G42" t="s">
        <v>4</v>
      </c>
      <c r="H42" t="s">
        <v>3</v>
      </c>
      <c r="I42" t="s">
        <v>2388</v>
      </c>
      <c r="N42">
        <v>4</v>
      </c>
      <c r="O42" t="s">
        <v>2387</v>
      </c>
      <c r="P42" t="s">
        <v>2386</v>
      </c>
      <c r="Q42" t="s">
        <v>26</v>
      </c>
      <c r="R42" s="7">
        <v>33208</v>
      </c>
      <c r="S42" s="8">
        <f t="shared" si="0"/>
        <v>1990</v>
      </c>
      <c r="T42" s="8">
        <v>1990</v>
      </c>
      <c r="U42" s="8">
        <f t="shared" si="1"/>
        <v>32</v>
      </c>
      <c r="V42" s="7">
        <v>1990</v>
      </c>
      <c r="W42" t="s">
        <v>44</v>
      </c>
      <c r="X42" s="2" t="s">
        <v>13</v>
      </c>
      <c r="Y42" s="6" t="e">
        <f t="shared" si="2"/>
        <v>#VALUE!</v>
      </c>
      <c r="AA42">
        <v>87566648</v>
      </c>
      <c r="AB42">
        <v>74127</v>
      </c>
      <c r="AD42" t="s">
        <v>1</v>
      </c>
      <c r="AE42">
        <v>35</v>
      </c>
      <c r="AF42">
        <v>6</v>
      </c>
      <c r="AH42" t="s">
        <v>2385</v>
      </c>
      <c r="AI42" t="s">
        <v>2384</v>
      </c>
      <c r="AK42" t="s">
        <v>2383</v>
      </c>
      <c r="AL42">
        <v>0</v>
      </c>
      <c r="AM42" s="5">
        <f t="shared" si="3"/>
        <v>0</v>
      </c>
      <c r="AN42" s="4">
        <f t="shared" si="4"/>
        <v>0</v>
      </c>
      <c r="AO42" s="3"/>
      <c r="AP42">
        <v>0</v>
      </c>
      <c r="AR42" t="s">
        <v>0</v>
      </c>
      <c r="AT42" s="2" t="s">
        <v>13</v>
      </c>
      <c r="AU42" s="1" t="e">
        <f t="shared" si="5"/>
        <v>#VALUE!</v>
      </c>
      <c r="AV42" s="1" t="e">
        <f t="shared" si="6"/>
        <v>#VALUE!</v>
      </c>
      <c r="AW42" s="1" t="e">
        <f t="shared" si="7"/>
        <v>#VALUE!</v>
      </c>
    </row>
    <row r="43" spans="1:49" x14ac:dyDescent="0.2">
      <c r="A43">
        <v>41</v>
      </c>
      <c r="B43" t="s">
        <v>2382</v>
      </c>
      <c r="F43" t="s">
        <v>2381</v>
      </c>
      <c r="G43" t="s">
        <v>4</v>
      </c>
      <c r="H43" t="s">
        <v>3</v>
      </c>
      <c r="I43" t="s">
        <v>2380</v>
      </c>
      <c r="N43">
        <v>1</v>
      </c>
      <c r="O43" t="s">
        <v>2379</v>
      </c>
      <c r="P43">
        <v>7006461984</v>
      </c>
      <c r="R43" s="7">
        <v>33208</v>
      </c>
      <c r="S43" s="8">
        <f t="shared" si="0"/>
        <v>1990</v>
      </c>
      <c r="T43" s="8">
        <v>1990</v>
      </c>
      <c r="U43" s="8">
        <f t="shared" si="1"/>
        <v>32</v>
      </c>
      <c r="V43" s="7">
        <v>1990</v>
      </c>
      <c r="W43" t="s">
        <v>44</v>
      </c>
      <c r="X43" s="2" t="s">
        <v>13</v>
      </c>
      <c r="Y43" s="6" t="e">
        <f t="shared" si="2"/>
        <v>#VALUE!</v>
      </c>
      <c r="AA43">
        <v>87566648</v>
      </c>
      <c r="AB43">
        <v>74127</v>
      </c>
      <c r="AD43" t="s">
        <v>1</v>
      </c>
      <c r="AE43">
        <v>35</v>
      </c>
      <c r="AF43">
        <v>7</v>
      </c>
      <c r="AH43" t="s">
        <v>84</v>
      </c>
      <c r="AI43" t="s">
        <v>2378</v>
      </c>
      <c r="AK43" t="s">
        <v>2377</v>
      </c>
      <c r="AL43">
        <v>0</v>
      </c>
      <c r="AM43" s="5">
        <f t="shared" si="3"/>
        <v>0</v>
      </c>
      <c r="AN43" s="4">
        <f t="shared" si="4"/>
        <v>0</v>
      </c>
      <c r="AO43" s="3"/>
      <c r="AP43">
        <v>0</v>
      </c>
      <c r="AR43" t="s">
        <v>0</v>
      </c>
      <c r="AT43" s="2" t="s">
        <v>13</v>
      </c>
      <c r="AU43" s="1" t="e">
        <f t="shared" si="5"/>
        <v>#VALUE!</v>
      </c>
      <c r="AV43" s="1" t="e">
        <f t="shared" si="6"/>
        <v>#VALUE!</v>
      </c>
      <c r="AW43" s="1" t="e">
        <f t="shared" si="7"/>
        <v>#VALUE!</v>
      </c>
    </row>
    <row r="44" spans="1:49" x14ac:dyDescent="0.2">
      <c r="A44">
        <v>42</v>
      </c>
      <c r="B44" t="s">
        <v>2376</v>
      </c>
      <c r="F44" t="s">
        <v>2375</v>
      </c>
      <c r="G44" t="s">
        <v>4</v>
      </c>
      <c r="H44" t="s">
        <v>3</v>
      </c>
      <c r="I44" t="s">
        <v>2374</v>
      </c>
      <c r="N44">
        <v>2</v>
      </c>
      <c r="O44" t="s">
        <v>2373</v>
      </c>
      <c r="P44" t="s">
        <v>2372</v>
      </c>
      <c r="Q44" t="s">
        <v>12</v>
      </c>
      <c r="R44" s="7">
        <v>33208</v>
      </c>
      <c r="S44" s="8">
        <f t="shared" si="0"/>
        <v>1990</v>
      </c>
      <c r="T44" s="8">
        <v>1990</v>
      </c>
      <c r="U44" s="8">
        <f t="shared" si="1"/>
        <v>32</v>
      </c>
      <c r="V44" s="7">
        <v>1990</v>
      </c>
      <c r="W44" t="s">
        <v>44</v>
      </c>
      <c r="X44" s="2" t="s">
        <v>13</v>
      </c>
      <c r="Y44" s="6" t="e">
        <f t="shared" si="2"/>
        <v>#VALUE!</v>
      </c>
      <c r="AA44">
        <v>87566648</v>
      </c>
      <c r="AB44">
        <v>74127</v>
      </c>
      <c r="AD44" t="s">
        <v>1</v>
      </c>
      <c r="AE44">
        <v>35</v>
      </c>
      <c r="AF44">
        <v>7</v>
      </c>
      <c r="AH44" t="s">
        <v>2371</v>
      </c>
      <c r="AI44" t="s">
        <v>2370</v>
      </c>
      <c r="AK44" t="s">
        <v>2369</v>
      </c>
      <c r="AL44">
        <v>14</v>
      </c>
      <c r="AM44" s="5">
        <f t="shared" si="3"/>
        <v>0.4375</v>
      </c>
      <c r="AN44" s="4">
        <f t="shared" si="4"/>
        <v>6.6262779250283988E-4</v>
      </c>
      <c r="AO44" s="3"/>
      <c r="AP44">
        <v>0</v>
      </c>
      <c r="AR44" t="s">
        <v>0</v>
      </c>
      <c r="AT44" s="2" t="s">
        <v>13</v>
      </c>
      <c r="AU44" s="1" t="e">
        <f t="shared" si="5"/>
        <v>#VALUE!</v>
      </c>
      <c r="AV44" s="1" t="e">
        <f t="shared" si="6"/>
        <v>#VALUE!</v>
      </c>
      <c r="AW44" s="1" t="e">
        <f t="shared" si="7"/>
        <v>#VALUE!</v>
      </c>
    </row>
    <row r="45" spans="1:49" x14ac:dyDescent="0.2">
      <c r="A45">
        <v>43</v>
      </c>
      <c r="B45" t="s">
        <v>2368</v>
      </c>
      <c r="F45" t="s">
        <v>2367</v>
      </c>
      <c r="G45" t="s">
        <v>4</v>
      </c>
      <c r="H45" t="s">
        <v>3</v>
      </c>
      <c r="I45" t="s">
        <v>2366</v>
      </c>
      <c r="N45">
        <v>2</v>
      </c>
      <c r="O45" t="s">
        <v>2365</v>
      </c>
      <c r="P45" t="s">
        <v>2364</v>
      </c>
      <c r="Q45" t="s">
        <v>12</v>
      </c>
      <c r="R45" s="7">
        <v>33208</v>
      </c>
      <c r="S45" s="8">
        <f t="shared" si="0"/>
        <v>1990</v>
      </c>
      <c r="T45" s="8">
        <v>1990</v>
      </c>
      <c r="U45" s="8">
        <f t="shared" si="1"/>
        <v>32</v>
      </c>
      <c r="V45" s="7">
        <v>33208</v>
      </c>
      <c r="W45" t="s">
        <v>31</v>
      </c>
      <c r="X45" s="2">
        <v>0.14099999999999999</v>
      </c>
      <c r="Y45" s="6">
        <f t="shared" si="2"/>
        <v>3.7639144710498915E-3</v>
      </c>
      <c r="AA45">
        <v>402508</v>
      </c>
      <c r="AB45">
        <v>20868</v>
      </c>
      <c r="AD45" t="s">
        <v>1</v>
      </c>
      <c r="AE45">
        <v>45</v>
      </c>
      <c r="AF45">
        <v>12</v>
      </c>
      <c r="AH45" t="s">
        <v>2363</v>
      </c>
      <c r="AI45" t="s">
        <v>2362</v>
      </c>
      <c r="AK45" t="s">
        <v>2361</v>
      </c>
      <c r="AL45">
        <v>0</v>
      </c>
      <c r="AM45" s="5">
        <f t="shared" si="3"/>
        <v>0</v>
      </c>
      <c r="AN45" s="4">
        <f t="shared" si="4"/>
        <v>0</v>
      </c>
      <c r="AO45" s="3"/>
      <c r="AP45">
        <v>0</v>
      </c>
      <c r="AR45" t="s">
        <v>0</v>
      </c>
      <c r="AT45" s="2" t="s">
        <v>13</v>
      </c>
      <c r="AU45" s="1">
        <f t="shared" si="5"/>
        <v>0.26347401297349238</v>
      </c>
      <c r="AV45" s="1">
        <f t="shared" si="6"/>
        <v>0.18819572355249459</v>
      </c>
      <c r="AW45" s="1">
        <f t="shared" si="7"/>
        <v>0.11291743413149673</v>
      </c>
    </row>
    <row r="46" spans="1:49" x14ac:dyDescent="0.2">
      <c r="A46">
        <v>44</v>
      </c>
      <c r="B46" t="s">
        <v>2360</v>
      </c>
      <c r="F46" t="s">
        <v>2359</v>
      </c>
      <c r="G46" t="s">
        <v>4</v>
      </c>
      <c r="H46" t="s">
        <v>3</v>
      </c>
      <c r="I46" t="s">
        <v>1597</v>
      </c>
      <c r="N46">
        <v>1</v>
      </c>
      <c r="O46" t="s">
        <v>1596</v>
      </c>
      <c r="P46">
        <v>6508066677</v>
      </c>
      <c r="R46" s="7">
        <v>33208</v>
      </c>
      <c r="S46" s="8">
        <f t="shared" si="0"/>
        <v>1990</v>
      </c>
      <c r="T46" s="8">
        <v>1990</v>
      </c>
      <c r="U46" s="8">
        <f t="shared" si="1"/>
        <v>32</v>
      </c>
      <c r="V46" s="7">
        <v>33208</v>
      </c>
      <c r="W46" t="s">
        <v>31</v>
      </c>
      <c r="X46" s="2">
        <v>0.14099999999999999</v>
      </c>
      <c r="Y46" s="6">
        <f t="shared" si="2"/>
        <v>3.7639144710498915E-3</v>
      </c>
      <c r="AA46">
        <v>402508</v>
      </c>
      <c r="AB46">
        <v>20868</v>
      </c>
      <c r="AD46" t="s">
        <v>1</v>
      </c>
      <c r="AE46">
        <v>45</v>
      </c>
      <c r="AF46">
        <v>12</v>
      </c>
      <c r="AH46" t="s">
        <v>2358</v>
      </c>
      <c r="AI46" t="s">
        <v>2357</v>
      </c>
      <c r="AK46" t="s">
        <v>2356</v>
      </c>
      <c r="AL46">
        <v>0</v>
      </c>
      <c r="AM46" s="5">
        <f t="shared" si="3"/>
        <v>0</v>
      </c>
      <c r="AN46" s="4">
        <f t="shared" si="4"/>
        <v>0</v>
      </c>
      <c r="AO46" s="3"/>
      <c r="AP46">
        <v>0</v>
      </c>
      <c r="AR46" t="s">
        <v>0</v>
      </c>
      <c r="AT46" s="2" t="s">
        <v>13</v>
      </c>
      <c r="AU46" s="1">
        <f t="shared" si="5"/>
        <v>0.26347401297349238</v>
      </c>
      <c r="AV46" s="1">
        <f t="shared" si="6"/>
        <v>0.18819572355249459</v>
      </c>
      <c r="AW46" s="1">
        <f t="shared" si="7"/>
        <v>0.11291743413149673</v>
      </c>
    </row>
    <row r="47" spans="1:49" x14ac:dyDescent="0.2">
      <c r="A47">
        <v>45</v>
      </c>
      <c r="B47" t="s">
        <v>2355</v>
      </c>
      <c r="F47" t="s">
        <v>2354</v>
      </c>
      <c r="G47" t="s">
        <v>4</v>
      </c>
      <c r="H47" t="s">
        <v>3</v>
      </c>
      <c r="I47" t="s">
        <v>2176</v>
      </c>
      <c r="N47">
        <v>1</v>
      </c>
      <c r="O47" t="s">
        <v>2175</v>
      </c>
      <c r="P47">
        <v>7003805994</v>
      </c>
      <c r="R47" s="7">
        <v>33208</v>
      </c>
      <c r="S47" s="8">
        <f t="shared" si="0"/>
        <v>1990</v>
      </c>
      <c r="T47" s="8">
        <v>1990</v>
      </c>
      <c r="U47" s="8">
        <f t="shared" si="1"/>
        <v>32</v>
      </c>
      <c r="V47" s="7">
        <v>33208</v>
      </c>
      <c r="W47" t="s">
        <v>31</v>
      </c>
      <c r="X47" s="2">
        <v>0.14099999999999999</v>
      </c>
      <c r="Y47" s="6">
        <f t="shared" si="2"/>
        <v>3.7639144710498915E-3</v>
      </c>
      <c r="AA47">
        <v>402508</v>
      </c>
      <c r="AB47">
        <v>20868</v>
      </c>
      <c r="AD47" t="s">
        <v>1</v>
      </c>
      <c r="AE47">
        <v>45</v>
      </c>
      <c r="AF47">
        <v>12</v>
      </c>
      <c r="AH47" t="s">
        <v>2353</v>
      </c>
      <c r="AI47" t="s">
        <v>2352</v>
      </c>
      <c r="AK47" t="s">
        <v>2351</v>
      </c>
      <c r="AL47">
        <v>0</v>
      </c>
      <c r="AM47" s="5">
        <f t="shared" si="3"/>
        <v>0</v>
      </c>
      <c r="AN47" s="4">
        <f t="shared" si="4"/>
        <v>0</v>
      </c>
      <c r="AO47" s="3"/>
      <c r="AP47">
        <v>0</v>
      </c>
      <c r="AR47" t="s">
        <v>0</v>
      </c>
      <c r="AT47" s="2" t="s">
        <v>13</v>
      </c>
      <c r="AU47" s="1">
        <f t="shared" si="5"/>
        <v>0.26347401297349238</v>
      </c>
      <c r="AV47" s="1">
        <f t="shared" si="6"/>
        <v>0.18819572355249459</v>
      </c>
      <c r="AW47" s="1">
        <f t="shared" si="7"/>
        <v>0.11291743413149673</v>
      </c>
    </row>
    <row r="48" spans="1:49" x14ac:dyDescent="0.2">
      <c r="A48">
        <v>46</v>
      </c>
      <c r="B48" t="s">
        <v>2350</v>
      </c>
      <c r="F48" t="s">
        <v>2349</v>
      </c>
      <c r="G48" t="s">
        <v>4</v>
      </c>
      <c r="H48" t="s">
        <v>3</v>
      </c>
      <c r="I48" t="s">
        <v>2348</v>
      </c>
      <c r="N48">
        <v>2</v>
      </c>
      <c r="O48" t="s">
        <v>2347</v>
      </c>
      <c r="P48" t="s">
        <v>2346</v>
      </c>
      <c r="Q48" t="s">
        <v>12</v>
      </c>
      <c r="R48" s="7">
        <v>33208</v>
      </c>
      <c r="S48" s="8">
        <f t="shared" si="0"/>
        <v>1990</v>
      </c>
      <c r="T48" s="8">
        <v>1990</v>
      </c>
      <c r="U48" s="8">
        <f t="shared" si="1"/>
        <v>32</v>
      </c>
      <c r="V48" s="7">
        <v>1990</v>
      </c>
      <c r="W48" t="s">
        <v>2345</v>
      </c>
      <c r="X48" s="2" t="s">
        <v>13</v>
      </c>
      <c r="Y48" s="6" t="e">
        <f t="shared" si="2"/>
        <v>#VALUE!</v>
      </c>
      <c r="AA48">
        <v>134155</v>
      </c>
      <c r="AB48">
        <v>32847</v>
      </c>
      <c r="AD48" t="s">
        <v>1</v>
      </c>
      <c r="AF48">
        <v>3</v>
      </c>
      <c r="AH48" s="9">
        <v>44440</v>
      </c>
      <c r="AI48" t="s">
        <v>2344</v>
      </c>
      <c r="AK48" t="s">
        <v>2343</v>
      </c>
      <c r="AL48">
        <v>0</v>
      </c>
      <c r="AM48" s="5">
        <f t="shared" si="3"/>
        <v>0</v>
      </c>
      <c r="AN48" s="4">
        <f t="shared" si="4"/>
        <v>0</v>
      </c>
      <c r="AO48" s="3"/>
      <c r="AP48">
        <v>0</v>
      </c>
      <c r="AR48" t="s">
        <v>0</v>
      </c>
      <c r="AT48" s="2" t="s">
        <v>13</v>
      </c>
      <c r="AU48" s="1" t="e">
        <f t="shared" si="5"/>
        <v>#VALUE!</v>
      </c>
      <c r="AV48" s="1" t="e">
        <f t="shared" si="6"/>
        <v>#VALUE!</v>
      </c>
      <c r="AW48" s="1" t="e">
        <f t="shared" si="7"/>
        <v>#VALUE!</v>
      </c>
    </row>
    <row r="49" spans="1:49" x14ac:dyDescent="0.2">
      <c r="A49">
        <v>47</v>
      </c>
      <c r="B49" t="s">
        <v>2342</v>
      </c>
      <c r="F49" t="s">
        <v>2341</v>
      </c>
      <c r="G49" t="s">
        <v>4</v>
      </c>
      <c r="H49" t="s">
        <v>3</v>
      </c>
      <c r="I49" t="s">
        <v>2340</v>
      </c>
      <c r="N49">
        <v>2</v>
      </c>
      <c r="O49" t="s">
        <v>2339</v>
      </c>
      <c r="P49" t="s">
        <v>2338</v>
      </c>
      <c r="Q49" t="s">
        <v>12</v>
      </c>
      <c r="R49" s="7">
        <v>33208</v>
      </c>
      <c r="S49" s="8">
        <f t="shared" si="0"/>
        <v>1990</v>
      </c>
      <c r="T49" s="8">
        <v>1990</v>
      </c>
      <c r="U49" s="8">
        <f t="shared" si="1"/>
        <v>32</v>
      </c>
      <c r="V49" s="7">
        <v>33208</v>
      </c>
      <c r="W49" t="s">
        <v>31</v>
      </c>
      <c r="X49" s="2">
        <v>0.14099999999999999</v>
      </c>
      <c r="Y49" s="6">
        <f t="shared" si="2"/>
        <v>3.7639144710498915E-3</v>
      </c>
      <c r="AA49">
        <v>402508</v>
      </c>
      <c r="AB49">
        <v>20868</v>
      </c>
      <c r="AD49" t="s">
        <v>1</v>
      </c>
      <c r="AE49">
        <v>45</v>
      </c>
      <c r="AF49">
        <v>12</v>
      </c>
      <c r="AH49" t="s">
        <v>2337</v>
      </c>
      <c r="AI49" t="s">
        <v>2336</v>
      </c>
      <c r="AK49" t="s">
        <v>2335</v>
      </c>
      <c r="AL49">
        <v>0</v>
      </c>
      <c r="AM49" s="5">
        <f t="shared" si="3"/>
        <v>0</v>
      </c>
      <c r="AN49" s="4">
        <f t="shared" si="4"/>
        <v>0</v>
      </c>
      <c r="AO49" s="3"/>
      <c r="AP49">
        <v>0</v>
      </c>
      <c r="AR49" t="s">
        <v>0</v>
      </c>
      <c r="AT49" s="2" t="s">
        <v>13</v>
      </c>
      <c r="AU49" s="1">
        <f t="shared" si="5"/>
        <v>0.26347401297349238</v>
      </c>
      <c r="AV49" s="1">
        <f t="shared" si="6"/>
        <v>0.18819572355249459</v>
      </c>
      <c r="AW49" s="1">
        <f t="shared" si="7"/>
        <v>0.11291743413149673</v>
      </c>
    </row>
    <row r="50" spans="1:49" x14ac:dyDescent="0.2">
      <c r="A50">
        <v>48</v>
      </c>
      <c r="B50" t="s">
        <v>2334</v>
      </c>
      <c r="F50" t="s">
        <v>2333</v>
      </c>
      <c r="G50" t="s">
        <v>4</v>
      </c>
      <c r="H50" t="s">
        <v>3</v>
      </c>
      <c r="I50" t="s">
        <v>2332</v>
      </c>
      <c r="J50">
        <v>60013301</v>
      </c>
      <c r="K50" t="s">
        <v>2331</v>
      </c>
      <c r="L50" t="s">
        <v>190</v>
      </c>
      <c r="M50" t="s">
        <v>19</v>
      </c>
      <c r="N50">
        <v>1</v>
      </c>
      <c r="O50" t="s">
        <v>2330</v>
      </c>
      <c r="P50">
        <v>7102903128</v>
      </c>
      <c r="Q50">
        <v>60013301</v>
      </c>
      <c r="R50" s="7">
        <v>33208</v>
      </c>
      <c r="S50" s="8">
        <f t="shared" si="0"/>
        <v>1990</v>
      </c>
      <c r="T50" s="8">
        <v>1990</v>
      </c>
      <c r="U50" s="8">
        <f t="shared" si="1"/>
        <v>32</v>
      </c>
      <c r="V50" s="7">
        <v>33208</v>
      </c>
      <c r="W50" t="s">
        <v>2329</v>
      </c>
      <c r="X50" s="2">
        <v>0.10100000000000001</v>
      </c>
      <c r="Y50" s="6">
        <f t="shared" si="2"/>
        <v>2.6961373161421215E-3</v>
      </c>
      <c r="AA50">
        <v>7452993</v>
      </c>
      <c r="AB50">
        <v>18563</v>
      </c>
      <c r="AD50" t="s">
        <v>1</v>
      </c>
      <c r="AE50">
        <v>29</v>
      </c>
      <c r="AF50">
        <v>12</v>
      </c>
      <c r="AH50" t="s">
        <v>2328</v>
      </c>
      <c r="AI50" t="s">
        <v>2327</v>
      </c>
      <c r="AK50" t="s">
        <v>2326</v>
      </c>
      <c r="AL50">
        <v>0</v>
      </c>
      <c r="AM50" s="5">
        <f t="shared" si="3"/>
        <v>0</v>
      </c>
      <c r="AN50" s="4">
        <f t="shared" si="4"/>
        <v>0</v>
      </c>
      <c r="AO50" s="3"/>
      <c r="AP50">
        <v>0</v>
      </c>
      <c r="AR50" t="s">
        <v>0</v>
      </c>
      <c r="AT50" s="2" t="s">
        <v>13</v>
      </c>
      <c r="AU50" s="1">
        <f t="shared" si="5"/>
        <v>0.18872961212994849</v>
      </c>
      <c r="AV50" s="1">
        <f t="shared" si="6"/>
        <v>0.13480686580710607</v>
      </c>
      <c r="AW50" s="1">
        <f t="shared" si="7"/>
        <v>8.0884119484263647E-2</v>
      </c>
    </row>
    <row r="51" spans="1:49" x14ac:dyDescent="0.2">
      <c r="A51">
        <v>49</v>
      </c>
      <c r="B51" t="s">
        <v>2325</v>
      </c>
      <c r="F51" t="s">
        <v>2324</v>
      </c>
      <c r="G51" t="s">
        <v>4</v>
      </c>
      <c r="H51" t="s">
        <v>3</v>
      </c>
      <c r="I51" t="s">
        <v>2323</v>
      </c>
      <c r="N51">
        <v>2</v>
      </c>
      <c r="O51" t="s">
        <v>2322</v>
      </c>
      <c r="P51" t="s">
        <v>2321</v>
      </c>
      <c r="Q51" t="s">
        <v>12</v>
      </c>
      <c r="R51" s="7">
        <v>33208</v>
      </c>
      <c r="S51" s="8">
        <f t="shared" si="0"/>
        <v>1990</v>
      </c>
      <c r="T51" s="8">
        <v>1990</v>
      </c>
      <c r="U51" s="8">
        <f t="shared" si="1"/>
        <v>32</v>
      </c>
      <c r="V51" s="7">
        <v>33208</v>
      </c>
      <c r="W51" t="s">
        <v>31</v>
      </c>
      <c r="X51" s="2">
        <v>0.14099999999999999</v>
      </c>
      <c r="Y51" s="6">
        <f t="shared" si="2"/>
        <v>3.7639144710498915E-3</v>
      </c>
      <c r="AA51">
        <v>402508</v>
      </c>
      <c r="AB51">
        <v>20868</v>
      </c>
      <c r="AD51" t="s">
        <v>1</v>
      </c>
      <c r="AE51">
        <v>45</v>
      </c>
      <c r="AF51">
        <v>12</v>
      </c>
      <c r="AH51" t="s">
        <v>1642</v>
      </c>
      <c r="AI51" t="s">
        <v>2320</v>
      </c>
      <c r="AK51" t="s">
        <v>2319</v>
      </c>
      <c r="AL51">
        <v>0</v>
      </c>
      <c r="AM51" s="5">
        <f t="shared" si="3"/>
        <v>0</v>
      </c>
      <c r="AN51" s="4">
        <f t="shared" si="4"/>
        <v>0</v>
      </c>
      <c r="AO51" s="3"/>
      <c r="AP51">
        <v>0</v>
      </c>
      <c r="AR51" t="s">
        <v>0</v>
      </c>
      <c r="AT51" s="2" t="s">
        <v>13</v>
      </c>
      <c r="AU51" s="1">
        <f t="shared" si="5"/>
        <v>0.26347401297349238</v>
      </c>
      <c r="AV51" s="1">
        <f t="shared" si="6"/>
        <v>0.18819572355249459</v>
      </c>
      <c r="AW51" s="1">
        <f t="shared" si="7"/>
        <v>0.11291743413149673</v>
      </c>
    </row>
    <row r="52" spans="1:49" x14ac:dyDescent="0.2">
      <c r="A52">
        <v>50</v>
      </c>
      <c r="B52" t="s">
        <v>2318</v>
      </c>
      <c r="F52" t="s">
        <v>2317</v>
      </c>
      <c r="G52" t="s">
        <v>4</v>
      </c>
      <c r="H52" t="s">
        <v>3</v>
      </c>
      <c r="I52" t="s">
        <v>2316</v>
      </c>
      <c r="N52">
        <v>2</v>
      </c>
      <c r="O52" t="s">
        <v>2315</v>
      </c>
      <c r="P52" t="s">
        <v>2314</v>
      </c>
      <c r="Q52" t="s">
        <v>12</v>
      </c>
      <c r="R52" s="7">
        <v>33208</v>
      </c>
      <c r="S52" s="8">
        <f t="shared" si="0"/>
        <v>1990</v>
      </c>
      <c r="T52" s="8">
        <v>1990</v>
      </c>
      <c r="U52" s="8">
        <f t="shared" si="1"/>
        <v>32</v>
      </c>
      <c r="V52" s="7">
        <v>1990</v>
      </c>
      <c r="W52" t="s">
        <v>44</v>
      </c>
      <c r="X52" s="2" t="s">
        <v>13</v>
      </c>
      <c r="Y52" s="6" t="e">
        <f t="shared" si="2"/>
        <v>#VALUE!</v>
      </c>
      <c r="AA52">
        <v>87566648</v>
      </c>
      <c r="AB52">
        <v>74127</v>
      </c>
      <c r="AD52" t="s">
        <v>1</v>
      </c>
      <c r="AE52">
        <v>35</v>
      </c>
      <c r="AF52">
        <v>8</v>
      </c>
      <c r="AH52" t="s">
        <v>2313</v>
      </c>
      <c r="AI52" t="s">
        <v>2312</v>
      </c>
      <c r="AK52" t="s">
        <v>2311</v>
      </c>
      <c r="AL52">
        <v>0</v>
      </c>
      <c r="AM52" s="5">
        <f t="shared" si="3"/>
        <v>0</v>
      </c>
      <c r="AN52" s="4">
        <f t="shared" si="4"/>
        <v>0</v>
      </c>
      <c r="AO52" s="3"/>
      <c r="AP52">
        <v>0</v>
      </c>
      <c r="AR52" t="s">
        <v>0</v>
      </c>
      <c r="AT52" s="2" t="s">
        <v>13</v>
      </c>
      <c r="AU52" s="1" t="e">
        <f t="shared" si="5"/>
        <v>#VALUE!</v>
      </c>
      <c r="AV52" s="1" t="e">
        <f t="shared" si="6"/>
        <v>#VALUE!</v>
      </c>
      <c r="AW52" s="1" t="e">
        <f t="shared" si="7"/>
        <v>#VALUE!</v>
      </c>
    </row>
    <row r="53" spans="1:49" x14ac:dyDescent="0.2">
      <c r="A53">
        <v>51</v>
      </c>
      <c r="B53" t="s">
        <v>2310</v>
      </c>
      <c r="F53" t="s">
        <v>2309</v>
      </c>
      <c r="G53" t="s">
        <v>4</v>
      </c>
      <c r="H53" t="s">
        <v>3</v>
      </c>
      <c r="I53" t="s">
        <v>2308</v>
      </c>
      <c r="N53">
        <v>2</v>
      </c>
      <c r="O53" t="s">
        <v>2307</v>
      </c>
      <c r="P53" t="s">
        <v>2306</v>
      </c>
      <c r="Q53" t="s">
        <v>12</v>
      </c>
      <c r="R53" s="7">
        <v>33208</v>
      </c>
      <c r="S53" s="8">
        <f t="shared" si="0"/>
        <v>1990</v>
      </c>
      <c r="T53" s="8">
        <v>1990</v>
      </c>
      <c r="U53" s="8">
        <f t="shared" si="1"/>
        <v>32</v>
      </c>
      <c r="V53" s="7">
        <v>1990</v>
      </c>
      <c r="W53" t="s">
        <v>44</v>
      </c>
      <c r="X53" s="2" t="s">
        <v>13</v>
      </c>
      <c r="Y53" s="6" t="e">
        <f t="shared" si="2"/>
        <v>#VALUE!</v>
      </c>
      <c r="AA53">
        <v>87566648</v>
      </c>
      <c r="AB53">
        <v>74127</v>
      </c>
      <c r="AD53" t="s">
        <v>1</v>
      </c>
      <c r="AE53">
        <v>35</v>
      </c>
      <c r="AF53">
        <v>11</v>
      </c>
      <c r="AH53" t="s">
        <v>2305</v>
      </c>
      <c r="AI53" t="s">
        <v>2304</v>
      </c>
      <c r="AK53" t="s">
        <v>2303</v>
      </c>
      <c r="AL53">
        <v>0</v>
      </c>
      <c r="AM53" s="5">
        <f t="shared" si="3"/>
        <v>0</v>
      </c>
      <c r="AN53" s="4">
        <f t="shared" si="4"/>
        <v>0</v>
      </c>
      <c r="AO53" s="3"/>
      <c r="AP53">
        <v>0</v>
      </c>
      <c r="AR53" t="s">
        <v>0</v>
      </c>
      <c r="AT53" s="2" t="s">
        <v>13</v>
      </c>
      <c r="AU53" s="1" t="e">
        <f t="shared" si="5"/>
        <v>#VALUE!</v>
      </c>
      <c r="AV53" s="1" t="e">
        <f t="shared" si="6"/>
        <v>#VALUE!</v>
      </c>
      <c r="AW53" s="1" t="e">
        <f t="shared" si="7"/>
        <v>#VALUE!</v>
      </c>
    </row>
    <row r="54" spans="1:49" x14ac:dyDescent="0.2">
      <c r="A54">
        <v>52</v>
      </c>
      <c r="B54" t="s">
        <v>2302</v>
      </c>
      <c r="F54" t="s">
        <v>2301</v>
      </c>
      <c r="G54" t="s">
        <v>4</v>
      </c>
      <c r="H54" t="s">
        <v>3</v>
      </c>
      <c r="I54" t="s">
        <v>2300</v>
      </c>
      <c r="N54">
        <v>1</v>
      </c>
      <c r="O54" t="s">
        <v>2299</v>
      </c>
      <c r="P54">
        <v>57225688610</v>
      </c>
      <c r="R54" s="7">
        <v>33208</v>
      </c>
      <c r="S54" s="8">
        <f t="shared" si="0"/>
        <v>1990</v>
      </c>
      <c r="T54" s="8">
        <v>1990</v>
      </c>
      <c r="U54" s="8">
        <f t="shared" si="1"/>
        <v>32</v>
      </c>
      <c r="V54" s="7">
        <v>1990</v>
      </c>
      <c r="W54" t="s">
        <v>44</v>
      </c>
      <c r="X54" s="2" t="s">
        <v>13</v>
      </c>
      <c r="Y54" s="6" t="e">
        <f t="shared" si="2"/>
        <v>#VALUE!</v>
      </c>
      <c r="AA54">
        <v>87566648</v>
      </c>
      <c r="AB54">
        <v>74127</v>
      </c>
      <c r="AD54" t="s">
        <v>1</v>
      </c>
      <c r="AE54">
        <v>35</v>
      </c>
      <c r="AF54">
        <v>14</v>
      </c>
      <c r="AH54" t="s">
        <v>2298</v>
      </c>
      <c r="AI54" t="s">
        <v>2297</v>
      </c>
      <c r="AK54" t="s">
        <v>2296</v>
      </c>
      <c r="AL54">
        <v>0</v>
      </c>
      <c r="AM54" s="5">
        <f t="shared" si="3"/>
        <v>0</v>
      </c>
      <c r="AN54" s="4">
        <f t="shared" si="4"/>
        <v>0</v>
      </c>
      <c r="AO54" s="3"/>
      <c r="AP54">
        <v>0</v>
      </c>
      <c r="AR54" t="s">
        <v>0</v>
      </c>
      <c r="AT54" s="2" t="s">
        <v>13</v>
      </c>
      <c r="AU54" s="1" t="e">
        <f t="shared" si="5"/>
        <v>#VALUE!</v>
      </c>
      <c r="AV54" s="1" t="e">
        <f t="shared" si="6"/>
        <v>#VALUE!</v>
      </c>
      <c r="AW54" s="1" t="e">
        <f t="shared" si="7"/>
        <v>#VALUE!</v>
      </c>
    </row>
    <row r="55" spans="1:49" x14ac:dyDescent="0.2">
      <c r="A55">
        <v>53</v>
      </c>
      <c r="B55" t="s">
        <v>2295</v>
      </c>
      <c r="F55" t="s">
        <v>2294</v>
      </c>
      <c r="G55" t="s">
        <v>4</v>
      </c>
      <c r="H55" t="s">
        <v>3</v>
      </c>
      <c r="I55" t="s">
        <v>2293</v>
      </c>
      <c r="N55">
        <v>1</v>
      </c>
      <c r="O55" t="s">
        <v>2292</v>
      </c>
      <c r="P55">
        <v>57198289338</v>
      </c>
      <c r="R55" s="7">
        <v>33208</v>
      </c>
      <c r="S55" s="8">
        <f t="shared" si="0"/>
        <v>1990</v>
      </c>
      <c r="T55" s="8">
        <v>1990</v>
      </c>
      <c r="U55" s="8">
        <f t="shared" si="1"/>
        <v>32</v>
      </c>
      <c r="V55" s="7">
        <v>1990</v>
      </c>
      <c r="W55" t="s">
        <v>44</v>
      </c>
      <c r="X55" s="2" t="s">
        <v>13</v>
      </c>
      <c r="Y55" s="6" t="e">
        <f t="shared" si="2"/>
        <v>#VALUE!</v>
      </c>
      <c r="AA55">
        <v>87566648</v>
      </c>
      <c r="AB55">
        <v>74127</v>
      </c>
      <c r="AD55" t="s">
        <v>1</v>
      </c>
      <c r="AE55">
        <v>35</v>
      </c>
      <c r="AF55">
        <v>11</v>
      </c>
      <c r="AH55" t="s">
        <v>216</v>
      </c>
      <c r="AI55" t="s">
        <v>2291</v>
      </c>
      <c r="AK55" t="s">
        <v>2290</v>
      </c>
      <c r="AL55">
        <v>0</v>
      </c>
      <c r="AM55" s="5">
        <f t="shared" si="3"/>
        <v>0</v>
      </c>
      <c r="AN55" s="4">
        <f t="shared" si="4"/>
        <v>0</v>
      </c>
      <c r="AO55" s="3"/>
      <c r="AP55">
        <v>0</v>
      </c>
      <c r="AR55" t="s">
        <v>0</v>
      </c>
      <c r="AT55" s="2" t="s">
        <v>13</v>
      </c>
      <c r="AU55" s="1" t="e">
        <f t="shared" si="5"/>
        <v>#VALUE!</v>
      </c>
      <c r="AV55" s="1" t="e">
        <f t="shared" si="6"/>
        <v>#VALUE!</v>
      </c>
      <c r="AW55" s="1" t="e">
        <f t="shared" si="7"/>
        <v>#VALUE!</v>
      </c>
    </row>
    <row r="56" spans="1:49" x14ac:dyDescent="0.2">
      <c r="A56">
        <v>54</v>
      </c>
      <c r="B56" t="s">
        <v>2289</v>
      </c>
      <c r="F56" t="s">
        <v>2288</v>
      </c>
      <c r="G56" t="s">
        <v>4</v>
      </c>
      <c r="H56" t="s">
        <v>3</v>
      </c>
      <c r="I56" t="s">
        <v>2287</v>
      </c>
      <c r="N56">
        <v>1</v>
      </c>
      <c r="O56" t="s">
        <v>2286</v>
      </c>
      <c r="P56">
        <v>6603558268</v>
      </c>
      <c r="R56" s="7">
        <v>33208</v>
      </c>
      <c r="S56" s="8">
        <f t="shared" si="0"/>
        <v>1990</v>
      </c>
      <c r="T56" s="8">
        <v>1990</v>
      </c>
      <c r="U56" s="8">
        <f t="shared" si="1"/>
        <v>32</v>
      </c>
      <c r="V56" s="7">
        <v>1990</v>
      </c>
      <c r="W56" t="s">
        <v>44</v>
      </c>
      <c r="X56" s="2" t="s">
        <v>13</v>
      </c>
      <c r="Y56" s="6" t="e">
        <f t="shared" si="2"/>
        <v>#VALUE!</v>
      </c>
      <c r="AA56">
        <v>87566648</v>
      </c>
      <c r="AB56">
        <v>74127</v>
      </c>
      <c r="AD56" t="s">
        <v>1</v>
      </c>
      <c r="AE56">
        <v>35</v>
      </c>
      <c r="AF56">
        <v>11</v>
      </c>
      <c r="AH56" t="s">
        <v>1616</v>
      </c>
      <c r="AI56" t="s">
        <v>2285</v>
      </c>
      <c r="AK56" t="s">
        <v>2284</v>
      </c>
      <c r="AL56">
        <v>0</v>
      </c>
      <c r="AM56" s="5">
        <f t="shared" si="3"/>
        <v>0</v>
      </c>
      <c r="AN56" s="4">
        <f t="shared" si="4"/>
        <v>0</v>
      </c>
      <c r="AO56" s="3"/>
      <c r="AP56">
        <v>0</v>
      </c>
      <c r="AR56" t="s">
        <v>0</v>
      </c>
      <c r="AT56" s="2" t="s">
        <v>13</v>
      </c>
      <c r="AU56" s="1" t="e">
        <f t="shared" si="5"/>
        <v>#VALUE!</v>
      </c>
      <c r="AV56" s="1" t="e">
        <f t="shared" si="6"/>
        <v>#VALUE!</v>
      </c>
      <c r="AW56" s="1" t="e">
        <f t="shared" si="7"/>
        <v>#VALUE!</v>
      </c>
    </row>
    <row r="57" spans="1:49" x14ac:dyDescent="0.2">
      <c r="A57">
        <v>55</v>
      </c>
      <c r="B57" t="s">
        <v>2283</v>
      </c>
      <c r="F57" t="s">
        <v>2282</v>
      </c>
      <c r="G57" t="s">
        <v>4</v>
      </c>
      <c r="H57" t="s">
        <v>3</v>
      </c>
      <c r="I57" t="s">
        <v>2069</v>
      </c>
      <c r="N57">
        <v>3</v>
      </c>
      <c r="O57" t="s">
        <v>2068</v>
      </c>
      <c r="P57" t="s">
        <v>2067</v>
      </c>
      <c r="Q57" t="s">
        <v>32</v>
      </c>
      <c r="R57" s="7">
        <v>33208</v>
      </c>
      <c r="S57" s="8">
        <f t="shared" si="0"/>
        <v>1990</v>
      </c>
      <c r="T57" s="8">
        <v>1990</v>
      </c>
      <c r="U57" s="8">
        <f t="shared" si="1"/>
        <v>32</v>
      </c>
      <c r="V57" s="7">
        <v>1990</v>
      </c>
      <c r="W57" t="s">
        <v>44</v>
      </c>
      <c r="X57" s="2" t="s">
        <v>13</v>
      </c>
      <c r="Y57" s="6" t="e">
        <f t="shared" si="2"/>
        <v>#VALUE!</v>
      </c>
      <c r="AA57">
        <v>87566648</v>
      </c>
      <c r="AB57">
        <v>74127</v>
      </c>
      <c r="AD57" t="s">
        <v>1</v>
      </c>
      <c r="AE57">
        <v>35</v>
      </c>
      <c r="AF57">
        <v>9</v>
      </c>
      <c r="AH57" t="s">
        <v>2281</v>
      </c>
      <c r="AI57" t="s">
        <v>2280</v>
      </c>
      <c r="AK57" t="s">
        <v>2279</v>
      </c>
      <c r="AL57">
        <v>0</v>
      </c>
      <c r="AM57" s="5">
        <f t="shared" si="3"/>
        <v>0</v>
      </c>
      <c r="AN57" s="4">
        <f t="shared" si="4"/>
        <v>0</v>
      </c>
      <c r="AO57" s="3"/>
      <c r="AP57">
        <v>0</v>
      </c>
      <c r="AR57" t="s">
        <v>0</v>
      </c>
      <c r="AT57" s="2" t="s">
        <v>13</v>
      </c>
      <c r="AU57" s="1" t="e">
        <f t="shared" si="5"/>
        <v>#VALUE!</v>
      </c>
      <c r="AV57" s="1" t="e">
        <f t="shared" si="6"/>
        <v>#VALUE!</v>
      </c>
      <c r="AW57" s="1" t="e">
        <f t="shared" si="7"/>
        <v>#VALUE!</v>
      </c>
    </row>
    <row r="58" spans="1:49" x14ac:dyDescent="0.2">
      <c r="A58">
        <v>56</v>
      </c>
      <c r="B58" t="s">
        <v>2278</v>
      </c>
      <c r="C58" t="s">
        <v>2277</v>
      </c>
      <c r="F58" t="s">
        <v>2276</v>
      </c>
      <c r="G58" t="s">
        <v>4</v>
      </c>
      <c r="H58" t="s">
        <v>3</v>
      </c>
      <c r="I58" t="s">
        <v>2275</v>
      </c>
      <c r="J58">
        <v>60005304</v>
      </c>
      <c r="K58" t="s">
        <v>56</v>
      </c>
      <c r="L58" t="s">
        <v>55</v>
      </c>
      <c r="M58" t="s">
        <v>19</v>
      </c>
      <c r="N58">
        <v>1</v>
      </c>
      <c r="O58" t="s">
        <v>2274</v>
      </c>
      <c r="P58">
        <v>56234765300</v>
      </c>
      <c r="Q58">
        <v>60005304</v>
      </c>
      <c r="R58" s="7">
        <v>33208</v>
      </c>
      <c r="S58" s="8">
        <f t="shared" si="0"/>
        <v>1990</v>
      </c>
      <c r="T58" s="8">
        <v>1990</v>
      </c>
      <c r="U58" s="8">
        <f t="shared" si="1"/>
        <v>32</v>
      </c>
      <c r="V58" s="7">
        <v>33208</v>
      </c>
      <c r="W58" t="s">
        <v>101</v>
      </c>
      <c r="X58" s="2">
        <v>0.88100000000000001</v>
      </c>
      <c r="Y58" s="6">
        <f t="shared" si="2"/>
        <v>2.3517791836843653E-2</v>
      </c>
      <c r="AA58">
        <v>10459243</v>
      </c>
      <c r="AB58">
        <v>17248</v>
      </c>
      <c r="AD58" t="s">
        <v>1</v>
      </c>
      <c r="AE58">
        <v>32</v>
      </c>
      <c r="AF58">
        <v>6</v>
      </c>
      <c r="AH58" t="s">
        <v>2273</v>
      </c>
      <c r="AI58" t="s">
        <v>2272</v>
      </c>
      <c r="AK58" t="s">
        <v>2271</v>
      </c>
      <c r="AL58">
        <v>0</v>
      </c>
      <c r="AM58" s="5">
        <f t="shared" si="3"/>
        <v>0</v>
      </c>
      <c r="AN58" s="4">
        <f t="shared" si="4"/>
        <v>0</v>
      </c>
      <c r="AO58" s="3"/>
      <c r="AP58">
        <v>0</v>
      </c>
      <c r="AR58" t="s">
        <v>0</v>
      </c>
      <c r="AT58" s="2" t="s">
        <v>13</v>
      </c>
      <c r="AU58" s="1">
        <f t="shared" si="5"/>
        <v>1.6462454285790555</v>
      </c>
      <c r="AV58" s="1">
        <f t="shared" si="6"/>
        <v>1.1758895918421826</v>
      </c>
      <c r="AW58" s="1">
        <f t="shared" si="7"/>
        <v>0.70553375510530958</v>
      </c>
    </row>
    <row r="59" spans="1:49" x14ac:dyDescent="0.2">
      <c r="A59">
        <v>57</v>
      </c>
      <c r="B59" t="s">
        <v>2270</v>
      </c>
      <c r="F59" t="s">
        <v>2269</v>
      </c>
      <c r="G59" t="s">
        <v>4</v>
      </c>
      <c r="H59" t="s">
        <v>3</v>
      </c>
      <c r="I59" t="s">
        <v>2268</v>
      </c>
      <c r="N59">
        <v>2</v>
      </c>
      <c r="O59" t="s">
        <v>2267</v>
      </c>
      <c r="P59" t="s">
        <v>2266</v>
      </c>
      <c r="Q59" t="s">
        <v>12</v>
      </c>
      <c r="R59" s="7">
        <v>33208</v>
      </c>
      <c r="S59" s="8">
        <f t="shared" si="0"/>
        <v>1990</v>
      </c>
      <c r="T59" s="8">
        <v>1990</v>
      </c>
      <c r="U59" s="8">
        <f t="shared" si="1"/>
        <v>32</v>
      </c>
      <c r="V59" s="7">
        <v>1990</v>
      </c>
      <c r="W59" t="s">
        <v>44</v>
      </c>
      <c r="X59" s="2" t="s">
        <v>13</v>
      </c>
      <c r="Y59" s="6" t="e">
        <f t="shared" si="2"/>
        <v>#VALUE!</v>
      </c>
      <c r="AA59">
        <v>87566648</v>
      </c>
      <c r="AB59">
        <v>74127</v>
      </c>
      <c r="AD59" t="s">
        <v>1</v>
      </c>
      <c r="AE59">
        <v>35</v>
      </c>
      <c r="AF59">
        <v>8</v>
      </c>
      <c r="AH59" t="s">
        <v>131</v>
      </c>
      <c r="AI59" t="s">
        <v>2265</v>
      </c>
      <c r="AK59" t="s">
        <v>2264</v>
      </c>
      <c r="AL59">
        <v>0</v>
      </c>
      <c r="AM59" s="5">
        <f t="shared" si="3"/>
        <v>0</v>
      </c>
      <c r="AN59" s="4">
        <f t="shared" si="4"/>
        <v>0</v>
      </c>
      <c r="AO59" s="3"/>
      <c r="AP59">
        <v>0</v>
      </c>
      <c r="AR59" t="s">
        <v>0</v>
      </c>
      <c r="AT59" s="2" t="s">
        <v>13</v>
      </c>
      <c r="AU59" s="1" t="e">
        <f t="shared" si="5"/>
        <v>#VALUE!</v>
      </c>
      <c r="AV59" s="1" t="e">
        <f t="shared" si="6"/>
        <v>#VALUE!</v>
      </c>
      <c r="AW59" s="1" t="e">
        <f t="shared" si="7"/>
        <v>#VALUE!</v>
      </c>
    </row>
    <row r="60" spans="1:49" x14ac:dyDescent="0.2">
      <c r="A60">
        <v>58</v>
      </c>
      <c r="B60" t="s">
        <v>2263</v>
      </c>
      <c r="F60" t="s">
        <v>2262</v>
      </c>
      <c r="G60" t="s">
        <v>4</v>
      </c>
      <c r="H60" t="s">
        <v>3</v>
      </c>
      <c r="I60" t="s">
        <v>2261</v>
      </c>
      <c r="N60">
        <v>1</v>
      </c>
      <c r="O60" t="s">
        <v>2260</v>
      </c>
      <c r="P60">
        <v>8091680800</v>
      </c>
      <c r="R60" s="7">
        <v>33208</v>
      </c>
      <c r="S60" s="8">
        <f t="shared" si="0"/>
        <v>1990</v>
      </c>
      <c r="T60" s="8">
        <v>1990</v>
      </c>
      <c r="U60" s="8">
        <f t="shared" si="1"/>
        <v>32</v>
      </c>
      <c r="V60" s="7">
        <v>1990</v>
      </c>
      <c r="W60" t="s">
        <v>44</v>
      </c>
      <c r="X60" s="2" t="s">
        <v>13</v>
      </c>
      <c r="Y60" s="6" t="e">
        <f t="shared" si="2"/>
        <v>#VALUE!</v>
      </c>
      <c r="AA60">
        <v>87566648</v>
      </c>
      <c r="AB60">
        <v>74127</v>
      </c>
      <c r="AD60" t="s">
        <v>1</v>
      </c>
      <c r="AE60">
        <v>35</v>
      </c>
      <c r="AF60">
        <v>13</v>
      </c>
      <c r="AH60" t="s">
        <v>2259</v>
      </c>
      <c r="AI60" t="s">
        <v>2258</v>
      </c>
      <c r="AK60" t="s">
        <v>2257</v>
      </c>
      <c r="AL60">
        <v>0</v>
      </c>
      <c r="AM60" s="5">
        <f t="shared" si="3"/>
        <v>0</v>
      </c>
      <c r="AN60" s="4">
        <f t="shared" si="4"/>
        <v>0</v>
      </c>
      <c r="AO60" s="3"/>
      <c r="AP60">
        <v>0</v>
      </c>
      <c r="AR60" t="s">
        <v>0</v>
      </c>
      <c r="AT60" s="2" t="s">
        <v>13</v>
      </c>
      <c r="AU60" s="1" t="e">
        <f t="shared" si="5"/>
        <v>#VALUE!</v>
      </c>
      <c r="AV60" s="1" t="e">
        <f t="shared" si="6"/>
        <v>#VALUE!</v>
      </c>
      <c r="AW60" s="1" t="e">
        <f t="shared" si="7"/>
        <v>#VALUE!</v>
      </c>
    </row>
    <row r="61" spans="1:49" x14ac:dyDescent="0.2">
      <c r="A61">
        <v>59</v>
      </c>
      <c r="B61" t="s">
        <v>2256</v>
      </c>
      <c r="F61" t="s">
        <v>2255</v>
      </c>
      <c r="G61" t="s">
        <v>4</v>
      </c>
      <c r="H61" t="s">
        <v>3</v>
      </c>
      <c r="I61" t="s">
        <v>2254</v>
      </c>
      <c r="N61">
        <v>1</v>
      </c>
      <c r="O61" t="s">
        <v>2253</v>
      </c>
      <c r="P61">
        <v>6508341895</v>
      </c>
      <c r="R61" s="7">
        <v>33208</v>
      </c>
      <c r="S61" s="8">
        <f t="shared" si="0"/>
        <v>1990</v>
      </c>
      <c r="T61" s="8">
        <v>1990</v>
      </c>
      <c r="U61" s="8">
        <f t="shared" si="1"/>
        <v>32</v>
      </c>
      <c r="V61" s="7">
        <v>1990</v>
      </c>
      <c r="W61" t="s">
        <v>44</v>
      </c>
      <c r="X61" s="2" t="s">
        <v>13</v>
      </c>
      <c r="Y61" s="6" t="e">
        <f t="shared" si="2"/>
        <v>#VALUE!</v>
      </c>
      <c r="AA61">
        <v>87566648</v>
      </c>
      <c r="AB61">
        <v>74127</v>
      </c>
      <c r="AD61" t="s">
        <v>1</v>
      </c>
      <c r="AE61">
        <v>35</v>
      </c>
      <c r="AF61">
        <v>13</v>
      </c>
      <c r="AH61" t="s">
        <v>2252</v>
      </c>
      <c r="AI61" t="s">
        <v>2251</v>
      </c>
      <c r="AK61" t="s">
        <v>2250</v>
      </c>
      <c r="AL61">
        <v>0</v>
      </c>
      <c r="AM61" s="5">
        <f t="shared" si="3"/>
        <v>0</v>
      </c>
      <c r="AN61" s="4">
        <f t="shared" si="4"/>
        <v>0</v>
      </c>
      <c r="AO61" s="3"/>
      <c r="AP61">
        <v>0</v>
      </c>
      <c r="AR61" t="s">
        <v>0</v>
      </c>
      <c r="AT61" s="2" t="s">
        <v>13</v>
      </c>
      <c r="AU61" s="1" t="e">
        <f t="shared" si="5"/>
        <v>#VALUE!</v>
      </c>
      <c r="AV61" s="1" t="e">
        <f t="shared" si="6"/>
        <v>#VALUE!</v>
      </c>
      <c r="AW61" s="1" t="e">
        <f t="shared" si="7"/>
        <v>#VALUE!</v>
      </c>
    </row>
    <row r="62" spans="1:49" x14ac:dyDescent="0.2">
      <c r="A62">
        <v>60</v>
      </c>
      <c r="B62" t="s">
        <v>2249</v>
      </c>
      <c r="F62" t="s">
        <v>2248</v>
      </c>
      <c r="G62" t="s">
        <v>4</v>
      </c>
      <c r="H62" t="s">
        <v>3</v>
      </c>
      <c r="I62" t="s">
        <v>2247</v>
      </c>
      <c r="N62">
        <v>4</v>
      </c>
      <c r="O62" t="s">
        <v>2246</v>
      </c>
      <c r="P62" t="s">
        <v>2245</v>
      </c>
      <c r="Q62" t="s">
        <v>26</v>
      </c>
      <c r="R62" s="7">
        <v>33208</v>
      </c>
      <c r="S62" s="8">
        <f t="shared" si="0"/>
        <v>1990</v>
      </c>
      <c r="T62" s="8">
        <v>1990</v>
      </c>
      <c r="U62" s="8">
        <f t="shared" si="1"/>
        <v>32</v>
      </c>
      <c r="V62" s="7">
        <v>1990</v>
      </c>
      <c r="W62" t="s">
        <v>44</v>
      </c>
      <c r="X62" s="2" t="s">
        <v>13</v>
      </c>
      <c r="Y62" s="6" t="e">
        <f t="shared" si="2"/>
        <v>#VALUE!</v>
      </c>
      <c r="AA62">
        <v>87566648</v>
      </c>
      <c r="AB62">
        <v>74127</v>
      </c>
      <c r="AD62" t="s">
        <v>1</v>
      </c>
      <c r="AE62">
        <v>35</v>
      </c>
      <c r="AF62">
        <v>14</v>
      </c>
      <c r="AH62" t="s">
        <v>2244</v>
      </c>
      <c r="AI62" t="s">
        <v>2243</v>
      </c>
      <c r="AK62" t="s">
        <v>2242</v>
      </c>
      <c r="AL62">
        <v>0</v>
      </c>
      <c r="AM62" s="5">
        <f t="shared" si="3"/>
        <v>0</v>
      </c>
      <c r="AN62" s="4">
        <f t="shared" si="4"/>
        <v>0</v>
      </c>
      <c r="AO62" s="3"/>
      <c r="AP62">
        <v>0</v>
      </c>
      <c r="AR62" t="s">
        <v>0</v>
      </c>
      <c r="AT62" s="2" t="s">
        <v>13</v>
      </c>
      <c r="AU62" s="1" t="e">
        <f t="shared" si="5"/>
        <v>#VALUE!</v>
      </c>
      <c r="AV62" s="1" t="e">
        <f t="shared" si="6"/>
        <v>#VALUE!</v>
      </c>
      <c r="AW62" s="1" t="e">
        <f t="shared" si="7"/>
        <v>#VALUE!</v>
      </c>
    </row>
    <row r="63" spans="1:49" x14ac:dyDescent="0.2">
      <c r="A63">
        <v>61</v>
      </c>
      <c r="B63" t="s">
        <v>2241</v>
      </c>
      <c r="F63" t="s">
        <v>2240</v>
      </c>
      <c r="G63" t="s">
        <v>4</v>
      </c>
      <c r="H63" t="s">
        <v>3</v>
      </c>
      <c r="I63" t="s">
        <v>2239</v>
      </c>
      <c r="N63">
        <v>1</v>
      </c>
      <c r="O63" t="s">
        <v>2238</v>
      </c>
      <c r="P63">
        <v>6602618753</v>
      </c>
      <c r="R63" s="7">
        <v>33208</v>
      </c>
      <c r="S63" s="8">
        <f t="shared" si="0"/>
        <v>1990</v>
      </c>
      <c r="T63" s="8">
        <v>1990</v>
      </c>
      <c r="U63" s="8">
        <f t="shared" si="1"/>
        <v>32</v>
      </c>
      <c r="V63" s="7">
        <v>1990</v>
      </c>
      <c r="W63" t="s">
        <v>44</v>
      </c>
      <c r="X63" s="2" t="s">
        <v>13</v>
      </c>
      <c r="Y63" s="6" t="e">
        <f t="shared" si="2"/>
        <v>#VALUE!</v>
      </c>
      <c r="AA63">
        <v>87566648</v>
      </c>
      <c r="AB63">
        <v>74127</v>
      </c>
      <c r="AD63" t="s">
        <v>1</v>
      </c>
      <c r="AE63">
        <v>35</v>
      </c>
      <c r="AF63">
        <v>14</v>
      </c>
      <c r="AH63" t="s">
        <v>2237</v>
      </c>
      <c r="AI63" t="s">
        <v>2236</v>
      </c>
      <c r="AK63" t="s">
        <v>2235</v>
      </c>
      <c r="AL63">
        <v>0</v>
      </c>
      <c r="AM63" s="5">
        <f t="shared" si="3"/>
        <v>0</v>
      </c>
      <c r="AN63" s="4">
        <f t="shared" si="4"/>
        <v>0</v>
      </c>
      <c r="AO63" s="3"/>
      <c r="AP63">
        <v>0</v>
      </c>
      <c r="AR63" t="s">
        <v>0</v>
      </c>
      <c r="AT63" s="2" t="s">
        <v>13</v>
      </c>
      <c r="AU63" s="1" t="e">
        <f t="shared" si="5"/>
        <v>#VALUE!</v>
      </c>
      <c r="AV63" s="1" t="e">
        <f t="shared" si="6"/>
        <v>#VALUE!</v>
      </c>
      <c r="AW63" s="1" t="e">
        <f t="shared" si="7"/>
        <v>#VALUE!</v>
      </c>
    </row>
    <row r="64" spans="1:49" x14ac:dyDescent="0.2">
      <c r="A64">
        <v>62</v>
      </c>
      <c r="B64" t="s">
        <v>2234</v>
      </c>
      <c r="C64" t="s">
        <v>2233</v>
      </c>
      <c r="F64" t="s">
        <v>2232</v>
      </c>
      <c r="G64" t="s">
        <v>4</v>
      </c>
      <c r="H64" t="s">
        <v>3</v>
      </c>
      <c r="I64" t="s">
        <v>52</v>
      </c>
      <c r="J64">
        <v>60021030</v>
      </c>
      <c r="K64" t="s">
        <v>2231</v>
      </c>
      <c r="L64" t="s">
        <v>51</v>
      </c>
      <c r="M64" t="s">
        <v>19</v>
      </c>
      <c r="N64">
        <v>9</v>
      </c>
      <c r="O64" t="s">
        <v>2230</v>
      </c>
      <c r="P64" t="s">
        <v>2229</v>
      </c>
      <c r="Q64" t="s">
        <v>2228</v>
      </c>
      <c r="R64" s="7">
        <v>33208</v>
      </c>
      <c r="S64" s="8">
        <f t="shared" si="0"/>
        <v>1990</v>
      </c>
      <c r="T64" s="8">
        <v>1990</v>
      </c>
      <c r="U64" s="8">
        <f t="shared" si="1"/>
        <v>32</v>
      </c>
      <c r="V64" s="7">
        <v>33208</v>
      </c>
      <c r="W64" t="s">
        <v>83</v>
      </c>
      <c r="X64" s="2">
        <v>1.3720000000000001</v>
      </c>
      <c r="Y64" s="6">
        <f t="shared" si="2"/>
        <v>3.662475641333654E-2</v>
      </c>
      <c r="AA64">
        <v>189480</v>
      </c>
      <c r="AB64">
        <v>17366</v>
      </c>
      <c r="AD64" t="s">
        <v>1</v>
      </c>
      <c r="AE64">
        <v>38</v>
      </c>
      <c r="AF64">
        <v>12</v>
      </c>
      <c r="AH64" t="s">
        <v>2227</v>
      </c>
      <c r="AI64" t="s">
        <v>2226</v>
      </c>
      <c r="AK64" t="s">
        <v>2225</v>
      </c>
      <c r="AL64">
        <v>12</v>
      </c>
      <c r="AM64" s="5">
        <f t="shared" si="3"/>
        <v>0.375</v>
      </c>
      <c r="AN64" s="4">
        <f t="shared" si="4"/>
        <v>5.6796667928814845E-4</v>
      </c>
      <c r="AO64" s="3"/>
      <c r="AP64">
        <v>0</v>
      </c>
      <c r="AR64" t="s">
        <v>0</v>
      </c>
      <c r="AT64" s="2" t="s">
        <v>13</v>
      </c>
      <c r="AU64" s="1">
        <f t="shared" si="5"/>
        <v>2.5807719493122017</v>
      </c>
      <c r="AV64" s="1">
        <f t="shared" si="6"/>
        <v>1.8596361546312346</v>
      </c>
      <c r="AW64" s="1">
        <f t="shared" si="7"/>
        <v>1.1385003599502665</v>
      </c>
    </row>
    <row r="65" spans="1:49" x14ac:dyDescent="0.2">
      <c r="A65">
        <v>63</v>
      </c>
      <c r="B65" t="s">
        <v>2224</v>
      </c>
      <c r="F65" t="s">
        <v>2223</v>
      </c>
      <c r="G65" t="s">
        <v>4</v>
      </c>
      <c r="H65" t="s">
        <v>3</v>
      </c>
      <c r="I65" t="s">
        <v>2169</v>
      </c>
      <c r="N65">
        <v>2</v>
      </c>
      <c r="O65" t="s">
        <v>2222</v>
      </c>
      <c r="P65" t="s">
        <v>2221</v>
      </c>
      <c r="Q65" t="s">
        <v>12</v>
      </c>
      <c r="R65" s="7">
        <v>33208</v>
      </c>
      <c r="S65" s="8">
        <f t="shared" si="0"/>
        <v>1990</v>
      </c>
      <c r="T65" s="8">
        <v>1990</v>
      </c>
      <c r="U65" s="8">
        <f t="shared" si="1"/>
        <v>32</v>
      </c>
      <c r="V65" s="7">
        <v>1990</v>
      </c>
      <c r="W65" t="s">
        <v>44</v>
      </c>
      <c r="X65" s="2" t="s">
        <v>13</v>
      </c>
      <c r="Y65" s="6" t="e">
        <f t="shared" si="2"/>
        <v>#VALUE!</v>
      </c>
      <c r="AA65">
        <v>87566648</v>
      </c>
      <c r="AB65">
        <v>74127</v>
      </c>
      <c r="AD65" t="s">
        <v>1</v>
      </c>
      <c r="AE65">
        <v>35</v>
      </c>
      <c r="AF65">
        <v>8</v>
      </c>
      <c r="AH65" t="s">
        <v>2220</v>
      </c>
      <c r="AI65" t="s">
        <v>2219</v>
      </c>
      <c r="AK65" t="s">
        <v>2218</v>
      </c>
      <c r="AL65">
        <v>2</v>
      </c>
      <c r="AM65" s="5">
        <f t="shared" si="3"/>
        <v>6.25E-2</v>
      </c>
      <c r="AN65" s="4">
        <f t="shared" si="4"/>
        <v>9.46611132146914E-5</v>
      </c>
      <c r="AO65" s="3"/>
      <c r="AP65">
        <v>0</v>
      </c>
      <c r="AR65" t="s">
        <v>0</v>
      </c>
      <c r="AT65" s="2" t="s">
        <v>13</v>
      </c>
      <c r="AU65" s="1" t="e">
        <f t="shared" si="5"/>
        <v>#VALUE!</v>
      </c>
      <c r="AV65" s="1" t="e">
        <f t="shared" si="6"/>
        <v>#VALUE!</v>
      </c>
      <c r="AW65" s="1" t="e">
        <f t="shared" si="7"/>
        <v>#VALUE!</v>
      </c>
    </row>
    <row r="66" spans="1:49" x14ac:dyDescent="0.2">
      <c r="A66">
        <v>64</v>
      </c>
      <c r="B66" t="s">
        <v>2217</v>
      </c>
      <c r="C66" t="s">
        <v>2216</v>
      </c>
      <c r="F66" t="s">
        <v>2215</v>
      </c>
      <c r="G66" t="s">
        <v>4</v>
      </c>
      <c r="H66" t="s">
        <v>3</v>
      </c>
      <c r="I66" t="s">
        <v>2214</v>
      </c>
      <c r="J66">
        <v>60008293</v>
      </c>
      <c r="K66" t="s">
        <v>1571</v>
      </c>
      <c r="L66" t="s">
        <v>1570</v>
      </c>
      <c r="M66" t="s">
        <v>14</v>
      </c>
      <c r="N66">
        <v>3</v>
      </c>
      <c r="O66" t="s">
        <v>2213</v>
      </c>
      <c r="P66" t="s">
        <v>2212</v>
      </c>
      <c r="Q66" t="s">
        <v>2211</v>
      </c>
      <c r="R66" s="7">
        <v>33208</v>
      </c>
      <c r="S66" s="8">
        <f t="shared" ref="S66:S129" si="8">YEAR(R66)</f>
        <v>1990</v>
      </c>
      <c r="T66" s="8">
        <v>1990</v>
      </c>
      <c r="U66" s="8">
        <f t="shared" ref="U66:U129" si="9">2022-T66</f>
        <v>32</v>
      </c>
      <c r="V66" s="7">
        <v>33208</v>
      </c>
      <c r="W66" t="s">
        <v>83</v>
      </c>
      <c r="X66" s="2">
        <v>1.3720000000000001</v>
      </c>
      <c r="Y66" s="6">
        <f t="shared" ref="Y66:Y129" si="10">(X66-$Z$4)/($Z$3-$Z$4)</f>
        <v>3.662475641333654E-2</v>
      </c>
      <c r="AA66">
        <v>189480</v>
      </c>
      <c r="AB66">
        <v>17366</v>
      </c>
      <c r="AD66" t="s">
        <v>1</v>
      </c>
      <c r="AE66">
        <v>38</v>
      </c>
      <c r="AF66">
        <v>12</v>
      </c>
      <c r="AH66" t="s">
        <v>2210</v>
      </c>
      <c r="AI66" t="s">
        <v>2209</v>
      </c>
      <c r="AK66" t="s">
        <v>2208</v>
      </c>
      <c r="AL66">
        <v>11</v>
      </c>
      <c r="AM66" s="5">
        <f t="shared" ref="AM66:AM129" si="11">AL66/U66</f>
        <v>0.34375</v>
      </c>
      <c r="AN66" s="4">
        <f t="shared" ref="AN66:AN129" si="12">(AM66-$AO$4)/($AO$3-$AO$4)</f>
        <v>5.2063612268080268E-4</v>
      </c>
      <c r="AO66" s="3"/>
      <c r="AP66">
        <v>0</v>
      </c>
      <c r="AR66" t="s">
        <v>0</v>
      </c>
      <c r="AT66" s="2" t="s">
        <v>13</v>
      </c>
      <c r="AU66" s="1">
        <f t="shared" ref="AU66:AU129" si="13">(Y66*0.7+AN66*0.3)*100</f>
        <v>2.5793520326139818</v>
      </c>
      <c r="AV66" s="1">
        <f t="shared" ref="AV66:AV129" si="14">(Y66*0.5+AN66*0.5)*100</f>
        <v>1.857269626800867</v>
      </c>
      <c r="AW66" s="1">
        <f t="shared" ref="AW66:AW129" si="15">(Y66*0.3+AN66*0.7)*100</f>
        <v>1.1351872209877525</v>
      </c>
    </row>
    <row r="67" spans="1:49" x14ac:dyDescent="0.2">
      <c r="A67">
        <v>65</v>
      </c>
      <c r="B67" t="s">
        <v>2207</v>
      </c>
      <c r="F67" t="s">
        <v>2206</v>
      </c>
      <c r="G67" t="s">
        <v>4</v>
      </c>
      <c r="H67" t="s">
        <v>3</v>
      </c>
      <c r="I67" t="s">
        <v>2205</v>
      </c>
      <c r="N67">
        <v>1</v>
      </c>
      <c r="O67" t="s">
        <v>2204</v>
      </c>
      <c r="P67">
        <v>7004949360</v>
      </c>
      <c r="R67" s="7">
        <v>33208</v>
      </c>
      <c r="S67" s="8">
        <f t="shared" si="8"/>
        <v>1990</v>
      </c>
      <c r="T67" s="8">
        <v>1990</v>
      </c>
      <c r="U67" s="8">
        <f t="shared" si="9"/>
        <v>32</v>
      </c>
      <c r="V67" s="7">
        <v>1990</v>
      </c>
      <c r="W67" t="s">
        <v>44</v>
      </c>
      <c r="X67" s="2" t="s">
        <v>13</v>
      </c>
      <c r="Y67" s="6" t="e">
        <f t="shared" si="10"/>
        <v>#VALUE!</v>
      </c>
      <c r="AA67">
        <v>87566648</v>
      </c>
      <c r="AB67">
        <v>74127</v>
      </c>
      <c r="AD67" t="s">
        <v>1</v>
      </c>
      <c r="AE67">
        <v>35</v>
      </c>
      <c r="AF67">
        <v>15</v>
      </c>
      <c r="AH67" t="s">
        <v>2203</v>
      </c>
      <c r="AI67" t="s">
        <v>2202</v>
      </c>
      <c r="AK67" t="s">
        <v>2201</v>
      </c>
      <c r="AL67">
        <v>0</v>
      </c>
      <c r="AM67" s="5">
        <f t="shared" si="11"/>
        <v>0</v>
      </c>
      <c r="AN67" s="4">
        <f t="shared" si="12"/>
        <v>0</v>
      </c>
      <c r="AO67" s="3"/>
      <c r="AP67">
        <v>0</v>
      </c>
      <c r="AR67" t="s">
        <v>0</v>
      </c>
      <c r="AT67" s="2" t="s">
        <v>13</v>
      </c>
      <c r="AU67" s="1" t="e">
        <f t="shared" si="13"/>
        <v>#VALUE!</v>
      </c>
      <c r="AV67" s="1" t="e">
        <f t="shared" si="14"/>
        <v>#VALUE!</v>
      </c>
      <c r="AW67" s="1" t="e">
        <f t="shared" si="15"/>
        <v>#VALUE!</v>
      </c>
    </row>
    <row r="68" spans="1:49" x14ac:dyDescent="0.2">
      <c r="A68">
        <v>66</v>
      </c>
      <c r="B68" t="s">
        <v>2200</v>
      </c>
      <c r="F68" t="s">
        <v>2199</v>
      </c>
      <c r="G68" t="s">
        <v>4</v>
      </c>
      <c r="H68" t="s">
        <v>3</v>
      </c>
      <c r="I68" t="s">
        <v>2198</v>
      </c>
      <c r="N68">
        <v>3</v>
      </c>
      <c r="O68" t="s">
        <v>2197</v>
      </c>
      <c r="P68" t="s">
        <v>2196</v>
      </c>
      <c r="Q68" t="s">
        <v>32</v>
      </c>
      <c r="R68" s="7">
        <v>33208</v>
      </c>
      <c r="S68" s="8">
        <f t="shared" si="8"/>
        <v>1990</v>
      </c>
      <c r="T68" s="8">
        <v>1990</v>
      </c>
      <c r="U68" s="8">
        <f t="shared" si="9"/>
        <v>32</v>
      </c>
      <c r="V68" s="7">
        <v>1990</v>
      </c>
      <c r="W68" t="s">
        <v>44</v>
      </c>
      <c r="X68" s="2" t="s">
        <v>13</v>
      </c>
      <c r="Y68" s="6" t="e">
        <f t="shared" si="10"/>
        <v>#VALUE!</v>
      </c>
      <c r="AA68">
        <v>87566648</v>
      </c>
      <c r="AB68">
        <v>74127</v>
      </c>
      <c r="AD68" t="s">
        <v>1</v>
      </c>
      <c r="AE68">
        <v>35</v>
      </c>
      <c r="AF68">
        <v>10</v>
      </c>
      <c r="AH68" t="s">
        <v>2195</v>
      </c>
      <c r="AI68" t="s">
        <v>2194</v>
      </c>
      <c r="AK68" t="s">
        <v>2193</v>
      </c>
      <c r="AL68">
        <v>0</v>
      </c>
      <c r="AM68" s="5">
        <f t="shared" si="11"/>
        <v>0</v>
      </c>
      <c r="AN68" s="4">
        <f t="shared" si="12"/>
        <v>0</v>
      </c>
      <c r="AO68" s="3"/>
      <c r="AP68">
        <v>0</v>
      </c>
      <c r="AR68" t="s">
        <v>0</v>
      </c>
      <c r="AT68" s="2" t="s">
        <v>13</v>
      </c>
      <c r="AU68" s="1" t="e">
        <f t="shared" si="13"/>
        <v>#VALUE!</v>
      </c>
      <c r="AV68" s="1" t="e">
        <f t="shared" si="14"/>
        <v>#VALUE!</v>
      </c>
      <c r="AW68" s="1" t="e">
        <f t="shared" si="15"/>
        <v>#VALUE!</v>
      </c>
    </row>
    <row r="69" spans="1:49" x14ac:dyDescent="0.2">
      <c r="A69">
        <v>67</v>
      </c>
      <c r="B69" t="s">
        <v>2192</v>
      </c>
      <c r="F69" t="s">
        <v>2191</v>
      </c>
      <c r="G69" t="s">
        <v>4</v>
      </c>
      <c r="H69" t="s">
        <v>3</v>
      </c>
      <c r="I69" t="s">
        <v>2190</v>
      </c>
      <c r="N69">
        <v>3</v>
      </c>
      <c r="O69" t="s">
        <v>2189</v>
      </c>
      <c r="P69" t="s">
        <v>2188</v>
      </c>
      <c r="Q69" t="s">
        <v>32</v>
      </c>
      <c r="R69" s="7">
        <v>33208</v>
      </c>
      <c r="S69" s="8">
        <f t="shared" si="8"/>
        <v>1990</v>
      </c>
      <c r="T69" s="8">
        <v>1990</v>
      </c>
      <c r="U69" s="8">
        <f t="shared" si="9"/>
        <v>32</v>
      </c>
      <c r="V69" s="7">
        <v>1990</v>
      </c>
      <c r="W69" t="s">
        <v>44</v>
      </c>
      <c r="X69" s="2" t="s">
        <v>13</v>
      </c>
      <c r="Y69" s="6" t="e">
        <f t="shared" si="10"/>
        <v>#VALUE!</v>
      </c>
      <c r="AA69">
        <v>87566648</v>
      </c>
      <c r="AB69">
        <v>74127</v>
      </c>
      <c r="AD69" t="s">
        <v>1</v>
      </c>
      <c r="AE69">
        <v>35</v>
      </c>
      <c r="AF69">
        <v>9</v>
      </c>
      <c r="AH69" t="s">
        <v>2187</v>
      </c>
      <c r="AI69" t="s">
        <v>2186</v>
      </c>
      <c r="AK69" t="s">
        <v>2185</v>
      </c>
      <c r="AL69">
        <v>1</v>
      </c>
      <c r="AM69" s="5">
        <f t="shared" si="11"/>
        <v>3.125E-2</v>
      </c>
      <c r="AN69" s="4">
        <f t="shared" si="12"/>
        <v>4.73305566073457E-5</v>
      </c>
      <c r="AO69" s="3"/>
      <c r="AP69">
        <v>0</v>
      </c>
      <c r="AR69" t="s">
        <v>0</v>
      </c>
      <c r="AT69" s="2" t="s">
        <v>13</v>
      </c>
      <c r="AU69" s="1" t="e">
        <f t="shared" si="13"/>
        <v>#VALUE!</v>
      </c>
      <c r="AV69" s="1" t="e">
        <f t="shared" si="14"/>
        <v>#VALUE!</v>
      </c>
      <c r="AW69" s="1" t="e">
        <f t="shared" si="15"/>
        <v>#VALUE!</v>
      </c>
    </row>
    <row r="70" spans="1:49" x14ac:dyDescent="0.2">
      <c r="A70">
        <v>68</v>
      </c>
      <c r="B70" t="s">
        <v>2184</v>
      </c>
      <c r="F70" t="s">
        <v>2183</v>
      </c>
      <c r="G70" t="s">
        <v>4</v>
      </c>
      <c r="H70" t="s">
        <v>3</v>
      </c>
      <c r="I70" t="s">
        <v>2182</v>
      </c>
      <c r="N70">
        <v>1</v>
      </c>
      <c r="O70" t="s">
        <v>2181</v>
      </c>
      <c r="P70">
        <v>6602111045</v>
      </c>
      <c r="R70" s="7">
        <v>33208</v>
      </c>
      <c r="S70" s="8">
        <f t="shared" si="8"/>
        <v>1990</v>
      </c>
      <c r="T70" s="8">
        <v>1990</v>
      </c>
      <c r="U70" s="8">
        <f t="shared" si="9"/>
        <v>32</v>
      </c>
      <c r="V70" s="7">
        <v>1990</v>
      </c>
      <c r="W70" t="s">
        <v>44</v>
      </c>
      <c r="X70" s="2" t="s">
        <v>13</v>
      </c>
      <c r="Y70" s="6" t="e">
        <f t="shared" si="10"/>
        <v>#VALUE!</v>
      </c>
      <c r="AA70">
        <v>87566648</v>
      </c>
      <c r="AB70">
        <v>74127</v>
      </c>
      <c r="AD70" t="s">
        <v>1</v>
      </c>
      <c r="AE70">
        <v>35</v>
      </c>
      <c r="AF70">
        <v>11</v>
      </c>
      <c r="AH70" t="s">
        <v>2027</v>
      </c>
      <c r="AI70" t="s">
        <v>2180</v>
      </c>
      <c r="AK70" t="s">
        <v>2179</v>
      </c>
      <c r="AL70">
        <v>0</v>
      </c>
      <c r="AM70" s="5">
        <f t="shared" si="11"/>
        <v>0</v>
      </c>
      <c r="AN70" s="4">
        <f t="shared" si="12"/>
        <v>0</v>
      </c>
      <c r="AO70" s="3"/>
      <c r="AP70">
        <v>0</v>
      </c>
      <c r="AR70" t="s">
        <v>0</v>
      </c>
      <c r="AT70" s="2" t="s">
        <v>13</v>
      </c>
      <c r="AU70" s="1" t="e">
        <f t="shared" si="13"/>
        <v>#VALUE!</v>
      </c>
      <c r="AV70" s="1" t="e">
        <f t="shared" si="14"/>
        <v>#VALUE!</v>
      </c>
      <c r="AW70" s="1" t="e">
        <f t="shared" si="15"/>
        <v>#VALUE!</v>
      </c>
    </row>
    <row r="71" spans="1:49" x14ac:dyDescent="0.2">
      <c r="A71">
        <v>69</v>
      </c>
      <c r="B71" t="s">
        <v>2178</v>
      </c>
      <c r="F71" t="s">
        <v>2177</v>
      </c>
      <c r="G71" t="s">
        <v>4</v>
      </c>
      <c r="H71" t="s">
        <v>3</v>
      </c>
      <c r="I71" t="s">
        <v>2176</v>
      </c>
      <c r="N71">
        <v>1</v>
      </c>
      <c r="O71" t="s">
        <v>2175</v>
      </c>
      <c r="P71">
        <v>7003805994</v>
      </c>
      <c r="R71" s="7">
        <v>33208</v>
      </c>
      <c r="S71" s="8">
        <f t="shared" si="8"/>
        <v>1990</v>
      </c>
      <c r="T71" s="8">
        <v>1990</v>
      </c>
      <c r="U71" s="8">
        <f t="shared" si="9"/>
        <v>32</v>
      </c>
      <c r="V71" s="7">
        <v>1990</v>
      </c>
      <c r="W71" t="s">
        <v>44</v>
      </c>
      <c r="X71" s="2" t="s">
        <v>13</v>
      </c>
      <c r="Y71" s="6" t="e">
        <f t="shared" si="10"/>
        <v>#VALUE!</v>
      </c>
      <c r="AA71">
        <v>87566648</v>
      </c>
      <c r="AB71">
        <v>74127</v>
      </c>
      <c r="AD71" t="s">
        <v>1</v>
      </c>
      <c r="AE71">
        <v>35</v>
      </c>
      <c r="AF71">
        <v>13</v>
      </c>
      <c r="AH71" t="s">
        <v>2174</v>
      </c>
      <c r="AI71" t="s">
        <v>2173</v>
      </c>
      <c r="AK71" t="s">
        <v>2172</v>
      </c>
      <c r="AL71">
        <v>0</v>
      </c>
      <c r="AM71" s="5">
        <f t="shared" si="11"/>
        <v>0</v>
      </c>
      <c r="AN71" s="4">
        <f t="shared" si="12"/>
        <v>0</v>
      </c>
      <c r="AO71" s="3"/>
      <c r="AP71">
        <v>0</v>
      </c>
      <c r="AR71" t="s">
        <v>0</v>
      </c>
      <c r="AT71" s="2" t="s">
        <v>13</v>
      </c>
      <c r="AU71" s="1" t="e">
        <f t="shared" si="13"/>
        <v>#VALUE!</v>
      </c>
      <c r="AV71" s="1" t="e">
        <f t="shared" si="14"/>
        <v>#VALUE!</v>
      </c>
      <c r="AW71" s="1" t="e">
        <f t="shared" si="15"/>
        <v>#VALUE!</v>
      </c>
    </row>
    <row r="72" spans="1:49" x14ac:dyDescent="0.2">
      <c r="A72">
        <v>70</v>
      </c>
      <c r="B72" t="s">
        <v>2171</v>
      </c>
      <c r="F72" t="s">
        <v>2170</v>
      </c>
      <c r="G72" t="s">
        <v>4</v>
      </c>
      <c r="H72" t="s">
        <v>3</v>
      </c>
      <c r="I72" t="s">
        <v>2169</v>
      </c>
      <c r="N72">
        <v>2</v>
      </c>
      <c r="O72" t="s">
        <v>2168</v>
      </c>
      <c r="P72" t="s">
        <v>2167</v>
      </c>
      <c r="Q72" t="s">
        <v>12</v>
      </c>
      <c r="R72" s="7">
        <v>33208</v>
      </c>
      <c r="S72" s="8">
        <f t="shared" si="8"/>
        <v>1990</v>
      </c>
      <c r="T72" s="8">
        <v>1990</v>
      </c>
      <c r="U72" s="8">
        <f t="shared" si="9"/>
        <v>32</v>
      </c>
      <c r="V72" s="7">
        <v>1990</v>
      </c>
      <c r="W72" t="s">
        <v>44</v>
      </c>
      <c r="X72" s="2" t="s">
        <v>13</v>
      </c>
      <c r="Y72" s="6" t="e">
        <f t="shared" si="10"/>
        <v>#VALUE!</v>
      </c>
      <c r="AA72">
        <v>87566648</v>
      </c>
      <c r="AB72">
        <v>74127</v>
      </c>
      <c r="AD72" t="s">
        <v>1</v>
      </c>
      <c r="AE72">
        <v>35</v>
      </c>
      <c r="AF72">
        <v>14</v>
      </c>
      <c r="AH72" t="s">
        <v>2166</v>
      </c>
      <c r="AI72" t="s">
        <v>2165</v>
      </c>
      <c r="AK72" t="s">
        <v>2164</v>
      </c>
      <c r="AL72">
        <v>2</v>
      </c>
      <c r="AM72" s="5">
        <f t="shared" si="11"/>
        <v>6.25E-2</v>
      </c>
      <c r="AN72" s="4">
        <f t="shared" si="12"/>
        <v>9.46611132146914E-5</v>
      </c>
      <c r="AO72" s="3"/>
      <c r="AP72">
        <v>0</v>
      </c>
      <c r="AR72" t="s">
        <v>0</v>
      </c>
      <c r="AT72" s="2" t="s">
        <v>13</v>
      </c>
      <c r="AU72" s="1" t="e">
        <f t="shared" si="13"/>
        <v>#VALUE!</v>
      </c>
      <c r="AV72" s="1" t="e">
        <f t="shared" si="14"/>
        <v>#VALUE!</v>
      </c>
      <c r="AW72" s="1" t="e">
        <f t="shared" si="15"/>
        <v>#VALUE!</v>
      </c>
    </row>
    <row r="73" spans="1:49" x14ac:dyDescent="0.2">
      <c r="A73">
        <v>71</v>
      </c>
      <c r="B73" t="s">
        <v>2163</v>
      </c>
      <c r="F73" t="s">
        <v>2162</v>
      </c>
      <c r="G73" t="s">
        <v>4</v>
      </c>
      <c r="H73" t="s">
        <v>3</v>
      </c>
      <c r="I73" t="s">
        <v>2161</v>
      </c>
      <c r="N73">
        <v>2</v>
      </c>
      <c r="O73" t="s">
        <v>2160</v>
      </c>
      <c r="P73" t="s">
        <v>2159</v>
      </c>
      <c r="Q73" t="s">
        <v>12</v>
      </c>
      <c r="R73" s="7">
        <v>33208</v>
      </c>
      <c r="S73" s="8">
        <f t="shared" si="8"/>
        <v>1990</v>
      </c>
      <c r="T73" s="8">
        <v>1990</v>
      </c>
      <c r="U73" s="8">
        <f t="shared" si="9"/>
        <v>32</v>
      </c>
      <c r="V73" s="7">
        <v>1990</v>
      </c>
      <c r="W73" t="s">
        <v>44</v>
      </c>
      <c r="X73" s="2" t="s">
        <v>13</v>
      </c>
      <c r="Y73" s="6" t="e">
        <f t="shared" si="10"/>
        <v>#VALUE!</v>
      </c>
      <c r="AA73">
        <v>87566648</v>
      </c>
      <c r="AB73">
        <v>74127</v>
      </c>
      <c r="AD73" t="s">
        <v>1</v>
      </c>
      <c r="AE73">
        <v>35</v>
      </c>
      <c r="AF73">
        <v>12</v>
      </c>
      <c r="AH73" s="9">
        <v>44348</v>
      </c>
      <c r="AI73" t="s">
        <v>2158</v>
      </c>
      <c r="AK73" t="s">
        <v>2157</v>
      </c>
      <c r="AL73">
        <v>0</v>
      </c>
      <c r="AM73" s="5">
        <f t="shared" si="11"/>
        <v>0</v>
      </c>
      <c r="AN73" s="4">
        <f t="shared" si="12"/>
        <v>0</v>
      </c>
      <c r="AO73" s="3"/>
      <c r="AP73">
        <v>0</v>
      </c>
      <c r="AR73" t="s">
        <v>0</v>
      </c>
      <c r="AT73" s="2" t="s">
        <v>13</v>
      </c>
      <c r="AU73" s="1" t="e">
        <f t="shared" si="13"/>
        <v>#VALUE!</v>
      </c>
      <c r="AV73" s="1" t="e">
        <f t="shared" si="14"/>
        <v>#VALUE!</v>
      </c>
      <c r="AW73" s="1" t="e">
        <f t="shared" si="15"/>
        <v>#VALUE!</v>
      </c>
    </row>
    <row r="74" spans="1:49" x14ac:dyDescent="0.2">
      <c r="A74">
        <v>72</v>
      </c>
      <c r="B74" t="s">
        <v>2156</v>
      </c>
      <c r="F74" t="s">
        <v>2155</v>
      </c>
      <c r="G74" t="s">
        <v>4</v>
      </c>
      <c r="H74" t="s">
        <v>3</v>
      </c>
      <c r="I74" t="s">
        <v>2154</v>
      </c>
      <c r="N74">
        <v>3</v>
      </c>
      <c r="O74" t="s">
        <v>2153</v>
      </c>
      <c r="P74" t="s">
        <v>2152</v>
      </c>
      <c r="Q74" t="s">
        <v>32</v>
      </c>
      <c r="R74" s="7">
        <v>33208</v>
      </c>
      <c r="S74" s="8">
        <f t="shared" si="8"/>
        <v>1990</v>
      </c>
      <c r="T74" s="8">
        <v>1990</v>
      </c>
      <c r="U74" s="8">
        <f t="shared" si="9"/>
        <v>32</v>
      </c>
      <c r="V74" s="7">
        <v>1990</v>
      </c>
      <c r="W74" t="s">
        <v>44</v>
      </c>
      <c r="X74" s="2" t="s">
        <v>13</v>
      </c>
      <c r="Y74" s="6" t="e">
        <f t="shared" si="10"/>
        <v>#VALUE!</v>
      </c>
      <c r="AA74">
        <v>87566648</v>
      </c>
      <c r="AB74">
        <v>74127</v>
      </c>
      <c r="AD74" t="s">
        <v>1</v>
      </c>
      <c r="AE74">
        <v>35</v>
      </c>
      <c r="AF74">
        <v>9</v>
      </c>
      <c r="AH74" s="10">
        <v>41395</v>
      </c>
      <c r="AI74" t="s">
        <v>2151</v>
      </c>
      <c r="AK74" t="s">
        <v>2150</v>
      </c>
      <c r="AL74">
        <v>0</v>
      </c>
      <c r="AM74" s="5">
        <f t="shared" si="11"/>
        <v>0</v>
      </c>
      <c r="AN74" s="4">
        <f t="shared" si="12"/>
        <v>0</v>
      </c>
      <c r="AO74" s="3"/>
      <c r="AP74">
        <v>0</v>
      </c>
      <c r="AR74" t="s">
        <v>0</v>
      </c>
      <c r="AT74" s="2" t="s">
        <v>13</v>
      </c>
      <c r="AU74" s="1" t="e">
        <f t="shared" si="13"/>
        <v>#VALUE!</v>
      </c>
      <c r="AV74" s="1" t="e">
        <f t="shared" si="14"/>
        <v>#VALUE!</v>
      </c>
      <c r="AW74" s="1" t="e">
        <f t="shared" si="15"/>
        <v>#VALUE!</v>
      </c>
    </row>
    <row r="75" spans="1:49" x14ac:dyDescent="0.2">
      <c r="A75">
        <v>73</v>
      </c>
      <c r="B75" t="s">
        <v>2149</v>
      </c>
      <c r="F75" t="s">
        <v>2148</v>
      </c>
      <c r="G75" t="s">
        <v>4</v>
      </c>
      <c r="H75" t="s">
        <v>3</v>
      </c>
      <c r="I75" t="s">
        <v>2147</v>
      </c>
      <c r="N75">
        <v>2</v>
      </c>
      <c r="O75" t="s">
        <v>2146</v>
      </c>
      <c r="P75" t="s">
        <v>2145</v>
      </c>
      <c r="Q75" t="s">
        <v>12</v>
      </c>
      <c r="R75" s="7">
        <v>33208</v>
      </c>
      <c r="S75" s="8">
        <f t="shared" si="8"/>
        <v>1990</v>
      </c>
      <c r="T75" s="8">
        <v>1990</v>
      </c>
      <c r="U75" s="8">
        <f t="shared" si="9"/>
        <v>32</v>
      </c>
      <c r="V75" s="7">
        <v>1990</v>
      </c>
      <c r="W75" t="s">
        <v>44</v>
      </c>
      <c r="X75" s="2" t="s">
        <v>13</v>
      </c>
      <c r="Y75" s="6" t="e">
        <f t="shared" si="10"/>
        <v>#VALUE!</v>
      </c>
      <c r="AA75">
        <v>87566648</v>
      </c>
      <c r="AB75">
        <v>74127</v>
      </c>
      <c r="AD75" t="s">
        <v>1</v>
      </c>
      <c r="AE75">
        <v>35</v>
      </c>
      <c r="AF75">
        <v>12</v>
      </c>
      <c r="AH75" t="s">
        <v>2144</v>
      </c>
      <c r="AI75" t="s">
        <v>2143</v>
      </c>
      <c r="AK75" t="s">
        <v>2142</v>
      </c>
      <c r="AL75">
        <v>0</v>
      </c>
      <c r="AM75" s="5">
        <f t="shared" si="11"/>
        <v>0</v>
      </c>
      <c r="AN75" s="4">
        <f t="shared" si="12"/>
        <v>0</v>
      </c>
      <c r="AO75" s="3"/>
      <c r="AP75">
        <v>0</v>
      </c>
      <c r="AR75" t="s">
        <v>0</v>
      </c>
      <c r="AT75" s="2" t="s">
        <v>13</v>
      </c>
      <c r="AU75" s="1" t="e">
        <f t="shared" si="13"/>
        <v>#VALUE!</v>
      </c>
      <c r="AV75" s="1" t="e">
        <f t="shared" si="14"/>
        <v>#VALUE!</v>
      </c>
      <c r="AW75" s="1" t="e">
        <f t="shared" si="15"/>
        <v>#VALUE!</v>
      </c>
    </row>
    <row r="76" spans="1:49" x14ac:dyDescent="0.2">
      <c r="A76">
        <v>74</v>
      </c>
      <c r="B76" t="s">
        <v>2141</v>
      </c>
      <c r="F76" t="s">
        <v>2140</v>
      </c>
      <c r="G76" t="s">
        <v>4</v>
      </c>
      <c r="H76" t="s">
        <v>3</v>
      </c>
      <c r="I76" t="s">
        <v>2139</v>
      </c>
      <c r="N76">
        <v>3</v>
      </c>
      <c r="O76" t="s">
        <v>2138</v>
      </c>
      <c r="P76" t="s">
        <v>2137</v>
      </c>
      <c r="Q76" t="s">
        <v>32</v>
      </c>
      <c r="R76" s="7">
        <v>33208</v>
      </c>
      <c r="S76" s="8">
        <f t="shared" si="8"/>
        <v>1990</v>
      </c>
      <c r="T76" s="8">
        <v>1990</v>
      </c>
      <c r="U76" s="8">
        <f t="shared" si="9"/>
        <v>32</v>
      </c>
      <c r="V76" s="7">
        <v>1990</v>
      </c>
      <c r="W76" t="s">
        <v>44</v>
      </c>
      <c r="X76" s="2" t="s">
        <v>13</v>
      </c>
      <c r="Y76" s="6" t="e">
        <f t="shared" si="10"/>
        <v>#VALUE!</v>
      </c>
      <c r="AA76">
        <v>87566648</v>
      </c>
      <c r="AB76">
        <v>74127</v>
      </c>
      <c r="AD76" t="s">
        <v>1</v>
      </c>
      <c r="AE76">
        <v>35</v>
      </c>
      <c r="AF76">
        <v>11</v>
      </c>
      <c r="AH76" t="s">
        <v>2136</v>
      </c>
      <c r="AI76" t="s">
        <v>2135</v>
      </c>
      <c r="AK76" t="s">
        <v>2134</v>
      </c>
      <c r="AL76">
        <v>0</v>
      </c>
      <c r="AM76" s="5">
        <f t="shared" si="11"/>
        <v>0</v>
      </c>
      <c r="AN76" s="4">
        <f t="shared" si="12"/>
        <v>0</v>
      </c>
      <c r="AO76" s="3"/>
      <c r="AP76">
        <v>0</v>
      </c>
      <c r="AR76" t="s">
        <v>0</v>
      </c>
      <c r="AT76" s="2" t="s">
        <v>13</v>
      </c>
      <c r="AU76" s="1" t="e">
        <f t="shared" si="13"/>
        <v>#VALUE!</v>
      </c>
      <c r="AV76" s="1" t="e">
        <f t="shared" si="14"/>
        <v>#VALUE!</v>
      </c>
      <c r="AW76" s="1" t="e">
        <f t="shared" si="15"/>
        <v>#VALUE!</v>
      </c>
    </row>
    <row r="77" spans="1:49" x14ac:dyDescent="0.2">
      <c r="A77">
        <v>75</v>
      </c>
      <c r="B77" t="s">
        <v>2133</v>
      </c>
      <c r="F77" t="s">
        <v>2132</v>
      </c>
      <c r="G77" t="s">
        <v>4</v>
      </c>
      <c r="H77" t="s">
        <v>3</v>
      </c>
      <c r="I77" t="s">
        <v>2131</v>
      </c>
      <c r="N77">
        <v>1</v>
      </c>
      <c r="O77" t="s">
        <v>2130</v>
      </c>
      <c r="P77">
        <v>6603869177</v>
      </c>
      <c r="R77" s="7">
        <v>33208</v>
      </c>
      <c r="S77" s="8">
        <f t="shared" si="8"/>
        <v>1990</v>
      </c>
      <c r="T77" s="8">
        <v>1990</v>
      </c>
      <c r="U77" s="8">
        <f t="shared" si="9"/>
        <v>32</v>
      </c>
      <c r="V77" s="7">
        <v>1990</v>
      </c>
      <c r="W77" t="s">
        <v>44</v>
      </c>
      <c r="X77" s="2" t="s">
        <v>13</v>
      </c>
      <c r="Y77" s="6" t="e">
        <f t="shared" si="10"/>
        <v>#VALUE!</v>
      </c>
      <c r="AA77">
        <v>87566648</v>
      </c>
      <c r="AB77">
        <v>74127</v>
      </c>
      <c r="AD77" t="s">
        <v>1</v>
      </c>
      <c r="AE77">
        <v>35</v>
      </c>
      <c r="AF77">
        <v>10</v>
      </c>
      <c r="AH77" t="s">
        <v>2129</v>
      </c>
      <c r="AI77" t="s">
        <v>2128</v>
      </c>
      <c r="AK77" t="s">
        <v>2127</v>
      </c>
      <c r="AL77">
        <v>1</v>
      </c>
      <c r="AM77" s="5">
        <f t="shared" si="11"/>
        <v>3.125E-2</v>
      </c>
      <c r="AN77" s="4">
        <f t="shared" si="12"/>
        <v>4.73305566073457E-5</v>
      </c>
      <c r="AO77" s="3"/>
      <c r="AP77">
        <v>0</v>
      </c>
      <c r="AR77" t="s">
        <v>0</v>
      </c>
      <c r="AT77" s="2" t="s">
        <v>13</v>
      </c>
      <c r="AU77" s="1" t="e">
        <f t="shared" si="13"/>
        <v>#VALUE!</v>
      </c>
      <c r="AV77" s="1" t="e">
        <f t="shared" si="14"/>
        <v>#VALUE!</v>
      </c>
      <c r="AW77" s="1" t="e">
        <f t="shared" si="15"/>
        <v>#VALUE!</v>
      </c>
    </row>
    <row r="78" spans="1:49" x14ac:dyDescent="0.2">
      <c r="A78">
        <v>76</v>
      </c>
      <c r="B78" t="s">
        <v>2126</v>
      </c>
      <c r="F78" t="s">
        <v>2125</v>
      </c>
      <c r="G78" t="s">
        <v>4</v>
      </c>
      <c r="H78" t="s">
        <v>3</v>
      </c>
      <c r="I78" t="s">
        <v>2124</v>
      </c>
      <c r="N78">
        <v>1</v>
      </c>
      <c r="O78" t="s">
        <v>2123</v>
      </c>
      <c r="P78">
        <v>6601974180</v>
      </c>
      <c r="R78" s="7">
        <v>33208</v>
      </c>
      <c r="S78" s="8">
        <f t="shared" si="8"/>
        <v>1990</v>
      </c>
      <c r="T78" s="8">
        <v>1990</v>
      </c>
      <c r="U78" s="8">
        <f t="shared" si="9"/>
        <v>32</v>
      </c>
      <c r="V78" s="7">
        <v>1990</v>
      </c>
      <c r="W78" t="s">
        <v>44</v>
      </c>
      <c r="X78" s="2" t="s">
        <v>13</v>
      </c>
      <c r="Y78" s="6" t="e">
        <f t="shared" si="10"/>
        <v>#VALUE!</v>
      </c>
      <c r="AA78">
        <v>87566648</v>
      </c>
      <c r="AB78">
        <v>74127</v>
      </c>
      <c r="AD78" t="s">
        <v>1</v>
      </c>
      <c r="AE78">
        <v>35</v>
      </c>
      <c r="AF78">
        <v>15</v>
      </c>
      <c r="AH78" t="s">
        <v>2122</v>
      </c>
      <c r="AI78" t="s">
        <v>2121</v>
      </c>
      <c r="AK78" t="s">
        <v>2120</v>
      </c>
      <c r="AL78">
        <v>0</v>
      </c>
      <c r="AM78" s="5">
        <f t="shared" si="11"/>
        <v>0</v>
      </c>
      <c r="AN78" s="4">
        <f t="shared" si="12"/>
        <v>0</v>
      </c>
      <c r="AO78" s="3"/>
      <c r="AP78">
        <v>0</v>
      </c>
      <c r="AR78" t="s">
        <v>0</v>
      </c>
      <c r="AT78" s="2" t="s">
        <v>13</v>
      </c>
      <c r="AU78" s="1" t="e">
        <f t="shared" si="13"/>
        <v>#VALUE!</v>
      </c>
      <c r="AV78" s="1" t="e">
        <f t="shared" si="14"/>
        <v>#VALUE!</v>
      </c>
      <c r="AW78" s="1" t="e">
        <f t="shared" si="15"/>
        <v>#VALUE!</v>
      </c>
    </row>
    <row r="79" spans="1:49" x14ac:dyDescent="0.2">
      <c r="A79">
        <v>77</v>
      </c>
      <c r="B79" t="s">
        <v>2119</v>
      </c>
      <c r="F79" t="s">
        <v>2118</v>
      </c>
      <c r="G79" t="s">
        <v>4</v>
      </c>
      <c r="H79" t="s">
        <v>3</v>
      </c>
      <c r="I79" t="s">
        <v>2117</v>
      </c>
      <c r="N79">
        <v>4</v>
      </c>
      <c r="O79" t="s">
        <v>2116</v>
      </c>
      <c r="P79" t="s">
        <v>2115</v>
      </c>
      <c r="Q79" t="s">
        <v>26</v>
      </c>
      <c r="R79" s="7">
        <v>33208</v>
      </c>
      <c r="S79" s="8">
        <f t="shared" si="8"/>
        <v>1990</v>
      </c>
      <c r="T79" s="8">
        <v>1990</v>
      </c>
      <c r="U79" s="8">
        <f t="shared" si="9"/>
        <v>32</v>
      </c>
      <c r="V79" s="7">
        <v>1990</v>
      </c>
      <c r="W79" t="s">
        <v>44</v>
      </c>
      <c r="X79" s="2" t="s">
        <v>13</v>
      </c>
      <c r="Y79" s="6" t="e">
        <f t="shared" si="10"/>
        <v>#VALUE!</v>
      </c>
      <c r="AA79">
        <v>87566648</v>
      </c>
      <c r="AB79">
        <v>74127</v>
      </c>
      <c r="AD79" t="s">
        <v>1</v>
      </c>
      <c r="AE79">
        <v>35</v>
      </c>
      <c r="AF79">
        <v>10</v>
      </c>
      <c r="AH79" t="s">
        <v>2114</v>
      </c>
      <c r="AI79" t="s">
        <v>2113</v>
      </c>
      <c r="AK79" t="s">
        <v>2112</v>
      </c>
      <c r="AL79">
        <v>0</v>
      </c>
      <c r="AM79" s="5">
        <f t="shared" si="11"/>
        <v>0</v>
      </c>
      <c r="AN79" s="4">
        <f t="shared" si="12"/>
        <v>0</v>
      </c>
      <c r="AO79" s="3"/>
      <c r="AP79">
        <v>0</v>
      </c>
      <c r="AR79" t="s">
        <v>0</v>
      </c>
      <c r="AT79" s="2" t="s">
        <v>13</v>
      </c>
      <c r="AU79" s="1" t="e">
        <f t="shared" si="13"/>
        <v>#VALUE!</v>
      </c>
      <c r="AV79" s="1" t="e">
        <f t="shared" si="14"/>
        <v>#VALUE!</v>
      </c>
      <c r="AW79" s="1" t="e">
        <f t="shared" si="15"/>
        <v>#VALUE!</v>
      </c>
    </row>
    <row r="80" spans="1:49" x14ac:dyDescent="0.2">
      <c r="A80">
        <v>78</v>
      </c>
      <c r="B80" t="s">
        <v>2111</v>
      </c>
      <c r="F80" t="s">
        <v>2110</v>
      </c>
      <c r="G80" t="s">
        <v>4</v>
      </c>
      <c r="H80" t="s">
        <v>3</v>
      </c>
      <c r="I80" t="s">
        <v>2109</v>
      </c>
      <c r="J80">
        <v>60058524</v>
      </c>
      <c r="K80" t="s">
        <v>2108</v>
      </c>
      <c r="L80" t="s">
        <v>156</v>
      </c>
      <c r="M80" t="s">
        <v>102</v>
      </c>
      <c r="N80">
        <v>1</v>
      </c>
      <c r="O80" t="s">
        <v>2107</v>
      </c>
      <c r="P80">
        <v>6505838856</v>
      </c>
      <c r="Q80">
        <v>60058524</v>
      </c>
      <c r="R80" s="7">
        <v>33208</v>
      </c>
      <c r="S80" s="8">
        <f t="shared" si="8"/>
        <v>1990</v>
      </c>
      <c r="T80" s="8">
        <v>1990</v>
      </c>
      <c r="U80" s="8">
        <f t="shared" si="9"/>
        <v>32</v>
      </c>
      <c r="V80" s="7">
        <v>1990</v>
      </c>
      <c r="W80" t="s">
        <v>2106</v>
      </c>
      <c r="X80" s="2" t="s">
        <v>13</v>
      </c>
      <c r="Y80" s="6" t="e">
        <f t="shared" si="10"/>
        <v>#VALUE!</v>
      </c>
      <c r="AA80">
        <v>8929270</v>
      </c>
      <c r="AB80">
        <v>30115</v>
      </c>
      <c r="AD80" t="s">
        <v>1</v>
      </c>
      <c r="AE80">
        <v>10</v>
      </c>
      <c r="AF80">
        <v>3</v>
      </c>
      <c r="AH80" t="s">
        <v>555</v>
      </c>
      <c r="AI80" t="s">
        <v>2105</v>
      </c>
      <c r="AK80" t="s">
        <v>2104</v>
      </c>
      <c r="AL80">
        <v>0</v>
      </c>
      <c r="AM80" s="5">
        <f t="shared" si="11"/>
        <v>0</v>
      </c>
      <c r="AN80" s="4">
        <f t="shared" si="12"/>
        <v>0</v>
      </c>
      <c r="AO80" s="3"/>
      <c r="AP80">
        <v>0</v>
      </c>
      <c r="AR80" t="s">
        <v>0</v>
      </c>
      <c r="AT80" s="2" t="s">
        <v>13</v>
      </c>
      <c r="AU80" s="1" t="e">
        <f t="shared" si="13"/>
        <v>#VALUE!</v>
      </c>
      <c r="AV80" s="1" t="e">
        <f t="shared" si="14"/>
        <v>#VALUE!</v>
      </c>
      <c r="AW80" s="1" t="e">
        <f t="shared" si="15"/>
        <v>#VALUE!</v>
      </c>
    </row>
    <row r="81" spans="1:49" x14ac:dyDescent="0.2">
      <c r="A81">
        <v>79</v>
      </c>
      <c r="B81" t="s">
        <v>2103</v>
      </c>
      <c r="F81" t="s">
        <v>2102</v>
      </c>
      <c r="G81" t="s">
        <v>4</v>
      </c>
      <c r="H81" t="s">
        <v>3</v>
      </c>
      <c r="I81" t="s">
        <v>2101</v>
      </c>
      <c r="J81">
        <v>105719998</v>
      </c>
      <c r="K81" t="s">
        <v>2100</v>
      </c>
      <c r="L81" t="s">
        <v>2099</v>
      </c>
      <c r="M81" t="s">
        <v>22</v>
      </c>
      <c r="N81">
        <v>5</v>
      </c>
      <c r="O81" t="s">
        <v>2098</v>
      </c>
      <c r="P81" t="s">
        <v>2097</v>
      </c>
      <c r="Q81" t="s">
        <v>2096</v>
      </c>
      <c r="R81" s="7">
        <v>33208</v>
      </c>
      <c r="S81" s="8">
        <f t="shared" si="8"/>
        <v>1990</v>
      </c>
      <c r="T81" s="8">
        <v>1990</v>
      </c>
      <c r="U81" s="8">
        <f t="shared" si="9"/>
        <v>32</v>
      </c>
      <c r="V81" s="7">
        <v>1990</v>
      </c>
      <c r="W81" t="s">
        <v>2095</v>
      </c>
      <c r="X81" s="2" t="s">
        <v>13</v>
      </c>
      <c r="Y81" s="6" t="e">
        <f t="shared" si="10"/>
        <v>#VALUE!</v>
      </c>
      <c r="AA81">
        <v>3792285</v>
      </c>
      <c r="AB81">
        <v>34899</v>
      </c>
      <c r="AD81" t="s">
        <v>1</v>
      </c>
      <c r="AE81">
        <v>14</v>
      </c>
      <c r="AF81">
        <v>2</v>
      </c>
      <c r="AH81" t="s">
        <v>2094</v>
      </c>
      <c r="AI81" t="s">
        <v>2093</v>
      </c>
      <c r="AK81" t="s">
        <v>2092</v>
      </c>
      <c r="AL81">
        <v>2</v>
      </c>
      <c r="AM81" s="5">
        <f t="shared" si="11"/>
        <v>6.25E-2</v>
      </c>
      <c r="AN81" s="4">
        <f t="shared" si="12"/>
        <v>9.46611132146914E-5</v>
      </c>
      <c r="AO81" s="3"/>
      <c r="AP81">
        <v>0</v>
      </c>
      <c r="AR81" t="s">
        <v>0</v>
      </c>
      <c r="AT81" s="2" t="s">
        <v>13</v>
      </c>
      <c r="AU81" s="1" t="e">
        <f t="shared" si="13"/>
        <v>#VALUE!</v>
      </c>
      <c r="AV81" s="1" t="e">
        <f t="shared" si="14"/>
        <v>#VALUE!</v>
      </c>
      <c r="AW81" s="1" t="e">
        <f t="shared" si="15"/>
        <v>#VALUE!</v>
      </c>
    </row>
    <row r="82" spans="1:49" x14ac:dyDescent="0.2">
      <c r="A82">
        <v>80</v>
      </c>
      <c r="B82" t="s">
        <v>2091</v>
      </c>
      <c r="C82" t="s">
        <v>2090</v>
      </c>
      <c r="F82" t="s">
        <v>2089</v>
      </c>
      <c r="G82" t="s">
        <v>4</v>
      </c>
      <c r="H82" t="s">
        <v>3</v>
      </c>
      <c r="I82" t="s">
        <v>2088</v>
      </c>
      <c r="J82">
        <v>60015623</v>
      </c>
      <c r="K82" t="s">
        <v>54</v>
      </c>
      <c r="L82" t="s">
        <v>53</v>
      </c>
      <c r="M82" t="s">
        <v>19</v>
      </c>
      <c r="N82">
        <v>4</v>
      </c>
      <c r="O82" t="s">
        <v>2087</v>
      </c>
      <c r="P82" t="s">
        <v>2086</v>
      </c>
      <c r="Q82" t="s">
        <v>2085</v>
      </c>
      <c r="R82" s="7">
        <v>33208</v>
      </c>
      <c r="S82" s="8">
        <f t="shared" si="8"/>
        <v>1990</v>
      </c>
      <c r="T82" s="8">
        <v>1990</v>
      </c>
      <c r="U82" s="8">
        <f t="shared" si="9"/>
        <v>32</v>
      </c>
      <c r="V82" s="7">
        <v>33208</v>
      </c>
      <c r="W82" t="s">
        <v>83</v>
      </c>
      <c r="X82" s="2">
        <v>1.3720000000000001</v>
      </c>
      <c r="Y82" s="6">
        <f t="shared" si="10"/>
        <v>3.662475641333654E-2</v>
      </c>
      <c r="AA82">
        <v>189480</v>
      </c>
      <c r="AB82">
        <v>17366</v>
      </c>
      <c r="AD82" t="s">
        <v>1</v>
      </c>
      <c r="AE82">
        <v>38</v>
      </c>
      <c r="AF82">
        <v>12</v>
      </c>
      <c r="AH82" t="s">
        <v>2084</v>
      </c>
      <c r="AI82" t="s">
        <v>2083</v>
      </c>
      <c r="AK82" t="s">
        <v>2082</v>
      </c>
      <c r="AL82">
        <v>2</v>
      </c>
      <c r="AM82" s="5">
        <f t="shared" si="11"/>
        <v>6.25E-2</v>
      </c>
      <c r="AN82" s="4">
        <f t="shared" si="12"/>
        <v>9.46611132146914E-5</v>
      </c>
      <c r="AO82" s="3"/>
      <c r="AP82">
        <v>0</v>
      </c>
      <c r="AQ82" t="s">
        <v>2081</v>
      </c>
      <c r="AR82" t="s">
        <v>2080</v>
      </c>
      <c r="AS82" t="s">
        <v>2079</v>
      </c>
      <c r="AT82" s="2" t="s">
        <v>13</v>
      </c>
      <c r="AU82" s="1">
        <f t="shared" si="13"/>
        <v>2.5665727823299984</v>
      </c>
      <c r="AV82" s="1">
        <f t="shared" si="14"/>
        <v>1.8359708763275615</v>
      </c>
      <c r="AW82" s="1">
        <f t="shared" si="15"/>
        <v>1.1053689703251246</v>
      </c>
    </row>
    <row r="83" spans="1:49" x14ac:dyDescent="0.2">
      <c r="A83">
        <v>81</v>
      </c>
      <c r="B83" t="s">
        <v>2078</v>
      </c>
      <c r="F83" t="s">
        <v>2077</v>
      </c>
      <c r="G83" t="s">
        <v>4</v>
      </c>
      <c r="H83" t="s">
        <v>3</v>
      </c>
      <c r="I83" t="s">
        <v>2076</v>
      </c>
      <c r="N83">
        <v>2</v>
      </c>
      <c r="O83" t="s">
        <v>2075</v>
      </c>
      <c r="P83" t="s">
        <v>2074</v>
      </c>
      <c r="Q83" t="s">
        <v>12</v>
      </c>
      <c r="R83" s="7">
        <v>33208</v>
      </c>
      <c r="S83" s="8">
        <f t="shared" si="8"/>
        <v>1990</v>
      </c>
      <c r="T83" s="8">
        <v>1990</v>
      </c>
      <c r="U83" s="8">
        <f t="shared" si="9"/>
        <v>32</v>
      </c>
      <c r="V83" s="7">
        <v>1990</v>
      </c>
      <c r="W83" t="s">
        <v>44</v>
      </c>
      <c r="X83" s="2" t="s">
        <v>13</v>
      </c>
      <c r="Y83" s="6" t="e">
        <f t="shared" si="10"/>
        <v>#VALUE!</v>
      </c>
      <c r="AA83">
        <v>87566648</v>
      </c>
      <c r="AB83">
        <v>74127</v>
      </c>
      <c r="AD83" t="s">
        <v>1</v>
      </c>
      <c r="AE83">
        <v>35</v>
      </c>
      <c r="AF83">
        <v>11</v>
      </c>
      <c r="AH83" t="s">
        <v>240</v>
      </c>
      <c r="AI83" t="s">
        <v>2073</v>
      </c>
      <c r="AK83" t="s">
        <v>2072</v>
      </c>
      <c r="AL83">
        <v>0</v>
      </c>
      <c r="AM83" s="5">
        <f t="shared" si="11"/>
        <v>0</v>
      </c>
      <c r="AN83" s="4">
        <f t="shared" si="12"/>
        <v>0</v>
      </c>
      <c r="AO83" s="3"/>
      <c r="AP83">
        <v>0</v>
      </c>
      <c r="AR83" t="s">
        <v>0</v>
      </c>
      <c r="AT83" s="2" t="s">
        <v>13</v>
      </c>
      <c r="AU83" s="1" t="e">
        <f t="shared" si="13"/>
        <v>#VALUE!</v>
      </c>
      <c r="AV83" s="1" t="e">
        <f t="shared" si="14"/>
        <v>#VALUE!</v>
      </c>
      <c r="AW83" s="1" t="e">
        <f t="shared" si="15"/>
        <v>#VALUE!</v>
      </c>
    </row>
    <row r="84" spans="1:49" x14ac:dyDescent="0.2">
      <c r="A84">
        <v>82</v>
      </c>
      <c r="B84" t="s">
        <v>2071</v>
      </c>
      <c r="F84" t="s">
        <v>2070</v>
      </c>
      <c r="G84" t="s">
        <v>4</v>
      </c>
      <c r="H84" t="s">
        <v>3</v>
      </c>
      <c r="I84" t="s">
        <v>2069</v>
      </c>
      <c r="N84">
        <v>3</v>
      </c>
      <c r="O84" t="s">
        <v>2068</v>
      </c>
      <c r="P84" t="s">
        <v>2067</v>
      </c>
      <c r="Q84" t="s">
        <v>32</v>
      </c>
      <c r="R84" s="7">
        <v>33208</v>
      </c>
      <c r="S84" s="8">
        <f t="shared" si="8"/>
        <v>1990</v>
      </c>
      <c r="T84" s="8">
        <v>1990</v>
      </c>
      <c r="U84" s="8">
        <f t="shared" si="9"/>
        <v>32</v>
      </c>
      <c r="V84" s="7">
        <v>1990</v>
      </c>
      <c r="W84" t="s">
        <v>44</v>
      </c>
      <c r="X84" s="2" t="s">
        <v>13</v>
      </c>
      <c r="Y84" s="6" t="e">
        <f t="shared" si="10"/>
        <v>#VALUE!</v>
      </c>
      <c r="AA84">
        <v>87566648</v>
      </c>
      <c r="AB84">
        <v>74127</v>
      </c>
      <c r="AD84" t="s">
        <v>1</v>
      </c>
      <c r="AE84">
        <v>35</v>
      </c>
      <c r="AF84">
        <v>9</v>
      </c>
      <c r="AH84" t="s">
        <v>2066</v>
      </c>
      <c r="AI84" t="s">
        <v>2065</v>
      </c>
      <c r="AK84" t="s">
        <v>2064</v>
      </c>
      <c r="AL84">
        <v>0</v>
      </c>
      <c r="AM84" s="5">
        <f t="shared" si="11"/>
        <v>0</v>
      </c>
      <c r="AN84" s="4">
        <f t="shared" si="12"/>
        <v>0</v>
      </c>
      <c r="AO84" s="3"/>
      <c r="AP84">
        <v>0</v>
      </c>
      <c r="AR84" t="s">
        <v>0</v>
      </c>
      <c r="AT84" s="2" t="s">
        <v>13</v>
      </c>
      <c r="AU84" s="1" t="e">
        <f t="shared" si="13"/>
        <v>#VALUE!</v>
      </c>
      <c r="AV84" s="1" t="e">
        <f t="shared" si="14"/>
        <v>#VALUE!</v>
      </c>
      <c r="AW84" s="1" t="e">
        <f t="shared" si="15"/>
        <v>#VALUE!</v>
      </c>
    </row>
    <row r="85" spans="1:49" x14ac:dyDescent="0.2">
      <c r="A85">
        <v>83</v>
      </c>
      <c r="B85" t="s">
        <v>2063</v>
      </c>
      <c r="F85" t="s">
        <v>2062</v>
      </c>
      <c r="G85" t="s">
        <v>4</v>
      </c>
      <c r="H85" t="s">
        <v>3</v>
      </c>
      <c r="I85" t="s">
        <v>2061</v>
      </c>
      <c r="N85">
        <v>3</v>
      </c>
      <c r="O85" t="s">
        <v>2060</v>
      </c>
      <c r="P85" t="s">
        <v>2059</v>
      </c>
      <c r="Q85" t="s">
        <v>32</v>
      </c>
      <c r="R85" s="7">
        <v>33208</v>
      </c>
      <c r="S85" s="8">
        <f t="shared" si="8"/>
        <v>1990</v>
      </c>
      <c r="T85" s="8">
        <v>1990</v>
      </c>
      <c r="U85" s="8">
        <f t="shared" si="9"/>
        <v>32</v>
      </c>
      <c r="V85" s="7">
        <v>1990</v>
      </c>
      <c r="W85" t="s">
        <v>44</v>
      </c>
      <c r="X85" s="2" t="s">
        <v>13</v>
      </c>
      <c r="Y85" s="6" t="e">
        <f t="shared" si="10"/>
        <v>#VALUE!</v>
      </c>
      <c r="AA85">
        <v>87566648</v>
      </c>
      <c r="AB85">
        <v>74127</v>
      </c>
      <c r="AD85" t="s">
        <v>1</v>
      </c>
      <c r="AE85">
        <v>35</v>
      </c>
      <c r="AF85">
        <v>13</v>
      </c>
      <c r="AH85" t="s">
        <v>254</v>
      </c>
      <c r="AI85" t="s">
        <v>2058</v>
      </c>
      <c r="AK85" t="s">
        <v>2057</v>
      </c>
      <c r="AL85">
        <v>0</v>
      </c>
      <c r="AM85" s="5">
        <f t="shared" si="11"/>
        <v>0</v>
      </c>
      <c r="AN85" s="4">
        <f t="shared" si="12"/>
        <v>0</v>
      </c>
      <c r="AO85" s="3"/>
      <c r="AP85">
        <v>0</v>
      </c>
      <c r="AR85" t="s">
        <v>0</v>
      </c>
      <c r="AT85" s="2" t="s">
        <v>13</v>
      </c>
      <c r="AU85" s="1" t="e">
        <f t="shared" si="13"/>
        <v>#VALUE!</v>
      </c>
      <c r="AV85" s="1" t="e">
        <f t="shared" si="14"/>
        <v>#VALUE!</v>
      </c>
      <c r="AW85" s="1" t="e">
        <f t="shared" si="15"/>
        <v>#VALUE!</v>
      </c>
    </row>
    <row r="86" spans="1:49" x14ac:dyDescent="0.2">
      <c r="A86">
        <v>84</v>
      </c>
      <c r="B86" t="s">
        <v>2056</v>
      </c>
      <c r="F86" t="s">
        <v>2055</v>
      </c>
      <c r="G86" t="s">
        <v>4</v>
      </c>
      <c r="H86" t="s">
        <v>3</v>
      </c>
      <c r="I86" t="s">
        <v>2054</v>
      </c>
      <c r="N86">
        <v>5</v>
      </c>
      <c r="O86" t="s">
        <v>2053</v>
      </c>
      <c r="P86" t="s">
        <v>2052</v>
      </c>
      <c r="Q86" t="s">
        <v>179</v>
      </c>
      <c r="R86" s="7">
        <v>33208</v>
      </c>
      <c r="S86" s="8">
        <f t="shared" si="8"/>
        <v>1990</v>
      </c>
      <c r="T86" s="8">
        <v>1990</v>
      </c>
      <c r="U86" s="8">
        <f t="shared" si="9"/>
        <v>32</v>
      </c>
      <c r="V86" s="7">
        <v>1990</v>
      </c>
      <c r="W86" t="s">
        <v>44</v>
      </c>
      <c r="X86" s="2" t="s">
        <v>13</v>
      </c>
      <c r="Y86" s="6" t="e">
        <f t="shared" si="10"/>
        <v>#VALUE!</v>
      </c>
      <c r="AA86">
        <v>87566648</v>
      </c>
      <c r="AB86">
        <v>74127</v>
      </c>
      <c r="AD86" t="s">
        <v>1</v>
      </c>
      <c r="AE86">
        <v>35</v>
      </c>
      <c r="AF86">
        <v>16</v>
      </c>
      <c r="AH86" t="s">
        <v>2051</v>
      </c>
      <c r="AI86" t="s">
        <v>2050</v>
      </c>
      <c r="AK86" t="s">
        <v>2049</v>
      </c>
      <c r="AL86">
        <v>0</v>
      </c>
      <c r="AM86" s="5">
        <f t="shared" si="11"/>
        <v>0</v>
      </c>
      <c r="AN86" s="4">
        <f t="shared" si="12"/>
        <v>0</v>
      </c>
      <c r="AO86" s="3"/>
      <c r="AP86">
        <v>0</v>
      </c>
      <c r="AR86" t="s">
        <v>0</v>
      </c>
      <c r="AT86" s="2" t="s">
        <v>13</v>
      </c>
      <c r="AU86" s="1" t="e">
        <f t="shared" si="13"/>
        <v>#VALUE!</v>
      </c>
      <c r="AV86" s="1" t="e">
        <f t="shared" si="14"/>
        <v>#VALUE!</v>
      </c>
      <c r="AW86" s="1" t="e">
        <f t="shared" si="15"/>
        <v>#VALUE!</v>
      </c>
    </row>
    <row r="87" spans="1:49" x14ac:dyDescent="0.2">
      <c r="A87">
        <v>85</v>
      </c>
      <c r="B87" t="s">
        <v>2048</v>
      </c>
      <c r="F87" t="s">
        <v>2047</v>
      </c>
      <c r="G87" t="s">
        <v>4</v>
      </c>
      <c r="H87" t="s">
        <v>3</v>
      </c>
      <c r="I87" t="s">
        <v>2046</v>
      </c>
      <c r="N87">
        <v>5</v>
      </c>
      <c r="O87" t="s">
        <v>2045</v>
      </c>
      <c r="P87" t="s">
        <v>2044</v>
      </c>
      <c r="Q87" t="s">
        <v>179</v>
      </c>
      <c r="R87" s="7">
        <v>33208</v>
      </c>
      <c r="S87" s="8">
        <f t="shared" si="8"/>
        <v>1990</v>
      </c>
      <c r="T87" s="8">
        <v>1990</v>
      </c>
      <c r="U87" s="8">
        <f t="shared" si="9"/>
        <v>32</v>
      </c>
      <c r="V87" s="7">
        <v>1990</v>
      </c>
      <c r="W87" t="s">
        <v>44</v>
      </c>
      <c r="X87" s="2" t="s">
        <v>13</v>
      </c>
      <c r="Y87" s="6" t="e">
        <f t="shared" si="10"/>
        <v>#VALUE!</v>
      </c>
      <c r="AA87">
        <v>87566648</v>
      </c>
      <c r="AB87">
        <v>74127</v>
      </c>
      <c r="AD87" t="s">
        <v>1</v>
      </c>
      <c r="AE87">
        <v>35</v>
      </c>
      <c r="AF87">
        <v>16</v>
      </c>
      <c r="AH87" t="s">
        <v>2043</v>
      </c>
      <c r="AI87" t="s">
        <v>2042</v>
      </c>
      <c r="AK87" t="s">
        <v>2041</v>
      </c>
      <c r="AL87">
        <v>0</v>
      </c>
      <c r="AM87" s="5">
        <f t="shared" si="11"/>
        <v>0</v>
      </c>
      <c r="AN87" s="4">
        <f t="shared" si="12"/>
        <v>0</v>
      </c>
      <c r="AO87" s="3"/>
      <c r="AP87">
        <v>0</v>
      </c>
      <c r="AR87" t="s">
        <v>0</v>
      </c>
      <c r="AT87" s="2" t="s">
        <v>13</v>
      </c>
      <c r="AU87" s="1" t="e">
        <f t="shared" si="13"/>
        <v>#VALUE!</v>
      </c>
      <c r="AV87" s="1" t="e">
        <f t="shared" si="14"/>
        <v>#VALUE!</v>
      </c>
      <c r="AW87" s="1" t="e">
        <f t="shared" si="15"/>
        <v>#VALUE!</v>
      </c>
    </row>
    <row r="88" spans="1:49" x14ac:dyDescent="0.2">
      <c r="A88">
        <v>86</v>
      </c>
      <c r="B88" t="s">
        <v>2040</v>
      </c>
      <c r="F88" t="s">
        <v>2039</v>
      </c>
      <c r="G88" t="s">
        <v>4</v>
      </c>
      <c r="H88" t="s">
        <v>3</v>
      </c>
      <c r="I88" t="s">
        <v>2038</v>
      </c>
      <c r="N88">
        <v>2</v>
      </c>
      <c r="O88" t="s">
        <v>2037</v>
      </c>
      <c r="P88" t="s">
        <v>2036</v>
      </c>
      <c r="Q88" t="s">
        <v>12</v>
      </c>
      <c r="R88" s="7">
        <v>33208</v>
      </c>
      <c r="S88" s="8">
        <f t="shared" si="8"/>
        <v>1990</v>
      </c>
      <c r="T88" s="8">
        <v>1990</v>
      </c>
      <c r="U88" s="8">
        <f t="shared" si="9"/>
        <v>32</v>
      </c>
      <c r="V88" s="7">
        <v>1990</v>
      </c>
      <c r="W88" t="s">
        <v>44</v>
      </c>
      <c r="X88" s="2" t="s">
        <v>13</v>
      </c>
      <c r="Y88" s="6" t="e">
        <f t="shared" si="10"/>
        <v>#VALUE!</v>
      </c>
      <c r="AA88">
        <v>87566648</v>
      </c>
      <c r="AB88">
        <v>74127</v>
      </c>
      <c r="AD88" t="s">
        <v>1</v>
      </c>
      <c r="AE88">
        <v>35</v>
      </c>
      <c r="AF88">
        <v>14</v>
      </c>
      <c r="AH88" t="s">
        <v>2035</v>
      </c>
      <c r="AI88" t="s">
        <v>2034</v>
      </c>
      <c r="AK88" t="s">
        <v>2033</v>
      </c>
      <c r="AL88">
        <v>0</v>
      </c>
      <c r="AM88" s="5">
        <f t="shared" si="11"/>
        <v>0</v>
      </c>
      <c r="AN88" s="4">
        <f t="shared" si="12"/>
        <v>0</v>
      </c>
      <c r="AO88" s="3"/>
      <c r="AP88">
        <v>0</v>
      </c>
      <c r="AR88" t="s">
        <v>0</v>
      </c>
      <c r="AT88" s="2" t="s">
        <v>13</v>
      </c>
      <c r="AU88" s="1" t="e">
        <f t="shared" si="13"/>
        <v>#VALUE!</v>
      </c>
      <c r="AV88" s="1" t="e">
        <f t="shared" si="14"/>
        <v>#VALUE!</v>
      </c>
      <c r="AW88" s="1" t="e">
        <f t="shared" si="15"/>
        <v>#VALUE!</v>
      </c>
    </row>
    <row r="89" spans="1:49" x14ac:dyDescent="0.2">
      <c r="A89">
        <v>87</v>
      </c>
      <c r="B89" t="s">
        <v>2032</v>
      </c>
      <c r="F89" t="s">
        <v>2031</v>
      </c>
      <c r="G89" t="s">
        <v>4</v>
      </c>
      <c r="H89" t="s">
        <v>3</v>
      </c>
      <c r="I89" t="s">
        <v>2030</v>
      </c>
      <c r="N89">
        <v>2</v>
      </c>
      <c r="O89" t="s">
        <v>2029</v>
      </c>
      <c r="P89" t="s">
        <v>2028</v>
      </c>
      <c r="Q89" t="s">
        <v>12</v>
      </c>
      <c r="R89" s="7">
        <v>33208</v>
      </c>
      <c r="S89" s="8">
        <f t="shared" si="8"/>
        <v>1990</v>
      </c>
      <c r="T89" s="8">
        <v>1990</v>
      </c>
      <c r="U89" s="8">
        <f t="shared" si="9"/>
        <v>32</v>
      </c>
      <c r="V89" s="7">
        <v>1990</v>
      </c>
      <c r="W89" t="s">
        <v>44</v>
      </c>
      <c r="X89" s="2" t="s">
        <v>13</v>
      </c>
      <c r="Y89" s="6" t="e">
        <f t="shared" si="10"/>
        <v>#VALUE!</v>
      </c>
      <c r="AA89">
        <v>87566648</v>
      </c>
      <c r="AB89">
        <v>74127</v>
      </c>
      <c r="AD89" t="s">
        <v>1</v>
      </c>
      <c r="AE89">
        <v>35</v>
      </c>
      <c r="AF89">
        <v>15</v>
      </c>
      <c r="AH89" t="s">
        <v>2027</v>
      </c>
      <c r="AI89" t="s">
        <v>2026</v>
      </c>
      <c r="AK89" t="s">
        <v>2025</v>
      </c>
      <c r="AL89">
        <v>0</v>
      </c>
      <c r="AM89" s="5">
        <f t="shared" si="11"/>
        <v>0</v>
      </c>
      <c r="AN89" s="4">
        <f t="shared" si="12"/>
        <v>0</v>
      </c>
      <c r="AO89" s="3"/>
      <c r="AP89">
        <v>0</v>
      </c>
      <c r="AR89" t="s">
        <v>0</v>
      </c>
      <c r="AT89" s="2" t="s">
        <v>13</v>
      </c>
      <c r="AU89" s="1" t="e">
        <f t="shared" si="13"/>
        <v>#VALUE!</v>
      </c>
      <c r="AV89" s="1" t="e">
        <f t="shared" si="14"/>
        <v>#VALUE!</v>
      </c>
      <c r="AW89" s="1" t="e">
        <f t="shared" si="15"/>
        <v>#VALUE!</v>
      </c>
    </row>
    <row r="90" spans="1:49" x14ac:dyDescent="0.2">
      <c r="A90">
        <v>88</v>
      </c>
      <c r="B90" t="s">
        <v>2024</v>
      </c>
      <c r="F90" t="s">
        <v>2023</v>
      </c>
      <c r="G90" t="s">
        <v>4</v>
      </c>
      <c r="H90" t="s">
        <v>3</v>
      </c>
      <c r="I90" t="s">
        <v>2022</v>
      </c>
      <c r="N90">
        <v>1</v>
      </c>
      <c r="O90" t="s">
        <v>2021</v>
      </c>
      <c r="P90">
        <v>6701754789</v>
      </c>
      <c r="R90" s="7">
        <v>33208</v>
      </c>
      <c r="S90" s="8">
        <f t="shared" si="8"/>
        <v>1990</v>
      </c>
      <c r="T90" s="8">
        <v>1990</v>
      </c>
      <c r="U90" s="8">
        <f t="shared" si="9"/>
        <v>32</v>
      </c>
      <c r="V90" s="7">
        <v>33208</v>
      </c>
      <c r="W90" t="s">
        <v>2020</v>
      </c>
      <c r="X90" s="2" t="s">
        <v>13</v>
      </c>
      <c r="Y90" s="6" t="e">
        <f t="shared" si="10"/>
        <v>#VALUE!</v>
      </c>
      <c r="AA90" t="s">
        <v>270</v>
      </c>
      <c r="AB90">
        <v>35968</v>
      </c>
      <c r="AD90" t="s">
        <v>1</v>
      </c>
      <c r="AE90">
        <v>57</v>
      </c>
      <c r="AF90">
        <v>12</v>
      </c>
      <c r="AH90" t="s">
        <v>2019</v>
      </c>
      <c r="AI90" t="s">
        <v>2018</v>
      </c>
      <c r="AK90" t="s">
        <v>2017</v>
      </c>
      <c r="AL90">
        <v>1</v>
      </c>
      <c r="AM90" s="5">
        <f t="shared" si="11"/>
        <v>3.125E-2</v>
      </c>
      <c r="AN90" s="4">
        <f t="shared" si="12"/>
        <v>4.73305566073457E-5</v>
      </c>
      <c r="AO90" s="3"/>
      <c r="AP90">
        <v>0</v>
      </c>
      <c r="AR90" t="s">
        <v>0</v>
      </c>
      <c r="AT90" s="2" t="s">
        <v>13</v>
      </c>
      <c r="AU90" s="1" t="e">
        <f t="shared" si="13"/>
        <v>#VALUE!</v>
      </c>
      <c r="AV90" s="1" t="e">
        <f t="shared" si="14"/>
        <v>#VALUE!</v>
      </c>
      <c r="AW90" s="1" t="e">
        <f t="shared" si="15"/>
        <v>#VALUE!</v>
      </c>
    </row>
    <row r="91" spans="1:49" x14ac:dyDescent="0.2">
      <c r="A91">
        <v>89</v>
      </c>
      <c r="B91" t="s">
        <v>2016</v>
      </c>
      <c r="C91" t="s">
        <v>2015</v>
      </c>
      <c r="F91" t="s">
        <v>2014</v>
      </c>
      <c r="G91" t="s">
        <v>4</v>
      </c>
      <c r="H91" t="s">
        <v>3</v>
      </c>
      <c r="I91" t="s">
        <v>133</v>
      </c>
      <c r="J91">
        <v>60014313</v>
      </c>
      <c r="K91" t="s">
        <v>49</v>
      </c>
      <c r="L91" t="s">
        <v>48</v>
      </c>
      <c r="M91" t="s">
        <v>19</v>
      </c>
      <c r="N91">
        <v>1</v>
      </c>
      <c r="O91" t="s">
        <v>2013</v>
      </c>
      <c r="P91">
        <v>7006061921</v>
      </c>
      <c r="Q91">
        <v>60014313</v>
      </c>
      <c r="R91" s="7">
        <v>33208</v>
      </c>
      <c r="S91" s="8">
        <f t="shared" si="8"/>
        <v>1990</v>
      </c>
      <c r="T91" s="8">
        <v>1990</v>
      </c>
      <c r="U91" s="8">
        <f t="shared" si="9"/>
        <v>32</v>
      </c>
      <c r="V91" s="7">
        <v>33208</v>
      </c>
      <c r="W91" t="s">
        <v>101</v>
      </c>
      <c r="X91" s="2">
        <v>0.88100000000000001</v>
      </c>
      <c r="Y91" s="6">
        <f t="shared" si="10"/>
        <v>2.3517791836843653E-2</v>
      </c>
      <c r="AA91">
        <v>10459243</v>
      </c>
      <c r="AB91">
        <v>17248</v>
      </c>
      <c r="AD91" t="s">
        <v>1</v>
      </c>
      <c r="AE91">
        <v>32</v>
      </c>
      <c r="AF91">
        <v>6</v>
      </c>
      <c r="AH91" t="s">
        <v>2012</v>
      </c>
      <c r="AI91" t="s">
        <v>2011</v>
      </c>
      <c r="AK91" t="s">
        <v>2010</v>
      </c>
      <c r="AL91">
        <v>1</v>
      </c>
      <c r="AM91" s="5">
        <f t="shared" si="11"/>
        <v>3.125E-2</v>
      </c>
      <c r="AN91" s="4">
        <f t="shared" si="12"/>
        <v>4.73305566073457E-5</v>
      </c>
      <c r="AO91" s="3"/>
      <c r="AP91">
        <v>0</v>
      </c>
      <c r="AR91" t="s">
        <v>0</v>
      </c>
      <c r="AT91" s="2" t="s">
        <v>13</v>
      </c>
      <c r="AU91" s="1">
        <f t="shared" si="13"/>
        <v>1.647665345277276</v>
      </c>
      <c r="AV91" s="1">
        <f t="shared" si="14"/>
        <v>1.1782561196725498</v>
      </c>
      <c r="AW91" s="1">
        <f t="shared" si="15"/>
        <v>0.70884689406782375</v>
      </c>
    </row>
    <row r="92" spans="1:49" x14ac:dyDescent="0.2">
      <c r="A92">
        <v>90</v>
      </c>
      <c r="B92" t="s">
        <v>2009</v>
      </c>
      <c r="C92" t="s">
        <v>2008</v>
      </c>
      <c r="F92" t="s">
        <v>2007</v>
      </c>
      <c r="G92" t="s">
        <v>4</v>
      </c>
      <c r="H92" t="s">
        <v>3</v>
      </c>
      <c r="I92" t="s">
        <v>65</v>
      </c>
      <c r="J92">
        <v>60032350</v>
      </c>
      <c r="K92" t="s">
        <v>64</v>
      </c>
      <c r="L92" t="s">
        <v>17</v>
      </c>
      <c r="M92" t="s">
        <v>16</v>
      </c>
      <c r="N92">
        <v>3</v>
      </c>
      <c r="O92" t="s">
        <v>2006</v>
      </c>
      <c r="P92" t="s">
        <v>63</v>
      </c>
      <c r="Q92" t="s">
        <v>62</v>
      </c>
      <c r="R92" s="7">
        <v>33208</v>
      </c>
      <c r="S92" s="8">
        <f t="shared" si="8"/>
        <v>1990</v>
      </c>
      <c r="T92" s="8">
        <v>1990</v>
      </c>
      <c r="U92" s="8">
        <f t="shared" si="9"/>
        <v>32</v>
      </c>
      <c r="V92" s="7">
        <v>33208</v>
      </c>
      <c r="W92" t="s">
        <v>83</v>
      </c>
      <c r="X92" s="2">
        <v>1.3720000000000001</v>
      </c>
      <c r="Y92" s="6">
        <f t="shared" si="10"/>
        <v>3.662475641333654E-2</v>
      </c>
      <c r="AA92">
        <v>189480</v>
      </c>
      <c r="AB92">
        <v>17366</v>
      </c>
      <c r="AD92" t="s">
        <v>1</v>
      </c>
      <c r="AE92">
        <v>38</v>
      </c>
      <c r="AF92">
        <v>12</v>
      </c>
      <c r="AH92" t="s">
        <v>2005</v>
      </c>
      <c r="AI92" t="s">
        <v>2004</v>
      </c>
      <c r="AK92" t="s">
        <v>2003</v>
      </c>
      <c r="AL92">
        <v>79</v>
      </c>
      <c r="AM92" s="5">
        <f t="shared" si="11"/>
        <v>2.46875</v>
      </c>
      <c r="AN92" s="4">
        <f t="shared" si="12"/>
        <v>3.7391139719803105E-3</v>
      </c>
      <c r="AO92" s="3"/>
      <c r="AP92">
        <v>0</v>
      </c>
      <c r="AQ92" t="s">
        <v>2002</v>
      </c>
      <c r="AR92">
        <v>820548</v>
      </c>
      <c r="AS92" t="s">
        <v>2001</v>
      </c>
      <c r="AT92" s="2" t="s">
        <v>13</v>
      </c>
      <c r="AU92" s="1">
        <f t="shared" si="13"/>
        <v>2.6759063680929671</v>
      </c>
      <c r="AV92" s="1">
        <f t="shared" si="14"/>
        <v>2.0181935192658425</v>
      </c>
      <c r="AW92" s="1">
        <f t="shared" si="15"/>
        <v>1.360480670438718</v>
      </c>
    </row>
    <row r="93" spans="1:49" x14ac:dyDescent="0.2">
      <c r="A93">
        <v>91</v>
      </c>
      <c r="B93" t="s">
        <v>2000</v>
      </c>
      <c r="F93" t="s">
        <v>1999</v>
      </c>
      <c r="G93" t="s">
        <v>4</v>
      </c>
      <c r="H93" t="s">
        <v>3</v>
      </c>
      <c r="I93" t="s">
        <v>1998</v>
      </c>
      <c r="N93">
        <v>3</v>
      </c>
      <c r="O93" t="s">
        <v>1997</v>
      </c>
      <c r="P93" t="s">
        <v>1996</v>
      </c>
      <c r="Q93" t="s">
        <v>32</v>
      </c>
      <c r="R93" s="7">
        <v>33208</v>
      </c>
      <c r="S93" s="8">
        <f t="shared" si="8"/>
        <v>1990</v>
      </c>
      <c r="T93" s="8">
        <v>1990</v>
      </c>
      <c r="U93" s="8">
        <f t="shared" si="9"/>
        <v>32</v>
      </c>
      <c r="V93" s="7">
        <v>1990</v>
      </c>
      <c r="W93" t="s">
        <v>44</v>
      </c>
      <c r="X93" s="2" t="s">
        <v>13</v>
      </c>
      <c r="Y93" s="6" t="e">
        <f t="shared" si="10"/>
        <v>#VALUE!</v>
      </c>
      <c r="AA93">
        <v>87566648</v>
      </c>
      <c r="AB93">
        <v>74127</v>
      </c>
      <c r="AD93" t="s">
        <v>1</v>
      </c>
      <c r="AE93">
        <v>35</v>
      </c>
      <c r="AF93">
        <v>10</v>
      </c>
      <c r="AH93" t="s">
        <v>1995</v>
      </c>
      <c r="AI93" t="s">
        <v>1994</v>
      </c>
      <c r="AK93" t="s">
        <v>1993</v>
      </c>
      <c r="AL93">
        <v>0</v>
      </c>
      <c r="AM93" s="5">
        <f t="shared" si="11"/>
        <v>0</v>
      </c>
      <c r="AN93" s="4">
        <f t="shared" si="12"/>
        <v>0</v>
      </c>
      <c r="AO93" s="3"/>
      <c r="AP93">
        <v>0</v>
      </c>
      <c r="AR93" t="s">
        <v>0</v>
      </c>
      <c r="AT93" s="2" t="s">
        <v>13</v>
      </c>
      <c r="AU93" s="1" t="e">
        <f t="shared" si="13"/>
        <v>#VALUE!</v>
      </c>
      <c r="AV93" s="1" t="e">
        <f t="shared" si="14"/>
        <v>#VALUE!</v>
      </c>
      <c r="AW93" s="1" t="e">
        <f t="shared" si="15"/>
        <v>#VALUE!</v>
      </c>
    </row>
    <row r="94" spans="1:49" x14ac:dyDescent="0.2">
      <c r="A94">
        <v>92</v>
      </c>
      <c r="B94" t="s">
        <v>1992</v>
      </c>
      <c r="F94" t="s">
        <v>1991</v>
      </c>
      <c r="G94" t="s">
        <v>4</v>
      </c>
      <c r="H94" t="s">
        <v>3</v>
      </c>
      <c r="I94" t="s">
        <v>1990</v>
      </c>
      <c r="N94">
        <v>2</v>
      </c>
      <c r="O94" t="s">
        <v>1989</v>
      </c>
      <c r="P94" t="s">
        <v>1988</v>
      </c>
      <c r="Q94" t="s">
        <v>12</v>
      </c>
      <c r="R94" s="7">
        <v>33208</v>
      </c>
      <c r="S94" s="8">
        <f t="shared" si="8"/>
        <v>1990</v>
      </c>
      <c r="T94" s="8">
        <v>1990</v>
      </c>
      <c r="U94" s="8">
        <f t="shared" si="9"/>
        <v>32</v>
      </c>
      <c r="V94" s="7">
        <v>1990</v>
      </c>
      <c r="W94" t="s">
        <v>44</v>
      </c>
      <c r="X94" s="2" t="s">
        <v>13</v>
      </c>
      <c r="Y94" s="6" t="e">
        <f t="shared" si="10"/>
        <v>#VALUE!</v>
      </c>
      <c r="AA94">
        <v>87566648</v>
      </c>
      <c r="AB94">
        <v>74127</v>
      </c>
      <c r="AD94" t="s">
        <v>1</v>
      </c>
      <c r="AE94">
        <v>35</v>
      </c>
      <c r="AF94">
        <v>9</v>
      </c>
      <c r="AH94" t="s">
        <v>1987</v>
      </c>
      <c r="AI94" t="s">
        <v>1986</v>
      </c>
      <c r="AK94" t="s">
        <v>1985</v>
      </c>
      <c r="AL94">
        <v>0</v>
      </c>
      <c r="AM94" s="5">
        <f t="shared" si="11"/>
        <v>0</v>
      </c>
      <c r="AN94" s="4">
        <f t="shared" si="12"/>
        <v>0</v>
      </c>
      <c r="AO94" s="3"/>
      <c r="AP94">
        <v>0</v>
      </c>
      <c r="AR94" t="s">
        <v>0</v>
      </c>
      <c r="AT94" s="2" t="s">
        <v>13</v>
      </c>
      <c r="AU94" s="1" t="e">
        <f t="shared" si="13"/>
        <v>#VALUE!</v>
      </c>
      <c r="AV94" s="1" t="e">
        <f t="shared" si="14"/>
        <v>#VALUE!</v>
      </c>
      <c r="AW94" s="1" t="e">
        <f t="shared" si="15"/>
        <v>#VALUE!</v>
      </c>
    </row>
    <row r="95" spans="1:49" x14ac:dyDescent="0.2">
      <c r="A95">
        <v>93</v>
      </c>
      <c r="B95" t="s">
        <v>1984</v>
      </c>
      <c r="F95" t="s">
        <v>1983</v>
      </c>
      <c r="G95" t="s">
        <v>4</v>
      </c>
      <c r="H95" t="s">
        <v>3</v>
      </c>
      <c r="I95" t="s">
        <v>1982</v>
      </c>
      <c r="N95">
        <v>3</v>
      </c>
      <c r="O95" t="s">
        <v>1981</v>
      </c>
      <c r="P95" t="s">
        <v>1980</v>
      </c>
      <c r="Q95" t="s">
        <v>32</v>
      </c>
      <c r="R95" s="7">
        <v>33208</v>
      </c>
      <c r="S95" s="8">
        <f t="shared" si="8"/>
        <v>1990</v>
      </c>
      <c r="T95" s="8">
        <v>1990</v>
      </c>
      <c r="U95" s="8">
        <f t="shared" si="9"/>
        <v>32</v>
      </c>
      <c r="V95" s="7">
        <v>1990</v>
      </c>
      <c r="W95" t="s">
        <v>44</v>
      </c>
      <c r="X95" s="2" t="s">
        <v>13</v>
      </c>
      <c r="Y95" s="6" t="e">
        <f t="shared" si="10"/>
        <v>#VALUE!</v>
      </c>
      <c r="AA95">
        <v>87566648</v>
      </c>
      <c r="AB95">
        <v>74127</v>
      </c>
      <c r="AD95" t="s">
        <v>1</v>
      </c>
      <c r="AE95">
        <v>35</v>
      </c>
      <c r="AF95">
        <v>14</v>
      </c>
      <c r="AH95" t="s">
        <v>1979</v>
      </c>
      <c r="AI95" t="s">
        <v>1978</v>
      </c>
      <c r="AK95" t="s">
        <v>1977</v>
      </c>
      <c r="AL95">
        <v>0</v>
      </c>
      <c r="AM95" s="5">
        <f t="shared" si="11"/>
        <v>0</v>
      </c>
      <c r="AN95" s="4">
        <f t="shared" si="12"/>
        <v>0</v>
      </c>
      <c r="AO95" s="3"/>
      <c r="AP95">
        <v>0</v>
      </c>
      <c r="AR95" t="s">
        <v>0</v>
      </c>
      <c r="AT95" s="2" t="s">
        <v>13</v>
      </c>
      <c r="AU95" s="1" t="e">
        <f t="shared" si="13"/>
        <v>#VALUE!</v>
      </c>
      <c r="AV95" s="1" t="e">
        <f t="shared" si="14"/>
        <v>#VALUE!</v>
      </c>
      <c r="AW95" s="1" t="e">
        <f t="shared" si="15"/>
        <v>#VALUE!</v>
      </c>
    </row>
    <row r="96" spans="1:49" x14ac:dyDescent="0.2">
      <c r="A96">
        <v>94</v>
      </c>
      <c r="B96" t="s">
        <v>1976</v>
      </c>
      <c r="F96" t="s">
        <v>1975</v>
      </c>
      <c r="G96" t="s">
        <v>4</v>
      </c>
      <c r="H96" t="s">
        <v>3</v>
      </c>
      <c r="I96" t="s">
        <v>1974</v>
      </c>
      <c r="N96">
        <v>2</v>
      </c>
      <c r="O96" t="s">
        <v>1973</v>
      </c>
      <c r="P96" t="s">
        <v>1972</v>
      </c>
      <c r="Q96" t="s">
        <v>12</v>
      </c>
      <c r="R96" s="7">
        <v>33208</v>
      </c>
      <c r="S96" s="8">
        <f t="shared" si="8"/>
        <v>1990</v>
      </c>
      <c r="T96" s="8">
        <v>1990</v>
      </c>
      <c r="U96" s="8">
        <f t="shared" si="9"/>
        <v>32</v>
      </c>
      <c r="V96" s="7">
        <v>1990</v>
      </c>
      <c r="W96" t="s">
        <v>44</v>
      </c>
      <c r="X96" s="2" t="s">
        <v>13</v>
      </c>
      <c r="Y96" s="6" t="e">
        <f t="shared" si="10"/>
        <v>#VALUE!</v>
      </c>
      <c r="AA96">
        <v>87566648</v>
      </c>
      <c r="AB96">
        <v>74127</v>
      </c>
      <c r="AD96" t="s">
        <v>1</v>
      </c>
      <c r="AE96">
        <v>35</v>
      </c>
      <c r="AF96">
        <v>10</v>
      </c>
      <c r="AH96" s="10">
        <v>41821</v>
      </c>
      <c r="AI96" t="s">
        <v>1971</v>
      </c>
      <c r="AK96" t="s">
        <v>1970</v>
      </c>
      <c r="AL96">
        <v>0</v>
      </c>
      <c r="AM96" s="5">
        <f t="shared" si="11"/>
        <v>0</v>
      </c>
      <c r="AN96" s="4">
        <f t="shared" si="12"/>
        <v>0</v>
      </c>
      <c r="AO96" s="3"/>
      <c r="AP96">
        <v>0</v>
      </c>
      <c r="AR96" t="s">
        <v>0</v>
      </c>
      <c r="AT96" s="2" t="s">
        <v>13</v>
      </c>
      <c r="AU96" s="1" t="e">
        <f t="shared" si="13"/>
        <v>#VALUE!</v>
      </c>
      <c r="AV96" s="1" t="e">
        <f t="shared" si="14"/>
        <v>#VALUE!</v>
      </c>
      <c r="AW96" s="1" t="e">
        <f t="shared" si="15"/>
        <v>#VALUE!</v>
      </c>
    </row>
    <row r="97" spans="1:49" x14ac:dyDescent="0.2">
      <c r="A97">
        <v>95</v>
      </c>
      <c r="B97" t="s">
        <v>1969</v>
      </c>
      <c r="F97" t="s">
        <v>1968</v>
      </c>
      <c r="G97" t="s">
        <v>4</v>
      </c>
      <c r="H97" t="s">
        <v>3</v>
      </c>
      <c r="I97" t="s">
        <v>1967</v>
      </c>
      <c r="N97">
        <v>2</v>
      </c>
      <c r="O97" t="s">
        <v>1966</v>
      </c>
      <c r="P97" t="s">
        <v>1965</v>
      </c>
      <c r="Q97" t="s">
        <v>12</v>
      </c>
      <c r="R97" s="7">
        <v>33208</v>
      </c>
      <c r="S97" s="8">
        <f t="shared" si="8"/>
        <v>1990</v>
      </c>
      <c r="T97" s="8">
        <v>1990</v>
      </c>
      <c r="U97" s="8">
        <f t="shared" si="9"/>
        <v>32</v>
      </c>
      <c r="V97" s="7">
        <v>1990</v>
      </c>
      <c r="W97" t="s">
        <v>44</v>
      </c>
      <c r="X97" s="2" t="s">
        <v>13</v>
      </c>
      <c r="Y97" s="6" t="e">
        <f t="shared" si="10"/>
        <v>#VALUE!</v>
      </c>
      <c r="AA97">
        <v>87566648</v>
      </c>
      <c r="AB97">
        <v>74127</v>
      </c>
      <c r="AD97" t="s">
        <v>1</v>
      </c>
      <c r="AE97">
        <v>35</v>
      </c>
      <c r="AF97">
        <v>11</v>
      </c>
      <c r="AH97" s="10">
        <v>41548</v>
      </c>
      <c r="AI97" t="s">
        <v>1964</v>
      </c>
      <c r="AK97" t="s">
        <v>1963</v>
      </c>
      <c r="AL97">
        <v>0</v>
      </c>
      <c r="AM97" s="5">
        <f t="shared" si="11"/>
        <v>0</v>
      </c>
      <c r="AN97" s="4">
        <f t="shared" si="12"/>
        <v>0</v>
      </c>
      <c r="AO97" s="3"/>
      <c r="AP97">
        <v>0</v>
      </c>
      <c r="AR97" t="s">
        <v>0</v>
      </c>
      <c r="AT97" s="2" t="s">
        <v>13</v>
      </c>
      <c r="AU97" s="1" t="e">
        <f t="shared" si="13"/>
        <v>#VALUE!</v>
      </c>
      <c r="AV97" s="1" t="e">
        <f t="shared" si="14"/>
        <v>#VALUE!</v>
      </c>
      <c r="AW97" s="1" t="e">
        <f t="shared" si="15"/>
        <v>#VALUE!</v>
      </c>
    </row>
    <row r="98" spans="1:49" x14ac:dyDescent="0.2">
      <c r="A98">
        <v>96</v>
      </c>
      <c r="B98" t="s">
        <v>1962</v>
      </c>
      <c r="C98" t="s">
        <v>1961</v>
      </c>
      <c r="F98" t="s">
        <v>1960</v>
      </c>
      <c r="G98" t="s">
        <v>4</v>
      </c>
      <c r="H98" t="s">
        <v>3</v>
      </c>
      <c r="I98" t="s">
        <v>1959</v>
      </c>
      <c r="J98">
        <v>60030318</v>
      </c>
      <c r="K98" t="s">
        <v>219</v>
      </c>
      <c r="L98" t="s">
        <v>218</v>
      </c>
      <c r="M98" t="s">
        <v>16</v>
      </c>
      <c r="N98">
        <v>4</v>
      </c>
      <c r="O98" t="s">
        <v>1958</v>
      </c>
      <c r="P98" t="s">
        <v>1957</v>
      </c>
      <c r="Q98" t="s">
        <v>1956</v>
      </c>
      <c r="R98" s="7">
        <v>33208</v>
      </c>
      <c r="S98" s="8">
        <f t="shared" si="8"/>
        <v>1990</v>
      </c>
      <c r="T98" s="8">
        <v>1990</v>
      </c>
      <c r="U98" s="8">
        <f t="shared" si="9"/>
        <v>32</v>
      </c>
      <c r="V98" s="7">
        <v>1990</v>
      </c>
      <c r="W98" t="s">
        <v>1938</v>
      </c>
      <c r="X98" s="2">
        <v>0.48</v>
      </c>
      <c r="Y98" s="6">
        <f t="shared" si="10"/>
        <v>1.2813325858893249E-2</v>
      </c>
      <c r="AA98">
        <v>9570233</v>
      </c>
      <c r="AB98">
        <v>15526</v>
      </c>
      <c r="AD98" t="s">
        <v>1</v>
      </c>
      <c r="AE98">
        <v>1</v>
      </c>
      <c r="AF98">
        <v>10</v>
      </c>
      <c r="AG98">
        <v>25</v>
      </c>
      <c r="AH98" t="s">
        <v>1955</v>
      </c>
      <c r="AI98" t="s">
        <v>1954</v>
      </c>
      <c r="AK98" t="s">
        <v>1953</v>
      </c>
      <c r="AL98">
        <v>1</v>
      </c>
      <c r="AM98" s="5">
        <f t="shared" si="11"/>
        <v>3.125E-2</v>
      </c>
      <c r="AN98" s="4">
        <f t="shared" si="12"/>
        <v>4.73305566073457E-5</v>
      </c>
      <c r="AO98" s="3"/>
      <c r="AP98">
        <v>0</v>
      </c>
      <c r="AR98" t="s">
        <v>0</v>
      </c>
      <c r="AT98" s="2">
        <v>2.0459999999999998</v>
      </c>
      <c r="AU98" s="1">
        <f t="shared" si="13"/>
        <v>0.89835272682074774</v>
      </c>
      <c r="AV98" s="1">
        <f t="shared" si="14"/>
        <v>0.64303282077502966</v>
      </c>
      <c r="AW98" s="1">
        <f t="shared" si="15"/>
        <v>0.38771291472931163</v>
      </c>
    </row>
    <row r="99" spans="1:49" x14ac:dyDescent="0.2">
      <c r="A99">
        <v>97</v>
      </c>
      <c r="B99" t="s">
        <v>1952</v>
      </c>
      <c r="C99" t="s">
        <v>1951</v>
      </c>
      <c r="F99" t="s">
        <v>1950</v>
      </c>
      <c r="G99" t="s">
        <v>4</v>
      </c>
      <c r="H99" t="s">
        <v>3</v>
      </c>
      <c r="I99" t="s">
        <v>1949</v>
      </c>
      <c r="J99">
        <v>60020650</v>
      </c>
      <c r="K99" t="s">
        <v>107</v>
      </c>
      <c r="L99" t="s">
        <v>106</v>
      </c>
      <c r="M99" t="s">
        <v>23</v>
      </c>
      <c r="N99">
        <v>2</v>
      </c>
      <c r="O99" t="s">
        <v>1948</v>
      </c>
      <c r="P99" t="s">
        <v>1947</v>
      </c>
      <c r="Q99" t="s">
        <v>178</v>
      </c>
      <c r="R99" s="7">
        <v>33208</v>
      </c>
      <c r="S99" s="8">
        <f t="shared" si="8"/>
        <v>1990</v>
      </c>
      <c r="T99" s="8">
        <v>1990</v>
      </c>
      <c r="U99" s="8">
        <f t="shared" si="9"/>
        <v>32</v>
      </c>
      <c r="V99" s="7">
        <v>1990</v>
      </c>
      <c r="W99" t="s">
        <v>1938</v>
      </c>
      <c r="X99" s="2">
        <v>0.48</v>
      </c>
      <c r="Y99" s="6">
        <f t="shared" si="10"/>
        <v>1.2813325858893249E-2</v>
      </c>
      <c r="AA99">
        <v>9570233</v>
      </c>
      <c r="AB99">
        <v>15526</v>
      </c>
      <c r="AD99" t="s">
        <v>1</v>
      </c>
      <c r="AE99">
        <v>1</v>
      </c>
      <c r="AF99">
        <v>8</v>
      </c>
      <c r="AG99">
        <v>6</v>
      </c>
      <c r="AH99" t="s">
        <v>1946</v>
      </c>
      <c r="AI99" t="s">
        <v>1945</v>
      </c>
      <c r="AK99" t="s">
        <v>1944</v>
      </c>
      <c r="AL99">
        <v>31</v>
      </c>
      <c r="AM99" s="5">
        <f t="shared" si="11"/>
        <v>0.96875</v>
      </c>
      <c r="AN99" s="4">
        <f t="shared" si="12"/>
        <v>1.4672472548277167E-3</v>
      </c>
      <c r="AO99" s="3"/>
      <c r="AP99">
        <v>0</v>
      </c>
      <c r="AR99" t="s">
        <v>0</v>
      </c>
      <c r="AT99" s="2">
        <v>2.0459999999999998</v>
      </c>
      <c r="AU99" s="1">
        <f t="shared" si="13"/>
        <v>0.94095022776735893</v>
      </c>
      <c r="AV99" s="1">
        <f t="shared" si="14"/>
        <v>0.71402865568604823</v>
      </c>
      <c r="AW99" s="1">
        <f t="shared" si="15"/>
        <v>0.48710708360473765</v>
      </c>
    </row>
    <row r="100" spans="1:49" x14ac:dyDescent="0.2">
      <c r="A100">
        <v>98</v>
      </c>
      <c r="B100" t="s">
        <v>1943</v>
      </c>
      <c r="C100" t="s">
        <v>1942</v>
      </c>
      <c r="F100" t="s">
        <v>1941</v>
      </c>
      <c r="G100" t="s">
        <v>4</v>
      </c>
      <c r="H100" t="s">
        <v>3</v>
      </c>
      <c r="I100" t="s">
        <v>1940</v>
      </c>
      <c r="J100">
        <v>60031159</v>
      </c>
      <c r="K100" t="s">
        <v>143</v>
      </c>
      <c r="L100" t="s">
        <v>142</v>
      </c>
      <c r="M100" t="s">
        <v>22</v>
      </c>
      <c r="N100">
        <v>1</v>
      </c>
      <c r="O100" t="s">
        <v>1939</v>
      </c>
      <c r="P100">
        <v>7003557020</v>
      </c>
      <c r="Q100">
        <v>60031159</v>
      </c>
      <c r="R100" s="7">
        <v>33208</v>
      </c>
      <c r="S100" s="8">
        <f t="shared" si="8"/>
        <v>1990</v>
      </c>
      <c r="T100" s="8">
        <v>1990</v>
      </c>
      <c r="U100" s="8">
        <f t="shared" si="9"/>
        <v>32</v>
      </c>
      <c r="V100" s="7">
        <v>1990</v>
      </c>
      <c r="W100" t="s">
        <v>1938</v>
      </c>
      <c r="X100" s="2">
        <v>0.48</v>
      </c>
      <c r="Y100" s="6">
        <f t="shared" si="10"/>
        <v>1.2813325858893249E-2</v>
      </c>
      <c r="AA100">
        <v>9570233</v>
      </c>
      <c r="AB100">
        <v>15526</v>
      </c>
      <c r="AD100" t="s">
        <v>1</v>
      </c>
      <c r="AE100">
        <v>1</v>
      </c>
      <c r="AF100">
        <v>3</v>
      </c>
      <c r="AG100">
        <v>16</v>
      </c>
      <c r="AH100" t="s">
        <v>1937</v>
      </c>
      <c r="AI100" t="s">
        <v>1936</v>
      </c>
      <c r="AK100" t="s">
        <v>1935</v>
      </c>
      <c r="AL100">
        <v>37</v>
      </c>
      <c r="AM100" s="5">
        <f t="shared" si="11"/>
        <v>1.15625</v>
      </c>
      <c r="AN100" s="4">
        <f t="shared" si="12"/>
        <v>1.7512305944717909E-3</v>
      </c>
      <c r="AO100" s="3"/>
      <c r="AP100">
        <v>0</v>
      </c>
      <c r="AR100" t="s">
        <v>0</v>
      </c>
      <c r="AT100" s="2">
        <v>2.0459999999999998</v>
      </c>
      <c r="AU100" s="1">
        <f t="shared" si="13"/>
        <v>0.94946972795668105</v>
      </c>
      <c r="AV100" s="1">
        <f t="shared" si="14"/>
        <v>0.72822782266825192</v>
      </c>
      <c r="AW100" s="1">
        <f t="shared" si="15"/>
        <v>0.50698591737982279</v>
      </c>
    </row>
    <row r="101" spans="1:49" x14ac:dyDescent="0.2">
      <c r="A101">
        <v>99</v>
      </c>
      <c r="B101" t="s">
        <v>1934</v>
      </c>
      <c r="C101" t="s">
        <v>1933</v>
      </c>
      <c r="F101" t="s">
        <v>1932</v>
      </c>
      <c r="G101" t="s">
        <v>4</v>
      </c>
      <c r="H101" t="s">
        <v>3</v>
      </c>
      <c r="I101" t="s">
        <v>1931</v>
      </c>
      <c r="J101" t="s">
        <v>1930</v>
      </c>
      <c r="K101" t="s">
        <v>1929</v>
      </c>
      <c r="L101" t="s">
        <v>1928</v>
      </c>
      <c r="M101" t="s">
        <v>1927</v>
      </c>
      <c r="N101">
        <v>3</v>
      </c>
      <c r="O101" t="s">
        <v>1926</v>
      </c>
      <c r="P101" t="s">
        <v>1925</v>
      </c>
      <c r="Q101" t="s">
        <v>1924</v>
      </c>
      <c r="R101" s="7">
        <v>33208</v>
      </c>
      <c r="S101" s="8">
        <f t="shared" si="8"/>
        <v>1990</v>
      </c>
      <c r="T101" s="8">
        <v>1990</v>
      </c>
      <c r="U101" s="8">
        <f t="shared" si="9"/>
        <v>32</v>
      </c>
      <c r="V101" s="7">
        <v>33208</v>
      </c>
      <c r="W101" t="s">
        <v>1923</v>
      </c>
      <c r="X101" s="2">
        <v>0.749</v>
      </c>
      <c r="Y101" s="6">
        <f t="shared" si="10"/>
        <v>1.9994127225648008E-2</v>
      </c>
      <c r="AA101" t="s">
        <v>1922</v>
      </c>
      <c r="AB101">
        <v>20311</v>
      </c>
      <c r="AC101">
        <v>19382936</v>
      </c>
      <c r="AD101" t="s">
        <v>1</v>
      </c>
      <c r="AE101">
        <v>19</v>
      </c>
      <c r="AF101">
        <v>6</v>
      </c>
      <c r="AH101" t="s">
        <v>1921</v>
      </c>
      <c r="AI101" t="s">
        <v>1920</v>
      </c>
      <c r="AJ101" t="s">
        <v>1919</v>
      </c>
      <c r="AK101" t="s">
        <v>1918</v>
      </c>
      <c r="AL101">
        <v>9</v>
      </c>
      <c r="AM101" s="5">
        <f t="shared" si="11"/>
        <v>0.28125</v>
      </c>
      <c r="AN101" s="4">
        <f t="shared" si="12"/>
        <v>4.2597500946611131E-4</v>
      </c>
      <c r="AO101" s="3"/>
      <c r="AP101">
        <v>0</v>
      </c>
      <c r="AR101" t="s">
        <v>0</v>
      </c>
      <c r="AT101" s="2">
        <v>2.3769999999999998</v>
      </c>
      <c r="AU101" s="1">
        <f t="shared" si="13"/>
        <v>1.412368156079344</v>
      </c>
      <c r="AV101" s="1">
        <f t="shared" si="14"/>
        <v>1.021005111755706</v>
      </c>
      <c r="AW101" s="1">
        <f t="shared" si="15"/>
        <v>0.62964206743206796</v>
      </c>
    </row>
    <row r="102" spans="1:49" x14ac:dyDescent="0.2">
      <c r="A102">
        <v>100</v>
      </c>
      <c r="B102" t="s">
        <v>1917</v>
      </c>
      <c r="C102" t="s">
        <v>1916</v>
      </c>
      <c r="F102" t="s">
        <v>1915</v>
      </c>
      <c r="G102" t="s">
        <v>4</v>
      </c>
      <c r="H102" t="s">
        <v>3</v>
      </c>
      <c r="I102" t="s">
        <v>1914</v>
      </c>
      <c r="J102">
        <v>60025104</v>
      </c>
      <c r="K102" t="s">
        <v>206</v>
      </c>
      <c r="M102" t="s">
        <v>23</v>
      </c>
      <c r="N102">
        <v>2</v>
      </c>
      <c r="O102" t="s">
        <v>1913</v>
      </c>
      <c r="P102" t="s">
        <v>1912</v>
      </c>
      <c r="Q102" t="s">
        <v>1911</v>
      </c>
      <c r="R102" s="7">
        <v>33208</v>
      </c>
      <c r="S102" s="8">
        <f t="shared" si="8"/>
        <v>1990</v>
      </c>
      <c r="T102" s="8">
        <v>1990</v>
      </c>
      <c r="U102" s="8">
        <f t="shared" si="9"/>
        <v>32</v>
      </c>
      <c r="V102" s="7">
        <v>1990</v>
      </c>
      <c r="W102" t="s">
        <v>1910</v>
      </c>
      <c r="X102" s="2">
        <v>1.3280000000000001</v>
      </c>
      <c r="Y102" s="6">
        <f t="shared" si="10"/>
        <v>3.5450201542937994E-2</v>
      </c>
      <c r="AA102">
        <v>7413335</v>
      </c>
      <c r="AB102">
        <v>29251</v>
      </c>
      <c r="AD102" t="s">
        <v>1</v>
      </c>
      <c r="AE102">
        <v>32</v>
      </c>
      <c r="AF102">
        <v>3</v>
      </c>
      <c r="AG102">
        <v>2</v>
      </c>
      <c r="AH102" t="s">
        <v>1909</v>
      </c>
      <c r="AI102" t="s">
        <v>1908</v>
      </c>
      <c r="AK102" t="s">
        <v>1907</v>
      </c>
      <c r="AL102">
        <v>10</v>
      </c>
      <c r="AM102" s="5">
        <f t="shared" si="11"/>
        <v>0.3125</v>
      </c>
      <c r="AN102" s="4">
        <f t="shared" si="12"/>
        <v>4.7330556607345703E-4</v>
      </c>
      <c r="AO102" s="3"/>
      <c r="AP102">
        <v>0</v>
      </c>
      <c r="AR102" t="s">
        <v>0</v>
      </c>
      <c r="AT102" s="2">
        <v>2.4580000000000002</v>
      </c>
      <c r="AU102" s="1">
        <f t="shared" si="13"/>
        <v>2.495713274987863</v>
      </c>
      <c r="AV102" s="1">
        <f t="shared" si="14"/>
        <v>1.7961753554505726</v>
      </c>
      <c r="AW102" s="1">
        <f t="shared" si="15"/>
        <v>1.0966374359132818</v>
      </c>
    </row>
    <row r="103" spans="1:49" x14ac:dyDescent="0.2">
      <c r="A103">
        <v>101</v>
      </c>
      <c r="B103" t="s">
        <v>1906</v>
      </c>
      <c r="C103" t="s">
        <v>1905</v>
      </c>
      <c r="F103" t="s">
        <v>1904</v>
      </c>
      <c r="G103" t="s">
        <v>4</v>
      </c>
      <c r="H103" t="s">
        <v>3</v>
      </c>
      <c r="I103" t="s">
        <v>1903</v>
      </c>
      <c r="J103">
        <v>60010742</v>
      </c>
      <c r="K103" t="s">
        <v>1902</v>
      </c>
      <c r="L103" t="s">
        <v>1901</v>
      </c>
      <c r="M103" t="s">
        <v>24</v>
      </c>
      <c r="N103">
        <v>3</v>
      </c>
      <c r="O103" t="s">
        <v>1900</v>
      </c>
      <c r="P103" t="s">
        <v>1899</v>
      </c>
      <c r="Q103" t="s">
        <v>1898</v>
      </c>
      <c r="R103" s="7">
        <v>33208</v>
      </c>
      <c r="S103" s="8">
        <f t="shared" si="8"/>
        <v>1990</v>
      </c>
      <c r="T103" s="8">
        <v>1990</v>
      </c>
      <c r="U103" s="8">
        <f t="shared" si="9"/>
        <v>32</v>
      </c>
      <c r="V103" s="7">
        <v>1990</v>
      </c>
      <c r="W103" t="s">
        <v>1847</v>
      </c>
      <c r="X103" s="2">
        <v>0.60499999999999998</v>
      </c>
      <c r="Y103" s="6">
        <f t="shared" si="10"/>
        <v>1.6150129467980032E-2</v>
      </c>
      <c r="AA103">
        <v>346748</v>
      </c>
      <c r="AB103">
        <v>15563</v>
      </c>
      <c r="AD103" t="s">
        <v>1</v>
      </c>
      <c r="AE103">
        <v>61</v>
      </c>
      <c r="AF103">
        <v>4</v>
      </c>
      <c r="AH103" t="s">
        <v>61</v>
      </c>
      <c r="AI103" t="s">
        <v>1897</v>
      </c>
      <c r="AK103" t="s">
        <v>1896</v>
      </c>
      <c r="AL103">
        <v>5</v>
      </c>
      <c r="AM103" s="5">
        <f t="shared" si="11"/>
        <v>0.15625</v>
      </c>
      <c r="AN103" s="4">
        <f t="shared" si="12"/>
        <v>2.3665278303672851E-4</v>
      </c>
      <c r="AO103" s="3"/>
      <c r="AP103">
        <v>0</v>
      </c>
      <c r="AR103" t="s">
        <v>0</v>
      </c>
      <c r="AT103" s="2">
        <v>1.5229999999999999</v>
      </c>
      <c r="AU103" s="1">
        <f t="shared" si="13"/>
        <v>1.1376086462497039</v>
      </c>
      <c r="AV103" s="1">
        <f t="shared" si="14"/>
        <v>0.81933911255083813</v>
      </c>
      <c r="AW103" s="1">
        <f t="shared" si="15"/>
        <v>0.50106957885197201</v>
      </c>
    </row>
    <row r="104" spans="1:49" x14ac:dyDescent="0.2">
      <c r="A104">
        <v>102</v>
      </c>
      <c r="B104" t="s">
        <v>1895</v>
      </c>
      <c r="C104" t="s">
        <v>1894</v>
      </c>
      <c r="F104" t="s">
        <v>1893</v>
      </c>
      <c r="G104" t="s">
        <v>4</v>
      </c>
      <c r="H104" t="s">
        <v>3</v>
      </c>
      <c r="I104" t="s">
        <v>1892</v>
      </c>
      <c r="J104">
        <v>60018020</v>
      </c>
      <c r="K104" t="s">
        <v>1860</v>
      </c>
      <c r="L104" t="s">
        <v>197</v>
      </c>
      <c r="M104" t="s">
        <v>19</v>
      </c>
      <c r="N104">
        <v>3</v>
      </c>
      <c r="O104" t="s">
        <v>1891</v>
      </c>
      <c r="P104" t="s">
        <v>1890</v>
      </c>
      <c r="Q104" t="s">
        <v>1889</v>
      </c>
      <c r="R104" s="7">
        <v>33208</v>
      </c>
      <c r="S104" s="8">
        <f t="shared" si="8"/>
        <v>1990</v>
      </c>
      <c r="T104" s="8">
        <v>1990</v>
      </c>
      <c r="U104" s="8">
        <f t="shared" si="9"/>
        <v>32</v>
      </c>
      <c r="V104" s="7">
        <v>1990</v>
      </c>
      <c r="W104" t="s">
        <v>1847</v>
      </c>
      <c r="X104" s="2">
        <v>0.60499999999999998</v>
      </c>
      <c r="Y104" s="6">
        <f t="shared" si="10"/>
        <v>1.6150129467980032E-2</v>
      </c>
      <c r="AA104">
        <v>346748</v>
      </c>
      <c r="AB104">
        <v>15563</v>
      </c>
      <c r="AD104" t="s">
        <v>1</v>
      </c>
      <c r="AE104">
        <v>61</v>
      </c>
      <c r="AF104">
        <v>10</v>
      </c>
      <c r="AH104" t="s">
        <v>1888</v>
      </c>
      <c r="AI104" t="s">
        <v>1887</v>
      </c>
      <c r="AK104" t="s">
        <v>1886</v>
      </c>
      <c r="AL104">
        <v>10</v>
      </c>
      <c r="AM104" s="5">
        <f t="shared" si="11"/>
        <v>0.3125</v>
      </c>
      <c r="AN104" s="4">
        <f t="shared" si="12"/>
        <v>4.7330556607345703E-4</v>
      </c>
      <c r="AO104" s="3"/>
      <c r="AP104">
        <v>0</v>
      </c>
      <c r="AR104" t="s">
        <v>0</v>
      </c>
      <c r="AT104" s="2">
        <v>1.5229999999999999</v>
      </c>
      <c r="AU104" s="1">
        <f t="shared" si="13"/>
        <v>1.144708229740806</v>
      </c>
      <c r="AV104" s="1">
        <f t="shared" si="14"/>
        <v>0.83117175170267443</v>
      </c>
      <c r="AW104" s="1">
        <f t="shared" si="15"/>
        <v>0.51763527366454298</v>
      </c>
    </row>
    <row r="105" spans="1:49" x14ac:dyDescent="0.2">
      <c r="A105">
        <v>103</v>
      </c>
      <c r="B105" t="s">
        <v>1885</v>
      </c>
      <c r="C105" t="s">
        <v>1884</v>
      </c>
      <c r="F105" t="s">
        <v>1883</v>
      </c>
      <c r="G105" t="s">
        <v>4</v>
      </c>
      <c r="H105" t="s">
        <v>3</v>
      </c>
      <c r="I105" t="s">
        <v>1882</v>
      </c>
      <c r="J105">
        <v>60013372</v>
      </c>
      <c r="K105" t="s">
        <v>58</v>
      </c>
      <c r="L105" t="s">
        <v>57</v>
      </c>
      <c r="M105" t="s">
        <v>19</v>
      </c>
      <c r="N105">
        <v>4</v>
      </c>
      <c r="O105" t="s">
        <v>1881</v>
      </c>
      <c r="P105" t="s">
        <v>1880</v>
      </c>
      <c r="Q105" t="s">
        <v>1879</v>
      </c>
      <c r="R105" s="7">
        <v>33208</v>
      </c>
      <c r="S105" s="8">
        <f t="shared" si="8"/>
        <v>1990</v>
      </c>
      <c r="T105" s="8">
        <v>1990</v>
      </c>
      <c r="U105" s="8">
        <f t="shared" si="9"/>
        <v>32</v>
      </c>
      <c r="V105" s="7">
        <v>1990</v>
      </c>
      <c r="W105" t="s">
        <v>1847</v>
      </c>
      <c r="X105" s="2">
        <v>0.60499999999999998</v>
      </c>
      <c r="Y105" s="6">
        <f t="shared" si="10"/>
        <v>1.6150129467980032E-2</v>
      </c>
      <c r="AA105">
        <v>346748</v>
      </c>
      <c r="AB105">
        <v>15563</v>
      </c>
      <c r="AD105" t="s">
        <v>1</v>
      </c>
      <c r="AE105">
        <v>61</v>
      </c>
      <c r="AF105">
        <v>10</v>
      </c>
      <c r="AH105" t="s">
        <v>1878</v>
      </c>
      <c r="AI105" t="s">
        <v>1877</v>
      </c>
      <c r="AK105" t="s">
        <v>1876</v>
      </c>
      <c r="AL105">
        <v>5</v>
      </c>
      <c r="AM105" s="5">
        <f t="shared" si="11"/>
        <v>0.15625</v>
      </c>
      <c r="AN105" s="4">
        <f t="shared" si="12"/>
        <v>2.3665278303672851E-4</v>
      </c>
      <c r="AO105" s="3"/>
      <c r="AP105">
        <v>0</v>
      </c>
      <c r="AR105" t="s">
        <v>0</v>
      </c>
      <c r="AT105" s="2">
        <v>1.5229999999999999</v>
      </c>
      <c r="AU105" s="1">
        <f t="shared" si="13"/>
        <v>1.1376086462497039</v>
      </c>
      <c r="AV105" s="1">
        <f t="shared" si="14"/>
        <v>0.81933911255083813</v>
      </c>
      <c r="AW105" s="1">
        <f t="shared" si="15"/>
        <v>0.50106957885197201</v>
      </c>
    </row>
    <row r="106" spans="1:49" x14ac:dyDescent="0.2">
      <c r="A106">
        <v>104</v>
      </c>
      <c r="B106" t="s">
        <v>1875</v>
      </c>
      <c r="C106" t="s">
        <v>1874</v>
      </c>
      <c r="F106" t="s">
        <v>1873</v>
      </c>
      <c r="G106" t="s">
        <v>4</v>
      </c>
      <c r="H106" t="s">
        <v>3</v>
      </c>
      <c r="I106" t="s">
        <v>1872</v>
      </c>
      <c r="J106">
        <v>60008950</v>
      </c>
      <c r="K106" t="s">
        <v>1871</v>
      </c>
      <c r="L106" t="s">
        <v>76</v>
      </c>
      <c r="M106" t="s">
        <v>75</v>
      </c>
      <c r="N106">
        <v>2</v>
      </c>
      <c r="O106" t="s">
        <v>1870</v>
      </c>
      <c r="P106" t="s">
        <v>1869</v>
      </c>
      <c r="Q106" t="s">
        <v>1868</v>
      </c>
      <c r="R106" s="7">
        <v>33208</v>
      </c>
      <c r="S106" s="8">
        <f t="shared" si="8"/>
        <v>1990</v>
      </c>
      <c r="T106" s="8">
        <v>1990</v>
      </c>
      <c r="U106" s="8">
        <f t="shared" si="9"/>
        <v>32</v>
      </c>
      <c r="V106" s="7">
        <v>1990</v>
      </c>
      <c r="W106" t="s">
        <v>1792</v>
      </c>
      <c r="X106" s="2">
        <v>0.69899999999999995</v>
      </c>
      <c r="Y106" s="6">
        <f t="shared" si="10"/>
        <v>1.8659405782013295E-2</v>
      </c>
      <c r="AA106">
        <v>218979</v>
      </c>
      <c r="AB106">
        <v>28132</v>
      </c>
      <c r="AD106" t="s">
        <v>1</v>
      </c>
      <c r="AE106">
        <v>68</v>
      </c>
      <c r="AF106">
        <v>5</v>
      </c>
      <c r="AH106" t="s">
        <v>1867</v>
      </c>
      <c r="AI106" t="s">
        <v>1866</v>
      </c>
      <c r="AK106" t="s">
        <v>1865</v>
      </c>
      <c r="AL106">
        <v>15</v>
      </c>
      <c r="AM106" s="5">
        <f t="shared" si="11"/>
        <v>0.46875</v>
      </c>
      <c r="AN106" s="4">
        <f t="shared" si="12"/>
        <v>7.0995834911018554E-4</v>
      </c>
      <c r="AO106" s="3"/>
      <c r="AP106">
        <v>0</v>
      </c>
      <c r="AR106" t="s">
        <v>0</v>
      </c>
      <c r="AT106" s="2">
        <v>2.5459999999999998</v>
      </c>
      <c r="AU106" s="1">
        <f t="shared" si="13"/>
        <v>1.327457155214236</v>
      </c>
      <c r="AV106" s="1">
        <f t="shared" si="14"/>
        <v>0.96846820655617405</v>
      </c>
      <c r="AW106" s="1">
        <f t="shared" si="15"/>
        <v>0.60947925789811186</v>
      </c>
    </row>
    <row r="107" spans="1:49" x14ac:dyDescent="0.2">
      <c r="A107">
        <v>105</v>
      </c>
      <c r="B107" t="s">
        <v>1864</v>
      </c>
      <c r="C107" t="s">
        <v>1863</v>
      </c>
      <c r="F107" t="s">
        <v>1862</v>
      </c>
      <c r="G107" t="s">
        <v>4</v>
      </c>
      <c r="H107" t="s">
        <v>3</v>
      </c>
      <c r="I107" t="s">
        <v>1861</v>
      </c>
      <c r="J107">
        <v>60018020</v>
      </c>
      <c r="K107" t="s">
        <v>1860</v>
      </c>
      <c r="L107" t="s">
        <v>197</v>
      </c>
      <c r="M107" t="s">
        <v>19</v>
      </c>
      <c r="N107">
        <v>6</v>
      </c>
      <c r="O107" t="s">
        <v>1859</v>
      </c>
      <c r="P107" t="s">
        <v>1858</v>
      </c>
      <c r="Q107" t="s">
        <v>1857</v>
      </c>
      <c r="R107" s="7">
        <v>33208</v>
      </c>
      <c r="S107" s="8">
        <f t="shared" si="8"/>
        <v>1990</v>
      </c>
      <c r="T107" s="8">
        <v>1990</v>
      </c>
      <c r="U107" s="8">
        <f t="shared" si="9"/>
        <v>32</v>
      </c>
      <c r="V107" s="7">
        <v>1990</v>
      </c>
      <c r="W107" t="s">
        <v>1847</v>
      </c>
      <c r="X107" s="2">
        <v>0.60499999999999998</v>
      </c>
      <c r="Y107" s="6">
        <f t="shared" si="10"/>
        <v>1.6150129467980032E-2</v>
      </c>
      <c r="AA107">
        <v>346748</v>
      </c>
      <c r="AB107">
        <v>15563</v>
      </c>
      <c r="AD107" t="s">
        <v>1</v>
      </c>
      <c r="AE107">
        <v>61</v>
      </c>
      <c r="AF107">
        <v>10</v>
      </c>
      <c r="AH107" t="s">
        <v>1856</v>
      </c>
      <c r="AI107" t="s">
        <v>1855</v>
      </c>
      <c r="AK107" t="s">
        <v>1854</v>
      </c>
      <c r="AL107">
        <v>12</v>
      </c>
      <c r="AM107" s="5">
        <f t="shared" si="11"/>
        <v>0.375</v>
      </c>
      <c r="AN107" s="4">
        <f t="shared" si="12"/>
        <v>5.6796667928814845E-4</v>
      </c>
      <c r="AO107" s="3"/>
      <c r="AP107">
        <v>0</v>
      </c>
      <c r="AR107" t="s">
        <v>0</v>
      </c>
      <c r="AT107" s="2">
        <v>1.5229999999999999</v>
      </c>
      <c r="AU107" s="1">
        <f t="shared" si="13"/>
        <v>1.1475480631372466</v>
      </c>
      <c r="AV107" s="1">
        <f t="shared" si="14"/>
        <v>0.83590480736340911</v>
      </c>
      <c r="AW107" s="1">
        <f t="shared" si="15"/>
        <v>0.52426155158957144</v>
      </c>
    </row>
    <row r="108" spans="1:49" x14ac:dyDescent="0.2">
      <c r="A108">
        <v>106</v>
      </c>
      <c r="B108" t="s">
        <v>1853</v>
      </c>
      <c r="C108" t="s">
        <v>1852</v>
      </c>
      <c r="F108" t="s">
        <v>1851</v>
      </c>
      <c r="G108" t="s">
        <v>4</v>
      </c>
      <c r="H108" t="s">
        <v>3</v>
      </c>
      <c r="I108" t="s">
        <v>1850</v>
      </c>
      <c r="J108">
        <v>60028673</v>
      </c>
      <c r="K108" t="s">
        <v>47</v>
      </c>
      <c r="L108" t="s">
        <v>46</v>
      </c>
      <c r="M108" t="s">
        <v>14</v>
      </c>
      <c r="N108">
        <v>2</v>
      </c>
      <c r="O108" t="s">
        <v>1849</v>
      </c>
      <c r="P108" t="s">
        <v>1848</v>
      </c>
      <c r="Q108" t="s">
        <v>255</v>
      </c>
      <c r="R108" s="7">
        <v>33208</v>
      </c>
      <c r="S108" s="8">
        <f t="shared" si="8"/>
        <v>1990</v>
      </c>
      <c r="T108" s="8">
        <v>1990</v>
      </c>
      <c r="U108" s="8">
        <f t="shared" si="9"/>
        <v>32</v>
      </c>
      <c r="V108" s="7">
        <v>1990</v>
      </c>
      <c r="W108" t="s">
        <v>1847</v>
      </c>
      <c r="X108" s="2">
        <v>0.60499999999999998</v>
      </c>
      <c r="Y108" s="6">
        <f t="shared" si="10"/>
        <v>1.6150129467980032E-2</v>
      </c>
      <c r="AA108">
        <v>346748</v>
      </c>
      <c r="AB108">
        <v>15563</v>
      </c>
      <c r="AD108" t="s">
        <v>1</v>
      </c>
      <c r="AE108">
        <v>61</v>
      </c>
      <c r="AF108">
        <v>2</v>
      </c>
      <c r="AH108" t="s">
        <v>1846</v>
      </c>
      <c r="AI108" t="s">
        <v>1845</v>
      </c>
      <c r="AK108" t="s">
        <v>1844</v>
      </c>
      <c r="AL108">
        <v>2</v>
      </c>
      <c r="AM108" s="5">
        <f t="shared" si="11"/>
        <v>6.25E-2</v>
      </c>
      <c r="AN108" s="4">
        <f t="shared" si="12"/>
        <v>9.46611132146914E-5</v>
      </c>
      <c r="AO108" s="3"/>
      <c r="AP108">
        <v>0</v>
      </c>
      <c r="AR108" t="s">
        <v>0</v>
      </c>
      <c r="AT108" s="2">
        <v>1.5229999999999999</v>
      </c>
      <c r="AU108" s="1">
        <f t="shared" si="13"/>
        <v>1.1333488961550429</v>
      </c>
      <c r="AV108" s="1">
        <f t="shared" si="14"/>
        <v>0.81223952905973618</v>
      </c>
      <c r="AW108" s="1">
        <f t="shared" si="15"/>
        <v>0.49113016196442938</v>
      </c>
    </row>
    <row r="109" spans="1:49" x14ac:dyDescent="0.2">
      <c r="A109">
        <v>107</v>
      </c>
      <c r="B109" t="s">
        <v>1843</v>
      </c>
      <c r="C109" t="s">
        <v>1842</v>
      </c>
      <c r="F109" t="s">
        <v>1841</v>
      </c>
      <c r="G109" t="s">
        <v>4</v>
      </c>
      <c r="H109" t="s">
        <v>3</v>
      </c>
      <c r="I109" t="s">
        <v>1840</v>
      </c>
      <c r="J109" t="s">
        <v>1839</v>
      </c>
      <c r="K109" t="s">
        <v>1838</v>
      </c>
      <c r="L109" t="s">
        <v>1837</v>
      </c>
      <c r="M109" t="s">
        <v>189</v>
      </c>
      <c r="N109">
        <v>3</v>
      </c>
      <c r="O109" t="s">
        <v>1836</v>
      </c>
      <c r="P109" t="s">
        <v>1835</v>
      </c>
      <c r="Q109" t="s">
        <v>1834</v>
      </c>
      <c r="R109" s="7">
        <v>33208</v>
      </c>
      <c r="S109" s="8">
        <f t="shared" si="8"/>
        <v>1990</v>
      </c>
      <c r="T109" s="8">
        <v>1990</v>
      </c>
      <c r="U109" s="8">
        <f t="shared" si="9"/>
        <v>32</v>
      </c>
      <c r="V109" s="7">
        <v>33208</v>
      </c>
      <c r="W109" t="s">
        <v>248</v>
      </c>
      <c r="X109" s="2">
        <v>1.1579999999999999</v>
      </c>
      <c r="Y109" s="6">
        <f t="shared" si="10"/>
        <v>3.0912148634579962E-2</v>
      </c>
      <c r="AA109">
        <v>1668595</v>
      </c>
      <c r="AB109">
        <v>14223</v>
      </c>
      <c r="AC109">
        <v>15735079</v>
      </c>
      <c r="AD109" t="s">
        <v>1</v>
      </c>
      <c r="AE109">
        <v>26</v>
      </c>
      <c r="AF109">
        <v>3</v>
      </c>
      <c r="AH109" t="s">
        <v>1833</v>
      </c>
      <c r="AI109" t="s">
        <v>1832</v>
      </c>
      <c r="AJ109" t="s">
        <v>1831</v>
      </c>
      <c r="AK109" t="s">
        <v>1830</v>
      </c>
      <c r="AL109">
        <v>63</v>
      </c>
      <c r="AM109" s="5">
        <f t="shared" si="11"/>
        <v>1.96875</v>
      </c>
      <c r="AN109" s="4">
        <f t="shared" si="12"/>
        <v>2.9818250662627791E-3</v>
      </c>
      <c r="AO109" s="3"/>
      <c r="AP109">
        <v>0</v>
      </c>
      <c r="AR109" t="s">
        <v>0</v>
      </c>
      <c r="AT109" s="2">
        <v>3.573</v>
      </c>
      <c r="AU109" s="1">
        <f t="shared" si="13"/>
        <v>2.2533051564084805</v>
      </c>
      <c r="AV109" s="1">
        <f t="shared" si="14"/>
        <v>1.6946986850421371</v>
      </c>
      <c r="AW109" s="1">
        <f t="shared" si="15"/>
        <v>1.1360922136757934</v>
      </c>
    </row>
    <row r="110" spans="1:49" x14ac:dyDescent="0.2">
      <c r="A110">
        <v>108</v>
      </c>
      <c r="B110" t="s">
        <v>1829</v>
      </c>
      <c r="C110" t="s">
        <v>1828</v>
      </c>
      <c r="F110" t="s">
        <v>1827</v>
      </c>
      <c r="G110" t="s">
        <v>4</v>
      </c>
      <c r="H110" t="s">
        <v>3</v>
      </c>
      <c r="I110" t="s">
        <v>1826</v>
      </c>
      <c r="J110" t="s">
        <v>1825</v>
      </c>
      <c r="K110" t="s">
        <v>1824</v>
      </c>
      <c r="L110" t="s">
        <v>1823</v>
      </c>
      <c r="M110" t="s">
        <v>1822</v>
      </c>
      <c r="N110">
        <v>3</v>
      </c>
      <c r="O110" t="s">
        <v>1821</v>
      </c>
      <c r="P110" t="s">
        <v>1820</v>
      </c>
      <c r="Q110" t="s">
        <v>1819</v>
      </c>
      <c r="R110" s="7">
        <v>33208</v>
      </c>
      <c r="S110" s="8">
        <f t="shared" si="8"/>
        <v>1990</v>
      </c>
      <c r="T110" s="8">
        <v>1990</v>
      </c>
      <c r="U110" s="8">
        <f t="shared" si="9"/>
        <v>32</v>
      </c>
      <c r="V110" s="7">
        <v>33208</v>
      </c>
      <c r="W110" t="s">
        <v>858</v>
      </c>
      <c r="X110" s="2">
        <v>1.026</v>
      </c>
      <c r="Y110" s="6">
        <f t="shared" si="10"/>
        <v>2.738848402338432E-2</v>
      </c>
      <c r="AA110">
        <v>380938</v>
      </c>
      <c r="AB110">
        <v>28245</v>
      </c>
      <c r="AC110" t="s">
        <v>857</v>
      </c>
      <c r="AD110" t="s">
        <v>1</v>
      </c>
      <c r="AE110">
        <v>130</v>
      </c>
      <c r="AF110" s="9">
        <v>44228</v>
      </c>
      <c r="AH110" t="s">
        <v>1818</v>
      </c>
      <c r="AI110" t="s">
        <v>1817</v>
      </c>
      <c r="AK110" t="s">
        <v>1816</v>
      </c>
      <c r="AL110">
        <v>13</v>
      </c>
      <c r="AM110" s="5">
        <f t="shared" si="11"/>
        <v>0.40625</v>
      </c>
      <c r="AN110" s="4">
        <f t="shared" si="12"/>
        <v>6.1529723589549411E-4</v>
      </c>
      <c r="AO110" s="3"/>
      <c r="AP110">
        <v>0</v>
      </c>
      <c r="AR110" t="s">
        <v>0</v>
      </c>
      <c r="AT110" s="2">
        <v>2.6709999999999998</v>
      </c>
      <c r="AU110" s="1">
        <f t="shared" si="13"/>
        <v>1.9356527987137673</v>
      </c>
      <c r="AV110" s="1">
        <f t="shared" si="14"/>
        <v>1.4001890629639908</v>
      </c>
      <c r="AW110" s="1">
        <f t="shared" si="15"/>
        <v>0.86472532721421413</v>
      </c>
    </row>
    <row r="111" spans="1:49" x14ac:dyDescent="0.2">
      <c r="A111">
        <v>109</v>
      </c>
      <c r="B111" t="s">
        <v>1815</v>
      </c>
      <c r="C111" t="s">
        <v>1814</v>
      </c>
      <c r="F111" t="s">
        <v>1813</v>
      </c>
      <c r="G111" t="s">
        <v>4</v>
      </c>
      <c r="H111" t="s">
        <v>3</v>
      </c>
      <c r="I111" t="s">
        <v>1812</v>
      </c>
      <c r="J111" t="s">
        <v>1811</v>
      </c>
      <c r="K111" t="s">
        <v>1810</v>
      </c>
      <c r="L111" t="s">
        <v>1809</v>
      </c>
      <c r="M111" t="s">
        <v>1808</v>
      </c>
      <c r="N111">
        <v>7</v>
      </c>
      <c r="O111" t="s">
        <v>1807</v>
      </c>
      <c r="P111" t="s">
        <v>1806</v>
      </c>
      <c r="Q111" t="s">
        <v>1805</v>
      </c>
      <c r="R111" s="7">
        <v>33208</v>
      </c>
      <c r="S111" s="8">
        <f t="shared" si="8"/>
        <v>1990</v>
      </c>
      <c r="T111" s="8">
        <v>1990</v>
      </c>
      <c r="U111" s="8">
        <f t="shared" si="9"/>
        <v>32</v>
      </c>
      <c r="V111" s="7">
        <v>33208</v>
      </c>
      <c r="W111" t="s">
        <v>250</v>
      </c>
      <c r="X111" s="2">
        <v>0.85499999999999998</v>
      </c>
      <c r="Y111" s="6">
        <f t="shared" si="10"/>
        <v>2.28237366861536E-2</v>
      </c>
      <c r="AA111">
        <v>980331</v>
      </c>
      <c r="AB111">
        <v>23342</v>
      </c>
      <c r="AC111">
        <v>15731561</v>
      </c>
      <c r="AD111" t="s">
        <v>1</v>
      </c>
      <c r="AE111">
        <v>16</v>
      </c>
      <c r="AF111">
        <v>12</v>
      </c>
      <c r="AH111" t="s">
        <v>1804</v>
      </c>
      <c r="AI111" t="s">
        <v>1803</v>
      </c>
      <c r="AJ111" t="s">
        <v>1802</v>
      </c>
      <c r="AK111" t="s">
        <v>1801</v>
      </c>
      <c r="AL111">
        <v>74</v>
      </c>
      <c r="AM111" s="5">
        <f t="shared" si="11"/>
        <v>2.3125</v>
      </c>
      <c r="AN111" s="4">
        <f t="shared" si="12"/>
        <v>3.5024611889435818E-3</v>
      </c>
      <c r="AO111" s="3"/>
      <c r="AP111">
        <v>0</v>
      </c>
      <c r="AR111" t="s">
        <v>0</v>
      </c>
      <c r="AT111" s="2">
        <v>2.6259999999999999</v>
      </c>
      <c r="AU111" s="1">
        <f t="shared" si="13"/>
        <v>1.7027354036990592</v>
      </c>
      <c r="AV111" s="1">
        <f t="shared" si="14"/>
        <v>1.316309893754859</v>
      </c>
      <c r="AW111" s="1">
        <f t="shared" si="15"/>
        <v>0.92988438381065874</v>
      </c>
    </row>
    <row r="112" spans="1:49" x14ac:dyDescent="0.2">
      <c r="A112">
        <v>110</v>
      </c>
      <c r="B112" t="s">
        <v>1800</v>
      </c>
      <c r="C112" t="s">
        <v>1799</v>
      </c>
      <c r="F112" t="s">
        <v>1798</v>
      </c>
      <c r="G112" t="s">
        <v>4</v>
      </c>
      <c r="H112" t="s">
        <v>3</v>
      </c>
      <c r="I112" t="s">
        <v>1797</v>
      </c>
      <c r="J112">
        <v>60102562</v>
      </c>
      <c r="K112" t="s">
        <v>1796</v>
      </c>
      <c r="L112" t="s">
        <v>50</v>
      </c>
      <c r="M112" t="s">
        <v>19</v>
      </c>
      <c r="N112">
        <v>2</v>
      </c>
      <c r="O112" t="s">
        <v>1795</v>
      </c>
      <c r="P112" t="s">
        <v>1794</v>
      </c>
      <c r="Q112" t="s">
        <v>1793</v>
      </c>
      <c r="R112" s="7">
        <v>33208</v>
      </c>
      <c r="S112" s="8">
        <f t="shared" si="8"/>
        <v>1990</v>
      </c>
      <c r="T112" s="8">
        <v>1990</v>
      </c>
      <c r="U112" s="8">
        <f t="shared" si="9"/>
        <v>32</v>
      </c>
      <c r="V112" s="7">
        <v>1990</v>
      </c>
      <c r="W112" t="s">
        <v>1792</v>
      </c>
      <c r="X112" s="2">
        <v>0.69899999999999995</v>
      </c>
      <c r="Y112" s="6">
        <f t="shared" si="10"/>
        <v>1.8659405782013295E-2</v>
      </c>
      <c r="AA112">
        <v>218979</v>
      </c>
      <c r="AB112">
        <v>28132</v>
      </c>
      <c r="AD112" t="s">
        <v>1</v>
      </c>
      <c r="AE112">
        <v>67</v>
      </c>
      <c r="AF112">
        <v>2</v>
      </c>
      <c r="AH112" t="s">
        <v>1791</v>
      </c>
      <c r="AI112" t="s">
        <v>1790</v>
      </c>
      <c r="AK112" t="s">
        <v>1789</v>
      </c>
      <c r="AL112">
        <v>73</v>
      </c>
      <c r="AM112" s="5">
        <f t="shared" si="11"/>
        <v>2.28125</v>
      </c>
      <c r="AN112" s="4">
        <f t="shared" si="12"/>
        <v>3.4551306323362362E-3</v>
      </c>
      <c r="AO112" s="3"/>
      <c r="AP112">
        <v>0</v>
      </c>
      <c r="AR112" t="s">
        <v>0</v>
      </c>
      <c r="AT112" s="2">
        <v>2.5459999999999998</v>
      </c>
      <c r="AU112" s="1">
        <f t="shared" si="13"/>
        <v>1.4098123237110176</v>
      </c>
      <c r="AV112" s="1">
        <f t="shared" si="14"/>
        <v>1.1057268207174766</v>
      </c>
      <c r="AW112" s="1">
        <f t="shared" si="15"/>
        <v>0.80164131772393532</v>
      </c>
    </row>
    <row r="113" spans="1:49" x14ac:dyDescent="0.2">
      <c r="A113">
        <v>111</v>
      </c>
      <c r="B113" t="s">
        <v>1788</v>
      </c>
      <c r="C113" t="s">
        <v>1787</v>
      </c>
      <c r="F113" t="s">
        <v>1786</v>
      </c>
      <c r="G113" t="s">
        <v>4</v>
      </c>
      <c r="H113" t="s">
        <v>3</v>
      </c>
      <c r="I113" t="s">
        <v>1785</v>
      </c>
      <c r="J113">
        <v>60030210</v>
      </c>
      <c r="K113" t="s">
        <v>1784</v>
      </c>
      <c r="L113" t="s">
        <v>1783</v>
      </c>
      <c r="M113" t="s">
        <v>23</v>
      </c>
      <c r="N113">
        <v>2</v>
      </c>
      <c r="O113" t="s">
        <v>1782</v>
      </c>
      <c r="P113" t="s">
        <v>1781</v>
      </c>
      <c r="Q113" t="s">
        <v>1780</v>
      </c>
      <c r="R113" s="7">
        <v>33208</v>
      </c>
      <c r="S113" s="8">
        <f t="shared" si="8"/>
        <v>1990</v>
      </c>
      <c r="T113" s="8">
        <v>1990</v>
      </c>
      <c r="U113" s="8">
        <f t="shared" si="9"/>
        <v>32</v>
      </c>
      <c r="V113" s="7">
        <v>33208</v>
      </c>
      <c r="W113" t="s">
        <v>250</v>
      </c>
      <c r="X113" s="2">
        <v>0.85499999999999998</v>
      </c>
      <c r="Y113" s="6">
        <f t="shared" si="10"/>
        <v>2.28237366861536E-2</v>
      </c>
      <c r="AA113">
        <v>980331</v>
      </c>
      <c r="AB113">
        <v>23342</v>
      </c>
      <c r="AC113">
        <v>15731561</v>
      </c>
      <c r="AD113" t="s">
        <v>1</v>
      </c>
      <c r="AE113">
        <v>16</v>
      </c>
      <c r="AF113">
        <v>12</v>
      </c>
      <c r="AH113" t="s">
        <v>1779</v>
      </c>
      <c r="AI113" t="s">
        <v>1778</v>
      </c>
      <c r="AJ113" t="s">
        <v>1777</v>
      </c>
      <c r="AK113" t="s">
        <v>1776</v>
      </c>
      <c r="AL113">
        <v>55</v>
      </c>
      <c r="AM113" s="5">
        <f t="shared" si="11"/>
        <v>1.71875</v>
      </c>
      <c r="AN113" s="4">
        <f t="shared" si="12"/>
        <v>2.6031806134040134E-3</v>
      </c>
      <c r="AO113" s="3"/>
      <c r="AP113">
        <v>0</v>
      </c>
      <c r="AR113" t="s">
        <v>0</v>
      </c>
      <c r="AT113" s="2">
        <v>2.6259999999999999</v>
      </c>
      <c r="AU113" s="1">
        <f t="shared" si="13"/>
        <v>1.6757569864328723</v>
      </c>
      <c r="AV113" s="1">
        <f t="shared" si="14"/>
        <v>1.2713458649778808</v>
      </c>
      <c r="AW113" s="1">
        <f t="shared" si="15"/>
        <v>0.86693474352288891</v>
      </c>
    </row>
    <row r="114" spans="1:49" x14ac:dyDescent="0.2">
      <c r="A114">
        <v>112</v>
      </c>
      <c r="B114" t="s">
        <v>1775</v>
      </c>
      <c r="C114" t="s">
        <v>1774</v>
      </c>
      <c r="F114" t="s">
        <v>1773</v>
      </c>
      <c r="G114" t="s">
        <v>4</v>
      </c>
      <c r="H114" t="s">
        <v>3</v>
      </c>
      <c r="I114" t="s">
        <v>1772</v>
      </c>
      <c r="J114" t="s">
        <v>1771</v>
      </c>
      <c r="K114" t="s">
        <v>1770</v>
      </c>
      <c r="L114" t="s">
        <v>1769</v>
      </c>
      <c r="M114" t="s">
        <v>11</v>
      </c>
      <c r="N114">
        <v>5</v>
      </c>
      <c r="O114" t="s">
        <v>1768</v>
      </c>
      <c r="P114" t="s">
        <v>1767</v>
      </c>
      <c r="Q114" t="s">
        <v>1766</v>
      </c>
      <c r="R114" s="7">
        <v>33208</v>
      </c>
      <c r="S114" s="8">
        <f t="shared" si="8"/>
        <v>1990</v>
      </c>
      <c r="T114" s="8">
        <v>1990</v>
      </c>
      <c r="U114" s="8">
        <f t="shared" si="9"/>
        <v>32</v>
      </c>
      <c r="V114" s="7">
        <v>1990</v>
      </c>
      <c r="W114" t="s">
        <v>1765</v>
      </c>
      <c r="X114" s="2">
        <v>1.1819999999999999</v>
      </c>
      <c r="Y114" s="6">
        <f t="shared" si="10"/>
        <v>3.1552814927524625E-2</v>
      </c>
      <c r="AA114">
        <v>36951</v>
      </c>
      <c r="AB114">
        <v>27030</v>
      </c>
      <c r="AD114" t="s">
        <v>1</v>
      </c>
      <c r="AE114">
        <v>56</v>
      </c>
      <c r="AF114">
        <v>10</v>
      </c>
      <c r="AH114" t="s">
        <v>1764</v>
      </c>
      <c r="AI114" t="s">
        <v>1763</v>
      </c>
      <c r="AK114" t="s">
        <v>1762</v>
      </c>
      <c r="AL114">
        <v>123</v>
      </c>
      <c r="AM114" s="5">
        <f t="shared" si="11"/>
        <v>3.84375</v>
      </c>
      <c r="AN114" s="4">
        <f t="shared" si="12"/>
        <v>5.8216584627035217E-3</v>
      </c>
      <c r="AO114" s="3"/>
      <c r="AP114">
        <v>0</v>
      </c>
      <c r="AR114" t="s">
        <v>0</v>
      </c>
      <c r="AT114" s="2">
        <v>3.7909999999999999</v>
      </c>
      <c r="AU114" s="1">
        <f t="shared" si="13"/>
        <v>2.3833467988078292</v>
      </c>
      <c r="AV114" s="1">
        <f t="shared" si="14"/>
        <v>1.8687236695114073</v>
      </c>
      <c r="AW114" s="1">
        <f t="shared" si="15"/>
        <v>1.3541005402149853</v>
      </c>
    </row>
    <row r="115" spans="1:49" x14ac:dyDescent="0.2">
      <c r="A115">
        <v>113</v>
      </c>
      <c r="B115" t="s">
        <v>1761</v>
      </c>
      <c r="C115" t="s">
        <v>1760</v>
      </c>
      <c r="D115">
        <v>92867490904995</v>
      </c>
      <c r="E115">
        <v>1979525</v>
      </c>
      <c r="F115" t="s">
        <v>1759</v>
      </c>
      <c r="G115" t="s">
        <v>4</v>
      </c>
      <c r="H115" t="s">
        <v>3</v>
      </c>
      <c r="I115" t="s">
        <v>1758</v>
      </c>
      <c r="J115" t="s">
        <v>1757</v>
      </c>
      <c r="K115" t="s">
        <v>1756</v>
      </c>
      <c r="L115" t="s">
        <v>1755</v>
      </c>
      <c r="M115" t="s">
        <v>10</v>
      </c>
      <c r="N115">
        <v>3</v>
      </c>
      <c r="O115" t="s">
        <v>1754</v>
      </c>
      <c r="P115" t="s">
        <v>1753</v>
      </c>
      <c r="Q115" t="s">
        <v>1752</v>
      </c>
      <c r="R115" s="7">
        <v>33207</v>
      </c>
      <c r="S115" s="8">
        <f t="shared" si="8"/>
        <v>1990</v>
      </c>
      <c r="T115" s="8">
        <v>1990</v>
      </c>
      <c r="U115" s="8">
        <f t="shared" si="9"/>
        <v>32</v>
      </c>
      <c r="V115" s="7">
        <v>33207</v>
      </c>
      <c r="W115" t="s">
        <v>244</v>
      </c>
      <c r="X115" s="2">
        <v>26.303999999999998</v>
      </c>
      <c r="Y115" s="6">
        <f t="shared" si="10"/>
        <v>0.70217025706735003</v>
      </c>
      <c r="AA115">
        <v>928674</v>
      </c>
      <c r="AB115">
        <v>18434</v>
      </c>
      <c r="AD115" t="s">
        <v>1</v>
      </c>
      <c r="AE115">
        <v>63</v>
      </c>
      <c r="AF115">
        <v>5</v>
      </c>
      <c r="AH115" t="s">
        <v>1751</v>
      </c>
      <c r="AI115" t="s">
        <v>1750</v>
      </c>
      <c r="AK115" t="s">
        <v>1749</v>
      </c>
      <c r="AL115">
        <v>138</v>
      </c>
      <c r="AM115" s="5">
        <f t="shared" si="11"/>
        <v>4.3125</v>
      </c>
      <c r="AN115" s="4">
        <f t="shared" si="12"/>
        <v>6.531616811813707E-3</v>
      </c>
      <c r="AO115" s="3"/>
      <c r="AP115">
        <v>0</v>
      </c>
      <c r="AQ115" t="s">
        <v>88</v>
      </c>
      <c r="AR115" t="s">
        <v>1748</v>
      </c>
      <c r="AS115" t="s">
        <v>87</v>
      </c>
      <c r="AT115" s="2">
        <v>41.582000000000001</v>
      </c>
      <c r="AU115" s="1">
        <f t="shared" si="13"/>
        <v>49.347866499068907</v>
      </c>
      <c r="AV115" s="1">
        <f t="shared" si="14"/>
        <v>35.435093693958187</v>
      </c>
      <c r="AW115" s="1">
        <f t="shared" si="15"/>
        <v>21.52232088884746</v>
      </c>
    </row>
    <row r="116" spans="1:49" x14ac:dyDescent="0.2">
      <c r="A116">
        <v>114</v>
      </c>
      <c r="B116" t="s">
        <v>1747</v>
      </c>
      <c r="C116" t="s">
        <v>1746</v>
      </c>
      <c r="F116" t="s">
        <v>1745</v>
      </c>
      <c r="G116" t="s">
        <v>4</v>
      </c>
      <c r="H116" t="s">
        <v>3</v>
      </c>
      <c r="I116" t="s">
        <v>1744</v>
      </c>
      <c r="J116" t="s">
        <v>1743</v>
      </c>
      <c r="K116" t="s">
        <v>1742</v>
      </c>
      <c r="L116" t="s">
        <v>1741</v>
      </c>
      <c r="M116" t="s">
        <v>99</v>
      </c>
      <c r="N116">
        <v>2</v>
      </c>
      <c r="O116" t="s">
        <v>1740</v>
      </c>
      <c r="P116" t="s">
        <v>1739</v>
      </c>
      <c r="Q116" t="s">
        <v>1738</v>
      </c>
      <c r="R116" s="7">
        <v>33197</v>
      </c>
      <c r="S116" s="8">
        <f t="shared" si="8"/>
        <v>1990</v>
      </c>
      <c r="T116" s="8">
        <v>1990</v>
      </c>
      <c r="U116" s="8">
        <f t="shared" si="9"/>
        <v>32</v>
      </c>
      <c r="V116" s="7">
        <v>33197</v>
      </c>
      <c r="W116" t="s">
        <v>30</v>
      </c>
      <c r="X116" s="2">
        <v>2.3759999999999999</v>
      </c>
      <c r="Y116" s="6">
        <f t="shared" si="10"/>
        <v>6.3425963001521576E-2</v>
      </c>
      <c r="AA116" t="s">
        <v>29</v>
      </c>
      <c r="AB116">
        <v>26765</v>
      </c>
      <c r="AC116">
        <v>15384357</v>
      </c>
      <c r="AD116" t="s">
        <v>1</v>
      </c>
      <c r="AE116">
        <v>364</v>
      </c>
      <c r="AF116">
        <v>1</v>
      </c>
      <c r="AH116" t="s">
        <v>1737</v>
      </c>
      <c r="AI116" t="s">
        <v>1736</v>
      </c>
      <c r="AJ116" t="s">
        <v>1735</v>
      </c>
      <c r="AK116" t="s">
        <v>1734</v>
      </c>
      <c r="AL116">
        <v>43</v>
      </c>
      <c r="AM116" s="5">
        <f t="shared" si="11"/>
        <v>1.34375</v>
      </c>
      <c r="AN116" s="4">
        <f t="shared" si="12"/>
        <v>2.0352139341158651E-3</v>
      </c>
      <c r="AO116" s="3"/>
      <c r="AP116">
        <v>0</v>
      </c>
      <c r="AR116" t="s">
        <v>0</v>
      </c>
      <c r="AT116" s="2">
        <v>5.8739999999999997</v>
      </c>
      <c r="AU116" s="1">
        <f t="shared" si="13"/>
        <v>4.5008738281299854</v>
      </c>
      <c r="AV116" s="1">
        <f t="shared" si="14"/>
        <v>3.273058846781872</v>
      </c>
      <c r="AW116" s="1">
        <f t="shared" si="15"/>
        <v>2.0452438654337581</v>
      </c>
    </row>
    <row r="117" spans="1:49" x14ac:dyDescent="0.2">
      <c r="A117">
        <v>115</v>
      </c>
      <c r="B117" t="s">
        <v>1733</v>
      </c>
      <c r="C117" t="s">
        <v>1732</v>
      </c>
      <c r="D117">
        <v>5272890900467</v>
      </c>
      <c r="F117" t="s">
        <v>1731</v>
      </c>
      <c r="G117" t="s">
        <v>4</v>
      </c>
      <c r="H117" t="s">
        <v>3</v>
      </c>
      <c r="I117" t="s">
        <v>1730</v>
      </c>
      <c r="J117">
        <v>60008134</v>
      </c>
      <c r="K117" t="s">
        <v>249</v>
      </c>
      <c r="L117" t="s">
        <v>215</v>
      </c>
      <c r="M117" t="s">
        <v>94</v>
      </c>
      <c r="N117">
        <v>5</v>
      </c>
      <c r="O117" t="s">
        <v>1729</v>
      </c>
      <c r="P117" t="s">
        <v>1728</v>
      </c>
      <c r="Q117" t="s">
        <v>1727</v>
      </c>
      <c r="R117" s="7">
        <v>33182</v>
      </c>
      <c r="S117" s="8">
        <f t="shared" si="8"/>
        <v>1990</v>
      </c>
      <c r="T117" s="8">
        <v>1990</v>
      </c>
      <c r="U117" s="8">
        <f t="shared" si="9"/>
        <v>32</v>
      </c>
      <c r="V117" s="7">
        <v>33182</v>
      </c>
      <c r="W117" t="s">
        <v>234</v>
      </c>
      <c r="X117" s="2">
        <v>1.59</v>
      </c>
      <c r="Y117" s="6">
        <f t="shared" si="10"/>
        <v>4.2444141907583888E-2</v>
      </c>
      <c r="AA117">
        <v>52728</v>
      </c>
      <c r="AB117">
        <v>16791</v>
      </c>
      <c r="AD117" t="s">
        <v>1</v>
      </c>
      <c r="AE117">
        <v>1020</v>
      </c>
      <c r="AF117">
        <v>2</v>
      </c>
      <c r="AH117" t="s">
        <v>1726</v>
      </c>
      <c r="AI117" t="s">
        <v>1725</v>
      </c>
      <c r="AJ117" t="s">
        <v>1724</v>
      </c>
      <c r="AK117" t="s">
        <v>1723</v>
      </c>
      <c r="AL117">
        <v>30</v>
      </c>
      <c r="AM117" s="5">
        <f t="shared" si="11"/>
        <v>0.9375</v>
      </c>
      <c r="AN117" s="4">
        <f t="shared" si="12"/>
        <v>1.4199166982203711E-3</v>
      </c>
      <c r="AO117" s="3"/>
      <c r="AP117">
        <v>0</v>
      </c>
      <c r="AR117" t="s">
        <v>0</v>
      </c>
      <c r="AT117" s="2" t="s">
        <v>13</v>
      </c>
      <c r="AU117" s="1">
        <f t="shared" si="13"/>
        <v>3.0136874344774833</v>
      </c>
      <c r="AV117" s="1">
        <f t="shared" si="14"/>
        <v>2.1932029302902127</v>
      </c>
      <c r="AW117" s="1">
        <f t="shared" si="15"/>
        <v>1.3727184261029426</v>
      </c>
    </row>
    <row r="118" spans="1:49" x14ac:dyDescent="0.2">
      <c r="A118">
        <v>116</v>
      </c>
      <c r="B118" t="s">
        <v>1722</v>
      </c>
      <c r="C118" t="s">
        <v>1721</v>
      </c>
      <c r="F118" t="s">
        <v>1720</v>
      </c>
      <c r="G118" t="s">
        <v>4</v>
      </c>
      <c r="H118" t="s">
        <v>3</v>
      </c>
      <c r="I118" t="s">
        <v>1719</v>
      </c>
      <c r="J118" t="s">
        <v>1718</v>
      </c>
      <c r="K118" t="s">
        <v>1717</v>
      </c>
      <c r="L118" t="s">
        <v>1716</v>
      </c>
      <c r="M118" t="s">
        <v>11</v>
      </c>
      <c r="N118">
        <v>2</v>
      </c>
      <c r="O118" t="s">
        <v>1715</v>
      </c>
      <c r="P118" t="s">
        <v>1714</v>
      </c>
      <c r="Q118" t="s">
        <v>1713</v>
      </c>
      <c r="R118" s="7">
        <v>33178</v>
      </c>
      <c r="S118" s="8">
        <f t="shared" si="8"/>
        <v>1990</v>
      </c>
      <c r="T118" s="8">
        <v>1990</v>
      </c>
      <c r="U118" s="8">
        <f t="shared" si="9"/>
        <v>32</v>
      </c>
      <c r="V118" s="7">
        <v>33178</v>
      </c>
      <c r="W118" t="s">
        <v>1712</v>
      </c>
      <c r="X118" s="2" t="s">
        <v>13</v>
      </c>
      <c r="Y118" s="6" t="e">
        <f t="shared" si="10"/>
        <v>#VALUE!</v>
      </c>
      <c r="AA118">
        <v>2562499</v>
      </c>
      <c r="AB118">
        <v>23531</v>
      </c>
      <c r="AC118">
        <v>9737677</v>
      </c>
      <c r="AD118" t="s">
        <v>1</v>
      </c>
      <c r="AE118">
        <v>15</v>
      </c>
      <c r="AF118">
        <v>3</v>
      </c>
      <c r="AH118" t="s">
        <v>1711</v>
      </c>
      <c r="AI118" t="s">
        <v>1710</v>
      </c>
      <c r="AJ118" t="s">
        <v>1709</v>
      </c>
      <c r="AK118" t="s">
        <v>1708</v>
      </c>
      <c r="AL118">
        <v>7</v>
      </c>
      <c r="AM118" s="5">
        <f t="shared" si="11"/>
        <v>0.21875</v>
      </c>
      <c r="AN118" s="4">
        <f t="shared" si="12"/>
        <v>3.3131389625141994E-4</v>
      </c>
      <c r="AO118" s="3"/>
      <c r="AP118">
        <v>1</v>
      </c>
      <c r="AR118" t="s">
        <v>0</v>
      </c>
      <c r="AT118" s="2" t="s">
        <v>13</v>
      </c>
      <c r="AU118" s="1" t="e">
        <f t="shared" si="13"/>
        <v>#VALUE!</v>
      </c>
      <c r="AV118" s="1" t="e">
        <f t="shared" si="14"/>
        <v>#VALUE!</v>
      </c>
      <c r="AW118" s="1" t="e">
        <f t="shared" si="15"/>
        <v>#VALUE!</v>
      </c>
    </row>
    <row r="119" spans="1:49" x14ac:dyDescent="0.2">
      <c r="A119">
        <v>117</v>
      </c>
      <c r="B119" t="s">
        <v>1707</v>
      </c>
      <c r="C119" t="s">
        <v>1706</v>
      </c>
      <c r="F119" t="s">
        <v>1705</v>
      </c>
      <c r="G119" t="s">
        <v>4</v>
      </c>
      <c r="H119" t="s">
        <v>3</v>
      </c>
      <c r="I119" t="s">
        <v>1704</v>
      </c>
      <c r="J119">
        <v>60020304</v>
      </c>
      <c r="K119" t="s">
        <v>1703</v>
      </c>
      <c r="L119" t="s">
        <v>1702</v>
      </c>
      <c r="M119" t="s">
        <v>19</v>
      </c>
      <c r="N119">
        <v>3</v>
      </c>
      <c r="O119" t="s">
        <v>1701</v>
      </c>
      <c r="P119" t="s">
        <v>1700</v>
      </c>
      <c r="Q119" t="s">
        <v>1699</v>
      </c>
      <c r="R119" s="7">
        <v>33178</v>
      </c>
      <c r="S119" s="8">
        <f t="shared" si="8"/>
        <v>1990</v>
      </c>
      <c r="T119" s="8">
        <v>1990</v>
      </c>
      <c r="U119" s="8">
        <f t="shared" si="9"/>
        <v>32</v>
      </c>
      <c r="V119" s="7">
        <v>33178</v>
      </c>
      <c r="W119" t="s">
        <v>1698</v>
      </c>
      <c r="X119" s="2">
        <v>0.59799999999999998</v>
      </c>
      <c r="Y119" s="6">
        <f t="shared" si="10"/>
        <v>1.5963268465871174E-2</v>
      </c>
      <c r="AA119">
        <v>222291</v>
      </c>
      <c r="AB119">
        <v>13763</v>
      </c>
      <c r="AC119">
        <v>15737357</v>
      </c>
      <c r="AD119" t="s">
        <v>1</v>
      </c>
      <c r="AE119">
        <v>81</v>
      </c>
      <c r="AF119" s="9">
        <v>44289</v>
      </c>
      <c r="AH119" t="s">
        <v>1697</v>
      </c>
      <c r="AI119" t="s">
        <v>1696</v>
      </c>
      <c r="AK119" t="s">
        <v>1695</v>
      </c>
      <c r="AL119">
        <v>12</v>
      </c>
      <c r="AM119" s="5">
        <f t="shared" si="11"/>
        <v>0.375</v>
      </c>
      <c r="AN119" s="4">
        <f t="shared" si="12"/>
        <v>5.6796667928814845E-4</v>
      </c>
      <c r="AO119" s="3"/>
      <c r="AP119">
        <v>0</v>
      </c>
      <c r="AR119" t="s">
        <v>0</v>
      </c>
      <c r="AT119" s="2">
        <v>1.57</v>
      </c>
      <c r="AU119" s="1">
        <f t="shared" si="13"/>
        <v>1.1344677929896265</v>
      </c>
      <c r="AV119" s="1">
        <f t="shared" si="14"/>
        <v>0.82656175725796621</v>
      </c>
      <c r="AW119" s="1">
        <f t="shared" si="15"/>
        <v>0.51865572152630557</v>
      </c>
    </row>
    <row r="120" spans="1:49" x14ac:dyDescent="0.2">
      <c r="A120">
        <v>118</v>
      </c>
      <c r="B120" t="s">
        <v>1694</v>
      </c>
      <c r="C120" t="s">
        <v>1693</v>
      </c>
      <c r="F120" t="s">
        <v>1692</v>
      </c>
      <c r="G120" t="s">
        <v>4</v>
      </c>
      <c r="H120" t="s">
        <v>3</v>
      </c>
      <c r="I120" t="s">
        <v>354</v>
      </c>
      <c r="N120">
        <v>4</v>
      </c>
      <c r="O120" t="s">
        <v>1691</v>
      </c>
      <c r="P120" t="s">
        <v>1690</v>
      </c>
      <c r="Q120" t="s">
        <v>26</v>
      </c>
      <c r="R120" s="7">
        <v>33178</v>
      </c>
      <c r="S120" s="8">
        <f t="shared" si="8"/>
        <v>1990</v>
      </c>
      <c r="T120" s="8">
        <v>1990</v>
      </c>
      <c r="U120" s="8">
        <f t="shared" si="9"/>
        <v>32</v>
      </c>
      <c r="V120" s="7">
        <v>33178</v>
      </c>
      <c r="W120" t="s">
        <v>241</v>
      </c>
      <c r="X120" s="2">
        <v>0.14899999999999999</v>
      </c>
      <c r="Y120" s="6">
        <f t="shared" si="10"/>
        <v>3.977469902031446E-3</v>
      </c>
      <c r="AA120">
        <v>5431972</v>
      </c>
      <c r="AB120">
        <v>15425</v>
      </c>
      <c r="AC120">
        <v>15738906</v>
      </c>
      <c r="AD120" t="s">
        <v>1</v>
      </c>
      <c r="AE120">
        <v>33</v>
      </c>
      <c r="AF120">
        <v>11</v>
      </c>
      <c r="AH120" t="s">
        <v>1689</v>
      </c>
      <c r="AL120">
        <v>0</v>
      </c>
      <c r="AM120" s="5">
        <f t="shared" si="11"/>
        <v>0</v>
      </c>
      <c r="AN120" s="4">
        <f t="shared" si="12"/>
        <v>0</v>
      </c>
      <c r="AO120" s="3"/>
      <c r="AP120">
        <v>0</v>
      </c>
      <c r="AR120" t="s">
        <v>0</v>
      </c>
      <c r="AT120" s="2" t="s">
        <v>13</v>
      </c>
      <c r="AU120" s="1">
        <f t="shared" si="13"/>
        <v>0.2784228931422012</v>
      </c>
      <c r="AV120" s="1">
        <f t="shared" si="14"/>
        <v>0.19887349510157229</v>
      </c>
      <c r="AW120" s="1">
        <f t="shared" si="15"/>
        <v>0.11932409706094337</v>
      </c>
    </row>
    <row r="121" spans="1:49" x14ac:dyDescent="0.2">
      <c r="A121">
        <v>119</v>
      </c>
      <c r="B121" t="s">
        <v>1688</v>
      </c>
      <c r="C121" t="s">
        <v>1687</v>
      </c>
      <c r="F121" t="s">
        <v>1686</v>
      </c>
      <c r="G121" t="s">
        <v>4</v>
      </c>
      <c r="H121" t="s">
        <v>3</v>
      </c>
      <c r="I121" t="s">
        <v>1685</v>
      </c>
      <c r="N121">
        <v>2</v>
      </c>
      <c r="O121" t="s">
        <v>1684</v>
      </c>
      <c r="P121" t="s">
        <v>1683</v>
      </c>
      <c r="Q121" t="s">
        <v>12</v>
      </c>
      <c r="R121" s="7">
        <v>33178</v>
      </c>
      <c r="S121" s="8">
        <f t="shared" si="8"/>
        <v>1990</v>
      </c>
      <c r="T121" s="8">
        <v>1990</v>
      </c>
      <c r="U121" s="8">
        <f t="shared" si="9"/>
        <v>32</v>
      </c>
      <c r="V121" s="7">
        <v>33178</v>
      </c>
      <c r="W121" t="s">
        <v>241</v>
      </c>
      <c r="X121" s="2">
        <v>0.14899999999999999</v>
      </c>
      <c r="Y121" s="6">
        <f t="shared" si="10"/>
        <v>3.977469902031446E-3</v>
      </c>
      <c r="AA121">
        <v>5431972</v>
      </c>
      <c r="AB121">
        <v>15425</v>
      </c>
      <c r="AC121">
        <v>15738906</v>
      </c>
      <c r="AD121" t="s">
        <v>1</v>
      </c>
      <c r="AE121">
        <v>33</v>
      </c>
      <c r="AF121">
        <v>11</v>
      </c>
      <c r="AH121" t="s">
        <v>1682</v>
      </c>
      <c r="AL121">
        <v>0</v>
      </c>
      <c r="AM121" s="5">
        <f t="shared" si="11"/>
        <v>0</v>
      </c>
      <c r="AN121" s="4">
        <f t="shared" si="12"/>
        <v>0</v>
      </c>
      <c r="AO121" s="3"/>
      <c r="AP121">
        <v>0</v>
      </c>
      <c r="AR121" t="s">
        <v>0</v>
      </c>
      <c r="AT121" s="2" t="s">
        <v>13</v>
      </c>
      <c r="AU121" s="1">
        <f t="shared" si="13"/>
        <v>0.2784228931422012</v>
      </c>
      <c r="AV121" s="1">
        <f t="shared" si="14"/>
        <v>0.19887349510157229</v>
      </c>
      <c r="AW121" s="1">
        <f t="shared" si="15"/>
        <v>0.11932409706094337</v>
      </c>
    </row>
    <row r="122" spans="1:49" x14ac:dyDescent="0.2">
      <c r="A122">
        <v>120</v>
      </c>
      <c r="B122" t="s">
        <v>1681</v>
      </c>
      <c r="C122" t="s">
        <v>1680</v>
      </c>
      <c r="F122" t="s">
        <v>1679</v>
      </c>
      <c r="G122" t="s">
        <v>4</v>
      </c>
      <c r="H122" t="s">
        <v>3</v>
      </c>
      <c r="I122" t="s">
        <v>1678</v>
      </c>
      <c r="J122" t="s">
        <v>1677</v>
      </c>
      <c r="K122" t="s">
        <v>1676</v>
      </c>
      <c r="L122" t="s">
        <v>1675</v>
      </c>
      <c r="M122" t="s">
        <v>153</v>
      </c>
      <c r="N122">
        <v>2</v>
      </c>
      <c r="O122" t="s">
        <v>1674</v>
      </c>
      <c r="P122" t="s">
        <v>1673</v>
      </c>
      <c r="Q122" t="s">
        <v>1672</v>
      </c>
      <c r="R122" s="7">
        <v>33178</v>
      </c>
      <c r="S122" s="8">
        <f t="shared" si="8"/>
        <v>1990</v>
      </c>
      <c r="T122" s="8">
        <v>1990</v>
      </c>
      <c r="U122" s="8">
        <f t="shared" si="9"/>
        <v>32</v>
      </c>
      <c r="V122" s="7">
        <v>33178</v>
      </c>
      <c r="W122" t="s">
        <v>239</v>
      </c>
      <c r="X122" s="2">
        <v>0.61499999999999999</v>
      </c>
      <c r="Y122" s="6">
        <f t="shared" si="10"/>
        <v>1.6417073756706976E-2</v>
      </c>
      <c r="AA122">
        <v>1959271</v>
      </c>
      <c r="AB122">
        <v>12141</v>
      </c>
      <c r="AC122">
        <v>15729559</v>
      </c>
      <c r="AD122" t="s">
        <v>1</v>
      </c>
      <c r="AE122">
        <v>11</v>
      </c>
      <c r="AF122">
        <v>11</v>
      </c>
      <c r="AH122" t="s">
        <v>1671</v>
      </c>
      <c r="AI122" t="s">
        <v>1670</v>
      </c>
      <c r="AK122" t="s">
        <v>1669</v>
      </c>
      <c r="AL122">
        <v>2</v>
      </c>
      <c r="AM122" s="5">
        <f t="shared" si="11"/>
        <v>6.25E-2</v>
      </c>
      <c r="AN122" s="4">
        <f t="shared" si="12"/>
        <v>9.46611132146914E-5</v>
      </c>
      <c r="AO122" s="3"/>
      <c r="AP122">
        <v>0</v>
      </c>
      <c r="AR122" t="s">
        <v>0</v>
      </c>
      <c r="AT122" s="2" t="s">
        <v>13</v>
      </c>
      <c r="AU122" s="1">
        <f t="shared" si="13"/>
        <v>1.1520349963659289</v>
      </c>
      <c r="AV122" s="1">
        <f t="shared" si="14"/>
        <v>0.8255867434960833</v>
      </c>
      <c r="AW122" s="1">
        <f t="shared" si="15"/>
        <v>0.49913849062623766</v>
      </c>
    </row>
    <row r="123" spans="1:49" x14ac:dyDescent="0.2">
      <c r="A123">
        <v>121</v>
      </c>
      <c r="B123" t="s">
        <v>1668</v>
      </c>
      <c r="C123" t="s">
        <v>1667</v>
      </c>
      <c r="F123" t="s">
        <v>1666</v>
      </c>
      <c r="G123" t="s">
        <v>4</v>
      </c>
      <c r="H123" t="s">
        <v>3</v>
      </c>
      <c r="I123" t="s">
        <v>1665</v>
      </c>
      <c r="J123">
        <v>60005244</v>
      </c>
      <c r="K123" t="s">
        <v>169</v>
      </c>
      <c r="L123" t="s">
        <v>168</v>
      </c>
      <c r="M123" t="s">
        <v>59</v>
      </c>
      <c r="N123">
        <v>2</v>
      </c>
      <c r="O123" t="s">
        <v>1664</v>
      </c>
      <c r="P123" t="s">
        <v>1663</v>
      </c>
      <c r="Q123" t="s">
        <v>167</v>
      </c>
      <c r="R123" s="7">
        <v>33178</v>
      </c>
      <c r="S123" s="8">
        <f t="shared" si="8"/>
        <v>1990</v>
      </c>
      <c r="T123" s="8">
        <v>1990</v>
      </c>
      <c r="U123" s="8">
        <f t="shared" si="9"/>
        <v>32</v>
      </c>
      <c r="V123" s="7">
        <v>33178</v>
      </c>
      <c r="W123" t="s">
        <v>239</v>
      </c>
      <c r="X123" s="2">
        <v>0.61499999999999999</v>
      </c>
      <c r="Y123" s="6">
        <f t="shared" si="10"/>
        <v>1.6417073756706976E-2</v>
      </c>
      <c r="AA123">
        <v>1959271</v>
      </c>
      <c r="AB123">
        <v>12141</v>
      </c>
      <c r="AC123">
        <v>15729559</v>
      </c>
      <c r="AD123" t="s">
        <v>1</v>
      </c>
      <c r="AE123">
        <v>11</v>
      </c>
      <c r="AF123">
        <v>11</v>
      </c>
      <c r="AH123" t="s">
        <v>1662</v>
      </c>
      <c r="AI123" t="s">
        <v>1661</v>
      </c>
      <c r="AK123" t="s">
        <v>1660</v>
      </c>
      <c r="AL123">
        <v>1</v>
      </c>
      <c r="AM123" s="5">
        <f t="shared" si="11"/>
        <v>3.125E-2</v>
      </c>
      <c r="AN123" s="4">
        <f t="shared" si="12"/>
        <v>4.73305566073457E-5</v>
      </c>
      <c r="AO123" s="3"/>
      <c r="AP123">
        <v>0</v>
      </c>
      <c r="AR123" t="s">
        <v>0</v>
      </c>
      <c r="AT123" s="2" t="s">
        <v>13</v>
      </c>
      <c r="AU123" s="1">
        <f t="shared" si="13"/>
        <v>1.1506150796677086</v>
      </c>
      <c r="AV123" s="1">
        <f t="shared" si="14"/>
        <v>0.82322021566571602</v>
      </c>
      <c r="AW123" s="1">
        <f t="shared" si="15"/>
        <v>0.49582535166372338</v>
      </c>
    </row>
    <row r="124" spans="1:49" x14ac:dyDescent="0.2">
      <c r="A124">
        <v>122</v>
      </c>
      <c r="B124" t="s">
        <v>1659</v>
      </c>
      <c r="C124" t="s">
        <v>1658</v>
      </c>
      <c r="F124" t="s">
        <v>1657</v>
      </c>
      <c r="G124" t="s">
        <v>4</v>
      </c>
      <c r="H124" t="s">
        <v>3</v>
      </c>
      <c r="I124" t="s">
        <v>1656</v>
      </c>
      <c r="J124">
        <v>60000745</v>
      </c>
      <c r="K124" t="s">
        <v>111</v>
      </c>
      <c r="L124" t="s">
        <v>110</v>
      </c>
      <c r="M124" t="s">
        <v>19</v>
      </c>
      <c r="N124">
        <v>3</v>
      </c>
      <c r="O124" t="s">
        <v>1655</v>
      </c>
      <c r="P124" t="s">
        <v>1654</v>
      </c>
      <c r="Q124" t="s">
        <v>118</v>
      </c>
      <c r="R124" s="7">
        <v>33178</v>
      </c>
      <c r="S124" s="8">
        <f t="shared" si="8"/>
        <v>1990</v>
      </c>
      <c r="T124" s="8">
        <v>1990</v>
      </c>
      <c r="U124" s="8">
        <f t="shared" si="9"/>
        <v>32</v>
      </c>
      <c r="V124" s="7">
        <v>33178</v>
      </c>
      <c r="W124" t="s">
        <v>1653</v>
      </c>
      <c r="X124" s="2" t="s">
        <v>13</v>
      </c>
      <c r="Y124" s="6" t="e">
        <f t="shared" si="10"/>
        <v>#VALUE!</v>
      </c>
      <c r="AA124">
        <v>9225773</v>
      </c>
      <c r="AB124">
        <v>6100152703</v>
      </c>
      <c r="AC124" t="s">
        <v>1652</v>
      </c>
      <c r="AD124" t="s">
        <v>1</v>
      </c>
      <c r="AE124">
        <v>2</v>
      </c>
      <c r="AF124">
        <v>3</v>
      </c>
      <c r="AH124" t="s">
        <v>1651</v>
      </c>
      <c r="AI124" t="s">
        <v>1650</v>
      </c>
      <c r="AJ124" t="s">
        <v>1649</v>
      </c>
      <c r="AK124" t="s">
        <v>1648</v>
      </c>
      <c r="AL124">
        <v>0</v>
      </c>
      <c r="AM124" s="5">
        <f t="shared" si="11"/>
        <v>0</v>
      </c>
      <c r="AN124" s="4">
        <f t="shared" si="12"/>
        <v>0</v>
      </c>
      <c r="AO124" s="3"/>
      <c r="AP124">
        <v>0</v>
      </c>
      <c r="AR124" t="s">
        <v>0</v>
      </c>
      <c r="AT124" s="2" t="s">
        <v>13</v>
      </c>
      <c r="AU124" s="1" t="e">
        <f t="shared" si="13"/>
        <v>#VALUE!</v>
      </c>
      <c r="AV124" s="1" t="e">
        <f t="shared" si="14"/>
        <v>#VALUE!</v>
      </c>
      <c r="AW124" s="1" t="e">
        <f t="shared" si="15"/>
        <v>#VALUE!</v>
      </c>
    </row>
    <row r="125" spans="1:49" x14ac:dyDescent="0.2">
      <c r="A125">
        <v>123</v>
      </c>
      <c r="B125" t="s">
        <v>1647</v>
      </c>
      <c r="F125" t="s">
        <v>1646</v>
      </c>
      <c r="G125" t="s">
        <v>4</v>
      </c>
      <c r="H125" t="s">
        <v>3</v>
      </c>
      <c r="I125" t="s">
        <v>1645</v>
      </c>
      <c r="N125">
        <v>2</v>
      </c>
      <c r="O125" t="s">
        <v>1644</v>
      </c>
      <c r="P125" t="s">
        <v>1643</v>
      </c>
      <c r="Q125" t="s">
        <v>12</v>
      </c>
      <c r="R125" s="7">
        <v>33178</v>
      </c>
      <c r="S125" s="8">
        <f t="shared" si="8"/>
        <v>1990</v>
      </c>
      <c r="T125" s="8">
        <v>1990</v>
      </c>
      <c r="U125" s="8">
        <f t="shared" si="9"/>
        <v>32</v>
      </c>
      <c r="V125" s="7">
        <v>33178</v>
      </c>
      <c r="W125" t="s">
        <v>31</v>
      </c>
      <c r="X125" s="2">
        <v>0.14099999999999999</v>
      </c>
      <c r="Y125" s="6">
        <f t="shared" si="10"/>
        <v>3.7639144710498915E-3</v>
      </c>
      <c r="AA125">
        <v>402508</v>
      </c>
      <c r="AB125">
        <v>20868</v>
      </c>
      <c r="AD125" t="s">
        <v>1</v>
      </c>
      <c r="AE125">
        <v>45</v>
      </c>
      <c r="AF125">
        <v>11</v>
      </c>
      <c r="AH125" t="s">
        <v>1642</v>
      </c>
      <c r="AI125" t="s">
        <v>1641</v>
      </c>
      <c r="AK125" t="s">
        <v>1640</v>
      </c>
      <c r="AL125">
        <v>0</v>
      </c>
      <c r="AM125" s="5">
        <f t="shared" si="11"/>
        <v>0</v>
      </c>
      <c r="AN125" s="4">
        <f t="shared" si="12"/>
        <v>0</v>
      </c>
      <c r="AO125" s="3"/>
      <c r="AP125">
        <v>0</v>
      </c>
      <c r="AR125" t="s">
        <v>0</v>
      </c>
      <c r="AT125" s="2" t="s">
        <v>13</v>
      </c>
      <c r="AU125" s="1">
        <f t="shared" si="13"/>
        <v>0.26347401297349238</v>
      </c>
      <c r="AV125" s="1">
        <f t="shared" si="14"/>
        <v>0.18819572355249459</v>
      </c>
      <c r="AW125" s="1">
        <f t="shared" si="15"/>
        <v>0.11291743413149673</v>
      </c>
    </row>
    <row r="126" spans="1:49" x14ac:dyDescent="0.2">
      <c r="A126">
        <v>124</v>
      </c>
      <c r="B126" t="s">
        <v>1639</v>
      </c>
      <c r="F126" t="s">
        <v>1638</v>
      </c>
      <c r="G126" t="s">
        <v>4</v>
      </c>
      <c r="H126" t="s">
        <v>3</v>
      </c>
      <c r="I126" t="s">
        <v>1637</v>
      </c>
      <c r="N126">
        <v>1</v>
      </c>
      <c r="O126" t="s">
        <v>1636</v>
      </c>
      <c r="P126">
        <v>6602812886</v>
      </c>
      <c r="R126" s="7">
        <v>33178</v>
      </c>
      <c r="S126" s="8">
        <f t="shared" si="8"/>
        <v>1990</v>
      </c>
      <c r="T126" s="8">
        <v>1990</v>
      </c>
      <c r="U126" s="8">
        <f t="shared" si="9"/>
        <v>32</v>
      </c>
      <c r="V126" s="7">
        <v>33178</v>
      </c>
      <c r="W126" t="s">
        <v>31</v>
      </c>
      <c r="X126" s="2">
        <v>0.14099999999999999</v>
      </c>
      <c r="Y126" s="6">
        <f t="shared" si="10"/>
        <v>3.7639144710498915E-3</v>
      </c>
      <c r="AA126">
        <v>402508</v>
      </c>
      <c r="AB126">
        <v>20868</v>
      </c>
      <c r="AD126" t="s">
        <v>1</v>
      </c>
      <c r="AE126">
        <v>45</v>
      </c>
      <c r="AF126">
        <v>11</v>
      </c>
      <c r="AH126" t="s">
        <v>1635</v>
      </c>
      <c r="AI126" t="s">
        <v>1634</v>
      </c>
      <c r="AK126" t="s">
        <v>1633</v>
      </c>
      <c r="AL126">
        <v>0</v>
      </c>
      <c r="AM126" s="5">
        <f t="shared" si="11"/>
        <v>0</v>
      </c>
      <c r="AN126" s="4">
        <f t="shared" si="12"/>
        <v>0</v>
      </c>
      <c r="AO126" s="3"/>
      <c r="AP126">
        <v>0</v>
      </c>
      <c r="AR126" t="s">
        <v>0</v>
      </c>
      <c r="AT126" s="2" t="s">
        <v>13</v>
      </c>
      <c r="AU126" s="1">
        <f t="shared" si="13"/>
        <v>0.26347401297349238</v>
      </c>
      <c r="AV126" s="1">
        <f t="shared" si="14"/>
        <v>0.18819572355249459</v>
      </c>
      <c r="AW126" s="1">
        <f t="shared" si="15"/>
        <v>0.11291743413149673</v>
      </c>
    </row>
    <row r="127" spans="1:49" x14ac:dyDescent="0.2">
      <c r="A127">
        <v>125</v>
      </c>
      <c r="B127" t="s">
        <v>1632</v>
      </c>
      <c r="F127" t="s">
        <v>1631</v>
      </c>
      <c r="G127" t="s">
        <v>4</v>
      </c>
      <c r="H127" t="s">
        <v>3</v>
      </c>
      <c r="I127" t="s">
        <v>1630</v>
      </c>
      <c r="N127">
        <v>1</v>
      </c>
      <c r="O127" t="s">
        <v>1629</v>
      </c>
      <c r="P127">
        <v>6505922916</v>
      </c>
      <c r="R127" s="7">
        <v>33178</v>
      </c>
      <c r="S127" s="8">
        <f t="shared" si="8"/>
        <v>1990</v>
      </c>
      <c r="T127" s="8">
        <v>1990</v>
      </c>
      <c r="U127" s="8">
        <f t="shared" si="9"/>
        <v>32</v>
      </c>
      <c r="V127" s="7">
        <v>33178</v>
      </c>
      <c r="W127" t="s">
        <v>31</v>
      </c>
      <c r="X127" s="2">
        <v>0.14099999999999999</v>
      </c>
      <c r="Y127" s="6">
        <f t="shared" si="10"/>
        <v>3.7639144710498915E-3</v>
      </c>
      <c r="AA127">
        <v>402508</v>
      </c>
      <c r="AB127">
        <v>20868</v>
      </c>
      <c r="AD127" t="s">
        <v>1</v>
      </c>
      <c r="AE127">
        <v>45</v>
      </c>
      <c r="AF127">
        <v>11</v>
      </c>
      <c r="AH127" t="s">
        <v>279</v>
      </c>
      <c r="AI127" t="s">
        <v>1628</v>
      </c>
      <c r="AK127" t="s">
        <v>1627</v>
      </c>
      <c r="AL127">
        <v>0</v>
      </c>
      <c r="AM127" s="5">
        <f t="shared" si="11"/>
        <v>0</v>
      </c>
      <c r="AN127" s="4">
        <f t="shared" si="12"/>
        <v>0</v>
      </c>
      <c r="AO127" s="3"/>
      <c r="AP127">
        <v>0</v>
      </c>
      <c r="AR127" t="s">
        <v>0</v>
      </c>
      <c r="AT127" s="2" t="s">
        <v>13</v>
      </c>
      <c r="AU127" s="1">
        <f t="shared" si="13"/>
        <v>0.26347401297349238</v>
      </c>
      <c r="AV127" s="1">
        <f t="shared" si="14"/>
        <v>0.18819572355249459</v>
      </c>
      <c r="AW127" s="1">
        <f t="shared" si="15"/>
        <v>0.11291743413149673</v>
      </c>
    </row>
    <row r="128" spans="1:49" x14ac:dyDescent="0.2">
      <c r="A128">
        <v>126</v>
      </c>
      <c r="B128" t="s">
        <v>1626</v>
      </c>
      <c r="F128" t="s">
        <v>1625</v>
      </c>
      <c r="G128" t="s">
        <v>4</v>
      </c>
      <c r="H128" t="s">
        <v>3</v>
      </c>
      <c r="I128" t="s">
        <v>238</v>
      </c>
      <c r="N128">
        <v>3</v>
      </c>
      <c r="O128" t="s">
        <v>1624</v>
      </c>
      <c r="P128" t="s">
        <v>1623</v>
      </c>
      <c r="Q128" t="s">
        <v>32</v>
      </c>
      <c r="R128" s="7">
        <v>33178</v>
      </c>
      <c r="S128" s="8">
        <f t="shared" si="8"/>
        <v>1990</v>
      </c>
      <c r="T128" s="8">
        <v>1990</v>
      </c>
      <c r="U128" s="8">
        <f t="shared" si="9"/>
        <v>32</v>
      </c>
      <c r="V128" s="7">
        <v>33178</v>
      </c>
      <c r="W128" t="s">
        <v>31</v>
      </c>
      <c r="X128" s="2">
        <v>0.14099999999999999</v>
      </c>
      <c r="Y128" s="6">
        <f t="shared" si="10"/>
        <v>3.7639144710498915E-3</v>
      </c>
      <c r="AA128">
        <v>402508</v>
      </c>
      <c r="AB128">
        <v>20868</v>
      </c>
      <c r="AD128" t="s">
        <v>1</v>
      </c>
      <c r="AE128">
        <v>45</v>
      </c>
      <c r="AF128">
        <v>11</v>
      </c>
      <c r="AH128" t="s">
        <v>278</v>
      </c>
      <c r="AI128" t="s">
        <v>1622</v>
      </c>
      <c r="AK128" t="s">
        <v>1621</v>
      </c>
      <c r="AL128">
        <v>0</v>
      </c>
      <c r="AM128" s="5">
        <f t="shared" si="11"/>
        <v>0</v>
      </c>
      <c r="AN128" s="4">
        <f t="shared" si="12"/>
        <v>0</v>
      </c>
      <c r="AO128" s="3"/>
      <c r="AP128">
        <v>0</v>
      </c>
      <c r="AR128" t="s">
        <v>0</v>
      </c>
      <c r="AT128" s="2" t="s">
        <v>13</v>
      </c>
      <c r="AU128" s="1">
        <f t="shared" si="13"/>
        <v>0.26347401297349238</v>
      </c>
      <c r="AV128" s="1">
        <f t="shared" si="14"/>
        <v>0.18819572355249459</v>
      </c>
      <c r="AW128" s="1">
        <f t="shared" si="15"/>
        <v>0.11291743413149673</v>
      </c>
    </row>
    <row r="129" spans="1:49" x14ac:dyDescent="0.2">
      <c r="A129">
        <v>127</v>
      </c>
      <c r="B129" t="s">
        <v>1620</v>
      </c>
      <c r="F129" t="s">
        <v>1619</v>
      </c>
      <c r="G129" t="s">
        <v>4</v>
      </c>
      <c r="H129" t="s">
        <v>3</v>
      </c>
      <c r="I129" t="s">
        <v>1618</v>
      </c>
      <c r="N129">
        <v>1</v>
      </c>
      <c r="O129" t="s">
        <v>1617</v>
      </c>
      <c r="P129">
        <v>7004164152</v>
      </c>
      <c r="R129" s="7">
        <v>33178</v>
      </c>
      <c r="S129" s="8">
        <f t="shared" si="8"/>
        <v>1990</v>
      </c>
      <c r="T129" s="8">
        <v>1990</v>
      </c>
      <c r="U129" s="8">
        <f t="shared" si="9"/>
        <v>32</v>
      </c>
      <c r="V129" s="7">
        <v>33178</v>
      </c>
      <c r="W129" t="s">
        <v>31</v>
      </c>
      <c r="X129" s="2">
        <v>0.14099999999999999</v>
      </c>
      <c r="Y129" s="6">
        <f t="shared" si="10"/>
        <v>3.7639144710498915E-3</v>
      </c>
      <c r="AA129">
        <v>402508</v>
      </c>
      <c r="AB129">
        <v>20868</v>
      </c>
      <c r="AD129" t="s">
        <v>1</v>
      </c>
      <c r="AE129">
        <v>45</v>
      </c>
      <c r="AF129">
        <v>11</v>
      </c>
      <c r="AH129" t="s">
        <v>1616</v>
      </c>
      <c r="AI129" t="s">
        <v>1615</v>
      </c>
      <c r="AK129" t="s">
        <v>1614</v>
      </c>
      <c r="AL129">
        <v>13</v>
      </c>
      <c r="AM129" s="5">
        <f t="shared" si="11"/>
        <v>0.40625</v>
      </c>
      <c r="AN129" s="4">
        <f t="shared" si="12"/>
        <v>6.1529723589549411E-4</v>
      </c>
      <c r="AO129" s="3"/>
      <c r="AP129">
        <v>0</v>
      </c>
      <c r="AR129" t="s">
        <v>0</v>
      </c>
      <c r="AT129" s="2" t="s">
        <v>13</v>
      </c>
      <c r="AU129" s="1">
        <f t="shared" si="13"/>
        <v>0.28193293005035719</v>
      </c>
      <c r="AV129" s="1">
        <f t="shared" si="14"/>
        <v>0.21896058534726931</v>
      </c>
      <c r="AW129" s="1">
        <f t="shared" si="15"/>
        <v>0.15598824064418132</v>
      </c>
    </row>
    <row r="130" spans="1:49" x14ac:dyDescent="0.2">
      <c r="A130">
        <v>128</v>
      </c>
      <c r="B130" t="s">
        <v>1613</v>
      </c>
      <c r="F130" t="s">
        <v>1612</v>
      </c>
      <c r="G130" t="s">
        <v>4</v>
      </c>
      <c r="H130" t="s">
        <v>3</v>
      </c>
      <c r="I130" t="s">
        <v>1611</v>
      </c>
      <c r="N130">
        <v>1</v>
      </c>
      <c r="O130" t="s">
        <v>1610</v>
      </c>
      <c r="P130">
        <v>7103324398</v>
      </c>
      <c r="R130" s="7">
        <v>33178</v>
      </c>
      <c r="S130" s="8">
        <f t="shared" ref="S130:S193" si="16">YEAR(R130)</f>
        <v>1990</v>
      </c>
      <c r="T130" s="8">
        <v>1990</v>
      </c>
      <c r="U130" s="8">
        <f t="shared" ref="U130:U193" si="17">2022-T130</f>
        <v>32</v>
      </c>
      <c r="V130" s="7">
        <v>33178</v>
      </c>
      <c r="W130" t="s">
        <v>31</v>
      </c>
      <c r="X130" s="2">
        <v>0.14099999999999999</v>
      </c>
      <c r="Y130" s="6">
        <f t="shared" ref="Y130:Y193" si="18">(X130-$Z$4)/($Z$3-$Z$4)</f>
        <v>3.7639144710498915E-3</v>
      </c>
      <c r="AA130">
        <v>402508</v>
      </c>
      <c r="AB130">
        <v>20868</v>
      </c>
      <c r="AD130" t="s">
        <v>1</v>
      </c>
      <c r="AE130">
        <v>45</v>
      </c>
      <c r="AF130">
        <v>11</v>
      </c>
      <c r="AH130" t="s">
        <v>761</v>
      </c>
      <c r="AI130" t="s">
        <v>1609</v>
      </c>
      <c r="AK130" t="s">
        <v>1608</v>
      </c>
      <c r="AL130">
        <v>0</v>
      </c>
      <c r="AM130" s="5">
        <f t="shared" ref="AM130:AM193" si="19">AL130/U130</f>
        <v>0</v>
      </c>
      <c r="AN130" s="4">
        <f t="shared" ref="AN130:AN193" si="20">(AM130-$AO$4)/($AO$3-$AO$4)</f>
        <v>0</v>
      </c>
      <c r="AO130" s="3"/>
      <c r="AP130">
        <v>0</v>
      </c>
      <c r="AR130" t="s">
        <v>0</v>
      </c>
      <c r="AT130" s="2" t="s">
        <v>13</v>
      </c>
      <c r="AU130" s="1">
        <f t="shared" ref="AU130:AU193" si="21">(Y130*0.7+AN130*0.3)*100</f>
        <v>0.26347401297349238</v>
      </c>
      <c r="AV130" s="1">
        <f t="shared" ref="AV130:AV193" si="22">(Y130*0.5+AN130*0.5)*100</f>
        <v>0.18819572355249459</v>
      </c>
      <c r="AW130" s="1">
        <f t="shared" ref="AW130:AW193" si="23">(Y130*0.3+AN130*0.7)*100</f>
        <v>0.11291743413149673</v>
      </c>
    </row>
    <row r="131" spans="1:49" x14ac:dyDescent="0.2">
      <c r="A131">
        <v>129</v>
      </c>
      <c r="B131" t="s">
        <v>1607</v>
      </c>
      <c r="F131" t="s">
        <v>1606</v>
      </c>
      <c r="G131" t="s">
        <v>4</v>
      </c>
      <c r="H131" t="s">
        <v>3</v>
      </c>
      <c r="I131" t="s">
        <v>1605</v>
      </c>
      <c r="N131">
        <v>3</v>
      </c>
      <c r="O131" t="s">
        <v>1604</v>
      </c>
      <c r="P131" t="s">
        <v>1603</v>
      </c>
      <c r="Q131" t="s">
        <v>32</v>
      </c>
      <c r="R131" s="7">
        <v>33178</v>
      </c>
      <c r="S131" s="8">
        <f t="shared" si="16"/>
        <v>1990</v>
      </c>
      <c r="T131" s="8">
        <v>1990</v>
      </c>
      <c r="U131" s="8">
        <f t="shared" si="17"/>
        <v>32</v>
      </c>
      <c r="V131" s="7">
        <v>33178</v>
      </c>
      <c r="W131" t="s">
        <v>31</v>
      </c>
      <c r="X131" s="2">
        <v>0.14099999999999999</v>
      </c>
      <c r="Y131" s="6">
        <f t="shared" si="18"/>
        <v>3.7639144710498915E-3</v>
      </c>
      <c r="AA131">
        <v>402508</v>
      </c>
      <c r="AB131">
        <v>20868</v>
      </c>
      <c r="AD131" t="s">
        <v>1</v>
      </c>
      <c r="AE131">
        <v>45</v>
      </c>
      <c r="AF131">
        <v>11</v>
      </c>
      <c r="AH131" t="s">
        <v>1602</v>
      </c>
      <c r="AI131" t="s">
        <v>1601</v>
      </c>
      <c r="AK131" t="s">
        <v>1600</v>
      </c>
      <c r="AL131">
        <v>0</v>
      </c>
      <c r="AM131" s="5">
        <f t="shared" si="19"/>
        <v>0</v>
      </c>
      <c r="AN131" s="4">
        <f t="shared" si="20"/>
        <v>0</v>
      </c>
      <c r="AO131" s="3"/>
      <c r="AP131">
        <v>0</v>
      </c>
      <c r="AR131" t="s">
        <v>0</v>
      </c>
      <c r="AT131" s="2" t="s">
        <v>13</v>
      </c>
      <c r="AU131" s="1">
        <f t="shared" si="21"/>
        <v>0.26347401297349238</v>
      </c>
      <c r="AV131" s="1">
        <f t="shared" si="22"/>
        <v>0.18819572355249459</v>
      </c>
      <c r="AW131" s="1">
        <f t="shared" si="23"/>
        <v>0.11291743413149673</v>
      </c>
    </row>
    <row r="132" spans="1:49" x14ac:dyDescent="0.2">
      <c r="A132">
        <v>130</v>
      </c>
      <c r="B132" t="s">
        <v>1599</v>
      </c>
      <c r="F132" t="s">
        <v>1598</v>
      </c>
      <c r="G132" t="s">
        <v>4</v>
      </c>
      <c r="H132" t="s">
        <v>3</v>
      </c>
      <c r="I132" t="s">
        <v>1597</v>
      </c>
      <c r="N132">
        <v>1</v>
      </c>
      <c r="O132" t="s">
        <v>1596</v>
      </c>
      <c r="P132">
        <v>6508066677</v>
      </c>
      <c r="R132" s="7">
        <v>33178</v>
      </c>
      <c r="S132" s="8">
        <f t="shared" si="16"/>
        <v>1990</v>
      </c>
      <c r="T132" s="8">
        <v>1990</v>
      </c>
      <c r="U132" s="8">
        <f t="shared" si="17"/>
        <v>32</v>
      </c>
      <c r="V132" s="7">
        <v>33178</v>
      </c>
      <c r="W132" t="s">
        <v>31</v>
      </c>
      <c r="X132" s="2">
        <v>0.14099999999999999</v>
      </c>
      <c r="Y132" s="6">
        <f t="shared" si="18"/>
        <v>3.7639144710498915E-3</v>
      </c>
      <c r="AA132">
        <v>402508</v>
      </c>
      <c r="AB132">
        <v>20868</v>
      </c>
      <c r="AD132" t="s">
        <v>1</v>
      </c>
      <c r="AE132">
        <v>45</v>
      </c>
      <c r="AF132">
        <v>11</v>
      </c>
      <c r="AH132" t="s">
        <v>1595</v>
      </c>
      <c r="AI132" t="s">
        <v>1594</v>
      </c>
      <c r="AK132" t="s">
        <v>1593</v>
      </c>
      <c r="AL132">
        <v>0</v>
      </c>
      <c r="AM132" s="5">
        <f t="shared" si="19"/>
        <v>0</v>
      </c>
      <c r="AN132" s="4">
        <f t="shared" si="20"/>
        <v>0</v>
      </c>
      <c r="AO132" s="3"/>
      <c r="AP132">
        <v>0</v>
      </c>
      <c r="AR132" t="s">
        <v>0</v>
      </c>
      <c r="AT132" s="2" t="s">
        <v>13</v>
      </c>
      <c r="AU132" s="1">
        <f t="shared" si="21"/>
        <v>0.26347401297349238</v>
      </c>
      <c r="AV132" s="1">
        <f t="shared" si="22"/>
        <v>0.18819572355249459</v>
      </c>
      <c r="AW132" s="1">
        <f t="shared" si="23"/>
        <v>0.11291743413149673</v>
      </c>
    </row>
    <row r="133" spans="1:49" x14ac:dyDescent="0.2">
      <c r="A133">
        <v>131</v>
      </c>
      <c r="B133" t="s">
        <v>1592</v>
      </c>
      <c r="F133" t="s">
        <v>1591</v>
      </c>
      <c r="G133" t="s">
        <v>4</v>
      </c>
      <c r="H133" t="s">
        <v>3</v>
      </c>
      <c r="I133" t="s">
        <v>217</v>
      </c>
      <c r="N133">
        <v>4</v>
      </c>
      <c r="O133" t="s">
        <v>1590</v>
      </c>
      <c r="P133" t="s">
        <v>1589</v>
      </c>
      <c r="Q133" t="s">
        <v>26</v>
      </c>
      <c r="R133" s="7">
        <v>33178</v>
      </c>
      <c r="S133" s="8">
        <f t="shared" si="16"/>
        <v>1990</v>
      </c>
      <c r="T133" s="8">
        <v>1990</v>
      </c>
      <c r="U133" s="8">
        <f t="shared" si="17"/>
        <v>32</v>
      </c>
      <c r="V133" s="7">
        <v>33178</v>
      </c>
      <c r="W133" t="s">
        <v>31</v>
      </c>
      <c r="X133" s="2">
        <v>0.14099999999999999</v>
      </c>
      <c r="Y133" s="6">
        <f t="shared" si="18"/>
        <v>3.7639144710498915E-3</v>
      </c>
      <c r="AA133">
        <v>402508</v>
      </c>
      <c r="AB133">
        <v>20868</v>
      </c>
      <c r="AD133" t="s">
        <v>1</v>
      </c>
      <c r="AE133">
        <v>45</v>
      </c>
      <c r="AF133">
        <v>11</v>
      </c>
      <c r="AH133" t="s">
        <v>1588</v>
      </c>
      <c r="AI133" t="s">
        <v>1587</v>
      </c>
      <c r="AK133" t="s">
        <v>1586</v>
      </c>
      <c r="AL133">
        <v>0</v>
      </c>
      <c r="AM133" s="5">
        <f t="shared" si="19"/>
        <v>0</v>
      </c>
      <c r="AN133" s="4">
        <f t="shared" si="20"/>
        <v>0</v>
      </c>
      <c r="AO133" s="3"/>
      <c r="AP133">
        <v>0</v>
      </c>
      <c r="AR133" t="s">
        <v>0</v>
      </c>
      <c r="AT133" s="2" t="s">
        <v>13</v>
      </c>
      <c r="AU133" s="1">
        <f t="shared" si="21"/>
        <v>0.26347401297349238</v>
      </c>
      <c r="AV133" s="1">
        <f t="shared" si="22"/>
        <v>0.18819572355249459</v>
      </c>
      <c r="AW133" s="1">
        <f t="shared" si="23"/>
        <v>0.11291743413149673</v>
      </c>
    </row>
    <row r="134" spans="1:49" x14ac:dyDescent="0.2">
      <c r="A134">
        <v>132</v>
      </c>
      <c r="B134" t="s">
        <v>1585</v>
      </c>
      <c r="F134" t="s">
        <v>1584</v>
      </c>
      <c r="G134" t="s">
        <v>4</v>
      </c>
      <c r="H134" t="s">
        <v>3</v>
      </c>
      <c r="I134" t="s">
        <v>1583</v>
      </c>
      <c r="J134">
        <v>100360048</v>
      </c>
      <c r="K134" t="s">
        <v>1582</v>
      </c>
      <c r="L134" t="s">
        <v>1581</v>
      </c>
      <c r="M134" t="s">
        <v>14</v>
      </c>
      <c r="N134">
        <v>4</v>
      </c>
      <c r="O134" t="s">
        <v>1580</v>
      </c>
      <c r="P134" t="s">
        <v>1579</v>
      </c>
      <c r="Q134" t="s">
        <v>1578</v>
      </c>
      <c r="R134" s="7">
        <v>33178</v>
      </c>
      <c r="S134" s="8">
        <f t="shared" si="16"/>
        <v>1990</v>
      </c>
      <c r="T134" s="8">
        <v>1990</v>
      </c>
      <c r="U134" s="8">
        <f t="shared" si="17"/>
        <v>32</v>
      </c>
      <c r="V134" s="7">
        <v>33178</v>
      </c>
      <c r="W134" t="s">
        <v>256</v>
      </c>
      <c r="X134" s="2" t="s">
        <v>13</v>
      </c>
      <c r="Y134" s="6" t="e">
        <f t="shared" si="18"/>
        <v>#VALUE!</v>
      </c>
      <c r="AA134">
        <v>9248625</v>
      </c>
      <c r="AB134">
        <v>12897</v>
      </c>
      <c r="AD134" t="s">
        <v>1</v>
      </c>
      <c r="AE134">
        <v>7</v>
      </c>
      <c r="AF134" s="9">
        <v>44351</v>
      </c>
      <c r="AH134" t="s">
        <v>1577</v>
      </c>
      <c r="AI134" t="s">
        <v>1576</v>
      </c>
      <c r="AK134" t="s">
        <v>1575</v>
      </c>
      <c r="AL134">
        <v>0</v>
      </c>
      <c r="AM134" s="5">
        <f t="shared" si="19"/>
        <v>0</v>
      </c>
      <c r="AN134" s="4">
        <f t="shared" si="20"/>
        <v>0</v>
      </c>
      <c r="AO134" s="3"/>
      <c r="AP134">
        <v>0</v>
      </c>
      <c r="AR134" t="s">
        <v>0</v>
      </c>
      <c r="AT134" s="2" t="s">
        <v>13</v>
      </c>
      <c r="AU134" s="1" t="e">
        <f t="shared" si="21"/>
        <v>#VALUE!</v>
      </c>
      <c r="AV134" s="1" t="e">
        <f t="shared" si="22"/>
        <v>#VALUE!</v>
      </c>
      <c r="AW134" s="1" t="e">
        <f t="shared" si="23"/>
        <v>#VALUE!</v>
      </c>
    </row>
    <row r="135" spans="1:49" x14ac:dyDescent="0.2">
      <c r="A135">
        <v>133</v>
      </c>
      <c r="B135" t="s">
        <v>1574</v>
      </c>
      <c r="F135" t="s">
        <v>1573</v>
      </c>
      <c r="G135" t="s">
        <v>4</v>
      </c>
      <c r="H135" t="s">
        <v>3</v>
      </c>
      <c r="I135" t="s">
        <v>1572</v>
      </c>
      <c r="J135">
        <v>60008293</v>
      </c>
      <c r="K135" t="s">
        <v>1571</v>
      </c>
      <c r="L135" t="s">
        <v>1570</v>
      </c>
      <c r="M135" t="s">
        <v>14</v>
      </c>
      <c r="N135">
        <v>2</v>
      </c>
      <c r="O135" t="s">
        <v>1569</v>
      </c>
      <c r="P135" t="s">
        <v>1568</v>
      </c>
      <c r="Q135" t="s">
        <v>1567</v>
      </c>
      <c r="R135" s="7">
        <v>33178</v>
      </c>
      <c r="S135" s="8">
        <f t="shared" si="16"/>
        <v>1990</v>
      </c>
      <c r="T135" s="8">
        <v>1990</v>
      </c>
      <c r="U135" s="8">
        <f t="shared" si="17"/>
        <v>32</v>
      </c>
      <c r="V135" s="7">
        <v>33178</v>
      </c>
      <c r="W135" t="s">
        <v>256</v>
      </c>
      <c r="X135" s="2" t="s">
        <v>13</v>
      </c>
      <c r="Y135" s="6" t="e">
        <f t="shared" si="18"/>
        <v>#VALUE!</v>
      </c>
      <c r="AA135">
        <v>9248625</v>
      </c>
      <c r="AB135">
        <v>12897</v>
      </c>
      <c r="AD135" t="s">
        <v>1</v>
      </c>
      <c r="AE135">
        <v>7</v>
      </c>
      <c r="AF135" s="9">
        <v>44351</v>
      </c>
      <c r="AH135" t="s">
        <v>1566</v>
      </c>
      <c r="AI135" t="s">
        <v>1565</v>
      </c>
      <c r="AK135" t="s">
        <v>1564</v>
      </c>
      <c r="AL135">
        <v>2</v>
      </c>
      <c r="AM135" s="5">
        <f t="shared" si="19"/>
        <v>6.25E-2</v>
      </c>
      <c r="AN135" s="4">
        <f t="shared" si="20"/>
        <v>9.46611132146914E-5</v>
      </c>
      <c r="AO135" s="3"/>
      <c r="AP135">
        <v>0</v>
      </c>
      <c r="AR135" t="s">
        <v>0</v>
      </c>
      <c r="AT135" s="2" t="s">
        <v>13</v>
      </c>
      <c r="AU135" s="1" t="e">
        <f t="shared" si="21"/>
        <v>#VALUE!</v>
      </c>
      <c r="AV135" s="1" t="e">
        <f t="shared" si="22"/>
        <v>#VALUE!</v>
      </c>
      <c r="AW135" s="1" t="e">
        <f t="shared" si="23"/>
        <v>#VALUE!</v>
      </c>
    </row>
    <row r="136" spans="1:49" x14ac:dyDescent="0.2">
      <c r="A136">
        <v>134</v>
      </c>
      <c r="B136" t="s">
        <v>1563</v>
      </c>
      <c r="F136" t="s">
        <v>1562</v>
      </c>
      <c r="G136" t="s">
        <v>4</v>
      </c>
      <c r="H136" t="s">
        <v>3</v>
      </c>
      <c r="I136" t="s">
        <v>1561</v>
      </c>
      <c r="J136">
        <v>100335648</v>
      </c>
      <c r="K136" t="s">
        <v>1560</v>
      </c>
      <c r="L136" t="s">
        <v>172</v>
      </c>
      <c r="M136" t="s">
        <v>171</v>
      </c>
      <c r="N136">
        <v>5</v>
      </c>
      <c r="O136" t="s">
        <v>1559</v>
      </c>
      <c r="P136" t="s">
        <v>1558</v>
      </c>
      <c r="Q136" t="s">
        <v>1557</v>
      </c>
      <c r="R136" s="7">
        <v>33178</v>
      </c>
      <c r="S136" s="8">
        <f t="shared" si="16"/>
        <v>1990</v>
      </c>
      <c r="T136" s="8">
        <v>1990</v>
      </c>
      <c r="U136" s="8">
        <f t="shared" si="17"/>
        <v>32</v>
      </c>
      <c r="V136" s="7">
        <v>33178</v>
      </c>
      <c r="W136" t="s">
        <v>256</v>
      </c>
      <c r="X136" s="2" t="s">
        <v>13</v>
      </c>
      <c r="Y136" s="6" t="e">
        <f t="shared" si="18"/>
        <v>#VALUE!</v>
      </c>
      <c r="AA136">
        <v>9248625</v>
      </c>
      <c r="AB136">
        <v>12897</v>
      </c>
      <c r="AD136" t="s">
        <v>1</v>
      </c>
      <c r="AE136">
        <v>7</v>
      </c>
      <c r="AF136" s="9">
        <v>44351</v>
      </c>
      <c r="AH136" t="s">
        <v>1556</v>
      </c>
      <c r="AI136" t="s">
        <v>1555</v>
      </c>
      <c r="AK136" t="s">
        <v>1554</v>
      </c>
      <c r="AL136">
        <v>2</v>
      </c>
      <c r="AM136" s="5">
        <f t="shared" si="19"/>
        <v>6.25E-2</v>
      </c>
      <c r="AN136" s="4">
        <f t="shared" si="20"/>
        <v>9.46611132146914E-5</v>
      </c>
      <c r="AO136" s="3"/>
      <c r="AP136">
        <v>0</v>
      </c>
      <c r="AR136" t="s">
        <v>0</v>
      </c>
      <c r="AT136" s="2" t="s">
        <v>13</v>
      </c>
      <c r="AU136" s="1" t="e">
        <f t="shared" si="21"/>
        <v>#VALUE!</v>
      </c>
      <c r="AV136" s="1" t="e">
        <f t="shared" si="22"/>
        <v>#VALUE!</v>
      </c>
      <c r="AW136" s="1" t="e">
        <f t="shared" si="23"/>
        <v>#VALUE!</v>
      </c>
    </row>
    <row r="137" spans="1:49" x14ac:dyDescent="0.2">
      <c r="A137">
        <v>135</v>
      </c>
      <c r="B137" t="s">
        <v>1553</v>
      </c>
      <c r="F137" t="s">
        <v>1552</v>
      </c>
      <c r="G137" t="s">
        <v>4</v>
      </c>
      <c r="H137" t="s">
        <v>3</v>
      </c>
      <c r="I137" t="s">
        <v>1551</v>
      </c>
      <c r="J137">
        <v>101438857</v>
      </c>
      <c r="K137" t="s">
        <v>1550</v>
      </c>
      <c r="L137" t="s">
        <v>154</v>
      </c>
      <c r="M137" t="s">
        <v>14</v>
      </c>
      <c r="N137">
        <v>1</v>
      </c>
      <c r="O137" t="s">
        <v>1549</v>
      </c>
      <c r="P137">
        <v>6507450388</v>
      </c>
      <c r="Q137">
        <v>101438857</v>
      </c>
      <c r="R137" s="7">
        <v>33178</v>
      </c>
      <c r="S137" s="8">
        <f t="shared" si="16"/>
        <v>1990</v>
      </c>
      <c r="T137" s="8">
        <v>1990</v>
      </c>
      <c r="U137" s="8">
        <f t="shared" si="17"/>
        <v>32</v>
      </c>
      <c r="V137" s="7">
        <v>33178</v>
      </c>
      <c r="W137" t="s">
        <v>256</v>
      </c>
      <c r="X137" s="2" t="s">
        <v>13</v>
      </c>
      <c r="Y137" s="6" t="e">
        <f t="shared" si="18"/>
        <v>#VALUE!</v>
      </c>
      <c r="AA137">
        <v>9248625</v>
      </c>
      <c r="AB137">
        <v>12897</v>
      </c>
      <c r="AD137" t="s">
        <v>1</v>
      </c>
      <c r="AE137">
        <v>7</v>
      </c>
      <c r="AF137" s="9">
        <v>44351</v>
      </c>
      <c r="AH137" t="s">
        <v>1548</v>
      </c>
      <c r="AI137" t="s">
        <v>1547</v>
      </c>
      <c r="AK137" t="s">
        <v>1546</v>
      </c>
      <c r="AL137">
        <v>0</v>
      </c>
      <c r="AM137" s="5">
        <f t="shared" si="19"/>
        <v>0</v>
      </c>
      <c r="AN137" s="4">
        <f t="shared" si="20"/>
        <v>0</v>
      </c>
      <c r="AO137" s="3"/>
      <c r="AP137">
        <v>0</v>
      </c>
      <c r="AR137" t="s">
        <v>0</v>
      </c>
      <c r="AT137" s="2" t="s">
        <v>13</v>
      </c>
      <c r="AU137" s="1" t="e">
        <f t="shared" si="21"/>
        <v>#VALUE!</v>
      </c>
      <c r="AV137" s="1" t="e">
        <f t="shared" si="22"/>
        <v>#VALUE!</v>
      </c>
      <c r="AW137" s="1" t="e">
        <f t="shared" si="23"/>
        <v>#VALUE!</v>
      </c>
    </row>
    <row r="138" spans="1:49" x14ac:dyDescent="0.2">
      <c r="A138">
        <v>136</v>
      </c>
      <c r="B138" t="s">
        <v>1545</v>
      </c>
      <c r="F138" t="s">
        <v>1544</v>
      </c>
      <c r="G138" t="s">
        <v>4</v>
      </c>
      <c r="H138" t="s">
        <v>3</v>
      </c>
      <c r="I138" t="s">
        <v>1543</v>
      </c>
      <c r="J138">
        <v>60020238</v>
      </c>
      <c r="K138" t="s">
        <v>1542</v>
      </c>
      <c r="L138" t="s">
        <v>1541</v>
      </c>
      <c r="M138" t="s">
        <v>14</v>
      </c>
      <c r="N138">
        <v>2</v>
      </c>
      <c r="O138" t="s">
        <v>1540</v>
      </c>
      <c r="P138" t="s">
        <v>1539</v>
      </c>
      <c r="Q138" t="s">
        <v>1538</v>
      </c>
      <c r="R138" s="7">
        <v>33178</v>
      </c>
      <c r="S138" s="8">
        <f t="shared" si="16"/>
        <v>1990</v>
      </c>
      <c r="T138" s="8">
        <v>1990</v>
      </c>
      <c r="U138" s="8">
        <f t="shared" si="17"/>
        <v>32</v>
      </c>
      <c r="V138" s="7">
        <v>33178</v>
      </c>
      <c r="W138" t="s">
        <v>256</v>
      </c>
      <c r="X138" s="2" t="s">
        <v>13</v>
      </c>
      <c r="Y138" s="6" t="e">
        <f t="shared" si="18"/>
        <v>#VALUE!</v>
      </c>
      <c r="AA138">
        <v>9248625</v>
      </c>
      <c r="AB138">
        <v>12897</v>
      </c>
      <c r="AD138" t="s">
        <v>1</v>
      </c>
      <c r="AE138">
        <v>7</v>
      </c>
      <c r="AF138" s="9">
        <v>44351</v>
      </c>
      <c r="AH138" t="s">
        <v>1537</v>
      </c>
      <c r="AI138" t="s">
        <v>1536</v>
      </c>
      <c r="AK138" t="s">
        <v>1535</v>
      </c>
      <c r="AL138">
        <v>0</v>
      </c>
      <c r="AM138" s="5">
        <f t="shared" si="19"/>
        <v>0</v>
      </c>
      <c r="AN138" s="4">
        <f t="shared" si="20"/>
        <v>0</v>
      </c>
      <c r="AO138" s="3"/>
      <c r="AP138">
        <v>0</v>
      </c>
      <c r="AR138" t="s">
        <v>0</v>
      </c>
      <c r="AT138" s="2" t="s">
        <v>13</v>
      </c>
      <c r="AU138" s="1" t="e">
        <f t="shared" si="21"/>
        <v>#VALUE!</v>
      </c>
      <c r="AV138" s="1" t="e">
        <f t="shared" si="22"/>
        <v>#VALUE!</v>
      </c>
      <c r="AW138" s="1" t="e">
        <f t="shared" si="23"/>
        <v>#VALUE!</v>
      </c>
    </row>
    <row r="139" spans="1:49" x14ac:dyDescent="0.2">
      <c r="A139">
        <v>137</v>
      </c>
      <c r="B139" t="s">
        <v>1534</v>
      </c>
      <c r="F139" t="s">
        <v>1533</v>
      </c>
      <c r="G139" t="s">
        <v>4</v>
      </c>
      <c r="H139" t="s">
        <v>3</v>
      </c>
      <c r="I139" t="s">
        <v>1532</v>
      </c>
      <c r="J139">
        <v>100344485</v>
      </c>
      <c r="K139" t="s">
        <v>681</v>
      </c>
      <c r="L139" t="s">
        <v>680</v>
      </c>
      <c r="M139" t="s">
        <v>14</v>
      </c>
      <c r="N139">
        <v>1</v>
      </c>
      <c r="O139" t="s">
        <v>1531</v>
      </c>
      <c r="P139">
        <v>6603416754</v>
      </c>
      <c r="Q139">
        <v>100344485</v>
      </c>
      <c r="R139" s="7">
        <v>33178</v>
      </c>
      <c r="S139" s="8">
        <f t="shared" si="16"/>
        <v>1990</v>
      </c>
      <c r="T139" s="8">
        <v>1990</v>
      </c>
      <c r="U139" s="8">
        <f t="shared" si="17"/>
        <v>32</v>
      </c>
      <c r="V139" s="7">
        <v>33178</v>
      </c>
      <c r="W139" t="s">
        <v>256</v>
      </c>
      <c r="X139" s="2" t="s">
        <v>13</v>
      </c>
      <c r="Y139" s="6" t="e">
        <f t="shared" si="18"/>
        <v>#VALUE!</v>
      </c>
      <c r="AA139">
        <v>9248625</v>
      </c>
      <c r="AB139">
        <v>12897</v>
      </c>
      <c r="AD139" t="s">
        <v>1</v>
      </c>
      <c r="AE139">
        <v>7</v>
      </c>
      <c r="AF139" s="9">
        <v>44351</v>
      </c>
      <c r="AH139" t="s">
        <v>1530</v>
      </c>
      <c r="AI139" t="s">
        <v>1529</v>
      </c>
      <c r="AK139" t="s">
        <v>1528</v>
      </c>
      <c r="AL139">
        <v>0</v>
      </c>
      <c r="AM139" s="5">
        <f t="shared" si="19"/>
        <v>0</v>
      </c>
      <c r="AN139" s="4">
        <f t="shared" si="20"/>
        <v>0</v>
      </c>
      <c r="AO139" s="3"/>
      <c r="AP139">
        <v>0</v>
      </c>
      <c r="AR139" t="s">
        <v>0</v>
      </c>
      <c r="AT139" s="2" t="s">
        <v>13</v>
      </c>
      <c r="AU139" s="1" t="e">
        <f t="shared" si="21"/>
        <v>#VALUE!</v>
      </c>
      <c r="AV139" s="1" t="e">
        <f t="shared" si="22"/>
        <v>#VALUE!</v>
      </c>
      <c r="AW139" s="1" t="e">
        <f t="shared" si="23"/>
        <v>#VALUE!</v>
      </c>
    </row>
    <row r="140" spans="1:49" x14ac:dyDescent="0.2">
      <c r="A140">
        <v>138</v>
      </c>
      <c r="B140" t="s">
        <v>1527</v>
      </c>
      <c r="C140" t="s">
        <v>1526</v>
      </c>
      <c r="E140">
        <v>2076532</v>
      </c>
      <c r="F140" t="s">
        <v>1525</v>
      </c>
      <c r="G140" t="s">
        <v>4</v>
      </c>
      <c r="H140" t="s">
        <v>3</v>
      </c>
      <c r="I140" t="s">
        <v>1524</v>
      </c>
      <c r="J140" t="s">
        <v>1523</v>
      </c>
      <c r="K140" t="s">
        <v>1522</v>
      </c>
      <c r="L140" t="s">
        <v>1521</v>
      </c>
      <c r="M140" t="s">
        <v>10</v>
      </c>
      <c r="N140">
        <v>3</v>
      </c>
      <c r="O140" t="s">
        <v>1520</v>
      </c>
      <c r="P140" t="s">
        <v>1519</v>
      </c>
      <c r="Q140" t="s">
        <v>1518</v>
      </c>
      <c r="R140" s="7">
        <v>33178</v>
      </c>
      <c r="S140" s="8">
        <f t="shared" si="16"/>
        <v>1990</v>
      </c>
      <c r="T140" s="8">
        <v>1990</v>
      </c>
      <c r="U140" s="8">
        <f t="shared" si="17"/>
        <v>32</v>
      </c>
      <c r="V140" s="7">
        <v>33178</v>
      </c>
      <c r="W140" t="s">
        <v>276</v>
      </c>
      <c r="X140" s="2">
        <v>1.64</v>
      </c>
      <c r="Y140" s="6">
        <f t="shared" si="18"/>
        <v>4.3778863351218597E-2</v>
      </c>
      <c r="AA140" t="s">
        <v>275</v>
      </c>
      <c r="AB140">
        <v>18446</v>
      </c>
      <c r="AC140">
        <v>14320878</v>
      </c>
      <c r="AD140" t="s">
        <v>1</v>
      </c>
      <c r="AE140">
        <v>262</v>
      </c>
      <c r="AF140">
        <v>2</v>
      </c>
      <c r="AH140" t="s">
        <v>1517</v>
      </c>
      <c r="AI140" t="s">
        <v>1516</v>
      </c>
      <c r="AJ140" t="s">
        <v>1515</v>
      </c>
      <c r="AK140" t="s">
        <v>1514</v>
      </c>
      <c r="AL140">
        <v>26</v>
      </c>
      <c r="AM140" s="5">
        <f t="shared" si="19"/>
        <v>0.8125</v>
      </c>
      <c r="AN140" s="4">
        <f t="shared" si="20"/>
        <v>1.2305944717909882E-3</v>
      </c>
      <c r="AO140" s="3"/>
      <c r="AP140">
        <v>0</v>
      </c>
      <c r="AQ140" t="s">
        <v>79</v>
      </c>
      <c r="AR140" t="s">
        <v>78</v>
      </c>
      <c r="AS140" t="s">
        <v>77</v>
      </c>
      <c r="AT140" s="2">
        <v>5.2489999999999997</v>
      </c>
      <c r="AU140" s="1">
        <f t="shared" si="21"/>
        <v>3.1014382687390309</v>
      </c>
      <c r="AV140" s="1">
        <f t="shared" si="22"/>
        <v>2.2504728911504794</v>
      </c>
      <c r="AW140" s="1">
        <f t="shared" si="23"/>
        <v>1.399507513561927</v>
      </c>
    </row>
    <row r="141" spans="1:49" x14ac:dyDescent="0.2">
      <c r="A141">
        <v>139</v>
      </c>
      <c r="B141" t="s">
        <v>1513</v>
      </c>
      <c r="C141" t="s">
        <v>1512</v>
      </c>
      <c r="D141" t="s">
        <v>1511</v>
      </c>
      <c r="E141">
        <v>2226862</v>
      </c>
      <c r="F141" t="s">
        <v>1510</v>
      </c>
      <c r="G141" t="s">
        <v>4</v>
      </c>
      <c r="H141" t="s">
        <v>3</v>
      </c>
      <c r="I141" t="s">
        <v>1509</v>
      </c>
      <c r="J141">
        <v>60029170</v>
      </c>
      <c r="K141" t="s">
        <v>200</v>
      </c>
      <c r="L141" t="s">
        <v>199</v>
      </c>
      <c r="M141" t="s">
        <v>20</v>
      </c>
      <c r="N141">
        <v>3</v>
      </c>
      <c r="O141" t="s">
        <v>1508</v>
      </c>
      <c r="P141" t="s">
        <v>1507</v>
      </c>
      <c r="Q141" t="s">
        <v>260</v>
      </c>
      <c r="R141" s="7">
        <v>33175</v>
      </c>
      <c r="S141" s="8">
        <f t="shared" si="16"/>
        <v>1990</v>
      </c>
      <c r="T141" s="8">
        <v>1990</v>
      </c>
      <c r="U141" s="8">
        <f t="shared" si="17"/>
        <v>32</v>
      </c>
      <c r="V141" s="7">
        <v>33175</v>
      </c>
      <c r="W141" t="s">
        <v>283</v>
      </c>
      <c r="X141" s="2">
        <v>1.593</v>
      </c>
      <c r="Y141" s="6">
        <f t="shared" si="18"/>
        <v>4.2524225194201973E-2</v>
      </c>
      <c r="AA141">
        <v>145793</v>
      </c>
      <c r="AB141">
        <v>17481</v>
      </c>
      <c r="AD141" t="s">
        <v>1</v>
      </c>
      <c r="AE141">
        <v>273</v>
      </c>
      <c r="AF141" s="9">
        <v>44228</v>
      </c>
      <c r="AH141" t="s">
        <v>1506</v>
      </c>
      <c r="AI141" t="s">
        <v>1505</v>
      </c>
      <c r="AJ141" t="s">
        <v>1504</v>
      </c>
      <c r="AK141" t="s">
        <v>1503</v>
      </c>
      <c r="AL141">
        <v>51</v>
      </c>
      <c r="AM141" s="5">
        <f t="shared" si="19"/>
        <v>1.59375</v>
      </c>
      <c r="AN141" s="4">
        <f t="shared" si="20"/>
        <v>2.4138583869746308E-3</v>
      </c>
      <c r="AO141" s="3"/>
      <c r="AP141">
        <v>1</v>
      </c>
      <c r="AR141" t="s">
        <v>0</v>
      </c>
      <c r="AT141" s="2">
        <v>4.1239999999999997</v>
      </c>
      <c r="AU141" s="1">
        <f t="shared" si="21"/>
        <v>3.0491115152033772</v>
      </c>
      <c r="AV141" s="1">
        <f t="shared" si="22"/>
        <v>2.2469041790588302</v>
      </c>
      <c r="AW141" s="1">
        <f t="shared" si="23"/>
        <v>1.4446968429142832</v>
      </c>
    </row>
    <row r="142" spans="1:49" x14ac:dyDescent="0.2">
      <c r="A142">
        <v>140</v>
      </c>
      <c r="B142" t="s">
        <v>1502</v>
      </c>
      <c r="C142" t="s">
        <v>1501</v>
      </c>
      <c r="D142">
        <v>22508890905788</v>
      </c>
      <c r="F142" t="s">
        <v>1500</v>
      </c>
      <c r="G142" t="s">
        <v>4</v>
      </c>
      <c r="H142" t="s">
        <v>3</v>
      </c>
      <c r="I142" t="s">
        <v>1499</v>
      </c>
      <c r="J142" t="s">
        <v>1498</v>
      </c>
      <c r="K142" t="s">
        <v>1497</v>
      </c>
      <c r="L142" t="s">
        <v>1496</v>
      </c>
      <c r="M142" t="s">
        <v>1495</v>
      </c>
      <c r="N142">
        <v>14</v>
      </c>
      <c r="O142" t="s">
        <v>1494</v>
      </c>
      <c r="P142" t="s">
        <v>1493</v>
      </c>
      <c r="Q142" t="s">
        <v>1492</v>
      </c>
      <c r="R142" s="7">
        <v>33161</v>
      </c>
      <c r="S142" s="8">
        <f t="shared" si="16"/>
        <v>1990</v>
      </c>
      <c r="T142" s="8">
        <v>1990</v>
      </c>
      <c r="U142" s="8">
        <f t="shared" si="17"/>
        <v>32</v>
      </c>
      <c r="V142" s="7">
        <v>33161</v>
      </c>
      <c r="W142" t="s">
        <v>1491</v>
      </c>
      <c r="X142" s="2" t="s">
        <v>13</v>
      </c>
      <c r="Y142" s="6" t="e">
        <f t="shared" si="18"/>
        <v>#VALUE!</v>
      </c>
      <c r="AA142">
        <v>225088</v>
      </c>
      <c r="AB142">
        <v>37666</v>
      </c>
      <c r="AD142" t="s">
        <v>1</v>
      </c>
      <c r="AE142" t="s">
        <v>1490</v>
      </c>
      <c r="AF142" t="s">
        <v>1489</v>
      </c>
      <c r="AH142" t="s">
        <v>1488</v>
      </c>
      <c r="AI142" t="s">
        <v>1487</v>
      </c>
      <c r="AK142" t="s">
        <v>1486</v>
      </c>
      <c r="AL142">
        <v>2</v>
      </c>
      <c r="AM142" s="5">
        <f t="shared" si="19"/>
        <v>6.25E-2</v>
      </c>
      <c r="AN142" s="4">
        <f t="shared" si="20"/>
        <v>9.46611132146914E-5</v>
      </c>
      <c r="AO142" s="3"/>
      <c r="AP142">
        <v>0</v>
      </c>
      <c r="AR142" t="s">
        <v>0</v>
      </c>
      <c r="AT142" s="2" t="s">
        <v>13</v>
      </c>
      <c r="AU142" s="1" t="e">
        <f t="shared" si="21"/>
        <v>#VALUE!</v>
      </c>
      <c r="AV142" s="1" t="e">
        <f t="shared" si="22"/>
        <v>#VALUE!</v>
      </c>
      <c r="AW142" s="1" t="e">
        <f t="shared" si="23"/>
        <v>#VALUE!</v>
      </c>
    </row>
    <row r="143" spans="1:49" x14ac:dyDescent="0.2">
      <c r="A143">
        <v>141</v>
      </c>
      <c r="B143" t="s">
        <v>1485</v>
      </c>
      <c r="C143" t="s">
        <v>1484</v>
      </c>
      <c r="D143" t="s">
        <v>1483</v>
      </c>
      <c r="F143" t="s">
        <v>1482</v>
      </c>
      <c r="G143" t="s">
        <v>4</v>
      </c>
      <c r="H143" t="s">
        <v>3</v>
      </c>
      <c r="I143" t="s">
        <v>1063</v>
      </c>
      <c r="J143" t="s">
        <v>1481</v>
      </c>
      <c r="K143" t="s">
        <v>1480</v>
      </c>
      <c r="L143" t="s">
        <v>1479</v>
      </c>
      <c r="M143" t="s">
        <v>103</v>
      </c>
      <c r="N143">
        <v>3</v>
      </c>
      <c r="O143" t="s">
        <v>1478</v>
      </c>
      <c r="P143" t="s">
        <v>1477</v>
      </c>
      <c r="Q143" t="s">
        <v>1476</v>
      </c>
      <c r="R143" s="7">
        <v>33161</v>
      </c>
      <c r="S143" s="8">
        <f t="shared" si="16"/>
        <v>1990</v>
      </c>
      <c r="T143" s="8">
        <v>1990</v>
      </c>
      <c r="U143" s="8">
        <f t="shared" si="17"/>
        <v>32</v>
      </c>
      <c r="V143" s="7">
        <v>33161</v>
      </c>
      <c r="W143" t="s">
        <v>271</v>
      </c>
      <c r="X143" s="2" t="s">
        <v>13</v>
      </c>
      <c r="Y143" s="6" t="e">
        <f t="shared" si="18"/>
        <v>#VALUE!</v>
      </c>
      <c r="AA143">
        <v>1689002</v>
      </c>
      <c r="AB143">
        <v>29067</v>
      </c>
      <c r="AD143" t="s">
        <v>1</v>
      </c>
      <c r="AE143">
        <v>296</v>
      </c>
      <c r="AF143" s="9">
        <v>44256</v>
      </c>
      <c r="AH143" t="s">
        <v>1475</v>
      </c>
      <c r="AI143" t="s">
        <v>1474</v>
      </c>
      <c r="AK143" t="s">
        <v>1473</v>
      </c>
      <c r="AL143">
        <v>1</v>
      </c>
      <c r="AM143" s="5">
        <f t="shared" si="19"/>
        <v>3.125E-2</v>
      </c>
      <c r="AN143" s="4">
        <f t="shared" si="20"/>
        <v>4.73305566073457E-5</v>
      </c>
      <c r="AO143" s="3"/>
      <c r="AP143">
        <v>0</v>
      </c>
      <c r="AR143" t="s">
        <v>0</v>
      </c>
      <c r="AT143" s="2" t="s">
        <v>13</v>
      </c>
      <c r="AU143" s="1" t="e">
        <f t="shared" si="21"/>
        <v>#VALUE!</v>
      </c>
      <c r="AV143" s="1" t="e">
        <f t="shared" si="22"/>
        <v>#VALUE!</v>
      </c>
      <c r="AW143" s="1" t="e">
        <f t="shared" si="23"/>
        <v>#VALUE!</v>
      </c>
    </row>
    <row r="144" spans="1:49" x14ac:dyDescent="0.2">
      <c r="A144">
        <v>142</v>
      </c>
      <c r="B144" t="s">
        <v>1472</v>
      </c>
      <c r="C144" t="s">
        <v>1471</v>
      </c>
      <c r="F144" t="s">
        <v>1470</v>
      </c>
      <c r="G144" t="s">
        <v>4</v>
      </c>
      <c r="H144" t="s">
        <v>3</v>
      </c>
      <c r="I144" t="s">
        <v>1469</v>
      </c>
      <c r="N144">
        <v>1</v>
      </c>
      <c r="O144" t="s">
        <v>1468</v>
      </c>
      <c r="P144">
        <v>7005635146</v>
      </c>
      <c r="R144" s="7">
        <v>33147</v>
      </c>
      <c r="S144" s="8">
        <f t="shared" si="16"/>
        <v>1990</v>
      </c>
      <c r="T144" s="8">
        <v>1990</v>
      </c>
      <c r="U144" s="8">
        <f t="shared" si="17"/>
        <v>32</v>
      </c>
      <c r="V144" s="7">
        <v>33147</v>
      </c>
      <c r="W144" t="s">
        <v>1467</v>
      </c>
      <c r="X144" s="2" t="s">
        <v>13</v>
      </c>
      <c r="Y144" s="6" t="e">
        <f t="shared" si="18"/>
        <v>#VALUE!</v>
      </c>
      <c r="AA144">
        <v>8949875</v>
      </c>
      <c r="AB144">
        <v>27957</v>
      </c>
      <c r="AC144">
        <v>15729524</v>
      </c>
      <c r="AD144" t="s">
        <v>1</v>
      </c>
      <c r="AE144">
        <v>3</v>
      </c>
      <c r="AF144">
        <v>5</v>
      </c>
      <c r="AH144" t="s">
        <v>1466</v>
      </c>
      <c r="AI144" t="s">
        <v>1465</v>
      </c>
      <c r="AJ144" t="s">
        <v>1464</v>
      </c>
      <c r="AK144" t="s">
        <v>1463</v>
      </c>
      <c r="AL144">
        <v>11</v>
      </c>
      <c r="AM144" s="5">
        <f t="shared" si="19"/>
        <v>0.34375</v>
      </c>
      <c r="AN144" s="4">
        <f t="shared" si="20"/>
        <v>5.2063612268080268E-4</v>
      </c>
      <c r="AO144" s="3"/>
      <c r="AP144">
        <v>0</v>
      </c>
      <c r="AR144" t="s">
        <v>0</v>
      </c>
      <c r="AT144" s="2" t="s">
        <v>13</v>
      </c>
      <c r="AU144" s="1" t="e">
        <f t="shared" si="21"/>
        <v>#VALUE!</v>
      </c>
      <c r="AV144" s="1" t="e">
        <f t="shared" si="22"/>
        <v>#VALUE!</v>
      </c>
      <c r="AW144" s="1" t="e">
        <f t="shared" si="23"/>
        <v>#VALUE!</v>
      </c>
    </row>
    <row r="145" spans="1:49" x14ac:dyDescent="0.2">
      <c r="A145">
        <v>143</v>
      </c>
      <c r="B145" t="s">
        <v>1462</v>
      </c>
      <c r="C145" t="s">
        <v>1461</v>
      </c>
      <c r="F145" t="s">
        <v>1460</v>
      </c>
      <c r="G145" t="s">
        <v>4</v>
      </c>
      <c r="H145" t="s">
        <v>3</v>
      </c>
      <c r="I145" t="s">
        <v>282</v>
      </c>
      <c r="N145">
        <v>3</v>
      </c>
      <c r="O145" t="s">
        <v>1459</v>
      </c>
      <c r="P145" t="s">
        <v>1458</v>
      </c>
      <c r="Q145" t="s">
        <v>32</v>
      </c>
      <c r="R145" s="7">
        <v>33147</v>
      </c>
      <c r="S145" s="8">
        <f t="shared" si="16"/>
        <v>1990</v>
      </c>
      <c r="T145" s="8">
        <v>1990</v>
      </c>
      <c r="U145" s="8">
        <f t="shared" si="17"/>
        <v>32</v>
      </c>
      <c r="V145" s="7">
        <v>33147</v>
      </c>
      <c r="W145" t="s">
        <v>241</v>
      </c>
      <c r="X145" s="2">
        <v>0.14899999999999999</v>
      </c>
      <c r="Y145" s="6">
        <f t="shared" si="18"/>
        <v>3.977469902031446E-3</v>
      </c>
      <c r="AA145">
        <v>5431972</v>
      </c>
      <c r="AB145">
        <v>15425</v>
      </c>
      <c r="AC145">
        <v>15738906</v>
      </c>
      <c r="AD145" t="s">
        <v>1</v>
      </c>
      <c r="AE145">
        <v>33</v>
      </c>
      <c r="AF145">
        <v>10</v>
      </c>
      <c r="AH145" t="s">
        <v>1457</v>
      </c>
      <c r="AL145">
        <v>0</v>
      </c>
      <c r="AM145" s="5">
        <f t="shared" si="19"/>
        <v>0</v>
      </c>
      <c r="AN145" s="4">
        <f t="shared" si="20"/>
        <v>0</v>
      </c>
      <c r="AO145" s="3"/>
      <c r="AP145">
        <v>0</v>
      </c>
      <c r="AR145" t="s">
        <v>0</v>
      </c>
      <c r="AT145" s="2" t="s">
        <v>13</v>
      </c>
      <c r="AU145" s="1">
        <f t="shared" si="21"/>
        <v>0.2784228931422012</v>
      </c>
      <c r="AV145" s="1">
        <f t="shared" si="22"/>
        <v>0.19887349510157229</v>
      </c>
      <c r="AW145" s="1">
        <f t="shared" si="23"/>
        <v>0.11932409706094337</v>
      </c>
    </row>
    <row r="146" spans="1:49" x14ac:dyDescent="0.2">
      <c r="A146">
        <v>144</v>
      </c>
      <c r="B146" t="s">
        <v>1456</v>
      </c>
      <c r="C146" t="s">
        <v>1455</v>
      </c>
      <c r="F146" t="s">
        <v>1454</v>
      </c>
      <c r="G146" t="s">
        <v>4</v>
      </c>
      <c r="H146" t="s">
        <v>3</v>
      </c>
      <c r="I146" t="s">
        <v>1453</v>
      </c>
      <c r="N146">
        <v>2</v>
      </c>
      <c r="O146" t="s">
        <v>1452</v>
      </c>
      <c r="P146" t="s">
        <v>1451</v>
      </c>
      <c r="Q146" t="s">
        <v>12</v>
      </c>
      <c r="R146" s="7">
        <v>33147</v>
      </c>
      <c r="S146" s="8">
        <f t="shared" si="16"/>
        <v>1990</v>
      </c>
      <c r="T146" s="8">
        <v>1990</v>
      </c>
      <c r="U146" s="8">
        <f t="shared" si="17"/>
        <v>32</v>
      </c>
      <c r="V146" s="7">
        <v>33147</v>
      </c>
      <c r="W146" t="s">
        <v>241</v>
      </c>
      <c r="X146" s="2">
        <v>0.14899999999999999</v>
      </c>
      <c r="Y146" s="6">
        <f t="shared" si="18"/>
        <v>3.977469902031446E-3</v>
      </c>
      <c r="AA146">
        <v>5431972</v>
      </c>
      <c r="AB146">
        <v>15425</v>
      </c>
      <c r="AC146">
        <v>15738906</v>
      </c>
      <c r="AD146" t="s">
        <v>1</v>
      </c>
      <c r="AE146">
        <v>33</v>
      </c>
      <c r="AF146">
        <v>10</v>
      </c>
      <c r="AH146" t="s">
        <v>1450</v>
      </c>
      <c r="AL146">
        <v>0</v>
      </c>
      <c r="AM146" s="5">
        <f t="shared" si="19"/>
        <v>0</v>
      </c>
      <c r="AN146" s="4">
        <f t="shared" si="20"/>
        <v>0</v>
      </c>
      <c r="AO146" s="3"/>
      <c r="AP146">
        <v>0</v>
      </c>
      <c r="AR146" t="s">
        <v>0</v>
      </c>
      <c r="AT146" s="2" t="s">
        <v>13</v>
      </c>
      <c r="AU146" s="1">
        <f t="shared" si="21"/>
        <v>0.2784228931422012</v>
      </c>
      <c r="AV146" s="1">
        <f t="shared" si="22"/>
        <v>0.19887349510157229</v>
      </c>
      <c r="AW146" s="1">
        <f t="shared" si="23"/>
        <v>0.11932409706094337</v>
      </c>
    </row>
    <row r="147" spans="1:49" x14ac:dyDescent="0.2">
      <c r="A147">
        <v>145</v>
      </c>
      <c r="B147" t="s">
        <v>1449</v>
      </c>
      <c r="C147" t="s">
        <v>1448</v>
      </c>
      <c r="F147" t="s">
        <v>1447</v>
      </c>
      <c r="G147" t="s">
        <v>4</v>
      </c>
      <c r="H147" t="s">
        <v>3</v>
      </c>
      <c r="I147" t="s">
        <v>1446</v>
      </c>
      <c r="N147">
        <v>4</v>
      </c>
      <c r="O147" t="s">
        <v>1445</v>
      </c>
      <c r="P147" t="s">
        <v>1444</v>
      </c>
      <c r="Q147" t="s">
        <v>26</v>
      </c>
      <c r="R147" s="7">
        <v>33147</v>
      </c>
      <c r="S147" s="8">
        <f t="shared" si="16"/>
        <v>1990</v>
      </c>
      <c r="T147" s="8">
        <v>1990</v>
      </c>
      <c r="U147" s="8">
        <f t="shared" si="17"/>
        <v>32</v>
      </c>
      <c r="V147" s="7">
        <v>33147</v>
      </c>
      <c r="W147" t="s">
        <v>241</v>
      </c>
      <c r="X147" s="2">
        <v>0.14899999999999999</v>
      </c>
      <c r="Y147" s="6">
        <f t="shared" si="18"/>
        <v>3.977469902031446E-3</v>
      </c>
      <c r="AA147">
        <v>5431972</v>
      </c>
      <c r="AB147">
        <v>15425</v>
      </c>
      <c r="AC147">
        <v>15738906</v>
      </c>
      <c r="AD147" t="s">
        <v>1</v>
      </c>
      <c r="AE147">
        <v>33</v>
      </c>
      <c r="AF147">
        <v>10</v>
      </c>
      <c r="AH147" t="s">
        <v>1443</v>
      </c>
      <c r="AL147">
        <v>0</v>
      </c>
      <c r="AM147" s="5">
        <f t="shared" si="19"/>
        <v>0</v>
      </c>
      <c r="AN147" s="4">
        <f t="shared" si="20"/>
        <v>0</v>
      </c>
      <c r="AO147" s="3"/>
      <c r="AP147">
        <v>0</v>
      </c>
      <c r="AR147" t="s">
        <v>0</v>
      </c>
      <c r="AT147" s="2" t="s">
        <v>13</v>
      </c>
      <c r="AU147" s="1">
        <f t="shared" si="21"/>
        <v>0.2784228931422012</v>
      </c>
      <c r="AV147" s="1">
        <f t="shared" si="22"/>
        <v>0.19887349510157229</v>
      </c>
      <c r="AW147" s="1">
        <f t="shared" si="23"/>
        <v>0.11932409706094337</v>
      </c>
    </row>
    <row r="148" spans="1:49" x14ac:dyDescent="0.2">
      <c r="A148">
        <v>146</v>
      </c>
      <c r="B148" t="s">
        <v>1442</v>
      </c>
      <c r="F148" t="s">
        <v>1441</v>
      </c>
      <c r="G148" t="s">
        <v>4</v>
      </c>
      <c r="H148" t="s">
        <v>3</v>
      </c>
      <c r="I148" t="s">
        <v>1440</v>
      </c>
      <c r="J148">
        <v>100698267</v>
      </c>
      <c r="K148" t="s">
        <v>1439</v>
      </c>
      <c r="M148" t="s">
        <v>19</v>
      </c>
      <c r="N148">
        <v>1</v>
      </c>
      <c r="O148" t="s">
        <v>1438</v>
      </c>
      <c r="P148">
        <v>7005725380</v>
      </c>
      <c r="Q148">
        <v>100698267</v>
      </c>
      <c r="R148" s="7">
        <v>33147</v>
      </c>
      <c r="S148" s="8">
        <f t="shared" si="16"/>
        <v>1990</v>
      </c>
      <c r="T148" s="8">
        <v>1990</v>
      </c>
      <c r="U148" s="8">
        <f t="shared" si="17"/>
        <v>32</v>
      </c>
      <c r="V148" s="7">
        <v>33147</v>
      </c>
      <c r="W148" t="s">
        <v>101</v>
      </c>
      <c r="X148" s="2">
        <v>0.88100000000000001</v>
      </c>
      <c r="Y148" s="6">
        <f t="shared" si="18"/>
        <v>2.3517791836843653E-2</v>
      </c>
      <c r="AA148">
        <v>10459243</v>
      </c>
      <c r="AB148">
        <v>17248</v>
      </c>
      <c r="AD148" t="s">
        <v>1</v>
      </c>
      <c r="AE148">
        <v>32</v>
      </c>
      <c r="AF148">
        <v>5</v>
      </c>
      <c r="AH148" t="s">
        <v>1437</v>
      </c>
      <c r="AI148" t="s">
        <v>1436</v>
      </c>
      <c r="AK148" t="s">
        <v>1435</v>
      </c>
      <c r="AL148">
        <v>0</v>
      </c>
      <c r="AM148" s="5">
        <f t="shared" si="19"/>
        <v>0</v>
      </c>
      <c r="AN148" s="4">
        <f t="shared" si="20"/>
        <v>0</v>
      </c>
      <c r="AO148" s="3"/>
      <c r="AP148">
        <v>0</v>
      </c>
      <c r="AR148" t="s">
        <v>0</v>
      </c>
      <c r="AT148" s="2" t="s">
        <v>13</v>
      </c>
      <c r="AU148" s="1">
        <f t="shared" si="21"/>
        <v>1.6462454285790555</v>
      </c>
      <c r="AV148" s="1">
        <f t="shared" si="22"/>
        <v>1.1758895918421826</v>
      </c>
      <c r="AW148" s="1">
        <f t="shared" si="23"/>
        <v>0.70553375510530958</v>
      </c>
    </row>
    <row r="149" spans="1:49" x14ac:dyDescent="0.2">
      <c r="A149">
        <v>147</v>
      </c>
      <c r="B149" t="s">
        <v>1434</v>
      </c>
      <c r="C149" t="s">
        <v>1433</v>
      </c>
      <c r="F149" t="s">
        <v>1432</v>
      </c>
      <c r="G149" t="s">
        <v>4</v>
      </c>
      <c r="H149" t="s">
        <v>3</v>
      </c>
      <c r="I149" t="s">
        <v>1431</v>
      </c>
      <c r="J149" t="s">
        <v>1430</v>
      </c>
      <c r="K149" t="s">
        <v>1429</v>
      </c>
      <c r="L149" t="s">
        <v>1428</v>
      </c>
      <c r="M149" t="s">
        <v>11</v>
      </c>
      <c r="N149">
        <v>4</v>
      </c>
      <c r="O149" t="s">
        <v>1427</v>
      </c>
      <c r="P149" t="s">
        <v>1426</v>
      </c>
      <c r="Q149" t="s">
        <v>1425</v>
      </c>
      <c r="R149" s="7">
        <v>33147</v>
      </c>
      <c r="S149" s="8">
        <f t="shared" si="16"/>
        <v>1990</v>
      </c>
      <c r="T149" s="8">
        <v>1990</v>
      </c>
      <c r="U149" s="8">
        <f t="shared" si="17"/>
        <v>32</v>
      </c>
      <c r="V149" s="7">
        <v>33147</v>
      </c>
      <c r="W149" t="s">
        <v>239</v>
      </c>
      <c r="X149" s="2">
        <v>0.61499999999999999</v>
      </c>
      <c r="Y149" s="6">
        <f t="shared" si="18"/>
        <v>1.6417073756706976E-2</v>
      </c>
      <c r="AA149">
        <v>1959271</v>
      </c>
      <c r="AB149">
        <v>12141</v>
      </c>
      <c r="AC149">
        <v>15729559</v>
      </c>
      <c r="AD149" t="s">
        <v>1</v>
      </c>
      <c r="AE149">
        <v>11</v>
      </c>
      <c r="AF149">
        <v>10</v>
      </c>
      <c r="AH149" t="s">
        <v>1424</v>
      </c>
      <c r="AI149" t="s">
        <v>1423</v>
      </c>
      <c r="AJ149" t="s">
        <v>1422</v>
      </c>
      <c r="AK149" t="s">
        <v>1421</v>
      </c>
      <c r="AL149">
        <v>4</v>
      </c>
      <c r="AM149" s="5">
        <f t="shared" si="19"/>
        <v>0.125</v>
      </c>
      <c r="AN149" s="4">
        <f t="shared" si="20"/>
        <v>1.893222264293828E-4</v>
      </c>
      <c r="AO149" s="3"/>
      <c r="AP149">
        <v>0</v>
      </c>
      <c r="AR149" t="s">
        <v>0</v>
      </c>
      <c r="AT149" s="2" t="s">
        <v>13</v>
      </c>
      <c r="AU149" s="1">
        <f t="shared" si="21"/>
        <v>1.1548748297623697</v>
      </c>
      <c r="AV149" s="1">
        <f t="shared" si="22"/>
        <v>0.83031979915681797</v>
      </c>
      <c r="AW149" s="1">
        <f t="shared" si="23"/>
        <v>0.50576476855126606</v>
      </c>
    </row>
    <row r="150" spans="1:49" x14ac:dyDescent="0.2">
      <c r="A150">
        <v>148</v>
      </c>
      <c r="B150" t="s">
        <v>1420</v>
      </c>
      <c r="C150" t="s">
        <v>1419</v>
      </c>
      <c r="F150" t="s">
        <v>1418</v>
      </c>
      <c r="G150" t="s">
        <v>4</v>
      </c>
      <c r="H150" t="s">
        <v>3</v>
      </c>
      <c r="I150" t="s">
        <v>1417</v>
      </c>
      <c r="J150">
        <v>60025778</v>
      </c>
      <c r="K150" t="s">
        <v>37</v>
      </c>
      <c r="L150" t="s">
        <v>36</v>
      </c>
      <c r="M150" t="s">
        <v>19</v>
      </c>
      <c r="N150">
        <v>3</v>
      </c>
      <c r="O150" t="s">
        <v>1416</v>
      </c>
      <c r="P150" t="s">
        <v>1415</v>
      </c>
      <c r="Q150" t="s">
        <v>82</v>
      </c>
      <c r="R150" s="7">
        <v>33147</v>
      </c>
      <c r="S150" s="8">
        <f t="shared" si="16"/>
        <v>1990</v>
      </c>
      <c r="T150" s="8">
        <v>1990</v>
      </c>
      <c r="U150" s="8">
        <f t="shared" si="17"/>
        <v>32</v>
      </c>
      <c r="V150" s="7">
        <v>33147</v>
      </c>
      <c r="W150" t="s">
        <v>101</v>
      </c>
      <c r="X150" s="2">
        <v>0.88100000000000001</v>
      </c>
      <c r="Y150" s="6">
        <f t="shared" si="18"/>
        <v>2.3517791836843653E-2</v>
      </c>
      <c r="AA150">
        <v>10459243</v>
      </c>
      <c r="AB150">
        <v>17248</v>
      </c>
      <c r="AD150" t="s">
        <v>1</v>
      </c>
      <c r="AE150">
        <v>32</v>
      </c>
      <c r="AF150">
        <v>5</v>
      </c>
      <c r="AH150" s="10">
        <v>42887</v>
      </c>
      <c r="AI150" t="s">
        <v>1414</v>
      </c>
      <c r="AK150" t="s">
        <v>1413</v>
      </c>
      <c r="AL150">
        <v>24</v>
      </c>
      <c r="AM150" s="5">
        <f t="shared" si="19"/>
        <v>0.75</v>
      </c>
      <c r="AN150" s="4">
        <f t="shared" si="20"/>
        <v>1.1359333585762969E-3</v>
      </c>
      <c r="AO150" s="3"/>
      <c r="AP150">
        <v>0</v>
      </c>
      <c r="AR150" t="s">
        <v>0</v>
      </c>
      <c r="AT150" s="2" t="s">
        <v>13</v>
      </c>
      <c r="AU150" s="1">
        <f t="shared" si="21"/>
        <v>1.6803234293363445</v>
      </c>
      <c r="AV150" s="1">
        <f t="shared" si="22"/>
        <v>1.2326862597709975</v>
      </c>
      <c r="AW150" s="1">
        <f t="shared" si="23"/>
        <v>0.78504909020565039</v>
      </c>
    </row>
    <row r="151" spans="1:49" x14ac:dyDescent="0.2">
      <c r="A151">
        <v>149</v>
      </c>
      <c r="B151" t="s">
        <v>1412</v>
      </c>
      <c r="F151" t="s">
        <v>1411</v>
      </c>
      <c r="G151" t="s">
        <v>4</v>
      </c>
      <c r="H151" t="s">
        <v>3</v>
      </c>
      <c r="I151" t="s">
        <v>133</v>
      </c>
      <c r="J151">
        <v>60014313</v>
      </c>
      <c r="K151" t="s">
        <v>49</v>
      </c>
      <c r="L151" t="s">
        <v>48</v>
      </c>
      <c r="M151" t="s">
        <v>19</v>
      </c>
      <c r="N151">
        <v>2</v>
      </c>
      <c r="O151" t="s">
        <v>1410</v>
      </c>
      <c r="P151" t="s">
        <v>1409</v>
      </c>
      <c r="Q151" t="s">
        <v>130</v>
      </c>
      <c r="R151" s="7">
        <v>33147</v>
      </c>
      <c r="S151" s="8">
        <f t="shared" si="16"/>
        <v>1990</v>
      </c>
      <c r="T151" s="8">
        <v>1990</v>
      </c>
      <c r="U151" s="8">
        <f t="shared" si="17"/>
        <v>32</v>
      </c>
      <c r="V151" s="7">
        <v>33147</v>
      </c>
      <c r="W151" t="s">
        <v>101</v>
      </c>
      <c r="X151" s="2">
        <v>0.88100000000000001</v>
      </c>
      <c r="Y151" s="6">
        <f t="shared" si="18"/>
        <v>2.3517791836843653E-2</v>
      </c>
      <c r="AA151">
        <v>10459243</v>
      </c>
      <c r="AB151">
        <v>17248</v>
      </c>
      <c r="AD151" t="s">
        <v>1</v>
      </c>
      <c r="AE151">
        <v>32</v>
      </c>
      <c r="AF151">
        <v>5</v>
      </c>
      <c r="AH151" t="s">
        <v>1408</v>
      </c>
      <c r="AI151" t="s">
        <v>1407</v>
      </c>
      <c r="AK151" t="s">
        <v>1406</v>
      </c>
      <c r="AL151">
        <v>3</v>
      </c>
      <c r="AM151" s="5">
        <f t="shared" si="19"/>
        <v>9.375E-2</v>
      </c>
      <c r="AN151" s="4">
        <f t="shared" si="20"/>
        <v>1.4199166982203711E-4</v>
      </c>
      <c r="AO151" s="3"/>
      <c r="AP151">
        <v>0</v>
      </c>
      <c r="AR151" t="s">
        <v>0</v>
      </c>
      <c r="AT151" s="2" t="s">
        <v>13</v>
      </c>
      <c r="AU151" s="1">
        <f t="shared" si="21"/>
        <v>1.6505051786737168</v>
      </c>
      <c r="AV151" s="1">
        <f t="shared" si="22"/>
        <v>1.1829891753332844</v>
      </c>
      <c r="AW151" s="1">
        <f t="shared" si="23"/>
        <v>0.7154731719928521</v>
      </c>
    </row>
    <row r="152" spans="1:49" x14ac:dyDescent="0.2">
      <c r="A152">
        <v>150</v>
      </c>
      <c r="B152" t="s">
        <v>1405</v>
      </c>
      <c r="F152" t="s">
        <v>1404</v>
      </c>
      <c r="G152" t="s">
        <v>4</v>
      </c>
      <c r="H152" t="s">
        <v>3</v>
      </c>
      <c r="I152" t="s">
        <v>1403</v>
      </c>
      <c r="J152">
        <v>60010365</v>
      </c>
      <c r="K152" t="s">
        <v>124</v>
      </c>
      <c r="L152" t="s">
        <v>123</v>
      </c>
      <c r="M152" t="s">
        <v>102</v>
      </c>
      <c r="N152">
        <v>4</v>
      </c>
      <c r="O152" t="s">
        <v>1402</v>
      </c>
      <c r="P152" t="s">
        <v>1401</v>
      </c>
      <c r="Q152" t="s">
        <v>1400</v>
      </c>
      <c r="R152" s="7">
        <v>33147</v>
      </c>
      <c r="S152" s="8">
        <f t="shared" si="16"/>
        <v>1990</v>
      </c>
      <c r="T152" s="8">
        <v>1990</v>
      </c>
      <c r="U152" s="8">
        <f t="shared" si="17"/>
        <v>32</v>
      </c>
      <c r="V152" s="7">
        <v>33147</v>
      </c>
      <c r="W152" t="s">
        <v>269</v>
      </c>
      <c r="X152" s="2">
        <v>0.69799999999999995</v>
      </c>
      <c r="Y152" s="6">
        <f t="shared" si="18"/>
        <v>1.86327113531406E-2</v>
      </c>
      <c r="AA152">
        <v>219142</v>
      </c>
      <c r="AB152">
        <v>29585</v>
      </c>
      <c r="AD152" t="s">
        <v>1</v>
      </c>
      <c r="AE152">
        <v>38</v>
      </c>
      <c r="AF152">
        <v>4</v>
      </c>
      <c r="AH152" t="s">
        <v>1399</v>
      </c>
      <c r="AI152" t="s">
        <v>1398</v>
      </c>
      <c r="AK152" t="s">
        <v>1397</v>
      </c>
      <c r="AL152">
        <v>9</v>
      </c>
      <c r="AM152" s="5">
        <f t="shared" si="19"/>
        <v>0.28125</v>
      </c>
      <c r="AN152" s="4">
        <f t="shared" si="20"/>
        <v>4.2597500946611131E-4</v>
      </c>
      <c r="AO152" s="3"/>
      <c r="AP152">
        <v>0</v>
      </c>
      <c r="AR152" t="s">
        <v>0</v>
      </c>
      <c r="AT152" s="2">
        <v>1.5309999999999999</v>
      </c>
      <c r="AU152" s="1">
        <f t="shared" si="21"/>
        <v>1.3170690450038254</v>
      </c>
      <c r="AV152" s="1">
        <f t="shared" si="22"/>
        <v>0.95293431813033547</v>
      </c>
      <c r="AW152" s="1">
        <f t="shared" si="23"/>
        <v>0.58879959125684578</v>
      </c>
    </row>
    <row r="153" spans="1:49" x14ac:dyDescent="0.2">
      <c r="A153">
        <v>151</v>
      </c>
      <c r="B153" t="s">
        <v>1396</v>
      </c>
      <c r="F153" t="s">
        <v>1395</v>
      </c>
      <c r="G153" t="s">
        <v>4</v>
      </c>
      <c r="H153" t="s">
        <v>3</v>
      </c>
      <c r="I153" t="s">
        <v>1394</v>
      </c>
      <c r="N153">
        <v>1</v>
      </c>
      <c r="O153" t="s">
        <v>1393</v>
      </c>
      <c r="P153">
        <v>55466060900</v>
      </c>
      <c r="R153" s="7">
        <v>33147</v>
      </c>
      <c r="S153" s="8">
        <f t="shared" si="16"/>
        <v>1990</v>
      </c>
      <c r="T153" s="8">
        <v>1990</v>
      </c>
      <c r="U153" s="8">
        <f t="shared" si="17"/>
        <v>32</v>
      </c>
      <c r="V153" s="7">
        <v>33147</v>
      </c>
      <c r="W153" t="s">
        <v>1392</v>
      </c>
      <c r="X153" s="2" t="s">
        <v>13</v>
      </c>
      <c r="Y153" s="6" t="e">
        <f t="shared" si="18"/>
        <v>#VALUE!</v>
      </c>
      <c r="AA153">
        <v>2650193</v>
      </c>
      <c r="AB153">
        <v>35207</v>
      </c>
      <c r="AD153" t="s">
        <v>1</v>
      </c>
      <c r="AE153">
        <v>8</v>
      </c>
      <c r="AF153">
        <v>4</v>
      </c>
      <c r="AH153" t="s">
        <v>1391</v>
      </c>
      <c r="AI153" t="s">
        <v>1390</v>
      </c>
      <c r="AK153" t="s">
        <v>1389</v>
      </c>
      <c r="AL153">
        <v>3</v>
      </c>
      <c r="AM153" s="5">
        <f t="shared" si="19"/>
        <v>9.375E-2</v>
      </c>
      <c r="AN153" s="4">
        <f t="shared" si="20"/>
        <v>1.4199166982203711E-4</v>
      </c>
      <c r="AO153" s="3"/>
      <c r="AP153">
        <v>0</v>
      </c>
      <c r="AR153" t="s">
        <v>0</v>
      </c>
      <c r="AT153" s="2" t="s">
        <v>13</v>
      </c>
      <c r="AU153" s="1" t="e">
        <f t="shared" si="21"/>
        <v>#VALUE!</v>
      </c>
      <c r="AV153" s="1" t="e">
        <f t="shared" si="22"/>
        <v>#VALUE!</v>
      </c>
      <c r="AW153" s="1" t="e">
        <f t="shared" si="23"/>
        <v>#VALUE!</v>
      </c>
    </row>
    <row r="154" spans="1:49" x14ac:dyDescent="0.2">
      <c r="A154">
        <v>152</v>
      </c>
      <c r="B154" t="s">
        <v>1388</v>
      </c>
      <c r="F154" t="s">
        <v>1387</v>
      </c>
      <c r="G154" t="s">
        <v>4</v>
      </c>
      <c r="H154" t="s">
        <v>3</v>
      </c>
      <c r="I154" t="s">
        <v>1386</v>
      </c>
      <c r="J154">
        <v>60027090</v>
      </c>
      <c r="K154" t="s">
        <v>117</v>
      </c>
      <c r="L154" t="s">
        <v>116</v>
      </c>
      <c r="M154" t="s">
        <v>19</v>
      </c>
      <c r="N154">
        <v>3</v>
      </c>
      <c r="O154" t="s">
        <v>1385</v>
      </c>
      <c r="P154" t="s">
        <v>1384</v>
      </c>
      <c r="Q154" t="s">
        <v>1383</v>
      </c>
      <c r="R154" s="7">
        <v>33147</v>
      </c>
      <c r="S154" s="8">
        <f t="shared" si="16"/>
        <v>1990</v>
      </c>
      <c r="T154" s="8">
        <v>1990</v>
      </c>
      <c r="U154" s="8">
        <f t="shared" si="17"/>
        <v>32</v>
      </c>
      <c r="V154" s="7">
        <v>33147</v>
      </c>
      <c r="W154" t="s">
        <v>396</v>
      </c>
      <c r="X154" s="2" t="s">
        <v>13</v>
      </c>
      <c r="Y154" s="6" t="e">
        <f t="shared" si="18"/>
        <v>#VALUE!</v>
      </c>
      <c r="AA154">
        <v>7368607</v>
      </c>
      <c r="AB154">
        <v>73790</v>
      </c>
      <c r="AD154" t="s">
        <v>1</v>
      </c>
      <c r="AE154">
        <v>10</v>
      </c>
      <c r="AF154">
        <v>4</v>
      </c>
      <c r="AH154" t="s">
        <v>1382</v>
      </c>
      <c r="AI154" t="s">
        <v>1381</v>
      </c>
      <c r="AK154" t="s">
        <v>1380</v>
      </c>
      <c r="AL154">
        <v>1</v>
      </c>
      <c r="AM154" s="5">
        <f t="shared" si="19"/>
        <v>3.125E-2</v>
      </c>
      <c r="AN154" s="4">
        <f t="shared" si="20"/>
        <v>4.73305566073457E-5</v>
      </c>
      <c r="AO154" s="3"/>
      <c r="AP154">
        <v>0</v>
      </c>
      <c r="AR154" t="s">
        <v>0</v>
      </c>
      <c r="AT154" s="2" t="s">
        <v>13</v>
      </c>
      <c r="AU154" s="1" t="e">
        <f t="shared" si="21"/>
        <v>#VALUE!</v>
      </c>
      <c r="AV154" s="1" t="e">
        <f t="shared" si="22"/>
        <v>#VALUE!</v>
      </c>
      <c r="AW154" s="1" t="e">
        <f t="shared" si="23"/>
        <v>#VALUE!</v>
      </c>
    </row>
    <row r="155" spans="1:49" x14ac:dyDescent="0.2">
      <c r="A155">
        <v>153</v>
      </c>
      <c r="B155" t="s">
        <v>1379</v>
      </c>
      <c r="F155" t="s">
        <v>1378</v>
      </c>
      <c r="G155" t="s">
        <v>4</v>
      </c>
      <c r="H155" t="s">
        <v>3</v>
      </c>
      <c r="I155" t="s">
        <v>152</v>
      </c>
      <c r="J155">
        <v>60022225</v>
      </c>
      <c r="K155" t="s">
        <v>1377</v>
      </c>
      <c r="L155" t="s">
        <v>1376</v>
      </c>
      <c r="M155" t="s">
        <v>19</v>
      </c>
      <c r="N155">
        <v>1</v>
      </c>
      <c r="O155" t="s">
        <v>1375</v>
      </c>
      <c r="P155">
        <v>7102186231</v>
      </c>
      <c r="Q155">
        <v>60022225</v>
      </c>
      <c r="R155" s="7">
        <v>33147</v>
      </c>
      <c r="S155" s="8">
        <f t="shared" si="16"/>
        <v>1990</v>
      </c>
      <c r="T155" s="8">
        <v>1990</v>
      </c>
      <c r="U155" s="8">
        <f t="shared" si="17"/>
        <v>32</v>
      </c>
      <c r="V155" s="7">
        <v>33147</v>
      </c>
      <c r="W155" t="s">
        <v>396</v>
      </c>
      <c r="X155" s="2" t="s">
        <v>13</v>
      </c>
      <c r="Y155" s="6" t="e">
        <f t="shared" si="18"/>
        <v>#VALUE!</v>
      </c>
      <c r="AA155">
        <v>7368607</v>
      </c>
      <c r="AB155">
        <v>73790</v>
      </c>
      <c r="AD155" t="s">
        <v>1</v>
      </c>
      <c r="AE155">
        <v>10</v>
      </c>
      <c r="AF155">
        <v>4</v>
      </c>
      <c r="AH155" t="s">
        <v>196</v>
      </c>
      <c r="AI155" t="s">
        <v>1374</v>
      </c>
      <c r="AK155" t="s">
        <v>1373</v>
      </c>
      <c r="AL155">
        <v>1</v>
      </c>
      <c r="AM155" s="5">
        <f t="shared" si="19"/>
        <v>3.125E-2</v>
      </c>
      <c r="AN155" s="4">
        <f t="shared" si="20"/>
        <v>4.73305566073457E-5</v>
      </c>
      <c r="AO155" s="3"/>
      <c r="AP155">
        <v>0</v>
      </c>
      <c r="AR155" t="s">
        <v>0</v>
      </c>
      <c r="AT155" s="2" t="s">
        <v>13</v>
      </c>
      <c r="AU155" s="1" t="e">
        <f t="shared" si="21"/>
        <v>#VALUE!</v>
      </c>
      <c r="AV155" s="1" t="e">
        <f t="shared" si="22"/>
        <v>#VALUE!</v>
      </c>
      <c r="AW155" s="1" t="e">
        <f t="shared" si="23"/>
        <v>#VALUE!</v>
      </c>
    </row>
    <row r="156" spans="1:49" x14ac:dyDescent="0.2">
      <c r="A156">
        <v>154</v>
      </c>
      <c r="B156" t="s">
        <v>1372</v>
      </c>
      <c r="F156" t="s">
        <v>1371</v>
      </c>
      <c r="G156" t="s">
        <v>4</v>
      </c>
      <c r="H156" t="s">
        <v>3</v>
      </c>
      <c r="I156" t="s">
        <v>1370</v>
      </c>
      <c r="J156">
        <v>60030759</v>
      </c>
      <c r="K156" t="s">
        <v>1369</v>
      </c>
      <c r="L156" t="s">
        <v>25</v>
      </c>
      <c r="M156" t="s">
        <v>19</v>
      </c>
      <c r="N156">
        <v>1</v>
      </c>
      <c r="O156" t="s">
        <v>1368</v>
      </c>
      <c r="P156">
        <v>36776854500</v>
      </c>
      <c r="Q156">
        <v>60030759</v>
      </c>
      <c r="R156" s="7">
        <v>33147</v>
      </c>
      <c r="S156" s="8">
        <f t="shared" si="16"/>
        <v>1990</v>
      </c>
      <c r="T156" s="8">
        <v>1990</v>
      </c>
      <c r="U156" s="8">
        <f t="shared" si="17"/>
        <v>32</v>
      </c>
      <c r="V156" s="7">
        <v>33147</v>
      </c>
      <c r="W156" t="s">
        <v>396</v>
      </c>
      <c r="X156" s="2" t="s">
        <v>13</v>
      </c>
      <c r="Y156" s="6" t="e">
        <f t="shared" si="18"/>
        <v>#VALUE!</v>
      </c>
      <c r="AA156">
        <v>7368607</v>
      </c>
      <c r="AB156">
        <v>73790</v>
      </c>
      <c r="AD156" t="s">
        <v>1</v>
      </c>
      <c r="AE156">
        <v>10</v>
      </c>
      <c r="AF156">
        <v>4</v>
      </c>
      <c r="AH156" t="s">
        <v>1367</v>
      </c>
      <c r="AI156" t="s">
        <v>1366</v>
      </c>
      <c r="AK156" t="s">
        <v>1365</v>
      </c>
      <c r="AL156">
        <v>0</v>
      </c>
      <c r="AM156" s="5">
        <f t="shared" si="19"/>
        <v>0</v>
      </c>
      <c r="AN156" s="4">
        <f t="shared" si="20"/>
        <v>0</v>
      </c>
      <c r="AO156" s="3"/>
      <c r="AP156">
        <v>0</v>
      </c>
      <c r="AR156" t="s">
        <v>0</v>
      </c>
      <c r="AT156" s="2" t="s">
        <v>13</v>
      </c>
      <c r="AU156" s="1" t="e">
        <f t="shared" si="21"/>
        <v>#VALUE!</v>
      </c>
      <c r="AV156" s="1" t="e">
        <f t="shared" si="22"/>
        <v>#VALUE!</v>
      </c>
      <c r="AW156" s="1" t="e">
        <f t="shared" si="23"/>
        <v>#VALUE!</v>
      </c>
    </row>
    <row r="157" spans="1:49" x14ac:dyDescent="0.2">
      <c r="A157">
        <v>155</v>
      </c>
      <c r="B157" t="s">
        <v>1364</v>
      </c>
      <c r="C157" t="s">
        <v>1363</v>
      </c>
      <c r="F157" t="s">
        <v>1362</v>
      </c>
      <c r="G157" t="s">
        <v>4</v>
      </c>
      <c r="H157" t="s">
        <v>3</v>
      </c>
      <c r="I157" t="s">
        <v>1361</v>
      </c>
      <c r="J157">
        <v>60014313</v>
      </c>
      <c r="K157" t="s">
        <v>49</v>
      </c>
      <c r="L157" t="s">
        <v>48</v>
      </c>
      <c r="M157" t="s">
        <v>19</v>
      </c>
      <c r="N157">
        <v>3</v>
      </c>
      <c r="O157" t="s">
        <v>1360</v>
      </c>
      <c r="P157" t="s">
        <v>1359</v>
      </c>
      <c r="Q157" t="s">
        <v>173</v>
      </c>
      <c r="R157" s="7">
        <v>33147</v>
      </c>
      <c r="S157" s="8">
        <f t="shared" si="16"/>
        <v>1990</v>
      </c>
      <c r="T157" s="8">
        <v>1990</v>
      </c>
      <c r="U157" s="8">
        <f t="shared" si="17"/>
        <v>32</v>
      </c>
      <c r="V157" s="7">
        <v>33147</v>
      </c>
      <c r="W157" t="s">
        <v>274</v>
      </c>
      <c r="X157" s="2">
        <v>0.64800000000000002</v>
      </c>
      <c r="Y157" s="6">
        <f t="shared" si="18"/>
        <v>1.7297989909505887E-2</v>
      </c>
      <c r="AA157">
        <v>3028933</v>
      </c>
      <c r="AB157">
        <v>19623</v>
      </c>
      <c r="AC157" t="s">
        <v>273</v>
      </c>
      <c r="AD157" t="s">
        <v>1</v>
      </c>
      <c r="AE157">
        <v>154</v>
      </c>
      <c r="AF157">
        <v>5</v>
      </c>
      <c r="AH157" t="s">
        <v>1358</v>
      </c>
      <c r="AI157" t="s">
        <v>1357</v>
      </c>
      <c r="AJ157" t="s">
        <v>1356</v>
      </c>
      <c r="AK157" t="s">
        <v>1355</v>
      </c>
      <c r="AL157">
        <v>15</v>
      </c>
      <c r="AM157" s="5">
        <f t="shared" si="19"/>
        <v>0.46875</v>
      </c>
      <c r="AN157" s="4">
        <f t="shared" si="20"/>
        <v>7.0995834911018554E-4</v>
      </c>
      <c r="AO157" s="3"/>
      <c r="AP157">
        <v>0</v>
      </c>
      <c r="AR157" t="s">
        <v>0</v>
      </c>
      <c r="AT157" s="2">
        <v>2.552</v>
      </c>
      <c r="AU157" s="1">
        <f t="shared" si="21"/>
        <v>1.2321580441387177</v>
      </c>
      <c r="AV157" s="1">
        <f t="shared" si="22"/>
        <v>0.90039741293080366</v>
      </c>
      <c r="AW157" s="1">
        <f t="shared" si="23"/>
        <v>0.56863678172288956</v>
      </c>
    </row>
    <row r="158" spans="1:49" x14ac:dyDescent="0.2">
      <c r="A158">
        <v>156</v>
      </c>
      <c r="B158" t="s">
        <v>1354</v>
      </c>
      <c r="C158" t="s">
        <v>1353</v>
      </c>
      <c r="E158">
        <v>2124174</v>
      </c>
      <c r="F158" t="s">
        <v>1352</v>
      </c>
      <c r="G158" t="s">
        <v>4</v>
      </c>
      <c r="H158" t="s">
        <v>3</v>
      </c>
      <c r="I158" t="s">
        <v>1351</v>
      </c>
      <c r="J158" t="s">
        <v>1350</v>
      </c>
      <c r="K158" t="s">
        <v>1349</v>
      </c>
      <c r="L158" t="s">
        <v>1348</v>
      </c>
      <c r="M158" t="s">
        <v>1347</v>
      </c>
      <c r="N158">
        <v>4</v>
      </c>
      <c r="O158" t="s">
        <v>1346</v>
      </c>
      <c r="P158" t="s">
        <v>1345</v>
      </c>
      <c r="Q158" t="s">
        <v>1344</v>
      </c>
      <c r="R158" s="7">
        <v>33147</v>
      </c>
      <c r="S158" s="8">
        <f t="shared" si="16"/>
        <v>1990</v>
      </c>
      <c r="T158" s="8">
        <v>1990</v>
      </c>
      <c r="U158" s="8">
        <f t="shared" si="17"/>
        <v>32</v>
      </c>
      <c r="V158" s="7">
        <v>33147</v>
      </c>
      <c r="W158" t="s">
        <v>276</v>
      </c>
      <c r="X158" s="2">
        <v>1.64</v>
      </c>
      <c r="Y158" s="6">
        <f t="shared" si="18"/>
        <v>4.3778863351218597E-2</v>
      </c>
      <c r="AA158" t="s">
        <v>275</v>
      </c>
      <c r="AB158">
        <v>18446</v>
      </c>
      <c r="AC158">
        <v>14320878</v>
      </c>
      <c r="AD158" t="s">
        <v>1</v>
      </c>
      <c r="AE158">
        <v>262</v>
      </c>
      <c r="AF158">
        <v>1</v>
      </c>
      <c r="AH158" s="10">
        <v>12663</v>
      </c>
      <c r="AI158" t="s">
        <v>1343</v>
      </c>
      <c r="AJ158" t="s">
        <v>1342</v>
      </c>
      <c r="AK158" t="s">
        <v>1341</v>
      </c>
      <c r="AL158">
        <v>326</v>
      </c>
      <c r="AM158" s="5">
        <f t="shared" si="19"/>
        <v>10.1875</v>
      </c>
      <c r="AN158" s="4">
        <f t="shared" si="20"/>
        <v>1.54297614539947E-2</v>
      </c>
      <c r="AO158" s="3"/>
      <c r="AP158">
        <v>0</v>
      </c>
      <c r="AR158" t="s">
        <v>0</v>
      </c>
      <c r="AT158" s="2">
        <v>5.2489999999999997</v>
      </c>
      <c r="AU158" s="1">
        <f t="shared" si="21"/>
        <v>3.5274132782051422</v>
      </c>
      <c r="AV158" s="1">
        <f t="shared" si="22"/>
        <v>2.960431240260665</v>
      </c>
      <c r="AW158" s="1">
        <f t="shared" si="23"/>
        <v>2.3934492023161869</v>
      </c>
    </row>
    <row r="159" spans="1:49" x14ac:dyDescent="0.2">
      <c r="A159">
        <v>157</v>
      </c>
      <c r="B159" t="s">
        <v>1340</v>
      </c>
      <c r="C159" t="s">
        <v>1339</v>
      </c>
      <c r="F159" t="s">
        <v>1338</v>
      </c>
      <c r="G159" t="s">
        <v>4</v>
      </c>
      <c r="H159" t="s">
        <v>3</v>
      </c>
      <c r="I159" t="s">
        <v>227</v>
      </c>
      <c r="J159">
        <v>60030718</v>
      </c>
      <c r="K159" t="s">
        <v>1337</v>
      </c>
      <c r="L159" t="s">
        <v>104</v>
      </c>
      <c r="M159" t="s">
        <v>14</v>
      </c>
      <c r="N159">
        <v>3</v>
      </c>
      <c r="O159" t="s">
        <v>1336</v>
      </c>
      <c r="P159" t="s">
        <v>1335</v>
      </c>
      <c r="Q159" t="s">
        <v>1334</v>
      </c>
      <c r="R159" s="7">
        <v>33147</v>
      </c>
      <c r="S159" s="8">
        <f t="shared" si="16"/>
        <v>1990</v>
      </c>
      <c r="T159" s="8">
        <v>1990</v>
      </c>
      <c r="U159" s="8">
        <f t="shared" si="17"/>
        <v>32</v>
      </c>
      <c r="V159" s="7">
        <v>33147</v>
      </c>
      <c r="W159" t="s">
        <v>245</v>
      </c>
      <c r="X159" s="2">
        <v>1.2529999999999999</v>
      </c>
      <c r="Y159" s="6">
        <f t="shared" si="18"/>
        <v>3.3448119377485916E-2</v>
      </c>
      <c r="AA159">
        <v>320935</v>
      </c>
      <c r="AB159">
        <v>16646</v>
      </c>
      <c r="AC159">
        <v>14322048</v>
      </c>
      <c r="AD159" t="s">
        <v>1</v>
      </c>
      <c r="AE159">
        <v>182</v>
      </c>
      <c r="AF159">
        <v>3</v>
      </c>
      <c r="AH159" t="s">
        <v>1333</v>
      </c>
      <c r="AI159" t="s">
        <v>1332</v>
      </c>
      <c r="AJ159" t="s">
        <v>1331</v>
      </c>
      <c r="AK159" t="s">
        <v>1330</v>
      </c>
      <c r="AL159">
        <v>5</v>
      </c>
      <c r="AM159" s="5">
        <f t="shared" si="19"/>
        <v>0.15625</v>
      </c>
      <c r="AN159" s="4">
        <f t="shared" si="20"/>
        <v>2.3665278303672851E-4</v>
      </c>
      <c r="AO159" s="3"/>
      <c r="AP159">
        <v>0</v>
      </c>
      <c r="AR159" t="s">
        <v>0</v>
      </c>
      <c r="AT159" s="2">
        <v>4.1159999999999997</v>
      </c>
      <c r="AU159" s="1">
        <f t="shared" si="21"/>
        <v>2.3484679399151158</v>
      </c>
      <c r="AV159" s="1">
        <f t="shared" si="22"/>
        <v>1.6842386080261322</v>
      </c>
      <c r="AW159" s="1">
        <f t="shared" si="23"/>
        <v>1.0200092761371484</v>
      </c>
    </row>
    <row r="160" spans="1:49" x14ac:dyDescent="0.2">
      <c r="A160">
        <v>158</v>
      </c>
      <c r="B160" t="s">
        <v>1329</v>
      </c>
      <c r="C160" t="s">
        <v>1328</v>
      </c>
      <c r="F160" t="s">
        <v>1327</v>
      </c>
      <c r="G160" t="s">
        <v>4</v>
      </c>
      <c r="H160" t="s">
        <v>3</v>
      </c>
      <c r="I160" t="s">
        <v>209</v>
      </c>
      <c r="J160">
        <v>60007762</v>
      </c>
      <c r="K160" t="s">
        <v>208</v>
      </c>
      <c r="L160" t="s">
        <v>207</v>
      </c>
      <c r="M160" t="s">
        <v>14</v>
      </c>
      <c r="N160">
        <v>1</v>
      </c>
      <c r="O160" t="s">
        <v>1326</v>
      </c>
      <c r="P160">
        <v>56269060400</v>
      </c>
      <c r="Q160">
        <v>60007762</v>
      </c>
      <c r="R160" s="7">
        <v>33147</v>
      </c>
      <c r="S160" s="8">
        <f t="shared" si="16"/>
        <v>1990</v>
      </c>
      <c r="T160" s="8">
        <v>1990</v>
      </c>
      <c r="U160" s="8">
        <f t="shared" si="17"/>
        <v>32</v>
      </c>
      <c r="V160" s="7">
        <v>33147</v>
      </c>
      <c r="W160" t="s">
        <v>248</v>
      </c>
      <c r="X160" s="2">
        <v>1.1579999999999999</v>
      </c>
      <c r="Y160" s="6">
        <f t="shared" si="18"/>
        <v>3.0912148634579962E-2</v>
      </c>
      <c r="AA160">
        <v>1668595</v>
      </c>
      <c r="AB160">
        <v>14223</v>
      </c>
      <c r="AC160">
        <v>15735079</v>
      </c>
      <c r="AD160" t="s">
        <v>1</v>
      </c>
      <c r="AE160">
        <v>26</v>
      </c>
      <c r="AF160">
        <v>1</v>
      </c>
      <c r="AH160" t="s">
        <v>1325</v>
      </c>
      <c r="AI160" t="s">
        <v>1324</v>
      </c>
      <c r="AJ160" t="s">
        <v>1323</v>
      </c>
      <c r="AK160" t="s">
        <v>1322</v>
      </c>
      <c r="AL160">
        <v>30</v>
      </c>
      <c r="AM160" s="5">
        <f t="shared" si="19"/>
        <v>0.9375</v>
      </c>
      <c r="AN160" s="4">
        <f t="shared" si="20"/>
        <v>1.4199166982203711E-3</v>
      </c>
      <c r="AO160" s="3"/>
      <c r="AP160">
        <v>0</v>
      </c>
      <c r="AR160" t="s">
        <v>0</v>
      </c>
      <c r="AT160" s="2">
        <v>3.573</v>
      </c>
      <c r="AU160" s="1">
        <f t="shared" si="21"/>
        <v>2.2064479053672081</v>
      </c>
      <c r="AV160" s="1">
        <f t="shared" si="22"/>
        <v>1.6166032666400167</v>
      </c>
      <c r="AW160" s="1">
        <f t="shared" si="23"/>
        <v>1.0267586279128249</v>
      </c>
    </row>
    <row r="161" spans="1:49" x14ac:dyDescent="0.2">
      <c r="A161">
        <v>159</v>
      </c>
      <c r="B161" t="s">
        <v>1321</v>
      </c>
      <c r="C161" t="s">
        <v>1320</v>
      </c>
      <c r="F161" t="s">
        <v>1319</v>
      </c>
      <c r="G161" t="s">
        <v>4</v>
      </c>
      <c r="H161" t="s">
        <v>3</v>
      </c>
      <c r="I161" t="s">
        <v>1318</v>
      </c>
      <c r="J161">
        <v>60003892</v>
      </c>
      <c r="K161" t="s">
        <v>243</v>
      </c>
      <c r="L161" t="s">
        <v>242</v>
      </c>
      <c r="M161" t="s">
        <v>19</v>
      </c>
      <c r="N161">
        <v>5</v>
      </c>
      <c r="O161" t="s">
        <v>1317</v>
      </c>
      <c r="P161" t="s">
        <v>1316</v>
      </c>
      <c r="Q161" t="s">
        <v>1315</v>
      </c>
      <c r="R161" s="7">
        <v>33147</v>
      </c>
      <c r="S161" s="8">
        <f t="shared" si="16"/>
        <v>1990</v>
      </c>
      <c r="T161" s="8">
        <v>1990</v>
      </c>
      <c r="U161" s="8">
        <f t="shared" si="17"/>
        <v>32</v>
      </c>
      <c r="V161" s="7">
        <v>33147</v>
      </c>
      <c r="W161" t="s">
        <v>248</v>
      </c>
      <c r="X161" s="2">
        <v>1.1579999999999999</v>
      </c>
      <c r="Y161" s="6">
        <f t="shared" si="18"/>
        <v>3.0912148634579962E-2</v>
      </c>
      <c r="AA161">
        <v>1668595</v>
      </c>
      <c r="AB161">
        <v>14223</v>
      </c>
      <c r="AC161">
        <v>15735079</v>
      </c>
      <c r="AD161" t="s">
        <v>1</v>
      </c>
      <c r="AE161">
        <v>26</v>
      </c>
      <c r="AF161">
        <v>1</v>
      </c>
      <c r="AH161" t="s">
        <v>295</v>
      </c>
      <c r="AI161" t="s">
        <v>1314</v>
      </c>
      <c r="AJ161" t="s">
        <v>1313</v>
      </c>
      <c r="AK161" t="s">
        <v>1312</v>
      </c>
      <c r="AL161">
        <v>56</v>
      </c>
      <c r="AM161" s="5">
        <f t="shared" si="19"/>
        <v>1.75</v>
      </c>
      <c r="AN161" s="4">
        <f t="shared" si="20"/>
        <v>2.6505111700113595E-3</v>
      </c>
      <c r="AO161" s="3"/>
      <c r="AP161">
        <v>0</v>
      </c>
      <c r="AR161" t="s">
        <v>0</v>
      </c>
      <c r="AT161" s="2">
        <v>3.573</v>
      </c>
      <c r="AU161" s="1">
        <f t="shared" si="21"/>
        <v>2.2433657395209377</v>
      </c>
      <c r="AV161" s="1">
        <f t="shared" si="22"/>
        <v>1.6781329902295659</v>
      </c>
      <c r="AW161" s="1">
        <f t="shared" si="23"/>
        <v>1.1129002409381941</v>
      </c>
    </row>
    <row r="162" spans="1:49" x14ac:dyDescent="0.2">
      <c r="A162">
        <v>160</v>
      </c>
      <c r="B162" t="s">
        <v>1311</v>
      </c>
      <c r="C162" t="s">
        <v>1310</v>
      </c>
      <c r="F162" t="s">
        <v>1309</v>
      </c>
      <c r="G162" t="s">
        <v>4</v>
      </c>
      <c r="H162" t="s">
        <v>3</v>
      </c>
      <c r="I162" t="s">
        <v>1308</v>
      </c>
      <c r="J162" t="s">
        <v>1307</v>
      </c>
      <c r="K162" t="s">
        <v>1306</v>
      </c>
      <c r="L162" t="s">
        <v>1305</v>
      </c>
      <c r="M162" t="s">
        <v>1304</v>
      </c>
      <c r="N162">
        <v>2</v>
      </c>
      <c r="O162" t="s">
        <v>1303</v>
      </c>
      <c r="P162" t="s">
        <v>1302</v>
      </c>
      <c r="Q162" t="s">
        <v>1301</v>
      </c>
      <c r="R162" s="7">
        <v>33147</v>
      </c>
      <c r="S162" s="8">
        <f t="shared" si="16"/>
        <v>1990</v>
      </c>
      <c r="T162" s="8">
        <v>1990</v>
      </c>
      <c r="U162" s="8">
        <f t="shared" si="17"/>
        <v>32</v>
      </c>
      <c r="V162" s="7">
        <v>33147</v>
      </c>
      <c r="W162" t="s">
        <v>1300</v>
      </c>
      <c r="X162" s="2">
        <v>0.47099999999999997</v>
      </c>
      <c r="Y162" s="6">
        <f t="shared" si="18"/>
        <v>1.2573075999039E-2</v>
      </c>
      <c r="AA162">
        <v>1655752</v>
      </c>
      <c r="AB162">
        <v>14307</v>
      </c>
      <c r="AC162">
        <v>15735192</v>
      </c>
      <c r="AD162" t="s">
        <v>1</v>
      </c>
      <c r="AE162">
        <v>17</v>
      </c>
      <c r="AF162">
        <v>2</v>
      </c>
      <c r="AH162" t="s">
        <v>1299</v>
      </c>
      <c r="AI162" t="s">
        <v>1298</v>
      </c>
      <c r="AK162" t="s">
        <v>1297</v>
      </c>
      <c r="AL162">
        <v>4</v>
      </c>
      <c r="AM162" s="5">
        <f t="shared" si="19"/>
        <v>0.125</v>
      </c>
      <c r="AN162" s="4">
        <f t="shared" si="20"/>
        <v>1.893222264293828E-4</v>
      </c>
      <c r="AO162" s="3"/>
      <c r="AP162">
        <v>0</v>
      </c>
      <c r="AR162" t="s">
        <v>0</v>
      </c>
      <c r="AT162" s="2">
        <v>1.431</v>
      </c>
      <c r="AU162" s="1">
        <f t="shared" si="21"/>
        <v>0.88579498672561141</v>
      </c>
      <c r="AV162" s="1">
        <f t="shared" si="22"/>
        <v>0.63811991127341916</v>
      </c>
      <c r="AW162" s="1">
        <f t="shared" si="23"/>
        <v>0.3904448358212268</v>
      </c>
    </row>
    <row r="163" spans="1:49" x14ac:dyDescent="0.2">
      <c r="A163">
        <v>161</v>
      </c>
      <c r="B163" t="s">
        <v>1296</v>
      </c>
      <c r="C163" t="s">
        <v>1295</v>
      </c>
      <c r="D163" t="s">
        <v>1294</v>
      </c>
      <c r="E163">
        <v>2121619</v>
      </c>
      <c r="F163" t="s">
        <v>1293</v>
      </c>
      <c r="G163" t="s">
        <v>4</v>
      </c>
      <c r="H163" t="s">
        <v>3</v>
      </c>
      <c r="I163" t="s">
        <v>1292</v>
      </c>
      <c r="J163">
        <v>60028717</v>
      </c>
      <c r="K163" t="s">
        <v>272</v>
      </c>
      <c r="L163" t="s">
        <v>46</v>
      </c>
      <c r="M163" t="s">
        <v>14</v>
      </c>
      <c r="N163">
        <v>2</v>
      </c>
      <c r="O163" t="s">
        <v>1291</v>
      </c>
      <c r="P163" t="s">
        <v>1290</v>
      </c>
      <c r="Q163" t="s">
        <v>1289</v>
      </c>
      <c r="R163" s="7">
        <v>33144</v>
      </c>
      <c r="S163" s="8">
        <f t="shared" si="16"/>
        <v>1990</v>
      </c>
      <c r="T163" s="8">
        <v>1990</v>
      </c>
      <c r="U163" s="8">
        <f t="shared" si="17"/>
        <v>32</v>
      </c>
      <c r="V163" s="7">
        <v>33144</v>
      </c>
      <c r="W163" t="s">
        <v>1288</v>
      </c>
      <c r="X163" s="2">
        <v>0.91600000000000004</v>
      </c>
      <c r="Y163" s="6">
        <f t="shared" si="18"/>
        <v>2.4452096847387951E-2</v>
      </c>
      <c r="AA163">
        <v>3781119</v>
      </c>
      <c r="AB163">
        <v>15636</v>
      </c>
      <c r="AD163" t="s">
        <v>1</v>
      </c>
      <c r="AE163">
        <v>94</v>
      </c>
      <c r="AF163">
        <v>1</v>
      </c>
      <c r="AH163" t="s">
        <v>1287</v>
      </c>
      <c r="AI163" t="s">
        <v>1286</v>
      </c>
      <c r="AJ163" t="s">
        <v>1285</v>
      </c>
      <c r="AK163" t="s">
        <v>1284</v>
      </c>
      <c r="AL163">
        <v>14</v>
      </c>
      <c r="AM163" s="5">
        <f t="shared" si="19"/>
        <v>0.4375</v>
      </c>
      <c r="AN163" s="4">
        <f t="shared" si="20"/>
        <v>6.6262779250283988E-4</v>
      </c>
      <c r="AO163" s="3"/>
      <c r="AP163">
        <v>0</v>
      </c>
      <c r="AR163" t="s">
        <v>0</v>
      </c>
      <c r="AT163" s="2">
        <v>3.6880000000000002</v>
      </c>
      <c r="AU163" s="1">
        <f t="shared" si="21"/>
        <v>1.7315256130922416</v>
      </c>
      <c r="AV163" s="1">
        <f t="shared" si="22"/>
        <v>1.2557362319945395</v>
      </c>
      <c r="AW163" s="1">
        <f t="shared" si="23"/>
        <v>0.77994685089683724</v>
      </c>
    </row>
    <row r="164" spans="1:49" x14ac:dyDescent="0.2">
      <c r="A164">
        <v>162</v>
      </c>
      <c r="B164" t="s">
        <v>1283</v>
      </c>
      <c r="C164" t="s">
        <v>1282</v>
      </c>
      <c r="D164" t="s">
        <v>1281</v>
      </c>
      <c r="F164" t="s">
        <v>1280</v>
      </c>
      <c r="G164" t="s">
        <v>4</v>
      </c>
      <c r="H164" t="s">
        <v>3</v>
      </c>
      <c r="I164" t="s">
        <v>1279</v>
      </c>
      <c r="J164" t="s">
        <v>1278</v>
      </c>
      <c r="K164" t="s">
        <v>1277</v>
      </c>
      <c r="L164" t="s">
        <v>1276</v>
      </c>
      <c r="M164" t="s">
        <v>1275</v>
      </c>
      <c r="N164">
        <v>8</v>
      </c>
      <c r="O164" t="s">
        <v>1274</v>
      </c>
      <c r="P164" t="s">
        <v>1273</v>
      </c>
      <c r="Q164" t="s">
        <v>1272</v>
      </c>
      <c r="R164" s="7">
        <v>33135</v>
      </c>
      <c r="S164" s="8">
        <f t="shared" si="16"/>
        <v>1990</v>
      </c>
      <c r="T164" s="8">
        <v>1990</v>
      </c>
      <c r="U164" s="8">
        <f t="shared" si="17"/>
        <v>32</v>
      </c>
      <c r="V164" s="7">
        <v>33135</v>
      </c>
      <c r="W164" t="s">
        <v>234</v>
      </c>
      <c r="X164" s="2">
        <v>1.59</v>
      </c>
      <c r="Y164" s="6">
        <f t="shared" si="18"/>
        <v>4.2444141907583888E-2</v>
      </c>
      <c r="AA164">
        <v>52728</v>
      </c>
      <c r="AB164">
        <v>16791</v>
      </c>
      <c r="AD164" t="s">
        <v>1</v>
      </c>
      <c r="AE164">
        <v>1019</v>
      </c>
      <c r="AF164">
        <v>3</v>
      </c>
      <c r="AH164" t="s">
        <v>42</v>
      </c>
      <c r="AI164" t="s">
        <v>1271</v>
      </c>
      <c r="AJ164" t="s">
        <v>1270</v>
      </c>
      <c r="AK164" t="s">
        <v>1269</v>
      </c>
      <c r="AL164">
        <v>24</v>
      </c>
      <c r="AM164" s="5">
        <f t="shared" si="19"/>
        <v>0.75</v>
      </c>
      <c r="AN164" s="4">
        <f t="shared" si="20"/>
        <v>1.1359333585762969E-3</v>
      </c>
      <c r="AO164" s="3"/>
      <c r="AP164">
        <v>0</v>
      </c>
      <c r="AQ164" t="s">
        <v>45</v>
      </c>
      <c r="AR164" t="s">
        <v>0</v>
      </c>
      <c r="AS164" t="s">
        <v>105</v>
      </c>
      <c r="AT164" s="2" t="s">
        <v>13</v>
      </c>
      <c r="AU164" s="1">
        <f t="shared" si="21"/>
        <v>3.0051679342881608</v>
      </c>
      <c r="AV164" s="1">
        <f t="shared" si="22"/>
        <v>2.1790037633080095</v>
      </c>
      <c r="AW164" s="1">
        <f t="shared" si="23"/>
        <v>1.3528395923278573</v>
      </c>
    </row>
    <row r="165" spans="1:49" x14ac:dyDescent="0.2">
      <c r="A165">
        <v>163</v>
      </c>
      <c r="B165" t="s">
        <v>1268</v>
      </c>
      <c r="C165" t="s">
        <v>1267</v>
      </c>
      <c r="D165" t="s">
        <v>1266</v>
      </c>
      <c r="F165" t="s">
        <v>1265</v>
      </c>
      <c r="G165" t="s">
        <v>4</v>
      </c>
      <c r="H165" t="s">
        <v>3</v>
      </c>
      <c r="I165" t="s">
        <v>1264</v>
      </c>
      <c r="J165" t="s">
        <v>1263</v>
      </c>
      <c r="K165" t="s">
        <v>1262</v>
      </c>
      <c r="L165" t="s">
        <v>1261</v>
      </c>
      <c r="M165" t="s">
        <v>1260</v>
      </c>
      <c r="N165">
        <v>2</v>
      </c>
      <c r="O165" t="s">
        <v>1259</v>
      </c>
      <c r="P165" t="s">
        <v>1258</v>
      </c>
      <c r="Q165" t="s">
        <v>1257</v>
      </c>
      <c r="R165" s="7">
        <v>33135</v>
      </c>
      <c r="S165" s="8">
        <f t="shared" si="16"/>
        <v>1990</v>
      </c>
      <c r="T165" s="8">
        <v>1990</v>
      </c>
      <c r="U165" s="8">
        <f t="shared" si="17"/>
        <v>32</v>
      </c>
      <c r="V165" s="7">
        <v>33135</v>
      </c>
      <c r="W165" t="s">
        <v>234</v>
      </c>
      <c r="X165" s="2">
        <v>1.59</v>
      </c>
      <c r="Y165" s="6">
        <f t="shared" si="18"/>
        <v>4.2444141907583888E-2</v>
      </c>
      <c r="AA165">
        <v>52728</v>
      </c>
      <c r="AB165">
        <v>16791</v>
      </c>
      <c r="AD165" t="s">
        <v>1</v>
      </c>
      <c r="AE165">
        <v>1019</v>
      </c>
      <c r="AF165">
        <v>3</v>
      </c>
      <c r="AH165" t="s">
        <v>1256</v>
      </c>
      <c r="AI165" t="s">
        <v>1255</v>
      </c>
      <c r="AJ165" t="s">
        <v>1254</v>
      </c>
      <c r="AK165" t="s">
        <v>1253</v>
      </c>
      <c r="AL165">
        <v>49</v>
      </c>
      <c r="AM165" s="5">
        <f t="shared" si="19"/>
        <v>1.53125</v>
      </c>
      <c r="AN165" s="4">
        <f t="shared" si="20"/>
        <v>2.3191972737599395E-3</v>
      </c>
      <c r="AO165" s="3"/>
      <c r="AP165">
        <v>0</v>
      </c>
      <c r="AQ165" t="s">
        <v>1252</v>
      </c>
      <c r="AR165" t="s">
        <v>0</v>
      </c>
      <c r="AS165" t="s">
        <v>1251</v>
      </c>
      <c r="AT165" s="2" t="s">
        <v>13</v>
      </c>
      <c r="AU165" s="1">
        <f t="shared" si="21"/>
        <v>3.0406658517436704</v>
      </c>
      <c r="AV165" s="1">
        <f t="shared" si="22"/>
        <v>2.2381669590671915</v>
      </c>
      <c r="AW165" s="1">
        <f t="shared" si="23"/>
        <v>1.4356680663907122</v>
      </c>
    </row>
    <row r="166" spans="1:49" x14ac:dyDescent="0.2">
      <c r="A166">
        <v>164</v>
      </c>
      <c r="B166" t="s">
        <v>1250</v>
      </c>
      <c r="C166" t="s">
        <v>1249</v>
      </c>
      <c r="F166" t="s">
        <v>1248</v>
      </c>
      <c r="G166" t="s">
        <v>4</v>
      </c>
      <c r="H166" t="s">
        <v>3</v>
      </c>
      <c r="I166" t="s">
        <v>1247</v>
      </c>
      <c r="J166" t="s">
        <v>1246</v>
      </c>
      <c r="K166" t="s">
        <v>1245</v>
      </c>
      <c r="L166" t="s">
        <v>1244</v>
      </c>
      <c r="M166" t="s">
        <v>1243</v>
      </c>
      <c r="N166">
        <v>28</v>
      </c>
      <c r="O166" t="s">
        <v>1242</v>
      </c>
      <c r="P166" t="s">
        <v>1241</v>
      </c>
      <c r="Q166" t="s">
        <v>1240</v>
      </c>
      <c r="R166" s="7">
        <v>33126</v>
      </c>
      <c r="S166" s="8">
        <f t="shared" si="16"/>
        <v>1990</v>
      </c>
      <c r="T166" s="8">
        <v>1990</v>
      </c>
      <c r="U166" s="8">
        <f t="shared" si="17"/>
        <v>32</v>
      </c>
      <c r="V166" s="7">
        <v>33126</v>
      </c>
      <c r="W166" t="s">
        <v>30</v>
      </c>
      <c r="X166" s="2">
        <v>2.3759999999999999</v>
      </c>
      <c r="Y166" s="6">
        <f t="shared" si="18"/>
        <v>6.3425963001521576E-2</v>
      </c>
      <c r="AA166" t="s">
        <v>29</v>
      </c>
      <c r="AB166">
        <v>26765</v>
      </c>
      <c r="AC166">
        <v>15384357</v>
      </c>
      <c r="AD166" t="s">
        <v>1</v>
      </c>
      <c r="AE166">
        <v>360</v>
      </c>
      <c r="AF166">
        <v>2</v>
      </c>
      <c r="AH166" t="s">
        <v>1239</v>
      </c>
      <c r="AI166" t="s">
        <v>1238</v>
      </c>
      <c r="AJ166" t="s">
        <v>1237</v>
      </c>
      <c r="AK166" t="s">
        <v>1236</v>
      </c>
      <c r="AL166">
        <v>81</v>
      </c>
      <c r="AM166" s="5">
        <f t="shared" si="19"/>
        <v>2.53125</v>
      </c>
      <c r="AN166" s="4">
        <f t="shared" si="20"/>
        <v>3.8337750851950019E-3</v>
      </c>
      <c r="AO166" s="3"/>
      <c r="AP166">
        <v>0</v>
      </c>
      <c r="AR166" t="s">
        <v>0</v>
      </c>
      <c r="AT166" s="2">
        <v>5.8739999999999997</v>
      </c>
      <c r="AU166" s="1">
        <f t="shared" si="21"/>
        <v>4.5548306626623596</v>
      </c>
      <c r="AV166" s="1">
        <f t="shared" si="22"/>
        <v>3.3629869043358287</v>
      </c>
      <c r="AW166" s="1">
        <f t="shared" si="23"/>
        <v>2.1711431460092974</v>
      </c>
    </row>
    <row r="167" spans="1:49" x14ac:dyDescent="0.2">
      <c r="A167">
        <v>165</v>
      </c>
      <c r="B167" t="s">
        <v>1235</v>
      </c>
      <c r="C167" t="s">
        <v>1234</v>
      </c>
      <c r="F167" t="s">
        <v>1233</v>
      </c>
      <c r="G167" t="s">
        <v>4</v>
      </c>
      <c r="H167" t="s">
        <v>3</v>
      </c>
      <c r="I167" t="s">
        <v>1232</v>
      </c>
      <c r="J167">
        <v>60022784</v>
      </c>
      <c r="K167" t="s">
        <v>1221</v>
      </c>
      <c r="L167" t="s">
        <v>129</v>
      </c>
      <c r="M167" t="s">
        <v>27</v>
      </c>
      <c r="N167">
        <v>2</v>
      </c>
      <c r="O167" t="s">
        <v>1231</v>
      </c>
      <c r="P167" t="s">
        <v>1230</v>
      </c>
      <c r="Q167" t="s">
        <v>1218</v>
      </c>
      <c r="R167" s="7">
        <v>33117</v>
      </c>
      <c r="S167" s="8">
        <f t="shared" si="16"/>
        <v>1990</v>
      </c>
      <c r="T167" s="8">
        <v>1990</v>
      </c>
      <c r="U167" s="8">
        <f t="shared" si="17"/>
        <v>32</v>
      </c>
      <c r="V167" s="7">
        <v>33117</v>
      </c>
      <c r="W167" t="s">
        <v>1217</v>
      </c>
      <c r="X167" s="2">
        <v>0.63100000000000001</v>
      </c>
      <c r="Y167" s="6">
        <f t="shared" si="18"/>
        <v>1.6844184618670086E-2</v>
      </c>
      <c r="AA167">
        <v>2506335</v>
      </c>
      <c r="AB167">
        <v>27688</v>
      </c>
      <c r="AC167">
        <v>9737758</v>
      </c>
      <c r="AD167" t="s">
        <v>1</v>
      </c>
      <c r="AE167">
        <v>11</v>
      </c>
      <c r="AF167">
        <v>3</v>
      </c>
      <c r="AH167" t="s">
        <v>1229</v>
      </c>
      <c r="AI167" t="s">
        <v>1228</v>
      </c>
      <c r="AJ167" t="s">
        <v>1227</v>
      </c>
      <c r="AK167" t="s">
        <v>1226</v>
      </c>
      <c r="AL167">
        <v>6</v>
      </c>
      <c r="AM167" s="5">
        <f t="shared" si="19"/>
        <v>0.1875</v>
      </c>
      <c r="AN167" s="4">
        <f t="shared" si="20"/>
        <v>2.8398333964407423E-4</v>
      </c>
      <c r="AO167" s="3"/>
      <c r="AP167">
        <v>0</v>
      </c>
      <c r="AR167" t="s">
        <v>0</v>
      </c>
      <c r="AT167" s="2" t="s">
        <v>13</v>
      </c>
      <c r="AU167" s="1">
        <f t="shared" si="21"/>
        <v>1.187612423496228</v>
      </c>
      <c r="AV167" s="1">
        <f t="shared" si="22"/>
        <v>0.856408397915708</v>
      </c>
      <c r="AW167" s="1">
        <f t="shared" si="23"/>
        <v>0.52520437233518769</v>
      </c>
    </row>
    <row r="168" spans="1:49" x14ac:dyDescent="0.2">
      <c r="A168">
        <v>166</v>
      </c>
      <c r="B168" t="s">
        <v>1225</v>
      </c>
      <c r="C168" t="s">
        <v>1224</v>
      </c>
      <c r="F168" t="s">
        <v>1223</v>
      </c>
      <c r="G168" t="s">
        <v>4</v>
      </c>
      <c r="H168" t="s">
        <v>3</v>
      </c>
      <c r="I168" t="s">
        <v>1222</v>
      </c>
      <c r="J168">
        <v>60022784</v>
      </c>
      <c r="K168" t="s">
        <v>1221</v>
      </c>
      <c r="L168" t="s">
        <v>129</v>
      </c>
      <c r="M168" t="s">
        <v>27</v>
      </c>
      <c r="N168">
        <v>2</v>
      </c>
      <c r="O168" t="s">
        <v>1220</v>
      </c>
      <c r="P168" t="s">
        <v>1219</v>
      </c>
      <c r="Q168" t="s">
        <v>1218</v>
      </c>
      <c r="R168" s="7">
        <v>33117</v>
      </c>
      <c r="S168" s="8">
        <f t="shared" si="16"/>
        <v>1990</v>
      </c>
      <c r="T168" s="8">
        <v>1990</v>
      </c>
      <c r="U168" s="8">
        <f t="shared" si="17"/>
        <v>32</v>
      </c>
      <c r="V168" s="7">
        <v>33117</v>
      </c>
      <c r="W168" t="s">
        <v>1217</v>
      </c>
      <c r="X168" s="2">
        <v>0.63100000000000001</v>
      </c>
      <c r="Y168" s="6">
        <f t="shared" si="18"/>
        <v>1.6844184618670086E-2</v>
      </c>
      <c r="AA168">
        <v>2506335</v>
      </c>
      <c r="AB168">
        <v>27688</v>
      </c>
      <c r="AC168">
        <v>9737758</v>
      </c>
      <c r="AD168" t="s">
        <v>1</v>
      </c>
      <c r="AE168">
        <v>11</v>
      </c>
      <c r="AF168">
        <v>3</v>
      </c>
      <c r="AH168" t="s">
        <v>1216</v>
      </c>
      <c r="AI168" t="s">
        <v>1215</v>
      </c>
      <c r="AJ168" t="s">
        <v>1214</v>
      </c>
      <c r="AK168" t="s">
        <v>1213</v>
      </c>
      <c r="AL168">
        <v>37</v>
      </c>
      <c r="AM168" s="5">
        <f t="shared" si="19"/>
        <v>1.15625</v>
      </c>
      <c r="AN168" s="4">
        <f t="shared" si="20"/>
        <v>1.7512305944717909E-3</v>
      </c>
      <c r="AO168" s="3"/>
      <c r="AP168">
        <v>0</v>
      </c>
      <c r="AR168" t="s">
        <v>0</v>
      </c>
      <c r="AT168" s="2" t="s">
        <v>13</v>
      </c>
      <c r="AU168" s="1">
        <f t="shared" si="21"/>
        <v>1.2316298411410596</v>
      </c>
      <c r="AV168" s="1">
        <f t="shared" si="22"/>
        <v>0.92977076065709385</v>
      </c>
      <c r="AW168" s="1">
        <f t="shared" si="23"/>
        <v>0.62791168017312793</v>
      </c>
    </row>
    <row r="169" spans="1:49" x14ac:dyDescent="0.2">
      <c r="A169">
        <v>167</v>
      </c>
      <c r="B169" t="s">
        <v>1212</v>
      </c>
      <c r="C169" t="s">
        <v>1211</v>
      </c>
      <c r="F169" t="s">
        <v>1210</v>
      </c>
      <c r="G169" t="s">
        <v>4</v>
      </c>
      <c r="H169" t="s">
        <v>3</v>
      </c>
      <c r="I169" t="s">
        <v>1209</v>
      </c>
      <c r="J169" t="s">
        <v>182</v>
      </c>
      <c r="K169" t="s">
        <v>185</v>
      </c>
      <c r="L169" t="s">
        <v>184</v>
      </c>
      <c r="M169" t="s">
        <v>183</v>
      </c>
      <c r="N169">
        <v>2</v>
      </c>
      <c r="O169" t="s">
        <v>1208</v>
      </c>
      <c r="P169" t="s">
        <v>1207</v>
      </c>
      <c r="Q169" t="s">
        <v>182</v>
      </c>
      <c r="R169" s="7">
        <v>33117</v>
      </c>
      <c r="S169" s="8">
        <f t="shared" si="16"/>
        <v>1990</v>
      </c>
      <c r="T169" s="8">
        <v>1990</v>
      </c>
      <c r="U169" s="8">
        <f t="shared" si="17"/>
        <v>32</v>
      </c>
      <c r="V169" s="7">
        <v>33117</v>
      </c>
      <c r="W169" t="s">
        <v>1206</v>
      </c>
      <c r="X169" s="2" t="s">
        <v>13</v>
      </c>
      <c r="Y169" s="6" t="e">
        <f t="shared" si="18"/>
        <v>#VALUE!</v>
      </c>
      <c r="AA169">
        <v>39039</v>
      </c>
      <c r="AB169">
        <v>31407</v>
      </c>
      <c r="AC169">
        <v>14320487</v>
      </c>
      <c r="AD169" t="s">
        <v>1</v>
      </c>
      <c r="AE169">
        <v>73</v>
      </c>
      <c r="AF169">
        <v>5</v>
      </c>
      <c r="AH169" t="s">
        <v>1205</v>
      </c>
      <c r="AI169" t="s">
        <v>1204</v>
      </c>
      <c r="AK169" t="s">
        <v>1203</v>
      </c>
      <c r="AL169">
        <v>2</v>
      </c>
      <c r="AM169" s="5">
        <f t="shared" si="19"/>
        <v>6.25E-2</v>
      </c>
      <c r="AN169" s="4">
        <f t="shared" si="20"/>
        <v>9.46611132146914E-5</v>
      </c>
      <c r="AO169" s="3"/>
      <c r="AP169">
        <v>0</v>
      </c>
      <c r="AR169" t="s">
        <v>0</v>
      </c>
      <c r="AT169" s="2" t="s">
        <v>13</v>
      </c>
      <c r="AU169" s="1" t="e">
        <f t="shared" si="21"/>
        <v>#VALUE!</v>
      </c>
      <c r="AV169" s="1" t="e">
        <f t="shared" si="22"/>
        <v>#VALUE!</v>
      </c>
      <c r="AW169" s="1" t="e">
        <f t="shared" si="23"/>
        <v>#VALUE!</v>
      </c>
    </row>
    <row r="170" spans="1:49" x14ac:dyDescent="0.2">
      <c r="A170">
        <v>168</v>
      </c>
      <c r="B170" t="s">
        <v>1202</v>
      </c>
      <c r="C170" t="s">
        <v>1201</v>
      </c>
      <c r="F170" t="s">
        <v>1200</v>
      </c>
      <c r="G170" t="s">
        <v>4</v>
      </c>
      <c r="H170" t="s">
        <v>3</v>
      </c>
      <c r="I170" t="s">
        <v>1199</v>
      </c>
      <c r="J170">
        <v>60024613</v>
      </c>
      <c r="K170" t="s">
        <v>1198</v>
      </c>
      <c r="L170" t="s">
        <v>114</v>
      </c>
      <c r="M170" t="s">
        <v>19</v>
      </c>
      <c r="N170">
        <v>2</v>
      </c>
      <c r="O170" t="s">
        <v>1197</v>
      </c>
      <c r="P170" t="s">
        <v>1196</v>
      </c>
      <c r="Q170" t="s">
        <v>1195</v>
      </c>
      <c r="R170" s="7">
        <v>33117</v>
      </c>
      <c r="S170" s="8">
        <f t="shared" si="16"/>
        <v>1990</v>
      </c>
      <c r="T170" s="8">
        <v>1990</v>
      </c>
      <c r="U170" s="8">
        <f t="shared" si="17"/>
        <v>32</v>
      </c>
      <c r="V170" s="7">
        <v>33117</v>
      </c>
      <c r="W170" t="s">
        <v>248</v>
      </c>
      <c r="X170" s="2">
        <v>1.1579999999999999</v>
      </c>
      <c r="Y170" s="6">
        <f t="shared" si="18"/>
        <v>3.0912148634579962E-2</v>
      </c>
      <c r="AA170">
        <v>1668595</v>
      </c>
      <c r="AB170">
        <v>14223</v>
      </c>
      <c r="AC170">
        <v>15735079</v>
      </c>
      <c r="AD170" t="s">
        <v>1</v>
      </c>
      <c r="AE170">
        <v>25</v>
      </c>
      <c r="AF170">
        <v>3</v>
      </c>
      <c r="AH170" t="s">
        <v>1194</v>
      </c>
      <c r="AI170" t="s">
        <v>1193</v>
      </c>
      <c r="AJ170" t="s">
        <v>1192</v>
      </c>
      <c r="AK170" t="s">
        <v>1191</v>
      </c>
      <c r="AL170">
        <v>1165</v>
      </c>
      <c r="AM170" s="5">
        <f t="shared" si="19"/>
        <v>36.40625</v>
      </c>
      <c r="AN170" s="4">
        <f t="shared" si="20"/>
        <v>5.5140098447557746E-2</v>
      </c>
      <c r="AO170" s="3"/>
      <c r="AP170">
        <v>0</v>
      </c>
      <c r="AR170" t="s">
        <v>0</v>
      </c>
      <c r="AT170" s="2">
        <v>3.573</v>
      </c>
      <c r="AU170" s="1">
        <f t="shared" si="21"/>
        <v>3.8180533578473299</v>
      </c>
      <c r="AV170" s="1">
        <f t="shared" si="22"/>
        <v>4.3026123541068859</v>
      </c>
      <c r="AW170" s="1">
        <f t="shared" si="23"/>
        <v>4.7871713503664415</v>
      </c>
    </row>
    <row r="171" spans="1:49" x14ac:dyDescent="0.2">
      <c r="A171">
        <v>169</v>
      </c>
      <c r="B171" t="s">
        <v>1190</v>
      </c>
      <c r="C171" t="s">
        <v>1189</v>
      </c>
      <c r="F171" t="s">
        <v>1188</v>
      </c>
      <c r="G171" t="s">
        <v>4</v>
      </c>
      <c r="H171" t="s">
        <v>3</v>
      </c>
      <c r="I171" t="s">
        <v>1187</v>
      </c>
      <c r="J171" t="s">
        <v>1186</v>
      </c>
      <c r="K171" t="s">
        <v>1185</v>
      </c>
      <c r="L171" t="s">
        <v>1184</v>
      </c>
      <c r="M171" t="s">
        <v>1183</v>
      </c>
      <c r="N171">
        <v>8</v>
      </c>
      <c r="O171" t="s">
        <v>1182</v>
      </c>
      <c r="P171" t="s">
        <v>1181</v>
      </c>
      <c r="Q171" t="s">
        <v>1180</v>
      </c>
      <c r="R171" s="7">
        <v>33117</v>
      </c>
      <c r="S171" s="8">
        <f t="shared" si="16"/>
        <v>1990</v>
      </c>
      <c r="T171" s="8">
        <v>1990</v>
      </c>
      <c r="U171" s="8">
        <f t="shared" si="17"/>
        <v>32</v>
      </c>
      <c r="V171" s="7">
        <v>33117</v>
      </c>
      <c r="W171" t="s">
        <v>1179</v>
      </c>
      <c r="X171" s="2">
        <v>0.39800000000000002</v>
      </c>
      <c r="Y171" s="6">
        <f t="shared" si="18"/>
        <v>1.0624382691332319E-2</v>
      </c>
      <c r="AA171" t="s">
        <v>1178</v>
      </c>
      <c r="AB171">
        <v>26771</v>
      </c>
      <c r="AC171" t="s">
        <v>1177</v>
      </c>
      <c r="AD171" t="s">
        <v>1</v>
      </c>
      <c r="AE171">
        <v>171</v>
      </c>
      <c r="AF171" s="9">
        <v>44228</v>
      </c>
      <c r="AH171" t="s">
        <v>1176</v>
      </c>
      <c r="AI171" t="s">
        <v>1175</v>
      </c>
      <c r="AK171" t="s">
        <v>1174</v>
      </c>
      <c r="AL171">
        <v>0</v>
      </c>
      <c r="AM171" s="5">
        <f t="shared" si="19"/>
        <v>0</v>
      </c>
      <c r="AN171" s="4">
        <f t="shared" si="20"/>
        <v>0</v>
      </c>
      <c r="AO171" s="3"/>
      <c r="AP171">
        <v>0</v>
      </c>
      <c r="AR171" t="s">
        <v>0</v>
      </c>
      <c r="AT171" s="2">
        <v>1.83</v>
      </c>
      <c r="AU171" s="1">
        <f t="shared" si="21"/>
        <v>0.74370678839326232</v>
      </c>
      <c r="AV171" s="1">
        <f t="shared" si="22"/>
        <v>0.53121913456661596</v>
      </c>
      <c r="AW171" s="1">
        <f t="shared" si="23"/>
        <v>0.3187314807399696</v>
      </c>
    </row>
    <row r="172" spans="1:49" x14ac:dyDescent="0.2">
      <c r="A172">
        <v>170</v>
      </c>
      <c r="B172" t="s">
        <v>1173</v>
      </c>
      <c r="C172" t="s">
        <v>1172</v>
      </c>
      <c r="F172" t="s">
        <v>1171</v>
      </c>
      <c r="G172" t="s">
        <v>4</v>
      </c>
      <c r="H172" t="s">
        <v>3</v>
      </c>
      <c r="I172" t="s">
        <v>233</v>
      </c>
      <c r="J172">
        <v>60012556</v>
      </c>
      <c r="K172" t="s">
        <v>232</v>
      </c>
      <c r="L172" t="s">
        <v>231</v>
      </c>
      <c r="M172" t="s">
        <v>14</v>
      </c>
      <c r="N172">
        <v>3</v>
      </c>
      <c r="O172" t="s">
        <v>230</v>
      </c>
      <c r="P172" t="s">
        <v>229</v>
      </c>
      <c r="Q172" t="s">
        <v>228</v>
      </c>
      <c r="R172" s="7">
        <v>33117</v>
      </c>
      <c r="S172" s="8">
        <f t="shared" si="16"/>
        <v>1990</v>
      </c>
      <c r="T172" s="8">
        <v>1990</v>
      </c>
      <c r="U172" s="8">
        <f t="shared" si="17"/>
        <v>32</v>
      </c>
      <c r="V172" s="7">
        <v>33117</v>
      </c>
      <c r="W172" t="s">
        <v>245</v>
      </c>
      <c r="X172" s="2">
        <v>1.2529999999999999</v>
      </c>
      <c r="Y172" s="6">
        <f t="shared" si="18"/>
        <v>3.3448119377485916E-2</v>
      </c>
      <c r="AA172">
        <v>320935</v>
      </c>
      <c r="AB172">
        <v>16646</v>
      </c>
      <c r="AC172">
        <v>14322048</v>
      </c>
      <c r="AD172" t="s">
        <v>1</v>
      </c>
      <c r="AE172">
        <v>182</v>
      </c>
      <c r="AF172">
        <v>2</v>
      </c>
      <c r="AH172" t="s">
        <v>1170</v>
      </c>
      <c r="AI172" t="s">
        <v>1169</v>
      </c>
      <c r="AJ172" t="s">
        <v>1168</v>
      </c>
      <c r="AK172" t="s">
        <v>1167</v>
      </c>
      <c r="AL172">
        <v>9</v>
      </c>
      <c r="AM172" s="5">
        <f t="shared" si="19"/>
        <v>0.28125</v>
      </c>
      <c r="AN172" s="4">
        <f t="shared" si="20"/>
        <v>4.2597500946611131E-4</v>
      </c>
      <c r="AO172" s="3"/>
      <c r="AP172">
        <v>0</v>
      </c>
      <c r="AR172" t="s">
        <v>0</v>
      </c>
      <c r="AT172" s="2">
        <v>4.1159999999999997</v>
      </c>
      <c r="AU172" s="1">
        <f t="shared" si="21"/>
        <v>2.3541476067079974</v>
      </c>
      <c r="AV172" s="1">
        <f t="shared" si="22"/>
        <v>1.6937047193476014</v>
      </c>
      <c r="AW172" s="1">
        <f t="shared" si="23"/>
        <v>1.0332618319872053</v>
      </c>
    </row>
    <row r="173" spans="1:49" x14ac:dyDescent="0.2">
      <c r="A173">
        <v>171</v>
      </c>
      <c r="B173" t="s">
        <v>1166</v>
      </c>
      <c r="C173" t="s">
        <v>1165</v>
      </c>
      <c r="F173" t="s">
        <v>1164</v>
      </c>
      <c r="G173" t="s">
        <v>4</v>
      </c>
      <c r="H173" t="s">
        <v>3</v>
      </c>
      <c r="I173" t="s">
        <v>1163</v>
      </c>
      <c r="J173">
        <v>60033021</v>
      </c>
      <c r="K173" t="s">
        <v>1162</v>
      </c>
      <c r="L173" t="s">
        <v>166</v>
      </c>
      <c r="M173" t="s">
        <v>19</v>
      </c>
      <c r="N173">
        <v>2</v>
      </c>
      <c r="O173" t="s">
        <v>1161</v>
      </c>
      <c r="P173" t="s">
        <v>1160</v>
      </c>
      <c r="Q173" t="s">
        <v>1159</v>
      </c>
      <c r="R173" s="7">
        <v>33117</v>
      </c>
      <c r="S173" s="8">
        <f t="shared" si="16"/>
        <v>1990</v>
      </c>
      <c r="T173" s="8">
        <v>1990</v>
      </c>
      <c r="U173" s="8">
        <f t="shared" si="17"/>
        <v>32</v>
      </c>
      <c r="V173" s="7">
        <v>33117</v>
      </c>
      <c r="W173" t="s">
        <v>85</v>
      </c>
      <c r="X173" s="2">
        <v>0.375</v>
      </c>
      <c r="Y173" s="6">
        <f t="shared" si="18"/>
        <v>1.0010410827260351E-2</v>
      </c>
      <c r="AA173">
        <v>135194</v>
      </c>
      <c r="AB173">
        <v>24918</v>
      </c>
      <c r="AD173" t="s">
        <v>1</v>
      </c>
      <c r="AE173">
        <v>26</v>
      </c>
      <c r="AF173">
        <v>14</v>
      </c>
      <c r="AH173" t="s">
        <v>1158</v>
      </c>
      <c r="AI173" t="s">
        <v>1157</v>
      </c>
      <c r="AJ173" t="s">
        <v>1156</v>
      </c>
      <c r="AK173" t="s">
        <v>1155</v>
      </c>
      <c r="AL173">
        <v>0</v>
      </c>
      <c r="AM173" s="5">
        <f t="shared" si="19"/>
        <v>0</v>
      </c>
      <c r="AN173" s="4">
        <f t="shared" si="20"/>
        <v>0</v>
      </c>
      <c r="AO173" s="3"/>
      <c r="AP173">
        <v>0</v>
      </c>
      <c r="AR173" t="s">
        <v>0</v>
      </c>
      <c r="AT173" s="2">
        <v>1.3140000000000001</v>
      </c>
      <c r="AU173" s="1">
        <f t="shared" si="21"/>
        <v>0.70072875790822453</v>
      </c>
      <c r="AV173" s="1">
        <f t="shared" si="22"/>
        <v>0.5005205413630176</v>
      </c>
      <c r="AW173" s="1">
        <f t="shared" si="23"/>
        <v>0.30031232481781051</v>
      </c>
    </row>
    <row r="174" spans="1:49" x14ac:dyDescent="0.2">
      <c r="A174">
        <v>172</v>
      </c>
      <c r="B174" t="s">
        <v>1154</v>
      </c>
      <c r="C174" t="s">
        <v>1153</v>
      </c>
      <c r="F174" t="s">
        <v>1152</v>
      </c>
      <c r="G174" t="s">
        <v>4</v>
      </c>
      <c r="H174" t="s">
        <v>3</v>
      </c>
      <c r="I174" t="s">
        <v>155</v>
      </c>
      <c r="J174">
        <v>60002162</v>
      </c>
      <c r="K174" t="s">
        <v>1151</v>
      </c>
      <c r="L174" t="s">
        <v>1150</v>
      </c>
      <c r="M174" t="s">
        <v>19</v>
      </c>
      <c r="N174">
        <v>1</v>
      </c>
      <c r="O174" t="s">
        <v>203</v>
      </c>
      <c r="P174">
        <v>7402672382</v>
      </c>
      <c r="Q174">
        <v>60002162</v>
      </c>
      <c r="R174" s="7">
        <v>33117</v>
      </c>
      <c r="S174" s="8">
        <f t="shared" si="16"/>
        <v>1990</v>
      </c>
      <c r="T174" s="8">
        <v>1990</v>
      </c>
      <c r="U174" s="8">
        <f t="shared" si="17"/>
        <v>32</v>
      </c>
      <c r="V174" s="7">
        <v>33117</v>
      </c>
      <c r="W174" t="s">
        <v>85</v>
      </c>
      <c r="X174" s="2">
        <v>0.375</v>
      </c>
      <c r="Y174" s="6">
        <f t="shared" si="18"/>
        <v>1.0010410827260351E-2</v>
      </c>
      <c r="AA174">
        <v>135194</v>
      </c>
      <c r="AB174">
        <v>24918</v>
      </c>
      <c r="AD174" t="s">
        <v>1</v>
      </c>
      <c r="AE174">
        <v>26</v>
      </c>
      <c r="AF174">
        <v>14</v>
      </c>
      <c r="AH174" t="s">
        <v>1149</v>
      </c>
      <c r="AI174" t="s">
        <v>1148</v>
      </c>
      <c r="AJ174" t="s">
        <v>1147</v>
      </c>
      <c r="AK174" t="s">
        <v>1146</v>
      </c>
      <c r="AL174">
        <v>19</v>
      </c>
      <c r="AM174" s="5">
        <f t="shared" si="19"/>
        <v>0.59375</v>
      </c>
      <c r="AN174" s="4">
        <f t="shared" si="20"/>
        <v>8.9928057553956839E-4</v>
      </c>
      <c r="AO174" s="3"/>
      <c r="AP174">
        <v>0</v>
      </c>
      <c r="AR174" t="s">
        <v>0</v>
      </c>
      <c r="AT174" s="2">
        <v>1.3140000000000001</v>
      </c>
      <c r="AU174" s="1">
        <f t="shared" si="21"/>
        <v>0.72770717517441164</v>
      </c>
      <c r="AV174" s="1">
        <f t="shared" si="22"/>
        <v>0.54548457013999596</v>
      </c>
      <c r="AW174" s="1">
        <f t="shared" si="23"/>
        <v>0.36326196510558029</v>
      </c>
    </row>
    <row r="175" spans="1:49" x14ac:dyDescent="0.2">
      <c r="A175">
        <v>173</v>
      </c>
      <c r="B175" t="s">
        <v>1145</v>
      </c>
      <c r="C175" t="s">
        <v>1144</v>
      </c>
      <c r="F175" t="s">
        <v>1143</v>
      </c>
      <c r="G175" t="s">
        <v>4</v>
      </c>
      <c r="H175" t="s">
        <v>3</v>
      </c>
      <c r="I175" t="s">
        <v>195</v>
      </c>
      <c r="J175">
        <v>60010065</v>
      </c>
      <c r="K175" t="s">
        <v>80</v>
      </c>
      <c r="L175" t="s">
        <v>67</v>
      </c>
      <c r="M175" t="s">
        <v>19</v>
      </c>
      <c r="N175">
        <v>1</v>
      </c>
      <c r="O175" t="s">
        <v>194</v>
      </c>
      <c r="P175">
        <v>7103195054</v>
      </c>
      <c r="Q175">
        <v>60010065</v>
      </c>
      <c r="R175" s="7">
        <v>33117</v>
      </c>
      <c r="S175" s="8">
        <f t="shared" si="16"/>
        <v>1990</v>
      </c>
      <c r="T175" s="8">
        <v>1990</v>
      </c>
      <c r="U175" s="8">
        <f t="shared" si="17"/>
        <v>32</v>
      </c>
      <c r="V175" s="7">
        <v>33117</v>
      </c>
      <c r="W175" t="s">
        <v>85</v>
      </c>
      <c r="X175" s="2">
        <v>0.375</v>
      </c>
      <c r="Y175" s="6">
        <f t="shared" si="18"/>
        <v>1.0010410827260351E-2</v>
      </c>
      <c r="AA175">
        <v>135194</v>
      </c>
      <c r="AB175">
        <v>24918</v>
      </c>
      <c r="AD175" t="s">
        <v>1</v>
      </c>
      <c r="AE175">
        <v>26</v>
      </c>
      <c r="AF175">
        <v>14</v>
      </c>
      <c r="AH175" t="s">
        <v>1142</v>
      </c>
      <c r="AI175" t="s">
        <v>1141</v>
      </c>
      <c r="AJ175" t="s">
        <v>1140</v>
      </c>
      <c r="AK175" t="s">
        <v>1139</v>
      </c>
      <c r="AL175">
        <v>0</v>
      </c>
      <c r="AM175" s="5">
        <f t="shared" si="19"/>
        <v>0</v>
      </c>
      <c r="AN175" s="4">
        <f t="shared" si="20"/>
        <v>0</v>
      </c>
      <c r="AO175" s="3"/>
      <c r="AP175">
        <v>0</v>
      </c>
      <c r="AR175" t="s">
        <v>0</v>
      </c>
      <c r="AT175" s="2">
        <v>1.3140000000000001</v>
      </c>
      <c r="AU175" s="1">
        <f t="shared" si="21"/>
        <v>0.70072875790822453</v>
      </c>
      <c r="AV175" s="1">
        <f t="shared" si="22"/>
        <v>0.5005205413630176</v>
      </c>
      <c r="AW175" s="1">
        <f t="shared" si="23"/>
        <v>0.30031232481781051</v>
      </c>
    </row>
    <row r="176" spans="1:49" x14ac:dyDescent="0.2">
      <c r="A176">
        <v>174</v>
      </c>
      <c r="B176" t="s">
        <v>1138</v>
      </c>
      <c r="C176" t="s">
        <v>1137</v>
      </c>
      <c r="F176" t="s">
        <v>1136</v>
      </c>
      <c r="G176" t="s">
        <v>4</v>
      </c>
      <c r="H176" t="s">
        <v>3</v>
      </c>
      <c r="I176" t="s">
        <v>1135</v>
      </c>
      <c r="J176">
        <v>60030553</v>
      </c>
      <c r="K176" t="s">
        <v>145</v>
      </c>
      <c r="L176" t="s">
        <v>144</v>
      </c>
      <c r="M176" t="s">
        <v>94</v>
      </c>
      <c r="N176">
        <v>2</v>
      </c>
      <c r="O176" t="s">
        <v>1134</v>
      </c>
      <c r="P176" t="s">
        <v>1133</v>
      </c>
      <c r="Q176" t="s">
        <v>1132</v>
      </c>
      <c r="R176" s="7">
        <v>33117</v>
      </c>
      <c r="S176" s="8">
        <f t="shared" si="16"/>
        <v>1990</v>
      </c>
      <c r="T176" s="8">
        <v>1990</v>
      </c>
      <c r="U176" s="8">
        <f t="shared" si="17"/>
        <v>32</v>
      </c>
      <c r="V176" s="7">
        <v>33117</v>
      </c>
      <c r="W176" t="s">
        <v>85</v>
      </c>
      <c r="X176" s="2">
        <v>0.375</v>
      </c>
      <c r="Y176" s="6">
        <f t="shared" si="18"/>
        <v>1.0010410827260351E-2</v>
      </c>
      <c r="AA176">
        <v>135194</v>
      </c>
      <c r="AB176">
        <v>24918</v>
      </c>
      <c r="AD176" t="s">
        <v>1</v>
      </c>
      <c r="AE176">
        <v>26</v>
      </c>
      <c r="AF176">
        <v>14</v>
      </c>
      <c r="AH176" t="s">
        <v>1131</v>
      </c>
      <c r="AI176" t="s">
        <v>1130</v>
      </c>
      <c r="AJ176" t="s">
        <v>139</v>
      </c>
      <c r="AK176" t="s">
        <v>1129</v>
      </c>
      <c r="AL176">
        <v>17</v>
      </c>
      <c r="AM176" s="5">
        <f t="shared" si="19"/>
        <v>0.53125</v>
      </c>
      <c r="AN176" s="4">
        <f t="shared" si="20"/>
        <v>8.0461946232487697E-4</v>
      </c>
      <c r="AO176" s="3"/>
      <c r="AP176">
        <v>0</v>
      </c>
      <c r="AR176" t="s">
        <v>0</v>
      </c>
      <c r="AT176" s="2">
        <v>1.3140000000000001</v>
      </c>
      <c r="AU176" s="1">
        <f t="shared" si="21"/>
        <v>0.72486734177797085</v>
      </c>
      <c r="AV176" s="1">
        <f t="shared" si="22"/>
        <v>0.5407515144792614</v>
      </c>
      <c r="AW176" s="1">
        <f t="shared" si="23"/>
        <v>0.35663568718055189</v>
      </c>
    </row>
    <row r="177" spans="1:49" x14ac:dyDescent="0.2">
      <c r="A177">
        <v>175</v>
      </c>
      <c r="B177" t="s">
        <v>1128</v>
      </c>
      <c r="C177" t="s">
        <v>1127</v>
      </c>
      <c r="F177" t="s">
        <v>1126</v>
      </c>
      <c r="G177" t="s">
        <v>4</v>
      </c>
      <c r="H177" t="s">
        <v>3</v>
      </c>
      <c r="I177" t="s">
        <v>1125</v>
      </c>
      <c r="J177" t="s">
        <v>1120</v>
      </c>
      <c r="K177" t="s">
        <v>1124</v>
      </c>
      <c r="L177" t="s">
        <v>1123</v>
      </c>
      <c r="M177" t="s">
        <v>103</v>
      </c>
      <c r="N177">
        <v>2</v>
      </c>
      <c r="O177" t="s">
        <v>1122</v>
      </c>
      <c r="P177" t="s">
        <v>1121</v>
      </c>
      <c r="Q177" t="s">
        <v>1120</v>
      </c>
      <c r="R177" s="7">
        <v>33117</v>
      </c>
      <c r="S177" s="8">
        <f t="shared" si="16"/>
        <v>1990</v>
      </c>
      <c r="T177" s="8">
        <v>1990</v>
      </c>
      <c r="U177" s="8">
        <f t="shared" si="17"/>
        <v>32</v>
      </c>
      <c r="V177" s="7">
        <v>33117</v>
      </c>
      <c r="W177" t="s">
        <v>85</v>
      </c>
      <c r="X177" s="2">
        <v>0.375</v>
      </c>
      <c r="Y177" s="6">
        <f t="shared" si="18"/>
        <v>1.0010410827260351E-2</v>
      </c>
      <c r="AA177">
        <v>135194</v>
      </c>
      <c r="AB177">
        <v>24918</v>
      </c>
      <c r="AD177" t="s">
        <v>1</v>
      </c>
      <c r="AE177">
        <v>26</v>
      </c>
      <c r="AF177">
        <v>16</v>
      </c>
      <c r="AH177" t="s">
        <v>1119</v>
      </c>
      <c r="AI177" t="s">
        <v>1118</v>
      </c>
      <c r="AJ177" t="s">
        <v>139</v>
      </c>
      <c r="AK177" t="s">
        <v>1117</v>
      </c>
      <c r="AL177">
        <v>0</v>
      </c>
      <c r="AM177" s="5">
        <f t="shared" si="19"/>
        <v>0</v>
      </c>
      <c r="AN177" s="4">
        <f t="shared" si="20"/>
        <v>0</v>
      </c>
      <c r="AO177" s="3"/>
      <c r="AP177">
        <v>0</v>
      </c>
      <c r="AR177" t="s">
        <v>0</v>
      </c>
      <c r="AT177" s="2">
        <v>1.3140000000000001</v>
      </c>
      <c r="AU177" s="1">
        <f t="shared" si="21"/>
        <v>0.70072875790822453</v>
      </c>
      <c r="AV177" s="1">
        <f t="shared" si="22"/>
        <v>0.5005205413630176</v>
      </c>
      <c r="AW177" s="1">
        <f t="shared" si="23"/>
        <v>0.30031232481781051</v>
      </c>
    </row>
    <row r="178" spans="1:49" x14ac:dyDescent="0.2">
      <c r="A178">
        <v>176</v>
      </c>
      <c r="B178" t="s">
        <v>1116</v>
      </c>
      <c r="C178" t="s">
        <v>1115</v>
      </c>
      <c r="F178" t="s">
        <v>1114</v>
      </c>
      <c r="G178" t="s">
        <v>4</v>
      </c>
      <c r="H178" t="s">
        <v>3</v>
      </c>
      <c r="I178" t="s">
        <v>1113</v>
      </c>
      <c r="J178">
        <v>60019702</v>
      </c>
      <c r="K178" t="s">
        <v>1112</v>
      </c>
      <c r="L178" t="s">
        <v>1111</v>
      </c>
      <c r="M178" t="s">
        <v>23</v>
      </c>
      <c r="N178">
        <v>1</v>
      </c>
      <c r="O178" t="s">
        <v>1110</v>
      </c>
      <c r="P178">
        <v>6701497696</v>
      </c>
      <c r="Q178">
        <v>60019702</v>
      </c>
      <c r="R178" s="7">
        <v>33117</v>
      </c>
      <c r="S178" s="8">
        <f t="shared" si="16"/>
        <v>1990</v>
      </c>
      <c r="T178" s="8">
        <v>1990</v>
      </c>
      <c r="U178" s="8">
        <f t="shared" si="17"/>
        <v>32</v>
      </c>
      <c r="V178" s="7">
        <v>33117</v>
      </c>
      <c r="W178" t="s">
        <v>85</v>
      </c>
      <c r="X178" s="2">
        <v>0.375</v>
      </c>
      <c r="Y178" s="6">
        <f t="shared" si="18"/>
        <v>1.0010410827260351E-2</v>
      </c>
      <c r="AA178">
        <v>135194</v>
      </c>
      <c r="AB178">
        <v>24918</v>
      </c>
      <c r="AD178" t="s">
        <v>1</v>
      </c>
      <c r="AE178">
        <v>26</v>
      </c>
      <c r="AF178">
        <v>16</v>
      </c>
      <c r="AH178" t="s">
        <v>1109</v>
      </c>
      <c r="AI178" t="s">
        <v>1108</v>
      </c>
      <c r="AJ178" t="s">
        <v>1107</v>
      </c>
      <c r="AK178" t="s">
        <v>1106</v>
      </c>
      <c r="AL178">
        <v>1</v>
      </c>
      <c r="AM178" s="5">
        <f t="shared" si="19"/>
        <v>3.125E-2</v>
      </c>
      <c r="AN178" s="4">
        <f t="shared" si="20"/>
        <v>4.73305566073457E-5</v>
      </c>
      <c r="AO178" s="3"/>
      <c r="AP178">
        <v>0</v>
      </c>
      <c r="AR178" t="s">
        <v>0</v>
      </c>
      <c r="AT178" s="2">
        <v>1.3140000000000001</v>
      </c>
      <c r="AU178" s="1">
        <f t="shared" si="21"/>
        <v>0.70214867460644492</v>
      </c>
      <c r="AV178" s="1">
        <f t="shared" si="22"/>
        <v>0.50288706919338488</v>
      </c>
      <c r="AW178" s="1">
        <f t="shared" si="23"/>
        <v>0.30362546378032473</v>
      </c>
    </row>
    <row r="179" spans="1:49" x14ac:dyDescent="0.2">
      <c r="A179">
        <v>177</v>
      </c>
      <c r="B179" t="s">
        <v>1105</v>
      </c>
      <c r="C179" t="s">
        <v>1104</v>
      </c>
      <c r="F179" t="s">
        <v>1103</v>
      </c>
      <c r="G179" t="s">
        <v>4</v>
      </c>
      <c r="H179" t="s">
        <v>3</v>
      </c>
      <c r="I179" t="s">
        <v>1102</v>
      </c>
      <c r="J179">
        <v>60001247</v>
      </c>
      <c r="K179" t="s">
        <v>186</v>
      </c>
      <c r="M179" t="s">
        <v>19</v>
      </c>
      <c r="N179">
        <v>1</v>
      </c>
      <c r="O179" t="s">
        <v>1101</v>
      </c>
      <c r="P179">
        <v>7006764320</v>
      </c>
      <c r="Q179">
        <v>60001247</v>
      </c>
      <c r="R179" s="7">
        <v>33117</v>
      </c>
      <c r="S179" s="8">
        <f t="shared" si="16"/>
        <v>1990</v>
      </c>
      <c r="T179" s="8">
        <v>1990</v>
      </c>
      <c r="U179" s="8">
        <f t="shared" si="17"/>
        <v>32</v>
      </c>
      <c r="V179" s="7">
        <v>33117</v>
      </c>
      <c r="W179" t="s">
        <v>85</v>
      </c>
      <c r="X179" s="2">
        <v>0.375</v>
      </c>
      <c r="Y179" s="6">
        <f t="shared" si="18"/>
        <v>1.0010410827260351E-2</v>
      </c>
      <c r="AA179">
        <v>135194</v>
      </c>
      <c r="AB179">
        <v>24918</v>
      </c>
      <c r="AD179" t="s">
        <v>1</v>
      </c>
      <c r="AE179">
        <v>26</v>
      </c>
      <c r="AF179">
        <v>16</v>
      </c>
      <c r="AH179" t="s">
        <v>1100</v>
      </c>
      <c r="AI179" t="s">
        <v>1099</v>
      </c>
      <c r="AJ179" t="s">
        <v>137</v>
      </c>
      <c r="AK179" t="s">
        <v>1098</v>
      </c>
      <c r="AL179">
        <v>4</v>
      </c>
      <c r="AM179" s="5">
        <f t="shared" si="19"/>
        <v>0.125</v>
      </c>
      <c r="AN179" s="4">
        <f t="shared" si="20"/>
        <v>1.893222264293828E-4</v>
      </c>
      <c r="AO179" s="3"/>
      <c r="AP179">
        <v>0</v>
      </c>
      <c r="AR179" t="s">
        <v>0</v>
      </c>
      <c r="AT179" s="2">
        <v>1.3140000000000001</v>
      </c>
      <c r="AU179" s="1">
        <f t="shared" si="21"/>
        <v>0.7064084247011061</v>
      </c>
      <c r="AV179" s="1">
        <f t="shared" si="22"/>
        <v>0.50998665268448673</v>
      </c>
      <c r="AW179" s="1">
        <f t="shared" si="23"/>
        <v>0.31356488066786731</v>
      </c>
    </row>
    <row r="180" spans="1:49" x14ac:dyDescent="0.2">
      <c r="A180">
        <v>178</v>
      </c>
      <c r="B180" t="s">
        <v>1097</v>
      </c>
      <c r="C180" t="s">
        <v>1096</v>
      </c>
      <c r="F180" t="s">
        <v>1095</v>
      </c>
      <c r="G180" t="s">
        <v>4</v>
      </c>
      <c r="H180" t="s">
        <v>3</v>
      </c>
      <c r="I180" t="s">
        <v>1094</v>
      </c>
      <c r="J180">
        <v>60012704</v>
      </c>
      <c r="K180" t="s">
        <v>1093</v>
      </c>
      <c r="L180" t="s">
        <v>1092</v>
      </c>
      <c r="M180" t="s">
        <v>138</v>
      </c>
      <c r="N180">
        <v>3</v>
      </c>
      <c r="O180" t="s">
        <v>1091</v>
      </c>
      <c r="P180" t="s">
        <v>1090</v>
      </c>
      <c r="Q180" t="s">
        <v>1089</v>
      </c>
      <c r="R180" s="7">
        <v>33117</v>
      </c>
      <c r="S180" s="8">
        <f t="shared" si="16"/>
        <v>1990</v>
      </c>
      <c r="T180" s="8">
        <v>1990</v>
      </c>
      <c r="U180" s="8">
        <f t="shared" si="17"/>
        <v>32</v>
      </c>
      <c r="V180" s="7">
        <v>33117</v>
      </c>
      <c r="W180" t="s">
        <v>85</v>
      </c>
      <c r="X180" s="2">
        <v>0.375</v>
      </c>
      <c r="Y180" s="6">
        <f t="shared" si="18"/>
        <v>1.0010410827260351E-2</v>
      </c>
      <c r="AA180">
        <v>135194</v>
      </c>
      <c r="AB180">
        <v>24918</v>
      </c>
      <c r="AD180" t="s">
        <v>1</v>
      </c>
      <c r="AE180">
        <v>26</v>
      </c>
      <c r="AF180">
        <v>16</v>
      </c>
      <c r="AH180" t="s">
        <v>1088</v>
      </c>
      <c r="AI180" t="s">
        <v>1087</v>
      </c>
      <c r="AJ180" t="s">
        <v>137</v>
      </c>
      <c r="AK180" t="s">
        <v>1086</v>
      </c>
      <c r="AL180">
        <v>5</v>
      </c>
      <c r="AM180" s="5">
        <f t="shared" si="19"/>
        <v>0.15625</v>
      </c>
      <c r="AN180" s="4">
        <f t="shared" si="20"/>
        <v>2.3665278303672851E-4</v>
      </c>
      <c r="AO180" s="3"/>
      <c r="AP180">
        <v>0</v>
      </c>
      <c r="AR180" t="s">
        <v>0</v>
      </c>
      <c r="AT180" s="2">
        <v>1.3140000000000001</v>
      </c>
      <c r="AU180" s="1">
        <f t="shared" si="21"/>
        <v>0.70782834139932649</v>
      </c>
      <c r="AV180" s="1">
        <f t="shared" si="22"/>
        <v>0.51235318051485401</v>
      </c>
      <c r="AW180" s="1">
        <f t="shared" si="23"/>
        <v>0.31687801963038154</v>
      </c>
    </row>
    <row r="181" spans="1:49" x14ac:dyDescent="0.2">
      <c r="A181">
        <v>179</v>
      </c>
      <c r="B181" t="s">
        <v>1085</v>
      </c>
      <c r="C181" t="s">
        <v>1084</v>
      </c>
      <c r="F181" t="s">
        <v>1083</v>
      </c>
      <c r="G181" t="s">
        <v>4</v>
      </c>
      <c r="H181" t="s">
        <v>3</v>
      </c>
      <c r="I181" t="s">
        <v>1082</v>
      </c>
      <c r="J181">
        <v>60008134</v>
      </c>
      <c r="K181" t="s">
        <v>249</v>
      </c>
      <c r="L181" t="s">
        <v>215</v>
      </c>
      <c r="M181" t="s">
        <v>94</v>
      </c>
      <c r="N181">
        <v>2</v>
      </c>
      <c r="O181" t="s">
        <v>1081</v>
      </c>
      <c r="P181" t="s">
        <v>1080</v>
      </c>
      <c r="Q181" t="s">
        <v>580</v>
      </c>
      <c r="R181" s="7">
        <v>33117</v>
      </c>
      <c r="S181" s="8">
        <f t="shared" si="16"/>
        <v>1990</v>
      </c>
      <c r="T181" s="8">
        <v>1990</v>
      </c>
      <c r="U181" s="8">
        <f t="shared" si="17"/>
        <v>32</v>
      </c>
      <c r="V181" s="7">
        <v>33117</v>
      </c>
      <c r="W181" t="s">
        <v>85</v>
      </c>
      <c r="X181" s="2">
        <v>0.375</v>
      </c>
      <c r="Y181" s="6">
        <f t="shared" si="18"/>
        <v>1.0010410827260351E-2</v>
      </c>
      <c r="AA181">
        <v>135194</v>
      </c>
      <c r="AB181">
        <v>24918</v>
      </c>
      <c r="AD181" t="s">
        <v>1</v>
      </c>
      <c r="AE181">
        <v>26</v>
      </c>
      <c r="AF181">
        <v>16</v>
      </c>
      <c r="AH181" t="s">
        <v>1079</v>
      </c>
      <c r="AI181" t="s">
        <v>1078</v>
      </c>
      <c r="AJ181" t="s">
        <v>137</v>
      </c>
      <c r="AK181" t="s">
        <v>1077</v>
      </c>
      <c r="AL181">
        <v>105</v>
      </c>
      <c r="AM181" s="5">
        <f t="shared" si="19"/>
        <v>3.28125</v>
      </c>
      <c r="AN181" s="4">
        <f t="shared" si="20"/>
        <v>4.969708443771299E-3</v>
      </c>
      <c r="AO181" s="3"/>
      <c r="AP181">
        <v>0</v>
      </c>
      <c r="AR181" t="s">
        <v>0</v>
      </c>
      <c r="AT181" s="2">
        <v>1.3140000000000001</v>
      </c>
      <c r="AU181" s="1">
        <f t="shared" si="21"/>
        <v>0.84982001122136352</v>
      </c>
      <c r="AV181" s="1">
        <f t="shared" si="22"/>
        <v>0.74900596355158255</v>
      </c>
      <c r="AW181" s="1">
        <f t="shared" si="23"/>
        <v>0.64819191588180147</v>
      </c>
    </row>
    <row r="182" spans="1:49" x14ac:dyDescent="0.2">
      <c r="A182">
        <v>180</v>
      </c>
      <c r="B182" t="s">
        <v>1076</v>
      </c>
      <c r="C182" t="s">
        <v>1075</v>
      </c>
      <c r="F182" t="s">
        <v>1074</v>
      </c>
      <c r="G182" t="s">
        <v>4</v>
      </c>
      <c r="H182" t="s">
        <v>3</v>
      </c>
      <c r="I182" t="s">
        <v>1073</v>
      </c>
      <c r="J182">
        <v>60027271</v>
      </c>
      <c r="K182" t="s">
        <v>115</v>
      </c>
      <c r="L182" t="s">
        <v>114</v>
      </c>
      <c r="M182" t="s">
        <v>19</v>
      </c>
      <c r="N182">
        <v>3</v>
      </c>
      <c r="O182" t="s">
        <v>1072</v>
      </c>
      <c r="P182" t="s">
        <v>1071</v>
      </c>
      <c r="Q182" t="s">
        <v>1070</v>
      </c>
      <c r="R182" s="7">
        <v>33117</v>
      </c>
      <c r="S182" s="8">
        <f t="shared" si="16"/>
        <v>1990</v>
      </c>
      <c r="T182" s="8">
        <v>1990</v>
      </c>
      <c r="U182" s="8">
        <f t="shared" si="17"/>
        <v>32</v>
      </c>
      <c r="V182" s="7">
        <v>33117</v>
      </c>
      <c r="W182" t="s">
        <v>81</v>
      </c>
      <c r="X182" s="2">
        <v>2.141</v>
      </c>
      <c r="Y182" s="6">
        <f t="shared" si="18"/>
        <v>5.7152772216438434E-2</v>
      </c>
      <c r="AA182">
        <v>1962892</v>
      </c>
      <c r="AB182">
        <v>17360</v>
      </c>
      <c r="AD182" t="s">
        <v>1</v>
      </c>
      <c r="AE182">
        <v>28</v>
      </c>
      <c r="AF182">
        <v>5</v>
      </c>
      <c r="AH182" t="s">
        <v>1069</v>
      </c>
      <c r="AI182" t="s">
        <v>1068</v>
      </c>
      <c r="AK182" t="s">
        <v>1067</v>
      </c>
      <c r="AL182">
        <v>466</v>
      </c>
      <c r="AM182" s="5">
        <f t="shared" si="19"/>
        <v>14.5625</v>
      </c>
      <c r="AN182" s="4">
        <f t="shared" si="20"/>
        <v>2.2056039379023097E-2</v>
      </c>
      <c r="AO182" s="3"/>
      <c r="AP182">
        <v>0</v>
      </c>
      <c r="AR182" t="s">
        <v>0</v>
      </c>
      <c r="AT182" s="2" t="s">
        <v>13</v>
      </c>
      <c r="AU182" s="1">
        <f t="shared" si="21"/>
        <v>4.6623752365213829</v>
      </c>
      <c r="AV182" s="1">
        <f t="shared" si="22"/>
        <v>3.9604405797730764</v>
      </c>
      <c r="AW182" s="1">
        <f t="shared" si="23"/>
        <v>3.2585059230247695</v>
      </c>
    </row>
    <row r="183" spans="1:49" x14ac:dyDescent="0.2">
      <c r="A183">
        <v>181</v>
      </c>
      <c r="B183" t="s">
        <v>1066</v>
      </c>
      <c r="C183" t="s">
        <v>1065</v>
      </c>
      <c r="F183" t="s">
        <v>1064</v>
      </c>
      <c r="G183" t="s">
        <v>4</v>
      </c>
      <c r="H183" t="s">
        <v>3</v>
      </c>
      <c r="I183" t="s">
        <v>1063</v>
      </c>
      <c r="J183" t="s">
        <v>1062</v>
      </c>
      <c r="K183" t="s">
        <v>1061</v>
      </c>
      <c r="L183" t="s">
        <v>1060</v>
      </c>
      <c r="M183" t="s">
        <v>127</v>
      </c>
      <c r="N183">
        <v>4</v>
      </c>
      <c r="O183" t="s">
        <v>1059</v>
      </c>
      <c r="P183" t="s">
        <v>1058</v>
      </c>
      <c r="Q183" t="s">
        <v>1057</v>
      </c>
      <c r="R183" s="7">
        <v>33117</v>
      </c>
      <c r="S183" s="8">
        <f t="shared" si="16"/>
        <v>1990</v>
      </c>
      <c r="T183" s="8">
        <v>1990</v>
      </c>
      <c r="U183" s="8">
        <f t="shared" si="17"/>
        <v>32</v>
      </c>
      <c r="V183" s="7">
        <v>33117</v>
      </c>
      <c r="W183" t="s">
        <v>1039</v>
      </c>
      <c r="X183" s="2" t="s">
        <v>13</v>
      </c>
      <c r="Y183" s="6" t="e">
        <f t="shared" si="18"/>
        <v>#VALUE!</v>
      </c>
      <c r="AA183">
        <v>8961107</v>
      </c>
      <c r="AB183">
        <v>99971</v>
      </c>
      <c r="AC183">
        <v>15729605</v>
      </c>
      <c r="AD183" t="s">
        <v>1</v>
      </c>
      <c r="AE183">
        <v>3</v>
      </c>
      <c r="AF183">
        <v>3</v>
      </c>
      <c r="AH183" t="s">
        <v>1056</v>
      </c>
      <c r="AI183" t="s">
        <v>1055</v>
      </c>
      <c r="AJ183" t="s">
        <v>1054</v>
      </c>
      <c r="AK183" t="s">
        <v>1053</v>
      </c>
      <c r="AL183">
        <v>2</v>
      </c>
      <c r="AM183" s="5">
        <f t="shared" si="19"/>
        <v>6.25E-2</v>
      </c>
      <c r="AN183" s="4">
        <f t="shared" si="20"/>
        <v>9.46611132146914E-5</v>
      </c>
      <c r="AO183" s="3"/>
      <c r="AP183">
        <v>0</v>
      </c>
      <c r="AR183" t="s">
        <v>0</v>
      </c>
      <c r="AT183" s="2" t="s">
        <v>13</v>
      </c>
      <c r="AU183" s="1" t="e">
        <f t="shared" si="21"/>
        <v>#VALUE!</v>
      </c>
      <c r="AV183" s="1" t="e">
        <f t="shared" si="22"/>
        <v>#VALUE!</v>
      </c>
      <c r="AW183" s="1" t="e">
        <f t="shared" si="23"/>
        <v>#VALUE!</v>
      </c>
    </row>
    <row r="184" spans="1:49" x14ac:dyDescent="0.2">
      <c r="A184">
        <v>182</v>
      </c>
      <c r="B184" t="s">
        <v>1052</v>
      </c>
      <c r="F184" t="s">
        <v>1051</v>
      </c>
      <c r="G184" t="s">
        <v>4</v>
      </c>
      <c r="H184" t="s">
        <v>3</v>
      </c>
      <c r="I184" t="s">
        <v>93</v>
      </c>
      <c r="J184">
        <v>60005510</v>
      </c>
      <c r="K184" t="s">
        <v>92</v>
      </c>
      <c r="L184" t="s">
        <v>91</v>
      </c>
      <c r="M184" t="s">
        <v>90</v>
      </c>
      <c r="N184">
        <v>2</v>
      </c>
      <c r="O184" t="s">
        <v>122</v>
      </c>
      <c r="P184" t="s">
        <v>121</v>
      </c>
      <c r="Q184" t="s">
        <v>1050</v>
      </c>
      <c r="R184" s="7">
        <v>33117</v>
      </c>
      <c r="S184" s="8">
        <f t="shared" si="16"/>
        <v>1990</v>
      </c>
      <c r="T184" s="8">
        <v>1990</v>
      </c>
      <c r="U184" s="8">
        <f t="shared" si="17"/>
        <v>32</v>
      </c>
      <c r="V184" s="7">
        <v>33117</v>
      </c>
      <c r="W184" t="s">
        <v>291</v>
      </c>
      <c r="X184" s="2">
        <v>0.14099999999999999</v>
      </c>
      <c r="Y184" s="6">
        <f t="shared" si="18"/>
        <v>3.7639144710498915E-3</v>
      </c>
      <c r="AA184">
        <v>7252986</v>
      </c>
      <c r="AB184">
        <v>18037</v>
      </c>
      <c r="AD184" t="s">
        <v>1</v>
      </c>
      <c r="AE184">
        <v>10</v>
      </c>
      <c r="AF184">
        <v>3</v>
      </c>
      <c r="AH184" t="s">
        <v>1049</v>
      </c>
      <c r="AI184" t="s">
        <v>1048</v>
      </c>
      <c r="AK184" t="s">
        <v>1047</v>
      </c>
      <c r="AL184">
        <v>2</v>
      </c>
      <c r="AM184" s="5">
        <f t="shared" si="19"/>
        <v>6.25E-2</v>
      </c>
      <c r="AN184" s="4">
        <f t="shared" si="20"/>
        <v>9.46611132146914E-5</v>
      </c>
      <c r="AO184" s="3"/>
      <c r="AP184">
        <v>0</v>
      </c>
      <c r="AR184" t="s">
        <v>0</v>
      </c>
      <c r="AT184" s="2" t="s">
        <v>13</v>
      </c>
      <c r="AU184" s="1">
        <f t="shared" si="21"/>
        <v>0.26631384636993316</v>
      </c>
      <c r="AV184" s="1">
        <f t="shared" si="22"/>
        <v>0.19292877921322915</v>
      </c>
      <c r="AW184" s="1">
        <f t="shared" si="23"/>
        <v>0.11954371205652513</v>
      </c>
    </row>
    <row r="185" spans="1:49" x14ac:dyDescent="0.2">
      <c r="A185">
        <v>183</v>
      </c>
      <c r="B185" t="s">
        <v>1046</v>
      </c>
      <c r="C185" t="s">
        <v>1045</v>
      </c>
      <c r="F185" t="s">
        <v>1044</v>
      </c>
      <c r="G185" t="s">
        <v>4</v>
      </c>
      <c r="H185" t="s">
        <v>3</v>
      </c>
      <c r="I185" t="s">
        <v>1043</v>
      </c>
      <c r="J185">
        <v>60021080</v>
      </c>
      <c r="K185" t="s">
        <v>1042</v>
      </c>
      <c r="L185" t="s">
        <v>1041</v>
      </c>
      <c r="M185" t="s">
        <v>19</v>
      </c>
      <c r="N185">
        <v>1</v>
      </c>
      <c r="O185" t="s">
        <v>1040</v>
      </c>
      <c r="P185">
        <v>7004504343</v>
      </c>
      <c r="Q185">
        <v>60021080</v>
      </c>
      <c r="R185" s="7">
        <v>33117</v>
      </c>
      <c r="S185" s="8">
        <f t="shared" si="16"/>
        <v>1990</v>
      </c>
      <c r="T185" s="8">
        <v>1990</v>
      </c>
      <c r="U185" s="8">
        <f t="shared" si="17"/>
        <v>32</v>
      </c>
      <c r="V185" s="7">
        <v>33117</v>
      </c>
      <c r="W185" t="s">
        <v>1039</v>
      </c>
      <c r="X185" s="2" t="s">
        <v>13</v>
      </c>
      <c r="Y185" s="6" t="e">
        <f t="shared" si="18"/>
        <v>#VALUE!</v>
      </c>
      <c r="AA185">
        <v>8961107</v>
      </c>
      <c r="AB185">
        <v>99971</v>
      </c>
      <c r="AC185">
        <v>15729605</v>
      </c>
      <c r="AD185" t="s">
        <v>1</v>
      </c>
      <c r="AE185">
        <v>3</v>
      </c>
      <c r="AF185">
        <v>3</v>
      </c>
      <c r="AH185" t="s">
        <v>1038</v>
      </c>
      <c r="AI185" t="s">
        <v>1037</v>
      </c>
      <c r="AJ185" t="s">
        <v>1036</v>
      </c>
      <c r="AK185" t="s">
        <v>1035</v>
      </c>
      <c r="AL185">
        <v>24</v>
      </c>
      <c r="AM185" s="5">
        <f t="shared" si="19"/>
        <v>0.75</v>
      </c>
      <c r="AN185" s="4">
        <f t="shared" si="20"/>
        <v>1.1359333585762969E-3</v>
      </c>
      <c r="AO185" s="3"/>
      <c r="AP185">
        <v>0</v>
      </c>
      <c r="AR185" t="s">
        <v>0</v>
      </c>
      <c r="AT185" s="2" t="s">
        <v>13</v>
      </c>
      <c r="AU185" s="1" t="e">
        <f t="shared" si="21"/>
        <v>#VALUE!</v>
      </c>
      <c r="AV185" s="1" t="e">
        <f t="shared" si="22"/>
        <v>#VALUE!</v>
      </c>
      <c r="AW185" s="1" t="e">
        <f t="shared" si="23"/>
        <v>#VALUE!</v>
      </c>
    </row>
    <row r="186" spans="1:49" x14ac:dyDescent="0.2">
      <c r="A186">
        <v>184</v>
      </c>
      <c r="B186" t="s">
        <v>1034</v>
      </c>
      <c r="F186" t="s">
        <v>1033</v>
      </c>
      <c r="G186" t="s">
        <v>4</v>
      </c>
      <c r="H186" t="s">
        <v>3</v>
      </c>
      <c r="I186" t="s">
        <v>1032</v>
      </c>
      <c r="J186">
        <v>60073440</v>
      </c>
      <c r="K186" t="s">
        <v>1031</v>
      </c>
      <c r="L186" t="s">
        <v>60</v>
      </c>
      <c r="M186" t="s">
        <v>59</v>
      </c>
      <c r="N186">
        <v>2</v>
      </c>
      <c r="O186" t="s">
        <v>1030</v>
      </c>
      <c r="P186" t="s">
        <v>1029</v>
      </c>
      <c r="Q186" t="s">
        <v>1028</v>
      </c>
      <c r="R186" s="7">
        <v>33117</v>
      </c>
      <c r="S186" s="8">
        <f t="shared" si="16"/>
        <v>1990</v>
      </c>
      <c r="T186" s="8">
        <v>1990</v>
      </c>
      <c r="U186" s="8">
        <f t="shared" si="17"/>
        <v>32</v>
      </c>
      <c r="V186" s="7">
        <v>33117</v>
      </c>
      <c r="W186" t="s">
        <v>269</v>
      </c>
      <c r="X186" s="2">
        <v>0.69799999999999995</v>
      </c>
      <c r="Y186" s="6">
        <f t="shared" si="18"/>
        <v>1.86327113531406E-2</v>
      </c>
      <c r="AA186">
        <v>219142</v>
      </c>
      <c r="AB186">
        <v>29585</v>
      </c>
      <c r="AD186" t="s">
        <v>1</v>
      </c>
      <c r="AE186">
        <v>38</v>
      </c>
      <c r="AF186">
        <v>3</v>
      </c>
      <c r="AH186" t="s">
        <v>1027</v>
      </c>
      <c r="AI186" t="s">
        <v>1026</v>
      </c>
      <c r="AK186" t="s">
        <v>1025</v>
      </c>
      <c r="AL186">
        <v>5</v>
      </c>
      <c r="AM186" s="5">
        <f t="shared" si="19"/>
        <v>0.15625</v>
      </c>
      <c r="AN186" s="4">
        <f t="shared" si="20"/>
        <v>2.3665278303672851E-4</v>
      </c>
      <c r="AO186" s="3"/>
      <c r="AP186">
        <v>0</v>
      </c>
      <c r="AR186" t="s">
        <v>0</v>
      </c>
      <c r="AT186" s="2">
        <v>1.5309999999999999</v>
      </c>
      <c r="AU186" s="1">
        <f t="shared" si="21"/>
        <v>1.3113893782109438</v>
      </c>
      <c r="AV186" s="1">
        <f t="shared" si="22"/>
        <v>0.94346820680886645</v>
      </c>
      <c r="AW186" s="1">
        <f t="shared" si="23"/>
        <v>0.57554703540678898</v>
      </c>
    </row>
    <row r="187" spans="1:49" x14ac:dyDescent="0.2">
      <c r="A187">
        <v>185</v>
      </c>
      <c r="B187" t="s">
        <v>1024</v>
      </c>
      <c r="C187" t="s">
        <v>1023</v>
      </c>
      <c r="F187" t="s">
        <v>1022</v>
      </c>
      <c r="G187" t="s">
        <v>4</v>
      </c>
      <c r="H187" t="s">
        <v>3</v>
      </c>
      <c r="I187" t="s">
        <v>1021</v>
      </c>
      <c r="J187">
        <v>60014313</v>
      </c>
      <c r="K187" t="s">
        <v>49</v>
      </c>
      <c r="L187" t="s">
        <v>48</v>
      </c>
      <c r="M187" t="s">
        <v>19</v>
      </c>
      <c r="N187">
        <v>2</v>
      </c>
      <c r="O187" t="s">
        <v>1020</v>
      </c>
      <c r="P187" t="s">
        <v>1019</v>
      </c>
      <c r="Q187" t="s">
        <v>130</v>
      </c>
      <c r="R187" s="7">
        <v>33117</v>
      </c>
      <c r="S187" s="8">
        <f t="shared" si="16"/>
        <v>1990</v>
      </c>
      <c r="T187" s="8">
        <v>1990</v>
      </c>
      <c r="U187" s="8">
        <f t="shared" si="17"/>
        <v>32</v>
      </c>
      <c r="V187" s="7">
        <v>33117</v>
      </c>
      <c r="W187" t="s">
        <v>83</v>
      </c>
      <c r="X187" s="2">
        <v>1.3720000000000001</v>
      </c>
      <c r="Y187" s="6">
        <f t="shared" si="18"/>
        <v>3.662475641333654E-2</v>
      </c>
      <c r="AA187">
        <v>189480</v>
      </c>
      <c r="AB187">
        <v>17366</v>
      </c>
      <c r="AD187" t="s">
        <v>1</v>
      </c>
      <c r="AE187">
        <v>38</v>
      </c>
      <c r="AF187">
        <v>9</v>
      </c>
      <c r="AH187" t="s">
        <v>1018</v>
      </c>
      <c r="AI187" t="s">
        <v>1017</v>
      </c>
      <c r="AK187" t="s">
        <v>1016</v>
      </c>
      <c r="AL187">
        <v>26</v>
      </c>
      <c r="AM187" s="5">
        <f t="shared" si="19"/>
        <v>0.8125</v>
      </c>
      <c r="AN187" s="4">
        <f t="shared" si="20"/>
        <v>1.2305944717909882E-3</v>
      </c>
      <c r="AO187" s="3"/>
      <c r="AP187">
        <v>0</v>
      </c>
      <c r="AR187" t="s">
        <v>0</v>
      </c>
      <c r="AT187" s="2" t="s">
        <v>13</v>
      </c>
      <c r="AU187" s="1">
        <f t="shared" si="21"/>
        <v>2.6006507830872874</v>
      </c>
      <c r="AV187" s="1">
        <f t="shared" si="22"/>
        <v>1.8927675442563765</v>
      </c>
      <c r="AW187" s="1">
        <f t="shared" si="23"/>
        <v>1.1848843054254654</v>
      </c>
    </row>
    <row r="188" spans="1:49" x14ac:dyDescent="0.2">
      <c r="A188">
        <v>186</v>
      </c>
      <c r="B188" t="s">
        <v>1015</v>
      </c>
      <c r="F188" t="s">
        <v>1014</v>
      </c>
      <c r="G188" t="s">
        <v>4</v>
      </c>
      <c r="H188" t="s">
        <v>3</v>
      </c>
      <c r="I188" t="s">
        <v>1013</v>
      </c>
      <c r="N188">
        <v>2</v>
      </c>
      <c r="O188" t="s">
        <v>1012</v>
      </c>
      <c r="P188" t="s">
        <v>1011</v>
      </c>
      <c r="Q188" t="s">
        <v>12</v>
      </c>
      <c r="R188" s="7">
        <v>33117</v>
      </c>
      <c r="S188" s="8">
        <f t="shared" si="16"/>
        <v>1990</v>
      </c>
      <c r="T188" s="8">
        <v>1990</v>
      </c>
      <c r="U188" s="8">
        <f t="shared" si="17"/>
        <v>32</v>
      </c>
      <c r="V188" s="7">
        <v>33117</v>
      </c>
      <c r="W188" t="s">
        <v>31</v>
      </c>
      <c r="X188" s="2">
        <v>0.14099999999999999</v>
      </c>
      <c r="Y188" s="6">
        <f t="shared" si="18"/>
        <v>3.7639144710498915E-3</v>
      </c>
      <c r="AA188">
        <v>402508</v>
      </c>
      <c r="AB188">
        <v>20868</v>
      </c>
      <c r="AD188" t="s">
        <v>1</v>
      </c>
      <c r="AE188">
        <v>45</v>
      </c>
      <c r="AF188">
        <v>10</v>
      </c>
      <c r="AH188" t="s">
        <v>224</v>
      </c>
      <c r="AI188" t="s">
        <v>1010</v>
      </c>
      <c r="AK188" t="s">
        <v>1009</v>
      </c>
      <c r="AL188">
        <v>0</v>
      </c>
      <c r="AM188" s="5">
        <f t="shared" si="19"/>
        <v>0</v>
      </c>
      <c r="AN188" s="4">
        <f t="shared" si="20"/>
        <v>0</v>
      </c>
      <c r="AO188" s="3"/>
      <c r="AP188">
        <v>0</v>
      </c>
      <c r="AR188" t="s">
        <v>0</v>
      </c>
      <c r="AT188" s="2" t="s">
        <v>13</v>
      </c>
      <c r="AU188" s="1">
        <f t="shared" si="21"/>
        <v>0.26347401297349238</v>
      </c>
      <c r="AV188" s="1">
        <f t="shared" si="22"/>
        <v>0.18819572355249459</v>
      </c>
      <c r="AW188" s="1">
        <f t="shared" si="23"/>
        <v>0.11291743413149673</v>
      </c>
    </row>
    <row r="189" spans="1:49" x14ac:dyDescent="0.2">
      <c r="A189">
        <v>187</v>
      </c>
      <c r="B189" t="s">
        <v>1008</v>
      </c>
      <c r="F189" t="s">
        <v>1007</v>
      </c>
      <c r="G189" t="s">
        <v>4</v>
      </c>
      <c r="H189" t="s">
        <v>3</v>
      </c>
      <c r="I189" t="s">
        <v>1006</v>
      </c>
      <c r="N189">
        <v>1</v>
      </c>
      <c r="O189" t="s">
        <v>1005</v>
      </c>
      <c r="P189">
        <v>7101878744</v>
      </c>
      <c r="R189" s="7">
        <v>33117</v>
      </c>
      <c r="S189" s="8">
        <f t="shared" si="16"/>
        <v>1990</v>
      </c>
      <c r="T189" s="8">
        <v>1990</v>
      </c>
      <c r="U189" s="8">
        <f t="shared" si="17"/>
        <v>32</v>
      </c>
      <c r="V189" s="7">
        <v>33117</v>
      </c>
      <c r="W189" t="s">
        <v>31</v>
      </c>
      <c r="X189" s="2">
        <v>0.14099999999999999</v>
      </c>
      <c r="Y189" s="6">
        <f t="shared" si="18"/>
        <v>3.7639144710498915E-3</v>
      </c>
      <c r="AA189">
        <v>402508</v>
      </c>
      <c r="AB189">
        <v>20868</v>
      </c>
      <c r="AD189" t="s">
        <v>1</v>
      </c>
      <c r="AE189">
        <v>45</v>
      </c>
      <c r="AF189">
        <v>10</v>
      </c>
      <c r="AH189" t="s">
        <v>253</v>
      </c>
      <c r="AI189" t="s">
        <v>1004</v>
      </c>
      <c r="AK189" t="s">
        <v>1003</v>
      </c>
      <c r="AL189">
        <v>0</v>
      </c>
      <c r="AM189" s="5">
        <f t="shared" si="19"/>
        <v>0</v>
      </c>
      <c r="AN189" s="4">
        <f t="shared" si="20"/>
        <v>0</v>
      </c>
      <c r="AO189" s="3"/>
      <c r="AP189">
        <v>0</v>
      </c>
      <c r="AR189" t="s">
        <v>0</v>
      </c>
      <c r="AT189" s="2" t="s">
        <v>13</v>
      </c>
      <c r="AU189" s="1">
        <f t="shared" si="21"/>
        <v>0.26347401297349238</v>
      </c>
      <c r="AV189" s="1">
        <f t="shared" si="22"/>
        <v>0.18819572355249459</v>
      </c>
      <c r="AW189" s="1">
        <f t="shared" si="23"/>
        <v>0.11291743413149673</v>
      </c>
    </row>
    <row r="190" spans="1:49" x14ac:dyDescent="0.2">
      <c r="A190">
        <v>188</v>
      </c>
      <c r="B190" t="s">
        <v>1002</v>
      </c>
      <c r="F190" t="s">
        <v>1001</v>
      </c>
      <c r="G190" t="s">
        <v>4</v>
      </c>
      <c r="H190" t="s">
        <v>3</v>
      </c>
      <c r="I190" t="s">
        <v>1000</v>
      </c>
      <c r="N190">
        <v>5</v>
      </c>
      <c r="O190" t="s">
        <v>999</v>
      </c>
      <c r="P190" t="s">
        <v>998</v>
      </c>
      <c r="Q190" t="s">
        <v>179</v>
      </c>
      <c r="R190" s="7">
        <v>33117</v>
      </c>
      <c r="S190" s="8">
        <f t="shared" si="16"/>
        <v>1990</v>
      </c>
      <c r="T190" s="8">
        <v>1990</v>
      </c>
      <c r="U190" s="8">
        <f t="shared" si="17"/>
        <v>32</v>
      </c>
      <c r="V190" s="7">
        <v>33117</v>
      </c>
      <c r="W190" t="s">
        <v>997</v>
      </c>
      <c r="X190" s="2" t="s">
        <v>13</v>
      </c>
      <c r="Y190" s="6" t="e">
        <f t="shared" si="18"/>
        <v>#VALUE!</v>
      </c>
      <c r="AA190">
        <v>959669</v>
      </c>
      <c r="AB190">
        <v>94658</v>
      </c>
      <c r="AD190" t="s">
        <v>1</v>
      </c>
      <c r="AE190">
        <v>20</v>
      </c>
      <c r="AF190">
        <v>2</v>
      </c>
      <c r="AH190" t="s">
        <v>996</v>
      </c>
      <c r="AI190" t="s">
        <v>995</v>
      </c>
      <c r="AK190" t="s">
        <v>994</v>
      </c>
      <c r="AL190">
        <v>2</v>
      </c>
      <c r="AM190" s="5">
        <f t="shared" si="19"/>
        <v>6.25E-2</v>
      </c>
      <c r="AN190" s="4">
        <f t="shared" si="20"/>
        <v>9.46611132146914E-5</v>
      </c>
      <c r="AO190" s="3"/>
      <c r="AP190">
        <v>0</v>
      </c>
      <c r="AR190" t="s">
        <v>0</v>
      </c>
      <c r="AT190" s="2" t="s">
        <v>13</v>
      </c>
      <c r="AU190" s="1" t="e">
        <f t="shared" si="21"/>
        <v>#VALUE!</v>
      </c>
      <c r="AV190" s="1" t="e">
        <f t="shared" si="22"/>
        <v>#VALUE!</v>
      </c>
      <c r="AW190" s="1" t="e">
        <f t="shared" si="23"/>
        <v>#VALUE!</v>
      </c>
    </row>
    <row r="191" spans="1:49" x14ac:dyDescent="0.2">
      <c r="A191">
        <v>189</v>
      </c>
      <c r="B191" t="s">
        <v>993</v>
      </c>
      <c r="F191" t="s">
        <v>992</v>
      </c>
      <c r="G191" t="s">
        <v>4</v>
      </c>
      <c r="H191" t="s">
        <v>3</v>
      </c>
      <c r="I191" t="s">
        <v>991</v>
      </c>
      <c r="N191">
        <v>2</v>
      </c>
      <c r="O191" t="s">
        <v>990</v>
      </c>
      <c r="P191" t="s">
        <v>989</v>
      </c>
      <c r="Q191" t="s">
        <v>12</v>
      </c>
      <c r="R191" s="7">
        <v>33117</v>
      </c>
      <c r="S191" s="8">
        <f t="shared" si="16"/>
        <v>1990</v>
      </c>
      <c r="T191" s="8">
        <v>1990</v>
      </c>
      <c r="U191" s="8">
        <f t="shared" si="17"/>
        <v>32</v>
      </c>
      <c r="V191" s="7">
        <v>33117</v>
      </c>
      <c r="W191" t="s">
        <v>31</v>
      </c>
      <c r="X191" s="2">
        <v>0.14099999999999999</v>
      </c>
      <c r="Y191" s="6">
        <f t="shared" si="18"/>
        <v>3.7639144710498915E-3</v>
      </c>
      <c r="AA191">
        <v>402508</v>
      </c>
      <c r="AB191">
        <v>20868</v>
      </c>
      <c r="AD191" t="s">
        <v>1</v>
      </c>
      <c r="AE191">
        <v>45</v>
      </c>
      <c r="AF191">
        <v>10</v>
      </c>
      <c r="AH191" t="s">
        <v>988</v>
      </c>
      <c r="AI191" t="s">
        <v>987</v>
      </c>
      <c r="AK191" t="s">
        <v>986</v>
      </c>
      <c r="AL191">
        <v>0</v>
      </c>
      <c r="AM191" s="5">
        <f t="shared" si="19"/>
        <v>0</v>
      </c>
      <c r="AN191" s="4">
        <f t="shared" si="20"/>
        <v>0</v>
      </c>
      <c r="AO191" s="3"/>
      <c r="AP191">
        <v>0</v>
      </c>
      <c r="AR191" t="s">
        <v>0</v>
      </c>
      <c r="AT191" s="2" t="s">
        <v>13</v>
      </c>
      <c r="AU191" s="1">
        <f t="shared" si="21"/>
        <v>0.26347401297349238</v>
      </c>
      <c r="AV191" s="1">
        <f t="shared" si="22"/>
        <v>0.18819572355249459</v>
      </c>
      <c r="AW191" s="1">
        <f t="shared" si="23"/>
        <v>0.11291743413149673</v>
      </c>
    </row>
    <row r="192" spans="1:49" x14ac:dyDescent="0.2">
      <c r="A192">
        <v>190</v>
      </c>
      <c r="B192" t="s">
        <v>985</v>
      </c>
      <c r="F192" t="s">
        <v>984</v>
      </c>
      <c r="G192" t="s">
        <v>4</v>
      </c>
      <c r="H192" t="s">
        <v>3</v>
      </c>
      <c r="I192" t="s">
        <v>983</v>
      </c>
      <c r="N192">
        <v>5</v>
      </c>
      <c r="O192" t="s">
        <v>982</v>
      </c>
      <c r="P192" t="s">
        <v>981</v>
      </c>
      <c r="Q192" t="s">
        <v>179</v>
      </c>
      <c r="R192" s="7">
        <v>33117</v>
      </c>
      <c r="S192" s="8">
        <f t="shared" si="16"/>
        <v>1990</v>
      </c>
      <c r="T192" s="8">
        <v>1990</v>
      </c>
      <c r="U192" s="8">
        <f t="shared" si="17"/>
        <v>32</v>
      </c>
      <c r="V192" s="7">
        <v>33117</v>
      </c>
      <c r="W192" t="s">
        <v>31</v>
      </c>
      <c r="X192" s="2">
        <v>0.14099999999999999</v>
      </c>
      <c r="Y192" s="6">
        <f t="shared" si="18"/>
        <v>3.7639144710498915E-3</v>
      </c>
      <c r="AA192">
        <v>402508</v>
      </c>
      <c r="AB192">
        <v>20868</v>
      </c>
      <c r="AD192" t="s">
        <v>1</v>
      </c>
      <c r="AE192">
        <v>45</v>
      </c>
      <c r="AF192">
        <v>10</v>
      </c>
      <c r="AH192" t="s">
        <v>980</v>
      </c>
      <c r="AI192" t="s">
        <v>979</v>
      </c>
      <c r="AK192" t="s">
        <v>978</v>
      </c>
      <c r="AL192">
        <v>0</v>
      </c>
      <c r="AM192" s="5">
        <f t="shared" si="19"/>
        <v>0</v>
      </c>
      <c r="AN192" s="4">
        <f t="shared" si="20"/>
        <v>0</v>
      </c>
      <c r="AO192" s="3"/>
      <c r="AP192">
        <v>0</v>
      </c>
      <c r="AR192" t="s">
        <v>0</v>
      </c>
      <c r="AT192" s="2" t="s">
        <v>13</v>
      </c>
      <c r="AU192" s="1">
        <f t="shared" si="21"/>
        <v>0.26347401297349238</v>
      </c>
      <c r="AV192" s="1">
        <f t="shared" si="22"/>
        <v>0.18819572355249459</v>
      </c>
      <c r="AW192" s="1">
        <f t="shared" si="23"/>
        <v>0.11291743413149673</v>
      </c>
    </row>
    <row r="193" spans="1:49" x14ac:dyDescent="0.2">
      <c r="A193">
        <v>191</v>
      </c>
      <c r="B193" t="s">
        <v>977</v>
      </c>
      <c r="F193" t="s">
        <v>976</v>
      </c>
      <c r="G193" t="s">
        <v>4</v>
      </c>
      <c r="H193" t="s">
        <v>3</v>
      </c>
      <c r="I193" t="s">
        <v>975</v>
      </c>
      <c r="N193">
        <v>4</v>
      </c>
      <c r="O193" t="s">
        <v>974</v>
      </c>
      <c r="P193" t="s">
        <v>973</v>
      </c>
      <c r="Q193" t="s">
        <v>26</v>
      </c>
      <c r="R193" s="7">
        <v>33117</v>
      </c>
      <c r="S193" s="8">
        <f t="shared" si="16"/>
        <v>1990</v>
      </c>
      <c r="T193" s="8">
        <v>1990</v>
      </c>
      <c r="U193" s="8">
        <f t="shared" si="17"/>
        <v>32</v>
      </c>
      <c r="V193" s="7">
        <v>33117</v>
      </c>
      <c r="W193" t="s">
        <v>31</v>
      </c>
      <c r="X193" s="2">
        <v>0.14099999999999999</v>
      </c>
      <c r="Y193" s="6">
        <f t="shared" si="18"/>
        <v>3.7639144710498915E-3</v>
      </c>
      <c r="AA193">
        <v>402508</v>
      </c>
      <c r="AB193">
        <v>20868</v>
      </c>
      <c r="AD193" t="s">
        <v>1</v>
      </c>
      <c r="AE193">
        <v>45</v>
      </c>
      <c r="AF193">
        <v>10</v>
      </c>
      <c r="AH193" s="9">
        <v>44348</v>
      </c>
      <c r="AI193" t="s">
        <v>972</v>
      </c>
      <c r="AK193" t="s">
        <v>971</v>
      </c>
      <c r="AL193">
        <v>0</v>
      </c>
      <c r="AM193" s="5">
        <f t="shared" si="19"/>
        <v>0</v>
      </c>
      <c r="AN193" s="4">
        <f t="shared" si="20"/>
        <v>0</v>
      </c>
      <c r="AO193" s="3"/>
      <c r="AP193">
        <v>0</v>
      </c>
      <c r="AR193" t="s">
        <v>0</v>
      </c>
      <c r="AT193" s="2" t="s">
        <v>13</v>
      </c>
      <c r="AU193" s="1">
        <f t="shared" si="21"/>
        <v>0.26347401297349238</v>
      </c>
      <c r="AV193" s="1">
        <f t="shared" si="22"/>
        <v>0.18819572355249459</v>
      </c>
      <c r="AW193" s="1">
        <f t="shared" si="23"/>
        <v>0.11291743413149673</v>
      </c>
    </row>
    <row r="194" spans="1:49" x14ac:dyDescent="0.2">
      <c r="A194">
        <v>192</v>
      </c>
      <c r="B194" t="s">
        <v>970</v>
      </c>
      <c r="F194" t="s">
        <v>969</v>
      </c>
      <c r="G194" t="s">
        <v>4</v>
      </c>
      <c r="H194" t="s">
        <v>3</v>
      </c>
      <c r="I194" t="s">
        <v>968</v>
      </c>
      <c r="N194">
        <v>3</v>
      </c>
      <c r="O194" t="s">
        <v>967</v>
      </c>
      <c r="P194" t="s">
        <v>966</v>
      </c>
      <c r="Q194" t="s">
        <v>32</v>
      </c>
      <c r="R194" s="7">
        <v>33117</v>
      </c>
      <c r="S194" s="8">
        <f t="shared" ref="S194:S257" si="24">YEAR(R194)</f>
        <v>1990</v>
      </c>
      <c r="T194" s="8">
        <v>1990</v>
      </c>
      <c r="U194" s="8">
        <f t="shared" ref="U194:U257" si="25">2022-T194</f>
        <v>32</v>
      </c>
      <c r="V194" s="7">
        <v>33117</v>
      </c>
      <c r="W194" t="s">
        <v>31</v>
      </c>
      <c r="X194" s="2">
        <v>0.14099999999999999</v>
      </c>
      <c r="Y194" s="6">
        <f t="shared" ref="Y194:Y257" si="26">(X194-$Z$4)/($Z$3-$Z$4)</f>
        <v>3.7639144710498915E-3</v>
      </c>
      <c r="AA194">
        <v>402508</v>
      </c>
      <c r="AB194">
        <v>20868</v>
      </c>
      <c r="AD194" t="s">
        <v>1</v>
      </c>
      <c r="AE194">
        <v>45</v>
      </c>
      <c r="AF194">
        <v>10</v>
      </c>
      <c r="AH194" t="s">
        <v>965</v>
      </c>
      <c r="AI194" t="s">
        <v>964</v>
      </c>
      <c r="AK194" t="s">
        <v>963</v>
      </c>
      <c r="AL194">
        <v>0</v>
      </c>
      <c r="AM194" s="5">
        <f t="shared" ref="AM194:AM257" si="27">AL194/U194</f>
        <v>0</v>
      </c>
      <c r="AN194" s="4">
        <f t="shared" ref="AN194:AN257" si="28">(AM194-$AO$4)/($AO$3-$AO$4)</f>
        <v>0</v>
      </c>
      <c r="AO194" s="3"/>
      <c r="AP194">
        <v>0</v>
      </c>
      <c r="AR194" t="s">
        <v>0</v>
      </c>
      <c r="AT194" s="2" t="s">
        <v>13</v>
      </c>
      <c r="AU194" s="1">
        <f t="shared" ref="AU194:AU257" si="29">(Y194*0.7+AN194*0.3)*100</f>
        <v>0.26347401297349238</v>
      </c>
      <c r="AV194" s="1">
        <f t="shared" ref="AV194:AV257" si="30">(Y194*0.5+AN194*0.5)*100</f>
        <v>0.18819572355249459</v>
      </c>
      <c r="AW194" s="1">
        <f t="shared" ref="AW194:AW257" si="31">(Y194*0.3+AN194*0.7)*100</f>
        <v>0.11291743413149673</v>
      </c>
    </row>
    <row r="195" spans="1:49" x14ac:dyDescent="0.2">
      <c r="A195">
        <v>193</v>
      </c>
      <c r="B195" t="s">
        <v>962</v>
      </c>
      <c r="F195" t="s">
        <v>961</v>
      </c>
      <c r="G195" t="s">
        <v>4</v>
      </c>
      <c r="H195" t="s">
        <v>3</v>
      </c>
      <c r="I195" t="s">
        <v>288</v>
      </c>
      <c r="N195">
        <v>2</v>
      </c>
      <c r="O195" t="s">
        <v>960</v>
      </c>
      <c r="P195" t="s">
        <v>959</v>
      </c>
      <c r="Q195" t="s">
        <v>12</v>
      </c>
      <c r="R195" s="7">
        <v>33117</v>
      </c>
      <c r="S195" s="8">
        <f t="shared" si="24"/>
        <v>1990</v>
      </c>
      <c r="T195" s="8">
        <v>1990</v>
      </c>
      <c r="U195" s="8">
        <f t="shared" si="25"/>
        <v>32</v>
      </c>
      <c r="V195" s="7">
        <v>33117</v>
      </c>
      <c r="W195" t="s">
        <v>31</v>
      </c>
      <c r="X195" s="2">
        <v>0.14099999999999999</v>
      </c>
      <c r="Y195" s="6">
        <f t="shared" si="26"/>
        <v>3.7639144710498915E-3</v>
      </c>
      <c r="AA195">
        <v>402508</v>
      </c>
      <c r="AB195">
        <v>20868</v>
      </c>
      <c r="AD195" t="s">
        <v>1</v>
      </c>
      <c r="AE195">
        <v>45</v>
      </c>
      <c r="AF195">
        <v>10</v>
      </c>
      <c r="AH195" t="s">
        <v>958</v>
      </c>
      <c r="AI195" t="s">
        <v>957</v>
      </c>
      <c r="AK195" t="s">
        <v>956</v>
      </c>
      <c r="AL195">
        <v>0</v>
      </c>
      <c r="AM195" s="5">
        <f t="shared" si="27"/>
        <v>0</v>
      </c>
      <c r="AN195" s="4">
        <f t="shared" si="28"/>
        <v>0</v>
      </c>
      <c r="AO195" s="3"/>
      <c r="AP195">
        <v>0</v>
      </c>
      <c r="AR195" t="s">
        <v>0</v>
      </c>
      <c r="AT195" s="2" t="s">
        <v>13</v>
      </c>
      <c r="AU195" s="1">
        <f t="shared" si="29"/>
        <v>0.26347401297349238</v>
      </c>
      <c r="AV195" s="1">
        <f t="shared" si="30"/>
        <v>0.18819572355249459</v>
      </c>
      <c r="AW195" s="1">
        <f t="shared" si="31"/>
        <v>0.11291743413149673</v>
      </c>
    </row>
    <row r="196" spans="1:49" x14ac:dyDescent="0.2">
      <c r="A196">
        <v>194</v>
      </c>
      <c r="B196" t="s">
        <v>955</v>
      </c>
      <c r="C196" t="s">
        <v>954</v>
      </c>
      <c r="F196" t="s">
        <v>953</v>
      </c>
      <c r="G196" t="s">
        <v>4</v>
      </c>
      <c r="H196" t="s">
        <v>3</v>
      </c>
      <c r="I196" t="s">
        <v>93</v>
      </c>
      <c r="J196">
        <v>60005510</v>
      </c>
      <c r="K196" t="s">
        <v>92</v>
      </c>
      <c r="L196" t="s">
        <v>91</v>
      </c>
      <c r="M196" t="s">
        <v>90</v>
      </c>
      <c r="N196">
        <v>1</v>
      </c>
      <c r="O196" t="s">
        <v>89</v>
      </c>
      <c r="P196">
        <v>7102842938</v>
      </c>
      <c r="Q196">
        <v>60005510</v>
      </c>
      <c r="R196" s="7">
        <v>33117</v>
      </c>
      <c r="S196" s="8">
        <f t="shared" si="24"/>
        <v>1990</v>
      </c>
      <c r="T196" s="8">
        <v>1990</v>
      </c>
      <c r="U196" s="8">
        <f t="shared" si="25"/>
        <v>32</v>
      </c>
      <c r="V196" s="7">
        <v>33117</v>
      </c>
      <c r="W196" t="s">
        <v>952</v>
      </c>
      <c r="X196" s="2">
        <v>1.109</v>
      </c>
      <c r="Y196" s="6">
        <f t="shared" si="26"/>
        <v>2.9604121619817944E-2</v>
      </c>
      <c r="AA196">
        <v>223239</v>
      </c>
      <c r="AB196">
        <v>23966</v>
      </c>
      <c r="AC196">
        <v>15732878</v>
      </c>
      <c r="AD196" t="s">
        <v>1</v>
      </c>
      <c r="AE196">
        <v>66</v>
      </c>
      <c r="AF196">
        <v>3</v>
      </c>
      <c r="AH196" t="s">
        <v>951</v>
      </c>
      <c r="AI196" t="s">
        <v>950</v>
      </c>
      <c r="AJ196" t="s">
        <v>949</v>
      </c>
      <c r="AK196" t="s">
        <v>948</v>
      </c>
      <c r="AL196">
        <v>1</v>
      </c>
      <c r="AM196" s="5">
        <f t="shared" si="27"/>
        <v>3.125E-2</v>
      </c>
      <c r="AN196" s="4">
        <f t="shared" si="28"/>
        <v>4.73305566073457E-5</v>
      </c>
      <c r="AO196" s="3"/>
      <c r="AP196">
        <v>0</v>
      </c>
      <c r="AR196" t="s">
        <v>0</v>
      </c>
      <c r="AT196" s="2" t="s">
        <v>13</v>
      </c>
      <c r="AU196" s="1">
        <f t="shared" si="29"/>
        <v>2.0737084300854765</v>
      </c>
      <c r="AV196" s="1">
        <f t="shared" si="30"/>
        <v>1.4825726088212645</v>
      </c>
      <c r="AW196" s="1">
        <f t="shared" si="31"/>
        <v>0.89143678755705258</v>
      </c>
    </row>
    <row r="197" spans="1:49" x14ac:dyDescent="0.2">
      <c r="A197">
        <v>195</v>
      </c>
      <c r="B197" t="s">
        <v>947</v>
      </c>
      <c r="C197" t="s">
        <v>946</v>
      </c>
      <c r="F197" t="s">
        <v>945</v>
      </c>
      <c r="G197" t="s">
        <v>4</v>
      </c>
      <c r="H197" t="s">
        <v>3</v>
      </c>
      <c r="I197" t="s">
        <v>287</v>
      </c>
      <c r="J197">
        <v>60019118</v>
      </c>
      <c r="K197" t="s">
        <v>286</v>
      </c>
      <c r="L197" t="s">
        <v>285</v>
      </c>
      <c r="M197" t="s">
        <v>59</v>
      </c>
      <c r="N197">
        <v>2</v>
      </c>
      <c r="O197" t="s">
        <v>944</v>
      </c>
      <c r="P197" t="s">
        <v>943</v>
      </c>
      <c r="Q197" t="s">
        <v>284</v>
      </c>
      <c r="R197" s="7">
        <v>33117</v>
      </c>
      <c r="S197" s="8">
        <f t="shared" si="24"/>
        <v>1990</v>
      </c>
      <c r="T197" s="8">
        <v>1990</v>
      </c>
      <c r="U197" s="8">
        <f t="shared" si="25"/>
        <v>32</v>
      </c>
      <c r="V197" s="7">
        <v>33117</v>
      </c>
      <c r="W197" t="s">
        <v>239</v>
      </c>
      <c r="X197" s="2">
        <v>0.61499999999999999</v>
      </c>
      <c r="Y197" s="6">
        <f t="shared" si="26"/>
        <v>1.6417073756706976E-2</v>
      </c>
      <c r="AA197">
        <v>1959271</v>
      </c>
      <c r="AB197">
        <v>12141</v>
      </c>
      <c r="AC197">
        <v>15729559</v>
      </c>
      <c r="AD197" t="s">
        <v>1</v>
      </c>
      <c r="AE197">
        <v>11</v>
      </c>
      <c r="AF197">
        <v>9</v>
      </c>
      <c r="AH197" t="s">
        <v>942</v>
      </c>
      <c r="AI197" t="s">
        <v>941</v>
      </c>
      <c r="AK197" t="s">
        <v>940</v>
      </c>
      <c r="AL197">
        <v>5</v>
      </c>
      <c r="AM197" s="5">
        <f t="shared" si="27"/>
        <v>0.15625</v>
      </c>
      <c r="AN197" s="4">
        <f t="shared" si="28"/>
        <v>2.3665278303672851E-4</v>
      </c>
      <c r="AO197" s="3"/>
      <c r="AP197">
        <v>0</v>
      </c>
      <c r="AR197" t="s">
        <v>0</v>
      </c>
      <c r="AT197" s="2" t="s">
        <v>13</v>
      </c>
      <c r="AU197" s="1">
        <f t="shared" si="29"/>
        <v>1.1562947464605899</v>
      </c>
      <c r="AV197" s="1">
        <f t="shared" si="30"/>
        <v>0.83268632698718525</v>
      </c>
      <c r="AW197" s="1">
        <f t="shared" si="31"/>
        <v>0.50907790751378024</v>
      </c>
    </row>
    <row r="198" spans="1:49" x14ac:dyDescent="0.2">
      <c r="A198">
        <v>196</v>
      </c>
      <c r="B198" t="s">
        <v>939</v>
      </c>
      <c r="F198" t="s">
        <v>938</v>
      </c>
      <c r="G198" t="s">
        <v>4</v>
      </c>
      <c r="H198" t="s">
        <v>3</v>
      </c>
      <c r="I198" t="s">
        <v>937</v>
      </c>
      <c r="N198">
        <v>3</v>
      </c>
      <c r="O198" t="s">
        <v>936</v>
      </c>
      <c r="P198" t="s">
        <v>935</v>
      </c>
      <c r="Q198" t="s">
        <v>32</v>
      </c>
      <c r="R198" s="7">
        <v>33117</v>
      </c>
      <c r="S198" s="8">
        <f t="shared" si="24"/>
        <v>1990</v>
      </c>
      <c r="T198" s="8">
        <v>1990</v>
      </c>
      <c r="U198" s="8">
        <f t="shared" si="25"/>
        <v>32</v>
      </c>
      <c r="V198" s="7">
        <v>33117</v>
      </c>
      <c r="W198" t="s">
        <v>934</v>
      </c>
      <c r="X198" s="2" t="s">
        <v>13</v>
      </c>
      <c r="Y198" s="6" t="e">
        <f t="shared" si="26"/>
        <v>#VALUE!</v>
      </c>
      <c r="AA198">
        <v>137871</v>
      </c>
      <c r="AB198">
        <v>33231</v>
      </c>
      <c r="AD198" t="s">
        <v>1</v>
      </c>
      <c r="AE198">
        <v>25</v>
      </c>
      <c r="AF198">
        <v>1</v>
      </c>
      <c r="AH198" t="s">
        <v>933</v>
      </c>
      <c r="AI198" t="s">
        <v>932</v>
      </c>
      <c r="AK198" t="s">
        <v>931</v>
      </c>
      <c r="AL198">
        <v>1</v>
      </c>
      <c r="AM198" s="5">
        <f t="shared" si="27"/>
        <v>3.125E-2</v>
      </c>
      <c r="AN198" s="4">
        <f t="shared" si="28"/>
        <v>4.73305566073457E-5</v>
      </c>
      <c r="AO198" s="3"/>
      <c r="AP198">
        <v>0</v>
      </c>
      <c r="AR198" t="s">
        <v>0</v>
      </c>
      <c r="AT198" s="2" t="s">
        <v>13</v>
      </c>
      <c r="AU198" s="1" t="e">
        <f t="shared" si="29"/>
        <v>#VALUE!</v>
      </c>
      <c r="AV198" s="1" t="e">
        <f t="shared" si="30"/>
        <v>#VALUE!</v>
      </c>
      <c r="AW198" s="1" t="e">
        <f t="shared" si="31"/>
        <v>#VALUE!</v>
      </c>
    </row>
    <row r="199" spans="1:49" x14ac:dyDescent="0.2">
      <c r="A199">
        <v>197</v>
      </c>
      <c r="B199" t="s">
        <v>930</v>
      </c>
      <c r="C199" t="s">
        <v>929</v>
      </c>
      <c r="F199" t="s">
        <v>928</v>
      </c>
      <c r="G199" t="s">
        <v>4</v>
      </c>
      <c r="H199" t="s">
        <v>3</v>
      </c>
      <c r="I199" t="s">
        <v>927</v>
      </c>
      <c r="J199">
        <v>60020633</v>
      </c>
      <c r="K199" t="s">
        <v>926</v>
      </c>
      <c r="L199" t="s">
        <v>925</v>
      </c>
      <c r="M199" t="s">
        <v>19</v>
      </c>
      <c r="N199">
        <v>2</v>
      </c>
      <c r="O199" t="s">
        <v>924</v>
      </c>
      <c r="P199" t="s">
        <v>923</v>
      </c>
      <c r="Q199" t="s">
        <v>922</v>
      </c>
      <c r="R199" s="7">
        <v>33117</v>
      </c>
      <c r="S199" s="8">
        <f t="shared" si="24"/>
        <v>1990</v>
      </c>
      <c r="T199" s="8">
        <v>1990</v>
      </c>
      <c r="U199" s="8">
        <f t="shared" si="25"/>
        <v>32</v>
      </c>
      <c r="V199" s="7">
        <v>33117</v>
      </c>
      <c r="W199" t="s">
        <v>85</v>
      </c>
      <c r="X199" s="2">
        <v>0.375</v>
      </c>
      <c r="Y199" s="6">
        <f t="shared" si="26"/>
        <v>1.0010410827260351E-2</v>
      </c>
      <c r="AA199">
        <v>135194</v>
      </c>
      <c r="AB199">
        <v>24918</v>
      </c>
      <c r="AD199" t="s">
        <v>1</v>
      </c>
      <c r="AE199">
        <v>26</v>
      </c>
      <c r="AF199">
        <v>15</v>
      </c>
      <c r="AH199" t="s">
        <v>921</v>
      </c>
      <c r="AI199" t="s">
        <v>920</v>
      </c>
      <c r="AJ199" t="s">
        <v>919</v>
      </c>
      <c r="AK199" t="s">
        <v>918</v>
      </c>
      <c r="AL199">
        <v>11</v>
      </c>
      <c r="AM199" s="5">
        <f t="shared" si="27"/>
        <v>0.34375</v>
      </c>
      <c r="AN199" s="4">
        <f t="shared" si="28"/>
        <v>5.2063612268080268E-4</v>
      </c>
      <c r="AO199" s="3"/>
      <c r="AP199">
        <v>0</v>
      </c>
      <c r="AR199" t="s">
        <v>0</v>
      </c>
      <c r="AT199" s="2">
        <v>1.3140000000000001</v>
      </c>
      <c r="AU199" s="1">
        <f t="shared" si="29"/>
        <v>0.71634784158864873</v>
      </c>
      <c r="AV199" s="1">
        <f t="shared" si="30"/>
        <v>0.5265523474970577</v>
      </c>
      <c r="AW199" s="1">
        <f t="shared" si="31"/>
        <v>0.33675685340546668</v>
      </c>
    </row>
    <row r="200" spans="1:49" x14ac:dyDescent="0.2">
      <c r="A200">
        <v>198</v>
      </c>
      <c r="B200" t="s">
        <v>917</v>
      </c>
      <c r="C200" t="s">
        <v>916</v>
      </c>
      <c r="F200" t="s">
        <v>915</v>
      </c>
      <c r="G200" t="s">
        <v>4</v>
      </c>
      <c r="H200" t="s">
        <v>3</v>
      </c>
      <c r="I200" t="s">
        <v>914</v>
      </c>
      <c r="J200">
        <v>60011885</v>
      </c>
      <c r="K200" t="s">
        <v>913</v>
      </c>
      <c r="L200" t="s">
        <v>912</v>
      </c>
      <c r="M200" t="s">
        <v>23</v>
      </c>
      <c r="N200">
        <v>1</v>
      </c>
      <c r="O200" t="s">
        <v>911</v>
      </c>
      <c r="P200">
        <v>57213960204</v>
      </c>
      <c r="Q200">
        <v>60011885</v>
      </c>
      <c r="R200" s="7">
        <v>33117</v>
      </c>
      <c r="S200" s="8">
        <f t="shared" si="24"/>
        <v>1990</v>
      </c>
      <c r="T200" s="8">
        <v>1990</v>
      </c>
      <c r="U200" s="8">
        <f t="shared" si="25"/>
        <v>32</v>
      </c>
      <c r="V200" s="7">
        <v>33117</v>
      </c>
      <c r="W200" t="s">
        <v>85</v>
      </c>
      <c r="X200" s="2">
        <v>0.375</v>
      </c>
      <c r="Y200" s="6">
        <f t="shared" si="26"/>
        <v>1.0010410827260351E-2</v>
      </c>
      <c r="AA200">
        <v>135194</v>
      </c>
      <c r="AB200">
        <v>24918</v>
      </c>
      <c r="AD200" t="s">
        <v>1</v>
      </c>
      <c r="AE200">
        <v>26</v>
      </c>
      <c r="AF200">
        <v>15</v>
      </c>
      <c r="AH200" t="s">
        <v>910</v>
      </c>
      <c r="AI200" t="s">
        <v>909</v>
      </c>
      <c r="AJ200" t="s">
        <v>908</v>
      </c>
      <c r="AK200" t="s">
        <v>907</v>
      </c>
      <c r="AL200">
        <v>0</v>
      </c>
      <c r="AM200" s="5">
        <f t="shared" si="27"/>
        <v>0</v>
      </c>
      <c r="AN200" s="4">
        <f t="shared" si="28"/>
        <v>0</v>
      </c>
      <c r="AO200" s="3"/>
      <c r="AP200">
        <v>0</v>
      </c>
      <c r="AR200" t="s">
        <v>0</v>
      </c>
      <c r="AT200" s="2">
        <v>1.3140000000000001</v>
      </c>
      <c r="AU200" s="1">
        <f t="shared" si="29"/>
        <v>0.70072875790822453</v>
      </c>
      <c r="AV200" s="1">
        <f t="shared" si="30"/>
        <v>0.5005205413630176</v>
      </c>
      <c r="AW200" s="1">
        <f t="shared" si="31"/>
        <v>0.30031232481781051</v>
      </c>
    </row>
    <row r="201" spans="1:49" x14ac:dyDescent="0.2">
      <c r="A201">
        <v>199</v>
      </c>
      <c r="B201" t="s">
        <v>906</v>
      </c>
      <c r="C201" t="s">
        <v>905</v>
      </c>
      <c r="F201" t="s">
        <v>904</v>
      </c>
      <c r="G201" t="s">
        <v>4</v>
      </c>
      <c r="H201" t="s">
        <v>3</v>
      </c>
      <c r="I201" t="s">
        <v>165</v>
      </c>
      <c r="J201" t="s">
        <v>164</v>
      </c>
      <c r="K201" t="s">
        <v>163</v>
      </c>
      <c r="L201" t="s">
        <v>162</v>
      </c>
      <c r="M201" t="s">
        <v>161</v>
      </c>
      <c r="N201">
        <v>2</v>
      </c>
      <c r="O201" t="s">
        <v>903</v>
      </c>
      <c r="P201" t="s">
        <v>902</v>
      </c>
      <c r="Q201" t="s">
        <v>901</v>
      </c>
      <c r="R201" s="7">
        <v>33117</v>
      </c>
      <c r="S201" s="8">
        <f t="shared" si="24"/>
        <v>1990</v>
      </c>
      <c r="T201" s="8">
        <v>1990</v>
      </c>
      <c r="U201" s="8">
        <f t="shared" si="25"/>
        <v>32</v>
      </c>
      <c r="V201" s="7">
        <v>33117</v>
      </c>
      <c r="W201" t="s">
        <v>85</v>
      </c>
      <c r="X201" s="2">
        <v>0.375</v>
      </c>
      <c r="Y201" s="6">
        <f t="shared" si="26"/>
        <v>1.0010410827260351E-2</v>
      </c>
      <c r="AA201">
        <v>135194</v>
      </c>
      <c r="AB201">
        <v>24918</v>
      </c>
      <c r="AD201" t="s">
        <v>1</v>
      </c>
      <c r="AE201">
        <v>26</v>
      </c>
      <c r="AF201">
        <v>13</v>
      </c>
      <c r="AH201" t="s">
        <v>900</v>
      </c>
      <c r="AI201" t="s">
        <v>899</v>
      </c>
      <c r="AJ201" t="s">
        <v>898</v>
      </c>
      <c r="AK201" t="s">
        <v>897</v>
      </c>
      <c r="AL201">
        <v>8</v>
      </c>
      <c r="AM201" s="5">
        <f t="shared" si="27"/>
        <v>0.25</v>
      </c>
      <c r="AN201" s="4">
        <f t="shared" si="28"/>
        <v>3.786444528587656E-4</v>
      </c>
      <c r="AO201" s="3"/>
      <c r="AP201">
        <v>0</v>
      </c>
      <c r="AR201" t="s">
        <v>0</v>
      </c>
      <c r="AT201" s="2">
        <v>1.3140000000000001</v>
      </c>
      <c r="AU201" s="1">
        <f t="shared" si="29"/>
        <v>0.71208809149398755</v>
      </c>
      <c r="AV201" s="1">
        <f t="shared" si="30"/>
        <v>0.51945276400595586</v>
      </c>
      <c r="AW201" s="1">
        <f t="shared" si="31"/>
        <v>0.32681743651792411</v>
      </c>
    </row>
    <row r="202" spans="1:49" x14ac:dyDescent="0.2">
      <c r="A202">
        <v>200</v>
      </c>
      <c r="B202" t="s">
        <v>896</v>
      </c>
      <c r="C202" t="s">
        <v>895</v>
      </c>
      <c r="F202" t="s">
        <v>894</v>
      </c>
      <c r="G202" t="s">
        <v>4</v>
      </c>
      <c r="H202" t="s">
        <v>3</v>
      </c>
      <c r="I202" t="s">
        <v>893</v>
      </c>
      <c r="J202">
        <v>60008447</v>
      </c>
      <c r="K202" t="s">
        <v>158</v>
      </c>
      <c r="L202" t="s">
        <v>157</v>
      </c>
      <c r="M202" t="s">
        <v>94</v>
      </c>
      <c r="N202">
        <v>3</v>
      </c>
      <c r="O202" t="s">
        <v>892</v>
      </c>
      <c r="P202" t="s">
        <v>891</v>
      </c>
      <c r="Q202" t="s">
        <v>890</v>
      </c>
      <c r="R202" s="7">
        <v>33117</v>
      </c>
      <c r="S202" s="8">
        <f t="shared" si="24"/>
        <v>1990</v>
      </c>
      <c r="T202" s="8">
        <v>1990</v>
      </c>
      <c r="U202" s="8">
        <f t="shared" si="25"/>
        <v>32</v>
      </c>
      <c r="V202" s="7">
        <v>33117</v>
      </c>
      <c r="W202" t="s">
        <v>85</v>
      </c>
      <c r="X202" s="2">
        <v>0.375</v>
      </c>
      <c r="Y202" s="6">
        <f t="shared" si="26"/>
        <v>1.0010410827260351E-2</v>
      </c>
      <c r="AA202">
        <v>135194</v>
      </c>
      <c r="AB202">
        <v>24918</v>
      </c>
      <c r="AD202" t="s">
        <v>1</v>
      </c>
      <c r="AE202">
        <v>26</v>
      </c>
      <c r="AF202">
        <v>13</v>
      </c>
      <c r="AH202" t="s">
        <v>889</v>
      </c>
      <c r="AI202" t="s">
        <v>888</v>
      </c>
      <c r="AJ202" t="s">
        <v>887</v>
      </c>
      <c r="AK202" t="s">
        <v>886</v>
      </c>
      <c r="AL202">
        <v>10</v>
      </c>
      <c r="AM202" s="5">
        <f t="shared" si="27"/>
        <v>0.3125</v>
      </c>
      <c r="AN202" s="4">
        <f t="shared" si="28"/>
        <v>4.7330556607345703E-4</v>
      </c>
      <c r="AO202" s="3"/>
      <c r="AP202">
        <v>0</v>
      </c>
      <c r="AR202" t="s">
        <v>0</v>
      </c>
      <c r="AT202" s="2">
        <v>1.3140000000000001</v>
      </c>
      <c r="AU202" s="1">
        <f t="shared" si="29"/>
        <v>0.71492792489042833</v>
      </c>
      <c r="AV202" s="1">
        <f t="shared" si="30"/>
        <v>0.52418581966669042</v>
      </c>
      <c r="AW202" s="1">
        <f t="shared" si="31"/>
        <v>0.33344371444295251</v>
      </c>
    </row>
    <row r="203" spans="1:49" x14ac:dyDescent="0.2">
      <c r="A203">
        <v>201</v>
      </c>
      <c r="B203" t="s">
        <v>885</v>
      </c>
      <c r="C203" t="s">
        <v>884</v>
      </c>
      <c r="F203" t="s">
        <v>883</v>
      </c>
      <c r="G203" t="s">
        <v>4</v>
      </c>
      <c r="H203" t="s">
        <v>3</v>
      </c>
      <c r="I203" t="s">
        <v>133</v>
      </c>
      <c r="J203">
        <v>60014313</v>
      </c>
      <c r="K203" t="s">
        <v>49</v>
      </c>
      <c r="L203" t="s">
        <v>48</v>
      </c>
      <c r="M203" t="s">
        <v>19</v>
      </c>
      <c r="N203">
        <v>1</v>
      </c>
      <c r="O203" t="s">
        <v>132</v>
      </c>
      <c r="P203">
        <v>7006061921</v>
      </c>
      <c r="Q203">
        <v>60014313</v>
      </c>
      <c r="R203" s="7">
        <v>33117</v>
      </c>
      <c r="S203" s="8">
        <f t="shared" si="24"/>
        <v>1990</v>
      </c>
      <c r="T203" s="8">
        <v>1990</v>
      </c>
      <c r="U203" s="8">
        <f t="shared" si="25"/>
        <v>32</v>
      </c>
      <c r="V203" s="7">
        <v>33117</v>
      </c>
      <c r="W203" t="s">
        <v>85</v>
      </c>
      <c r="X203" s="2">
        <v>0.375</v>
      </c>
      <c r="Y203" s="6">
        <f t="shared" si="26"/>
        <v>1.0010410827260351E-2</v>
      </c>
      <c r="AA203">
        <v>135194</v>
      </c>
      <c r="AB203">
        <v>24918</v>
      </c>
      <c r="AD203" t="s">
        <v>1</v>
      </c>
      <c r="AE203">
        <v>26</v>
      </c>
      <c r="AF203">
        <v>13</v>
      </c>
      <c r="AH203" t="s">
        <v>882</v>
      </c>
      <c r="AI203" t="s">
        <v>881</v>
      </c>
      <c r="AJ203" t="s">
        <v>880</v>
      </c>
      <c r="AK203" t="s">
        <v>879</v>
      </c>
      <c r="AL203">
        <v>63</v>
      </c>
      <c r="AM203" s="5">
        <f t="shared" si="27"/>
        <v>1.96875</v>
      </c>
      <c r="AN203" s="4">
        <f t="shared" si="28"/>
        <v>2.9818250662627791E-3</v>
      </c>
      <c r="AO203" s="3"/>
      <c r="AP203">
        <v>0</v>
      </c>
      <c r="AR203" t="s">
        <v>0</v>
      </c>
      <c r="AT203" s="2">
        <v>1.3140000000000001</v>
      </c>
      <c r="AU203" s="1">
        <f t="shared" si="29"/>
        <v>0.79018350989610797</v>
      </c>
      <c r="AV203" s="1">
        <f t="shared" si="30"/>
        <v>0.64961179467615648</v>
      </c>
      <c r="AW203" s="1">
        <f t="shared" si="31"/>
        <v>0.509040079456205</v>
      </c>
    </row>
    <row r="204" spans="1:49" x14ac:dyDescent="0.2">
      <c r="A204">
        <v>202</v>
      </c>
      <c r="B204" t="s">
        <v>878</v>
      </c>
      <c r="C204" t="s">
        <v>877</v>
      </c>
      <c r="E204">
        <v>2283309</v>
      </c>
      <c r="F204" t="s">
        <v>876</v>
      </c>
      <c r="G204" t="s">
        <v>4</v>
      </c>
      <c r="H204" t="s">
        <v>3</v>
      </c>
      <c r="I204" t="s">
        <v>875</v>
      </c>
      <c r="J204">
        <v>60030807</v>
      </c>
      <c r="K204" t="s">
        <v>267</v>
      </c>
      <c r="L204" t="s">
        <v>266</v>
      </c>
      <c r="M204" t="s">
        <v>14</v>
      </c>
      <c r="N204">
        <v>2</v>
      </c>
      <c r="O204" t="s">
        <v>874</v>
      </c>
      <c r="P204" t="s">
        <v>873</v>
      </c>
      <c r="Q204" t="s">
        <v>872</v>
      </c>
      <c r="R204" s="7">
        <v>33117</v>
      </c>
      <c r="S204" s="8">
        <f t="shared" si="24"/>
        <v>1990</v>
      </c>
      <c r="T204" s="8">
        <v>1990</v>
      </c>
      <c r="U204" s="8">
        <f t="shared" si="25"/>
        <v>32</v>
      </c>
      <c r="V204" s="7">
        <v>33117</v>
      </c>
      <c r="W204" t="s">
        <v>265</v>
      </c>
      <c r="X204" s="2" t="s">
        <v>13</v>
      </c>
      <c r="Y204" s="6" t="e">
        <f t="shared" si="26"/>
        <v>#VALUE!</v>
      </c>
      <c r="AA204">
        <v>3015564</v>
      </c>
      <c r="AB204">
        <v>39031</v>
      </c>
      <c r="AC204" t="s">
        <v>264</v>
      </c>
      <c r="AD204" t="s">
        <v>1</v>
      </c>
      <c r="AE204">
        <v>94</v>
      </c>
      <c r="AF204">
        <v>5</v>
      </c>
      <c r="AH204" t="s">
        <v>871</v>
      </c>
      <c r="AI204" t="s">
        <v>870</v>
      </c>
      <c r="AK204" t="s">
        <v>869</v>
      </c>
      <c r="AL204">
        <v>58</v>
      </c>
      <c r="AM204" s="5">
        <f t="shared" si="27"/>
        <v>1.8125</v>
      </c>
      <c r="AN204" s="4">
        <f t="shared" si="28"/>
        <v>2.7451722832260508E-3</v>
      </c>
      <c r="AO204" s="3"/>
      <c r="AP204">
        <v>0</v>
      </c>
      <c r="AR204" t="s">
        <v>0</v>
      </c>
      <c r="AT204" s="2" t="s">
        <v>13</v>
      </c>
      <c r="AU204" s="1" t="e">
        <f t="shared" si="29"/>
        <v>#VALUE!</v>
      </c>
      <c r="AV204" s="1" t="e">
        <f t="shared" si="30"/>
        <v>#VALUE!</v>
      </c>
      <c r="AW204" s="1" t="e">
        <f t="shared" si="31"/>
        <v>#VALUE!</v>
      </c>
    </row>
    <row r="205" spans="1:49" x14ac:dyDescent="0.2">
      <c r="A205">
        <v>203</v>
      </c>
      <c r="B205" t="s">
        <v>868</v>
      </c>
      <c r="C205" t="s">
        <v>867</v>
      </c>
      <c r="F205" t="s">
        <v>866</v>
      </c>
      <c r="G205" t="s">
        <v>4</v>
      </c>
      <c r="H205" t="s">
        <v>3</v>
      </c>
      <c r="I205" t="s">
        <v>865</v>
      </c>
      <c r="J205" t="s">
        <v>864</v>
      </c>
      <c r="K205" t="s">
        <v>863</v>
      </c>
      <c r="L205" t="s">
        <v>862</v>
      </c>
      <c r="M205" t="s">
        <v>11</v>
      </c>
      <c r="N205">
        <v>2</v>
      </c>
      <c r="O205" t="s">
        <v>861</v>
      </c>
      <c r="P205" t="s">
        <v>860</v>
      </c>
      <c r="Q205" t="s">
        <v>859</v>
      </c>
      <c r="R205" s="7">
        <v>33117</v>
      </c>
      <c r="S205" s="8">
        <f t="shared" si="24"/>
        <v>1990</v>
      </c>
      <c r="T205" s="8">
        <v>1990</v>
      </c>
      <c r="U205" s="8">
        <f t="shared" si="25"/>
        <v>32</v>
      </c>
      <c r="V205" s="7">
        <v>33117</v>
      </c>
      <c r="W205" t="s">
        <v>858</v>
      </c>
      <c r="X205" s="2">
        <v>1.026</v>
      </c>
      <c r="Y205" s="6">
        <f t="shared" si="26"/>
        <v>2.738848402338432E-2</v>
      </c>
      <c r="AA205">
        <v>380938</v>
      </c>
      <c r="AB205">
        <v>28245</v>
      </c>
      <c r="AC205" t="s">
        <v>857</v>
      </c>
      <c r="AD205" t="s">
        <v>1</v>
      </c>
      <c r="AE205">
        <v>125</v>
      </c>
      <c r="AF205">
        <v>2</v>
      </c>
      <c r="AH205" t="s">
        <v>856</v>
      </c>
      <c r="AI205" t="s">
        <v>855</v>
      </c>
      <c r="AK205" t="s">
        <v>854</v>
      </c>
      <c r="AL205">
        <v>12</v>
      </c>
      <c r="AM205" s="5">
        <f t="shared" si="27"/>
        <v>0.375</v>
      </c>
      <c r="AN205" s="4">
        <f t="shared" si="28"/>
        <v>5.6796667928814845E-4</v>
      </c>
      <c r="AO205" s="3"/>
      <c r="AP205">
        <v>0</v>
      </c>
      <c r="AR205" t="s">
        <v>0</v>
      </c>
      <c r="AT205" s="2">
        <v>2.6709999999999998</v>
      </c>
      <c r="AU205" s="1">
        <f t="shared" si="29"/>
        <v>1.9342328820155468</v>
      </c>
      <c r="AV205" s="1">
        <f t="shared" si="30"/>
        <v>1.3978225351336235</v>
      </c>
      <c r="AW205" s="1">
        <f t="shared" si="31"/>
        <v>0.86141218825169996</v>
      </c>
    </row>
    <row r="206" spans="1:49" x14ac:dyDescent="0.2">
      <c r="A206">
        <v>204</v>
      </c>
      <c r="B206" t="s">
        <v>853</v>
      </c>
      <c r="C206" t="s">
        <v>852</v>
      </c>
      <c r="F206" t="s">
        <v>851</v>
      </c>
      <c r="G206" t="s">
        <v>4</v>
      </c>
      <c r="H206" t="s">
        <v>3</v>
      </c>
      <c r="I206" t="s">
        <v>850</v>
      </c>
      <c r="J206">
        <v>60001881</v>
      </c>
      <c r="K206" t="s">
        <v>141</v>
      </c>
      <c r="L206" t="s">
        <v>140</v>
      </c>
      <c r="M206" t="s">
        <v>23</v>
      </c>
      <c r="N206">
        <v>3</v>
      </c>
      <c r="O206" t="s">
        <v>849</v>
      </c>
      <c r="P206" t="s">
        <v>848</v>
      </c>
      <c r="Q206" t="s">
        <v>176</v>
      </c>
      <c r="R206" s="7">
        <v>33117</v>
      </c>
      <c r="S206" s="8">
        <f t="shared" si="24"/>
        <v>1990</v>
      </c>
      <c r="T206" s="8">
        <v>1990</v>
      </c>
      <c r="U206" s="8">
        <f t="shared" si="25"/>
        <v>32</v>
      </c>
      <c r="V206" s="7">
        <v>33117</v>
      </c>
      <c r="W206" t="s">
        <v>248</v>
      </c>
      <c r="X206" s="2">
        <v>1.1579999999999999</v>
      </c>
      <c r="Y206" s="6">
        <f t="shared" si="26"/>
        <v>3.0912148634579962E-2</v>
      </c>
      <c r="AA206">
        <v>1668595</v>
      </c>
      <c r="AB206">
        <v>14223</v>
      </c>
      <c r="AC206">
        <v>15735079</v>
      </c>
      <c r="AD206" t="s">
        <v>1</v>
      </c>
      <c r="AE206">
        <v>25</v>
      </c>
      <c r="AF206">
        <v>3</v>
      </c>
      <c r="AH206" t="s">
        <v>847</v>
      </c>
      <c r="AI206" t="s">
        <v>846</v>
      </c>
      <c r="AK206" t="s">
        <v>845</v>
      </c>
      <c r="AL206">
        <v>60</v>
      </c>
      <c r="AM206" s="5">
        <f t="shared" si="27"/>
        <v>1.875</v>
      </c>
      <c r="AN206" s="4">
        <f t="shared" si="28"/>
        <v>2.8398333964407422E-3</v>
      </c>
      <c r="AO206" s="3"/>
      <c r="AP206">
        <v>0</v>
      </c>
      <c r="AR206" t="s">
        <v>0</v>
      </c>
      <c r="AT206" s="2">
        <v>3.573</v>
      </c>
      <c r="AU206" s="1">
        <f t="shared" si="29"/>
        <v>2.2490454063138192</v>
      </c>
      <c r="AV206" s="1">
        <f t="shared" si="30"/>
        <v>1.6875991015510354</v>
      </c>
      <c r="AW206" s="1">
        <f t="shared" si="31"/>
        <v>1.1261527967882508</v>
      </c>
    </row>
    <row r="207" spans="1:49" x14ac:dyDescent="0.2">
      <c r="A207">
        <v>205</v>
      </c>
      <c r="B207" t="s">
        <v>844</v>
      </c>
      <c r="C207" t="s">
        <v>843</v>
      </c>
      <c r="F207" t="s">
        <v>842</v>
      </c>
      <c r="G207" t="s">
        <v>4</v>
      </c>
      <c r="H207" t="s">
        <v>3</v>
      </c>
      <c r="I207" t="s">
        <v>202</v>
      </c>
      <c r="J207">
        <v>60000221</v>
      </c>
      <c r="K207" t="s">
        <v>193</v>
      </c>
      <c r="L207" t="s">
        <v>192</v>
      </c>
      <c r="M207" t="s">
        <v>19</v>
      </c>
      <c r="N207">
        <v>2</v>
      </c>
      <c r="O207" t="s">
        <v>841</v>
      </c>
      <c r="P207" t="s">
        <v>840</v>
      </c>
      <c r="Q207" t="s">
        <v>191</v>
      </c>
      <c r="R207" s="7">
        <v>33117</v>
      </c>
      <c r="S207" s="8">
        <f t="shared" si="24"/>
        <v>1990</v>
      </c>
      <c r="T207" s="8">
        <v>1990</v>
      </c>
      <c r="U207" s="8">
        <f t="shared" si="25"/>
        <v>32</v>
      </c>
      <c r="V207" s="7">
        <v>33117</v>
      </c>
      <c r="W207" t="s">
        <v>248</v>
      </c>
      <c r="X207" s="2">
        <v>1.1579999999999999</v>
      </c>
      <c r="Y207" s="6">
        <f t="shared" si="26"/>
        <v>3.0912148634579962E-2</v>
      </c>
      <c r="AA207">
        <v>1668595</v>
      </c>
      <c r="AB207">
        <v>14223</v>
      </c>
      <c r="AC207">
        <v>15735079</v>
      </c>
      <c r="AD207" t="s">
        <v>1</v>
      </c>
      <c r="AE207">
        <v>25</v>
      </c>
      <c r="AF207">
        <v>3</v>
      </c>
      <c r="AH207" t="s">
        <v>839</v>
      </c>
      <c r="AI207" t="s">
        <v>838</v>
      </c>
      <c r="AJ207" t="s">
        <v>837</v>
      </c>
      <c r="AK207" t="s">
        <v>836</v>
      </c>
      <c r="AL207">
        <v>43</v>
      </c>
      <c r="AM207" s="5">
        <f t="shared" si="27"/>
        <v>1.34375</v>
      </c>
      <c r="AN207" s="4">
        <f t="shared" si="28"/>
        <v>2.0352139341158651E-3</v>
      </c>
      <c r="AO207" s="3"/>
      <c r="AP207">
        <v>0</v>
      </c>
      <c r="AR207" t="s">
        <v>0</v>
      </c>
      <c r="AT207" s="2">
        <v>3.573</v>
      </c>
      <c r="AU207" s="1">
        <f t="shared" si="29"/>
        <v>2.2249068224440731</v>
      </c>
      <c r="AV207" s="1">
        <f t="shared" si="30"/>
        <v>1.6473681284347914</v>
      </c>
      <c r="AW207" s="1">
        <f t="shared" si="31"/>
        <v>1.0698294344255093</v>
      </c>
    </row>
    <row r="208" spans="1:49" x14ac:dyDescent="0.2">
      <c r="A208">
        <v>206</v>
      </c>
      <c r="B208" t="s">
        <v>835</v>
      </c>
      <c r="C208" t="s">
        <v>834</v>
      </c>
      <c r="F208" t="s">
        <v>833</v>
      </c>
      <c r="G208" t="s">
        <v>4</v>
      </c>
      <c r="H208" t="s">
        <v>3</v>
      </c>
      <c r="I208" t="s">
        <v>832</v>
      </c>
      <c r="J208">
        <v>60012689</v>
      </c>
      <c r="K208" t="s">
        <v>247</v>
      </c>
      <c r="L208" t="s">
        <v>246</v>
      </c>
      <c r="M208" t="s">
        <v>14</v>
      </c>
      <c r="N208">
        <v>2</v>
      </c>
      <c r="O208" t="s">
        <v>831</v>
      </c>
      <c r="P208" t="s">
        <v>830</v>
      </c>
      <c r="Q208" t="s">
        <v>829</v>
      </c>
      <c r="R208" s="7">
        <v>33117</v>
      </c>
      <c r="S208" s="8">
        <f t="shared" si="24"/>
        <v>1990</v>
      </c>
      <c r="T208" s="8">
        <v>1990</v>
      </c>
      <c r="U208" s="8">
        <f t="shared" si="25"/>
        <v>32</v>
      </c>
      <c r="V208" s="7">
        <v>33117</v>
      </c>
      <c r="W208" t="s">
        <v>248</v>
      </c>
      <c r="X208" s="2">
        <v>1.1579999999999999</v>
      </c>
      <c r="Y208" s="6">
        <f t="shared" si="26"/>
        <v>3.0912148634579962E-2</v>
      </c>
      <c r="AA208">
        <v>1668595</v>
      </c>
      <c r="AB208">
        <v>14223</v>
      </c>
      <c r="AC208">
        <v>15735079</v>
      </c>
      <c r="AD208" t="s">
        <v>1</v>
      </c>
      <c r="AE208">
        <v>25</v>
      </c>
      <c r="AF208">
        <v>3</v>
      </c>
      <c r="AH208" t="s">
        <v>828</v>
      </c>
      <c r="AI208" t="s">
        <v>827</v>
      </c>
      <c r="AJ208" t="s">
        <v>826</v>
      </c>
      <c r="AK208" t="s">
        <v>825</v>
      </c>
      <c r="AL208">
        <v>283</v>
      </c>
      <c r="AM208" s="5">
        <f t="shared" si="27"/>
        <v>8.84375</v>
      </c>
      <c r="AN208" s="4">
        <f t="shared" si="28"/>
        <v>1.3394547519878834E-2</v>
      </c>
      <c r="AO208" s="3"/>
      <c r="AP208">
        <v>0</v>
      </c>
      <c r="AR208" t="s">
        <v>0</v>
      </c>
      <c r="AT208" s="2">
        <v>3.573</v>
      </c>
      <c r="AU208" s="1">
        <f t="shared" si="29"/>
        <v>2.5656868300169622</v>
      </c>
      <c r="AV208" s="1">
        <f t="shared" si="30"/>
        <v>2.21533480772294</v>
      </c>
      <c r="AW208" s="1">
        <f t="shared" si="31"/>
        <v>1.8649827854289172</v>
      </c>
    </row>
    <row r="209" spans="1:49" x14ac:dyDescent="0.2">
      <c r="A209">
        <v>207</v>
      </c>
      <c r="B209" t="s">
        <v>824</v>
      </c>
      <c r="C209" t="s">
        <v>823</v>
      </c>
      <c r="E209">
        <v>2116422</v>
      </c>
      <c r="F209" t="s">
        <v>822</v>
      </c>
      <c r="G209" t="s">
        <v>4</v>
      </c>
      <c r="H209" t="s">
        <v>3</v>
      </c>
      <c r="I209" t="s">
        <v>821</v>
      </c>
      <c r="J209">
        <v>60027016</v>
      </c>
      <c r="K209" t="s">
        <v>820</v>
      </c>
      <c r="L209" t="s">
        <v>174</v>
      </c>
      <c r="M209" t="s">
        <v>102</v>
      </c>
      <c r="N209">
        <v>3</v>
      </c>
      <c r="O209" t="s">
        <v>819</v>
      </c>
      <c r="P209" t="s">
        <v>818</v>
      </c>
      <c r="Q209" t="s">
        <v>817</v>
      </c>
      <c r="R209" s="7">
        <v>33107</v>
      </c>
      <c r="S209" s="8">
        <f t="shared" si="24"/>
        <v>1990</v>
      </c>
      <c r="T209" s="8">
        <v>1990</v>
      </c>
      <c r="U209" s="8">
        <f t="shared" si="25"/>
        <v>32</v>
      </c>
      <c r="V209" s="7">
        <v>1990</v>
      </c>
      <c r="W209" t="s">
        <v>816</v>
      </c>
      <c r="X209" s="2">
        <v>5.4139999999999997</v>
      </c>
      <c r="Y209" s="6">
        <f t="shared" si="26"/>
        <v>0.14452363791676676</v>
      </c>
      <c r="AA209">
        <v>219525</v>
      </c>
      <c r="AB209">
        <v>18555</v>
      </c>
      <c r="AD209" t="s">
        <v>1</v>
      </c>
      <c r="AE209">
        <v>111</v>
      </c>
      <c r="AF209">
        <v>2</v>
      </c>
      <c r="AH209" t="s">
        <v>815</v>
      </c>
      <c r="AI209" t="s">
        <v>814</v>
      </c>
      <c r="AK209" t="s">
        <v>813</v>
      </c>
      <c r="AL209">
        <v>57</v>
      </c>
      <c r="AM209" s="5">
        <f t="shared" si="27"/>
        <v>1.78125</v>
      </c>
      <c r="AN209" s="4">
        <f t="shared" si="28"/>
        <v>2.6978417266187052E-3</v>
      </c>
      <c r="AO209" s="3"/>
      <c r="AP209">
        <v>1</v>
      </c>
      <c r="AR209" t="s">
        <v>0</v>
      </c>
      <c r="AT209" s="2">
        <v>10.539</v>
      </c>
      <c r="AU209" s="1">
        <f t="shared" si="29"/>
        <v>10.197589905972233</v>
      </c>
      <c r="AV209" s="1">
        <f t="shared" si="30"/>
        <v>7.3610739821692732</v>
      </c>
      <c r="AW209" s="1">
        <f t="shared" si="31"/>
        <v>4.5245580583663125</v>
      </c>
    </row>
    <row r="210" spans="1:49" x14ac:dyDescent="0.2">
      <c r="A210">
        <v>208</v>
      </c>
      <c r="B210" t="s">
        <v>812</v>
      </c>
      <c r="C210" t="s">
        <v>811</v>
      </c>
      <c r="F210" t="s">
        <v>810</v>
      </c>
      <c r="G210" t="s">
        <v>4</v>
      </c>
      <c r="H210" t="s">
        <v>3</v>
      </c>
      <c r="I210" t="s">
        <v>809</v>
      </c>
      <c r="J210">
        <v>60072285</v>
      </c>
      <c r="K210" t="s">
        <v>96</v>
      </c>
      <c r="L210" t="s">
        <v>95</v>
      </c>
      <c r="M210" t="s">
        <v>14</v>
      </c>
      <c r="N210">
        <v>3</v>
      </c>
      <c r="O210" t="s">
        <v>808</v>
      </c>
      <c r="P210" t="s">
        <v>807</v>
      </c>
      <c r="Q210" t="s">
        <v>262</v>
      </c>
      <c r="R210" s="7">
        <v>33086</v>
      </c>
      <c r="S210" s="8">
        <f t="shared" si="24"/>
        <v>1990</v>
      </c>
      <c r="T210" s="8">
        <v>1990</v>
      </c>
      <c r="U210" s="8">
        <f t="shared" si="25"/>
        <v>32</v>
      </c>
      <c r="V210" s="7">
        <v>33086</v>
      </c>
      <c r="W210" t="s">
        <v>136</v>
      </c>
      <c r="X210" s="2">
        <v>0.30099999999999999</v>
      </c>
      <c r="Y210" s="6">
        <f t="shared" si="26"/>
        <v>8.0350230906809754E-3</v>
      </c>
      <c r="AA210">
        <v>9395075</v>
      </c>
      <c r="AB210">
        <v>14954</v>
      </c>
      <c r="AC210">
        <v>18657125</v>
      </c>
      <c r="AD210" t="s">
        <v>1</v>
      </c>
      <c r="AE210">
        <v>45</v>
      </c>
      <c r="AF210" s="9">
        <v>44415</v>
      </c>
      <c r="AH210" t="s">
        <v>806</v>
      </c>
      <c r="AI210" t="s">
        <v>805</v>
      </c>
      <c r="AJ210" t="s">
        <v>804</v>
      </c>
      <c r="AK210" t="s">
        <v>803</v>
      </c>
      <c r="AL210">
        <v>14</v>
      </c>
      <c r="AM210" s="5">
        <f t="shared" si="27"/>
        <v>0.4375</v>
      </c>
      <c r="AN210" s="4">
        <f t="shared" si="28"/>
        <v>6.6262779250283988E-4</v>
      </c>
      <c r="AO210" s="3"/>
      <c r="AP210">
        <v>1</v>
      </c>
      <c r="AR210" t="s">
        <v>0</v>
      </c>
      <c r="AT210" s="2" t="s">
        <v>13</v>
      </c>
      <c r="AU210" s="1">
        <f t="shared" si="29"/>
        <v>0.58233045012275342</v>
      </c>
      <c r="AV210" s="1">
        <f t="shared" si="30"/>
        <v>0.43488254415919075</v>
      </c>
      <c r="AW210" s="1">
        <f t="shared" si="31"/>
        <v>0.28743463819562809</v>
      </c>
    </row>
    <row r="211" spans="1:49" x14ac:dyDescent="0.2">
      <c r="A211">
        <v>209</v>
      </c>
      <c r="B211" t="s">
        <v>802</v>
      </c>
      <c r="C211" t="s">
        <v>801</v>
      </c>
      <c r="F211" t="s">
        <v>800</v>
      </c>
      <c r="G211" t="s">
        <v>4</v>
      </c>
      <c r="H211" t="s">
        <v>3</v>
      </c>
      <c r="I211" t="s">
        <v>799</v>
      </c>
      <c r="N211">
        <v>1</v>
      </c>
      <c r="O211" t="s">
        <v>798</v>
      </c>
      <c r="P211">
        <v>16303585900</v>
      </c>
      <c r="R211" s="7">
        <v>33086</v>
      </c>
      <c r="S211" s="8">
        <f t="shared" si="24"/>
        <v>1990</v>
      </c>
      <c r="T211" s="8">
        <v>1990</v>
      </c>
      <c r="U211" s="8">
        <f t="shared" si="25"/>
        <v>32</v>
      </c>
      <c r="V211" s="7">
        <v>33086</v>
      </c>
      <c r="W211" t="s">
        <v>241</v>
      </c>
      <c r="X211" s="2">
        <v>0.14899999999999999</v>
      </c>
      <c r="Y211" s="6">
        <f t="shared" si="26"/>
        <v>3.977469902031446E-3</v>
      </c>
      <c r="AA211">
        <v>5431972</v>
      </c>
      <c r="AB211">
        <v>15425</v>
      </c>
      <c r="AC211">
        <v>15738906</v>
      </c>
      <c r="AD211" t="s">
        <v>1</v>
      </c>
      <c r="AE211">
        <v>33</v>
      </c>
      <c r="AF211">
        <v>8</v>
      </c>
      <c r="AH211" t="s">
        <v>797</v>
      </c>
      <c r="AL211">
        <v>0</v>
      </c>
      <c r="AM211" s="5">
        <f t="shared" si="27"/>
        <v>0</v>
      </c>
      <c r="AN211" s="4">
        <f t="shared" si="28"/>
        <v>0</v>
      </c>
      <c r="AO211" s="3"/>
      <c r="AP211">
        <v>0</v>
      </c>
      <c r="AR211" t="s">
        <v>0</v>
      </c>
      <c r="AT211" s="2" t="s">
        <v>13</v>
      </c>
      <c r="AU211" s="1">
        <f t="shared" si="29"/>
        <v>0.2784228931422012</v>
      </c>
      <c r="AV211" s="1">
        <f t="shared" si="30"/>
        <v>0.19887349510157229</v>
      </c>
      <c r="AW211" s="1">
        <f t="shared" si="31"/>
        <v>0.11932409706094337</v>
      </c>
    </row>
    <row r="212" spans="1:49" x14ac:dyDescent="0.2">
      <c r="A212">
        <v>210</v>
      </c>
      <c r="B212" t="s">
        <v>796</v>
      </c>
      <c r="C212" t="s">
        <v>795</v>
      </c>
      <c r="F212" t="s">
        <v>794</v>
      </c>
      <c r="G212" t="s">
        <v>4</v>
      </c>
      <c r="H212" t="s">
        <v>3</v>
      </c>
      <c r="I212" t="s">
        <v>793</v>
      </c>
      <c r="J212">
        <v>60002947</v>
      </c>
      <c r="K212" t="s">
        <v>120</v>
      </c>
      <c r="L212" t="s">
        <v>119</v>
      </c>
      <c r="M212" t="s">
        <v>72</v>
      </c>
      <c r="N212">
        <v>3</v>
      </c>
      <c r="O212" t="s">
        <v>792</v>
      </c>
      <c r="P212" t="s">
        <v>791</v>
      </c>
      <c r="Q212" t="s">
        <v>790</v>
      </c>
      <c r="R212" s="7">
        <v>33086</v>
      </c>
      <c r="S212" s="8">
        <f t="shared" si="24"/>
        <v>1990</v>
      </c>
      <c r="T212" s="8">
        <v>1990</v>
      </c>
      <c r="U212" s="8">
        <f t="shared" si="25"/>
        <v>32</v>
      </c>
      <c r="V212" s="7">
        <v>33086</v>
      </c>
      <c r="W212" t="s">
        <v>83</v>
      </c>
      <c r="X212" s="2">
        <v>1.3720000000000001</v>
      </c>
      <c r="Y212" s="6">
        <f t="shared" si="26"/>
        <v>3.662475641333654E-2</v>
      </c>
      <c r="AA212">
        <v>189480</v>
      </c>
      <c r="AB212">
        <v>17366</v>
      </c>
      <c r="AD212" t="s">
        <v>1</v>
      </c>
      <c r="AE212">
        <v>38</v>
      </c>
      <c r="AF212">
        <v>8</v>
      </c>
      <c r="AH212" t="s">
        <v>789</v>
      </c>
      <c r="AI212" t="s">
        <v>788</v>
      </c>
      <c r="AK212" t="s">
        <v>787</v>
      </c>
      <c r="AL212">
        <v>11</v>
      </c>
      <c r="AM212" s="5">
        <f t="shared" si="27"/>
        <v>0.34375</v>
      </c>
      <c r="AN212" s="4">
        <f t="shared" si="28"/>
        <v>5.2063612268080268E-4</v>
      </c>
      <c r="AO212" s="3"/>
      <c r="AP212">
        <v>0</v>
      </c>
      <c r="AR212" t="s">
        <v>0</v>
      </c>
      <c r="AT212" s="2" t="s">
        <v>13</v>
      </c>
      <c r="AU212" s="1">
        <f t="shared" si="29"/>
        <v>2.5793520326139818</v>
      </c>
      <c r="AV212" s="1">
        <f t="shared" si="30"/>
        <v>1.857269626800867</v>
      </c>
      <c r="AW212" s="1">
        <f t="shared" si="31"/>
        <v>1.1351872209877525</v>
      </c>
    </row>
    <row r="213" spans="1:49" x14ac:dyDescent="0.2">
      <c r="A213">
        <v>211</v>
      </c>
      <c r="B213" t="s">
        <v>786</v>
      </c>
      <c r="F213" t="s">
        <v>785</v>
      </c>
      <c r="G213" t="s">
        <v>4</v>
      </c>
      <c r="H213" t="s">
        <v>3</v>
      </c>
      <c r="I213" t="s">
        <v>784</v>
      </c>
      <c r="N213">
        <v>6</v>
      </c>
      <c r="O213" t="s">
        <v>783</v>
      </c>
      <c r="P213" t="s">
        <v>782</v>
      </c>
      <c r="Q213" t="s">
        <v>15</v>
      </c>
      <c r="R213" s="7">
        <v>33086</v>
      </c>
      <c r="S213" s="8">
        <f t="shared" si="24"/>
        <v>1990</v>
      </c>
      <c r="T213" s="8">
        <v>1990</v>
      </c>
      <c r="U213" s="8">
        <f t="shared" si="25"/>
        <v>32</v>
      </c>
      <c r="V213" s="7">
        <v>33086</v>
      </c>
      <c r="W213" t="s">
        <v>781</v>
      </c>
      <c r="X213" s="2" t="s">
        <v>13</v>
      </c>
      <c r="Y213" s="6" t="e">
        <f t="shared" si="26"/>
        <v>#VALUE!</v>
      </c>
      <c r="AA213">
        <v>204412</v>
      </c>
      <c r="AB213">
        <v>15467</v>
      </c>
      <c r="AD213" t="s">
        <v>1</v>
      </c>
      <c r="AE213">
        <v>33</v>
      </c>
      <c r="AF213" t="s">
        <v>780</v>
      </c>
      <c r="AH213" t="s">
        <v>779</v>
      </c>
      <c r="AI213" t="s">
        <v>778</v>
      </c>
      <c r="AK213" t="s">
        <v>777</v>
      </c>
      <c r="AL213">
        <v>0</v>
      </c>
      <c r="AM213" s="5">
        <f t="shared" si="27"/>
        <v>0</v>
      </c>
      <c r="AN213" s="4">
        <f t="shared" si="28"/>
        <v>0</v>
      </c>
      <c r="AO213" s="3"/>
      <c r="AP213">
        <v>0</v>
      </c>
      <c r="AR213" t="s">
        <v>0</v>
      </c>
      <c r="AT213" s="2" t="s">
        <v>13</v>
      </c>
      <c r="AU213" s="1" t="e">
        <f t="shared" si="29"/>
        <v>#VALUE!</v>
      </c>
      <c r="AV213" s="1" t="e">
        <f t="shared" si="30"/>
        <v>#VALUE!</v>
      </c>
      <c r="AW213" s="1" t="e">
        <f t="shared" si="31"/>
        <v>#VALUE!</v>
      </c>
    </row>
    <row r="214" spans="1:49" x14ac:dyDescent="0.2">
      <c r="A214">
        <v>212</v>
      </c>
      <c r="B214" t="s">
        <v>776</v>
      </c>
      <c r="F214" t="s">
        <v>775</v>
      </c>
      <c r="G214" t="s">
        <v>4</v>
      </c>
      <c r="H214" t="s">
        <v>3</v>
      </c>
      <c r="I214" t="s">
        <v>774</v>
      </c>
      <c r="N214">
        <v>4</v>
      </c>
      <c r="O214" t="s">
        <v>773</v>
      </c>
      <c r="P214" t="s">
        <v>772</v>
      </c>
      <c r="Q214" t="s">
        <v>26</v>
      </c>
      <c r="R214" s="7">
        <v>33086</v>
      </c>
      <c r="S214" s="8">
        <f t="shared" si="24"/>
        <v>1990</v>
      </c>
      <c r="T214" s="8">
        <v>1990</v>
      </c>
      <c r="U214" s="8">
        <f t="shared" si="25"/>
        <v>32</v>
      </c>
      <c r="V214" s="7">
        <v>33086</v>
      </c>
      <c r="W214" t="s">
        <v>31</v>
      </c>
      <c r="X214" s="2">
        <v>0.14099999999999999</v>
      </c>
      <c r="Y214" s="6">
        <f t="shared" si="26"/>
        <v>3.7639144710498915E-3</v>
      </c>
      <c r="AA214">
        <v>402508</v>
      </c>
      <c r="AB214">
        <v>20868</v>
      </c>
      <c r="AD214" t="s">
        <v>1</v>
      </c>
      <c r="AE214">
        <v>45</v>
      </c>
      <c r="AF214">
        <v>9</v>
      </c>
      <c r="AH214" s="9">
        <v>44539</v>
      </c>
      <c r="AI214" t="s">
        <v>771</v>
      </c>
      <c r="AK214" t="s">
        <v>770</v>
      </c>
      <c r="AL214">
        <v>0</v>
      </c>
      <c r="AM214" s="5">
        <f t="shared" si="27"/>
        <v>0</v>
      </c>
      <c r="AN214" s="4">
        <f t="shared" si="28"/>
        <v>0</v>
      </c>
      <c r="AO214" s="3"/>
      <c r="AP214">
        <v>0</v>
      </c>
      <c r="AR214" t="s">
        <v>0</v>
      </c>
      <c r="AT214" s="2" t="s">
        <v>13</v>
      </c>
      <c r="AU214" s="1">
        <f t="shared" si="29"/>
        <v>0.26347401297349238</v>
      </c>
      <c r="AV214" s="1">
        <f t="shared" si="30"/>
        <v>0.18819572355249459</v>
      </c>
      <c r="AW214" s="1">
        <f t="shared" si="31"/>
        <v>0.11291743413149673</v>
      </c>
    </row>
    <row r="215" spans="1:49" x14ac:dyDescent="0.2">
      <c r="A215">
        <v>213</v>
      </c>
      <c r="B215" t="s">
        <v>769</v>
      </c>
      <c r="F215" t="s">
        <v>768</v>
      </c>
      <c r="G215" t="s">
        <v>4</v>
      </c>
      <c r="H215" t="s">
        <v>3</v>
      </c>
      <c r="I215" t="s">
        <v>767</v>
      </c>
      <c r="N215">
        <v>1</v>
      </c>
      <c r="O215" t="s">
        <v>766</v>
      </c>
      <c r="P215">
        <v>7801525074</v>
      </c>
      <c r="R215" s="7">
        <v>33086</v>
      </c>
      <c r="S215" s="8">
        <f t="shared" si="24"/>
        <v>1990</v>
      </c>
      <c r="T215" s="8">
        <v>1990</v>
      </c>
      <c r="U215" s="8">
        <f t="shared" si="25"/>
        <v>32</v>
      </c>
      <c r="V215" s="7">
        <v>33086</v>
      </c>
      <c r="W215" t="s">
        <v>31</v>
      </c>
      <c r="X215" s="2">
        <v>0.14099999999999999</v>
      </c>
      <c r="Y215" s="6">
        <f t="shared" si="26"/>
        <v>3.7639144710498915E-3</v>
      </c>
      <c r="AA215">
        <v>402508</v>
      </c>
      <c r="AB215">
        <v>20868</v>
      </c>
      <c r="AD215" t="s">
        <v>1</v>
      </c>
      <c r="AE215">
        <v>45</v>
      </c>
      <c r="AF215">
        <v>9</v>
      </c>
      <c r="AH215" s="9">
        <v>44413</v>
      </c>
      <c r="AI215" t="s">
        <v>765</v>
      </c>
      <c r="AK215" t="s">
        <v>764</v>
      </c>
      <c r="AL215">
        <v>0</v>
      </c>
      <c r="AM215" s="5">
        <f t="shared" si="27"/>
        <v>0</v>
      </c>
      <c r="AN215" s="4">
        <f t="shared" si="28"/>
        <v>0</v>
      </c>
      <c r="AO215" s="3"/>
      <c r="AP215">
        <v>0</v>
      </c>
      <c r="AR215" t="s">
        <v>0</v>
      </c>
      <c r="AT215" s="2" t="s">
        <v>13</v>
      </c>
      <c r="AU215" s="1">
        <f t="shared" si="29"/>
        <v>0.26347401297349238</v>
      </c>
      <c r="AV215" s="1">
        <f t="shared" si="30"/>
        <v>0.18819572355249459</v>
      </c>
      <c r="AW215" s="1">
        <f t="shared" si="31"/>
        <v>0.11291743413149673</v>
      </c>
    </row>
    <row r="216" spans="1:49" x14ac:dyDescent="0.2">
      <c r="A216">
        <v>214</v>
      </c>
      <c r="B216" t="s">
        <v>763</v>
      </c>
      <c r="F216" t="s">
        <v>762</v>
      </c>
      <c r="G216" t="s">
        <v>4</v>
      </c>
      <c r="H216" t="s">
        <v>3</v>
      </c>
      <c r="I216" t="s">
        <v>258</v>
      </c>
      <c r="N216">
        <v>1</v>
      </c>
      <c r="O216" t="s">
        <v>257</v>
      </c>
      <c r="P216">
        <v>6701411909</v>
      </c>
      <c r="R216" s="7">
        <v>33086</v>
      </c>
      <c r="S216" s="8">
        <f t="shared" si="24"/>
        <v>1990</v>
      </c>
      <c r="T216" s="8">
        <v>1990</v>
      </c>
      <c r="U216" s="8">
        <f t="shared" si="25"/>
        <v>32</v>
      </c>
      <c r="V216" s="7">
        <v>33086</v>
      </c>
      <c r="W216" t="s">
        <v>31</v>
      </c>
      <c r="X216" s="2">
        <v>0.14099999999999999</v>
      </c>
      <c r="Y216" s="6">
        <f t="shared" si="26"/>
        <v>3.7639144710498915E-3</v>
      </c>
      <c r="AA216">
        <v>402508</v>
      </c>
      <c r="AB216">
        <v>20868</v>
      </c>
      <c r="AD216" t="s">
        <v>1</v>
      </c>
      <c r="AE216">
        <v>45</v>
      </c>
      <c r="AF216">
        <v>9</v>
      </c>
      <c r="AH216" t="s">
        <v>761</v>
      </c>
      <c r="AI216" t="s">
        <v>760</v>
      </c>
      <c r="AK216" t="s">
        <v>759</v>
      </c>
      <c r="AL216">
        <v>0</v>
      </c>
      <c r="AM216" s="5">
        <f t="shared" si="27"/>
        <v>0</v>
      </c>
      <c r="AN216" s="4">
        <f t="shared" si="28"/>
        <v>0</v>
      </c>
      <c r="AO216" s="3"/>
      <c r="AP216">
        <v>0</v>
      </c>
      <c r="AR216" t="s">
        <v>0</v>
      </c>
      <c r="AT216" s="2" t="s">
        <v>13</v>
      </c>
      <c r="AU216" s="1">
        <f t="shared" si="29"/>
        <v>0.26347401297349238</v>
      </c>
      <c r="AV216" s="1">
        <f t="shared" si="30"/>
        <v>0.18819572355249459</v>
      </c>
      <c r="AW216" s="1">
        <f t="shared" si="31"/>
        <v>0.11291743413149673</v>
      </c>
    </row>
    <row r="217" spans="1:49" x14ac:dyDescent="0.2">
      <c r="A217">
        <v>215</v>
      </c>
      <c r="B217" t="s">
        <v>758</v>
      </c>
      <c r="F217" t="s">
        <v>757</v>
      </c>
      <c r="G217" t="s">
        <v>4</v>
      </c>
      <c r="H217" t="s">
        <v>3</v>
      </c>
      <c r="I217" t="s">
        <v>756</v>
      </c>
      <c r="N217">
        <v>1</v>
      </c>
      <c r="O217" t="s">
        <v>755</v>
      </c>
      <c r="P217">
        <v>6603302716</v>
      </c>
      <c r="R217" s="7">
        <v>33086</v>
      </c>
      <c r="S217" s="8">
        <f t="shared" si="24"/>
        <v>1990</v>
      </c>
      <c r="T217" s="8">
        <v>1990</v>
      </c>
      <c r="U217" s="8">
        <f t="shared" si="25"/>
        <v>32</v>
      </c>
      <c r="V217" s="7">
        <v>33086</v>
      </c>
      <c r="W217" t="s">
        <v>31</v>
      </c>
      <c r="X217" s="2">
        <v>0.14099999999999999</v>
      </c>
      <c r="Y217" s="6">
        <f t="shared" si="26"/>
        <v>3.7639144710498915E-3</v>
      </c>
      <c r="AA217">
        <v>402508</v>
      </c>
      <c r="AB217">
        <v>20868</v>
      </c>
      <c r="AD217" t="s">
        <v>1</v>
      </c>
      <c r="AE217">
        <v>45</v>
      </c>
      <c r="AF217">
        <v>9</v>
      </c>
      <c r="AH217" t="s">
        <v>754</v>
      </c>
      <c r="AI217" t="s">
        <v>753</v>
      </c>
      <c r="AK217" t="s">
        <v>752</v>
      </c>
      <c r="AL217">
        <v>0</v>
      </c>
      <c r="AM217" s="5">
        <f t="shared" si="27"/>
        <v>0</v>
      </c>
      <c r="AN217" s="4">
        <f t="shared" si="28"/>
        <v>0</v>
      </c>
      <c r="AO217" s="3"/>
      <c r="AP217">
        <v>0</v>
      </c>
      <c r="AR217" t="s">
        <v>0</v>
      </c>
      <c r="AT217" s="2" t="s">
        <v>13</v>
      </c>
      <c r="AU217" s="1">
        <f t="shared" si="29"/>
        <v>0.26347401297349238</v>
      </c>
      <c r="AV217" s="1">
        <f t="shared" si="30"/>
        <v>0.18819572355249459</v>
      </c>
      <c r="AW217" s="1">
        <f t="shared" si="31"/>
        <v>0.11291743413149673</v>
      </c>
    </row>
    <row r="218" spans="1:49" x14ac:dyDescent="0.2">
      <c r="A218">
        <v>216</v>
      </c>
      <c r="B218" t="s">
        <v>751</v>
      </c>
      <c r="F218" t="s">
        <v>750</v>
      </c>
      <c r="G218" t="s">
        <v>4</v>
      </c>
      <c r="H218" t="s">
        <v>3</v>
      </c>
      <c r="I218" t="s">
        <v>749</v>
      </c>
      <c r="N218">
        <v>1</v>
      </c>
      <c r="O218" t="s">
        <v>748</v>
      </c>
      <c r="P218">
        <v>57224687782</v>
      </c>
      <c r="R218" s="7">
        <v>33086</v>
      </c>
      <c r="S218" s="8">
        <f t="shared" si="24"/>
        <v>1990</v>
      </c>
      <c r="T218" s="8">
        <v>1990</v>
      </c>
      <c r="U218" s="8">
        <f t="shared" si="25"/>
        <v>32</v>
      </c>
      <c r="V218" s="7">
        <v>33086</v>
      </c>
      <c r="W218" t="s">
        <v>31</v>
      </c>
      <c r="X218" s="2">
        <v>0.14099999999999999</v>
      </c>
      <c r="Y218" s="6">
        <f t="shared" si="26"/>
        <v>3.7639144710498915E-3</v>
      </c>
      <c r="AA218">
        <v>402508</v>
      </c>
      <c r="AB218">
        <v>20868</v>
      </c>
      <c r="AD218" t="s">
        <v>1</v>
      </c>
      <c r="AE218">
        <v>45</v>
      </c>
      <c r="AF218">
        <v>9</v>
      </c>
      <c r="AH218" t="s">
        <v>747</v>
      </c>
      <c r="AI218" t="s">
        <v>746</v>
      </c>
      <c r="AK218" t="s">
        <v>745</v>
      </c>
      <c r="AL218">
        <v>0</v>
      </c>
      <c r="AM218" s="5">
        <f t="shared" si="27"/>
        <v>0</v>
      </c>
      <c r="AN218" s="4">
        <f t="shared" si="28"/>
        <v>0</v>
      </c>
      <c r="AO218" s="3"/>
      <c r="AP218">
        <v>0</v>
      </c>
      <c r="AR218" t="s">
        <v>0</v>
      </c>
      <c r="AT218" s="2" t="s">
        <v>13</v>
      </c>
      <c r="AU218" s="1">
        <f t="shared" si="29"/>
        <v>0.26347401297349238</v>
      </c>
      <c r="AV218" s="1">
        <f t="shared" si="30"/>
        <v>0.18819572355249459</v>
      </c>
      <c r="AW218" s="1">
        <f t="shared" si="31"/>
        <v>0.11291743413149673</v>
      </c>
    </row>
    <row r="219" spans="1:49" x14ac:dyDescent="0.2">
      <c r="A219">
        <v>217</v>
      </c>
      <c r="B219" t="s">
        <v>744</v>
      </c>
      <c r="F219" t="s">
        <v>743</v>
      </c>
      <c r="G219" t="s">
        <v>4</v>
      </c>
      <c r="H219" t="s">
        <v>3</v>
      </c>
      <c r="I219" t="s">
        <v>742</v>
      </c>
      <c r="N219">
        <v>1</v>
      </c>
      <c r="O219" t="s">
        <v>741</v>
      </c>
      <c r="P219">
        <v>7005716049</v>
      </c>
      <c r="R219" s="7">
        <v>33086</v>
      </c>
      <c r="S219" s="8">
        <f t="shared" si="24"/>
        <v>1990</v>
      </c>
      <c r="T219" s="8">
        <v>1990</v>
      </c>
      <c r="U219" s="8">
        <f t="shared" si="25"/>
        <v>32</v>
      </c>
      <c r="V219" s="7">
        <v>33086</v>
      </c>
      <c r="W219" t="s">
        <v>31</v>
      </c>
      <c r="X219" s="2">
        <v>0.14099999999999999</v>
      </c>
      <c r="Y219" s="6">
        <f t="shared" si="26"/>
        <v>3.7639144710498915E-3</v>
      </c>
      <c r="AA219">
        <v>402508</v>
      </c>
      <c r="AB219">
        <v>20868</v>
      </c>
      <c r="AD219" t="s">
        <v>1</v>
      </c>
      <c r="AE219">
        <v>45</v>
      </c>
      <c r="AF219">
        <v>9</v>
      </c>
      <c r="AH219" t="s">
        <v>740</v>
      </c>
      <c r="AI219" t="s">
        <v>739</v>
      </c>
      <c r="AK219" t="s">
        <v>738</v>
      </c>
      <c r="AL219">
        <v>0</v>
      </c>
      <c r="AM219" s="5">
        <f t="shared" si="27"/>
        <v>0</v>
      </c>
      <c r="AN219" s="4">
        <f t="shared" si="28"/>
        <v>0</v>
      </c>
      <c r="AO219" s="3"/>
      <c r="AP219">
        <v>0</v>
      </c>
      <c r="AR219" t="s">
        <v>0</v>
      </c>
      <c r="AT219" s="2" t="s">
        <v>13</v>
      </c>
      <c r="AU219" s="1">
        <f t="shared" si="29"/>
        <v>0.26347401297349238</v>
      </c>
      <c r="AV219" s="1">
        <f t="shared" si="30"/>
        <v>0.18819572355249459</v>
      </c>
      <c r="AW219" s="1">
        <f t="shared" si="31"/>
        <v>0.11291743413149673</v>
      </c>
    </row>
    <row r="220" spans="1:49" x14ac:dyDescent="0.2">
      <c r="A220">
        <v>218</v>
      </c>
      <c r="B220" t="s">
        <v>737</v>
      </c>
      <c r="F220" t="s">
        <v>736</v>
      </c>
      <c r="G220" t="s">
        <v>4</v>
      </c>
      <c r="H220" t="s">
        <v>3</v>
      </c>
      <c r="I220" t="s">
        <v>735</v>
      </c>
      <c r="N220">
        <v>3</v>
      </c>
      <c r="O220" t="s">
        <v>734</v>
      </c>
      <c r="P220" t="s">
        <v>733</v>
      </c>
      <c r="Q220" t="s">
        <v>32</v>
      </c>
      <c r="R220" s="7">
        <v>33086</v>
      </c>
      <c r="S220" s="8">
        <f t="shared" si="24"/>
        <v>1990</v>
      </c>
      <c r="T220" s="8">
        <v>1990</v>
      </c>
      <c r="U220" s="8">
        <f t="shared" si="25"/>
        <v>32</v>
      </c>
      <c r="V220" s="7">
        <v>33086</v>
      </c>
      <c r="W220" t="s">
        <v>31</v>
      </c>
      <c r="X220" s="2">
        <v>0.14099999999999999</v>
      </c>
      <c r="Y220" s="6">
        <f t="shared" si="26"/>
        <v>3.7639144710498915E-3</v>
      </c>
      <c r="AA220">
        <v>402508</v>
      </c>
      <c r="AB220">
        <v>20868</v>
      </c>
      <c r="AD220" t="s">
        <v>1</v>
      </c>
      <c r="AE220">
        <v>45</v>
      </c>
      <c r="AF220">
        <v>9</v>
      </c>
      <c r="AH220" t="s">
        <v>732</v>
      </c>
      <c r="AI220" t="s">
        <v>731</v>
      </c>
      <c r="AK220" t="s">
        <v>730</v>
      </c>
      <c r="AL220">
        <v>0</v>
      </c>
      <c r="AM220" s="5">
        <f t="shared" si="27"/>
        <v>0</v>
      </c>
      <c r="AN220" s="4">
        <f t="shared" si="28"/>
        <v>0</v>
      </c>
      <c r="AO220" s="3"/>
      <c r="AP220">
        <v>0</v>
      </c>
      <c r="AR220" t="s">
        <v>0</v>
      </c>
      <c r="AT220" s="2" t="s">
        <v>13</v>
      </c>
      <c r="AU220" s="1">
        <f t="shared" si="29"/>
        <v>0.26347401297349238</v>
      </c>
      <c r="AV220" s="1">
        <f t="shared" si="30"/>
        <v>0.18819572355249459</v>
      </c>
      <c r="AW220" s="1">
        <f t="shared" si="31"/>
        <v>0.11291743413149673</v>
      </c>
    </row>
    <row r="221" spans="1:49" x14ac:dyDescent="0.2">
      <c r="A221">
        <v>219</v>
      </c>
      <c r="B221" t="s">
        <v>729</v>
      </c>
      <c r="F221" t="s">
        <v>728</v>
      </c>
      <c r="G221" t="s">
        <v>4</v>
      </c>
      <c r="H221" t="s">
        <v>3</v>
      </c>
      <c r="I221" t="s">
        <v>252</v>
      </c>
      <c r="N221">
        <v>2</v>
      </c>
      <c r="O221" t="s">
        <v>727</v>
      </c>
      <c r="P221" t="s">
        <v>726</v>
      </c>
      <c r="Q221" t="s">
        <v>12</v>
      </c>
      <c r="R221" s="7">
        <v>33086</v>
      </c>
      <c r="S221" s="8">
        <f t="shared" si="24"/>
        <v>1990</v>
      </c>
      <c r="T221" s="8">
        <v>1990</v>
      </c>
      <c r="U221" s="8">
        <f t="shared" si="25"/>
        <v>32</v>
      </c>
      <c r="V221" s="7">
        <v>33086</v>
      </c>
      <c r="W221" t="s">
        <v>31</v>
      </c>
      <c r="X221" s="2">
        <v>0.14099999999999999</v>
      </c>
      <c r="Y221" s="6">
        <f t="shared" si="26"/>
        <v>3.7639144710498915E-3</v>
      </c>
      <c r="AA221">
        <v>402508</v>
      </c>
      <c r="AB221">
        <v>20868</v>
      </c>
      <c r="AD221" t="s">
        <v>1</v>
      </c>
      <c r="AE221">
        <v>45</v>
      </c>
      <c r="AF221">
        <v>9</v>
      </c>
      <c r="AH221" t="s">
        <v>725</v>
      </c>
      <c r="AI221" t="s">
        <v>724</v>
      </c>
      <c r="AK221" t="s">
        <v>723</v>
      </c>
      <c r="AL221">
        <v>0</v>
      </c>
      <c r="AM221" s="5">
        <f t="shared" si="27"/>
        <v>0</v>
      </c>
      <c r="AN221" s="4">
        <f t="shared" si="28"/>
        <v>0</v>
      </c>
      <c r="AO221" s="3"/>
      <c r="AP221">
        <v>0</v>
      </c>
      <c r="AR221" t="s">
        <v>0</v>
      </c>
      <c r="AT221" s="2" t="s">
        <v>13</v>
      </c>
      <c r="AU221" s="1">
        <f t="shared" si="29"/>
        <v>0.26347401297349238</v>
      </c>
      <c r="AV221" s="1">
        <f t="shared" si="30"/>
        <v>0.18819572355249459</v>
      </c>
      <c r="AW221" s="1">
        <f t="shared" si="31"/>
        <v>0.11291743413149673</v>
      </c>
    </row>
    <row r="222" spans="1:49" x14ac:dyDescent="0.2">
      <c r="A222">
        <v>220</v>
      </c>
      <c r="B222" t="s">
        <v>722</v>
      </c>
      <c r="F222" t="s">
        <v>721</v>
      </c>
      <c r="G222" t="s">
        <v>4</v>
      </c>
      <c r="H222" t="s">
        <v>3</v>
      </c>
      <c r="I222" t="s">
        <v>720</v>
      </c>
      <c r="N222">
        <v>1</v>
      </c>
      <c r="O222" t="s">
        <v>719</v>
      </c>
      <c r="P222">
        <v>6602069585</v>
      </c>
      <c r="R222" s="7">
        <v>33086</v>
      </c>
      <c r="S222" s="8">
        <f t="shared" si="24"/>
        <v>1990</v>
      </c>
      <c r="T222" s="8">
        <v>1990</v>
      </c>
      <c r="U222" s="8">
        <f t="shared" si="25"/>
        <v>32</v>
      </c>
      <c r="V222" s="7">
        <v>33086</v>
      </c>
      <c r="W222" t="s">
        <v>31</v>
      </c>
      <c r="X222" s="2">
        <v>0.14099999999999999</v>
      </c>
      <c r="Y222" s="6">
        <f t="shared" si="26"/>
        <v>3.7639144710498915E-3</v>
      </c>
      <c r="AA222">
        <v>402508</v>
      </c>
      <c r="AB222">
        <v>20868</v>
      </c>
      <c r="AD222" t="s">
        <v>1</v>
      </c>
      <c r="AE222">
        <v>45</v>
      </c>
      <c r="AF222">
        <v>9</v>
      </c>
      <c r="AH222" t="s">
        <v>718</v>
      </c>
      <c r="AI222" t="s">
        <v>717</v>
      </c>
      <c r="AK222" t="s">
        <v>716</v>
      </c>
      <c r="AL222">
        <v>0</v>
      </c>
      <c r="AM222" s="5">
        <f t="shared" si="27"/>
        <v>0</v>
      </c>
      <c r="AN222" s="4">
        <f t="shared" si="28"/>
        <v>0</v>
      </c>
      <c r="AO222" s="3"/>
      <c r="AP222">
        <v>0</v>
      </c>
      <c r="AR222" t="s">
        <v>0</v>
      </c>
      <c r="AT222" s="2" t="s">
        <v>13</v>
      </c>
      <c r="AU222" s="1">
        <f t="shared" si="29"/>
        <v>0.26347401297349238</v>
      </c>
      <c r="AV222" s="1">
        <f t="shared" si="30"/>
        <v>0.18819572355249459</v>
      </c>
      <c r="AW222" s="1">
        <f t="shared" si="31"/>
        <v>0.11291743413149673</v>
      </c>
    </row>
    <row r="223" spans="1:49" x14ac:dyDescent="0.2">
      <c r="A223">
        <v>221</v>
      </c>
      <c r="B223" t="s">
        <v>715</v>
      </c>
      <c r="F223" t="s">
        <v>714</v>
      </c>
      <c r="G223" t="s">
        <v>4</v>
      </c>
      <c r="H223" t="s">
        <v>3</v>
      </c>
      <c r="I223" t="s">
        <v>713</v>
      </c>
      <c r="N223">
        <v>1</v>
      </c>
      <c r="O223" t="s">
        <v>712</v>
      </c>
      <c r="P223">
        <v>7801675923</v>
      </c>
      <c r="R223" s="7">
        <v>33086</v>
      </c>
      <c r="S223" s="8">
        <f t="shared" si="24"/>
        <v>1990</v>
      </c>
      <c r="T223" s="8">
        <v>1990</v>
      </c>
      <c r="U223" s="8">
        <f t="shared" si="25"/>
        <v>32</v>
      </c>
      <c r="V223" s="7">
        <v>33086</v>
      </c>
      <c r="W223" t="s">
        <v>31</v>
      </c>
      <c r="X223" s="2">
        <v>0.14099999999999999</v>
      </c>
      <c r="Y223" s="6">
        <f t="shared" si="26"/>
        <v>3.7639144710498915E-3</v>
      </c>
      <c r="AA223">
        <v>402508</v>
      </c>
      <c r="AB223">
        <v>20868</v>
      </c>
      <c r="AD223" t="s">
        <v>1</v>
      </c>
      <c r="AE223">
        <v>45</v>
      </c>
      <c r="AF223">
        <v>9</v>
      </c>
      <c r="AH223" t="s">
        <v>711</v>
      </c>
      <c r="AI223" t="s">
        <v>710</v>
      </c>
      <c r="AK223" t="s">
        <v>709</v>
      </c>
      <c r="AL223">
        <v>0</v>
      </c>
      <c r="AM223" s="5">
        <f t="shared" si="27"/>
        <v>0</v>
      </c>
      <c r="AN223" s="4">
        <f t="shared" si="28"/>
        <v>0</v>
      </c>
      <c r="AO223" s="3"/>
      <c r="AP223">
        <v>0</v>
      </c>
      <c r="AR223" t="s">
        <v>0</v>
      </c>
      <c r="AT223" s="2" t="s">
        <v>13</v>
      </c>
      <c r="AU223" s="1">
        <f t="shared" si="29"/>
        <v>0.26347401297349238</v>
      </c>
      <c r="AV223" s="1">
        <f t="shared" si="30"/>
        <v>0.18819572355249459</v>
      </c>
      <c r="AW223" s="1">
        <f t="shared" si="31"/>
        <v>0.11291743413149673</v>
      </c>
    </row>
    <row r="224" spans="1:49" x14ac:dyDescent="0.2">
      <c r="A224">
        <v>222</v>
      </c>
      <c r="B224" t="s">
        <v>708</v>
      </c>
      <c r="C224" t="s">
        <v>707</v>
      </c>
      <c r="F224" t="s">
        <v>706</v>
      </c>
      <c r="G224" t="s">
        <v>4</v>
      </c>
      <c r="H224" t="s">
        <v>3</v>
      </c>
      <c r="I224" t="s">
        <v>705</v>
      </c>
      <c r="J224">
        <v>60022659</v>
      </c>
      <c r="K224" t="s">
        <v>704</v>
      </c>
      <c r="L224" t="s">
        <v>703</v>
      </c>
      <c r="M224" t="s">
        <v>19</v>
      </c>
      <c r="N224">
        <v>3</v>
      </c>
      <c r="O224" t="s">
        <v>702</v>
      </c>
      <c r="P224" t="s">
        <v>701</v>
      </c>
      <c r="Q224" t="s">
        <v>700</v>
      </c>
      <c r="R224" s="7">
        <v>33086</v>
      </c>
      <c r="S224" s="8">
        <f t="shared" si="24"/>
        <v>1990</v>
      </c>
      <c r="T224" s="8">
        <v>1990</v>
      </c>
      <c r="U224" s="8">
        <f t="shared" si="25"/>
        <v>32</v>
      </c>
      <c r="V224" s="7">
        <v>33086</v>
      </c>
      <c r="W224" t="s">
        <v>239</v>
      </c>
      <c r="X224" s="2">
        <v>0.61499999999999999</v>
      </c>
      <c r="Y224" s="6">
        <f t="shared" si="26"/>
        <v>1.6417073756706976E-2</v>
      </c>
      <c r="AA224">
        <v>1959271</v>
      </c>
      <c r="AB224">
        <v>12141</v>
      </c>
      <c r="AC224">
        <v>15729559</v>
      </c>
      <c r="AD224" t="s">
        <v>1</v>
      </c>
      <c r="AE224">
        <v>11</v>
      </c>
      <c r="AF224">
        <v>8</v>
      </c>
      <c r="AH224" t="s">
        <v>699</v>
      </c>
      <c r="AI224" t="s">
        <v>698</v>
      </c>
      <c r="AK224" t="s">
        <v>697</v>
      </c>
      <c r="AL224">
        <v>1</v>
      </c>
      <c r="AM224" s="5">
        <f t="shared" si="27"/>
        <v>3.125E-2</v>
      </c>
      <c r="AN224" s="4">
        <f t="shared" si="28"/>
        <v>4.73305566073457E-5</v>
      </c>
      <c r="AO224" s="3"/>
      <c r="AP224">
        <v>0</v>
      </c>
      <c r="AR224" t="s">
        <v>0</v>
      </c>
      <c r="AT224" s="2" t="s">
        <v>13</v>
      </c>
      <c r="AU224" s="1">
        <f t="shared" si="29"/>
        <v>1.1506150796677086</v>
      </c>
      <c r="AV224" s="1">
        <f t="shared" si="30"/>
        <v>0.82322021566571602</v>
      </c>
      <c r="AW224" s="1">
        <f t="shared" si="31"/>
        <v>0.49582535166372338</v>
      </c>
    </row>
    <row r="225" spans="1:49" x14ac:dyDescent="0.2">
      <c r="A225">
        <v>223</v>
      </c>
      <c r="B225" t="s">
        <v>696</v>
      </c>
      <c r="F225" t="s">
        <v>695</v>
      </c>
      <c r="G225" t="s">
        <v>4</v>
      </c>
      <c r="H225" t="s">
        <v>3</v>
      </c>
      <c r="I225" t="s">
        <v>694</v>
      </c>
      <c r="J225">
        <v>60028609</v>
      </c>
      <c r="K225" t="s">
        <v>693</v>
      </c>
      <c r="L225" t="s">
        <v>692</v>
      </c>
      <c r="M225" t="s">
        <v>19</v>
      </c>
      <c r="N225">
        <v>6</v>
      </c>
      <c r="O225" t="s">
        <v>691</v>
      </c>
      <c r="P225" t="s">
        <v>690</v>
      </c>
      <c r="Q225" t="s">
        <v>689</v>
      </c>
      <c r="R225" s="7">
        <v>33086</v>
      </c>
      <c r="S225" s="8">
        <f t="shared" si="24"/>
        <v>1990</v>
      </c>
      <c r="T225" s="8">
        <v>1990</v>
      </c>
      <c r="U225" s="8">
        <f t="shared" si="25"/>
        <v>32</v>
      </c>
      <c r="V225" s="7">
        <v>33086</v>
      </c>
      <c r="W225" t="s">
        <v>688</v>
      </c>
      <c r="X225" s="2" t="s">
        <v>13</v>
      </c>
      <c r="Y225" s="6" t="e">
        <f t="shared" si="26"/>
        <v>#VALUE!</v>
      </c>
      <c r="AA225">
        <v>7471599</v>
      </c>
      <c r="AB225">
        <v>35164</v>
      </c>
      <c r="AD225" t="s">
        <v>1</v>
      </c>
      <c r="AE225">
        <v>7</v>
      </c>
      <c r="AF225">
        <v>8</v>
      </c>
      <c r="AH225" t="s">
        <v>687</v>
      </c>
      <c r="AI225" t="s">
        <v>686</v>
      </c>
      <c r="AK225" t="s">
        <v>685</v>
      </c>
      <c r="AL225">
        <v>2</v>
      </c>
      <c r="AM225" s="5">
        <f t="shared" si="27"/>
        <v>6.25E-2</v>
      </c>
      <c r="AN225" s="4">
        <f t="shared" si="28"/>
        <v>9.46611132146914E-5</v>
      </c>
      <c r="AO225" s="3"/>
      <c r="AP225">
        <v>0</v>
      </c>
      <c r="AR225" t="s">
        <v>0</v>
      </c>
      <c r="AT225" s="2" t="s">
        <v>13</v>
      </c>
      <c r="AU225" s="1" t="e">
        <f t="shared" si="29"/>
        <v>#VALUE!</v>
      </c>
      <c r="AV225" s="1" t="e">
        <f t="shared" si="30"/>
        <v>#VALUE!</v>
      </c>
      <c r="AW225" s="1" t="e">
        <f t="shared" si="31"/>
        <v>#VALUE!</v>
      </c>
    </row>
    <row r="226" spans="1:49" x14ac:dyDescent="0.2">
      <c r="A226">
        <v>224</v>
      </c>
      <c r="B226" t="s">
        <v>684</v>
      </c>
      <c r="F226" t="s">
        <v>683</v>
      </c>
      <c r="G226" t="s">
        <v>4</v>
      </c>
      <c r="H226" t="s">
        <v>3</v>
      </c>
      <c r="I226" t="s">
        <v>682</v>
      </c>
      <c r="J226">
        <v>100344485</v>
      </c>
      <c r="K226" t="s">
        <v>681</v>
      </c>
      <c r="L226" t="s">
        <v>680</v>
      </c>
      <c r="M226" t="s">
        <v>14</v>
      </c>
      <c r="N226">
        <v>1</v>
      </c>
      <c r="O226" t="s">
        <v>679</v>
      </c>
      <c r="P226">
        <v>6603907868</v>
      </c>
      <c r="Q226">
        <v>100344485</v>
      </c>
      <c r="R226" s="7">
        <v>33086</v>
      </c>
      <c r="S226" s="8">
        <f t="shared" si="24"/>
        <v>1990</v>
      </c>
      <c r="T226" s="8">
        <v>1990</v>
      </c>
      <c r="U226" s="8">
        <f t="shared" si="25"/>
        <v>32</v>
      </c>
      <c r="V226" s="7">
        <v>33086</v>
      </c>
      <c r="W226" t="s">
        <v>678</v>
      </c>
      <c r="X226" s="2" t="s">
        <v>13</v>
      </c>
      <c r="Y226" s="6" t="e">
        <f t="shared" si="26"/>
        <v>#VALUE!</v>
      </c>
      <c r="AA226" t="s">
        <v>677</v>
      </c>
      <c r="AB226">
        <v>77883</v>
      </c>
      <c r="AD226" t="s">
        <v>1</v>
      </c>
      <c r="AE226">
        <v>9</v>
      </c>
      <c r="AH226" t="s">
        <v>131</v>
      </c>
      <c r="AI226" t="s">
        <v>676</v>
      </c>
      <c r="AK226" t="s">
        <v>675</v>
      </c>
      <c r="AL226">
        <v>1</v>
      </c>
      <c r="AM226" s="5">
        <f t="shared" si="27"/>
        <v>3.125E-2</v>
      </c>
      <c r="AN226" s="4">
        <f t="shared" si="28"/>
        <v>4.73305566073457E-5</v>
      </c>
      <c r="AO226" s="3"/>
      <c r="AP226">
        <v>0</v>
      </c>
      <c r="AR226" t="s">
        <v>0</v>
      </c>
      <c r="AT226" s="2" t="s">
        <v>13</v>
      </c>
      <c r="AU226" s="1" t="e">
        <f t="shared" si="29"/>
        <v>#VALUE!</v>
      </c>
      <c r="AV226" s="1" t="e">
        <f t="shared" si="30"/>
        <v>#VALUE!</v>
      </c>
      <c r="AW226" s="1" t="e">
        <f t="shared" si="31"/>
        <v>#VALUE!</v>
      </c>
    </row>
    <row r="227" spans="1:49" x14ac:dyDescent="0.2">
      <c r="A227">
        <v>225</v>
      </c>
      <c r="B227" t="s">
        <v>674</v>
      </c>
      <c r="C227" t="s">
        <v>673</v>
      </c>
      <c r="E227">
        <v>2243245</v>
      </c>
      <c r="F227" t="s">
        <v>672</v>
      </c>
      <c r="G227" t="s">
        <v>4</v>
      </c>
      <c r="H227" t="s">
        <v>3</v>
      </c>
      <c r="I227" t="s">
        <v>671</v>
      </c>
      <c r="J227">
        <v>60023324</v>
      </c>
      <c r="K227" t="s">
        <v>68</v>
      </c>
      <c r="L227" t="s">
        <v>67</v>
      </c>
      <c r="M227" t="s">
        <v>19</v>
      </c>
      <c r="N227">
        <v>2</v>
      </c>
      <c r="O227" t="s">
        <v>670</v>
      </c>
      <c r="P227" t="s">
        <v>669</v>
      </c>
      <c r="Q227" t="s">
        <v>66</v>
      </c>
      <c r="R227" s="7">
        <v>33086</v>
      </c>
      <c r="S227" s="8">
        <f t="shared" si="24"/>
        <v>1990</v>
      </c>
      <c r="T227" s="8">
        <v>1990</v>
      </c>
      <c r="U227" s="8">
        <f t="shared" si="25"/>
        <v>32</v>
      </c>
      <c r="V227" s="7">
        <v>33086</v>
      </c>
      <c r="W227" t="s">
        <v>668</v>
      </c>
      <c r="X227" s="2" t="s">
        <v>13</v>
      </c>
      <c r="Y227" s="6" t="e">
        <f t="shared" si="26"/>
        <v>#VALUE!</v>
      </c>
      <c r="AA227">
        <v>3004864</v>
      </c>
      <c r="AB227">
        <v>18573</v>
      </c>
      <c r="AC227">
        <v>15737381</v>
      </c>
      <c r="AD227" t="s">
        <v>1</v>
      </c>
      <c r="AE227">
        <v>19</v>
      </c>
      <c r="AF227">
        <v>4</v>
      </c>
      <c r="AH227" t="s">
        <v>667</v>
      </c>
      <c r="AI227" t="s">
        <v>666</v>
      </c>
      <c r="AK227" t="s">
        <v>665</v>
      </c>
      <c r="AL227">
        <v>86</v>
      </c>
      <c r="AM227" s="5">
        <f t="shared" si="27"/>
        <v>2.6875</v>
      </c>
      <c r="AN227" s="4">
        <f t="shared" si="28"/>
        <v>4.0704278682317302E-3</v>
      </c>
      <c r="AO227" s="3"/>
      <c r="AP227">
        <v>0</v>
      </c>
      <c r="AR227" t="s">
        <v>0</v>
      </c>
      <c r="AT227" s="2" t="s">
        <v>13</v>
      </c>
      <c r="AU227" s="1" t="e">
        <f t="shared" si="29"/>
        <v>#VALUE!</v>
      </c>
      <c r="AV227" s="1" t="e">
        <f t="shared" si="30"/>
        <v>#VALUE!</v>
      </c>
      <c r="AW227" s="1" t="e">
        <f t="shared" si="31"/>
        <v>#VALUE!</v>
      </c>
    </row>
    <row r="228" spans="1:49" x14ac:dyDescent="0.2">
      <c r="A228">
        <v>226</v>
      </c>
      <c r="B228" t="s">
        <v>664</v>
      </c>
      <c r="C228" t="s">
        <v>663</v>
      </c>
      <c r="F228" t="s">
        <v>662</v>
      </c>
      <c r="G228" t="s">
        <v>4</v>
      </c>
      <c r="H228" t="s">
        <v>3</v>
      </c>
      <c r="I228" t="s">
        <v>661</v>
      </c>
      <c r="J228">
        <v>60030807</v>
      </c>
      <c r="K228" t="s">
        <v>267</v>
      </c>
      <c r="L228" t="s">
        <v>266</v>
      </c>
      <c r="M228" t="s">
        <v>14</v>
      </c>
      <c r="N228">
        <v>1</v>
      </c>
      <c r="O228" t="s">
        <v>660</v>
      </c>
      <c r="P228">
        <v>6505518964</v>
      </c>
      <c r="Q228">
        <v>60030807</v>
      </c>
      <c r="R228" s="7">
        <v>33086</v>
      </c>
      <c r="S228" s="8">
        <f t="shared" si="24"/>
        <v>1990</v>
      </c>
      <c r="T228" s="8">
        <v>1990</v>
      </c>
      <c r="U228" s="8">
        <f t="shared" si="25"/>
        <v>32</v>
      </c>
      <c r="V228" s="7">
        <v>33086</v>
      </c>
      <c r="W228" t="s">
        <v>263</v>
      </c>
      <c r="X228" s="2">
        <v>0.8</v>
      </c>
      <c r="Y228" s="6">
        <f t="shared" si="26"/>
        <v>2.1355543098155415E-2</v>
      </c>
      <c r="AA228">
        <v>3407594</v>
      </c>
      <c r="AB228">
        <v>23456</v>
      </c>
      <c r="AC228">
        <v>14321351</v>
      </c>
      <c r="AD228" t="s">
        <v>1</v>
      </c>
      <c r="AE228">
        <v>167</v>
      </c>
      <c r="AF228">
        <v>3</v>
      </c>
      <c r="AH228" t="s">
        <v>659</v>
      </c>
      <c r="AI228" t="s">
        <v>658</v>
      </c>
      <c r="AJ228" t="s">
        <v>657</v>
      </c>
      <c r="AK228" t="s">
        <v>656</v>
      </c>
      <c r="AL228">
        <v>39</v>
      </c>
      <c r="AM228" s="5">
        <f t="shared" si="27"/>
        <v>1.21875</v>
      </c>
      <c r="AN228" s="4">
        <f t="shared" si="28"/>
        <v>1.8458917076864824E-3</v>
      </c>
      <c r="AO228" s="3"/>
      <c r="AP228">
        <v>0</v>
      </c>
      <c r="AR228" t="s">
        <v>0</v>
      </c>
      <c r="AT228" s="2" t="s">
        <v>13</v>
      </c>
      <c r="AU228" s="1">
        <f t="shared" si="29"/>
        <v>1.5502647681014734</v>
      </c>
      <c r="AV228" s="1">
        <f t="shared" si="30"/>
        <v>1.1600717402920948</v>
      </c>
      <c r="AW228" s="1">
        <f t="shared" si="31"/>
        <v>0.76987871248271622</v>
      </c>
    </row>
    <row r="229" spans="1:49" x14ac:dyDescent="0.2">
      <c r="A229">
        <v>227</v>
      </c>
      <c r="B229" t="s">
        <v>655</v>
      </c>
      <c r="C229" t="s">
        <v>654</v>
      </c>
      <c r="E229">
        <v>2271533</v>
      </c>
      <c r="F229" t="s">
        <v>653</v>
      </c>
      <c r="G229" t="s">
        <v>4</v>
      </c>
      <c r="H229" t="s">
        <v>3</v>
      </c>
      <c r="I229" t="s">
        <v>652</v>
      </c>
      <c r="J229" t="s">
        <v>651</v>
      </c>
      <c r="K229" t="s">
        <v>650</v>
      </c>
      <c r="L229" t="s">
        <v>649</v>
      </c>
      <c r="M229" t="s">
        <v>648</v>
      </c>
      <c r="N229">
        <v>5</v>
      </c>
      <c r="O229" t="s">
        <v>647</v>
      </c>
      <c r="P229" t="s">
        <v>646</v>
      </c>
      <c r="Q229" t="s">
        <v>645</v>
      </c>
      <c r="R229" s="7">
        <v>33086</v>
      </c>
      <c r="S229" s="8">
        <f t="shared" si="24"/>
        <v>1990</v>
      </c>
      <c r="T229" s="8">
        <v>1990</v>
      </c>
      <c r="U229" s="8">
        <f t="shared" si="25"/>
        <v>32</v>
      </c>
      <c r="V229" s="7">
        <v>33086</v>
      </c>
      <c r="W229" t="s">
        <v>251</v>
      </c>
      <c r="X229" s="2">
        <v>1.43</v>
      </c>
      <c r="Y229" s="6">
        <f t="shared" si="26"/>
        <v>3.8173033287952803E-2</v>
      </c>
      <c r="AA229">
        <v>62960</v>
      </c>
      <c r="AB229">
        <v>16867</v>
      </c>
      <c r="AC229">
        <v>15204995</v>
      </c>
      <c r="AD229" t="s">
        <v>1</v>
      </c>
      <c r="AE229">
        <v>29</v>
      </c>
      <c r="AF229">
        <v>33</v>
      </c>
      <c r="AH229" t="s">
        <v>644</v>
      </c>
      <c r="AI229" t="s">
        <v>643</v>
      </c>
      <c r="AK229" t="s">
        <v>642</v>
      </c>
      <c r="AL229">
        <v>26</v>
      </c>
      <c r="AM229" s="5">
        <f t="shared" si="27"/>
        <v>0.8125</v>
      </c>
      <c r="AN229" s="4">
        <f t="shared" si="28"/>
        <v>1.2305944717909882E-3</v>
      </c>
      <c r="AO229" s="3"/>
      <c r="AP229">
        <v>0</v>
      </c>
      <c r="AR229" t="s">
        <v>0</v>
      </c>
      <c r="AT229" s="2">
        <v>3.1619999999999999</v>
      </c>
      <c r="AU229" s="1">
        <f t="shared" si="29"/>
        <v>2.709030164310426</v>
      </c>
      <c r="AV229" s="1">
        <f t="shared" si="30"/>
        <v>1.9701813879871897</v>
      </c>
      <c r="AW229" s="1">
        <f t="shared" si="31"/>
        <v>1.2313326116639534</v>
      </c>
    </row>
    <row r="230" spans="1:49" x14ac:dyDescent="0.2">
      <c r="A230">
        <v>228</v>
      </c>
      <c r="B230" t="s">
        <v>641</v>
      </c>
      <c r="C230" t="s">
        <v>640</v>
      </c>
      <c r="F230" t="s">
        <v>639</v>
      </c>
      <c r="G230" t="s">
        <v>4</v>
      </c>
      <c r="H230" t="s">
        <v>3</v>
      </c>
      <c r="I230" t="s">
        <v>638</v>
      </c>
      <c r="J230">
        <v>60029170</v>
      </c>
      <c r="K230" t="s">
        <v>200</v>
      </c>
      <c r="L230" t="s">
        <v>199</v>
      </c>
      <c r="M230" t="s">
        <v>20</v>
      </c>
      <c r="N230">
        <v>2</v>
      </c>
      <c r="O230" t="s">
        <v>637</v>
      </c>
      <c r="P230" t="s">
        <v>636</v>
      </c>
      <c r="Q230" t="s">
        <v>635</v>
      </c>
      <c r="R230" s="7">
        <v>33086</v>
      </c>
      <c r="S230" s="8">
        <f t="shared" si="24"/>
        <v>1990</v>
      </c>
      <c r="T230" s="8">
        <v>1990</v>
      </c>
      <c r="U230" s="8">
        <f t="shared" si="25"/>
        <v>32</v>
      </c>
      <c r="V230" s="7">
        <v>33086</v>
      </c>
      <c r="W230" t="s">
        <v>248</v>
      </c>
      <c r="X230" s="2">
        <v>1.1579999999999999</v>
      </c>
      <c r="Y230" s="6">
        <f t="shared" si="26"/>
        <v>3.0912148634579962E-2</v>
      </c>
      <c r="AA230">
        <v>1668595</v>
      </c>
      <c r="AB230">
        <v>14223</v>
      </c>
      <c r="AC230">
        <v>15735079</v>
      </c>
      <c r="AD230" t="s">
        <v>1</v>
      </c>
      <c r="AE230">
        <v>25</v>
      </c>
      <c r="AF230">
        <v>2</v>
      </c>
      <c r="AH230" t="s">
        <v>634</v>
      </c>
      <c r="AI230" t="s">
        <v>633</v>
      </c>
      <c r="AJ230" t="s">
        <v>632</v>
      </c>
      <c r="AK230" t="s">
        <v>631</v>
      </c>
      <c r="AL230">
        <v>48</v>
      </c>
      <c r="AM230" s="5">
        <f t="shared" si="27"/>
        <v>1.5</v>
      </c>
      <c r="AN230" s="4">
        <f t="shared" si="28"/>
        <v>2.2718667171525938E-3</v>
      </c>
      <c r="AO230" s="3"/>
      <c r="AP230">
        <v>0</v>
      </c>
      <c r="AR230" t="s">
        <v>0</v>
      </c>
      <c r="AT230" s="2">
        <v>3.573</v>
      </c>
      <c r="AU230" s="1">
        <f t="shared" si="29"/>
        <v>2.232006405935175</v>
      </c>
      <c r="AV230" s="1">
        <f t="shared" si="30"/>
        <v>1.6592007675866278</v>
      </c>
      <c r="AW230" s="1">
        <f t="shared" si="31"/>
        <v>1.0863951292380805</v>
      </c>
    </row>
    <row r="231" spans="1:49" x14ac:dyDescent="0.2">
      <c r="A231">
        <v>229</v>
      </c>
      <c r="B231" t="s">
        <v>630</v>
      </c>
      <c r="C231" t="s">
        <v>629</v>
      </c>
      <c r="D231" t="s">
        <v>628</v>
      </c>
      <c r="E231">
        <v>2384171</v>
      </c>
      <c r="F231" t="s">
        <v>627</v>
      </c>
      <c r="G231" t="s">
        <v>4</v>
      </c>
      <c r="H231" t="s">
        <v>3</v>
      </c>
      <c r="I231" t="s">
        <v>626</v>
      </c>
      <c r="J231" t="s">
        <v>625</v>
      </c>
      <c r="K231" t="s">
        <v>624</v>
      </c>
      <c r="L231" t="s">
        <v>623</v>
      </c>
      <c r="M231" t="s">
        <v>622</v>
      </c>
      <c r="N231">
        <v>5</v>
      </c>
      <c r="O231" t="s">
        <v>621</v>
      </c>
      <c r="P231" t="s">
        <v>620</v>
      </c>
      <c r="Q231" t="s">
        <v>619</v>
      </c>
      <c r="R231" s="7">
        <v>33084</v>
      </c>
      <c r="S231" s="8">
        <f t="shared" si="24"/>
        <v>1990</v>
      </c>
      <c r="T231" s="8">
        <v>1990</v>
      </c>
      <c r="U231" s="8">
        <f t="shared" si="25"/>
        <v>32</v>
      </c>
      <c r="V231" s="7">
        <v>33084</v>
      </c>
      <c r="W231" t="s">
        <v>283</v>
      </c>
      <c r="X231" s="2">
        <v>1.593</v>
      </c>
      <c r="Y231" s="6">
        <f t="shared" si="26"/>
        <v>4.2524225194201973E-2</v>
      </c>
      <c r="AA231">
        <v>145793</v>
      </c>
      <c r="AB231">
        <v>17481</v>
      </c>
      <c r="AD231" t="s">
        <v>1</v>
      </c>
      <c r="AE231">
        <v>268</v>
      </c>
      <c r="AF231">
        <v>1</v>
      </c>
      <c r="AH231" t="s">
        <v>618</v>
      </c>
      <c r="AI231" t="s">
        <v>617</v>
      </c>
      <c r="AJ231" t="s">
        <v>616</v>
      </c>
      <c r="AK231" t="s">
        <v>615</v>
      </c>
      <c r="AL231">
        <v>17</v>
      </c>
      <c r="AM231" s="5">
        <f t="shared" si="27"/>
        <v>0.53125</v>
      </c>
      <c r="AN231" s="4">
        <f t="shared" si="28"/>
        <v>8.0461946232487697E-4</v>
      </c>
      <c r="AO231" s="3"/>
      <c r="AP231">
        <v>1</v>
      </c>
      <c r="AR231" t="s">
        <v>0</v>
      </c>
      <c r="AT231" s="2">
        <v>4.1239999999999997</v>
      </c>
      <c r="AU231" s="1">
        <f t="shared" si="29"/>
        <v>3.0008343474638841</v>
      </c>
      <c r="AV231" s="1">
        <f t="shared" si="30"/>
        <v>2.1664422328263426</v>
      </c>
      <c r="AW231" s="1">
        <f t="shared" si="31"/>
        <v>1.3320501181888005</v>
      </c>
    </row>
    <row r="232" spans="1:49" x14ac:dyDescent="0.2">
      <c r="A232">
        <v>230</v>
      </c>
      <c r="B232" t="s">
        <v>614</v>
      </c>
      <c r="C232" t="s">
        <v>613</v>
      </c>
      <c r="D232" t="s">
        <v>612</v>
      </c>
      <c r="F232" t="s">
        <v>611</v>
      </c>
      <c r="G232" t="s">
        <v>4</v>
      </c>
      <c r="H232" t="s">
        <v>3</v>
      </c>
      <c r="I232" t="s">
        <v>610</v>
      </c>
      <c r="J232">
        <v>60016849</v>
      </c>
      <c r="K232" t="s">
        <v>175</v>
      </c>
      <c r="L232" t="s">
        <v>174</v>
      </c>
      <c r="M232" t="s">
        <v>102</v>
      </c>
      <c r="N232">
        <v>3</v>
      </c>
      <c r="O232" t="s">
        <v>609</v>
      </c>
      <c r="P232" t="s">
        <v>608</v>
      </c>
      <c r="Q232" t="s">
        <v>607</v>
      </c>
      <c r="R232" s="7">
        <v>33084</v>
      </c>
      <c r="S232" s="8">
        <f t="shared" si="24"/>
        <v>1990</v>
      </c>
      <c r="T232" s="8">
        <v>1990</v>
      </c>
      <c r="U232" s="8">
        <f t="shared" si="25"/>
        <v>32</v>
      </c>
      <c r="V232" s="7">
        <v>33084</v>
      </c>
      <c r="W232" t="s">
        <v>606</v>
      </c>
      <c r="X232" s="2" t="s">
        <v>13</v>
      </c>
      <c r="Y232" s="6" t="e">
        <f t="shared" si="26"/>
        <v>#VALUE!</v>
      </c>
      <c r="AA232">
        <v>10106030</v>
      </c>
      <c r="AB232">
        <v>26966</v>
      </c>
      <c r="AD232" t="s">
        <v>1</v>
      </c>
      <c r="AE232">
        <v>53</v>
      </c>
      <c r="AF232">
        <v>2</v>
      </c>
      <c r="AH232" t="s">
        <v>605</v>
      </c>
      <c r="AI232" t="s">
        <v>604</v>
      </c>
      <c r="AK232" t="s">
        <v>603</v>
      </c>
      <c r="AL232">
        <v>22</v>
      </c>
      <c r="AM232" s="5">
        <f t="shared" si="27"/>
        <v>0.6875</v>
      </c>
      <c r="AN232" s="4">
        <f t="shared" si="28"/>
        <v>1.0412722453616054E-3</v>
      </c>
      <c r="AO232" s="3"/>
      <c r="AP232">
        <v>0</v>
      </c>
      <c r="AQ232" t="s">
        <v>160</v>
      </c>
      <c r="AR232" t="s">
        <v>0</v>
      </c>
      <c r="AS232" t="s">
        <v>159</v>
      </c>
      <c r="AT232" s="2" t="s">
        <v>13</v>
      </c>
      <c r="AU232" s="1" t="e">
        <f t="shared" si="29"/>
        <v>#VALUE!</v>
      </c>
      <c r="AV232" s="1" t="e">
        <f t="shared" si="30"/>
        <v>#VALUE!</v>
      </c>
      <c r="AW232" s="1" t="e">
        <f t="shared" si="31"/>
        <v>#VALUE!</v>
      </c>
    </row>
    <row r="233" spans="1:49" x14ac:dyDescent="0.2">
      <c r="A233">
        <v>231</v>
      </c>
      <c r="B233" t="s">
        <v>602</v>
      </c>
      <c r="C233" t="s">
        <v>601</v>
      </c>
      <c r="F233" t="s">
        <v>600</v>
      </c>
      <c r="G233" t="s">
        <v>4</v>
      </c>
      <c r="H233" t="s">
        <v>3</v>
      </c>
      <c r="I233" t="s">
        <v>599</v>
      </c>
      <c r="J233" t="s">
        <v>598</v>
      </c>
      <c r="K233" t="s">
        <v>597</v>
      </c>
      <c r="L233" t="s">
        <v>596</v>
      </c>
      <c r="M233" t="s">
        <v>595</v>
      </c>
      <c r="N233">
        <v>28</v>
      </c>
      <c r="O233" t="s">
        <v>594</v>
      </c>
      <c r="P233" t="s">
        <v>593</v>
      </c>
      <c r="Q233" t="s">
        <v>592</v>
      </c>
      <c r="R233" s="7">
        <v>33074</v>
      </c>
      <c r="S233" s="8">
        <f t="shared" si="24"/>
        <v>1990</v>
      </c>
      <c r="T233" s="8">
        <v>1990</v>
      </c>
      <c r="U233" s="8">
        <f t="shared" si="25"/>
        <v>32</v>
      </c>
      <c r="V233" s="7">
        <v>33074</v>
      </c>
      <c r="W233" t="s">
        <v>30</v>
      </c>
      <c r="X233" s="2">
        <v>2.3759999999999999</v>
      </c>
      <c r="Y233" s="6">
        <f t="shared" si="26"/>
        <v>6.3425963001521576E-2</v>
      </c>
      <c r="AA233" t="s">
        <v>29</v>
      </c>
      <c r="AB233">
        <v>26765</v>
      </c>
      <c r="AC233">
        <v>15384357</v>
      </c>
      <c r="AD233" t="s">
        <v>1</v>
      </c>
      <c r="AE233">
        <v>358</v>
      </c>
      <c r="AF233">
        <v>1</v>
      </c>
      <c r="AH233" t="s">
        <v>591</v>
      </c>
      <c r="AI233" t="s">
        <v>590</v>
      </c>
      <c r="AJ233" t="s">
        <v>589</v>
      </c>
      <c r="AK233" t="s">
        <v>588</v>
      </c>
      <c r="AL233">
        <v>40</v>
      </c>
      <c r="AM233" s="5">
        <f t="shared" si="27"/>
        <v>1.25</v>
      </c>
      <c r="AN233" s="4">
        <f t="shared" si="28"/>
        <v>1.8932222642938281E-3</v>
      </c>
      <c r="AO233" s="3"/>
      <c r="AP233">
        <v>0</v>
      </c>
      <c r="AR233" t="s">
        <v>0</v>
      </c>
      <c r="AT233" s="2">
        <v>5.8739999999999997</v>
      </c>
      <c r="AU233" s="1">
        <f t="shared" si="29"/>
        <v>4.496614078035325</v>
      </c>
      <c r="AV233" s="1">
        <f t="shared" si="30"/>
        <v>3.2659592632907701</v>
      </c>
      <c r="AW233" s="1">
        <f t="shared" si="31"/>
        <v>2.0353044485462153</v>
      </c>
    </row>
    <row r="234" spans="1:49" x14ac:dyDescent="0.2">
      <c r="A234">
        <v>232</v>
      </c>
      <c r="B234" t="s">
        <v>587</v>
      </c>
      <c r="C234" t="s">
        <v>586</v>
      </c>
      <c r="D234" t="s">
        <v>585</v>
      </c>
      <c r="F234" t="s">
        <v>584</v>
      </c>
      <c r="G234" t="s">
        <v>4</v>
      </c>
      <c r="H234" t="s">
        <v>3</v>
      </c>
      <c r="I234" t="s">
        <v>583</v>
      </c>
      <c r="J234">
        <v>60008134</v>
      </c>
      <c r="K234" t="s">
        <v>249</v>
      </c>
      <c r="L234" t="s">
        <v>215</v>
      </c>
      <c r="M234" t="s">
        <v>94</v>
      </c>
      <c r="N234">
        <v>2</v>
      </c>
      <c r="O234" t="s">
        <v>582</v>
      </c>
      <c r="P234" t="s">
        <v>581</v>
      </c>
      <c r="Q234" t="s">
        <v>580</v>
      </c>
      <c r="R234" s="7">
        <v>33071</v>
      </c>
      <c r="S234" s="8">
        <f t="shared" si="24"/>
        <v>1990</v>
      </c>
      <c r="T234" s="8">
        <v>1990</v>
      </c>
      <c r="U234" s="8">
        <f t="shared" si="25"/>
        <v>32</v>
      </c>
      <c r="V234" s="7">
        <v>33071</v>
      </c>
      <c r="W234" t="s">
        <v>234</v>
      </c>
      <c r="X234" s="2">
        <v>1.59</v>
      </c>
      <c r="Y234" s="6">
        <f t="shared" si="26"/>
        <v>4.2444141907583888E-2</v>
      </c>
      <c r="AA234">
        <v>52728</v>
      </c>
      <c r="AB234">
        <v>16791</v>
      </c>
      <c r="AD234" t="s">
        <v>1</v>
      </c>
      <c r="AE234">
        <v>1018</v>
      </c>
      <c r="AF234">
        <v>1</v>
      </c>
      <c r="AH234" t="s">
        <v>579</v>
      </c>
      <c r="AI234" t="s">
        <v>578</v>
      </c>
      <c r="AJ234" t="s">
        <v>577</v>
      </c>
      <c r="AK234" t="s">
        <v>576</v>
      </c>
      <c r="AL234">
        <v>9</v>
      </c>
      <c r="AM234" s="5">
        <f t="shared" si="27"/>
        <v>0.28125</v>
      </c>
      <c r="AN234" s="4">
        <f t="shared" si="28"/>
        <v>4.2597500946611131E-4</v>
      </c>
      <c r="AO234" s="3"/>
      <c r="AP234">
        <v>0</v>
      </c>
      <c r="AR234" t="s">
        <v>0</v>
      </c>
      <c r="AT234" s="2" t="s">
        <v>13</v>
      </c>
      <c r="AU234" s="1">
        <f t="shared" si="29"/>
        <v>2.9838691838148557</v>
      </c>
      <c r="AV234" s="1">
        <f t="shared" si="30"/>
        <v>2.1435058458524998</v>
      </c>
      <c r="AW234" s="1">
        <f t="shared" si="31"/>
        <v>1.3031425078901444</v>
      </c>
    </row>
    <row r="235" spans="1:49" x14ac:dyDescent="0.2">
      <c r="A235">
        <v>233</v>
      </c>
      <c r="B235" t="s">
        <v>575</v>
      </c>
      <c r="C235" t="s">
        <v>574</v>
      </c>
      <c r="D235" t="s">
        <v>573</v>
      </c>
      <c r="F235" t="s">
        <v>572</v>
      </c>
      <c r="G235" t="s">
        <v>4</v>
      </c>
      <c r="H235" t="s">
        <v>3</v>
      </c>
      <c r="I235" t="s">
        <v>571</v>
      </c>
      <c r="J235">
        <v>60007457</v>
      </c>
      <c r="K235" t="s">
        <v>259</v>
      </c>
      <c r="L235" t="s">
        <v>187</v>
      </c>
      <c r="M235" t="s">
        <v>148</v>
      </c>
      <c r="N235">
        <v>2</v>
      </c>
      <c r="O235" t="s">
        <v>570</v>
      </c>
      <c r="P235" t="s">
        <v>569</v>
      </c>
      <c r="Q235" t="s">
        <v>568</v>
      </c>
      <c r="R235" s="7">
        <v>33070</v>
      </c>
      <c r="S235" s="8">
        <f t="shared" si="24"/>
        <v>1990</v>
      </c>
      <c r="T235" s="8">
        <v>1990</v>
      </c>
      <c r="U235" s="8">
        <f t="shared" si="25"/>
        <v>32</v>
      </c>
      <c r="V235" s="7">
        <v>33070</v>
      </c>
      <c r="W235" t="s">
        <v>235</v>
      </c>
      <c r="X235" s="2">
        <v>0.499</v>
      </c>
      <c r="Y235" s="6">
        <f t="shared" si="26"/>
        <v>1.332052000747444E-2</v>
      </c>
      <c r="AA235">
        <v>3759601</v>
      </c>
      <c r="AB235">
        <v>29464</v>
      </c>
      <c r="AD235" t="s">
        <v>1</v>
      </c>
      <c r="AE235">
        <v>147</v>
      </c>
      <c r="AF235" s="9">
        <v>44352</v>
      </c>
      <c r="AH235" t="s">
        <v>567</v>
      </c>
      <c r="AI235" t="s">
        <v>566</v>
      </c>
      <c r="AK235" t="s">
        <v>565</v>
      </c>
      <c r="AL235">
        <v>75</v>
      </c>
      <c r="AM235" s="5">
        <f t="shared" si="27"/>
        <v>2.34375</v>
      </c>
      <c r="AN235" s="4">
        <f t="shared" si="28"/>
        <v>3.5497917455509275E-3</v>
      </c>
      <c r="AO235" s="3"/>
      <c r="AP235">
        <v>0</v>
      </c>
      <c r="AR235" t="s">
        <v>0</v>
      </c>
      <c r="AT235" s="2">
        <v>2.6539999999999999</v>
      </c>
      <c r="AU235" s="1">
        <f t="shared" si="29"/>
        <v>1.0389301528897386</v>
      </c>
      <c r="AV235" s="1">
        <f t="shared" si="30"/>
        <v>0.84351558765126833</v>
      </c>
      <c r="AW235" s="1">
        <f t="shared" si="31"/>
        <v>0.6481010224127981</v>
      </c>
    </row>
    <row r="236" spans="1:49" x14ac:dyDescent="0.2">
      <c r="A236">
        <v>234</v>
      </c>
      <c r="B236" t="s">
        <v>564</v>
      </c>
      <c r="C236" t="s">
        <v>563</v>
      </c>
      <c r="D236" t="s">
        <v>562</v>
      </c>
      <c r="E236">
        <v>2207686</v>
      </c>
      <c r="F236" t="s">
        <v>561</v>
      </c>
      <c r="G236" t="s">
        <v>4</v>
      </c>
      <c r="H236" t="s">
        <v>3</v>
      </c>
      <c r="I236" t="s">
        <v>560</v>
      </c>
      <c r="J236">
        <v>60030835</v>
      </c>
      <c r="K236" t="s">
        <v>188</v>
      </c>
      <c r="L236" t="s">
        <v>147</v>
      </c>
      <c r="M236" t="s">
        <v>102</v>
      </c>
      <c r="N236">
        <v>3</v>
      </c>
      <c r="O236" t="s">
        <v>559</v>
      </c>
      <c r="P236" t="s">
        <v>558</v>
      </c>
      <c r="Q236" t="s">
        <v>557</v>
      </c>
      <c r="R236" s="7">
        <v>33070</v>
      </c>
      <c r="S236" s="8">
        <f t="shared" si="24"/>
        <v>1990</v>
      </c>
      <c r="T236" s="8">
        <v>1990</v>
      </c>
      <c r="U236" s="8">
        <f t="shared" si="25"/>
        <v>32</v>
      </c>
      <c r="V236" s="7">
        <v>33070</v>
      </c>
      <c r="W236" t="s">
        <v>556</v>
      </c>
      <c r="X236" s="2">
        <v>1.0369999999999999</v>
      </c>
      <c r="Y236" s="6">
        <f t="shared" si="26"/>
        <v>2.7682122740983955E-2</v>
      </c>
      <c r="AA236">
        <v>68993</v>
      </c>
      <c r="AB236">
        <v>14346</v>
      </c>
      <c r="AD236" t="s">
        <v>1</v>
      </c>
      <c r="AE236">
        <v>523</v>
      </c>
      <c r="AF236">
        <v>1</v>
      </c>
      <c r="AH236" t="s">
        <v>555</v>
      </c>
      <c r="AI236" t="s">
        <v>554</v>
      </c>
      <c r="AJ236" t="s">
        <v>553</v>
      </c>
      <c r="AK236" t="s">
        <v>552</v>
      </c>
      <c r="AL236">
        <v>11</v>
      </c>
      <c r="AM236" s="5">
        <f t="shared" si="27"/>
        <v>0.34375</v>
      </c>
      <c r="AN236" s="4">
        <f t="shared" si="28"/>
        <v>5.2063612268080268E-4</v>
      </c>
      <c r="AO236" s="3"/>
      <c r="AP236">
        <v>0</v>
      </c>
      <c r="AQ236" t="s">
        <v>551</v>
      </c>
      <c r="AR236" t="s">
        <v>0</v>
      </c>
      <c r="AS236" t="s">
        <v>550</v>
      </c>
      <c r="AT236" s="2">
        <v>3.2519999999999998</v>
      </c>
      <c r="AU236" s="1">
        <f t="shared" si="29"/>
        <v>1.9533676755493008</v>
      </c>
      <c r="AV236" s="1">
        <f t="shared" si="30"/>
        <v>1.4101379431832379</v>
      </c>
      <c r="AW236" s="1">
        <f t="shared" si="31"/>
        <v>0.86690821081717473</v>
      </c>
    </row>
    <row r="237" spans="1:49" x14ac:dyDescent="0.2">
      <c r="A237">
        <v>235</v>
      </c>
      <c r="B237" t="s">
        <v>549</v>
      </c>
      <c r="F237" t="s">
        <v>548</v>
      </c>
      <c r="G237" t="s">
        <v>4</v>
      </c>
      <c r="H237" t="s">
        <v>3</v>
      </c>
      <c r="I237" t="s">
        <v>547</v>
      </c>
      <c r="J237">
        <v>101481623</v>
      </c>
      <c r="K237" t="s">
        <v>546</v>
      </c>
      <c r="M237" t="s">
        <v>2</v>
      </c>
      <c r="N237">
        <v>2</v>
      </c>
      <c r="O237" t="s">
        <v>545</v>
      </c>
      <c r="P237" t="s">
        <v>544</v>
      </c>
      <c r="Q237" t="s">
        <v>543</v>
      </c>
      <c r="R237" s="7">
        <v>33057</v>
      </c>
      <c r="S237" s="8">
        <f t="shared" si="24"/>
        <v>1990</v>
      </c>
      <c r="T237" s="8">
        <v>1990</v>
      </c>
      <c r="U237" s="8">
        <f t="shared" si="25"/>
        <v>32</v>
      </c>
      <c r="V237" s="7">
        <v>33057</v>
      </c>
      <c r="W237" t="s">
        <v>542</v>
      </c>
      <c r="X237" s="2" t="s">
        <v>13</v>
      </c>
      <c r="Y237" s="6" t="e">
        <f t="shared" si="26"/>
        <v>#VALUE!</v>
      </c>
      <c r="AA237">
        <v>392553</v>
      </c>
      <c r="AB237">
        <v>37129</v>
      </c>
      <c r="AD237" t="s">
        <v>1</v>
      </c>
      <c r="AE237">
        <v>68</v>
      </c>
      <c r="AF237">
        <v>13</v>
      </c>
      <c r="AH237" t="s">
        <v>541</v>
      </c>
      <c r="AI237" t="s">
        <v>540</v>
      </c>
      <c r="AK237" t="s">
        <v>539</v>
      </c>
      <c r="AL237">
        <v>0</v>
      </c>
      <c r="AM237" s="5">
        <f t="shared" si="27"/>
        <v>0</v>
      </c>
      <c r="AN237" s="4">
        <f t="shared" si="28"/>
        <v>0</v>
      </c>
      <c r="AO237" s="3"/>
      <c r="AP237">
        <v>0</v>
      </c>
      <c r="AR237" t="s">
        <v>0</v>
      </c>
      <c r="AT237" s="2" t="s">
        <v>13</v>
      </c>
      <c r="AU237" s="1" t="e">
        <f t="shared" si="29"/>
        <v>#VALUE!</v>
      </c>
      <c r="AV237" s="1" t="e">
        <f t="shared" si="30"/>
        <v>#VALUE!</v>
      </c>
      <c r="AW237" s="1" t="e">
        <f t="shared" si="31"/>
        <v>#VALUE!</v>
      </c>
    </row>
    <row r="238" spans="1:49" x14ac:dyDescent="0.2">
      <c r="A238">
        <v>236</v>
      </c>
      <c r="B238" t="s">
        <v>538</v>
      </c>
      <c r="C238" t="s">
        <v>537</v>
      </c>
      <c r="F238" t="s">
        <v>536</v>
      </c>
      <c r="G238" t="s">
        <v>4</v>
      </c>
      <c r="H238" t="s">
        <v>3</v>
      </c>
      <c r="I238" t="s">
        <v>535</v>
      </c>
      <c r="J238" t="s">
        <v>534</v>
      </c>
      <c r="K238" t="s">
        <v>533</v>
      </c>
      <c r="L238" t="s">
        <v>532</v>
      </c>
      <c r="M238" t="s">
        <v>482</v>
      </c>
      <c r="N238">
        <v>3</v>
      </c>
      <c r="O238" t="s">
        <v>531</v>
      </c>
      <c r="P238" t="s">
        <v>530</v>
      </c>
      <c r="Q238" t="s">
        <v>529</v>
      </c>
      <c r="R238" s="7">
        <v>33055</v>
      </c>
      <c r="S238" s="8">
        <f t="shared" si="24"/>
        <v>1990</v>
      </c>
      <c r="T238" s="8">
        <v>1990</v>
      </c>
      <c r="U238" s="8">
        <f t="shared" si="25"/>
        <v>32</v>
      </c>
      <c r="V238" s="7">
        <v>33055</v>
      </c>
      <c r="W238" t="s">
        <v>221</v>
      </c>
      <c r="X238" s="2">
        <v>0.11700000000000001</v>
      </c>
      <c r="Y238" s="6">
        <f t="shared" si="26"/>
        <v>3.1232481781052297E-3</v>
      </c>
      <c r="AA238">
        <v>2179822</v>
      </c>
      <c r="AB238">
        <v>5300152612</v>
      </c>
      <c r="AC238">
        <v>19930615</v>
      </c>
      <c r="AD238" t="s">
        <v>1</v>
      </c>
      <c r="AE238">
        <v>7</v>
      </c>
      <c r="AF238">
        <v>3</v>
      </c>
      <c r="AH238" t="s">
        <v>528</v>
      </c>
      <c r="AI238" t="s">
        <v>527</v>
      </c>
      <c r="AJ238" t="s">
        <v>526</v>
      </c>
      <c r="AK238" t="s">
        <v>525</v>
      </c>
      <c r="AL238">
        <v>0</v>
      </c>
      <c r="AM238" s="5">
        <f t="shared" si="27"/>
        <v>0</v>
      </c>
      <c r="AN238" s="4">
        <f t="shared" si="28"/>
        <v>0</v>
      </c>
      <c r="AO238" s="3"/>
      <c r="AP238">
        <v>0</v>
      </c>
      <c r="AR238" t="s">
        <v>0</v>
      </c>
      <c r="AT238" s="2" t="s">
        <v>13</v>
      </c>
      <c r="AU238" s="1">
        <f t="shared" si="29"/>
        <v>0.21862737246736608</v>
      </c>
      <c r="AV238" s="1">
        <f t="shared" si="30"/>
        <v>0.15616240890526148</v>
      </c>
      <c r="AW238" s="1">
        <f t="shared" si="31"/>
        <v>9.3697445343156896E-2</v>
      </c>
    </row>
    <row r="239" spans="1:49" x14ac:dyDescent="0.2">
      <c r="A239">
        <v>237</v>
      </c>
      <c r="B239" t="s">
        <v>524</v>
      </c>
      <c r="C239" t="s">
        <v>523</v>
      </c>
      <c r="F239" t="s">
        <v>522</v>
      </c>
      <c r="G239" t="s">
        <v>4</v>
      </c>
      <c r="H239" t="s">
        <v>3</v>
      </c>
      <c r="I239" t="s">
        <v>151</v>
      </c>
      <c r="J239">
        <v>60102437</v>
      </c>
      <c r="K239" t="s">
        <v>222</v>
      </c>
      <c r="L239" t="s">
        <v>60</v>
      </c>
      <c r="M239" t="s">
        <v>59</v>
      </c>
      <c r="N239">
        <v>1</v>
      </c>
      <c r="O239" t="s">
        <v>521</v>
      </c>
      <c r="P239">
        <v>37036655500</v>
      </c>
      <c r="Q239">
        <v>60102437</v>
      </c>
      <c r="R239" s="7">
        <v>33055</v>
      </c>
      <c r="S239" s="8">
        <f t="shared" si="24"/>
        <v>1990</v>
      </c>
      <c r="T239" s="8">
        <v>1990</v>
      </c>
      <c r="U239" s="8">
        <f t="shared" si="25"/>
        <v>32</v>
      </c>
      <c r="V239" s="7">
        <v>33055</v>
      </c>
      <c r="W239" t="s">
        <v>221</v>
      </c>
      <c r="X239" s="2">
        <v>0.11700000000000001</v>
      </c>
      <c r="Y239" s="6">
        <f t="shared" si="26"/>
        <v>3.1232481781052297E-3</v>
      </c>
      <c r="AA239">
        <v>2179822</v>
      </c>
      <c r="AB239">
        <v>5300152612</v>
      </c>
      <c r="AC239">
        <v>19930615</v>
      </c>
      <c r="AD239" t="s">
        <v>1</v>
      </c>
      <c r="AE239">
        <v>7</v>
      </c>
      <c r="AF239">
        <v>3</v>
      </c>
      <c r="AH239" t="s">
        <v>520</v>
      </c>
      <c r="AI239" t="s">
        <v>519</v>
      </c>
      <c r="AJ239" t="s">
        <v>518</v>
      </c>
      <c r="AK239" t="s">
        <v>517</v>
      </c>
      <c r="AL239">
        <v>0</v>
      </c>
      <c r="AM239" s="5">
        <f t="shared" si="27"/>
        <v>0</v>
      </c>
      <c r="AN239" s="4">
        <f t="shared" si="28"/>
        <v>0</v>
      </c>
      <c r="AO239" s="3"/>
      <c r="AP239">
        <v>0</v>
      </c>
      <c r="AR239" t="s">
        <v>0</v>
      </c>
      <c r="AT239" s="2" t="s">
        <v>13</v>
      </c>
      <c r="AU239" s="1">
        <f t="shared" si="29"/>
        <v>0.21862737246736608</v>
      </c>
      <c r="AV239" s="1">
        <f t="shared" si="30"/>
        <v>0.15616240890526148</v>
      </c>
      <c r="AW239" s="1">
        <f t="shared" si="31"/>
        <v>9.3697445343156896E-2</v>
      </c>
    </row>
    <row r="240" spans="1:49" x14ac:dyDescent="0.2">
      <c r="A240">
        <v>238</v>
      </c>
      <c r="B240" t="s">
        <v>516</v>
      </c>
      <c r="C240" t="s">
        <v>515</v>
      </c>
      <c r="F240" t="s">
        <v>514</v>
      </c>
      <c r="G240" t="s">
        <v>4</v>
      </c>
      <c r="H240" t="s">
        <v>3</v>
      </c>
      <c r="I240" t="s">
        <v>513</v>
      </c>
      <c r="J240">
        <v>60024350</v>
      </c>
      <c r="K240" t="s">
        <v>512</v>
      </c>
      <c r="L240" t="s">
        <v>511</v>
      </c>
      <c r="M240" t="s">
        <v>59</v>
      </c>
      <c r="N240">
        <v>2</v>
      </c>
      <c r="O240" t="s">
        <v>510</v>
      </c>
      <c r="P240" t="s">
        <v>509</v>
      </c>
      <c r="Q240" t="s">
        <v>508</v>
      </c>
      <c r="R240" s="7">
        <v>33055</v>
      </c>
      <c r="S240" s="8">
        <f t="shared" si="24"/>
        <v>1990</v>
      </c>
      <c r="T240" s="8">
        <v>1990</v>
      </c>
      <c r="U240" s="8">
        <f t="shared" si="25"/>
        <v>32</v>
      </c>
      <c r="V240" s="7">
        <v>33055</v>
      </c>
      <c r="W240" t="s">
        <v>221</v>
      </c>
      <c r="X240" s="2">
        <v>0.11700000000000001</v>
      </c>
      <c r="Y240" s="6">
        <f t="shared" si="26"/>
        <v>3.1232481781052297E-3</v>
      </c>
      <c r="AA240">
        <v>2179822</v>
      </c>
      <c r="AB240">
        <v>5300152612</v>
      </c>
      <c r="AC240">
        <v>19930615</v>
      </c>
      <c r="AD240" t="s">
        <v>1</v>
      </c>
      <c r="AE240">
        <v>7</v>
      </c>
      <c r="AF240">
        <v>3</v>
      </c>
      <c r="AH240" t="s">
        <v>507</v>
      </c>
      <c r="AI240" t="s">
        <v>506</v>
      </c>
      <c r="AJ240" t="s">
        <v>505</v>
      </c>
      <c r="AK240" t="s">
        <v>504</v>
      </c>
      <c r="AL240">
        <v>0</v>
      </c>
      <c r="AM240" s="5">
        <f t="shared" si="27"/>
        <v>0</v>
      </c>
      <c r="AN240" s="4">
        <f t="shared" si="28"/>
        <v>0</v>
      </c>
      <c r="AO240" s="3"/>
      <c r="AP240">
        <v>0</v>
      </c>
      <c r="AR240" t="s">
        <v>0</v>
      </c>
      <c r="AT240" s="2" t="s">
        <v>13</v>
      </c>
      <c r="AU240" s="1">
        <f t="shared" si="29"/>
        <v>0.21862737246736608</v>
      </c>
      <c r="AV240" s="1">
        <f t="shared" si="30"/>
        <v>0.15616240890526148</v>
      </c>
      <c r="AW240" s="1">
        <f t="shared" si="31"/>
        <v>9.3697445343156896E-2</v>
      </c>
    </row>
    <row r="241" spans="1:49" x14ac:dyDescent="0.2">
      <c r="A241">
        <v>239</v>
      </c>
      <c r="B241" t="s">
        <v>503</v>
      </c>
      <c r="C241" t="s">
        <v>502</v>
      </c>
      <c r="F241" t="s">
        <v>501</v>
      </c>
      <c r="G241" t="s">
        <v>4</v>
      </c>
      <c r="H241" t="s">
        <v>3</v>
      </c>
      <c r="I241" t="s">
        <v>500</v>
      </c>
      <c r="J241" t="s">
        <v>499</v>
      </c>
      <c r="K241" t="s">
        <v>498</v>
      </c>
      <c r="L241" t="s">
        <v>497</v>
      </c>
      <c r="M241" t="s">
        <v>149</v>
      </c>
      <c r="N241">
        <v>2</v>
      </c>
      <c r="O241" t="s">
        <v>496</v>
      </c>
      <c r="P241" t="s">
        <v>495</v>
      </c>
      <c r="Q241" t="s">
        <v>494</v>
      </c>
      <c r="R241" s="7">
        <v>33055</v>
      </c>
      <c r="S241" s="8">
        <f t="shared" si="24"/>
        <v>1990</v>
      </c>
      <c r="T241" s="8">
        <v>1990</v>
      </c>
      <c r="U241" s="8">
        <f t="shared" si="25"/>
        <v>32</v>
      </c>
      <c r="V241" s="7">
        <v>33055</v>
      </c>
      <c r="W241" t="s">
        <v>220</v>
      </c>
      <c r="X241" s="2" t="s">
        <v>13</v>
      </c>
      <c r="Y241" s="6" t="e">
        <f t="shared" si="26"/>
        <v>#VALUE!</v>
      </c>
      <c r="AA241">
        <v>3905551</v>
      </c>
      <c r="AB241">
        <v>15400155600</v>
      </c>
      <c r="AD241" t="s">
        <v>1</v>
      </c>
      <c r="AE241">
        <v>13</v>
      </c>
      <c r="AF241">
        <v>4</v>
      </c>
      <c r="AH241" t="s">
        <v>493</v>
      </c>
      <c r="AI241" t="s">
        <v>492</v>
      </c>
      <c r="AJ241" t="s">
        <v>491</v>
      </c>
      <c r="AK241" t="s">
        <v>490</v>
      </c>
      <c r="AL241">
        <v>0</v>
      </c>
      <c r="AM241" s="5">
        <f t="shared" si="27"/>
        <v>0</v>
      </c>
      <c r="AN241" s="4">
        <f t="shared" si="28"/>
        <v>0</v>
      </c>
      <c r="AO241" s="3"/>
      <c r="AP241">
        <v>0</v>
      </c>
      <c r="AR241" t="s">
        <v>0</v>
      </c>
      <c r="AT241" s="2" t="s">
        <v>13</v>
      </c>
      <c r="AU241" s="1" t="e">
        <f t="shared" si="29"/>
        <v>#VALUE!</v>
      </c>
      <c r="AV241" s="1" t="e">
        <f t="shared" si="30"/>
        <v>#VALUE!</v>
      </c>
      <c r="AW241" s="1" t="e">
        <f t="shared" si="31"/>
        <v>#VALUE!</v>
      </c>
    </row>
    <row r="242" spans="1:49" x14ac:dyDescent="0.2">
      <c r="A242">
        <v>240</v>
      </c>
      <c r="B242" t="s">
        <v>489</v>
      </c>
      <c r="C242" t="s">
        <v>488</v>
      </c>
      <c r="F242" t="s">
        <v>487</v>
      </c>
      <c r="G242" t="s">
        <v>4</v>
      </c>
      <c r="H242" t="s">
        <v>3</v>
      </c>
      <c r="I242" t="s">
        <v>486</v>
      </c>
      <c r="J242" t="s">
        <v>485</v>
      </c>
      <c r="K242" t="s">
        <v>484</v>
      </c>
      <c r="L242" t="s">
        <v>483</v>
      </c>
      <c r="M242" t="s">
        <v>482</v>
      </c>
      <c r="N242">
        <v>3</v>
      </c>
      <c r="O242" t="s">
        <v>481</v>
      </c>
      <c r="P242" t="s">
        <v>480</v>
      </c>
      <c r="Q242" t="s">
        <v>479</v>
      </c>
      <c r="R242" s="7">
        <v>33055</v>
      </c>
      <c r="S242" s="8">
        <f t="shared" si="24"/>
        <v>1990</v>
      </c>
      <c r="T242" s="8">
        <v>1990</v>
      </c>
      <c r="U242" s="8">
        <f t="shared" si="25"/>
        <v>32</v>
      </c>
      <c r="V242" s="7">
        <v>33055</v>
      </c>
      <c r="W242" t="s">
        <v>221</v>
      </c>
      <c r="X242" s="2">
        <v>0.11700000000000001</v>
      </c>
      <c r="Y242" s="6">
        <f t="shared" si="26"/>
        <v>3.1232481781052297E-3</v>
      </c>
      <c r="AA242">
        <v>2179822</v>
      </c>
      <c r="AB242">
        <v>5300152612</v>
      </c>
      <c r="AC242">
        <v>19930615</v>
      </c>
      <c r="AD242" t="s">
        <v>1</v>
      </c>
      <c r="AE242">
        <v>7</v>
      </c>
      <c r="AF242">
        <v>3</v>
      </c>
      <c r="AH242" t="s">
        <v>478</v>
      </c>
      <c r="AI242" t="s">
        <v>477</v>
      </c>
      <c r="AJ242" t="s">
        <v>476</v>
      </c>
      <c r="AK242" t="s">
        <v>475</v>
      </c>
      <c r="AL242">
        <v>1</v>
      </c>
      <c r="AM242" s="5">
        <f t="shared" si="27"/>
        <v>3.125E-2</v>
      </c>
      <c r="AN242" s="4">
        <f t="shared" si="28"/>
        <v>4.73305566073457E-5</v>
      </c>
      <c r="AO242" s="3"/>
      <c r="AP242">
        <v>0</v>
      </c>
      <c r="AR242" t="s">
        <v>0</v>
      </c>
      <c r="AT242" s="2" t="s">
        <v>13</v>
      </c>
      <c r="AU242" s="1">
        <f t="shared" si="29"/>
        <v>0.22004728916558644</v>
      </c>
      <c r="AV242" s="1">
        <f t="shared" si="30"/>
        <v>0.15852893673562876</v>
      </c>
      <c r="AW242" s="1">
        <f t="shared" si="31"/>
        <v>9.7010584305671083E-2</v>
      </c>
    </row>
    <row r="243" spans="1:49" x14ac:dyDescent="0.2">
      <c r="A243">
        <v>241</v>
      </c>
      <c r="B243" t="s">
        <v>474</v>
      </c>
      <c r="C243" t="s">
        <v>473</v>
      </c>
      <c r="F243" t="s">
        <v>472</v>
      </c>
      <c r="G243" t="s">
        <v>4</v>
      </c>
      <c r="H243" t="s">
        <v>3</v>
      </c>
      <c r="I243" t="s">
        <v>471</v>
      </c>
      <c r="N243">
        <v>2</v>
      </c>
      <c r="O243" t="s">
        <v>470</v>
      </c>
      <c r="P243" t="s">
        <v>469</v>
      </c>
      <c r="Q243" t="s">
        <v>12</v>
      </c>
      <c r="R243" s="7">
        <v>33055</v>
      </c>
      <c r="S243" s="8">
        <f t="shared" si="24"/>
        <v>1990</v>
      </c>
      <c r="T243" s="8">
        <v>1990</v>
      </c>
      <c r="U243" s="8">
        <f t="shared" si="25"/>
        <v>32</v>
      </c>
      <c r="V243" s="7">
        <v>33055</v>
      </c>
      <c r="W243" t="s">
        <v>214</v>
      </c>
      <c r="X243" s="2">
        <v>0.22600000000000001</v>
      </c>
      <c r="Y243" s="6">
        <f t="shared" si="26"/>
        <v>6.0329409252289053E-3</v>
      </c>
      <c r="AA243" t="s">
        <v>213</v>
      </c>
      <c r="AB243">
        <v>144954</v>
      </c>
      <c r="AC243" t="s">
        <v>212</v>
      </c>
      <c r="AD243" t="s">
        <v>1</v>
      </c>
      <c r="AE243">
        <v>1</v>
      </c>
      <c r="AF243">
        <v>3</v>
      </c>
      <c r="AH243" t="s">
        <v>468</v>
      </c>
      <c r="AL243">
        <v>0</v>
      </c>
      <c r="AM243" s="5">
        <f t="shared" si="27"/>
        <v>0</v>
      </c>
      <c r="AN243" s="4">
        <f t="shared" si="28"/>
        <v>0</v>
      </c>
      <c r="AO243" s="3"/>
      <c r="AP243">
        <v>0</v>
      </c>
      <c r="AR243" t="s">
        <v>0</v>
      </c>
      <c r="AT243" s="2" t="s">
        <v>13</v>
      </c>
      <c r="AU243" s="1">
        <f t="shared" si="29"/>
        <v>0.42230586476602339</v>
      </c>
      <c r="AV243" s="1">
        <f t="shared" si="30"/>
        <v>0.30164704626144528</v>
      </c>
      <c r="AW243" s="1">
        <f t="shared" si="31"/>
        <v>0.18098822775686715</v>
      </c>
    </row>
    <row r="244" spans="1:49" x14ac:dyDescent="0.2">
      <c r="A244">
        <v>242</v>
      </c>
      <c r="B244" t="s">
        <v>467</v>
      </c>
      <c r="C244" t="s">
        <v>466</v>
      </c>
      <c r="F244" t="s">
        <v>465</v>
      </c>
      <c r="G244" t="s">
        <v>4</v>
      </c>
      <c r="H244" t="s">
        <v>3</v>
      </c>
      <c r="I244" t="s">
        <v>464</v>
      </c>
      <c r="J244" t="s">
        <v>463</v>
      </c>
      <c r="K244" t="s">
        <v>462</v>
      </c>
      <c r="L244" t="s">
        <v>461</v>
      </c>
      <c r="M244" t="s">
        <v>460</v>
      </c>
      <c r="N244">
        <v>6</v>
      </c>
      <c r="O244" t="s">
        <v>459</v>
      </c>
      <c r="P244" t="s">
        <v>458</v>
      </c>
      <c r="Q244" t="s">
        <v>457</v>
      </c>
      <c r="R244" s="7">
        <v>33055</v>
      </c>
      <c r="S244" s="8">
        <f t="shared" si="24"/>
        <v>1990</v>
      </c>
      <c r="T244" s="8">
        <v>1990</v>
      </c>
      <c r="U244" s="8">
        <f t="shared" si="25"/>
        <v>32</v>
      </c>
      <c r="V244" s="7">
        <v>33055</v>
      </c>
      <c r="W244" t="s">
        <v>456</v>
      </c>
      <c r="X244" s="2" t="s">
        <v>13</v>
      </c>
      <c r="Y244" s="6" t="e">
        <f t="shared" si="26"/>
        <v>#VALUE!</v>
      </c>
      <c r="AA244">
        <v>393169</v>
      </c>
      <c r="AB244">
        <v>28971</v>
      </c>
      <c r="AC244">
        <v>15731626</v>
      </c>
      <c r="AD244" t="s">
        <v>1</v>
      </c>
      <c r="AE244">
        <v>34</v>
      </c>
      <c r="AF244">
        <v>3</v>
      </c>
      <c r="AH244" t="s">
        <v>455</v>
      </c>
      <c r="AI244" t="s">
        <v>454</v>
      </c>
      <c r="AK244" t="s">
        <v>453</v>
      </c>
      <c r="AL244">
        <v>2</v>
      </c>
      <c r="AM244" s="5">
        <f t="shared" si="27"/>
        <v>6.25E-2</v>
      </c>
      <c r="AN244" s="4">
        <f t="shared" si="28"/>
        <v>9.46611132146914E-5</v>
      </c>
      <c r="AO244" s="3"/>
      <c r="AP244">
        <v>0</v>
      </c>
      <c r="AR244" t="s">
        <v>0</v>
      </c>
      <c r="AT244" s="2" t="s">
        <v>13</v>
      </c>
      <c r="AU244" s="1" t="e">
        <f t="shared" si="29"/>
        <v>#VALUE!</v>
      </c>
      <c r="AV244" s="1" t="e">
        <f t="shared" si="30"/>
        <v>#VALUE!</v>
      </c>
      <c r="AW244" s="1" t="e">
        <f t="shared" si="31"/>
        <v>#VALUE!</v>
      </c>
    </row>
    <row r="245" spans="1:49" x14ac:dyDescent="0.2">
      <c r="A245">
        <v>243</v>
      </c>
      <c r="B245" t="s">
        <v>452</v>
      </c>
      <c r="C245" t="s">
        <v>451</v>
      </c>
      <c r="F245" t="s">
        <v>450</v>
      </c>
      <c r="G245" t="s">
        <v>4</v>
      </c>
      <c r="H245" t="s">
        <v>3</v>
      </c>
      <c r="I245" t="s">
        <v>258</v>
      </c>
      <c r="N245">
        <v>1</v>
      </c>
      <c r="O245" t="s">
        <v>257</v>
      </c>
      <c r="P245">
        <v>6701411909</v>
      </c>
      <c r="R245" s="7">
        <v>33055</v>
      </c>
      <c r="S245" s="8">
        <f t="shared" si="24"/>
        <v>1990</v>
      </c>
      <c r="T245" s="8">
        <v>1990</v>
      </c>
      <c r="U245" s="8">
        <f t="shared" si="25"/>
        <v>32</v>
      </c>
      <c r="V245" s="7">
        <v>33055</v>
      </c>
      <c r="W245" t="s">
        <v>241</v>
      </c>
      <c r="X245" s="2">
        <v>0.14899999999999999</v>
      </c>
      <c r="Y245" s="6">
        <f t="shared" si="26"/>
        <v>3.977469902031446E-3</v>
      </c>
      <c r="AA245">
        <v>5431972</v>
      </c>
      <c r="AB245">
        <v>15425</v>
      </c>
      <c r="AC245">
        <v>15738906</v>
      </c>
      <c r="AD245" t="s">
        <v>1</v>
      </c>
      <c r="AE245">
        <v>33</v>
      </c>
      <c r="AF245">
        <v>7</v>
      </c>
      <c r="AH245" t="s">
        <v>449</v>
      </c>
      <c r="AL245">
        <v>0</v>
      </c>
      <c r="AM245" s="5">
        <f t="shared" si="27"/>
        <v>0</v>
      </c>
      <c r="AN245" s="4">
        <f t="shared" si="28"/>
        <v>0</v>
      </c>
      <c r="AO245" s="3"/>
      <c r="AP245">
        <v>0</v>
      </c>
      <c r="AR245" t="s">
        <v>0</v>
      </c>
      <c r="AT245" s="2" t="s">
        <v>13</v>
      </c>
      <c r="AU245" s="1">
        <f t="shared" si="29"/>
        <v>0.2784228931422012</v>
      </c>
      <c r="AV245" s="1">
        <f t="shared" si="30"/>
        <v>0.19887349510157229</v>
      </c>
      <c r="AW245" s="1">
        <f t="shared" si="31"/>
        <v>0.11932409706094337</v>
      </c>
    </row>
    <row r="246" spans="1:49" x14ac:dyDescent="0.2">
      <c r="A246">
        <v>244</v>
      </c>
      <c r="B246" t="s">
        <v>448</v>
      </c>
      <c r="F246" t="s">
        <v>447</v>
      </c>
      <c r="G246" t="s">
        <v>4</v>
      </c>
      <c r="H246" t="s">
        <v>3</v>
      </c>
      <c r="I246" t="s">
        <v>446</v>
      </c>
      <c r="J246">
        <v>60006272</v>
      </c>
      <c r="K246" t="s">
        <v>445</v>
      </c>
      <c r="L246" t="s">
        <v>177</v>
      </c>
      <c r="M246" t="s">
        <v>19</v>
      </c>
      <c r="N246">
        <v>1</v>
      </c>
      <c r="O246" t="s">
        <v>444</v>
      </c>
      <c r="P246">
        <v>7006157874</v>
      </c>
      <c r="Q246">
        <v>60006272</v>
      </c>
      <c r="R246" s="7">
        <v>33055</v>
      </c>
      <c r="S246" s="8">
        <f t="shared" si="24"/>
        <v>1990</v>
      </c>
      <c r="T246" s="8">
        <v>1990</v>
      </c>
      <c r="U246" s="8">
        <f t="shared" si="25"/>
        <v>32</v>
      </c>
      <c r="V246" s="7">
        <v>33055</v>
      </c>
      <c r="W246" t="s">
        <v>443</v>
      </c>
      <c r="X246" s="2" t="s">
        <v>13</v>
      </c>
      <c r="Y246" s="6" t="e">
        <f t="shared" si="26"/>
        <v>#VALUE!</v>
      </c>
      <c r="AA246">
        <v>325961</v>
      </c>
      <c r="AB246">
        <v>18679</v>
      </c>
      <c r="AD246" t="s">
        <v>1</v>
      </c>
      <c r="AE246">
        <v>94</v>
      </c>
      <c r="AF246">
        <v>7</v>
      </c>
      <c r="AH246" t="s">
        <v>442</v>
      </c>
      <c r="AI246" t="s">
        <v>441</v>
      </c>
      <c r="AK246" t="s">
        <v>440</v>
      </c>
      <c r="AL246">
        <v>4</v>
      </c>
      <c r="AM246" s="5">
        <f t="shared" si="27"/>
        <v>0.125</v>
      </c>
      <c r="AN246" s="4">
        <f t="shared" si="28"/>
        <v>1.893222264293828E-4</v>
      </c>
      <c r="AO246" s="3"/>
      <c r="AP246">
        <v>0</v>
      </c>
      <c r="AR246" t="s">
        <v>0</v>
      </c>
      <c r="AT246" s="2" t="s">
        <v>13</v>
      </c>
      <c r="AU246" s="1" t="e">
        <f t="shared" si="29"/>
        <v>#VALUE!</v>
      </c>
      <c r="AV246" s="1" t="e">
        <f t="shared" si="30"/>
        <v>#VALUE!</v>
      </c>
      <c r="AW246" s="1" t="e">
        <f t="shared" si="31"/>
        <v>#VALUE!</v>
      </c>
    </row>
    <row r="247" spans="1:49" x14ac:dyDescent="0.2">
      <c r="A247">
        <v>245</v>
      </c>
      <c r="B247" t="s">
        <v>439</v>
      </c>
      <c r="F247" t="s">
        <v>438</v>
      </c>
      <c r="G247" t="s">
        <v>4</v>
      </c>
      <c r="H247" t="s">
        <v>3</v>
      </c>
      <c r="I247" t="s">
        <v>437</v>
      </c>
      <c r="N247">
        <v>2</v>
      </c>
      <c r="O247" t="s">
        <v>436</v>
      </c>
      <c r="P247" t="s">
        <v>435</v>
      </c>
      <c r="Q247" t="s">
        <v>12</v>
      </c>
      <c r="R247" s="7">
        <v>33055</v>
      </c>
      <c r="S247" s="8">
        <f t="shared" si="24"/>
        <v>1990</v>
      </c>
      <c r="T247" s="8">
        <v>1990</v>
      </c>
      <c r="U247" s="8">
        <f t="shared" si="25"/>
        <v>32</v>
      </c>
      <c r="V247" s="7">
        <v>33055</v>
      </c>
      <c r="W247" t="s">
        <v>281</v>
      </c>
      <c r="X247" s="2" t="s">
        <v>13</v>
      </c>
      <c r="Y247" s="6" t="e">
        <f t="shared" si="26"/>
        <v>#VALUE!</v>
      </c>
      <c r="AA247">
        <v>9152334</v>
      </c>
      <c r="AB247">
        <v>20160</v>
      </c>
      <c r="AD247" t="s">
        <v>1</v>
      </c>
      <c r="AE247">
        <v>2</v>
      </c>
      <c r="AF247">
        <v>4</v>
      </c>
      <c r="AH247" t="s">
        <v>434</v>
      </c>
      <c r="AI247" t="s">
        <v>433</v>
      </c>
      <c r="AK247" t="s">
        <v>432</v>
      </c>
      <c r="AL247">
        <v>0</v>
      </c>
      <c r="AM247" s="5">
        <f t="shared" si="27"/>
        <v>0</v>
      </c>
      <c r="AN247" s="4">
        <f t="shared" si="28"/>
        <v>0</v>
      </c>
      <c r="AO247" s="3"/>
      <c r="AP247">
        <v>0</v>
      </c>
      <c r="AR247" t="s">
        <v>0</v>
      </c>
      <c r="AT247" s="2" t="s">
        <v>13</v>
      </c>
      <c r="AU247" s="1" t="e">
        <f t="shared" si="29"/>
        <v>#VALUE!</v>
      </c>
      <c r="AV247" s="1" t="e">
        <f t="shared" si="30"/>
        <v>#VALUE!</v>
      </c>
      <c r="AW247" s="1" t="e">
        <f t="shared" si="31"/>
        <v>#VALUE!</v>
      </c>
    </row>
    <row r="248" spans="1:49" x14ac:dyDescent="0.2">
      <c r="A248">
        <v>246</v>
      </c>
      <c r="B248" t="s">
        <v>431</v>
      </c>
      <c r="F248" t="s">
        <v>430</v>
      </c>
      <c r="G248" t="s">
        <v>4</v>
      </c>
      <c r="H248" t="s">
        <v>3</v>
      </c>
      <c r="I248" t="s">
        <v>429</v>
      </c>
      <c r="J248">
        <v>60015916</v>
      </c>
      <c r="K248" t="s">
        <v>428</v>
      </c>
      <c r="L248" t="s">
        <v>190</v>
      </c>
      <c r="M248" t="s">
        <v>19</v>
      </c>
      <c r="N248">
        <v>4</v>
      </c>
      <c r="O248" t="s">
        <v>427</v>
      </c>
      <c r="P248" t="s">
        <v>426</v>
      </c>
      <c r="Q248" t="s">
        <v>425</v>
      </c>
      <c r="R248" s="7">
        <v>33055</v>
      </c>
      <c r="S248" s="8">
        <f t="shared" si="24"/>
        <v>1990</v>
      </c>
      <c r="T248" s="8">
        <v>1990</v>
      </c>
      <c r="U248" s="8">
        <f t="shared" si="25"/>
        <v>32</v>
      </c>
      <c r="V248" s="7">
        <v>33055</v>
      </c>
      <c r="W248" t="s">
        <v>74</v>
      </c>
      <c r="X248" s="2">
        <v>0.33800000000000002</v>
      </c>
      <c r="Y248" s="6">
        <f t="shared" si="26"/>
        <v>9.0227169589706634E-3</v>
      </c>
      <c r="AA248">
        <v>7372884</v>
      </c>
      <c r="AB248">
        <v>70506</v>
      </c>
      <c r="AD248" t="s">
        <v>1</v>
      </c>
      <c r="AE248">
        <v>8</v>
      </c>
      <c r="AF248">
        <v>4</v>
      </c>
      <c r="AH248" t="s">
        <v>424</v>
      </c>
      <c r="AI248" t="s">
        <v>423</v>
      </c>
      <c r="AK248" t="s">
        <v>422</v>
      </c>
      <c r="AL248">
        <v>0</v>
      </c>
      <c r="AM248" s="5">
        <f t="shared" si="27"/>
        <v>0</v>
      </c>
      <c r="AN248" s="4">
        <f t="shared" si="28"/>
        <v>0</v>
      </c>
      <c r="AO248" s="3"/>
      <c r="AP248">
        <v>0</v>
      </c>
      <c r="AR248" t="s">
        <v>0</v>
      </c>
      <c r="AT248" s="2" t="s">
        <v>13</v>
      </c>
      <c r="AU248" s="1">
        <f t="shared" si="29"/>
        <v>0.63159018712794635</v>
      </c>
      <c r="AV248" s="1">
        <f t="shared" si="30"/>
        <v>0.45113584794853318</v>
      </c>
      <c r="AW248" s="1">
        <f t="shared" si="31"/>
        <v>0.27068150876911989</v>
      </c>
    </row>
    <row r="249" spans="1:49" x14ac:dyDescent="0.2">
      <c r="A249">
        <v>247</v>
      </c>
      <c r="B249" t="s">
        <v>421</v>
      </c>
      <c r="C249" t="s">
        <v>420</v>
      </c>
      <c r="E249">
        <v>2103430</v>
      </c>
      <c r="F249" t="s">
        <v>419</v>
      </c>
      <c r="G249" t="s">
        <v>4</v>
      </c>
      <c r="H249" t="s">
        <v>3</v>
      </c>
      <c r="I249" t="s">
        <v>418</v>
      </c>
      <c r="J249">
        <v>60025778</v>
      </c>
      <c r="K249" t="s">
        <v>37</v>
      </c>
      <c r="L249" t="s">
        <v>36</v>
      </c>
      <c r="M249" t="s">
        <v>19</v>
      </c>
      <c r="N249">
        <v>2</v>
      </c>
      <c r="O249" t="s">
        <v>417</v>
      </c>
      <c r="P249" t="s">
        <v>416</v>
      </c>
      <c r="Q249" t="s">
        <v>35</v>
      </c>
      <c r="R249" s="7">
        <v>33055</v>
      </c>
      <c r="S249" s="8">
        <f t="shared" si="24"/>
        <v>1990</v>
      </c>
      <c r="T249" s="8">
        <v>1990</v>
      </c>
      <c r="U249" s="8">
        <f t="shared" si="25"/>
        <v>32</v>
      </c>
      <c r="V249" s="7">
        <v>33055</v>
      </c>
      <c r="W249" t="s">
        <v>280</v>
      </c>
      <c r="X249" s="2">
        <v>1.448</v>
      </c>
      <c r="Y249" s="6">
        <f t="shared" si="26"/>
        <v>3.8653533007661299E-2</v>
      </c>
      <c r="AA249">
        <v>1674412</v>
      </c>
      <c r="AB249">
        <v>13042</v>
      </c>
      <c r="AC249">
        <v>15735028</v>
      </c>
      <c r="AD249" t="s">
        <v>1</v>
      </c>
      <c r="AE249">
        <v>15</v>
      </c>
      <c r="AF249">
        <v>1</v>
      </c>
      <c r="AH249" t="s">
        <v>415</v>
      </c>
      <c r="AL249">
        <v>25</v>
      </c>
      <c r="AM249" s="5">
        <f t="shared" si="27"/>
        <v>0.78125</v>
      </c>
      <c r="AN249" s="4">
        <f t="shared" si="28"/>
        <v>1.1832639151836426E-3</v>
      </c>
      <c r="AO249" s="3"/>
      <c r="AP249">
        <v>0</v>
      </c>
      <c r="AR249" t="s">
        <v>0</v>
      </c>
      <c r="AT249" s="2">
        <v>4.0759999999999996</v>
      </c>
      <c r="AU249" s="1">
        <f t="shared" si="29"/>
        <v>2.7412452279918003</v>
      </c>
      <c r="AV249" s="1">
        <f t="shared" si="30"/>
        <v>1.9918398461422471</v>
      </c>
      <c r="AW249" s="1">
        <f t="shared" si="31"/>
        <v>1.2424344642926939</v>
      </c>
    </row>
    <row r="250" spans="1:49" x14ac:dyDescent="0.2">
      <c r="A250">
        <v>248</v>
      </c>
      <c r="B250" t="s">
        <v>414</v>
      </c>
      <c r="C250" t="s">
        <v>413</v>
      </c>
      <c r="F250" t="s">
        <v>412</v>
      </c>
      <c r="G250" t="s">
        <v>4</v>
      </c>
      <c r="H250" t="s">
        <v>3</v>
      </c>
      <c r="I250" t="s">
        <v>411</v>
      </c>
      <c r="J250">
        <v>60027272</v>
      </c>
      <c r="K250" t="s">
        <v>410</v>
      </c>
      <c r="L250" t="s">
        <v>205</v>
      </c>
      <c r="M250" t="s">
        <v>23</v>
      </c>
      <c r="N250">
        <v>1</v>
      </c>
      <c r="O250" t="s">
        <v>409</v>
      </c>
      <c r="P250">
        <v>57203505875</v>
      </c>
      <c r="Q250">
        <v>60027272</v>
      </c>
      <c r="R250" s="7">
        <v>33055</v>
      </c>
      <c r="S250" s="8">
        <f t="shared" si="24"/>
        <v>1990</v>
      </c>
      <c r="T250" s="8">
        <v>1990</v>
      </c>
      <c r="U250" s="8">
        <f t="shared" si="25"/>
        <v>32</v>
      </c>
      <c r="V250" s="7">
        <v>33055</v>
      </c>
      <c r="W250" t="s">
        <v>239</v>
      </c>
      <c r="X250" s="2">
        <v>0.61499999999999999</v>
      </c>
      <c r="Y250" s="6">
        <f t="shared" si="26"/>
        <v>1.6417073756706976E-2</v>
      </c>
      <c r="AA250">
        <v>1959271</v>
      </c>
      <c r="AB250">
        <v>12141</v>
      </c>
      <c r="AC250">
        <v>15729559</v>
      </c>
      <c r="AD250" t="s">
        <v>1</v>
      </c>
      <c r="AE250">
        <v>11</v>
      </c>
      <c r="AF250">
        <v>7</v>
      </c>
      <c r="AH250" t="s">
        <v>408</v>
      </c>
      <c r="AI250" t="s">
        <v>407</v>
      </c>
      <c r="AJ250" t="s">
        <v>406</v>
      </c>
      <c r="AK250" t="s">
        <v>405</v>
      </c>
      <c r="AL250">
        <v>1</v>
      </c>
      <c r="AM250" s="5">
        <f t="shared" si="27"/>
        <v>3.125E-2</v>
      </c>
      <c r="AN250" s="4">
        <f t="shared" si="28"/>
        <v>4.73305566073457E-5</v>
      </c>
      <c r="AO250" s="3"/>
      <c r="AP250">
        <v>0</v>
      </c>
      <c r="AR250" t="s">
        <v>0</v>
      </c>
      <c r="AT250" s="2" t="s">
        <v>13</v>
      </c>
      <c r="AU250" s="1">
        <f t="shared" si="29"/>
        <v>1.1506150796677086</v>
      </c>
      <c r="AV250" s="1">
        <f t="shared" si="30"/>
        <v>0.82322021566571602</v>
      </c>
      <c r="AW250" s="1">
        <f t="shared" si="31"/>
        <v>0.49582535166372338</v>
      </c>
    </row>
    <row r="251" spans="1:49" x14ac:dyDescent="0.2">
      <c r="A251">
        <v>249</v>
      </c>
      <c r="B251" t="s">
        <v>404</v>
      </c>
      <c r="F251" t="s">
        <v>403</v>
      </c>
      <c r="G251" t="s">
        <v>4</v>
      </c>
      <c r="H251" t="s">
        <v>3</v>
      </c>
      <c r="I251" t="s">
        <v>402</v>
      </c>
      <c r="J251">
        <v>60032270</v>
      </c>
      <c r="K251" t="s">
        <v>401</v>
      </c>
      <c r="L251" t="s">
        <v>400</v>
      </c>
      <c r="M251" t="s">
        <v>19</v>
      </c>
      <c r="N251">
        <v>4</v>
      </c>
      <c r="O251" t="s">
        <v>399</v>
      </c>
      <c r="P251" t="s">
        <v>398</v>
      </c>
      <c r="Q251" t="s">
        <v>397</v>
      </c>
      <c r="R251" s="7">
        <v>33055</v>
      </c>
      <c r="S251" s="8">
        <f t="shared" si="24"/>
        <v>1990</v>
      </c>
      <c r="T251" s="8">
        <v>1990</v>
      </c>
      <c r="U251" s="8">
        <f t="shared" si="25"/>
        <v>32</v>
      </c>
      <c r="V251" s="7">
        <v>33055</v>
      </c>
      <c r="W251" t="s">
        <v>396</v>
      </c>
      <c r="X251" s="2" t="s">
        <v>13</v>
      </c>
      <c r="Y251" s="6" t="e">
        <f t="shared" si="26"/>
        <v>#VALUE!</v>
      </c>
      <c r="AA251">
        <v>7368607</v>
      </c>
      <c r="AB251">
        <v>73790</v>
      </c>
      <c r="AD251" t="s">
        <v>1</v>
      </c>
      <c r="AE251">
        <v>10</v>
      </c>
      <c r="AF251">
        <v>3</v>
      </c>
      <c r="AH251" t="s">
        <v>395</v>
      </c>
      <c r="AI251" t="s">
        <v>394</v>
      </c>
      <c r="AK251" t="s">
        <v>393</v>
      </c>
      <c r="AL251">
        <v>1</v>
      </c>
      <c r="AM251" s="5">
        <f t="shared" si="27"/>
        <v>3.125E-2</v>
      </c>
      <c r="AN251" s="4">
        <f t="shared" si="28"/>
        <v>4.73305566073457E-5</v>
      </c>
      <c r="AO251" s="3"/>
      <c r="AP251">
        <v>0</v>
      </c>
      <c r="AR251" t="s">
        <v>0</v>
      </c>
      <c r="AT251" s="2" t="s">
        <v>13</v>
      </c>
      <c r="AU251" s="1" t="e">
        <f t="shared" si="29"/>
        <v>#VALUE!</v>
      </c>
      <c r="AV251" s="1" t="e">
        <f t="shared" si="30"/>
        <v>#VALUE!</v>
      </c>
      <c r="AW251" s="1" t="e">
        <f t="shared" si="31"/>
        <v>#VALUE!</v>
      </c>
    </row>
    <row r="252" spans="1:49" x14ac:dyDescent="0.2">
      <c r="A252">
        <v>250</v>
      </c>
      <c r="B252" t="s">
        <v>392</v>
      </c>
      <c r="F252" t="s">
        <v>391</v>
      </c>
      <c r="G252" t="s">
        <v>4</v>
      </c>
      <c r="H252" t="s">
        <v>3</v>
      </c>
      <c r="I252" t="s">
        <v>390</v>
      </c>
      <c r="N252">
        <v>1</v>
      </c>
      <c r="O252" t="s">
        <v>389</v>
      </c>
      <c r="P252">
        <v>6701772560</v>
      </c>
      <c r="R252" s="7">
        <v>33055</v>
      </c>
      <c r="S252" s="8">
        <f t="shared" si="24"/>
        <v>1990</v>
      </c>
      <c r="T252" s="8">
        <v>1990</v>
      </c>
      <c r="U252" s="8">
        <f t="shared" si="25"/>
        <v>32</v>
      </c>
      <c r="V252" s="7">
        <v>33055</v>
      </c>
      <c r="W252" t="s">
        <v>31</v>
      </c>
      <c r="X252" s="2">
        <v>0.14099999999999999</v>
      </c>
      <c r="Y252" s="6">
        <f t="shared" si="26"/>
        <v>3.7639144710498915E-3</v>
      </c>
      <c r="AA252">
        <v>402508</v>
      </c>
      <c r="AB252">
        <v>20868</v>
      </c>
      <c r="AD252" t="s">
        <v>1</v>
      </c>
      <c r="AE252">
        <v>45</v>
      </c>
      <c r="AF252">
        <v>7</v>
      </c>
      <c r="AH252" t="s">
        <v>73</v>
      </c>
      <c r="AI252" t="s">
        <v>388</v>
      </c>
      <c r="AK252" t="s">
        <v>387</v>
      </c>
      <c r="AL252">
        <v>0</v>
      </c>
      <c r="AM252" s="5">
        <f t="shared" si="27"/>
        <v>0</v>
      </c>
      <c r="AN252" s="4">
        <f t="shared" si="28"/>
        <v>0</v>
      </c>
      <c r="AO252" s="3"/>
      <c r="AP252">
        <v>0</v>
      </c>
      <c r="AR252" t="s">
        <v>0</v>
      </c>
      <c r="AT252" s="2" t="s">
        <v>13</v>
      </c>
      <c r="AU252" s="1">
        <f t="shared" si="29"/>
        <v>0.26347401297349238</v>
      </c>
      <c r="AV252" s="1">
        <f t="shared" si="30"/>
        <v>0.18819572355249459</v>
      </c>
      <c r="AW252" s="1">
        <f t="shared" si="31"/>
        <v>0.11291743413149673</v>
      </c>
    </row>
    <row r="253" spans="1:49" x14ac:dyDescent="0.2">
      <c r="A253">
        <v>251</v>
      </c>
      <c r="B253" t="s">
        <v>386</v>
      </c>
      <c r="F253" t="s">
        <v>385</v>
      </c>
      <c r="G253" t="s">
        <v>4</v>
      </c>
      <c r="H253" t="s">
        <v>3</v>
      </c>
      <c r="I253" t="s">
        <v>384</v>
      </c>
      <c r="N253">
        <v>3</v>
      </c>
      <c r="O253" t="s">
        <v>383</v>
      </c>
      <c r="P253" t="s">
        <v>382</v>
      </c>
      <c r="Q253" t="s">
        <v>32</v>
      </c>
      <c r="R253" s="7">
        <v>33055</v>
      </c>
      <c r="S253" s="8">
        <f t="shared" si="24"/>
        <v>1990</v>
      </c>
      <c r="T253" s="8">
        <v>1990</v>
      </c>
      <c r="U253" s="8">
        <f t="shared" si="25"/>
        <v>32</v>
      </c>
      <c r="V253" s="7">
        <v>33055</v>
      </c>
      <c r="W253" t="s">
        <v>31</v>
      </c>
      <c r="X253" s="2">
        <v>0.14099999999999999</v>
      </c>
      <c r="Y253" s="6">
        <f t="shared" si="26"/>
        <v>3.7639144710498915E-3</v>
      </c>
      <c r="AA253">
        <v>402508</v>
      </c>
      <c r="AB253">
        <v>20868</v>
      </c>
      <c r="AD253" t="s">
        <v>1</v>
      </c>
      <c r="AE253">
        <v>45</v>
      </c>
      <c r="AF253">
        <v>8</v>
      </c>
      <c r="AH253" t="s">
        <v>381</v>
      </c>
      <c r="AI253" t="s">
        <v>380</v>
      </c>
      <c r="AK253" t="s">
        <v>379</v>
      </c>
      <c r="AL253">
        <v>0</v>
      </c>
      <c r="AM253" s="5">
        <f t="shared" si="27"/>
        <v>0</v>
      </c>
      <c r="AN253" s="4">
        <f t="shared" si="28"/>
        <v>0</v>
      </c>
      <c r="AO253" s="3"/>
      <c r="AP253">
        <v>0</v>
      </c>
      <c r="AR253" t="s">
        <v>0</v>
      </c>
      <c r="AT253" s="2" t="s">
        <v>13</v>
      </c>
      <c r="AU253" s="1">
        <f t="shared" si="29"/>
        <v>0.26347401297349238</v>
      </c>
      <c r="AV253" s="1">
        <f t="shared" si="30"/>
        <v>0.18819572355249459</v>
      </c>
      <c r="AW253" s="1">
        <f t="shared" si="31"/>
        <v>0.11291743413149673</v>
      </c>
    </row>
    <row r="254" spans="1:49" x14ac:dyDescent="0.2">
      <c r="A254">
        <v>252</v>
      </c>
      <c r="B254" t="s">
        <v>378</v>
      </c>
      <c r="F254" t="s">
        <v>377</v>
      </c>
      <c r="G254" t="s">
        <v>4</v>
      </c>
      <c r="H254" t="s">
        <v>3</v>
      </c>
      <c r="I254" t="s">
        <v>376</v>
      </c>
      <c r="N254">
        <v>3</v>
      </c>
      <c r="O254" t="s">
        <v>375</v>
      </c>
      <c r="P254" t="s">
        <v>374</v>
      </c>
      <c r="Q254" t="s">
        <v>32</v>
      </c>
      <c r="R254" s="7">
        <v>33055</v>
      </c>
      <c r="S254" s="8">
        <f t="shared" si="24"/>
        <v>1990</v>
      </c>
      <c r="T254" s="8">
        <v>1990</v>
      </c>
      <c r="U254" s="8">
        <f t="shared" si="25"/>
        <v>32</v>
      </c>
      <c r="V254" s="7">
        <v>33055</v>
      </c>
      <c r="W254" t="s">
        <v>31</v>
      </c>
      <c r="X254" s="2">
        <v>0.14099999999999999</v>
      </c>
      <c r="Y254" s="6">
        <f t="shared" si="26"/>
        <v>3.7639144710498915E-3</v>
      </c>
      <c r="AA254">
        <v>402508</v>
      </c>
      <c r="AB254">
        <v>20868</v>
      </c>
      <c r="AD254" t="s">
        <v>1</v>
      </c>
      <c r="AE254">
        <v>45</v>
      </c>
      <c r="AF254">
        <v>8</v>
      </c>
      <c r="AH254" t="s">
        <v>373</v>
      </c>
      <c r="AI254" t="s">
        <v>372</v>
      </c>
      <c r="AK254" t="s">
        <v>371</v>
      </c>
      <c r="AL254">
        <v>0</v>
      </c>
      <c r="AM254" s="5">
        <f t="shared" si="27"/>
        <v>0</v>
      </c>
      <c r="AN254" s="4">
        <f t="shared" si="28"/>
        <v>0</v>
      </c>
      <c r="AO254" s="3"/>
      <c r="AP254">
        <v>0</v>
      </c>
      <c r="AR254" t="s">
        <v>0</v>
      </c>
      <c r="AT254" s="2" t="s">
        <v>13</v>
      </c>
      <c r="AU254" s="1">
        <f t="shared" si="29"/>
        <v>0.26347401297349238</v>
      </c>
      <c r="AV254" s="1">
        <f t="shared" si="30"/>
        <v>0.18819572355249459</v>
      </c>
      <c r="AW254" s="1">
        <f t="shared" si="31"/>
        <v>0.11291743413149673</v>
      </c>
    </row>
    <row r="255" spans="1:49" x14ac:dyDescent="0.2">
      <c r="A255">
        <v>253</v>
      </c>
      <c r="B255" t="s">
        <v>370</v>
      </c>
      <c r="F255" t="s">
        <v>369</v>
      </c>
      <c r="G255" t="s">
        <v>4</v>
      </c>
      <c r="H255" t="s">
        <v>3</v>
      </c>
      <c r="I255" t="s">
        <v>368</v>
      </c>
      <c r="N255">
        <v>2</v>
      </c>
      <c r="O255" t="s">
        <v>367</v>
      </c>
      <c r="P255" t="s">
        <v>366</v>
      </c>
      <c r="Q255" t="s">
        <v>12</v>
      </c>
      <c r="R255" s="7">
        <v>33055</v>
      </c>
      <c r="S255" s="8">
        <f t="shared" si="24"/>
        <v>1990</v>
      </c>
      <c r="T255" s="8">
        <v>1990</v>
      </c>
      <c r="U255" s="8">
        <f t="shared" si="25"/>
        <v>32</v>
      </c>
      <c r="V255" s="7">
        <v>33055</v>
      </c>
      <c r="W255" t="s">
        <v>31</v>
      </c>
      <c r="X255" s="2">
        <v>0.14099999999999999</v>
      </c>
      <c r="Y255" s="6">
        <f t="shared" si="26"/>
        <v>3.7639144710498915E-3</v>
      </c>
      <c r="AA255">
        <v>402508</v>
      </c>
      <c r="AB255">
        <v>20868</v>
      </c>
      <c r="AD255" t="s">
        <v>1</v>
      </c>
      <c r="AE255">
        <v>45</v>
      </c>
      <c r="AF255">
        <v>8</v>
      </c>
      <c r="AH255" t="s">
        <v>365</v>
      </c>
      <c r="AI255" t="s">
        <v>364</v>
      </c>
      <c r="AK255" t="s">
        <v>363</v>
      </c>
      <c r="AL255">
        <v>0</v>
      </c>
      <c r="AM255" s="5">
        <f t="shared" si="27"/>
        <v>0</v>
      </c>
      <c r="AN255" s="4">
        <f t="shared" si="28"/>
        <v>0</v>
      </c>
      <c r="AO255" s="3"/>
      <c r="AP255">
        <v>0</v>
      </c>
      <c r="AR255" t="s">
        <v>0</v>
      </c>
      <c r="AT255" s="2" t="s">
        <v>13</v>
      </c>
      <c r="AU255" s="1">
        <f t="shared" si="29"/>
        <v>0.26347401297349238</v>
      </c>
      <c r="AV255" s="1">
        <f t="shared" si="30"/>
        <v>0.18819572355249459</v>
      </c>
      <c r="AW255" s="1">
        <f t="shared" si="31"/>
        <v>0.11291743413149673</v>
      </c>
    </row>
    <row r="256" spans="1:49" x14ac:dyDescent="0.2">
      <c r="A256">
        <v>254</v>
      </c>
      <c r="B256" t="s">
        <v>362</v>
      </c>
      <c r="F256" t="s">
        <v>361</v>
      </c>
      <c r="G256" t="s">
        <v>4</v>
      </c>
      <c r="H256" t="s">
        <v>3</v>
      </c>
      <c r="I256" t="s">
        <v>360</v>
      </c>
      <c r="N256">
        <v>1</v>
      </c>
      <c r="O256" t="s">
        <v>359</v>
      </c>
      <c r="P256">
        <v>6701457590</v>
      </c>
      <c r="R256" s="7">
        <v>33055</v>
      </c>
      <c r="S256" s="8">
        <f t="shared" si="24"/>
        <v>1990</v>
      </c>
      <c r="T256" s="8">
        <v>1990</v>
      </c>
      <c r="U256" s="8">
        <f t="shared" si="25"/>
        <v>32</v>
      </c>
      <c r="V256" s="7">
        <v>33055</v>
      </c>
      <c r="W256" t="s">
        <v>31</v>
      </c>
      <c r="X256" s="2">
        <v>0.14099999999999999</v>
      </c>
      <c r="Y256" s="6">
        <f t="shared" si="26"/>
        <v>3.7639144710498915E-3</v>
      </c>
      <c r="AA256">
        <v>402508</v>
      </c>
      <c r="AB256">
        <v>20868</v>
      </c>
      <c r="AD256" t="s">
        <v>1</v>
      </c>
      <c r="AE256">
        <v>45</v>
      </c>
      <c r="AF256">
        <v>8</v>
      </c>
      <c r="AH256">
        <v>112</v>
      </c>
      <c r="AI256" t="s">
        <v>358</v>
      </c>
      <c r="AK256" t="s">
        <v>357</v>
      </c>
      <c r="AL256">
        <v>0</v>
      </c>
      <c r="AM256" s="5">
        <f t="shared" si="27"/>
        <v>0</v>
      </c>
      <c r="AN256" s="4">
        <f t="shared" si="28"/>
        <v>0</v>
      </c>
      <c r="AO256" s="3"/>
      <c r="AP256">
        <v>0</v>
      </c>
      <c r="AR256" t="s">
        <v>0</v>
      </c>
      <c r="AT256" s="2" t="s">
        <v>13</v>
      </c>
      <c r="AU256" s="1">
        <f t="shared" si="29"/>
        <v>0.26347401297349238</v>
      </c>
      <c r="AV256" s="1">
        <f t="shared" si="30"/>
        <v>0.18819572355249459</v>
      </c>
      <c r="AW256" s="1">
        <f t="shared" si="31"/>
        <v>0.11291743413149673</v>
      </c>
    </row>
    <row r="257" spans="1:49" x14ac:dyDescent="0.2">
      <c r="A257">
        <v>255</v>
      </c>
      <c r="B257" t="s">
        <v>356</v>
      </c>
      <c r="F257" t="s">
        <v>355</v>
      </c>
      <c r="G257" t="s">
        <v>4</v>
      </c>
      <c r="H257" t="s">
        <v>3</v>
      </c>
      <c r="I257" t="s">
        <v>354</v>
      </c>
      <c r="N257">
        <v>4</v>
      </c>
      <c r="O257" t="s">
        <v>353</v>
      </c>
      <c r="P257" t="s">
        <v>352</v>
      </c>
      <c r="Q257" t="s">
        <v>26</v>
      </c>
      <c r="R257" s="7">
        <v>33055</v>
      </c>
      <c r="S257" s="8">
        <f t="shared" si="24"/>
        <v>1990</v>
      </c>
      <c r="T257" s="8">
        <v>1990</v>
      </c>
      <c r="U257" s="8">
        <f t="shared" si="25"/>
        <v>32</v>
      </c>
      <c r="V257" s="7">
        <v>33055</v>
      </c>
      <c r="W257" t="s">
        <v>31</v>
      </c>
      <c r="X257" s="2">
        <v>0.14099999999999999</v>
      </c>
      <c r="Y257" s="6">
        <f t="shared" si="26"/>
        <v>3.7639144710498915E-3</v>
      </c>
      <c r="AA257">
        <v>402508</v>
      </c>
      <c r="AB257">
        <v>20868</v>
      </c>
      <c r="AD257" t="s">
        <v>1</v>
      </c>
      <c r="AE257">
        <v>45</v>
      </c>
      <c r="AF257">
        <v>8</v>
      </c>
      <c r="AH257" t="s">
        <v>211</v>
      </c>
      <c r="AI257" t="s">
        <v>351</v>
      </c>
      <c r="AK257" t="s">
        <v>350</v>
      </c>
      <c r="AL257">
        <v>0</v>
      </c>
      <c r="AM257" s="5">
        <f t="shared" si="27"/>
        <v>0</v>
      </c>
      <c r="AN257" s="4">
        <f t="shared" si="28"/>
        <v>0</v>
      </c>
      <c r="AO257" s="3"/>
      <c r="AP257">
        <v>0</v>
      </c>
      <c r="AR257" t="s">
        <v>0</v>
      </c>
      <c r="AT257" s="2" t="s">
        <v>13</v>
      </c>
      <c r="AU257" s="1">
        <f t="shared" si="29"/>
        <v>0.26347401297349238</v>
      </c>
      <c r="AV257" s="1">
        <f t="shared" si="30"/>
        <v>0.18819572355249459</v>
      </c>
      <c r="AW257" s="1">
        <f t="shared" si="31"/>
        <v>0.11291743413149673</v>
      </c>
    </row>
    <row r="258" spans="1:49" x14ac:dyDescent="0.2">
      <c r="A258">
        <v>256</v>
      </c>
      <c r="B258" t="s">
        <v>349</v>
      </c>
      <c r="F258" t="s">
        <v>348</v>
      </c>
      <c r="G258" t="s">
        <v>4</v>
      </c>
      <c r="H258" t="s">
        <v>3</v>
      </c>
      <c r="I258" t="s">
        <v>347</v>
      </c>
      <c r="N258">
        <v>1</v>
      </c>
      <c r="O258" t="s">
        <v>346</v>
      </c>
      <c r="P258">
        <v>6602792060</v>
      </c>
      <c r="R258" s="7">
        <v>33055</v>
      </c>
      <c r="S258" s="8">
        <f t="shared" ref="S258:S262" si="32">YEAR(R258)</f>
        <v>1990</v>
      </c>
      <c r="T258" s="8">
        <v>1990</v>
      </c>
      <c r="U258" s="8">
        <f t="shared" ref="U258:U262" si="33">2022-T258</f>
        <v>32</v>
      </c>
      <c r="V258" s="7">
        <v>33055</v>
      </c>
      <c r="W258" t="s">
        <v>31</v>
      </c>
      <c r="X258" s="2">
        <v>0.14099999999999999</v>
      </c>
      <c r="Y258" s="6">
        <f t="shared" ref="Y258:Y262" si="34">(X258-$Z$4)/($Z$3-$Z$4)</f>
        <v>3.7639144710498915E-3</v>
      </c>
      <c r="AA258">
        <v>402508</v>
      </c>
      <c r="AB258">
        <v>20868</v>
      </c>
      <c r="AD258" t="s">
        <v>1</v>
      </c>
      <c r="AE258">
        <v>45</v>
      </c>
      <c r="AF258">
        <v>7</v>
      </c>
      <c r="AH258" t="s">
        <v>345</v>
      </c>
      <c r="AI258" t="s">
        <v>344</v>
      </c>
      <c r="AK258" t="s">
        <v>343</v>
      </c>
      <c r="AL258">
        <v>0</v>
      </c>
      <c r="AM258" s="5">
        <f t="shared" ref="AM258:AM262" si="35">AL258/U258</f>
        <v>0</v>
      </c>
      <c r="AN258" s="4">
        <f t="shared" ref="AN258:AN262" si="36">(AM258-$AO$4)/($AO$3-$AO$4)</f>
        <v>0</v>
      </c>
      <c r="AO258" s="3"/>
      <c r="AP258">
        <v>0</v>
      </c>
      <c r="AR258" t="s">
        <v>0</v>
      </c>
      <c r="AT258" s="2" t="s">
        <v>13</v>
      </c>
      <c r="AU258" s="1">
        <f t="shared" ref="AU258:AU262" si="37">(Y258*0.7+AN258*0.3)*100</f>
        <v>0.26347401297349238</v>
      </c>
      <c r="AV258" s="1">
        <f t="shared" ref="AV258:AV262" si="38">(Y258*0.5+AN258*0.5)*100</f>
        <v>0.18819572355249459</v>
      </c>
      <c r="AW258" s="1">
        <f t="shared" ref="AW258:AW262" si="39">(Y258*0.3+AN258*0.7)*100</f>
        <v>0.11291743413149673</v>
      </c>
    </row>
    <row r="259" spans="1:49" x14ac:dyDescent="0.2">
      <c r="A259">
        <v>257</v>
      </c>
      <c r="B259" t="s">
        <v>342</v>
      </c>
      <c r="F259" t="s">
        <v>341</v>
      </c>
      <c r="G259" t="s">
        <v>4</v>
      </c>
      <c r="H259" t="s">
        <v>3</v>
      </c>
      <c r="I259" t="s">
        <v>340</v>
      </c>
      <c r="N259">
        <v>2</v>
      </c>
      <c r="O259" t="s">
        <v>339</v>
      </c>
      <c r="P259" t="s">
        <v>338</v>
      </c>
      <c r="Q259" t="s">
        <v>12</v>
      </c>
      <c r="R259" s="7">
        <v>33055</v>
      </c>
      <c r="S259" s="8">
        <f t="shared" si="32"/>
        <v>1990</v>
      </c>
      <c r="T259" s="8">
        <v>1990</v>
      </c>
      <c r="U259" s="8">
        <f t="shared" si="33"/>
        <v>32</v>
      </c>
      <c r="V259" s="7">
        <v>33055</v>
      </c>
      <c r="W259" t="s">
        <v>31</v>
      </c>
      <c r="X259" s="2">
        <v>0.14099999999999999</v>
      </c>
      <c r="Y259" s="6">
        <f t="shared" si="34"/>
        <v>3.7639144710498915E-3</v>
      </c>
      <c r="AA259">
        <v>402508</v>
      </c>
      <c r="AB259">
        <v>20868</v>
      </c>
      <c r="AD259" t="s">
        <v>1</v>
      </c>
      <c r="AE259">
        <v>45</v>
      </c>
      <c r="AF259">
        <v>8</v>
      </c>
      <c r="AH259" t="s">
        <v>337</v>
      </c>
      <c r="AI259" t="s">
        <v>336</v>
      </c>
      <c r="AK259" t="s">
        <v>335</v>
      </c>
      <c r="AL259">
        <v>0</v>
      </c>
      <c r="AM259" s="5">
        <f t="shared" si="35"/>
        <v>0</v>
      </c>
      <c r="AN259" s="4">
        <f t="shared" si="36"/>
        <v>0</v>
      </c>
      <c r="AO259" s="3"/>
      <c r="AP259">
        <v>0</v>
      </c>
      <c r="AR259" t="s">
        <v>0</v>
      </c>
      <c r="AT259" s="2" t="s">
        <v>13</v>
      </c>
      <c r="AU259" s="1">
        <f t="shared" si="37"/>
        <v>0.26347401297349238</v>
      </c>
      <c r="AV259" s="1">
        <f t="shared" si="38"/>
        <v>0.18819572355249459</v>
      </c>
      <c r="AW259" s="1">
        <f t="shared" si="39"/>
        <v>0.11291743413149673</v>
      </c>
    </row>
    <row r="260" spans="1:49" x14ac:dyDescent="0.2">
      <c r="A260">
        <v>258</v>
      </c>
      <c r="B260" t="s">
        <v>334</v>
      </c>
      <c r="C260" t="s">
        <v>333</v>
      </c>
      <c r="E260">
        <v>2207070</v>
      </c>
      <c r="F260" t="s">
        <v>332</v>
      </c>
      <c r="G260" t="s">
        <v>4</v>
      </c>
      <c r="H260" t="s">
        <v>3</v>
      </c>
      <c r="I260" t="s">
        <v>331</v>
      </c>
      <c r="J260" t="s">
        <v>330</v>
      </c>
      <c r="K260" t="s">
        <v>329</v>
      </c>
      <c r="L260" t="s">
        <v>328</v>
      </c>
      <c r="M260" t="s">
        <v>201</v>
      </c>
      <c r="N260">
        <v>5</v>
      </c>
      <c r="O260" t="s">
        <v>327</v>
      </c>
      <c r="P260" t="s">
        <v>326</v>
      </c>
      <c r="Q260" t="s">
        <v>325</v>
      </c>
      <c r="R260" s="7">
        <v>33055</v>
      </c>
      <c r="S260" s="8">
        <f t="shared" si="32"/>
        <v>1990</v>
      </c>
      <c r="T260" s="8">
        <v>1990</v>
      </c>
      <c r="U260" s="8">
        <f t="shared" si="33"/>
        <v>32</v>
      </c>
      <c r="V260" s="7">
        <v>33055</v>
      </c>
      <c r="W260" t="s">
        <v>251</v>
      </c>
      <c r="X260" s="2">
        <v>1.43</v>
      </c>
      <c r="Y260" s="6">
        <f t="shared" si="34"/>
        <v>3.8173033287952803E-2</v>
      </c>
      <c r="AA260">
        <v>62960</v>
      </c>
      <c r="AB260">
        <v>16867</v>
      </c>
      <c r="AC260">
        <v>15204995</v>
      </c>
      <c r="AD260" t="s">
        <v>1</v>
      </c>
      <c r="AE260">
        <v>29</v>
      </c>
      <c r="AF260">
        <v>26</v>
      </c>
      <c r="AH260" t="s">
        <v>324</v>
      </c>
      <c r="AI260" t="s">
        <v>323</v>
      </c>
      <c r="AK260" t="s">
        <v>322</v>
      </c>
      <c r="AL260">
        <v>50</v>
      </c>
      <c r="AM260" s="5">
        <f t="shared" si="35"/>
        <v>1.5625</v>
      </c>
      <c r="AN260" s="4">
        <f t="shared" si="36"/>
        <v>2.3665278303672851E-3</v>
      </c>
      <c r="AO260" s="3"/>
      <c r="AP260">
        <v>0</v>
      </c>
      <c r="AQ260" t="s">
        <v>321</v>
      </c>
      <c r="AR260" t="s">
        <v>320</v>
      </c>
      <c r="AS260" t="s">
        <v>319</v>
      </c>
      <c r="AT260" s="2">
        <v>3.1619999999999999</v>
      </c>
      <c r="AU260" s="1">
        <f t="shared" si="37"/>
        <v>2.7431081650677145</v>
      </c>
      <c r="AV260" s="1">
        <f t="shared" si="38"/>
        <v>2.0269780559160044</v>
      </c>
      <c r="AW260" s="1">
        <f t="shared" si="39"/>
        <v>1.3108479467642942</v>
      </c>
    </row>
    <row r="261" spans="1:49" x14ac:dyDescent="0.2">
      <c r="A261">
        <v>259</v>
      </c>
      <c r="B261" t="s">
        <v>318</v>
      </c>
      <c r="C261" t="s">
        <v>317</v>
      </c>
      <c r="E261">
        <v>2337590</v>
      </c>
      <c r="F261" t="s">
        <v>316</v>
      </c>
      <c r="G261" t="s">
        <v>4</v>
      </c>
      <c r="H261" t="s">
        <v>3</v>
      </c>
      <c r="I261" t="s">
        <v>315</v>
      </c>
      <c r="J261" t="s">
        <v>314</v>
      </c>
      <c r="K261" t="s">
        <v>313</v>
      </c>
      <c r="L261" t="s">
        <v>312</v>
      </c>
      <c r="M261" t="s">
        <v>99</v>
      </c>
      <c r="N261">
        <v>5</v>
      </c>
      <c r="O261" t="s">
        <v>311</v>
      </c>
      <c r="P261" t="s">
        <v>310</v>
      </c>
      <c r="Q261" t="s">
        <v>309</v>
      </c>
      <c r="R261" s="7">
        <v>33055</v>
      </c>
      <c r="S261" s="8">
        <f t="shared" si="32"/>
        <v>1990</v>
      </c>
      <c r="T261" s="8">
        <v>1990</v>
      </c>
      <c r="U261" s="8">
        <f t="shared" si="33"/>
        <v>32</v>
      </c>
      <c r="V261" s="7">
        <v>33055</v>
      </c>
      <c r="W261" t="s">
        <v>251</v>
      </c>
      <c r="X261" s="2">
        <v>1.43</v>
      </c>
      <c r="Y261" s="6">
        <f t="shared" si="34"/>
        <v>3.8173033287952803E-2</v>
      </c>
      <c r="AA261">
        <v>62960</v>
      </c>
      <c r="AB261">
        <v>16867</v>
      </c>
      <c r="AC261">
        <v>15204995</v>
      </c>
      <c r="AD261" t="s">
        <v>1</v>
      </c>
      <c r="AE261">
        <v>29</v>
      </c>
      <c r="AF261">
        <v>3</v>
      </c>
      <c r="AH261" t="s">
        <v>308</v>
      </c>
      <c r="AI261" t="s">
        <v>307</v>
      </c>
      <c r="AK261" t="s">
        <v>306</v>
      </c>
      <c r="AL261">
        <v>32</v>
      </c>
      <c r="AM261" s="5">
        <f t="shared" si="35"/>
        <v>1</v>
      </c>
      <c r="AN261" s="4">
        <f t="shared" si="36"/>
        <v>1.5145778114350624E-3</v>
      </c>
      <c r="AO261" s="3"/>
      <c r="AP261">
        <v>0</v>
      </c>
      <c r="AR261" t="s">
        <v>0</v>
      </c>
      <c r="AT261" s="2">
        <v>3.1619999999999999</v>
      </c>
      <c r="AU261" s="1">
        <f t="shared" si="37"/>
        <v>2.7175496644997481</v>
      </c>
      <c r="AV261" s="1">
        <f t="shared" si="38"/>
        <v>1.9843805549693931</v>
      </c>
      <c r="AW261" s="1">
        <f t="shared" si="39"/>
        <v>1.2512114454390384</v>
      </c>
    </row>
    <row r="262" spans="1:49" x14ac:dyDescent="0.2">
      <c r="A262">
        <v>260</v>
      </c>
      <c r="B262" t="s">
        <v>305</v>
      </c>
      <c r="C262" t="s">
        <v>304</v>
      </c>
      <c r="F262" t="s">
        <v>303</v>
      </c>
      <c r="G262" t="s">
        <v>4</v>
      </c>
      <c r="H262" t="s">
        <v>3</v>
      </c>
      <c r="I262" t="s">
        <v>302</v>
      </c>
      <c r="J262" t="s">
        <v>301</v>
      </c>
      <c r="K262" t="s">
        <v>300</v>
      </c>
      <c r="L262" t="s">
        <v>299</v>
      </c>
      <c r="M262" t="s">
        <v>11</v>
      </c>
      <c r="N262">
        <v>2</v>
      </c>
      <c r="O262" t="s">
        <v>298</v>
      </c>
      <c r="P262" t="s">
        <v>297</v>
      </c>
      <c r="Q262" t="s">
        <v>296</v>
      </c>
      <c r="R262" s="7">
        <v>33055</v>
      </c>
      <c r="S262" s="8">
        <f t="shared" si="32"/>
        <v>1990</v>
      </c>
      <c r="T262" s="8">
        <v>1990</v>
      </c>
      <c r="U262" s="8">
        <f t="shared" si="33"/>
        <v>32</v>
      </c>
      <c r="V262" s="7">
        <v>33055</v>
      </c>
      <c r="W262" t="s">
        <v>248</v>
      </c>
      <c r="X262" s="2">
        <v>1.1579999999999999</v>
      </c>
      <c r="Y262" s="6">
        <f t="shared" si="34"/>
        <v>3.0912148634579962E-2</v>
      </c>
      <c r="AA262">
        <v>1668595</v>
      </c>
      <c r="AB262">
        <v>14223</v>
      </c>
      <c r="AC262">
        <v>15735079</v>
      </c>
      <c r="AD262" t="s">
        <v>1</v>
      </c>
      <c r="AE262">
        <v>25</v>
      </c>
      <c r="AF262">
        <v>1</v>
      </c>
      <c r="AH262" t="s">
        <v>295</v>
      </c>
      <c r="AI262" t="s">
        <v>294</v>
      </c>
      <c r="AJ262" t="s">
        <v>293</v>
      </c>
      <c r="AK262" t="s">
        <v>292</v>
      </c>
      <c r="AL262">
        <v>25</v>
      </c>
      <c r="AM262" s="5">
        <f t="shared" si="35"/>
        <v>0.78125</v>
      </c>
      <c r="AN262" s="4">
        <f t="shared" si="36"/>
        <v>1.1832639151836426E-3</v>
      </c>
      <c r="AO262" s="3"/>
      <c r="AP262">
        <v>0</v>
      </c>
      <c r="AR262" t="s">
        <v>0</v>
      </c>
      <c r="AT262" s="2">
        <v>3.573</v>
      </c>
      <c r="AU262" s="1">
        <f t="shared" si="37"/>
        <v>2.1993483218761067</v>
      </c>
      <c r="AV262" s="1">
        <f t="shared" si="38"/>
        <v>1.6047706274881803</v>
      </c>
      <c r="AW262" s="1">
        <f t="shared" si="39"/>
        <v>1.0101929331002539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1990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2021-11-11T11:39:25Z</dcterms:created>
  <dcterms:modified xsi:type="dcterms:W3CDTF">2022-01-19T19:44:55Z</dcterms:modified>
</cp:coreProperties>
</file>